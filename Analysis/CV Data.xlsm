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E8BFA3CE-8611-4B77-AF26-9015B55A172C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" sheetId="8" r:id="rId5"/>
    <sheet name="Country_Data" sheetId="14" r:id="rId6"/>
    <sheet name="CumulativeConfirmed" sheetId="3" state="hidden" r:id="rId7"/>
    <sheet name="CumulativeRecovered" sheetId="18" state="hidden" r:id="rId8"/>
    <sheet name="CumulativeDead" sheetId="19" state="hidden" r:id="rId9"/>
    <sheet name="ConfirmedRaw" sheetId="2" state="hidden" r:id="rId10"/>
    <sheet name="RecoveredRaw" sheetId="17" state="hidden" r:id="rId11"/>
    <sheet name="DeadRaw" sheetId="16" state="hidden" r:id="rId12"/>
  </sheets>
  <definedNames>
    <definedName name="_xlnm._FilterDatabase" localSheetId="1" hidden="1">Country_Rates!$C$2:$K$2</definedName>
    <definedName name="_xlnm._FilterDatabase" localSheetId="6" hidden="1">CumulativeConfirmed!$A$1:$BA$1</definedName>
    <definedName name="_xlnm._FilterDatabase" localSheetId="4" hidden="1">Days_Since_100!$B$1:$CU$1</definedName>
    <definedName name="_xlnm._FilterDatabase" localSheetId="3" hidden="1">Country_Rates!$C$2:$K$2</definedName>
    <definedName name="country">Projections!$C$7</definedName>
    <definedName name="image_jpg">Projections!$A$1:$U$53</definedName>
    <definedName name="xMax">Country_Comparison!$S$8</definedName>
    <definedName name="xMax2">Projections_Data!$C$29</definedName>
    <definedName name="xMax3">Projections_Data!$D$29</definedName>
    <definedName name="xMin">Country_Comparison!$S$7</definedName>
    <definedName name="xMin2">Projections_Data!$C$28</definedName>
    <definedName name="xMin3">Projections_Data!$D$28</definedName>
    <definedName name="yMax">Country_Comparison!$S$5</definedName>
    <definedName name="yMax2">Projections_Data!$C$26</definedName>
    <definedName name="yMax3">Projections_Data!$D$26</definedName>
    <definedName name="yMin">Country_Comparison!$S$4</definedName>
    <definedName name="yMin2">Projections_Data!$C$25</definedName>
    <definedName name="yMin3">Projections_Data!$D$25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4" i="8" l="1"/>
  <c r="K4" i="8" s="1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J3" i="8"/>
  <c r="K3" i="8" s="1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H63" i="20"/>
  <c r="H64" i="20"/>
  <c r="H65" i="20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/>
  <c r="M28" i="20" a="1"/>
  <c r="M28" i="20" s="1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 s="1"/>
  <c r="M47" i="20" a="1"/>
  <c r="M47" i="20" s="1"/>
  <c r="M48" i="20" a="1"/>
  <c r="M48" i="20" s="1"/>
  <c r="M49" i="20" a="1"/>
  <c r="M49" i="20" s="1"/>
  <c r="M50" i="20" a="1"/>
  <c r="M50" i="20" s="1"/>
  <c r="M51" i="20" a="1"/>
  <c r="M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 s="1"/>
  <c r="M3" i="20" a="1"/>
  <c r="M3" i="20" s="1"/>
  <c r="B50" i="15"/>
  <c r="B2" i="13"/>
  <c r="C14" i="13" s="1"/>
  <c r="C37" i="15" s="1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N21" i="14"/>
  <c r="N22" i="14"/>
  <c r="N23" i="14"/>
  <c r="N24" i="14"/>
  <c r="N25" i="14"/>
  <c r="N26" i="14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2" i="14"/>
  <c r="J37" i="20"/>
  <c r="J38" i="20"/>
  <c r="K38" i="20" s="1"/>
  <c r="J39" i="20"/>
  <c r="J40" i="20"/>
  <c r="J41" i="20"/>
  <c r="J42" i="20"/>
  <c r="J44" i="20"/>
  <c r="J43" i="20"/>
  <c r="J45" i="20"/>
  <c r="J46" i="20"/>
  <c r="J47" i="20"/>
  <c r="J48" i="20"/>
  <c r="J49" i="20"/>
  <c r="J50" i="20"/>
  <c r="J51" i="20"/>
  <c r="J52" i="20"/>
  <c r="J54" i="20"/>
  <c r="J55" i="20"/>
  <c r="J56" i="20"/>
  <c r="J58" i="20"/>
  <c r="J59" i="20"/>
  <c r="J60" i="20"/>
  <c r="J61" i="20"/>
  <c r="J62" i="20"/>
  <c r="J63" i="20"/>
  <c r="J64" i="20"/>
  <c r="J65" i="20"/>
  <c r="J33" i="20"/>
  <c r="J4" i="20"/>
  <c r="J3" i="20"/>
  <c r="J7" i="20"/>
  <c r="J8" i="20"/>
  <c r="J5" i="20"/>
  <c r="J6" i="20"/>
  <c r="J9" i="20"/>
  <c r="J10" i="20"/>
  <c r="J11" i="20"/>
  <c r="J17" i="20"/>
  <c r="J12" i="20"/>
  <c r="J13" i="20"/>
  <c r="J14" i="20"/>
  <c r="J15" i="20"/>
  <c r="J16" i="20"/>
  <c r="J18" i="20"/>
  <c r="J19" i="20"/>
  <c r="J21" i="20"/>
  <c r="J22" i="20"/>
  <c r="J20" i="20"/>
  <c r="J23" i="20"/>
  <c r="J24" i="20"/>
  <c r="J25" i="20"/>
  <c r="J26" i="20"/>
  <c r="J28" i="20"/>
  <c r="J27" i="20"/>
  <c r="J29" i="20"/>
  <c r="J30" i="20"/>
  <c r="J31" i="20"/>
  <c r="J32" i="20"/>
  <c r="J34" i="20"/>
  <c r="J35" i="20"/>
  <c r="J36" i="20"/>
  <c r="N26" i="8" l="1"/>
  <c r="D26" i="8" s="1"/>
  <c r="K56" i="20"/>
  <c r="K49" i="20"/>
  <c r="K47" i="20"/>
  <c r="K43" i="20"/>
  <c r="K15" i="20"/>
  <c r="K9" i="20"/>
  <c r="K39" i="20"/>
  <c r="K35" i="20"/>
  <c r="K32" i="20"/>
  <c r="K31" i="20"/>
  <c r="K4" i="20"/>
  <c r="K19" i="20"/>
  <c r="K14" i="20"/>
  <c r="K36" i="20"/>
  <c r="K13" i="20"/>
  <c r="K48" i="20"/>
  <c r="A6" i="8"/>
  <c r="C6" i="8"/>
  <c r="B6" i="8" s="1" a="1"/>
  <c r="B6" i="8" s="1"/>
  <c r="D6" i="8"/>
  <c r="E6" i="8"/>
  <c r="A7" i="8"/>
  <c r="C7" i="8"/>
  <c r="B7" i="8" s="1" a="1"/>
  <c r="B7" i="8" s="1"/>
  <c r="D7" i="8"/>
  <c r="E7" i="8"/>
  <c r="A8" i="8"/>
  <c r="C9" i="8"/>
  <c r="B9" i="8" s="1" a="1"/>
  <c r="B9" i="8" s="1"/>
  <c r="D9" i="8"/>
  <c r="E9" i="8"/>
  <c r="A9" i="8"/>
  <c r="C8" i="8"/>
  <c r="B8" i="8" s="1" a="1"/>
  <c r="B8" i="8" s="1"/>
  <c r="D8" i="8"/>
  <c r="E8" i="8"/>
  <c r="A10" i="8"/>
  <c r="C11" i="8"/>
  <c r="B11" i="8" s="1" a="1"/>
  <c r="B11" i="8" s="1"/>
  <c r="D11" i="8"/>
  <c r="E11" i="8"/>
  <c r="A11" i="8"/>
  <c r="C13" i="8"/>
  <c r="B13" i="8" s="1" a="1"/>
  <c r="B13" i="8" s="1"/>
  <c r="D13" i="8"/>
  <c r="E13" i="8"/>
  <c r="A12" i="8"/>
  <c r="C14" i="8"/>
  <c r="B14" i="8" s="1" a="1"/>
  <c r="B14" i="8" s="1"/>
  <c r="D14" i="8"/>
  <c r="E14" i="8"/>
  <c r="A13" i="8"/>
  <c r="C10" i="8"/>
  <c r="B10" i="8" s="1" a="1"/>
  <c r="B10" i="8" s="1"/>
  <c r="D10" i="8"/>
  <c r="E10" i="8"/>
  <c r="A14" i="8"/>
  <c r="C15" i="8"/>
  <c r="B15" i="8" s="1" a="1"/>
  <c r="B15" i="8" s="1"/>
  <c r="D15" i="8"/>
  <c r="E15" i="8"/>
  <c r="A15" i="8"/>
  <c r="C16" i="8"/>
  <c r="B16" i="8" s="1" a="1"/>
  <c r="B16" i="8" s="1"/>
  <c r="D16" i="8"/>
  <c r="E16" i="8"/>
  <c r="A16" i="8"/>
  <c r="C17" i="8"/>
  <c r="B17" i="8" s="1" a="1"/>
  <c r="B17" i="8" s="1"/>
  <c r="D17" i="8"/>
  <c r="E17" i="8"/>
  <c r="A17" i="8"/>
  <c r="C18" i="8"/>
  <c r="B18" i="8" s="1" a="1"/>
  <c r="B18" i="8" s="1"/>
  <c r="D18" i="8"/>
  <c r="E18" i="8"/>
  <c r="A18" i="8"/>
  <c r="C19" i="8"/>
  <c r="B19" i="8" s="1" a="1"/>
  <c r="B19" i="8" s="1"/>
  <c r="D19" i="8"/>
  <c r="E19" i="8"/>
  <c r="A19" i="8"/>
  <c r="C20" i="8"/>
  <c r="B20" i="8" s="1" a="1"/>
  <c r="B20" i="8" s="1"/>
  <c r="D20" i="8"/>
  <c r="E20" i="8"/>
  <c r="A20" i="8"/>
  <c r="C21" i="8"/>
  <c r="B21" i="8" s="1" a="1"/>
  <c r="B21" i="8" s="1"/>
  <c r="D21" i="8"/>
  <c r="E21" i="8"/>
  <c r="A21" i="8"/>
  <c r="C12" i="8"/>
  <c r="B12" i="8" s="1" a="1"/>
  <c r="B12" i="8" s="1"/>
  <c r="D12" i="8"/>
  <c r="E12" i="8"/>
  <c r="A22" i="8"/>
  <c r="C22" i="8"/>
  <c r="B22" i="8" s="1" a="1"/>
  <c r="B22" i="8" s="1"/>
  <c r="D22" i="8"/>
  <c r="E22" i="8"/>
  <c r="A23" i="8"/>
  <c r="C23" i="8"/>
  <c r="B23" i="8" s="1" a="1"/>
  <c r="B23" i="8" s="1"/>
  <c r="D23" i="8"/>
  <c r="E23" i="8"/>
  <c r="A24" i="8"/>
  <c r="C24" i="8"/>
  <c r="B24" i="8" s="1" a="1"/>
  <c r="B24" i="8" s="1"/>
  <c r="D24" i="8"/>
  <c r="E24" i="8"/>
  <c r="A25" i="8"/>
  <c r="C25" i="8"/>
  <c r="B25" i="8" s="1" a="1"/>
  <c r="B25" i="8" s="1"/>
  <c r="D25" i="8"/>
  <c r="E25" i="8"/>
  <c r="A26" i="8"/>
  <c r="C27" i="8"/>
  <c r="B27" i="8" s="1" a="1"/>
  <c r="B27" i="8" s="1"/>
  <c r="D27" i="8"/>
  <c r="E27" i="8"/>
  <c r="A27" i="8"/>
  <c r="C28" i="8"/>
  <c r="B28" i="8" s="1" a="1"/>
  <c r="B28" i="8" s="1"/>
  <c r="D28" i="8"/>
  <c r="E28" i="8"/>
  <c r="A28" i="8"/>
  <c r="C29" i="8"/>
  <c r="B29" i="8" s="1" a="1"/>
  <c r="B29" i="8" s="1"/>
  <c r="D29" i="8"/>
  <c r="E29" i="8"/>
  <c r="A29" i="8"/>
  <c r="C30" i="8"/>
  <c r="B30" i="8" s="1" a="1"/>
  <c r="B30" i="8" s="1"/>
  <c r="D30" i="8"/>
  <c r="E30" i="8"/>
  <c r="A30" i="8"/>
  <c r="C31" i="8"/>
  <c r="B31" i="8" s="1" a="1"/>
  <c r="B31" i="8" s="1"/>
  <c r="D31" i="8"/>
  <c r="E31" i="8"/>
  <c r="A31" i="8"/>
  <c r="C32" i="8"/>
  <c r="B32" i="8" s="1" a="1"/>
  <c r="B32" i="8" s="1"/>
  <c r="D32" i="8"/>
  <c r="E32" i="8"/>
  <c r="A32" i="8"/>
  <c r="C33" i="8"/>
  <c r="B33" i="8" s="1" a="1"/>
  <c r="B33" i="8" s="1"/>
  <c r="D33" i="8"/>
  <c r="E33" i="8"/>
  <c r="A33" i="8"/>
  <c r="C34" i="8"/>
  <c r="B34" i="8" s="1" a="1"/>
  <c r="B34" i="8" s="1"/>
  <c r="D34" i="8"/>
  <c r="E34" i="8"/>
  <c r="A34" i="8"/>
  <c r="C35" i="8"/>
  <c r="B35" i="8" s="1" a="1"/>
  <c r="B35" i="8" s="1"/>
  <c r="D35" i="8"/>
  <c r="E35" i="8"/>
  <c r="A35" i="8"/>
  <c r="C26" i="8"/>
  <c r="B26" i="8" s="1" a="1"/>
  <c r="B26" i="8" s="1"/>
  <c r="A36" i="8"/>
  <c r="C36" i="8"/>
  <c r="B36" i="8" s="1" a="1"/>
  <c r="B36" i="8" s="1"/>
  <c r="D36" i="8"/>
  <c r="E36" i="8"/>
  <c r="A37" i="8"/>
  <c r="C37" i="8"/>
  <c r="B37" i="8" s="1" a="1"/>
  <c r="B37" i="8" s="1"/>
  <c r="D37" i="8"/>
  <c r="E37" i="8"/>
  <c r="A38" i="8"/>
  <c r="C38" i="8"/>
  <c r="B38" i="8" s="1" a="1"/>
  <c r="B38" i="8" s="1"/>
  <c r="D38" i="8"/>
  <c r="E38" i="8"/>
  <c r="A39" i="8"/>
  <c r="C39" i="8"/>
  <c r="B39" i="8" s="1" a="1"/>
  <c r="B39" i="8" s="1"/>
  <c r="D39" i="8"/>
  <c r="E39" i="8"/>
  <c r="A40" i="8"/>
  <c r="C40" i="8"/>
  <c r="B40" i="8" s="1" a="1"/>
  <c r="B40" i="8" s="1"/>
  <c r="D40" i="8"/>
  <c r="E40" i="8"/>
  <c r="A41" i="8"/>
  <c r="C41" i="8"/>
  <c r="B41" i="8" s="1" a="1"/>
  <c r="B41" i="8" s="1"/>
  <c r="D41" i="8"/>
  <c r="E41" i="8"/>
  <c r="A42" i="8"/>
  <c r="C42" i="8"/>
  <c r="B42" i="8" s="1" a="1"/>
  <c r="B42" i="8" s="1"/>
  <c r="D42" i="8"/>
  <c r="E42" i="8"/>
  <c r="A43" i="8"/>
  <c r="C43" i="8"/>
  <c r="B43" i="8" s="1" a="1"/>
  <c r="B43" i="8" s="1"/>
  <c r="D43" i="8"/>
  <c r="E43" i="8"/>
  <c r="A44" i="8"/>
  <c r="C44" i="8"/>
  <c r="B44" i="8" s="1" a="1"/>
  <c r="B44" i="8" s="1"/>
  <c r="D44" i="8"/>
  <c r="E44" i="8"/>
  <c r="A45" i="8"/>
  <c r="C45" i="8"/>
  <c r="B45" i="8" s="1" a="1"/>
  <c r="B45" i="8" s="1"/>
  <c r="D45" i="8"/>
  <c r="E45" i="8"/>
  <c r="A46" i="8"/>
  <c r="C46" i="8"/>
  <c r="B46" i="8" s="1" a="1"/>
  <c r="B46" i="8" s="1"/>
  <c r="D46" i="8"/>
  <c r="E46" i="8"/>
  <c r="A47" i="8"/>
  <c r="C47" i="8"/>
  <c r="B47" i="8" s="1" a="1"/>
  <c r="B47" i="8" s="1"/>
  <c r="D47" i="8"/>
  <c r="E47" i="8"/>
  <c r="A48" i="8"/>
  <c r="C48" i="8"/>
  <c r="B48" i="8" s="1" a="1"/>
  <c r="B48" i="8" s="1"/>
  <c r="D48" i="8"/>
  <c r="E48" i="8"/>
  <c r="A49" i="8"/>
  <c r="C49" i="8"/>
  <c r="B49" i="8" s="1" a="1"/>
  <c r="B49" i="8" s="1"/>
  <c r="D49" i="8"/>
  <c r="E49" i="8"/>
  <c r="A50" i="8"/>
  <c r="C50" i="8"/>
  <c r="B50" i="8" s="1" a="1"/>
  <c r="B50" i="8" s="1"/>
  <c r="D50" i="8"/>
  <c r="E50" i="8"/>
  <c r="A51" i="8"/>
  <c r="C51" i="8"/>
  <c r="B51" i="8" s="1" a="1"/>
  <c r="B51" i="8" s="1"/>
  <c r="D51" i="8"/>
  <c r="E51" i="8"/>
  <c r="A52" i="8"/>
  <c r="C52" i="8"/>
  <c r="B52" i="8" s="1" a="1"/>
  <c r="B52" i="8" s="1"/>
  <c r="D52" i="8"/>
  <c r="E52" i="8"/>
  <c r="A53" i="8"/>
  <c r="C53" i="8"/>
  <c r="B53" i="8" s="1" a="1"/>
  <c r="B53" i="8" s="1"/>
  <c r="D53" i="8"/>
  <c r="E53" i="8"/>
  <c r="A54" i="8"/>
  <c r="C54" i="8"/>
  <c r="B54" i="8" s="1" a="1"/>
  <c r="B54" i="8" s="1"/>
  <c r="D54" i="8"/>
  <c r="E54" i="8"/>
  <c r="A55" i="8"/>
  <c r="C55" i="8"/>
  <c r="B55" i="8" s="1" a="1"/>
  <c r="B55" i="8" s="1"/>
  <c r="D55" i="8"/>
  <c r="E55" i="8"/>
  <c r="A56" i="8"/>
  <c r="C56" i="8"/>
  <c r="B56" i="8" s="1" a="1"/>
  <c r="B56" i="8" s="1"/>
  <c r="D56" i="8"/>
  <c r="E56" i="8"/>
  <c r="A57" i="8"/>
  <c r="C57" i="8"/>
  <c r="B57" i="8" s="1" a="1"/>
  <c r="B57" i="8" s="1"/>
  <c r="D57" i="8"/>
  <c r="E57" i="8"/>
  <c r="A58" i="8"/>
  <c r="C58" i="8"/>
  <c r="B58" i="8" s="1" a="1"/>
  <c r="B58" i="8" s="1"/>
  <c r="D58" i="8"/>
  <c r="E58" i="8"/>
  <c r="A59" i="8"/>
  <c r="C59" i="8"/>
  <c r="B59" i="8" s="1" a="1"/>
  <c r="B59" i="8" s="1"/>
  <c r="D59" i="8"/>
  <c r="E59" i="8"/>
  <c r="A60" i="8"/>
  <c r="C60" i="8"/>
  <c r="B60" i="8" s="1" a="1"/>
  <c r="B60" i="8" s="1"/>
  <c r="D60" i="8"/>
  <c r="E60" i="8"/>
  <c r="A61" i="8"/>
  <c r="C61" i="8"/>
  <c r="B61" i="8" s="1" a="1"/>
  <c r="B61" i="8" s="1"/>
  <c r="D61" i="8"/>
  <c r="E61" i="8"/>
  <c r="A62" i="8"/>
  <c r="C62" i="8"/>
  <c r="B62" i="8" s="1" a="1"/>
  <c r="B62" i="8" s="1"/>
  <c r="D62" i="8"/>
  <c r="E62" i="8"/>
  <c r="A63" i="8"/>
  <c r="C63" i="8"/>
  <c r="B63" i="8" s="1" a="1"/>
  <c r="B63" i="8" s="1"/>
  <c r="D63" i="8"/>
  <c r="E63" i="8"/>
  <c r="F63" i="8"/>
  <c r="G63" i="8"/>
  <c r="A64" i="8"/>
  <c r="C64" i="8"/>
  <c r="B64" i="8" s="1" a="1"/>
  <c r="B64" i="8" s="1"/>
  <c r="D64" i="8"/>
  <c r="E64" i="8"/>
  <c r="F64" i="8"/>
  <c r="G64" i="8"/>
  <c r="A65" i="8"/>
  <c r="C65" i="8"/>
  <c r="B65" i="8" s="1" a="1"/>
  <c r="B65" i="8" s="1"/>
  <c r="D65" i="8"/>
  <c r="E65" i="8"/>
  <c r="F65" i="8"/>
  <c r="G65" i="8"/>
  <c r="A66" i="8"/>
  <c r="C66" i="8"/>
  <c r="B66" i="8" s="1" a="1"/>
  <c r="B66" i="8" s="1"/>
  <c r="D66" i="8"/>
  <c r="E66" i="8"/>
  <c r="F66" i="8"/>
  <c r="G66" i="8"/>
  <c r="A67" i="8"/>
  <c r="C67" i="8"/>
  <c r="B67" i="8" s="1" a="1"/>
  <c r="B67" i="8" s="1"/>
  <c r="D67" i="8"/>
  <c r="E67" i="8"/>
  <c r="F67" i="8"/>
  <c r="G67" i="8"/>
  <c r="A68" i="8"/>
  <c r="C68" i="8"/>
  <c r="B68" i="8" s="1" a="1"/>
  <c r="B68" i="8" s="1"/>
  <c r="D68" i="8"/>
  <c r="E68" i="8"/>
  <c r="F68" i="8"/>
  <c r="G68" i="8"/>
  <c r="A69" i="8"/>
  <c r="C69" i="8"/>
  <c r="B69" i="8" s="1" a="1"/>
  <c r="B69" i="8" s="1"/>
  <c r="D69" i="8"/>
  <c r="E69" i="8"/>
  <c r="F69" i="8"/>
  <c r="G69" i="8"/>
  <c r="A70" i="8"/>
  <c r="C70" i="8"/>
  <c r="B70" i="8" s="1" a="1"/>
  <c r="B70" i="8" s="1"/>
  <c r="D70" i="8"/>
  <c r="E70" i="8"/>
  <c r="F70" i="8"/>
  <c r="G70" i="8"/>
  <c r="A71" i="8"/>
  <c r="C71" i="8"/>
  <c r="B71" i="8" s="1" a="1"/>
  <c r="B71" i="8" s="1"/>
  <c r="D71" i="8"/>
  <c r="E71" i="8"/>
  <c r="F71" i="8"/>
  <c r="G71" i="8"/>
  <c r="A72" i="8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C72" i="8"/>
  <c r="B72" i="8" s="1" a="1"/>
  <c r="B72" i="8" s="1"/>
  <c r="D72" i="8"/>
  <c r="E72" i="8"/>
  <c r="F72" i="8"/>
  <c r="G72" i="8"/>
  <c r="C73" i="8"/>
  <c r="B73" i="8" s="1" a="1"/>
  <c r="B73" i="8" s="1"/>
  <c r="D73" i="8"/>
  <c r="E73" i="8"/>
  <c r="F73" i="8"/>
  <c r="G73" i="8"/>
  <c r="C74" i="8"/>
  <c r="B74" i="8" s="1" a="1"/>
  <c r="B74" i="8" s="1"/>
  <c r="D74" i="8"/>
  <c r="E74" i="8"/>
  <c r="F74" i="8"/>
  <c r="G74" i="8"/>
  <c r="C75" i="8"/>
  <c r="B75" i="8" s="1" a="1"/>
  <c r="B75" i="8" s="1"/>
  <c r="D75" i="8"/>
  <c r="E75" i="8"/>
  <c r="F75" i="8"/>
  <c r="G75" i="8"/>
  <c r="C76" i="8"/>
  <c r="B76" i="8" s="1" a="1"/>
  <c r="B76" i="8" s="1"/>
  <c r="D76" i="8"/>
  <c r="E76" i="8"/>
  <c r="F76" i="8"/>
  <c r="G76" i="8"/>
  <c r="C77" i="8"/>
  <c r="B77" i="8" s="1" a="1"/>
  <c r="B77" i="8" s="1"/>
  <c r="D77" i="8"/>
  <c r="E77" i="8"/>
  <c r="F77" i="8"/>
  <c r="G77" i="8"/>
  <c r="C78" i="8"/>
  <c r="B78" i="8" s="1" a="1"/>
  <c r="B78" i="8" s="1"/>
  <c r="D78" i="8"/>
  <c r="E78" i="8"/>
  <c r="F78" i="8"/>
  <c r="G78" i="8"/>
  <c r="C79" i="8"/>
  <c r="B79" i="8" s="1" a="1"/>
  <c r="B79" i="8" s="1"/>
  <c r="D79" i="8"/>
  <c r="E79" i="8"/>
  <c r="F79" i="8"/>
  <c r="G79" i="8"/>
  <c r="C80" i="8"/>
  <c r="B80" i="8" s="1" a="1"/>
  <c r="B80" i="8" s="1"/>
  <c r="D80" i="8"/>
  <c r="E80" i="8"/>
  <c r="F80" i="8"/>
  <c r="G80" i="8"/>
  <c r="C81" i="8"/>
  <c r="B81" i="8" s="1" a="1"/>
  <c r="B81" i="8" s="1"/>
  <c r="D81" i="8"/>
  <c r="E81" i="8"/>
  <c r="F81" i="8"/>
  <c r="G81" i="8"/>
  <c r="C82" i="8"/>
  <c r="B82" i="8" s="1" a="1"/>
  <c r="B82" i="8" s="1"/>
  <c r="D82" i="8"/>
  <c r="E82" i="8"/>
  <c r="F82" i="8"/>
  <c r="G82" i="8"/>
  <c r="C83" i="8"/>
  <c r="B83" i="8" s="1" a="1"/>
  <c r="B83" i="8" s="1"/>
  <c r="D83" i="8"/>
  <c r="E83" i="8"/>
  <c r="F83" i="8"/>
  <c r="G83" i="8"/>
  <c r="C84" i="8"/>
  <c r="B84" i="8" s="1" a="1"/>
  <c r="B84" i="8" s="1"/>
  <c r="D84" i="8"/>
  <c r="E84" i="8"/>
  <c r="F84" i="8"/>
  <c r="G84" i="8"/>
  <c r="C85" i="8"/>
  <c r="B85" i="8" s="1" a="1"/>
  <c r="B85" i="8" s="1"/>
  <c r="D85" i="8"/>
  <c r="E85" i="8"/>
  <c r="F85" i="8"/>
  <c r="G85" i="8"/>
  <c r="C86" i="8"/>
  <c r="B86" i="8" s="1" a="1"/>
  <c r="B86" i="8" s="1"/>
  <c r="D86" i="8"/>
  <c r="E86" i="8"/>
  <c r="F86" i="8"/>
  <c r="G86" i="8"/>
  <c r="C87" i="8"/>
  <c r="B87" i="8" s="1" a="1"/>
  <c r="B87" i="8" s="1"/>
  <c r="D87" i="8"/>
  <c r="E87" i="8"/>
  <c r="F87" i="8"/>
  <c r="G87" i="8"/>
  <c r="C88" i="8"/>
  <c r="B88" i="8" s="1" a="1"/>
  <c r="B88" i="8" s="1"/>
  <c r="D88" i="8"/>
  <c r="E88" i="8"/>
  <c r="F88" i="8"/>
  <c r="G88" i="8"/>
  <c r="C89" i="8"/>
  <c r="B89" i="8" s="1" a="1"/>
  <c r="B89" i="8" s="1"/>
  <c r="D89" i="8"/>
  <c r="E89" i="8"/>
  <c r="F89" i="8"/>
  <c r="G89" i="8"/>
  <c r="C90" i="8"/>
  <c r="B90" i="8" s="1" a="1"/>
  <c r="B90" i="8" s="1"/>
  <c r="D90" i="8"/>
  <c r="E90" i="8"/>
  <c r="F90" i="8"/>
  <c r="G90" i="8"/>
  <c r="C91" i="8"/>
  <c r="B91" i="8" s="1" a="1"/>
  <c r="B91" i="8" s="1"/>
  <c r="D91" i="8"/>
  <c r="E91" i="8"/>
  <c r="F91" i="8"/>
  <c r="G91" i="8"/>
  <c r="C92" i="8"/>
  <c r="B92" i="8" s="1" a="1"/>
  <c r="B92" i="8" s="1"/>
  <c r="D92" i="8"/>
  <c r="E92" i="8"/>
  <c r="F92" i="8"/>
  <c r="G92" i="8"/>
  <c r="C93" i="8"/>
  <c r="B93" i="8" s="1" a="1"/>
  <c r="B93" i="8" s="1"/>
  <c r="D93" i="8"/>
  <c r="E93" i="8"/>
  <c r="F93" i="8"/>
  <c r="G93" i="8"/>
  <c r="C94" i="8"/>
  <c r="B94" i="8" s="1" a="1"/>
  <c r="B94" i="8" s="1"/>
  <c r="D94" i="8"/>
  <c r="E94" i="8"/>
  <c r="F94" i="8"/>
  <c r="G94" i="8"/>
  <c r="C95" i="8"/>
  <c r="B95" i="8" s="1" a="1"/>
  <c r="B95" i="8" s="1"/>
  <c r="D95" i="8"/>
  <c r="E95" i="8"/>
  <c r="F95" i="8"/>
  <c r="G95" i="8"/>
  <c r="C96" i="8"/>
  <c r="B96" i="8" s="1" a="1"/>
  <c r="B96" i="8" s="1"/>
  <c r="D96" i="8"/>
  <c r="E96" i="8"/>
  <c r="F96" i="8"/>
  <c r="G96" i="8"/>
  <c r="C97" i="8"/>
  <c r="B97" i="8" s="1" a="1"/>
  <c r="B97" i="8" s="1"/>
  <c r="D97" i="8"/>
  <c r="E97" i="8"/>
  <c r="F97" i="8"/>
  <c r="G97" i="8"/>
  <c r="C98" i="8"/>
  <c r="B98" i="8" s="1" a="1"/>
  <c r="B98" i="8" s="1"/>
  <c r="D98" i="8"/>
  <c r="E98" i="8"/>
  <c r="F98" i="8"/>
  <c r="G98" i="8"/>
  <c r="C99" i="8"/>
  <c r="B99" i="8" s="1" a="1"/>
  <c r="B99" i="8" s="1"/>
  <c r="D99" i="8"/>
  <c r="E99" i="8"/>
  <c r="F99" i="8"/>
  <c r="G99" i="8"/>
  <c r="C100" i="8"/>
  <c r="B100" i="8" s="1" a="1"/>
  <c r="B100" i="8" s="1"/>
  <c r="D100" i="8"/>
  <c r="E100" i="8"/>
  <c r="F100" i="8"/>
  <c r="G100" i="8"/>
  <c r="C101" i="8"/>
  <c r="B101" i="8" s="1" a="1"/>
  <c r="B101" i="8" s="1"/>
  <c r="D101" i="8"/>
  <c r="E101" i="8"/>
  <c r="F101" i="8"/>
  <c r="G101" i="8"/>
  <c r="C102" i="8"/>
  <c r="B102" i="8" s="1" a="1"/>
  <c r="B102" i="8" s="1"/>
  <c r="D102" i="8"/>
  <c r="E102" i="8"/>
  <c r="F102" i="8"/>
  <c r="G102" i="8"/>
  <c r="C103" i="8"/>
  <c r="B103" i="8" s="1" a="1"/>
  <c r="B103" i="8" s="1"/>
  <c r="D103" i="8"/>
  <c r="E103" i="8"/>
  <c r="F103" i="8"/>
  <c r="G103" i="8"/>
  <c r="C104" i="8"/>
  <c r="B104" i="8" s="1" a="1"/>
  <c r="B104" i="8" s="1"/>
  <c r="D104" i="8"/>
  <c r="E104" i="8"/>
  <c r="F104" i="8"/>
  <c r="G104" i="8"/>
  <c r="C105" i="8"/>
  <c r="B105" i="8" s="1" a="1"/>
  <c r="B105" i="8" s="1"/>
  <c r="D105" i="8"/>
  <c r="E105" i="8"/>
  <c r="F105" i="8"/>
  <c r="G105" i="8"/>
  <c r="C106" i="8"/>
  <c r="B106" i="8" s="1" a="1"/>
  <c r="B106" i="8" s="1"/>
  <c r="D106" i="8"/>
  <c r="E106" i="8"/>
  <c r="F106" i="8"/>
  <c r="G106" i="8"/>
  <c r="C107" i="8"/>
  <c r="B107" i="8" s="1" a="1"/>
  <c r="B107" i="8" s="1"/>
  <c r="D107" i="8"/>
  <c r="E107" i="8"/>
  <c r="F107" i="8"/>
  <c r="G107" i="8"/>
  <c r="C108" i="8"/>
  <c r="B108" i="8" s="1" a="1"/>
  <c r="B108" i="8" s="1"/>
  <c r="D108" i="8"/>
  <c r="E108" i="8"/>
  <c r="F108" i="8"/>
  <c r="G108" i="8"/>
  <c r="C109" i="8"/>
  <c r="B109" i="8" s="1" a="1"/>
  <c r="B109" i="8" s="1"/>
  <c r="D109" i="8"/>
  <c r="E109" i="8"/>
  <c r="F109" i="8"/>
  <c r="G109" i="8"/>
  <c r="C110" i="8"/>
  <c r="B110" i="8" s="1" a="1"/>
  <c r="B110" i="8" s="1"/>
  <c r="D110" i="8"/>
  <c r="E110" i="8"/>
  <c r="F110" i="8"/>
  <c r="G110" i="8"/>
  <c r="C111" i="8"/>
  <c r="B111" i="8" s="1" a="1"/>
  <c r="B111" i="8" s="1"/>
  <c r="D111" i="8"/>
  <c r="E111" i="8"/>
  <c r="F111" i="8"/>
  <c r="G111" i="8"/>
  <c r="C112" i="8"/>
  <c r="B112" i="8" s="1" a="1"/>
  <c r="B112" i="8" s="1"/>
  <c r="D112" i="8"/>
  <c r="E112" i="8"/>
  <c r="F112" i="8"/>
  <c r="G112" i="8"/>
  <c r="C113" i="8"/>
  <c r="B113" i="8" s="1" a="1"/>
  <c r="B113" i="8" s="1"/>
  <c r="D113" i="8"/>
  <c r="E113" i="8"/>
  <c r="F113" i="8"/>
  <c r="G113" i="8"/>
  <c r="C114" i="8"/>
  <c r="B114" i="8" s="1" a="1"/>
  <c r="B114" i="8" s="1"/>
  <c r="D114" i="8"/>
  <c r="E114" i="8"/>
  <c r="F114" i="8"/>
  <c r="G114" i="8"/>
  <c r="C115" i="8"/>
  <c r="B115" i="8" s="1" a="1"/>
  <c r="B115" i="8" s="1"/>
  <c r="D115" i="8"/>
  <c r="E115" i="8"/>
  <c r="F115" i="8"/>
  <c r="G115" i="8"/>
  <c r="C116" i="8"/>
  <c r="B116" i="8" s="1" a="1"/>
  <c r="B116" i="8" s="1"/>
  <c r="D116" i="8"/>
  <c r="E116" i="8"/>
  <c r="F116" i="8"/>
  <c r="G116" i="8"/>
  <c r="C117" i="8"/>
  <c r="B117" i="8" s="1" a="1"/>
  <c r="B117" i="8" s="1"/>
  <c r="D117" i="8"/>
  <c r="E117" i="8"/>
  <c r="F117" i="8"/>
  <c r="G117" i="8"/>
  <c r="C118" i="8"/>
  <c r="B118" i="8" s="1" a="1"/>
  <c r="B118" i="8" s="1"/>
  <c r="D118" i="8"/>
  <c r="E118" i="8"/>
  <c r="F118" i="8"/>
  <c r="G118" i="8"/>
  <c r="C119" i="8"/>
  <c r="B119" i="8" s="1" a="1"/>
  <c r="B119" i="8" s="1"/>
  <c r="D119" i="8"/>
  <c r="E119" i="8"/>
  <c r="F119" i="8"/>
  <c r="G119" i="8"/>
  <c r="C120" i="8"/>
  <c r="B120" i="8" s="1" a="1"/>
  <c r="B120" i="8" s="1"/>
  <c r="D120" i="8"/>
  <c r="E120" i="8"/>
  <c r="F120" i="8"/>
  <c r="G120" i="8"/>
  <c r="C121" i="8"/>
  <c r="B121" i="8" s="1" a="1"/>
  <c r="B121" i="8" s="1"/>
  <c r="D121" i="8"/>
  <c r="E121" i="8"/>
  <c r="F121" i="8"/>
  <c r="G121" i="8"/>
  <c r="C122" i="8"/>
  <c r="B122" i="8" s="1" a="1"/>
  <c r="B122" i="8" s="1"/>
  <c r="D122" i="8"/>
  <c r="E122" i="8"/>
  <c r="F122" i="8"/>
  <c r="G122" i="8"/>
  <c r="C123" i="8"/>
  <c r="B123" i="8" s="1" a="1"/>
  <c r="B123" i="8" s="1"/>
  <c r="D123" i="8"/>
  <c r="E123" i="8"/>
  <c r="F123" i="8"/>
  <c r="G123" i="8"/>
  <c r="C124" i="8"/>
  <c r="B124" i="8" s="1" a="1"/>
  <c r="B124" i="8" s="1"/>
  <c r="D124" i="8"/>
  <c r="E124" i="8"/>
  <c r="F124" i="8"/>
  <c r="G124" i="8"/>
  <c r="C125" i="8"/>
  <c r="B125" i="8" s="1" a="1"/>
  <c r="B125" i="8" s="1"/>
  <c r="D125" i="8"/>
  <c r="E125" i="8"/>
  <c r="F125" i="8"/>
  <c r="G125" i="8"/>
  <c r="C126" i="8"/>
  <c r="B126" i="8" s="1" a="1"/>
  <c r="B126" i="8" s="1"/>
  <c r="D126" i="8"/>
  <c r="E126" i="8"/>
  <c r="F126" i="8"/>
  <c r="G126" i="8"/>
  <c r="C127" i="8"/>
  <c r="B127" i="8" s="1" a="1"/>
  <c r="B127" i="8" s="1"/>
  <c r="D127" i="8"/>
  <c r="E127" i="8"/>
  <c r="F127" i="8"/>
  <c r="G127" i="8"/>
  <c r="C128" i="8"/>
  <c r="B128" i="8" s="1" a="1"/>
  <c r="B128" i="8" s="1"/>
  <c r="D128" i="8"/>
  <c r="E128" i="8"/>
  <c r="F128" i="8"/>
  <c r="G128" i="8"/>
  <c r="C129" i="8"/>
  <c r="B129" i="8" s="1" a="1"/>
  <c r="B129" i="8" s="1"/>
  <c r="D129" i="8"/>
  <c r="E129" i="8"/>
  <c r="F129" i="8"/>
  <c r="G129" i="8"/>
  <c r="C130" i="8"/>
  <c r="B130" i="8" s="1" a="1"/>
  <c r="B130" i="8" s="1"/>
  <c r="D130" i="8"/>
  <c r="E130" i="8"/>
  <c r="F130" i="8"/>
  <c r="G130" i="8"/>
  <c r="C131" i="8"/>
  <c r="B131" i="8" s="1" a="1"/>
  <c r="B131" i="8" s="1"/>
  <c r="D131" i="8"/>
  <c r="E131" i="8"/>
  <c r="F131" i="8"/>
  <c r="G131" i="8"/>
  <c r="C132" i="8"/>
  <c r="B132" i="8" s="1" a="1"/>
  <c r="B132" i="8" s="1"/>
  <c r="D132" i="8"/>
  <c r="E132" i="8"/>
  <c r="F132" i="8"/>
  <c r="G132" i="8"/>
  <c r="C133" i="8"/>
  <c r="B133" i="8" s="1" a="1"/>
  <c r="B133" i="8" s="1"/>
  <c r="D133" i="8"/>
  <c r="E133" i="8"/>
  <c r="F133" i="8"/>
  <c r="G133" i="8"/>
  <c r="C134" i="8"/>
  <c r="B134" i="8" s="1" a="1"/>
  <c r="B134" i="8" s="1"/>
  <c r="D134" i="8"/>
  <c r="E134" i="8"/>
  <c r="F134" i="8"/>
  <c r="G134" i="8"/>
  <c r="C135" i="8"/>
  <c r="B135" i="8" s="1" a="1"/>
  <c r="B135" i="8" s="1"/>
  <c r="D135" i="8"/>
  <c r="E135" i="8"/>
  <c r="F135" i="8"/>
  <c r="G135" i="8"/>
  <c r="C136" i="8"/>
  <c r="B136" i="8" s="1" a="1"/>
  <c r="B136" i="8" s="1"/>
  <c r="D136" i="8"/>
  <c r="E136" i="8"/>
  <c r="F136" i="8"/>
  <c r="G136" i="8"/>
  <c r="C137" i="8"/>
  <c r="B137" i="8" s="1" a="1"/>
  <c r="B137" i="8" s="1"/>
  <c r="D137" i="8"/>
  <c r="E137" i="8"/>
  <c r="F137" i="8"/>
  <c r="G137" i="8"/>
  <c r="C138" i="8"/>
  <c r="B138" i="8" s="1" a="1"/>
  <c r="B138" i="8" s="1"/>
  <c r="D138" i="8"/>
  <c r="E138" i="8"/>
  <c r="F138" i="8"/>
  <c r="G138" i="8"/>
  <c r="C139" i="8"/>
  <c r="B139" i="8" s="1" a="1"/>
  <c r="B139" i="8" s="1"/>
  <c r="D139" i="8"/>
  <c r="E139" i="8"/>
  <c r="F139" i="8"/>
  <c r="G139" i="8"/>
  <c r="C140" i="8"/>
  <c r="B140" i="8" s="1" a="1"/>
  <c r="B140" i="8" s="1"/>
  <c r="D140" i="8"/>
  <c r="E140" i="8"/>
  <c r="F140" i="8"/>
  <c r="G140" i="8"/>
  <c r="C141" i="8"/>
  <c r="B141" i="8" s="1" a="1"/>
  <c r="B141" i="8" s="1"/>
  <c r="D141" i="8"/>
  <c r="E141" i="8"/>
  <c r="F141" i="8"/>
  <c r="G141" i="8"/>
  <c r="C142" i="8"/>
  <c r="B142" i="8" s="1" a="1"/>
  <c r="B142" i="8" s="1"/>
  <c r="D142" i="8"/>
  <c r="E142" i="8"/>
  <c r="F142" i="8"/>
  <c r="G142" i="8"/>
  <c r="C143" i="8"/>
  <c r="B143" i="8" s="1" a="1"/>
  <c r="B143" i="8" s="1"/>
  <c r="D143" i="8"/>
  <c r="E143" i="8"/>
  <c r="F143" i="8"/>
  <c r="G143" i="8"/>
  <c r="C144" i="8"/>
  <c r="B144" i="8" s="1" a="1"/>
  <c r="B144" i="8" s="1"/>
  <c r="D144" i="8"/>
  <c r="E144" i="8"/>
  <c r="F144" i="8"/>
  <c r="G144" i="8"/>
  <c r="C145" i="8"/>
  <c r="B145" i="8" s="1" a="1"/>
  <c r="B145" i="8" s="1"/>
  <c r="D145" i="8"/>
  <c r="E145" i="8"/>
  <c r="F145" i="8"/>
  <c r="G145" i="8"/>
  <c r="C146" i="8"/>
  <c r="B146" i="8" s="1" a="1"/>
  <c r="B146" i="8" s="1"/>
  <c r="D146" i="8"/>
  <c r="E146" i="8"/>
  <c r="F146" i="8"/>
  <c r="G146" i="8"/>
  <c r="C147" i="8"/>
  <c r="B147" i="8" s="1" a="1"/>
  <c r="B147" i="8" s="1"/>
  <c r="D147" i="8"/>
  <c r="E147" i="8"/>
  <c r="F147" i="8"/>
  <c r="G147" i="8"/>
  <c r="C148" i="8"/>
  <c r="B148" i="8" s="1" a="1"/>
  <c r="B148" i="8" s="1"/>
  <c r="D148" i="8"/>
  <c r="E148" i="8"/>
  <c r="F148" i="8"/>
  <c r="G148" i="8"/>
  <c r="C149" i="8"/>
  <c r="B149" i="8" s="1" a="1"/>
  <c r="B149" i="8" s="1"/>
  <c r="D149" i="8"/>
  <c r="E149" i="8"/>
  <c r="F149" i="8"/>
  <c r="G149" i="8"/>
  <c r="C150" i="8"/>
  <c r="B150" i="8" s="1" a="1"/>
  <c r="B150" i="8" s="1"/>
  <c r="D150" i="8"/>
  <c r="E150" i="8"/>
  <c r="F150" i="8"/>
  <c r="G150" i="8"/>
  <c r="C151" i="8"/>
  <c r="B151" i="8" s="1" a="1"/>
  <c r="B151" i="8" s="1"/>
  <c r="D151" i="8"/>
  <c r="E151" i="8"/>
  <c r="F151" i="8"/>
  <c r="G151" i="8"/>
  <c r="C152" i="8"/>
  <c r="B152" i="8" s="1" a="1"/>
  <c r="B152" i="8" s="1"/>
  <c r="D152" i="8"/>
  <c r="E152" i="8"/>
  <c r="F152" i="8"/>
  <c r="G152" i="8"/>
  <c r="C153" i="8"/>
  <c r="B153" i="8" s="1" a="1"/>
  <c r="B153" i="8" s="1"/>
  <c r="D153" i="8"/>
  <c r="E153" i="8"/>
  <c r="F153" i="8"/>
  <c r="G153" i="8"/>
  <c r="C154" i="8"/>
  <c r="B154" i="8" s="1" a="1"/>
  <c r="B154" i="8" s="1"/>
  <c r="D154" i="8"/>
  <c r="E154" i="8"/>
  <c r="F154" i="8"/>
  <c r="G154" i="8"/>
  <c r="C155" i="8"/>
  <c r="B155" i="8" s="1" a="1"/>
  <c r="B155" i="8" s="1"/>
  <c r="D155" i="8"/>
  <c r="E155" i="8"/>
  <c r="F155" i="8"/>
  <c r="G155" i="8"/>
  <c r="C156" i="8"/>
  <c r="B156" i="8" s="1" a="1"/>
  <c r="B156" i="8" s="1"/>
  <c r="D156" i="8"/>
  <c r="E156" i="8"/>
  <c r="F156" i="8"/>
  <c r="G156" i="8"/>
  <c r="C157" i="8"/>
  <c r="B157" i="8" s="1" a="1"/>
  <c r="B157" i="8" s="1"/>
  <c r="D157" i="8"/>
  <c r="E157" i="8"/>
  <c r="F157" i="8"/>
  <c r="G157" i="8"/>
  <c r="C158" i="8"/>
  <c r="B158" i="8" s="1" a="1"/>
  <c r="B158" i="8" s="1"/>
  <c r="D158" i="8"/>
  <c r="E158" i="8"/>
  <c r="F158" i="8"/>
  <c r="G158" i="8"/>
  <c r="C159" i="8"/>
  <c r="B159" i="8" s="1" a="1"/>
  <c r="B159" i="8" s="1"/>
  <c r="D159" i="8"/>
  <c r="E159" i="8"/>
  <c r="F159" i="8"/>
  <c r="G159" i="8"/>
  <c r="C160" i="8"/>
  <c r="B160" i="8" s="1" a="1"/>
  <c r="B160" i="8" s="1"/>
  <c r="D160" i="8"/>
  <c r="E160" i="8"/>
  <c r="F160" i="8"/>
  <c r="G160" i="8"/>
  <c r="C161" i="8"/>
  <c r="B161" i="8" s="1" a="1"/>
  <c r="B161" i="8" s="1"/>
  <c r="D161" i="8"/>
  <c r="E161" i="8"/>
  <c r="F161" i="8"/>
  <c r="G161" i="8"/>
  <c r="C162" i="8"/>
  <c r="B162" i="8" s="1" a="1"/>
  <c r="B162" i="8" s="1"/>
  <c r="D162" i="8"/>
  <c r="E162" i="8"/>
  <c r="F162" i="8"/>
  <c r="G162" i="8"/>
  <c r="C163" i="8"/>
  <c r="B163" i="8" s="1" a="1"/>
  <c r="B163" i="8" s="1"/>
  <c r="D163" i="8"/>
  <c r="E163" i="8"/>
  <c r="F163" i="8"/>
  <c r="G163" i="8"/>
  <c r="C164" i="8"/>
  <c r="B164" i="8" s="1" a="1"/>
  <c r="B164" i="8" s="1"/>
  <c r="D164" i="8"/>
  <c r="E164" i="8"/>
  <c r="F164" i="8"/>
  <c r="G164" i="8"/>
  <c r="C165" i="8"/>
  <c r="B165" i="8" s="1" a="1"/>
  <c r="B165" i="8" s="1"/>
  <c r="D165" i="8"/>
  <c r="E165" i="8"/>
  <c r="F165" i="8"/>
  <c r="G165" i="8"/>
  <c r="C166" i="8"/>
  <c r="B166" i="8" s="1" a="1"/>
  <c r="B166" i="8" s="1"/>
  <c r="D166" i="8"/>
  <c r="E166" i="8"/>
  <c r="F166" i="8"/>
  <c r="G166" i="8"/>
  <c r="C167" i="8"/>
  <c r="B167" i="8" s="1" a="1"/>
  <c r="B167" i="8" s="1"/>
  <c r="D167" i="8"/>
  <c r="E167" i="8"/>
  <c r="F167" i="8"/>
  <c r="G167" i="8"/>
  <c r="C168" i="8"/>
  <c r="B168" i="8" s="1" a="1"/>
  <c r="B168" i="8" s="1"/>
  <c r="D168" i="8"/>
  <c r="E168" i="8"/>
  <c r="F168" i="8"/>
  <c r="G168" i="8"/>
  <c r="C169" i="8"/>
  <c r="B169" i="8" s="1" a="1"/>
  <c r="B169" i="8" s="1"/>
  <c r="D169" i="8"/>
  <c r="E169" i="8"/>
  <c r="F169" i="8"/>
  <c r="G169" i="8"/>
  <c r="C170" i="8"/>
  <c r="B170" i="8" s="1" a="1"/>
  <c r="B170" i="8" s="1"/>
  <c r="D170" i="8"/>
  <c r="E170" i="8"/>
  <c r="F170" i="8"/>
  <c r="G170" i="8"/>
  <c r="C171" i="8"/>
  <c r="B171" i="8" s="1" a="1"/>
  <c r="B171" i="8" s="1"/>
  <c r="D171" i="8"/>
  <c r="E171" i="8"/>
  <c r="F171" i="8"/>
  <c r="G171" i="8"/>
  <c r="C172" i="8"/>
  <c r="B172" i="8" s="1" a="1"/>
  <c r="B172" i="8" s="1"/>
  <c r="D172" i="8"/>
  <c r="E172" i="8"/>
  <c r="F172" i="8"/>
  <c r="G172" i="8"/>
  <c r="C173" i="8"/>
  <c r="B173" i="8" s="1" a="1"/>
  <c r="B173" i="8" s="1"/>
  <c r="D173" i="8"/>
  <c r="E173" i="8"/>
  <c r="F173" i="8"/>
  <c r="G173" i="8"/>
  <c r="C174" i="8"/>
  <c r="B174" i="8" s="1" a="1"/>
  <c r="B174" i="8" s="1"/>
  <c r="D174" i="8"/>
  <c r="E174" i="8"/>
  <c r="F174" i="8"/>
  <c r="G174" i="8"/>
  <c r="C175" i="8"/>
  <c r="B175" i="8" s="1" a="1"/>
  <c r="B175" i="8" s="1"/>
  <c r="D175" i="8"/>
  <c r="E175" i="8"/>
  <c r="F175" i="8"/>
  <c r="G175" i="8"/>
  <c r="C176" i="8"/>
  <c r="B176" i="8" s="1" a="1"/>
  <c r="B176" i="8" s="1"/>
  <c r="D176" i="8"/>
  <c r="E176" i="8"/>
  <c r="F176" i="8"/>
  <c r="G176" i="8"/>
  <c r="C177" i="8"/>
  <c r="B177" i="8" s="1" a="1"/>
  <c r="B177" i="8" s="1"/>
  <c r="D177" i="8"/>
  <c r="E177" i="8"/>
  <c r="F177" i="8"/>
  <c r="G177" i="8"/>
  <c r="C178" i="8"/>
  <c r="B178" i="8" s="1" a="1"/>
  <c r="B178" i="8" s="1"/>
  <c r="D178" i="8"/>
  <c r="E178" i="8"/>
  <c r="F178" i="8"/>
  <c r="G178" i="8"/>
  <c r="C179" i="8"/>
  <c r="B179" i="8" s="1" a="1"/>
  <c r="B179" i="8" s="1"/>
  <c r="D179" i="8"/>
  <c r="E179" i="8"/>
  <c r="F179" i="8"/>
  <c r="G179" i="8"/>
  <c r="C180" i="8"/>
  <c r="B180" i="8" s="1" a="1"/>
  <c r="B180" i="8" s="1"/>
  <c r="D180" i="8"/>
  <c r="E180" i="8"/>
  <c r="F180" i="8"/>
  <c r="G180" i="8"/>
  <c r="C181" i="8"/>
  <c r="B181" i="8" s="1" a="1"/>
  <c r="B181" i="8" s="1"/>
  <c r="D181" i="8"/>
  <c r="E181" i="8"/>
  <c r="F181" i="8"/>
  <c r="G181" i="8"/>
  <c r="C182" i="8"/>
  <c r="B182" i="8" s="1" a="1"/>
  <c r="B182" i="8" s="1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C185" i="8"/>
  <c r="B185" i="8" s="1" a="1"/>
  <c r="B185" i="8" s="1"/>
  <c r="D185" i="8"/>
  <c r="E185" i="8"/>
  <c r="F185" i="8"/>
  <c r="G185" i="8"/>
  <c r="C186" i="8"/>
  <c r="B186" i="8" s="1" a="1"/>
  <c r="B186" i="8" s="1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C189" i="8"/>
  <c r="B189" i="8" s="1" a="1"/>
  <c r="B189" i="8" s="1"/>
  <c r="D189" i="8"/>
  <c r="E189" i="8"/>
  <c r="F189" i="8"/>
  <c r="G189" i="8"/>
  <c r="C190" i="8"/>
  <c r="B190" i="8" s="1" a="1"/>
  <c r="B190" i="8" s="1"/>
  <c r="D190" i="8"/>
  <c r="E190" i="8"/>
  <c r="F190" i="8"/>
  <c r="G190" i="8"/>
  <c r="C191" i="8"/>
  <c r="B191" i="8" s="1" a="1"/>
  <c r="B191" i="8" s="1"/>
  <c r="D191" i="8"/>
  <c r="E191" i="8"/>
  <c r="F191" i="8"/>
  <c r="G191" i="8"/>
  <c r="C192" i="8"/>
  <c r="B192" i="8" s="1" a="1"/>
  <c r="B192" i="8" s="1"/>
  <c r="D192" i="8"/>
  <c r="E192" i="8"/>
  <c r="F192" i="8"/>
  <c r="G192" i="8"/>
  <c r="C193" i="8"/>
  <c r="B193" i="8" s="1" a="1"/>
  <c r="B193" i="8" s="1"/>
  <c r="D193" i="8"/>
  <c r="E193" i="8"/>
  <c r="F193" i="8"/>
  <c r="G193" i="8"/>
  <c r="C194" i="8"/>
  <c r="B194" i="8" s="1" a="1"/>
  <c r="B194" i="8" s="1"/>
  <c r="D194" i="8"/>
  <c r="E194" i="8"/>
  <c r="F194" i="8"/>
  <c r="G194" i="8"/>
  <c r="C195" i="8"/>
  <c r="B195" i="8" s="1" a="1"/>
  <c r="B195" i="8" s="1"/>
  <c r="D195" i="8"/>
  <c r="E195" i="8"/>
  <c r="F195" i="8"/>
  <c r="G195" i="8"/>
  <c r="C196" i="8"/>
  <c r="B196" i="8" s="1" a="1"/>
  <c r="B196" i="8" s="1"/>
  <c r="D196" i="8"/>
  <c r="E196" i="8"/>
  <c r="F196" i="8"/>
  <c r="G196" i="8"/>
  <c r="C197" i="8"/>
  <c r="B197" i="8" s="1" a="1"/>
  <c r="B197" i="8" s="1"/>
  <c r="D197" i="8"/>
  <c r="E197" i="8"/>
  <c r="F197" i="8"/>
  <c r="G197" i="8"/>
  <c r="C198" i="8"/>
  <c r="B198" i="8" s="1" a="1"/>
  <c r="B198" i="8" s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C5" i="8"/>
  <c r="B5" i="8" s="1" a="1"/>
  <c r="B5" i="8" s="1"/>
  <c r="D5" i="8"/>
  <c r="C2" i="13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AT9" i="18"/>
  <c r="C3" i="8"/>
  <c r="C4" i="8"/>
  <c r="E26" i="8" l="1"/>
  <c r="B2" i="15"/>
  <c r="H127" i="14"/>
  <c r="G127" i="14"/>
  <c r="B3" i="19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A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4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5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6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A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7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8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A8" i="19"/>
  <c r="BB8" i="19"/>
  <c r="BC8" i="19"/>
  <c r="BD8" i="19"/>
  <c r="BE8" i="19"/>
  <c r="BF8" i="19"/>
  <c r="BG8" i="19"/>
  <c r="BH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9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10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11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12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13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14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15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A15" i="19"/>
  <c r="BB15" i="19"/>
  <c r="BC15" i="19"/>
  <c r="BD15" i="19"/>
  <c r="BE15" i="19"/>
  <c r="BF15" i="19"/>
  <c r="BG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16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17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18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19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20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21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22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23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24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25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26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27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28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29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30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31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32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33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34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35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36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37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38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39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40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41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42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43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44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45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46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47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48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49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50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51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52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53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54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55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56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57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58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59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60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61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62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63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64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65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66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67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68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69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70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71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72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73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74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75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76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77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78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79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80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81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82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83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84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85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86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87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88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89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90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91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92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93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94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95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96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97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98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99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100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101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102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103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104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105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106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107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108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109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110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111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112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113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114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115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116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117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118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119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120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H120" i="14" s="1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121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122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123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124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125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126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B2" i="19"/>
  <c r="B3" i="18"/>
  <c r="C3" i="18"/>
  <c r="D3" i="18"/>
  <c r="E3" i="18"/>
  <c r="F3" i="18"/>
  <c r="G3" i="18"/>
  <c r="H3" i="18"/>
  <c r="I3" i="18"/>
  <c r="J3" i="18"/>
  <c r="K3" i="18"/>
  <c r="L3" i="18"/>
  <c r="M3" i="18"/>
  <c r="N3" i="18"/>
  <c r="O3" i="18"/>
  <c r="P3" i="18"/>
  <c r="Q3" i="18"/>
  <c r="R3" i="18"/>
  <c r="S3" i="18"/>
  <c r="T3" i="18"/>
  <c r="U3" i="18"/>
  <c r="V3" i="18"/>
  <c r="W3" i="18"/>
  <c r="X3" i="18"/>
  <c r="Y3" i="18"/>
  <c r="Z3" i="18"/>
  <c r="AA3" i="18"/>
  <c r="AB3" i="18"/>
  <c r="AC3" i="18"/>
  <c r="AD3" i="18"/>
  <c r="AE3" i="18"/>
  <c r="AF3" i="18"/>
  <c r="AG3" i="18"/>
  <c r="AH3" i="18"/>
  <c r="AI3" i="18"/>
  <c r="AJ3" i="18"/>
  <c r="AK3" i="18"/>
  <c r="AL3" i="18"/>
  <c r="AM3" i="18"/>
  <c r="AN3" i="18"/>
  <c r="AO3" i="18"/>
  <c r="AP3" i="18"/>
  <c r="AQ3" i="18"/>
  <c r="AR3" i="18"/>
  <c r="AS3" i="18"/>
  <c r="AT3" i="18"/>
  <c r="AU3" i="18"/>
  <c r="AV3" i="18"/>
  <c r="AW3" i="18"/>
  <c r="AX3" i="18"/>
  <c r="AY3" i="18"/>
  <c r="AZ3" i="18"/>
  <c r="BA3" i="18"/>
  <c r="BB3" i="18"/>
  <c r="BC3" i="18"/>
  <c r="BD3" i="18"/>
  <c r="BE3" i="18"/>
  <c r="BF3" i="18"/>
  <c r="BG3" i="18"/>
  <c r="BH3" i="18"/>
  <c r="BI3" i="18"/>
  <c r="BJ3" i="18"/>
  <c r="BK3" i="18"/>
  <c r="BL3" i="18"/>
  <c r="BM3" i="18"/>
  <c r="BN3" i="18"/>
  <c r="BO3" i="18"/>
  <c r="BP3" i="18"/>
  <c r="BQ3" i="18"/>
  <c r="BR3" i="18"/>
  <c r="BS3" i="18"/>
  <c r="BT3" i="18"/>
  <c r="B4" i="18"/>
  <c r="C4" i="18"/>
  <c r="D4" i="18"/>
  <c r="E4" i="18"/>
  <c r="F4" i="18"/>
  <c r="G4" i="18"/>
  <c r="H4" i="18"/>
  <c r="I4" i="18"/>
  <c r="J4" i="18"/>
  <c r="K4" i="18"/>
  <c r="L4" i="18"/>
  <c r="M4" i="18"/>
  <c r="N4" i="18"/>
  <c r="O4" i="18"/>
  <c r="P4" i="18"/>
  <c r="Q4" i="18"/>
  <c r="R4" i="18"/>
  <c r="S4" i="18"/>
  <c r="T4" i="18"/>
  <c r="U4" i="18"/>
  <c r="V4" i="18"/>
  <c r="W4" i="18"/>
  <c r="X4" i="18"/>
  <c r="Y4" i="18"/>
  <c r="Z4" i="18"/>
  <c r="AA4" i="18"/>
  <c r="AB4" i="18"/>
  <c r="AC4" i="18"/>
  <c r="AD4" i="18"/>
  <c r="AE4" i="18"/>
  <c r="AF4" i="18"/>
  <c r="AG4" i="18"/>
  <c r="AH4" i="18"/>
  <c r="AI4" i="18"/>
  <c r="AJ4" i="18"/>
  <c r="AK4" i="18"/>
  <c r="AL4" i="18"/>
  <c r="AM4" i="18"/>
  <c r="AN4" i="18"/>
  <c r="AO4" i="18"/>
  <c r="AP4" i="18"/>
  <c r="AQ4" i="18"/>
  <c r="AR4" i="18"/>
  <c r="AS4" i="18"/>
  <c r="AT4" i="18"/>
  <c r="AU4" i="18"/>
  <c r="AV4" i="18"/>
  <c r="AW4" i="18"/>
  <c r="AX4" i="18"/>
  <c r="AY4" i="18"/>
  <c r="AZ4" i="18"/>
  <c r="BA4" i="18"/>
  <c r="BB4" i="18"/>
  <c r="BC4" i="18"/>
  <c r="BD4" i="18"/>
  <c r="BE4" i="18"/>
  <c r="BF4" i="18"/>
  <c r="BG4" i="18"/>
  <c r="BH4" i="18"/>
  <c r="BI4" i="18"/>
  <c r="BJ4" i="18"/>
  <c r="BK4" i="18"/>
  <c r="BL4" i="18"/>
  <c r="BM4" i="18"/>
  <c r="BN4" i="18"/>
  <c r="BO4" i="18"/>
  <c r="BP4" i="18"/>
  <c r="BQ4" i="18"/>
  <c r="BR4" i="18"/>
  <c r="BS4" i="18"/>
  <c r="BT4" i="18"/>
  <c r="B5" i="18"/>
  <c r="C5" i="18"/>
  <c r="D5" i="18"/>
  <c r="E5" i="18"/>
  <c r="F5" i="18"/>
  <c r="G5" i="18"/>
  <c r="H5" i="18"/>
  <c r="I5" i="18"/>
  <c r="J5" i="18"/>
  <c r="K5" i="18"/>
  <c r="L5" i="18"/>
  <c r="M5" i="18"/>
  <c r="N5" i="18"/>
  <c r="O5" i="18"/>
  <c r="P5" i="18"/>
  <c r="Q5" i="18"/>
  <c r="R5" i="18"/>
  <c r="S5" i="18"/>
  <c r="T5" i="18"/>
  <c r="U5" i="18"/>
  <c r="V5" i="18"/>
  <c r="W5" i="18"/>
  <c r="X5" i="18"/>
  <c r="Y5" i="18"/>
  <c r="Z5" i="18"/>
  <c r="AA5" i="18"/>
  <c r="AB5" i="18"/>
  <c r="AC5" i="18"/>
  <c r="AD5" i="18"/>
  <c r="AE5" i="18"/>
  <c r="AF5" i="18"/>
  <c r="AG5" i="18"/>
  <c r="AH5" i="18"/>
  <c r="AI5" i="18"/>
  <c r="AJ5" i="18"/>
  <c r="AK5" i="18"/>
  <c r="AL5" i="18"/>
  <c r="AM5" i="18"/>
  <c r="AN5" i="18"/>
  <c r="AO5" i="18"/>
  <c r="AP5" i="18"/>
  <c r="AQ5" i="18"/>
  <c r="AR5" i="18"/>
  <c r="AS5" i="18"/>
  <c r="AT5" i="18"/>
  <c r="AU5" i="18"/>
  <c r="AV5" i="18"/>
  <c r="AW5" i="18"/>
  <c r="AX5" i="18"/>
  <c r="AY5" i="18"/>
  <c r="AZ5" i="18"/>
  <c r="BA5" i="18"/>
  <c r="BB5" i="18"/>
  <c r="BC5" i="18"/>
  <c r="BD5" i="18"/>
  <c r="BE5" i="18"/>
  <c r="BF5" i="18"/>
  <c r="BG5" i="18"/>
  <c r="BH5" i="18"/>
  <c r="BI5" i="18"/>
  <c r="BJ5" i="18"/>
  <c r="BK5" i="18"/>
  <c r="BL5" i="18"/>
  <c r="BM5" i="18"/>
  <c r="BN5" i="18"/>
  <c r="BO5" i="18"/>
  <c r="BP5" i="18"/>
  <c r="BQ5" i="18"/>
  <c r="BR5" i="18"/>
  <c r="BS5" i="18"/>
  <c r="BT5" i="18"/>
  <c r="B6" i="18"/>
  <c r="C6" i="18"/>
  <c r="D6" i="18"/>
  <c r="E6" i="18"/>
  <c r="F6" i="18"/>
  <c r="G6" i="18"/>
  <c r="H6" i="18"/>
  <c r="I6" i="18"/>
  <c r="J6" i="18"/>
  <c r="K6" i="18"/>
  <c r="L6" i="18"/>
  <c r="M6" i="18"/>
  <c r="N6" i="18"/>
  <c r="O6" i="18"/>
  <c r="P6" i="18"/>
  <c r="Q6" i="18"/>
  <c r="R6" i="18"/>
  <c r="S6" i="18"/>
  <c r="T6" i="18"/>
  <c r="U6" i="18"/>
  <c r="V6" i="18"/>
  <c r="W6" i="18"/>
  <c r="X6" i="18"/>
  <c r="Y6" i="18"/>
  <c r="Z6" i="18"/>
  <c r="AA6" i="18"/>
  <c r="AB6" i="18"/>
  <c r="AC6" i="18"/>
  <c r="AD6" i="18"/>
  <c r="AE6" i="18"/>
  <c r="AF6" i="18"/>
  <c r="AG6" i="18"/>
  <c r="AH6" i="18"/>
  <c r="AI6" i="18"/>
  <c r="AJ6" i="18"/>
  <c r="AK6" i="18"/>
  <c r="AL6" i="18"/>
  <c r="AM6" i="18"/>
  <c r="AN6" i="18"/>
  <c r="AO6" i="18"/>
  <c r="AP6" i="18"/>
  <c r="AQ6" i="18"/>
  <c r="AR6" i="18"/>
  <c r="AS6" i="18"/>
  <c r="AT6" i="18"/>
  <c r="AU6" i="18"/>
  <c r="AV6" i="18"/>
  <c r="AW6" i="18"/>
  <c r="AX6" i="18"/>
  <c r="AY6" i="18"/>
  <c r="AZ6" i="18"/>
  <c r="BA6" i="18"/>
  <c r="BB6" i="18"/>
  <c r="BC6" i="18"/>
  <c r="BD6" i="18"/>
  <c r="BE6" i="18"/>
  <c r="BF6" i="18"/>
  <c r="BG6" i="18"/>
  <c r="BH6" i="18"/>
  <c r="BI6" i="18"/>
  <c r="BJ6" i="18"/>
  <c r="BK6" i="18"/>
  <c r="BL6" i="18"/>
  <c r="BM6" i="18"/>
  <c r="BN6" i="18"/>
  <c r="BO6" i="18"/>
  <c r="BP6" i="18"/>
  <c r="BQ6" i="18"/>
  <c r="BR6" i="18"/>
  <c r="BS6" i="18"/>
  <c r="BT6" i="18"/>
  <c r="B7" i="18"/>
  <c r="C7" i="18"/>
  <c r="D7" i="18"/>
  <c r="E7" i="18"/>
  <c r="F7" i="18"/>
  <c r="G7" i="18"/>
  <c r="H7" i="18"/>
  <c r="I7" i="18"/>
  <c r="J7" i="18"/>
  <c r="K7" i="18"/>
  <c r="L7" i="18"/>
  <c r="M7" i="18"/>
  <c r="N7" i="18"/>
  <c r="O7" i="18"/>
  <c r="P7" i="18"/>
  <c r="Q7" i="18"/>
  <c r="R7" i="18"/>
  <c r="S7" i="18"/>
  <c r="T7" i="18"/>
  <c r="U7" i="18"/>
  <c r="V7" i="18"/>
  <c r="W7" i="18"/>
  <c r="X7" i="18"/>
  <c r="Y7" i="18"/>
  <c r="Z7" i="18"/>
  <c r="AA7" i="18"/>
  <c r="AB7" i="18"/>
  <c r="AC7" i="18"/>
  <c r="AD7" i="18"/>
  <c r="AE7" i="18"/>
  <c r="AF7" i="18"/>
  <c r="AG7" i="18"/>
  <c r="AH7" i="18"/>
  <c r="AI7" i="18"/>
  <c r="AJ7" i="18"/>
  <c r="AK7" i="18"/>
  <c r="AL7" i="18"/>
  <c r="AM7" i="18"/>
  <c r="AN7" i="18"/>
  <c r="AO7" i="18"/>
  <c r="AP7" i="18"/>
  <c r="AQ7" i="18"/>
  <c r="AR7" i="18"/>
  <c r="AS7" i="18"/>
  <c r="AT7" i="18"/>
  <c r="AU7" i="18"/>
  <c r="AV7" i="18"/>
  <c r="AW7" i="18"/>
  <c r="AX7" i="18"/>
  <c r="AY7" i="18"/>
  <c r="AZ7" i="18"/>
  <c r="BA7" i="18"/>
  <c r="BB7" i="18"/>
  <c r="BC7" i="18"/>
  <c r="BD7" i="18"/>
  <c r="BE7" i="18"/>
  <c r="BF7" i="18"/>
  <c r="BG7" i="18"/>
  <c r="BH7" i="18"/>
  <c r="BI7" i="18"/>
  <c r="BJ7" i="18"/>
  <c r="BK7" i="18"/>
  <c r="BL7" i="18"/>
  <c r="BM7" i="18"/>
  <c r="BN7" i="18"/>
  <c r="BO7" i="18"/>
  <c r="BP7" i="18"/>
  <c r="BQ7" i="18"/>
  <c r="BR7" i="18"/>
  <c r="BS7" i="18"/>
  <c r="BT7" i="18"/>
  <c r="B8" i="18"/>
  <c r="C8" i="18"/>
  <c r="D8" i="18"/>
  <c r="E8" i="18"/>
  <c r="F8" i="18"/>
  <c r="G8" i="18"/>
  <c r="H8" i="18"/>
  <c r="I8" i="18"/>
  <c r="J8" i="18"/>
  <c r="K8" i="18"/>
  <c r="L8" i="18"/>
  <c r="M8" i="18"/>
  <c r="N8" i="18"/>
  <c r="O8" i="18"/>
  <c r="P8" i="18"/>
  <c r="Q8" i="18"/>
  <c r="R8" i="18"/>
  <c r="S8" i="18"/>
  <c r="T8" i="18"/>
  <c r="U8" i="18"/>
  <c r="V8" i="18"/>
  <c r="W8" i="18"/>
  <c r="X8" i="18"/>
  <c r="Y8" i="18"/>
  <c r="Z8" i="18"/>
  <c r="AA8" i="18"/>
  <c r="AB8" i="18"/>
  <c r="AC8" i="18"/>
  <c r="AD8" i="18"/>
  <c r="AE8" i="18"/>
  <c r="AF8" i="18"/>
  <c r="AG8" i="18"/>
  <c r="AH8" i="18"/>
  <c r="AI8" i="18"/>
  <c r="AJ8" i="18"/>
  <c r="AK8" i="18"/>
  <c r="AL8" i="18"/>
  <c r="AM8" i="18"/>
  <c r="AN8" i="18"/>
  <c r="AO8" i="18"/>
  <c r="AP8" i="18"/>
  <c r="AQ8" i="18"/>
  <c r="AR8" i="18"/>
  <c r="AS8" i="18"/>
  <c r="AT8" i="18"/>
  <c r="AU8" i="18"/>
  <c r="AV8" i="18"/>
  <c r="AW8" i="18"/>
  <c r="AX8" i="18"/>
  <c r="AY8" i="18"/>
  <c r="AZ8" i="18"/>
  <c r="BA8" i="18"/>
  <c r="BB8" i="18"/>
  <c r="BC8" i="18"/>
  <c r="BD8" i="18"/>
  <c r="BE8" i="18"/>
  <c r="BF8" i="18"/>
  <c r="BG8" i="18"/>
  <c r="BH8" i="18"/>
  <c r="BI8" i="18"/>
  <c r="BJ8" i="18"/>
  <c r="BK8" i="18"/>
  <c r="BL8" i="18"/>
  <c r="BM8" i="18"/>
  <c r="BN8" i="18"/>
  <c r="BO8" i="18"/>
  <c r="BP8" i="18"/>
  <c r="BQ8" i="18"/>
  <c r="BR8" i="18"/>
  <c r="BS8" i="18"/>
  <c r="BT8" i="18"/>
  <c r="B9" i="18"/>
  <c r="C9" i="18"/>
  <c r="D9" i="18"/>
  <c r="E9" i="18"/>
  <c r="F9" i="18"/>
  <c r="G9" i="18"/>
  <c r="H9" i="18"/>
  <c r="I9" i="18"/>
  <c r="J9" i="18"/>
  <c r="K9" i="18"/>
  <c r="L9" i="18"/>
  <c r="M9" i="18"/>
  <c r="N9" i="18"/>
  <c r="O9" i="18"/>
  <c r="P9" i="18"/>
  <c r="Q9" i="18"/>
  <c r="R9" i="18"/>
  <c r="S9" i="18"/>
  <c r="T9" i="18"/>
  <c r="U9" i="18"/>
  <c r="V9" i="18"/>
  <c r="W9" i="18"/>
  <c r="X9" i="18"/>
  <c r="Y9" i="18"/>
  <c r="Z9" i="18"/>
  <c r="AA9" i="18"/>
  <c r="AB9" i="18"/>
  <c r="AC9" i="18"/>
  <c r="AD9" i="18"/>
  <c r="AE9" i="18"/>
  <c r="AF9" i="18"/>
  <c r="AG9" i="18"/>
  <c r="AH9" i="18"/>
  <c r="AI9" i="18"/>
  <c r="AJ9" i="18"/>
  <c r="AK9" i="18"/>
  <c r="AL9" i="18"/>
  <c r="AM9" i="18"/>
  <c r="AN9" i="18"/>
  <c r="AO9" i="18"/>
  <c r="AP9" i="18"/>
  <c r="AQ9" i="18"/>
  <c r="AR9" i="18"/>
  <c r="AS9" i="18"/>
  <c r="AU9" i="18"/>
  <c r="AV9" i="18"/>
  <c r="AW9" i="18"/>
  <c r="AX9" i="18"/>
  <c r="AY9" i="18"/>
  <c r="AZ9" i="18"/>
  <c r="BA9" i="18"/>
  <c r="BB9" i="18"/>
  <c r="BC9" i="18"/>
  <c r="BD9" i="18"/>
  <c r="BE9" i="18"/>
  <c r="BF9" i="18"/>
  <c r="BG9" i="18"/>
  <c r="BH9" i="18"/>
  <c r="BI9" i="18"/>
  <c r="BJ9" i="18"/>
  <c r="BK9" i="18"/>
  <c r="BL9" i="18"/>
  <c r="BM9" i="18"/>
  <c r="BN9" i="18"/>
  <c r="BO9" i="18"/>
  <c r="BP9" i="18"/>
  <c r="BQ9" i="18"/>
  <c r="BR9" i="18"/>
  <c r="BS9" i="18"/>
  <c r="BT9" i="18"/>
  <c r="B10" i="18"/>
  <c r="C10" i="18"/>
  <c r="D10" i="18"/>
  <c r="E10" i="18"/>
  <c r="F10" i="18"/>
  <c r="G10" i="18"/>
  <c r="H10" i="18"/>
  <c r="I10" i="18"/>
  <c r="J10" i="18"/>
  <c r="K10" i="18"/>
  <c r="L10" i="18"/>
  <c r="M10" i="18"/>
  <c r="N10" i="18"/>
  <c r="O10" i="18"/>
  <c r="P10" i="18"/>
  <c r="Q10" i="18"/>
  <c r="R10" i="18"/>
  <c r="S10" i="18"/>
  <c r="T10" i="18"/>
  <c r="U10" i="18"/>
  <c r="V10" i="18"/>
  <c r="W10" i="18"/>
  <c r="X10" i="18"/>
  <c r="Y10" i="18"/>
  <c r="Z10" i="18"/>
  <c r="AA10" i="18"/>
  <c r="AB10" i="18"/>
  <c r="AC10" i="18"/>
  <c r="AD10" i="18"/>
  <c r="AE10" i="18"/>
  <c r="AF10" i="18"/>
  <c r="AG10" i="18"/>
  <c r="AH10" i="18"/>
  <c r="AI10" i="18"/>
  <c r="AJ10" i="18"/>
  <c r="AK10" i="18"/>
  <c r="AL10" i="18"/>
  <c r="AM10" i="18"/>
  <c r="AN10" i="18"/>
  <c r="AO10" i="18"/>
  <c r="AP10" i="18"/>
  <c r="AQ10" i="18"/>
  <c r="AR10" i="18"/>
  <c r="AS10" i="18"/>
  <c r="AT10" i="18"/>
  <c r="AU10" i="18"/>
  <c r="AV10" i="18"/>
  <c r="AW10" i="18"/>
  <c r="AX10" i="18"/>
  <c r="AY10" i="18"/>
  <c r="AZ10" i="18"/>
  <c r="BA10" i="18"/>
  <c r="BB10" i="18"/>
  <c r="BC10" i="18"/>
  <c r="BD10" i="18"/>
  <c r="BE10" i="18"/>
  <c r="BF10" i="18"/>
  <c r="BG10" i="18"/>
  <c r="BH10" i="18"/>
  <c r="BI10" i="18"/>
  <c r="BJ10" i="18"/>
  <c r="BK10" i="18"/>
  <c r="BL10" i="18"/>
  <c r="BM10" i="18"/>
  <c r="BN10" i="18"/>
  <c r="BO10" i="18"/>
  <c r="BP10" i="18"/>
  <c r="BQ10" i="18"/>
  <c r="BR10" i="18"/>
  <c r="BS10" i="18"/>
  <c r="BT10" i="18"/>
  <c r="B11" i="18"/>
  <c r="C11" i="18"/>
  <c r="D11" i="18"/>
  <c r="E11" i="18"/>
  <c r="F11" i="18"/>
  <c r="G11" i="18"/>
  <c r="H11" i="18"/>
  <c r="I11" i="18"/>
  <c r="J11" i="18"/>
  <c r="K11" i="18"/>
  <c r="L11" i="18"/>
  <c r="M11" i="18"/>
  <c r="N11" i="18"/>
  <c r="O11" i="18"/>
  <c r="P11" i="18"/>
  <c r="Q11" i="18"/>
  <c r="R11" i="18"/>
  <c r="S11" i="18"/>
  <c r="T11" i="18"/>
  <c r="U11" i="18"/>
  <c r="V11" i="18"/>
  <c r="W11" i="18"/>
  <c r="X11" i="18"/>
  <c r="Y11" i="18"/>
  <c r="Z11" i="18"/>
  <c r="AA11" i="18"/>
  <c r="AB11" i="18"/>
  <c r="AC11" i="18"/>
  <c r="AD11" i="18"/>
  <c r="AE11" i="18"/>
  <c r="AF11" i="18"/>
  <c r="AG11" i="18"/>
  <c r="AH11" i="18"/>
  <c r="AI11" i="18"/>
  <c r="AJ11" i="18"/>
  <c r="AK11" i="18"/>
  <c r="AL11" i="18"/>
  <c r="AM11" i="18"/>
  <c r="AN11" i="18"/>
  <c r="AO11" i="18"/>
  <c r="AP11" i="18"/>
  <c r="AQ11" i="18"/>
  <c r="AR11" i="18"/>
  <c r="AS11" i="18"/>
  <c r="AT11" i="18"/>
  <c r="AU11" i="18"/>
  <c r="AV11" i="18"/>
  <c r="AW11" i="18"/>
  <c r="AX11" i="18"/>
  <c r="AY11" i="18"/>
  <c r="AZ11" i="18"/>
  <c r="BA11" i="18"/>
  <c r="BB11" i="18"/>
  <c r="BC11" i="18"/>
  <c r="BD11" i="18"/>
  <c r="BE11" i="18"/>
  <c r="BF11" i="18"/>
  <c r="BG11" i="18"/>
  <c r="BH11" i="18"/>
  <c r="BI11" i="18"/>
  <c r="BJ11" i="18"/>
  <c r="BK11" i="18"/>
  <c r="BL11" i="18"/>
  <c r="BM11" i="18"/>
  <c r="BN11" i="18"/>
  <c r="BO11" i="18"/>
  <c r="BP11" i="18"/>
  <c r="BQ11" i="18"/>
  <c r="BR11" i="18"/>
  <c r="BS11" i="18"/>
  <c r="BT11" i="18"/>
  <c r="B12" i="18"/>
  <c r="C12" i="18"/>
  <c r="D12" i="18"/>
  <c r="E12" i="18"/>
  <c r="F12" i="18"/>
  <c r="G12" i="18"/>
  <c r="H12" i="18"/>
  <c r="I12" i="18"/>
  <c r="J12" i="18"/>
  <c r="K12" i="18"/>
  <c r="L12" i="18"/>
  <c r="M12" i="18"/>
  <c r="N12" i="18"/>
  <c r="O12" i="18"/>
  <c r="P12" i="18"/>
  <c r="Q12" i="18"/>
  <c r="R12" i="18"/>
  <c r="S12" i="18"/>
  <c r="T12" i="18"/>
  <c r="U12" i="18"/>
  <c r="V12" i="18"/>
  <c r="W12" i="18"/>
  <c r="X12" i="18"/>
  <c r="Y12" i="18"/>
  <c r="Z12" i="18"/>
  <c r="AA12" i="18"/>
  <c r="AB12" i="18"/>
  <c r="AC12" i="18"/>
  <c r="AD12" i="18"/>
  <c r="AE12" i="18"/>
  <c r="AF12" i="18"/>
  <c r="AG12" i="18"/>
  <c r="AH12" i="18"/>
  <c r="AI12" i="18"/>
  <c r="AJ12" i="18"/>
  <c r="AK12" i="18"/>
  <c r="AL12" i="18"/>
  <c r="AM12" i="18"/>
  <c r="AN12" i="18"/>
  <c r="AO12" i="18"/>
  <c r="AP12" i="18"/>
  <c r="AQ12" i="18"/>
  <c r="AR12" i="18"/>
  <c r="AS12" i="18"/>
  <c r="AT12" i="18"/>
  <c r="AU12" i="18"/>
  <c r="AV12" i="18"/>
  <c r="AW12" i="18"/>
  <c r="AX12" i="18"/>
  <c r="AY12" i="18"/>
  <c r="AZ12" i="18"/>
  <c r="BA12" i="18"/>
  <c r="BB12" i="18"/>
  <c r="BC12" i="18"/>
  <c r="BD12" i="18"/>
  <c r="BE12" i="18"/>
  <c r="BF12" i="18"/>
  <c r="BG12" i="18"/>
  <c r="BH12" i="18"/>
  <c r="BI12" i="18"/>
  <c r="BJ12" i="18"/>
  <c r="BK12" i="18"/>
  <c r="BL12" i="18"/>
  <c r="BM12" i="18"/>
  <c r="BN12" i="18"/>
  <c r="BO12" i="18"/>
  <c r="BP12" i="18"/>
  <c r="BQ12" i="18"/>
  <c r="BR12" i="18"/>
  <c r="BS12" i="18"/>
  <c r="BT12" i="18"/>
  <c r="B13" i="18"/>
  <c r="C13" i="18"/>
  <c r="D13" i="18"/>
  <c r="E13" i="18"/>
  <c r="F13" i="18"/>
  <c r="G13" i="18"/>
  <c r="H13" i="18"/>
  <c r="I13" i="18"/>
  <c r="J13" i="18"/>
  <c r="K13" i="18"/>
  <c r="L13" i="18"/>
  <c r="M13" i="18"/>
  <c r="N13" i="18"/>
  <c r="O13" i="18"/>
  <c r="P13" i="18"/>
  <c r="Q13" i="18"/>
  <c r="R13" i="18"/>
  <c r="S13" i="18"/>
  <c r="T13" i="18"/>
  <c r="U13" i="18"/>
  <c r="V13" i="18"/>
  <c r="W13" i="18"/>
  <c r="X13" i="18"/>
  <c r="Y13" i="18"/>
  <c r="Z13" i="18"/>
  <c r="AA13" i="18"/>
  <c r="AB13" i="18"/>
  <c r="AC13" i="18"/>
  <c r="AD13" i="18"/>
  <c r="AE13" i="18"/>
  <c r="AF13" i="18"/>
  <c r="AG13" i="18"/>
  <c r="AH13" i="18"/>
  <c r="AI13" i="18"/>
  <c r="AJ13" i="18"/>
  <c r="AK13" i="18"/>
  <c r="AL13" i="18"/>
  <c r="AM13" i="18"/>
  <c r="AN13" i="18"/>
  <c r="AO13" i="18"/>
  <c r="AP13" i="18"/>
  <c r="AQ13" i="18"/>
  <c r="AR13" i="18"/>
  <c r="AS13" i="18"/>
  <c r="AT13" i="18"/>
  <c r="AU13" i="18"/>
  <c r="AV13" i="18"/>
  <c r="AW13" i="18"/>
  <c r="AX13" i="18"/>
  <c r="AY13" i="18"/>
  <c r="AZ13" i="18"/>
  <c r="BA13" i="18"/>
  <c r="BB13" i="18"/>
  <c r="BC13" i="18"/>
  <c r="BD13" i="18"/>
  <c r="BE13" i="18"/>
  <c r="BF13" i="18"/>
  <c r="BG13" i="18"/>
  <c r="BH13" i="18"/>
  <c r="BI13" i="18"/>
  <c r="BJ13" i="18"/>
  <c r="BK13" i="18"/>
  <c r="BL13" i="18"/>
  <c r="BM13" i="18"/>
  <c r="BN13" i="18"/>
  <c r="BO13" i="18"/>
  <c r="BP13" i="18"/>
  <c r="BQ13" i="18"/>
  <c r="BR13" i="18"/>
  <c r="BS13" i="18"/>
  <c r="BT13" i="18"/>
  <c r="B14" i="18"/>
  <c r="C14" i="18"/>
  <c r="D14" i="18"/>
  <c r="E14" i="18"/>
  <c r="F14" i="18"/>
  <c r="G14" i="18"/>
  <c r="H14" i="18"/>
  <c r="I14" i="18"/>
  <c r="J14" i="18"/>
  <c r="K14" i="18"/>
  <c r="L14" i="18"/>
  <c r="M14" i="18"/>
  <c r="N14" i="18"/>
  <c r="O14" i="18"/>
  <c r="P14" i="18"/>
  <c r="Q14" i="18"/>
  <c r="R14" i="18"/>
  <c r="S14" i="18"/>
  <c r="T14" i="18"/>
  <c r="U14" i="18"/>
  <c r="V14" i="18"/>
  <c r="W14" i="18"/>
  <c r="X14" i="18"/>
  <c r="Y14" i="18"/>
  <c r="Z14" i="18"/>
  <c r="AA14" i="18"/>
  <c r="AB14" i="18"/>
  <c r="AC14" i="18"/>
  <c r="AD14" i="18"/>
  <c r="AE14" i="18"/>
  <c r="AF14" i="18"/>
  <c r="AG14" i="18"/>
  <c r="AH14" i="18"/>
  <c r="AI14" i="18"/>
  <c r="AJ14" i="18"/>
  <c r="AK14" i="18"/>
  <c r="AL14" i="18"/>
  <c r="AM14" i="18"/>
  <c r="AN14" i="18"/>
  <c r="AO14" i="18"/>
  <c r="AP14" i="18"/>
  <c r="AQ14" i="18"/>
  <c r="AR14" i="18"/>
  <c r="AS14" i="18"/>
  <c r="AT14" i="18"/>
  <c r="AU14" i="18"/>
  <c r="AV14" i="18"/>
  <c r="AW14" i="18"/>
  <c r="AX14" i="18"/>
  <c r="AY14" i="18"/>
  <c r="AZ14" i="18"/>
  <c r="BA14" i="18"/>
  <c r="BB14" i="18"/>
  <c r="BC14" i="18"/>
  <c r="BD14" i="18"/>
  <c r="BE14" i="18"/>
  <c r="BF14" i="18"/>
  <c r="BG14" i="18"/>
  <c r="BH14" i="18"/>
  <c r="BI14" i="18"/>
  <c r="BJ14" i="18"/>
  <c r="BK14" i="18"/>
  <c r="BL14" i="18"/>
  <c r="BM14" i="18"/>
  <c r="BN14" i="18"/>
  <c r="BO14" i="18"/>
  <c r="BP14" i="18"/>
  <c r="BQ14" i="18"/>
  <c r="BR14" i="18"/>
  <c r="BS14" i="18"/>
  <c r="BT14" i="18"/>
  <c r="B15" i="18"/>
  <c r="C15" i="18"/>
  <c r="D15" i="18"/>
  <c r="E15" i="18"/>
  <c r="F15" i="18"/>
  <c r="G15" i="18"/>
  <c r="H15" i="18"/>
  <c r="I15" i="18"/>
  <c r="J15" i="18"/>
  <c r="K15" i="18"/>
  <c r="L15" i="18"/>
  <c r="M15" i="18"/>
  <c r="N15" i="18"/>
  <c r="O15" i="18"/>
  <c r="P15" i="18"/>
  <c r="Q15" i="18"/>
  <c r="R15" i="18"/>
  <c r="S15" i="18"/>
  <c r="T15" i="18"/>
  <c r="U15" i="18"/>
  <c r="V15" i="18"/>
  <c r="W15" i="18"/>
  <c r="X15" i="18"/>
  <c r="Y15" i="18"/>
  <c r="Z15" i="18"/>
  <c r="AA15" i="18"/>
  <c r="AB15" i="18"/>
  <c r="AC15" i="18"/>
  <c r="AD15" i="18"/>
  <c r="AE15" i="18"/>
  <c r="AF15" i="18"/>
  <c r="AG15" i="18"/>
  <c r="AH15" i="18"/>
  <c r="AI15" i="18"/>
  <c r="AJ15" i="18"/>
  <c r="AK15" i="18"/>
  <c r="AL15" i="18"/>
  <c r="AM15" i="18"/>
  <c r="AN15" i="18"/>
  <c r="AO15" i="18"/>
  <c r="AP15" i="18"/>
  <c r="AQ15" i="18"/>
  <c r="AR15" i="18"/>
  <c r="AS15" i="18"/>
  <c r="AT15" i="18"/>
  <c r="AU15" i="18"/>
  <c r="AV15" i="18"/>
  <c r="AW15" i="18"/>
  <c r="AX15" i="18"/>
  <c r="AY15" i="18"/>
  <c r="AZ15" i="18"/>
  <c r="BA15" i="18"/>
  <c r="BB15" i="18"/>
  <c r="BC15" i="18"/>
  <c r="BD15" i="18"/>
  <c r="BE15" i="18"/>
  <c r="BF15" i="18"/>
  <c r="BG15" i="18"/>
  <c r="BH15" i="18"/>
  <c r="BI15" i="18"/>
  <c r="BJ15" i="18"/>
  <c r="BK15" i="18"/>
  <c r="BL15" i="18"/>
  <c r="BM15" i="18"/>
  <c r="BN15" i="18"/>
  <c r="BO15" i="18"/>
  <c r="BP15" i="18"/>
  <c r="BQ15" i="18"/>
  <c r="BR15" i="18"/>
  <c r="BS15" i="18"/>
  <c r="BT15" i="18"/>
  <c r="B16" i="18"/>
  <c r="C16" i="18"/>
  <c r="D16" i="18"/>
  <c r="E16" i="18"/>
  <c r="F16" i="18"/>
  <c r="G16" i="18"/>
  <c r="H16" i="18"/>
  <c r="I16" i="18"/>
  <c r="J16" i="18"/>
  <c r="K16" i="18"/>
  <c r="L16" i="18"/>
  <c r="M16" i="18"/>
  <c r="N16" i="18"/>
  <c r="O16" i="18"/>
  <c r="P16" i="18"/>
  <c r="Q16" i="18"/>
  <c r="R16" i="18"/>
  <c r="S16" i="18"/>
  <c r="T16" i="18"/>
  <c r="U16" i="18"/>
  <c r="V16" i="18"/>
  <c r="W16" i="18"/>
  <c r="X16" i="18"/>
  <c r="Y16" i="18"/>
  <c r="Z16" i="18"/>
  <c r="AA16" i="18"/>
  <c r="AB16" i="18"/>
  <c r="AC16" i="18"/>
  <c r="AD16" i="18"/>
  <c r="AE16" i="18"/>
  <c r="AF16" i="18"/>
  <c r="AG16" i="18"/>
  <c r="AH16" i="18"/>
  <c r="AI16" i="18"/>
  <c r="AJ16" i="18"/>
  <c r="AK16" i="18"/>
  <c r="AL16" i="18"/>
  <c r="AM16" i="18"/>
  <c r="AN16" i="18"/>
  <c r="AO16" i="18"/>
  <c r="AP16" i="18"/>
  <c r="AQ16" i="18"/>
  <c r="AR16" i="18"/>
  <c r="AS16" i="18"/>
  <c r="AT16" i="18"/>
  <c r="AU16" i="18"/>
  <c r="AV16" i="18"/>
  <c r="AW16" i="18"/>
  <c r="AX16" i="18"/>
  <c r="AY16" i="18"/>
  <c r="AZ16" i="18"/>
  <c r="BA16" i="18"/>
  <c r="BB16" i="18"/>
  <c r="BC16" i="18"/>
  <c r="BD16" i="18"/>
  <c r="BE16" i="18"/>
  <c r="BF16" i="18"/>
  <c r="BG16" i="18"/>
  <c r="BH16" i="18"/>
  <c r="BI16" i="18"/>
  <c r="BJ16" i="18"/>
  <c r="BK16" i="18"/>
  <c r="BL16" i="18"/>
  <c r="BM16" i="18"/>
  <c r="BN16" i="18"/>
  <c r="BO16" i="18"/>
  <c r="BP16" i="18"/>
  <c r="BQ16" i="18"/>
  <c r="BR16" i="18"/>
  <c r="BS16" i="18"/>
  <c r="BT16" i="18"/>
  <c r="B17" i="18"/>
  <c r="C17" i="18"/>
  <c r="D17" i="18"/>
  <c r="E17" i="18"/>
  <c r="F17" i="18"/>
  <c r="G17" i="18"/>
  <c r="H17" i="18"/>
  <c r="I17" i="18"/>
  <c r="J17" i="18"/>
  <c r="K17" i="18"/>
  <c r="L17" i="18"/>
  <c r="M17" i="18"/>
  <c r="N17" i="18"/>
  <c r="O17" i="18"/>
  <c r="P17" i="18"/>
  <c r="Q17" i="18"/>
  <c r="R17" i="18"/>
  <c r="S17" i="18"/>
  <c r="T17" i="18"/>
  <c r="U17" i="18"/>
  <c r="V17" i="18"/>
  <c r="W17" i="18"/>
  <c r="X17" i="18"/>
  <c r="Y17" i="18"/>
  <c r="Z17" i="18"/>
  <c r="AA17" i="18"/>
  <c r="AB17" i="18"/>
  <c r="AC17" i="18"/>
  <c r="AD17" i="18"/>
  <c r="AE17" i="18"/>
  <c r="AF17" i="18"/>
  <c r="AG17" i="18"/>
  <c r="AH17" i="18"/>
  <c r="AI17" i="18"/>
  <c r="AJ17" i="18"/>
  <c r="AK17" i="18"/>
  <c r="AL17" i="18"/>
  <c r="AM17" i="18"/>
  <c r="AN17" i="18"/>
  <c r="AO17" i="18"/>
  <c r="AP17" i="18"/>
  <c r="AQ17" i="18"/>
  <c r="AR17" i="18"/>
  <c r="AS17" i="18"/>
  <c r="AT17" i="18"/>
  <c r="AU17" i="18"/>
  <c r="AV17" i="18"/>
  <c r="AW17" i="18"/>
  <c r="AX17" i="18"/>
  <c r="AY17" i="18"/>
  <c r="AZ17" i="18"/>
  <c r="BA17" i="18"/>
  <c r="BB17" i="18"/>
  <c r="BC17" i="18"/>
  <c r="BD17" i="18"/>
  <c r="BE17" i="18"/>
  <c r="BF17" i="18"/>
  <c r="BG17" i="18"/>
  <c r="BH17" i="18"/>
  <c r="BI17" i="18"/>
  <c r="BJ17" i="18"/>
  <c r="BK17" i="18"/>
  <c r="BL17" i="18"/>
  <c r="BM17" i="18"/>
  <c r="BN17" i="18"/>
  <c r="BO17" i="18"/>
  <c r="BP17" i="18"/>
  <c r="BQ17" i="18"/>
  <c r="BR17" i="18"/>
  <c r="BS17" i="18"/>
  <c r="BT17" i="18"/>
  <c r="B18" i="18"/>
  <c r="C18" i="18"/>
  <c r="D18" i="18"/>
  <c r="E18" i="18"/>
  <c r="F18" i="18"/>
  <c r="G18" i="18"/>
  <c r="H18" i="18"/>
  <c r="I18" i="18"/>
  <c r="J18" i="18"/>
  <c r="K18" i="18"/>
  <c r="L18" i="18"/>
  <c r="M18" i="18"/>
  <c r="N18" i="18"/>
  <c r="O18" i="18"/>
  <c r="P18" i="18"/>
  <c r="Q18" i="18"/>
  <c r="R18" i="18"/>
  <c r="S18" i="18"/>
  <c r="T18" i="18"/>
  <c r="U18" i="18"/>
  <c r="V18" i="18"/>
  <c r="W18" i="18"/>
  <c r="X18" i="18"/>
  <c r="Y18" i="18"/>
  <c r="Z18" i="18"/>
  <c r="AA18" i="18"/>
  <c r="AB18" i="18"/>
  <c r="AC18" i="18"/>
  <c r="AD18" i="18"/>
  <c r="AE18" i="18"/>
  <c r="AF18" i="18"/>
  <c r="AG18" i="18"/>
  <c r="AH18" i="18"/>
  <c r="AI18" i="18"/>
  <c r="AJ18" i="18"/>
  <c r="AK18" i="18"/>
  <c r="AL18" i="18"/>
  <c r="AM18" i="18"/>
  <c r="AN18" i="18"/>
  <c r="AO18" i="18"/>
  <c r="AP18" i="18"/>
  <c r="AQ18" i="18"/>
  <c r="AR18" i="18"/>
  <c r="AS18" i="18"/>
  <c r="AT18" i="18"/>
  <c r="AU18" i="18"/>
  <c r="AV18" i="18"/>
  <c r="AW18" i="18"/>
  <c r="AX18" i="18"/>
  <c r="AY18" i="18"/>
  <c r="AZ18" i="18"/>
  <c r="BA18" i="18"/>
  <c r="BB18" i="18"/>
  <c r="BC18" i="18"/>
  <c r="BD18" i="18"/>
  <c r="BE18" i="18"/>
  <c r="BF18" i="18"/>
  <c r="BG18" i="18"/>
  <c r="BH18" i="18"/>
  <c r="BI18" i="18"/>
  <c r="BJ18" i="18"/>
  <c r="BK18" i="18"/>
  <c r="BL18" i="18"/>
  <c r="BM18" i="18"/>
  <c r="BN18" i="18"/>
  <c r="BO18" i="18"/>
  <c r="BP18" i="18"/>
  <c r="BQ18" i="18"/>
  <c r="BR18" i="18"/>
  <c r="BS18" i="18"/>
  <c r="BT18" i="18"/>
  <c r="B19" i="18"/>
  <c r="C19" i="18"/>
  <c r="D19" i="18"/>
  <c r="E19" i="18"/>
  <c r="F19" i="18"/>
  <c r="G19" i="18"/>
  <c r="H19" i="18"/>
  <c r="I19" i="18"/>
  <c r="J19" i="18"/>
  <c r="K19" i="18"/>
  <c r="L19" i="18"/>
  <c r="M19" i="18"/>
  <c r="N19" i="18"/>
  <c r="O19" i="18"/>
  <c r="P19" i="18"/>
  <c r="Q19" i="18"/>
  <c r="R19" i="18"/>
  <c r="S19" i="18"/>
  <c r="T19" i="18"/>
  <c r="U19" i="18"/>
  <c r="V19" i="18"/>
  <c r="W19" i="18"/>
  <c r="X19" i="18"/>
  <c r="Y19" i="18"/>
  <c r="Z19" i="18"/>
  <c r="AA19" i="18"/>
  <c r="AB19" i="18"/>
  <c r="AC19" i="18"/>
  <c r="AD19" i="18"/>
  <c r="AE19" i="18"/>
  <c r="AF19" i="18"/>
  <c r="AG19" i="18"/>
  <c r="AH19" i="18"/>
  <c r="AI19" i="18"/>
  <c r="AJ19" i="18"/>
  <c r="AK19" i="18"/>
  <c r="AL19" i="18"/>
  <c r="AM19" i="18"/>
  <c r="AN19" i="18"/>
  <c r="AO19" i="18"/>
  <c r="AP19" i="18"/>
  <c r="AQ19" i="18"/>
  <c r="AR19" i="18"/>
  <c r="AS19" i="18"/>
  <c r="AT19" i="18"/>
  <c r="AU19" i="18"/>
  <c r="AV19" i="18"/>
  <c r="AW19" i="18"/>
  <c r="AX19" i="18"/>
  <c r="AY19" i="18"/>
  <c r="AZ19" i="18"/>
  <c r="BA19" i="18"/>
  <c r="BB19" i="18"/>
  <c r="BC19" i="18"/>
  <c r="BD19" i="18"/>
  <c r="BE19" i="18"/>
  <c r="BF19" i="18"/>
  <c r="BG19" i="18"/>
  <c r="BH19" i="18"/>
  <c r="BI19" i="18"/>
  <c r="BJ19" i="18"/>
  <c r="BK19" i="18"/>
  <c r="BL19" i="18"/>
  <c r="BM19" i="18"/>
  <c r="BN19" i="18"/>
  <c r="BO19" i="18"/>
  <c r="BP19" i="18"/>
  <c r="BQ19" i="18"/>
  <c r="BR19" i="18"/>
  <c r="BS19" i="18"/>
  <c r="BT19" i="18"/>
  <c r="B20" i="18"/>
  <c r="C20" i="18"/>
  <c r="D20" i="18"/>
  <c r="E20" i="18"/>
  <c r="F20" i="18"/>
  <c r="G20" i="18"/>
  <c r="H20" i="18"/>
  <c r="I20" i="18"/>
  <c r="J20" i="18"/>
  <c r="K20" i="18"/>
  <c r="L20" i="18"/>
  <c r="M20" i="18"/>
  <c r="N20" i="18"/>
  <c r="O20" i="18"/>
  <c r="P20" i="18"/>
  <c r="Q20" i="18"/>
  <c r="R20" i="18"/>
  <c r="S20" i="18"/>
  <c r="T20" i="18"/>
  <c r="U20" i="18"/>
  <c r="V20" i="18"/>
  <c r="W20" i="18"/>
  <c r="X20" i="18"/>
  <c r="Y20" i="18"/>
  <c r="Z20" i="18"/>
  <c r="AA20" i="18"/>
  <c r="AB20" i="18"/>
  <c r="AC20" i="18"/>
  <c r="AD20" i="18"/>
  <c r="AE20" i="18"/>
  <c r="AF20" i="18"/>
  <c r="AG20" i="18"/>
  <c r="AH20" i="18"/>
  <c r="AI20" i="18"/>
  <c r="AJ20" i="18"/>
  <c r="AK20" i="18"/>
  <c r="AL20" i="18"/>
  <c r="AM20" i="18"/>
  <c r="AN20" i="18"/>
  <c r="AO20" i="18"/>
  <c r="AP20" i="18"/>
  <c r="AQ20" i="18"/>
  <c r="AR20" i="18"/>
  <c r="AS20" i="18"/>
  <c r="AT20" i="18"/>
  <c r="AU20" i="18"/>
  <c r="AV20" i="18"/>
  <c r="AW20" i="18"/>
  <c r="AX20" i="18"/>
  <c r="AY20" i="18"/>
  <c r="AZ20" i="18"/>
  <c r="BA20" i="18"/>
  <c r="BB20" i="18"/>
  <c r="BC20" i="18"/>
  <c r="BD20" i="18"/>
  <c r="BE20" i="18"/>
  <c r="BF20" i="18"/>
  <c r="BG20" i="18"/>
  <c r="BH20" i="18"/>
  <c r="BI20" i="18"/>
  <c r="BJ20" i="18"/>
  <c r="BK20" i="18"/>
  <c r="BL20" i="18"/>
  <c r="BM20" i="18"/>
  <c r="BN20" i="18"/>
  <c r="BO20" i="18"/>
  <c r="BP20" i="18"/>
  <c r="BQ20" i="18"/>
  <c r="BR20" i="18"/>
  <c r="BS20" i="18"/>
  <c r="BT20" i="18"/>
  <c r="B21" i="18"/>
  <c r="C21" i="18"/>
  <c r="D21" i="18"/>
  <c r="E21" i="18"/>
  <c r="F21" i="18"/>
  <c r="G21" i="18"/>
  <c r="H21" i="18"/>
  <c r="I21" i="18"/>
  <c r="J21" i="18"/>
  <c r="K21" i="18"/>
  <c r="L21" i="18"/>
  <c r="M21" i="18"/>
  <c r="N21" i="18"/>
  <c r="O21" i="18"/>
  <c r="P21" i="18"/>
  <c r="Q21" i="18"/>
  <c r="R21" i="18"/>
  <c r="S21" i="18"/>
  <c r="T21" i="18"/>
  <c r="U21" i="18"/>
  <c r="V21" i="18"/>
  <c r="W21" i="18"/>
  <c r="X21" i="18"/>
  <c r="Y21" i="18"/>
  <c r="Z21" i="18"/>
  <c r="AA21" i="18"/>
  <c r="AB21" i="18"/>
  <c r="AC21" i="18"/>
  <c r="AD21" i="18"/>
  <c r="AE21" i="18"/>
  <c r="AF21" i="18"/>
  <c r="AG21" i="18"/>
  <c r="AH21" i="18"/>
  <c r="AI21" i="18"/>
  <c r="AJ21" i="18"/>
  <c r="AK21" i="18"/>
  <c r="AL21" i="18"/>
  <c r="AM21" i="18"/>
  <c r="AN21" i="18"/>
  <c r="AO21" i="18"/>
  <c r="AP21" i="18"/>
  <c r="AQ21" i="18"/>
  <c r="AR21" i="18"/>
  <c r="AS21" i="18"/>
  <c r="AT21" i="18"/>
  <c r="AU21" i="18"/>
  <c r="AV21" i="18"/>
  <c r="AW21" i="18"/>
  <c r="AX21" i="18"/>
  <c r="AY21" i="18"/>
  <c r="AZ21" i="18"/>
  <c r="BA21" i="18"/>
  <c r="BB21" i="18"/>
  <c r="BC21" i="18"/>
  <c r="BD21" i="18"/>
  <c r="BE21" i="18"/>
  <c r="BF21" i="18"/>
  <c r="BG21" i="18"/>
  <c r="BH21" i="18"/>
  <c r="BI21" i="18"/>
  <c r="BJ21" i="18"/>
  <c r="BK21" i="18"/>
  <c r="BL21" i="18"/>
  <c r="BM21" i="18"/>
  <c r="BN21" i="18"/>
  <c r="BO21" i="18"/>
  <c r="BP21" i="18"/>
  <c r="BQ21" i="18"/>
  <c r="BR21" i="18"/>
  <c r="BS21" i="18"/>
  <c r="BT21" i="18"/>
  <c r="B22" i="18"/>
  <c r="C22" i="18"/>
  <c r="D22" i="18"/>
  <c r="E22" i="18"/>
  <c r="F22" i="18"/>
  <c r="G22" i="18"/>
  <c r="H22" i="18"/>
  <c r="I22" i="18"/>
  <c r="J22" i="18"/>
  <c r="K22" i="18"/>
  <c r="L22" i="18"/>
  <c r="M22" i="18"/>
  <c r="N22" i="18"/>
  <c r="O22" i="18"/>
  <c r="P22" i="18"/>
  <c r="Q22" i="18"/>
  <c r="R22" i="18"/>
  <c r="S22" i="18"/>
  <c r="T22" i="18"/>
  <c r="U22" i="18"/>
  <c r="V22" i="18"/>
  <c r="W22" i="18"/>
  <c r="X22" i="18"/>
  <c r="Y22" i="18"/>
  <c r="Z22" i="18"/>
  <c r="AA22" i="18"/>
  <c r="AB22" i="18"/>
  <c r="AC22" i="18"/>
  <c r="AD22" i="18"/>
  <c r="AE22" i="18"/>
  <c r="AF22" i="18"/>
  <c r="AG22" i="18"/>
  <c r="AH22" i="18"/>
  <c r="AI22" i="18"/>
  <c r="AJ22" i="18"/>
  <c r="AK22" i="18"/>
  <c r="AL22" i="18"/>
  <c r="AM22" i="18"/>
  <c r="AN22" i="18"/>
  <c r="AO22" i="18"/>
  <c r="AP22" i="18"/>
  <c r="AQ22" i="18"/>
  <c r="AR22" i="18"/>
  <c r="AS22" i="18"/>
  <c r="AT22" i="18"/>
  <c r="AU22" i="18"/>
  <c r="AV22" i="18"/>
  <c r="AW22" i="18"/>
  <c r="AX22" i="18"/>
  <c r="AY22" i="18"/>
  <c r="AZ22" i="18"/>
  <c r="BA22" i="18"/>
  <c r="BB22" i="18"/>
  <c r="BC22" i="18"/>
  <c r="BD22" i="18"/>
  <c r="BE22" i="18"/>
  <c r="BF22" i="18"/>
  <c r="BG22" i="18"/>
  <c r="BH22" i="18"/>
  <c r="BI22" i="18"/>
  <c r="BJ22" i="18"/>
  <c r="BK22" i="18"/>
  <c r="BL22" i="18"/>
  <c r="BM22" i="18"/>
  <c r="BN22" i="18"/>
  <c r="BO22" i="18"/>
  <c r="BP22" i="18"/>
  <c r="BQ22" i="18"/>
  <c r="BR22" i="18"/>
  <c r="BS22" i="18"/>
  <c r="BT22" i="18"/>
  <c r="B23" i="18"/>
  <c r="C23" i="18"/>
  <c r="D23" i="18"/>
  <c r="E23" i="18"/>
  <c r="F23" i="18"/>
  <c r="G23" i="18"/>
  <c r="H23" i="18"/>
  <c r="I23" i="18"/>
  <c r="J23" i="18"/>
  <c r="K23" i="18"/>
  <c r="L23" i="18"/>
  <c r="M23" i="18"/>
  <c r="N23" i="18"/>
  <c r="O23" i="18"/>
  <c r="P23" i="18"/>
  <c r="Q23" i="18"/>
  <c r="R23" i="18"/>
  <c r="S23" i="18"/>
  <c r="T23" i="18"/>
  <c r="U23" i="18"/>
  <c r="V23" i="18"/>
  <c r="W23" i="18"/>
  <c r="X23" i="18"/>
  <c r="Y23" i="18"/>
  <c r="Z23" i="18"/>
  <c r="AA23" i="18"/>
  <c r="AB23" i="18"/>
  <c r="AC23" i="18"/>
  <c r="AD23" i="18"/>
  <c r="AE23" i="18"/>
  <c r="AF23" i="18"/>
  <c r="AG23" i="18"/>
  <c r="AH23" i="18"/>
  <c r="AI23" i="18"/>
  <c r="AJ23" i="18"/>
  <c r="AK23" i="18"/>
  <c r="AL23" i="18"/>
  <c r="AM23" i="18"/>
  <c r="AN23" i="18"/>
  <c r="AO23" i="18"/>
  <c r="AP23" i="18"/>
  <c r="AQ23" i="18"/>
  <c r="AR23" i="18"/>
  <c r="AS23" i="18"/>
  <c r="AT23" i="18"/>
  <c r="AU23" i="18"/>
  <c r="AV23" i="18"/>
  <c r="AW23" i="18"/>
  <c r="AX23" i="18"/>
  <c r="AY23" i="18"/>
  <c r="AZ23" i="18"/>
  <c r="BA23" i="18"/>
  <c r="BB23" i="18"/>
  <c r="BC23" i="18"/>
  <c r="BD23" i="18"/>
  <c r="BE23" i="18"/>
  <c r="BF23" i="18"/>
  <c r="BG23" i="18"/>
  <c r="BH23" i="18"/>
  <c r="BI23" i="18"/>
  <c r="BJ23" i="18"/>
  <c r="BK23" i="18"/>
  <c r="BL23" i="18"/>
  <c r="BM23" i="18"/>
  <c r="BN23" i="18"/>
  <c r="BO23" i="18"/>
  <c r="BP23" i="18"/>
  <c r="BQ23" i="18"/>
  <c r="BR23" i="18"/>
  <c r="BS23" i="18"/>
  <c r="BT23" i="18"/>
  <c r="B24" i="18"/>
  <c r="C24" i="18"/>
  <c r="D24" i="18"/>
  <c r="E24" i="18"/>
  <c r="F24" i="18"/>
  <c r="G24" i="18"/>
  <c r="H24" i="18"/>
  <c r="I24" i="18"/>
  <c r="J24" i="18"/>
  <c r="K24" i="18"/>
  <c r="L24" i="18"/>
  <c r="M24" i="18"/>
  <c r="N24" i="18"/>
  <c r="O24" i="18"/>
  <c r="P24" i="18"/>
  <c r="Q24" i="18"/>
  <c r="R24" i="18"/>
  <c r="S24" i="18"/>
  <c r="T24" i="18"/>
  <c r="U24" i="18"/>
  <c r="V24" i="18"/>
  <c r="W24" i="18"/>
  <c r="X24" i="18"/>
  <c r="Y24" i="18"/>
  <c r="Z24" i="18"/>
  <c r="AA24" i="18"/>
  <c r="AB24" i="18"/>
  <c r="AC24" i="18"/>
  <c r="AD24" i="18"/>
  <c r="AE24" i="18"/>
  <c r="AF24" i="18"/>
  <c r="AG24" i="18"/>
  <c r="AH24" i="18"/>
  <c r="AI24" i="18"/>
  <c r="AJ24" i="18"/>
  <c r="AK24" i="18"/>
  <c r="AL24" i="18"/>
  <c r="AM24" i="18"/>
  <c r="AN24" i="18"/>
  <c r="AO24" i="18"/>
  <c r="AP24" i="18"/>
  <c r="AQ24" i="18"/>
  <c r="AR24" i="18"/>
  <c r="AS24" i="18"/>
  <c r="AT24" i="18"/>
  <c r="AU24" i="18"/>
  <c r="AV24" i="18"/>
  <c r="AW24" i="18"/>
  <c r="AX24" i="18"/>
  <c r="AY24" i="18"/>
  <c r="AZ24" i="18"/>
  <c r="BA24" i="18"/>
  <c r="BB24" i="18"/>
  <c r="BC24" i="18"/>
  <c r="BD24" i="18"/>
  <c r="BE24" i="18"/>
  <c r="BF24" i="18"/>
  <c r="BG24" i="18"/>
  <c r="BH24" i="18"/>
  <c r="BI24" i="18"/>
  <c r="BJ24" i="18"/>
  <c r="BK24" i="18"/>
  <c r="BL24" i="18"/>
  <c r="BM24" i="18"/>
  <c r="BN24" i="18"/>
  <c r="BO24" i="18"/>
  <c r="BP24" i="18"/>
  <c r="BQ24" i="18"/>
  <c r="BR24" i="18"/>
  <c r="BS24" i="18"/>
  <c r="BT24" i="18"/>
  <c r="B25" i="18"/>
  <c r="C25" i="18"/>
  <c r="D25" i="18"/>
  <c r="E25" i="18"/>
  <c r="F25" i="18"/>
  <c r="G25" i="18"/>
  <c r="H25" i="18"/>
  <c r="I25" i="18"/>
  <c r="J25" i="18"/>
  <c r="K25" i="18"/>
  <c r="L25" i="18"/>
  <c r="M25" i="18"/>
  <c r="N25" i="18"/>
  <c r="O25" i="18"/>
  <c r="P25" i="18"/>
  <c r="Q25" i="18"/>
  <c r="R25" i="18"/>
  <c r="S25" i="18"/>
  <c r="T25" i="18"/>
  <c r="U25" i="18"/>
  <c r="V25" i="18"/>
  <c r="W25" i="18"/>
  <c r="X25" i="18"/>
  <c r="Y25" i="18"/>
  <c r="Z25" i="18"/>
  <c r="AA25" i="18"/>
  <c r="AB25" i="18"/>
  <c r="AC25" i="18"/>
  <c r="AD25" i="18"/>
  <c r="AE25" i="18"/>
  <c r="AF25" i="18"/>
  <c r="AG25" i="18"/>
  <c r="AH25" i="18"/>
  <c r="AI25" i="18"/>
  <c r="AJ25" i="18"/>
  <c r="AK25" i="18"/>
  <c r="AL25" i="18"/>
  <c r="AM25" i="18"/>
  <c r="AN25" i="18"/>
  <c r="AO25" i="18"/>
  <c r="AP25" i="18"/>
  <c r="AQ25" i="18"/>
  <c r="AR25" i="18"/>
  <c r="AS25" i="18"/>
  <c r="AT25" i="18"/>
  <c r="AU25" i="18"/>
  <c r="AV25" i="18"/>
  <c r="AW25" i="18"/>
  <c r="AX25" i="18"/>
  <c r="AY25" i="18"/>
  <c r="AZ25" i="18"/>
  <c r="BA25" i="18"/>
  <c r="BB25" i="18"/>
  <c r="BC25" i="18"/>
  <c r="BD25" i="18"/>
  <c r="BE25" i="18"/>
  <c r="BF25" i="18"/>
  <c r="BG25" i="18"/>
  <c r="BH25" i="18"/>
  <c r="BI25" i="18"/>
  <c r="BJ25" i="18"/>
  <c r="BK25" i="18"/>
  <c r="BL25" i="18"/>
  <c r="BM25" i="18"/>
  <c r="BN25" i="18"/>
  <c r="BO25" i="18"/>
  <c r="BP25" i="18"/>
  <c r="BQ25" i="18"/>
  <c r="BR25" i="18"/>
  <c r="BS25" i="18"/>
  <c r="BT25" i="18"/>
  <c r="B26" i="18"/>
  <c r="C26" i="18"/>
  <c r="D26" i="18"/>
  <c r="E26" i="18"/>
  <c r="F26" i="18"/>
  <c r="G26" i="18"/>
  <c r="H26" i="18"/>
  <c r="I26" i="18"/>
  <c r="J26" i="18"/>
  <c r="K26" i="18"/>
  <c r="L26" i="18"/>
  <c r="M26" i="18"/>
  <c r="N26" i="18"/>
  <c r="O26" i="18"/>
  <c r="P26" i="18"/>
  <c r="Q26" i="18"/>
  <c r="R26" i="18"/>
  <c r="S26" i="18"/>
  <c r="T26" i="18"/>
  <c r="U26" i="18"/>
  <c r="V26" i="18"/>
  <c r="W26" i="18"/>
  <c r="X26" i="18"/>
  <c r="Y26" i="18"/>
  <c r="Z26" i="18"/>
  <c r="AA26" i="18"/>
  <c r="AB26" i="18"/>
  <c r="AC26" i="18"/>
  <c r="AD26" i="18"/>
  <c r="AE26" i="18"/>
  <c r="AF26" i="18"/>
  <c r="AG26" i="18"/>
  <c r="AH26" i="18"/>
  <c r="AI26" i="18"/>
  <c r="AJ26" i="18"/>
  <c r="AK26" i="18"/>
  <c r="AL26" i="18"/>
  <c r="AM26" i="18"/>
  <c r="AN26" i="18"/>
  <c r="AO26" i="18"/>
  <c r="AP26" i="18"/>
  <c r="AQ26" i="18"/>
  <c r="AR26" i="18"/>
  <c r="AS26" i="18"/>
  <c r="AT26" i="18"/>
  <c r="AU26" i="18"/>
  <c r="AV26" i="18"/>
  <c r="AW26" i="18"/>
  <c r="AX26" i="18"/>
  <c r="AY26" i="18"/>
  <c r="AZ26" i="18"/>
  <c r="BA26" i="18"/>
  <c r="BB26" i="18"/>
  <c r="BC26" i="18"/>
  <c r="BD26" i="18"/>
  <c r="BE26" i="18"/>
  <c r="BF26" i="18"/>
  <c r="BG26" i="18"/>
  <c r="BH26" i="18"/>
  <c r="BI26" i="18"/>
  <c r="BJ26" i="18"/>
  <c r="BK26" i="18"/>
  <c r="BL26" i="18"/>
  <c r="BM26" i="18"/>
  <c r="BN26" i="18"/>
  <c r="BO26" i="18"/>
  <c r="BP26" i="18"/>
  <c r="BQ26" i="18"/>
  <c r="BR26" i="18"/>
  <c r="BS26" i="18"/>
  <c r="BT26" i="18"/>
  <c r="B27" i="18"/>
  <c r="C27" i="18"/>
  <c r="D27" i="18"/>
  <c r="E27" i="18"/>
  <c r="F27" i="18"/>
  <c r="G27" i="18"/>
  <c r="H27" i="18"/>
  <c r="I27" i="18"/>
  <c r="J27" i="18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28" i="18"/>
  <c r="C28" i="18"/>
  <c r="D28" i="18"/>
  <c r="E28" i="18"/>
  <c r="F28" i="18"/>
  <c r="G28" i="18"/>
  <c r="H28" i="18"/>
  <c r="I28" i="18"/>
  <c r="J28" i="18"/>
  <c r="K28" i="18"/>
  <c r="L28" i="18"/>
  <c r="M28" i="18"/>
  <c r="N28" i="18"/>
  <c r="O28" i="18"/>
  <c r="P28" i="18"/>
  <c r="Q28" i="18"/>
  <c r="R28" i="18"/>
  <c r="S28" i="18"/>
  <c r="T28" i="18"/>
  <c r="U28" i="18"/>
  <c r="V28" i="18"/>
  <c r="W28" i="18"/>
  <c r="X28" i="18"/>
  <c r="Y28" i="18"/>
  <c r="Z28" i="18"/>
  <c r="AA28" i="18"/>
  <c r="AB28" i="18"/>
  <c r="AC28" i="18"/>
  <c r="AD28" i="18"/>
  <c r="AE28" i="18"/>
  <c r="AF28" i="18"/>
  <c r="AG28" i="18"/>
  <c r="AH28" i="18"/>
  <c r="AI28" i="18"/>
  <c r="AJ28" i="18"/>
  <c r="AK28" i="18"/>
  <c r="AL28" i="18"/>
  <c r="AM28" i="18"/>
  <c r="AN28" i="18"/>
  <c r="AO28" i="18"/>
  <c r="AP28" i="18"/>
  <c r="AQ28" i="18"/>
  <c r="AR28" i="18"/>
  <c r="AS28" i="18"/>
  <c r="AT28" i="18"/>
  <c r="AU28" i="18"/>
  <c r="AV28" i="18"/>
  <c r="AW28" i="18"/>
  <c r="AX28" i="18"/>
  <c r="AY28" i="18"/>
  <c r="AZ28" i="18"/>
  <c r="BA28" i="18"/>
  <c r="BB28" i="18"/>
  <c r="BC28" i="18"/>
  <c r="BD28" i="18"/>
  <c r="BE28" i="18"/>
  <c r="BF28" i="18"/>
  <c r="BG28" i="18"/>
  <c r="BH28" i="18"/>
  <c r="BI28" i="18"/>
  <c r="BJ28" i="18"/>
  <c r="BK28" i="18"/>
  <c r="BL28" i="18"/>
  <c r="BM28" i="18"/>
  <c r="BN28" i="18"/>
  <c r="BO28" i="18"/>
  <c r="BP28" i="18"/>
  <c r="BQ28" i="18"/>
  <c r="BR28" i="18"/>
  <c r="BS28" i="18"/>
  <c r="BT28" i="18"/>
  <c r="B29" i="18"/>
  <c r="C29" i="18"/>
  <c r="D29" i="18"/>
  <c r="E29" i="18"/>
  <c r="F29" i="18"/>
  <c r="G29" i="18"/>
  <c r="H29" i="18"/>
  <c r="I29" i="18"/>
  <c r="J29" i="18"/>
  <c r="K29" i="18"/>
  <c r="L29" i="18"/>
  <c r="M29" i="18"/>
  <c r="N29" i="18"/>
  <c r="O29" i="18"/>
  <c r="P29" i="18"/>
  <c r="Q29" i="18"/>
  <c r="R29" i="18"/>
  <c r="S29" i="18"/>
  <c r="T29" i="18"/>
  <c r="U29" i="18"/>
  <c r="V29" i="18"/>
  <c r="W29" i="18"/>
  <c r="X29" i="18"/>
  <c r="Y29" i="18"/>
  <c r="Z29" i="18"/>
  <c r="AA29" i="18"/>
  <c r="AB29" i="18"/>
  <c r="AC29" i="18"/>
  <c r="AD29" i="18"/>
  <c r="AE29" i="18"/>
  <c r="AF29" i="18"/>
  <c r="AG29" i="18"/>
  <c r="AH29" i="18"/>
  <c r="AI29" i="18"/>
  <c r="AJ29" i="18"/>
  <c r="AK29" i="18"/>
  <c r="AL29" i="18"/>
  <c r="AM29" i="18"/>
  <c r="AN29" i="18"/>
  <c r="AO29" i="18"/>
  <c r="AP29" i="18"/>
  <c r="AQ29" i="18"/>
  <c r="AR29" i="18"/>
  <c r="AS29" i="18"/>
  <c r="AT29" i="18"/>
  <c r="AU29" i="18"/>
  <c r="AV29" i="18"/>
  <c r="AW29" i="18"/>
  <c r="AX29" i="18"/>
  <c r="AY29" i="18"/>
  <c r="AZ29" i="18"/>
  <c r="BA29" i="18"/>
  <c r="BB29" i="18"/>
  <c r="BC29" i="18"/>
  <c r="BD29" i="18"/>
  <c r="BE29" i="18"/>
  <c r="BF29" i="18"/>
  <c r="BG29" i="18"/>
  <c r="BH29" i="18"/>
  <c r="BI29" i="18"/>
  <c r="BJ29" i="18"/>
  <c r="BK29" i="18"/>
  <c r="BL29" i="18"/>
  <c r="BM29" i="18"/>
  <c r="BN29" i="18"/>
  <c r="BO29" i="18"/>
  <c r="BP29" i="18"/>
  <c r="BQ29" i="18"/>
  <c r="BR29" i="18"/>
  <c r="BS29" i="18"/>
  <c r="BT29" i="18"/>
  <c r="B30" i="18"/>
  <c r="C30" i="18"/>
  <c r="D30" i="18"/>
  <c r="E30" i="18"/>
  <c r="F30" i="18"/>
  <c r="G30" i="18"/>
  <c r="H30" i="18"/>
  <c r="I30" i="18"/>
  <c r="J30" i="18"/>
  <c r="K30" i="18"/>
  <c r="L30" i="18"/>
  <c r="M30" i="18"/>
  <c r="N30" i="18"/>
  <c r="O30" i="18"/>
  <c r="P30" i="18"/>
  <c r="Q30" i="18"/>
  <c r="R30" i="18"/>
  <c r="S30" i="18"/>
  <c r="T30" i="18"/>
  <c r="U30" i="18"/>
  <c r="V30" i="18"/>
  <c r="W30" i="18"/>
  <c r="X30" i="18"/>
  <c r="Y30" i="18"/>
  <c r="Z30" i="18"/>
  <c r="AA30" i="18"/>
  <c r="AB30" i="18"/>
  <c r="AC30" i="18"/>
  <c r="AD30" i="18"/>
  <c r="AE30" i="18"/>
  <c r="AF30" i="18"/>
  <c r="AG30" i="18"/>
  <c r="AH30" i="18"/>
  <c r="AI30" i="18"/>
  <c r="AJ30" i="18"/>
  <c r="AK30" i="18"/>
  <c r="AL30" i="18"/>
  <c r="AM30" i="18"/>
  <c r="AN30" i="18"/>
  <c r="AO30" i="18"/>
  <c r="AP30" i="18"/>
  <c r="AQ30" i="18"/>
  <c r="AR30" i="18"/>
  <c r="AS30" i="18"/>
  <c r="AT30" i="18"/>
  <c r="AU30" i="18"/>
  <c r="AV30" i="18"/>
  <c r="AW30" i="18"/>
  <c r="AX30" i="18"/>
  <c r="AY30" i="18"/>
  <c r="AZ30" i="18"/>
  <c r="BA30" i="18"/>
  <c r="BB30" i="18"/>
  <c r="BC30" i="18"/>
  <c r="BD30" i="18"/>
  <c r="BE30" i="18"/>
  <c r="BF30" i="18"/>
  <c r="BG30" i="18"/>
  <c r="BH30" i="18"/>
  <c r="BI30" i="18"/>
  <c r="BJ30" i="18"/>
  <c r="BK30" i="18"/>
  <c r="BL30" i="18"/>
  <c r="BM30" i="18"/>
  <c r="BN30" i="18"/>
  <c r="BO30" i="18"/>
  <c r="BP30" i="18"/>
  <c r="BQ30" i="18"/>
  <c r="BR30" i="18"/>
  <c r="BS30" i="18"/>
  <c r="BT30" i="18"/>
  <c r="B31" i="18"/>
  <c r="C31" i="18"/>
  <c r="D31" i="18"/>
  <c r="E31" i="18"/>
  <c r="F31" i="18"/>
  <c r="G31" i="18"/>
  <c r="H31" i="18"/>
  <c r="I31" i="18"/>
  <c r="J31" i="18"/>
  <c r="K31" i="18"/>
  <c r="L31" i="18"/>
  <c r="M31" i="18"/>
  <c r="N31" i="18"/>
  <c r="O31" i="18"/>
  <c r="P31" i="18"/>
  <c r="Q31" i="18"/>
  <c r="R31" i="18"/>
  <c r="S31" i="18"/>
  <c r="T31" i="18"/>
  <c r="U31" i="18"/>
  <c r="V31" i="18"/>
  <c r="W31" i="18"/>
  <c r="X31" i="18"/>
  <c r="Y31" i="18"/>
  <c r="Z31" i="18"/>
  <c r="AA31" i="18"/>
  <c r="AB31" i="18"/>
  <c r="AC31" i="18"/>
  <c r="AD31" i="18"/>
  <c r="AE31" i="18"/>
  <c r="AF31" i="18"/>
  <c r="AG31" i="18"/>
  <c r="AH31" i="18"/>
  <c r="AI31" i="18"/>
  <c r="AJ31" i="18"/>
  <c r="AK31" i="18"/>
  <c r="AL31" i="18"/>
  <c r="AM31" i="18"/>
  <c r="AN31" i="18"/>
  <c r="AO31" i="18"/>
  <c r="AP31" i="18"/>
  <c r="AQ31" i="18"/>
  <c r="AR31" i="18"/>
  <c r="AS31" i="18"/>
  <c r="AT31" i="18"/>
  <c r="AU31" i="18"/>
  <c r="AV31" i="18"/>
  <c r="AW31" i="18"/>
  <c r="AX31" i="18"/>
  <c r="AY31" i="18"/>
  <c r="AZ31" i="18"/>
  <c r="BA31" i="18"/>
  <c r="BB31" i="18"/>
  <c r="BC31" i="18"/>
  <c r="BD31" i="18"/>
  <c r="BE31" i="18"/>
  <c r="BF31" i="18"/>
  <c r="BG31" i="18"/>
  <c r="BH31" i="18"/>
  <c r="BI31" i="18"/>
  <c r="BJ31" i="18"/>
  <c r="BK31" i="18"/>
  <c r="BL31" i="18"/>
  <c r="BM31" i="18"/>
  <c r="BN31" i="18"/>
  <c r="BO31" i="18"/>
  <c r="BP31" i="18"/>
  <c r="BQ31" i="18"/>
  <c r="BR31" i="18"/>
  <c r="BS31" i="18"/>
  <c r="BT31" i="18"/>
  <c r="B32" i="18"/>
  <c r="C32" i="18"/>
  <c r="D32" i="18"/>
  <c r="E32" i="18"/>
  <c r="F32" i="18"/>
  <c r="G32" i="18"/>
  <c r="H32" i="18"/>
  <c r="I32" i="18"/>
  <c r="J32" i="18"/>
  <c r="K32" i="18"/>
  <c r="L32" i="18"/>
  <c r="M32" i="18"/>
  <c r="N32" i="18"/>
  <c r="O32" i="18"/>
  <c r="P32" i="18"/>
  <c r="Q32" i="18"/>
  <c r="R32" i="18"/>
  <c r="S32" i="18"/>
  <c r="T32" i="18"/>
  <c r="U32" i="18"/>
  <c r="V32" i="18"/>
  <c r="W32" i="18"/>
  <c r="X32" i="18"/>
  <c r="Y32" i="18"/>
  <c r="Z32" i="18"/>
  <c r="AA32" i="18"/>
  <c r="AB32" i="18"/>
  <c r="AC32" i="18"/>
  <c r="AD32" i="18"/>
  <c r="AE32" i="18"/>
  <c r="AF32" i="18"/>
  <c r="AG32" i="18"/>
  <c r="AH32" i="18"/>
  <c r="AI32" i="18"/>
  <c r="AJ32" i="18"/>
  <c r="AK32" i="18"/>
  <c r="AL32" i="18"/>
  <c r="AM32" i="18"/>
  <c r="AN32" i="18"/>
  <c r="AO32" i="18"/>
  <c r="AP32" i="18"/>
  <c r="AQ32" i="18"/>
  <c r="AR32" i="18"/>
  <c r="AS32" i="18"/>
  <c r="AT32" i="18"/>
  <c r="AU32" i="18"/>
  <c r="AV32" i="18"/>
  <c r="AW32" i="18"/>
  <c r="AX32" i="18"/>
  <c r="AY32" i="18"/>
  <c r="AZ32" i="18"/>
  <c r="BA32" i="18"/>
  <c r="BB32" i="18"/>
  <c r="BC32" i="18"/>
  <c r="BD32" i="18"/>
  <c r="BE32" i="18"/>
  <c r="BF32" i="18"/>
  <c r="BG32" i="18"/>
  <c r="BH32" i="18"/>
  <c r="BI32" i="18"/>
  <c r="BJ32" i="18"/>
  <c r="BK32" i="18"/>
  <c r="BL32" i="18"/>
  <c r="BM32" i="18"/>
  <c r="BN32" i="18"/>
  <c r="BO32" i="18"/>
  <c r="BP32" i="18"/>
  <c r="BQ32" i="18"/>
  <c r="BR32" i="18"/>
  <c r="BS32" i="18"/>
  <c r="BT32" i="18"/>
  <c r="B33" i="18"/>
  <c r="C33" i="18"/>
  <c r="D33" i="18"/>
  <c r="E33" i="18"/>
  <c r="F33" i="18"/>
  <c r="G33" i="18"/>
  <c r="H33" i="18"/>
  <c r="I33" i="18"/>
  <c r="J33" i="18"/>
  <c r="K33" i="18"/>
  <c r="L33" i="18"/>
  <c r="M33" i="18"/>
  <c r="N33" i="18"/>
  <c r="O33" i="18"/>
  <c r="P33" i="18"/>
  <c r="Q33" i="18"/>
  <c r="R33" i="18"/>
  <c r="S33" i="18"/>
  <c r="T33" i="18"/>
  <c r="U33" i="18"/>
  <c r="V33" i="18"/>
  <c r="W33" i="18"/>
  <c r="X33" i="18"/>
  <c r="Y33" i="18"/>
  <c r="Z33" i="18"/>
  <c r="AA33" i="18"/>
  <c r="AB33" i="18"/>
  <c r="AC33" i="18"/>
  <c r="AD33" i="18"/>
  <c r="AE33" i="18"/>
  <c r="AF33" i="18"/>
  <c r="AG33" i="18"/>
  <c r="AH33" i="18"/>
  <c r="AI33" i="18"/>
  <c r="AJ33" i="18"/>
  <c r="AK33" i="18"/>
  <c r="AL33" i="18"/>
  <c r="AM33" i="18"/>
  <c r="AN33" i="18"/>
  <c r="AO33" i="18"/>
  <c r="AP33" i="18"/>
  <c r="AQ33" i="18"/>
  <c r="AR33" i="18"/>
  <c r="AS33" i="18"/>
  <c r="AT33" i="18"/>
  <c r="AU33" i="18"/>
  <c r="AV33" i="18"/>
  <c r="AW33" i="18"/>
  <c r="AX33" i="18"/>
  <c r="AY33" i="18"/>
  <c r="AZ33" i="18"/>
  <c r="BA33" i="18"/>
  <c r="BB33" i="18"/>
  <c r="BC33" i="18"/>
  <c r="BD33" i="18"/>
  <c r="BE33" i="18"/>
  <c r="BF33" i="18"/>
  <c r="BG33" i="18"/>
  <c r="BH33" i="18"/>
  <c r="BI33" i="18"/>
  <c r="BJ33" i="18"/>
  <c r="BK33" i="18"/>
  <c r="BL33" i="18"/>
  <c r="BM33" i="18"/>
  <c r="BN33" i="18"/>
  <c r="BO33" i="18"/>
  <c r="BP33" i="18"/>
  <c r="BQ33" i="18"/>
  <c r="BR33" i="18"/>
  <c r="BS33" i="18"/>
  <c r="BT33" i="18"/>
  <c r="B34" i="18"/>
  <c r="C34" i="18"/>
  <c r="D34" i="18"/>
  <c r="E34" i="18"/>
  <c r="F34" i="18"/>
  <c r="G34" i="18"/>
  <c r="H34" i="18"/>
  <c r="I34" i="18"/>
  <c r="J34" i="18"/>
  <c r="K34" i="18"/>
  <c r="L34" i="18"/>
  <c r="M34" i="18"/>
  <c r="N34" i="18"/>
  <c r="O34" i="18"/>
  <c r="P34" i="18"/>
  <c r="Q34" i="18"/>
  <c r="R34" i="18"/>
  <c r="S34" i="18"/>
  <c r="T34" i="18"/>
  <c r="U34" i="18"/>
  <c r="V34" i="18"/>
  <c r="W34" i="18"/>
  <c r="X34" i="18"/>
  <c r="Y34" i="18"/>
  <c r="Z34" i="18"/>
  <c r="AA34" i="18"/>
  <c r="AB34" i="18"/>
  <c r="AC34" i="18"/>
  <c r="AD34" i="18"/>
  <c r="AE34" i="18"/>
  <c r="AF34" i="18"/>
  <c r="AG34" i="18"/>
  <c r="AH34" i="18"/>
  <c r="AI34" i="18"/>
  <c r="AJ34" i="18"/>
  <c r="AK34" i="18"/>
  <c r="AL34" i="18"/>
  <c r="AM34" i="18"/>
  <c r="AN34" i="18"/>
  <c r="AO34" i="18"/>
  <c r="AP34" i="18"/>
  <c r="AQ34" i="18"/>
  <c r="AR34" i="18"/>
  <c r="AS34" i="18"/>
  <c r="AT34" i="18"/>
  <c r="AU34" i="18"/>
  <c r="AV34" i="18"/>
  <c r="AW34" i="18"/>
  <c r="AX34" i="18"/>
  <c r="AY34" i="18"/>
  <c r="AZ34" i="18"/>
  <c r="BA34" i="18"/>
  <c r="BB34" i="18"/>
  <c r="BC34" i="18"/>
  <c r="BD34" i="18"/>
  <c r="BE34" i="18"/>
  <c r="BF34" i="18"/>
  <c r="BG34" i="18"/>
  <c r="BH34" i="18"/>
  <c r="BI34" i="18"/>
  <c r="BJ34" i="18"/>
  <c r="BK34" i="18"/>
  <c r="BL34" i="18"/>
  <c r="BM34" i="18"/>
  <c r="BN34" i="18"/>
  <c r="BO34" i="18"/>
  <c r="BP34" i="18"/>
  <c r="BQ34" i="18"/>
  <c r="BR34" i="18"/>
  <c r="BS34" i="18"/>
  <c r="BT34" i="18"/>
  <c r="B35" i="18"/>
  <c r="C35" i="18"/>
  <c r="D35" i="18"/>
  <c r="E35" i="18"/>
  <c r="F35" i="18"/>
  <c r="G35" i="18"/>
  <c r="H35" i="18"/>
  <c r="I35" i="18"/>
  <c r="J35" i="18"/>
  <c r="K35" i="18"/>
  <c r="L35" i="18"/>
  <c r="M35" i="18"/>
  <c r="N35" i="18"/>
  <c r="O35" i="18"/>
  <c r="P35" i="18"/>
  <c r="Q35" i="18"/>
  <c r="R35" i="18"/>
  <c r="S35" i="18"/>
  <c r="T35" i="18"/>
  <c r="U35" i="18"/>
  <c r="V35" i="18"/>
  <c r="W35" i="18"/>
  <c r="X35" i="18"/>
  <c r="Y35" i="18"/>
  <c r="Z35" i="18"/>
  <c r="AA35" i="18"/>
  <c r="AB35" i="18"/>
  <c r="AC35" i="18"/>
  <c r="AD35" i="18"/>
  <c r="AE35" i="18"/>
  <c r="AF35" i="18"/>
  <c r="AG35" i="18"/>
  <c r="AH35" i="18"/>
  <c r="AI35" i="18"/>
  <c r="AJ35" i="18"/>
  <c r="AK35" i="18"/>
  <c r="AL35" i="18"/>
  <c r="AM35" i="18"/>
  <c r="AN35" i="18"/>
  <c r="AO35" i="18"/>
  <c r="AP35" i="18"/>
  <c r="AQ35" i="18"/>
  <c r="AR35" i="18"/>
  <c r="AS35" i="18"/>
  <c r="AT35" i="18"/>
  <c r="AU35" i="18"/>
  <c r="AV35" i="18"/>
  <c r="AW35" i="18"/>
  <c r="AX35" i="18"/>
  <c r="AY35" i="18"/>
  <c r="AZ35" i="18"/>
  <c r="BA35" i="18"/>
  <c r="BB35" i="18"/>
  <c r="BC35" i="18"/>
  <c r="BD35" i="18"/>
  <c r="BE35" i="18"/>
  <c r="BF35" i="18"/>
  <c r="BG35" i="18"/>
  <c r="BH35" i="18"/>
  <c r="BI35" i="18"/>
  <c r="BJ35" i="18"/>
  <c r="BK35" i="18"/>
  <c r="BL35" i="18"/>
  <c r="BM35" i="18"/>
  <c r="BN35" i="18"/>
  <c r="BO35" i="18"/>
  <c r="BP35" i="18"/>
  <c r="BQ35" i="18"/>
  <c r="BR35" i="18"/>
  <c r="BS35" i="18"/>
  <c r="BT35" i="18"/>
  <c r="B36" i="18"/>
  <c r="C36" i="18"/>
  <c r="D36" i="18"/>
  <c r="E36" i="18"/>
  <c r="F36" i="18"/>
  <c r="G36" i="18"/>
  <c r="H36" i="18"/>
  <c r="I36" i="18"/>
  <c r="J36" i="18"/>
  <c r="K36" i="18"/>
  <c r="L36" i="18"/>
  <c r="M36" i="18"/>
  <c r="N36" i="18"/>
  <c r="O36" i="18"/>
  <c r="P36" i="18"/>
  <c r="Q36" i="18"/>
  <c r="R36" i="18"/>
  <c r="S36" i="18"/>
  <c r="T36" i="18"/>
  <c r="U36" i="18"/>
  <c r="V36" i="18"/>
  <c r="W36" i="18"/>
  <c r="X36" i="18"/>
  <c r="Y36" i="18"/>
  <c r="Z36" i="18"/>
  <c r="AA36" i="18"/>
  <c r="AB36" i="18"/>
  <c r="AC36" i="18"/>
  <c r="AD36" i="18"/>
  <c r="AE36" i="18"/>
  <c r="AF36" i="18"/>
  <c r="AG36" i="18"/>
  <c r="AH36" i="18"/>
  <c r="AI36" i="18"/>
  <c r="AJ36" i="18"/>
  <c r="AK36" i="18"/>
  <c r="AL36" i="18"/>
  <c r="AM36" i="18"/>
  <c r="AN36" i="18"/>
  <c r="AO36" i="18"/>
  <c r="AP36" i="18"/>
  <c r="AQ36" i="18"/>
  <c r="AR36" i="18"/>
  <c r="AS36" i="18"/>
  <c r="AT36" i="18"/>
  <c r="AU36" i="18"/>
  <c r="AV36" i="18"/>
  <c r="AW36" i="18"/>
  <c r="AX36" i="18"/>
  <c r="AY36" i="18"/>
  <c r="AZ36" i="18"/>
  <c r="BA36" i="18"/>
  <c r="BB36" i="18"/>
  <c r="BC36" i="18"/>
  <c r="BD36" i="18"/>
  <c r="BE36" i="18"/>
  <c r="BF36" i="18"/>
  <c r="BG36" i="18"/>
  <c r="BH36" i="18"/>
  <c r="BI36" i="18"/>
  <c r="BJ36" i="18"/>
  <c r="BK36" i="18"/>
  <c r="BL36" i="18"/>
  <c r="BM36" i="18"/>
  <c r="BN36" i="18"/>
  <c r="BO36" i="18"/>
  <c r="BP36" i="18"/>
  <c r="BQ36" i="18"/>
  <c r="BR36" i="18"/>
  <c r="BS36" i="18"/>
  <c r="BT36" i="18"/>
  <c r="B37" i="18"/>
  <c r="C37" i="18"/>
  <c r="D37" i="18"/>
  <c r="E37" i="18"/>
  <c r="F37" i="18"/>
  <c r="G37" i="18"/>
  <c r="H37" i="18"/>
  <c r="I37" i="18"/>
  <c r="J37" i="18"/>
  <c r="K37" i="18"/>
  <c r="L37" i="18"/>
  <c r="M37" i="18"/>
  <c r="N37" i="18"/>
  <c r="O37" i="18"/>
  <c r="P37" i="18"/>
  <c r="Q37" i="18"/>
  <c r="R37" i="18"/>
  <c r="S37" i="18"/>
  <c r="T37" i="18"/>
  <c r="U37" i="18"/>
  <c r="V37" i="18"/>
  <c r="W37" i="18"/>
  <c r="X37" i="18"/>
  <c r="Y37" i="18"/>
  <c r="Z37" i="18"/>
  <c r="AA37" i="18"/>
  <c r="AB37" i="18"/>
  <c r="AC37" i="18"/>
  <c r="AD37" i="18"/>
  <c r="AE37" i="18"/>
  <c r="AF37" i="18"/>
  <c r="AG37" i="18"/>
  <c r="AH37" i="18"/>
  <c r="AI37" i="18"/>
  <c r="AJ37" i="18"/>
  <c r="AK37" i="18"/>
  <c r="AL37" i="18"/>
  <c r="AM37" i="18"/>
  <c r="AN37" i="18"/>
  <c r="AO37" i="18"/>
  <c r="AP37" i="18"/>
  <c r="AQ37" i="18"/>
  <c r="AR37" i="18"/>
  <c r="AS37" i="18"/>
  <c r="AT37" i="18"/>
  <c r="AU37" i="18"/>
  <c r="AV37" i="18"/>
  <c r="AW37" i="18"/>
  <c r="AX37" i="18"/>
  <c r="AY37" i="18"/>
  <c r="AZ37" i="18"/>
  <c r="BA37" i="18"/>
  <c r="BB37" i="18"/>
  <c r="BC37" i="18"/>
  <c r="BD37" i="18"/>
  <c r="BE37" i="18"/>
  <c r="BF37" i="18"/>
  <c r="BG37" i="18"/>
  <c r="BH37" i="18"/>
  <c r="BI37" i="18"/>
  <c r="BJ37" i="18"/>
  <c r="BK37" i="18"/>
  <c r="BL37" i="18"/>
  <c r="BM37" i="18"/>
  <c r="BN37" i="18"/>
  <c r="BO37" i="18"/>
  <c r="BP37" i="18"/>
  <c r="BQ37" i="18"/>
  <c r="BR37" i="18"/>
  <c r="BS37" i="18"/>
  <c r="BT37" i="18"/>
  <c r="B38" i="18"/>
  <c r="C38" i="18"/>
  <c r="D38" i="18"/>
  <c r="E38" i="18"/>
  <c r="F38" i="18"/>
  <c r="G38" i="18"/>
  <c r="H38" i="18"/>
  <c r="I38" i="18"/>
  <c r="J38" i="18"/>
  <c r="K38" i="18"/>
  <c r="L38" i="18"/>
  <c r="M38" i="18"/>
  <c r="N38" i="18"/>
  <c r="O38" i="18"/>
  <c r="P38" i="18"/>
  <c r="Q38" i="18"/>
  <c r="R38" i="18"/>
  <c r="S38" i="18"/>
  <c r="T38" i="18"/>
  <c r="U38" i="18"/>
  <c r="V38" i="18"/>
  <c r="W38" i="18"/>
  <c r="X38" i="18"/>
  <c r="Y38" i="18"/>
  <c r="Z38" i="18"/>
  <c r="AA38" i="18"/>
  <c r="AB38" i="18"/>
  <c r="AC38" i="18"/>
  <c r="AD38" i="18"/>
  <c r="AE38" i="18"/>
  <c r="AF38" i="18"/>
  <c r="AG38" i="18"/>
  <c r="AH38" i="18"/>
  <c r="AI38" i="18"/>
  <c r="AJ38" i="18"/>
  <c r="AK38" i="18"/>
  <c r="AL38" i="18"/>
  <c r="AM38" i="18"/>
  <c r="AN38" i="18"/>
  <c r="AO38" i="18"/>
  <c r="AP38" i="18"/>
  <c r="AQ38" i="18"/>
  <c r="AR38" i="18"/>
  <c r="AS38" i="18"/>
  <c r="AT38" i="18"/>
  <c r="AU38" i="18"/>
  <c r="AV38" i="18"/>
  <c r="AW38" i="18"/>
  <c r="AX38" i="18"/>
  <c r="AY38" i="18"/>
  <c r="AZ38" i="18"/>
  <c r="BA38" i="18"/>
  <c r="BB38" i="18"/>
  <c r="BC38" i="18"/>
  <c r="BD38" i="18"/>
  <c r="BE38" i="18"/>
  <c r="BF38" i="18"/>
  <c r="BG38" i="18"/>
  <c r="BH38" i="18"/>
  <c r="BI38" i="18"/>
  <c r="BJ38" i="18"/>
  <c r="BK38" i="18"/>
  <c r="BL38" i="18"/>
  <c r="BM38" i="18"/>
  <c r="BN38" i="18"/>
  <c r="BO38" i="18"/>
  <c r="BP38" i="18"/>
  <c r="BQ38" i="18"/>
  <c r="BR38" i="18"/>
  <c r="BS38" i="18"/>
  <c r="BT38" i="18"/>
  <c r="B39" i="18"/>
  <c r="C39" i="18"/>
  <c r="D39" i="18"/>
  <c r="E39" i="18"/>
  <c r="F39" i="18"/>
  <c r="G39" i="18"/>
  <c r="H39" i="18"/>
  <c r="I39" i="18"/>
  <c r="J39" i="18"/>
  <c r="K39" i="18"/>
  <c r="L39" i="18"/>
  <c r="M39" i="18"/>
  <c r="N39" i="18"/>
  <c r="O39" i="18"/>
  <c r="P39" i="18"/>
  <c r="Q39" i="18"/>
  <c r="R39" i="18"/>
  <c r="S39" i="18"/>
  <c r="T39" i="18"/>
  <c r="U39" i="18"/>
  <c r="V39" i="18"/>
  <c r="W39" i="18"/>
  <c r="X39" i="18"/>
  <c r="Y39" i="18"/>
  <c r="Z39" i="18"/>
  <c r="AA39" i="18"/>
  <c r="AB39" i="18"/>
  <c r="AC39" i="18"/>
  <c r="AD39" i="18"/>
  <c r="AE39" i="18"/>
  <c r="AF39" i="18"/>
  <c r="AG39" i="18"/>
  <c r="AH39" i="18"/>
  <c r="AI39" i="18"/>
  <c r="AJ39" i="18"/>
  <c r="AK39" i="18"/>
  <c r="AL39" i="18"/>
  <c r="AM39" i="18"/>
  <c r="AN39" i="18"/>
  <c r="AO39" i="18"/>
  <c r="AP39" i="18"/>
  <c r="AQ39" i="18"/>
  <c r="AR39" i="18"/>
  <c r="AS39" i="18"/>
  <c r="AT39" i="18"/>
  <c r="AU39" i="18"/>
  <c r="AV39" i="18"/>
  <c r="AW39" i="18"/>
  <c r="AX39" i="18"/>
  <c r="AY39" i="18"/>
  <c r="AZ39" i="18"/>
  <c r="BA39" i="18"/>
  <c r="BB39" i="18"/>
  <c r="BC39" i="18"/>
  <c r="BD39" i="18"/>
  <c r="BE39" i="18"/>
  <c r="BF39" i="18"/>
  <c r="BG39" i="18"/>
  <c r="BH39" i="18"/>
  <c r="BI39" i="18"/>
  <c r="BJ39" i="18"/>
  <c r="BK39" i="18"/>
  <c r="BL39" i="18"/>
  <c r="BM39" i="18"/>
  <c r="BN39" i="18"/>
  <c r="BO39" i="18"/>
  <c r="BP39" i="18"/>
  <c r="BQ39" i="18"/>
  <c r="BR39" i="18"/>
  <c r="BS39" i="18"/>
  <c r="BT39" i="18"/>
  <c r="B40" i="18"/>
  <c r="C40" i="18"/>
  <c r="D40" i="18"/>
  <c r="E40" i="18"/>
  <c r="F40" i="18"/>
  <c r="G40" i="18"/>
  <c r="H40" i="18"/>
  <c r="I40" i="18"/>
  <c r="J40" i="18"/>
  <c r="K40" i="18"/>
  <c r="L40" i="18"/>
  <c r="M40" i="18"/>
  <c r="N40" i="18"/>
  <c r="O40" i="18"/>
  <c r="P40" i="18"/>
  <c r="Q40" i="18"/>
  <c r="R40" i="18"/>
  <c r="S40" i="18"/>
  <c r="T40" i="18"/>
  <c r="U40" i="18"/>
  <c r="V40" i="18"/>
  <c r="W40" i="18"/>
  <c r="X40" i="18"/>
  <c r="Y40" i="18"/>
  <c r="Z40" i="18"/>
  <c r="AA40" i="18"/>
  <c r="AB40" i="18"/>
  <c r="AC40" i="18"/>
  <c r="AD40" i="18"/>
  <c r="AE40" i="18"/>
  <c r="AF40" i="18"/>
  <c r="AG40" i="18"/>
  <c r="AH40" i="18"/>
  <c r="AI40" i="18"/>
  <c r="AJ40" i="18"/>
  <c r="AK40" i="18"/>
  <c r="AL40" i="18"/>
  <c r="AM40" i="18"/>
  <c r="AN40" i="18"/>
  <c r="AO40" i="18"/>
  <c r="AP40" i="18"/>
  <c r="AQ40" i="18"/>
  <c r="AR40" i="18"/>
  <c r="AS40" i="18"/>
  <c r="AT40" i="18"/>
  <c r="AU40" i="18"/>
  <c r="AV40" i="18"/>
  <c r="AW40" i="18"/>
  <c r="AX40" i="18"/>
  <c r="AY40" i="18"/>
  <c r="AZ40" i="18"/>
  <c r="BA40" i="18"/>
  <c r="BB40" i="18"/>
  <c r="BC40" i="18"/>
  <c r="BD40" i="18"/>
  <c r="BE40" i="18"/>
  <c r="BF40" i="18"/>
  <c r="BG40" i="18"/>
  <c r="BH40" i="18"/>
  <c r="BI40" i="18"/>
  <c r="BJ40" i="18"/>
  <c r="BK40" i="18"/>
  <c r="BL40" i="18"/>
  <c r="BM40" i="18"/>
  <c r="BN40" i="18"/>
  <c r="BO40" i="18"/>
  <c r="BP40" i="18"/>
  <c r="BQ40" i="18"/>
  <c r="BR40" i="18"/>
  <c r="BS40" i="18"/>
  <c r="BT40" i="18"/>
  <c r="B41" i="18"/>
  <c r="C41" i="18"/>
  <c r="D41" i="18"/>
  <c r="E41" i="18"/>
  <c r="F41" i="18"/>
  <c r="G41" i="18"/>
  <c r="H41" i="18"/>
  <c r="I41" i="18"/>
  <c r="J41" i="18"/>
  <c r="K41" i="18"/>
  <c r="L41" i="18"/>
  <c r="M41" i="18"/>
  <c r="N41" i="18"/>
  <c r="O41" i="18"/>
  <c r="P41" i="18"/>
  <c r="Q41" i="18"/>
  <c r="R41" i="18"/>
  <c r="S41" i="18"/>
  <c r="T41" i="18"/>
  <c r="U41" i="18"/>
  <c r="V41" i="18"/>
  <c r="W41" i="18"/>
  <c r="X41" i="18"/>
  <c r="Y41" i="18"/>
  <c r="Z41" i="18"/>
  <c r="AA41" i="18"/>
  <c r="AB41" i="18"/>
  <c r="AC41" i="18"/>
  <c r="AD41" i="18"/>
  <c r="AE41" i="18"/>
  <c r="AF41" i="18"/>
  <c r="AG41" i="18"/>
  <c r="AH41" i="18"/>
  <c r="AI41" i="18"/>
  <c r="AJ41" i="18"/>
  <c r="AK41" i="18"/>
  <c r="AL41" i="18"/>
  <c r="AM41" i="18"/>
  <c r="AN41" i="18"/>
  <c r="AO41" i="18"/>
  <c r="AP41" i="18"/>
  <c r="AQ41" i="18"/>
  <c r="AR41" i="18"/>
  <c r="AS41" i="18"/>
  <c r="AT41" i="18"/>
  <c r="AU41" i="18"/>
  <c r="AV41" i="18"/>
  <c r="AW41" i="18"/>
  <c r="AX41" i="18"/>
  <c r="AY41" i="18"/>
  <c r="AZ41" i="18"/>
  <c r="BA41" i="18"/>
  <c r="BB41" i="18"/>
  <c r="BC41" i="18"/>
  <c r="BD41" i="18"/>
  <c r="BE41" i="18"/>
  <c r="BF41" i="18"/>
  <c r="BG41" i="18"/>
  <c r="BH41" i="18"/>
  <c r="BI41" i="18"/>
  <c r="BJ41" i="18"/>
  <c r="BK41" i="18"/>
  <c r="BL41" i="18"/>
  <c r="BM41" i="18"/>
  <c r="BN41" i="18"/>
  <c r="BO41" i="18"/>
  <c r="BP41" i="18"/>
  <c r="BQ41" i="18"/>
  <c r="BR41" i="18"/>
  <c r="BS41" i="18"/>
  <c r="BT41" i="18"/>
  <c r="B42" i="18"/>
  <c r="C42" i="18"/>
  <c r="D42" i="18"/>
  <c r="E42" i="18"/>
  <c r="F42" i="18"/>
  <c r="G42" i="18"/>
  <c r="H42" i="18"/>
  <c r="I42" i="18"/>
  <c r="J42" i="18"/>
  <c r="K42" i="18"/>
  <c r="L42" i="18"/>
  <c r="M42" i="18"/>
  <c r="N42" i="18"/>
  <c r="O42" i="18"/>
  <c r="P42" i="18"/>
  <c r="Q42" i="18"/>
  <c r="R42" i="18"/>
  <c r="S42" i="18"/>
  <c r="T42" i="18"/>
  <c r="U42" i="18"/>
  <c r="V42" i="18"/>
  <c r="W42" i="18"/>
  <c r="X42" i="18"/>
  <c r="Y42" i="18"/>
  <c r="Z42" i="18"/>
  <c r="AA42" i="18"/>
  <c r="AB42" i="18"/>
  <c r="AC42" i="18"/>
  <c r="AD42" i="18"/>
  <c r="AE42" i="18"/>
  <c r="AF42" i="18"/>
  <c r="AG42" i="18"/>
  <c r="AH42" i="18"/>
  <c r="AI42" i="18"/>
  <c r="AJ42" i="18"/>
  <c r="AK42" i="18"/>
  <c r="AL42" i="18"/>
  <c r="AM42" i="18"/>
  <c r="AN42" i="18"/>
  <c r="AO42" i="18"/>
  <c r="AP42" i="18"/>
  <c r="AQ42" i="18"/>
  <c r="AR42" i="18"/>
  <c r="AS42" i="18"/>
  <c r="AT42" i="18"/>
  <c r="AU42" i="18"/>
  <c r="AV42" i="18"/>
  <c r="AW42" i="18"/>
  <c r="AX42" i="18"/>
  <c r="AY42" i="18"/>
  <c r="AZ42" i="18"/>
  <c r="BA42" i="18"/>
  <c r="BB42" i="18"/>
  <c r="BC42" i="18"/>
  <c r="BD42" i="18"/>
  <c r="BE42" i="18"/>
  <c r="BF42" i="18"/>
  <c r="BG42" i="18"/>
  <c r="BH42" i="18"/>
  <c r="BI42" i="18"/>
  <c r="BJ42" i="18"/>
  <c r="BK42" i="18"/>
  <c r="BL42" i="18"/>
  <c r="BM42" i="18"/>
  <c r="BN42" i="18"/>
  <c r="BO42" i="18"/>
  <c r="BP42" i="18"/>
  <c r="BQ42" i="18"/>
  <c r="BR42" i="18"/>
  <c r="BS42" i="18"/>
  <c r="BT42" i="18"/>
  <c r="B43" i="18"/>
  <c r="C43" i="18"/>
  <c r="D43" i="18"/>
  <c r="E43" i="18"/>
  <c r="F43" i="18"/>
  <c r="G43" i="18"/>
  <c r="H43" i="18"/>
  <c r="I43" i="18"/>
  <c r="J43" i="18"/>
  <c r="K43" i="18"/>
  <c r="L43" i="18"/>
  <c r="M43" i="18"/>
  <c r="N43" i="18"/>
  <c r="O43" i="18"/>
  <c r="P43" i="18"/>
  <c r="Q43" i="18"/>
  <c r="R43" i="18"/>
  <c r="S43" i="18"/>
  <c r="T43" i="18"/>
  <c r="U43" i="18"/>
  <c r="V43" i="18"/>
  <c r="W43" i="18"/>
  <c r="X43" i="18"/>
  <c r="Y43" i="18"/>
  <c r="Z43" i="18"/>
  <c r="AA43" i="18"/>
  <c r="AB43" i="18"/>
  <c r="AC43" i="18"/>
  <c r="AD43" i="18"/>
  <c r="AE43" i="18"/>
  <c r="AF43" i="18"/>
  <c r="AG43" i="18"/>
  <c r="AH43" i="18"/>
  <c r="AI43" i="18"/>
  <c r="AJ43" i="18"/>
  <c r="AK43" i="18"/>
  <c r="AL43" i="18"/>
  <c r="AM43" i="18"/>
  <c r="AN43" i="18"/>
  <c r="AO43" i="18"/>
  <c r="AP43" i="18"/>
  <c r="AQ43" i="18"/>
  <c r="AR43" i="18"/>
  <c r="AS43" i="18"/>
  <c r="AT43" i="18"/>
  <c r="AU43" i="18"/>
  <c r="AV43" i="18"/>
  <c r="AW43" i="18"/>
  <c r="AX43" i="18"/>
  <c r="AY43" i="18"/>
  <c r="AZ43" i="18"/>
  <c r="BA43" i="18"/>
  <c r="BB43" i="18"/>
  <c r="BC43" i="18"/>
  <c r="BD43" i="18"/>
  <c r="BE43" i="18"/>
  <c r="BF43" i="18"/>
  <c r="BG43" i="18"/>
  <c r="BH43" i="18"/>
  <c r="BI43" i="18"/>
  <c r="BJ43" i="18"/>
  <c r="BK43" i="18"/>
  <c r="BL43" i="18"/>
  <c r="BM43" i="18"/>
  <c r="BN43" i="18"/>
  <c r="BO43" i="18"/>
  <c r="BP43" i="18"/>
  <c r="BQ43" i="18"/>
  <c r="BR43" i="18"/>
  <c r="BS43" i="18"/>
  <c r="BT43" i="18"/>
  <c r="B44" i="18"/>
  <c r="C44" i="18"/>
  <c r="D44" i="18"/>
  <c r="E44" i="18"/>
  <c r="F44" i="18"/>
  <c r="G44" i="18"/>
  <c r="H44" i="18"/>
  <c r="I44" i="18"/>
  <c r="J44" i="18"/>
  <c r="K44" i="18"/>
  <c r="L44" i="18"/>
  <c r="M44" i="18"/>
  <c r="N44" i="18"/>
  <c r="O44" i="18"/>
  <c r="P44" i="18"/>
  <c r="Q44" i="18"/>
  <c r="R44" i="18"/>
  <c r="S44" i="18"/>
  <c r="T44" i="18"/>
  <c r="U44" i="18"/>
  <c r="V44" i="18"/>
  <c r="W44" i="18"/>
  <c r="X44" i="18"/>
  <c r="Y44" i="18"/>
  <c r="Z44" i="18"/>
  <c r="AA44" i="18"/>
  <c r="AB44" i="18"/>
  <c r="AC44" i="18"/>
  <c r="AD44" i="18"/>
  <c r="AE44" i="18"/>
  <c r="AF44" i="18"/>
  <c r="AG44" i="18"/>
  <c r="AH44" i="18"/>
  <c r="AI44" i="18"/>
  <c r="AJ44" i="18"/>
  <c r="AK44" i="18"/>
  <c r="AL44" i="18"/>
  <c r="AM44" i="18"/>
  <c r="AN44" i="18"/>
  <c r="AO44" i="18"/>
  <c r="AP44" i="18"/>
  <c r="AQ44" i="18"/>
  <c r="AR44" i="18"/>
  <c r="AS44" i="18"/>
  <c r="AT44" i="18"/>
  <c r="AU44" i="18"/>
  <c r="AV44" i="18"/>
  <c r="AW44" i="18"/>
  <c r="AX44" i="18"/>
  <c r="AY44" i="18"/>
  <c r="AZ44" i="18"/>
  <c r="BA44" i="18"/>
  <c r="BB44" i="18"/>
  <c r="BC44" i="18"/>
  <c r="BD44" i="18"/>
  <c r="BE44" i="18"/>
  <c r="BF44" i="18"/>
  <c r="BG44" i="18"/>
  <c r="BH44" i="18"/>
  <c r="BI44" i="18"/>
  <c r="BJ44" i="18"/>
  <c r="BK44" i="18"/>
  <c r="BL44" i="18"/>
  <c r="BM44" i="18"/>
  <c r="BN44" i="18"/>
  <c r="BO44" i="18"/>
  <c r="BP44" i="18"/>
  <c r="BQ44" i="18"/>
  <c r="BR44" i="18"/>
  <c r="BS44" i="18"/>
  <c r="BT44" i="18"/>
  <c r="B45" i="18"/>
  <c r="C45" i="18"/>
  <c r="D45" i="18"/>
  <c r="E45" i="18"/>
  <c r="F45" i="18"/>
  <c r="G45" i="18"/>
  <c r="H45" i="18"/>
  <c r="I45" i="18"/>
  <c r="J45" i="18"/>
  <c r="K45" i="18"/>
  <c r="L45" i="18"/>
  <c r="M45" i="18"/>
  <c r="N45" i="18"/>
  <c r="O45" i="18"/>
  <c r="P45" i="18"/>
  <c r="Q45" i="18"/>
  <c r="R45" i="18"/>
  <c r="S45" i="18"/>
  <c r="T45" i="18"/>
  <c r="U45" i="18"/>
  <c r="V45" i="18"/>
  <c r="W45" i="18"/>
  <c r="X45" i="18"/>
  <c r="Y45" i="18"/>
  <c r="Z45" i="18"/>
  <c r="AA45" i="18"/>
  <c r="AB45" i="18"/>
  <c r="AC45" i="18"/>
  <c r="AD45" i="18"/>
  <c r="AE45" i="18"/>
  <c r="AF45" i="18"/>
  <c r="AG45" i="18"/>
  <c r="AH45" i="18"/>
  <c r="AI45" i="18"/>
  <c r="AJ45" i="18"/>
  <c r="AK45" i="18"/>
  <c r="AL45" i="18"/>
  <c r="AM45" i="18"/>
  <c r="AN45" i="18"/>
  <c r="AO45" i="18"/>
  <c r="AP45" i="18"/>
  <c r="AQ45" i="18"/>
  <c r="AR45" i="18"/>
  <c r="AS45" i="18"/>
  <c r="AT45" i="18"/>
  <c r="AU45" i="18"/>
  <c r="AV45" i="18"/>
  <c r="AW45" i="18"/>
  <c r="AX45" i="18"/>
  <c r="AY45" i="18"/>
  <c r="AZ45" i="18"/>
  <c r="BA45" i="18"/>
  <c r="BB45" i="18"/>
  <c r="BC45" i="18"/>
  <c r="BD45" i="18"/>
  <c r="BE45" i="18"/>
  <c r="BF45" i="18"/>
  <c r="BG45" i="18"/>
  <c r="BH45" i="18"/>
  <c r="BI45" i="18"/>
  <c r="BJ45" i="18"/>
  <c r="BK45" i="18"/>
  <c r="BL45" i="18"/>
  <c r="BM45" i="18"/>
  <c r="BN45" i="18"/>
  <c r="BO45" i="18"/>
  <c r="BP45" i="18"/>
  <c r="BQ45" i="18"/>
  <c r="BR45" i="18"/>
  <c r="BS45" i="18"/>
  <c r="BT45" i="18"/>
  <c r="B46" i="18"/>
  <c r="C46" i="18"/>
  <c r="D46" i="18"/>
  <c r="E46" i="18"/>
  <c r="F46" i="18"/>
  <c r="G46" i="18"/>
  <c r="H46" i="18"/>
  <c r="I46" i="18"/>
  <c r="J46" i="18"/>
  <c r="K46" i="18"/>
  <c r="L46" i="18"/>
  <c r="M46" i="18"/>
  <c r="N46" i="18"/>
  <c r="O46" i="18"/>
  <c r="P46" i="18"/>
  <c r="Q46" i="18"/>
  <c r="R46" i="18"/>
  <c r="S46" i="18"/>
  <c r="T46" i="18"/>
  <c r="U46" i="18"/>
  <c r="V46" i="18"/>
  <c r="W46" i="18"/>
  <c r="X46" i="18"/>
  <c r="Y46" i="18"/>
  <c r="Z46" i="18"/>
  <c r="AA46" i="18"/>
  <c r="AB46" i="18"/>
  <c r="AC46" i="18"/>
  <c r="AD46" i="18"/>
  <c r="AE46" i="18"/>
  <c r="AF46" i="18"/>
  <c r="AG46" i="18"/>
  <c r="AH46" i="18"/>
  <c r="AI46" i="18"/>
  <c r="AJ46" i="18"/>
  <c r="AK46" i="18"/>
  <c r="AL46" i="18"/>
  <c r="AM46" i="18"/>
  <c r="AN46" i="18"/>
  <c r="AO46" i="18"/>
  <c r="AP46" i="18"/>
  <c r="AQ46" i="18"/>
  <c r="AR46" i="18"/>
  <c r="AS46" i="18"/>
  <c r="AT46" i="18"/>
  <c r="AU46" i="18"/>
  <c r="AV46" i="18"/>
  <c r="AW46" i="18"/>
  <c r="AX46" i="18"/>
  <c r="AY46" i="18"/>
  <c r="AZ46" i="18"/>
  <c r="BA46" i="18"/>
  <c r="BB46" i="18"/>
  <c r="BC46" i="18"/>
  <c r="BD46" i="18"/>
  <c r="BE46" i="18"/>
  <c r="BF46" i="18"/>
  <c r="BG46" i="18"/>
  <c r="BH46" i="18"/>
  <c r="BI46" i="18"/>
  <c r="BJ46" i="18"/>
  <c r="BK46" i="18"/>
  <c r="BL46" i="18"/>
  <c r="BM46" i="18"/>
  <c r="BN46" i="18"/>
  <c r="BO46" i="18"/>
  <c r="BP46" i="18"/>
  <c r="BQ46" i="18"/>
  <c r="BR46" i="18"/>
  <c r="BS46" i="18"/>
  <c r="BT46" i="18"/>
  <c r="B47" i="18"/>
  <c r="C47" i="18"/>
  <c r="D47" i="18"/>
  <c r="E47" i="18"/>
  <c r="F47" i="18"/>
  <c r="G47" i="18"/>
  <c r="H47" i="18"/>
  <c r="I47" i="18"/>
  <c r="J47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B47" i="18"/>
  <c r="AC47" i="18"/>
  <c r="AD47" i="18"/>
  <c r="AE47" i="18"/>
  <c r="AF47" i="18"/>
  <c r="AG47" i="18"/>
  <c r="AH47" i="18"/>
  <c r="AI47" i="18"/>
  <c r="AJ47" i="18"/>
  <c r="AK47" i="18"/>
  <c r="AL47" i="18"/>
  <c r="AM47" i="18"/>
  <c r="AN47" i="18"/>
  <c r="AO47" i="18"/>
  <c r="AP47" i="18"/>
  <c r="AQ47" i="18"/>
  <c r="AR47" i="18"/>
  <c r="AS47" i="18"/>
  <c r="AT47" i="18"/>
  <c r="AU47" i="18"/>
  <c r="AV47" i="18"/>
  <c r="AW47" i="18"/>
  <c r="AX47" i="18"/>
  <c r="AY47" i="18"/>
  <c r="AZ47" i="18"/>
  <c r="BA47" i="18"/>
  <c r="BB47" i="18"/>
  <c r="BC47" i="18"/>
  <c r="BD47" i="18"/>
  <c r="BE47" i="18"/>
  <c r="BF47" i="18"/>
  <c r="BG47" i="18"/>
  <c r="BH47" i="18"/>
  <c r="BI47" i="18"/>
  <c r="BJ47" i="18"/>
  <c r="BK47" i="18"/>
  <c r="BL47" i="18"/>
  <c r="BM47" i="18"/>
  <c r="BN47" i="18"/>
  <c r="BO47" i="18"/>
  <c r="BP47" i="18"/>
  <c r="BQ47" i="18"/>
  <c r="BR47" i="18"/>
  <c r="BS47" i="18"/>
  <c r="BT47" i="18"/>
  <c r="B48" i="18"/>
  <c r="C48" i="18"/>
  <c r="D48" i="18"/>
  <c r="E48" i="18"/>
  <c r="F48" i="18"/>
  <c r="G48" i="18"/>
  <c r="H48" i="18"/>
  <c r="I48" i="18"/>
  <c r="J48" i="18"/>
  <c r="K48" i="18"/>
  <c r="L48" i="18"/>
  <c r="M48" i="18"/>
  <c r="N48" i="18"/>
  <c r="O48" i="18"/>
  <c r="P48" i="18"/>
  <c r="Q48" i="18"/>
  <c r="R48" i="18"/>
  <c r="S48" i="18"/>
  <c r="T48" i="18"/>
  <c r="U48" i="18"/>
  <c r="V48" i="18"/>
  <c r="W48" i="18"/>
  <c r="X48" i="18"/>
  <c r="Y48" i="18"/>
  <c r="Z48" i="18"/>
  <c r="AA48" i="18"/>
  <c r="AB48" i="18"/>
  <c r="AC48" i="18"/>
  <c r="AD48" i="18"/>
  <c r="AE48" i="18"/>
  <c r="AF48" i="18"/>
  <c r="AG48" i="18"/>
  <c r="AH48" i="18"/>
  <c r="AI48" i="18"/>
  <c r="AJ48" i="18"/>
  <c r="AK48" i="18"/>
  <c r="AL48" i="18"/>
  <c r="AM48" i="18"/>
  <c r="AN48" i="18"/>
  <c r="AO48" i="18"/>
  <c r="AP48" i="18"/>
  <c r="AQ48" i="18"/>
  <c r="AR48" i="18"/>
  <c r="AS48" i="18"/>
  <c r="AT48" i="18"/>
  <c r="AU48" i="18"/>
  <c r="AV48" i="18"/>
  <c r="AW48" i="18"/>
  <c r="AX48" i="18"/>
  <c r="AY48" i="18"/>
  <c r="AZ48" i="18"/>
  <c r="BA48" i="18"/>
  <c r="BB48" i="18"/>
  <c r="BC48" i="18"/>
  <c r="BD48" i="18"/>
  <c r="BE48" i="18"/>
  <c r="BF48" i="18"/>
  <c r="BG48" i="18"/>
  <c r="BH48" i="18"/>
  <c r="BI48" i="18"/>
  <c r="BJ48" i="18"/>
  <c r="BK48" i="18"/>
  <c r="BL48" i="18"/>
  <c r="BM48" i="18"/>
  <c r="BN48" i="18"/>
  <c r="BO48" i="18"/>
  <c r="BP48" i="18"/>
  <c r="BQ48" i="18"/>
  <c r="BR48" i="18"/>
  <c r="BS48" i="18"/>
  <c r="BT48" i="18"/>
  <c r="B49" i="18"/>
  <c r="C49" i="18"/>
  <c r="D49" i="18"/>
  <c r="E49" i="18"/>
  <c r="F49" i="18"/>
  <c r="G49" i="18"/>
  <c r="H49" i="18"/>
  <c r="I49" i="18"/>
  <c r="J49" i="18"/>
  <c r="K49" i="18"/>
  <c r="L49" i="18"/>
  <c r="M49" i="18"/>
  <c r="N49" i="18"/>
  <c r="O49" i="18"/>
  <c r="P49" i="18"/>
  <c r="Q49" i="18"/>
  <c r="R49" i="18"/>
  <c r="S49" i="18"/>
  <c r="T49" i="18"/>
  <c r="U49" i="18"/>
  <c r="V49" i="18"/>
  <c r="W49" i="18"/>
  <c r="X49" i="18"/>
  <c r="Y49" i="18"/>
  <c r="Z49" i="18"/>
  <c r="AA49" i="18"/>
  <c r="AB49" i="18"/>
  <c r="AC49" i="18"/>
  <c r="AD49" i="18"/>
  <c r="AE49" i="18"/>
  <c r="AF49" i="18"/>
  <c r="AG49" i="18"/>
  <c r="AH49" i="18"/>
  <c r="AI49" i="18"/>
  <c r="AJ49" i="18"/>
  <c r="AK49" i="18"/>
  <c r="AL49" i="18"/>
  <c r="AM49" i="18"/>
  <c r="AN49" i="18"/>
  <c r="AO49" i="18"/>
  <c r="AP49" i="18"/>
  <c r="AQ49" i="18"/>
  <c r="AR49" i="18"/>
  <c r="AS49" i="18"/>
  <c r="AT49" i="18"/>
  <c r="AU49" i="18"/>
  <c r="AV49" i="18"/>
  <c r="AW49" i="18"/>
  <c r="AX49" i="18"/>
  <c r="AY49" i="18"/>
  <c r="AZ49" i="18"/>
  <c r="BA49" i="18"/>
  <c r="BB49" i="18"/>
  <c r="BC49" i="18"/>
  <c r="BD49" i="18"/>
  <c r="BE49" i="18"/>
  <c r="BF49" i="18"/>
  <c r="BG49" i="18"/>
  <c r="BH49" i="18"/>
  <c r="BI49" i="18"/>
  <c r="BJ49" i="18"/>
  <c r="BK49" i="18"/>
  <c r="BL49" i="18"/>
  <c r="BM49" i="18"/>
  <c r="BN49" i="18"/>
  <c r="BO49" i="18"/>
  <c r="BP49" i="18"/>
  <c r="BQ49" i="18"/>
  <c r="BR49" i="18"/>
  <c r="BS49" i="18"/>
  <c r="BT49" i="18"/>
  <c r="B50" i="18"/>
  <c r="C50" i="18"/>
  <c r="D50" i="18"/>
  <c r="E50" i="18"/>
  <c r="F50" i="18"/>
  <c r="G50" i="18"/>
  <c r="H50" i="18"/>
  <c r="I50" i="18"/>
  <c r="J50" i="18"/>
  <c r="K50" i="18"/>
  <c r="L50" i="18"/>
  <c r="M50" i="18"/>
  <c r="N50" i="18"/>
  <c r="O50" i="18"/>
  <c r="P50" i="18"/>
  <c r="Q50" i="18"/>
  <c r="R50" i="18"/>
  <c r="S50" i="18"/>
  <c r="T50" i="18"/>
  <c r="U50" i="18"/>
  <c r="V50" i="18"/>
  <c r="W50" i="18"/>
  <c r="X50" i="18"/>
  <c r="Y50" i="18"/>
  <c r="Z50" i="18"/>
  <c r="AA50" i="18"/>
  <c r="AB50" i="18"/>
  <c r="AC50" i="18"/>
  <c r="AD50" i="18"/>
  <c r="AE50" i="18"/>
  <c r="AF50" i="18"/>
  <c r="AG50" i="18"/>
  <c r="AH50" i="18"/>
  <c r="AI50" i="18"/>
  <c r="AJ50" i="18"/>
  <c r="AK50" i="18"/>
  <c r="AL50" i="18"/>
  <c r="AM50" i="18"/>
  <c r="AN50" i="18"/>
  <c r="AO50" i="18"/>
  <c r="AP50" i="18"/>
  <c r="AQ50" i="18"/>
  <c r="AR50" i="18"/>
  <c r="AS50" i="18"/>
  <c r="AT50" i="18"/>
  <c r="AU50" i="18"/>
  <c r="AV50" i="18"/>
  <c r="AW50" i="18"/>
  <c r="AX50" i="18"/>
  <c r="AY50" i="18"/>
  <c r="AZ50" i="18"/>
  <c r="BA50" i="18"/>
  <c r="BB50" i="18"/>
  <c r="BC50" i="18"/>
  <c r="BD50" i="18"/>
  <c r="BE50" i="18"/>
  <c r="BF50" i="18"/>
  <c r="BG50" i="18"/>
  <c r="BH50" i="18"/>
  <c r="BI50" i="18"/>
  <c r="BJ50" i="18"/>
  <c r="BK50" i="18"/>
  <c r="BL50" i="18"/>
  <c r="BM50" i="18"/>
  <c r="BN50" i="18"/>
  <c r="BO50" i="18"/>
  <c r="BP50" i="18"/>
  <c r="BQ50" i="18"/>
  <c r="BR50" i="18"/>
  <c r="BS50" i="18"/>
  <c r="BT50" i="18"/>
  <c r="B51" i="18"/>
  <c r="C51" i="18"/>
  <c r="D51" i="18"/>
  <c r="E51" i="18"/>
  <c r="F51" i="18"/>
  <c r="G51" i="18"/>
  <c r="H51" i="18"/>
  <c r="I51" i="18"/>
  <c r="J51" i="18"/>
  <c r="K51" i="18"/>
  <c r="L51" i="18"/>
  <c r="M51" i="18"/>
  <c r="N51" i="18"/>
  <c r="O51" i="18"/>
  <c r="P51" i="18"/>
  <c r="Q51" i="18"/>
  <c r="R51" i="18"/>
  <c r="S51" i="18"/>
  <c r="T51" i="18"/>
  <c r="U51" i="18"/>
  <c r="V51" i="18"/>
  <c r="W51" i="18"/>
  <c r="X51" i="18"/>
  <c r="Y51" i="18"/>
  <c r="Z51" i="18"/>
  <c r="AA51" i="18"/>
  <c r="AB51" i="18"/>
  <c r="AC51" i="18"/>
  <c r="AD51" i="18"/>
  <c r="AE51" i="18"/>
  <c r="AF51" i="18"/>
  <c r="AG51" i="18"/>
  <c r="AH51" i="18"/>
  <c r="AI51" i="18"/>
  <c r="AJ51" i="18"/>
  <c r="AK51" i="18"/>
  <c r="AL51" i="18"/>
  <c r="AM51" i="18"/>
  <c r="AN51" i="18"/>
  <c r="AO51" i="18"/>
  <c r="AP51" i="18"/>
  <c r="AQ51" i="18"/>
  <c r="AR51" i="18"/>
  <c r="AS51" i="18"/>
  <c r="AT51" i="18"/>
  <c r="AU51" i="18"/>
  <c r="AV51" i="18"/>
  <c r="AW51" i="18"/>
  <c r="AX51" i="18"/>
  <c r="AY51" i="18"/>
  <c r="AZ51" i="18"/>
  <c r="BA51" i="18"/>
  <c r="BB51" i="18"/>
  <c r="BC51" i="18"/>
  <c r="BD51" i="18"/>
  <c r="BE51" i="18"/>
  <c r="BF51" i="18"/>
  <c r="BG51" i="18"/>
  <c r="BH51" i="18"/>
  <c r="BI51" i="18"/>
  <c r="BJ51" i="18"/>
  <c r="BK51" i="18"/>
  <c r="BL51" i="18"/>
  <c r="BM51" i="18"/>
  <c r="BN51" i="18"/>
  <c r="BO51" i="18"/>
  <c r="BP51" i="18"/>
  <c r="BQ51" i="18"/>
  <c r="BR51" i="18"/>
  <c r="BS51" i="18"/>
  <c r="BT51" i="18"/>
  <c r="B52" i="18"/>
  <c r="C52" i="18"/>
  <c r="D52" i="18"/>
  <c r="E52" i="18"/>
  <c r="F52" i="18"/>
  <c r="G52" i="18"/>
  <c r="H52" i="18"/>
  <c r="I52" i="18"/>
  <c r="J52" i="18"/>
  <c r="K52" i="18"/>
  <c r="L52" i="18"/>
  <c r="M52" i="18"/>
  <c r="N52" i="18"/>
  <c r="O52" i="18"/>
  <c r="P52" i="18"/>
  <c r="Q52" i="18"/>
  <c r="R52" i="18"/>
  <c r="S52" i="18"/>
  <c r="T52" i="18"/>
  <c r="U52" i="18"/>
  <c r="V52" i="18"/>
  <c r="W52" i="18"/>
  <c r="X52" i="18"/>
  <c r="Y52" i="18"/>
  <c r="Z52" i="18"/>
  <c r="AA52" i="18"/>
  <c r="AB52" i="18"/>
  <c r="AC52" i="18"/>
  <c r="AD52" i="18"/>
  <c r="AE52" i="18"/>
  <c r="AF52" i="18"/>
  <c r="AG52" i="18"/>
  <c r="AH52" i="18"/>
  <c r="AI52" i="18"/>
  <c r="AJ52" i="18"/>
  <c r="AK52" i="18"/>
  <c r="AL52" i="18"/>
  <c r="AM52" i="18"/>
  <c r="AN52" i="18"/>
  <c r="AO52" i="18"/>
  <c r="AP52" i="18"/>
  <c r="AQ52" i="18"/>
  <c r="AR52" i="18"/>
  <c r="AS52" i="18"/>
  <c r="AT52" i="18"/>
  <c r="AU52" i="18"/>
  <c r="AV52" i="18"/>
  <c r="AW52" i="18"/>
  <c r="AX52" i="18"/>
  <c r="AY52" i="18"/>
  <c r="AZ52" i="18"/>
  <c r="BA52" i="18"/>
  <c r="BB52" i="18"/>
  <c r="BC52" i="18"/>
  <c r="BD52" i="18"/>
  <c r="BE52" i="18"/>
  <c r="BF52" i="18"/>
  <c r="BG52" i="18"/>
  <c r="BH52" i="18"/>
  <c r="BI52" i="18"/>
  <c r="BJ52" i="18"/>
  <c r="BK52" i="18"/>
  <c r="BL52" i="18"/>
  <c r="BM52" i="18"/>
  <c r="BN52" i="18"/>
  <c r="BO52" i="18"/>
  <c r="BP52" i="18"/>
  <c r="BQ52" i="18"/>
  <c r="BR52" i="18"/>
  <c r="BS52" i="18"/>
  <c r="BT52" i="18"/>
  <c r="B53" i="18"/>
  <c r="C53" i="18"/>
  <c r="D53" i="18"/>
  <c r="E53" i="18"/>
  <c r="F53" i="18"/>
  <c r="G53" i="18"/>
  <c r="H53" i="18"/>
  <c r="I53" i="18"/>
  <c r="J53" i="18"/>
  <c r="K53" i="18"/>
  <c r="L53" i="18"/>
  <c r="M53" i="18"/>
  <c r="N53" i="18"/>
  <c r="O53" i="18"/>
  <c r="P53" i="18"/>
  <c r="Q53" i="18"/>
  <c r="R53" i="18"/>
  <c r="S53" i="18"/>
  <c r="T53" i="18"/>
  <c r="U53" i="18"/>
  <c r="V53" i="18"/>
  <c r="W53" i="18"/>
  <c r="X53" i="18"/>
  <c r="Y53" i="18"/>
  <c r="Z53" i="18"/>
  <c r="AA53" i="18"/>
  <c r="AB53" i="18"/>
  <c r="AC53" i="18"/>
  <c r="AD53" i="18"/>
  <c r="AE53" i="18"/>
  <c r="AF53" i="18"/>
  <c r="AG53" i="18"/>
  <c r="AH53" i="18"/>
  <c r="AI53" i="18"/>
  <c r="AJ53" i="18"/>
  <c r="AK53" i="18"/>
  <c r="AL53" i="18"/>
  <c r="AM53" i="18"/>
  <c r="AN53" i="18"/>
  <c r="AO53" i="18"/>
  <c r="AP53" i="18"/>
  <c r="AQ53" i="18"/>
  <c r="AR53" i="18"/>
  <c r="AS53" i="18"/>
  <c r="AT53" i="18"/>
  <c r="AU53" i="18"/>
  <c r="AV53" i="18"/>
  <c r="AW53" i="18"/>
  <c r="AX53" i="18"/>
  <c r="AY53" i="18"/>
  <c r="AZ53" i="18"/>
  <c r="BA53" i="18"/>
  <c r="BB53" i="18"/>
  <c r="BC53" i="18"/>
  <c r="BD53" i="18"/>
  <c r="BE53" i="18"/>
  <c r="BF53" i="18"/>
  <c r="BG53" i="18"/>
  <c r="BH53" i="18"/>
  <c r="BI53" i="18"/>
  <c r="BJ53" i="18"/>
  <c r="BK53" i="18"/>
  <c r="BL53" i="18"/>
  <c r="BM53" i="18"/>
  <c r="BN53" i="18"/>
  <c r="BO53" i="18"/>
  <c r="BP53" i="18"/>
  <c r="BQ53" i="18"/>
  <c r="BR53" i="18"/>
  <c r="BS53" i="18"/>
  <c r="BT53" i="18"/>
  <c r="B54" i="18"/>
  <c r="C54" i="18"/>
  <c r="D54" i="18"/>
  <c r="E54" i="18"/>
  <c r="F54" i="18"/>
  <c r="G54" i="18"/>
  <c r="H54" i="18"/>
  <c r="I54" i="18"/>
  <c r="J54" i="18"/>
  <c r="K54" i="18"/>
  <c r="L54" i="18"/>
  <c r="M54" i="18"/>
  <c r="N54" i="18"/>
  <c r="O54" i="18"/>
  <c r="P54" i="18"/>
  <c r="Q54" i="18"/>
  <c r="R54" i="18"/>
  <c r="S54" i="18"/>
  <c r="T54" i="18"/>
  <c r="U54" i="18"/>
  <c r="V54" i="18"/>
  <c r="W54" i="18"/>
  <c r="X54" i="18"/>
  <c r="Y54" i="18"/>
  <c r="Z54" i="18"/>
  <c r="AA54" i="18"/>
  <c r="AB54" i="18"/>
  <c r="AC54" i="18"/>
  <c r="AD54" i="18"/>
  <c r="AE54" i="18"/>
  <c r="AF54" i="18"/>
  <c r="AG54" i="18"/>
  <c r="AH54" i="18"/>
  <c r="AI54" i="18"/>
  <c r="AJ54" i="18"/>
  <c r="AK54" i="18"/>
  <c r="AL54" i="18"/>
  <c r="AM54" i="18"/>
  <c r="AN54" i="18"/>
  <c r="AO54" i="18"/>
  <c r="AP54" i="18"/>
  <c r="AQ54" i="18"/>
  <c r="AR54" i="18"/>
  <c r="AS54" i="18"/>
  <c r="AT54" i="18"/>
  <c r="AU54" i="18"/>
  <c r="AV54" i="18"/>
  <c r="AW54" i="18"/>
  <c r="AX54" i="18"/>
  <c r="AY54" i="18"/>
  <c r="AZ54" i="18"/>
  <c r="BA54" i="18"/>
  <c r="BB54" i="18"/>
  <c r="BC54" i="18"/>
  <c r="BD54" i="18"/>
  <c r="BE54" i="18"/>
  <c r="BF54" i="18"/>
  <c r="BG54" i="18"/>
  <c r="BH54" i="18"/>
  <c r="BI54" i="18"/>
  <c r="BJ54" i="18"/>
  <c r="BK54" i="18"/>
  <c r="BL54" i="18"/>
  <c r="BM54" i="18"/>
  <c r="BN54" i="18"/>
  <c r="BO54" i="18"/>
  <c r="BP54" i="18"/>
  <c r="BQ54" i="18"/>
  <c r="BR54" i="18"/>
  <c r="BS54" i="18"/>
  <c r="BT54" i="18"/>
  <c r="B55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O55" i="18"/>
  <c r="P55" i="18"/>
  <c r="Q55" i="18"/>
  <c r="R55" i="18"/>
  <c r="S55" i="18"/>
  <c r="T55" i="18"/>
  <c r="U55" i="18"/>
  <c r="V55" i="18"/>
  <c r="W55" i="18"/>
  <c r="X55" i="18"/>
  <c r="Y55" i="18"/>
  <c r="Z55" i="18"/>
  <c r="AA55" i="18"/>
  <c r="AB55" i="18"/>
  <c r="AC55" i="18"/>
  <c r="AD55" i="18"/>
  <c r="AE55" i="18"/>
  <c r="AF55" i="18"/>
  <c r="AG55" i="18"/>
  <c r="AH55" i="18"/>
  <c r="AI55" i="18"/>
  <c r="AJ55" i="18"/>
  <c r="AK55" i="18"/>
  <c r="AL55" i="18"/>
  <c r="AM55" i="18"/>
  <c r="AN55" i="18"/>
  <c r="AO55" i="18"/>
  <c r="AP55" i="18"/>
  <c r="AQ55" i="18"/>
  <c r="AR55" i="18"/>
  <c r="AS55" i="18"/>
  <c r="AT55" i="18"/>
  <c r="AU55" i="18"/>
  <c r="AV55" i="18"/>
  <c r="AW55" i="18"/>
  <c r="AX55" i="18"/>
  <c r="AY55" i="18"/>
  <c r="AZ55" i="18"/>
  <c r="BA55" i="18"/>
  <c r="BB55" i="18"/>
  <c r="BC55" i="18"/>
  <c r="BD55" i="18"/>
  <c r="BE55" i="18"/>
  <c r="BF55" i="18"/>
  <c r="BG55" i="18"/>
  <c r="BH55" i="18"/>
  <c r="BI55" i="18"/>
  <c r="BJ55" i="18"/>
  <c r="BK55" i="18"/>
  <c r="BL55" i="18"/>
  <c r="BM55" i="18"/>
  <c r="BN55" i="18"/>
  <c r="BO55" i="18"/>
  <c r="BP55" i="18"/>
  <c r="BQ55" i="18"/>
  <c r="BR55" i="18"/>
  <c r="BS55" i="18"/>
  <c r="BT55" i="18"/>
  <c r="B56" i="18"/>
  <c r="C56" i="18"/>
  <c r="D56" i="18"/>
  <c r="E56" i="18"/>
  <c r="F56" i="18"/>
  <c r="G56" i="18"/>
  <c r="H56" i="18"/>
  <c r="I56" i="18"/>
  <c r="J56" i="18"/>
  <c r="K56" i="18"/>
  <c r="L56" i="18"/>
  <c r="M56" i="18"/>
  <c r="N56" i="18"/>
  <c r="O56" i="18"/>
  <c r="P56" i="18"/>
  <c r="Q56" i="18"/>
  <c r="R56" i="18"/>
  <c r="S56" i="18"/>
  <c r="T56" i="18"/>
  <c r="U56" i="18"/>
  <c r="V56" i="18"/>
  <c r="W56" i="18"/>
  <c r="X56" i="18"/>
  <c r="Y56" i="18"/>
  <c r="Z56" i="18"/>
  <c r="AA56" i="18"/>
  <c r="AB56" i="18"/>
  <c r="AC56" i="18"/>
  <c r="AD56" i="18"/>
  <c r="AE56" i="18"/>
  <c r="AF56" i="18"/>
  <c r="AG56" i="18"/>
  <c r="AH56" i="18"/>
  <c r="AI56" i="18"/>
  <c r="AJ56" i="18"/>
  <c r="AK56" i="18"/>
  <c r="AL56" i="18"/>
  <c r="AM56" i="18"/>
  <c r="AN56" i="18"/>
  <c r="AO56" i="18"/>
  <c r="AP56" i="18"/>
  <c r="AQ56" i="18"/>
  <c r="AR56" i="18"/>
  <c r="AS56" i="18"/>
  <c r="AT56" i="18"/>
  <c r="AU56" i="18"/>
  <c r="AV56" i="18"/>
  <c r="AW56" i="18"/>
  <c r="AX56" i="18"/>
  <c r="AY56" i="18"/>
  <c r="AZ56" i="18"/>
  <c r="BA56" i="18"/>
  <c r="BB56" i="18"/>
  <c r="BC56" i="18"/>
  <c r="BD56" i="18"/>
  <c r="BE56" i="18"/>
  <c r="BF56" i="18"/>
  <c r="BG56" i="18"/>
  <c r="BH56" i="18"/>
  <c r="BI56" i="18"/>
  <c r="BJ56" i="18"/>
  <c r="BK56" i="18"/>
  <c r="BL56" i="18"/>
  <c r="BM56" i="18"/>
  <c r="BN56" i="18"/>
  <c r="BO56" i="18"/>
  <c r="BP56" i="18"/>
  <c r="BQ56" i="18"/>
  <c r="BR56" i="18"/>
  <c r="BS56" i="18"/>
  <c r="BT56" i="18"/>
  <c r="B57" i="18"/>
  <c r="C57" i="18"/>
  <c r="D57" i="18"/>
  <c r="E57" i="18"/>
  <c r="F57" i="18"/>
  <c r="G57" i="18"/>
  <c r="H57" i="18"/>
  <c r="I57" i="18"/>
  <c r="J57" i="18"/>
  <c r="K57" i="18"/>
  <c r="L57" i="18"/>
  <c r="M57" i="18"/>
  <c r="N57" i="18"/>
  <c r="O57" i="18"/>
  <c r="P57" i="18"/>
  <c r="Q57" i="18"/>
  <c r="R57" i="18"/>
  <c r="S57" i="18"/>
  <c r="T57" i="18"/>
  <c r="U57" i="18"/>
  <c r="V57" i="18"/>
  <c r="W57" i="18"/>
  <c r="X57" i="18"/>
  <c r="Y57" i="18"/>
  <c r="Z57" i="18"/>
  <c r="AA57" i="18"/>
  <c r="AB57" i="18"/>
  <c r="AC57" i="18"/>
  <c r="AD57" i="18"/>
  <c r="AE57" i="18"/>
  <c r="AF57" i="18"/>
  <c r="AG57" i="18"/>
  <c r="AH57" i="18"/>
  <c r="AI57" i="18"/>
  <c r="AJ57" i="18"/>
  <c r="AK57" i="18"/>
  <c r="AL57" i="18"/>
  <c r="AM57" i="18"/>
  <c r="AN57" i="18"/>
  <c r="AO57" i="18"/>
  <c r="AP57" i="18"/>
  <c r="AQ57" i="18"/>
  <c r="AR57" i="18"/>
  <c r="AS57" i="18"/>
  <c r="AT57" i="18"/>
  <c r="AU57" i="18"/>
  <c r="AV57" i="18"/>
  <c r="AW57" i="18"/>
  <c r="AX57" i="18"/>
  <c r="AY57" i="18"/>
  <c r="AZ57" i="18"/>
  <c r="BA57" i="18"/>
  <c r="BB57" i="18"/>
  <c r="BC57" i="18"/>
  <c r="BD57" i="18"/>
  <c r="BE57" i="18"/>
  <c r="BF57" i="18"/>
  <c r="BG57" i="18"/>
  <c r="BH57" i="18"/>
  <c r="BI57" i="18"/>
  <c r="BJ57" i="18"/>
  <c r="BK57" i="18"/>
  <c r="BL57" i="18"/>
  <c r="BM57" i="18"/>
  <c r="BN57" i="18"/>
  <c r="BO57" i="18"/>
  <c r="BP57" i="18"/>
  <c r="BQ57" i="18"/>
  <c r="BR57" i="18"/>
  <c r="BS57" i="18"/>
  <c r="BT57" i="18"/>
  <c r="B58" i="18"/>
  <c r="C58" i="18"/>
  <c r="D58" i="18"/>
  <c r="E58" i="18"/>
  <c r="F58" i="18"/>
  <c r="G58" i="18"/>
  <c r="H58" i="18"/>
  <c r="I58" i="18"/>
  <c r="J58" i="18"/>
  <c r="K58" i="18"/>
  <c r="L58" i="18"/>
  <c r="M58" i="18"/>
  <c r="N58" i="18"/>
  <c r="O58" i="18"/>
  <c r="P58" i="18"/>
  <c r="Q58" i="18"/>
  <c r="R58" i="18"/>
  <c r="S58" i="18"/>
  <c r="T58" i="18"/>
  <c r="U58" i="18"/>
  <c r="V58" i="18"/>
  <c r="W58" i="18"/>
  <c r="X58" i="18"/>
  <c r="Y58" i="18"/>
  <c r="Z58" i="18"/>
  <c r="AA58" i="18"/>
  <c r="AB58" i="18"/>
  <c r="AC58" i="18"/>
  <c r="AD58" i="18"/>
  <c r="AE58" i="18"/>
  <c r="AF58" i="18"/>
  <c r="AG58" i="18"/>
  <c r="AH58" i="18"/>
  <c r="AI58" i="18"/>
  <c r="AJ58" i="18"/>
  <c r="AK58" i="18"/>
  <c r="AL58" i="18"/>
  <c r="AM58" i="18"/>
  <c r="AN58" i="18"/>
  <c r="AO58" i="18"/>
  <c r="AP58" i="18"/>
  <c r="AQ58" i="18"/>
  <c r="AR58" i="18"/>
  <c r="AS58" i="18"/>
  <c r="AT58" i="18"/>
  <c r="AU58" i="18"/>
  <c r="AV58" i="18"/>
  <c r="AW58" i="18"/>
  <c r="AX58" i="18"/>
  <c r="AY58" i="18"/>
  <c r="AZ58" i="18"/>
  <c r="BA58" i="18"/>
  <c r="BB58" i="18"/>
  <c r="BC58" i="18"/>
  <c r="BD58" i="18"/>
  <c r="BE58" i="18"/>
  <c r="BF58" i="18"/>
  <c r="BG58" i="18"/>
  <c r="BH58" i="18"/>
  <c r="BI58" i="18"/>
  <c r="BJ58" i="18"/>
  <c r="BK58" i="18"/>
  <c r="BL58" i="18"/>
  <c r="BM58" i="18"/>
  <c r="BN58" i="18"/>
  <c r="BO58" i="18"/>
  <c r="BP58" i="18"/>
  <c r="BQ58" i="18"/>
  <c r="BR58" i="18"/>
  <c r="BS58" i="18"/>
  <c r="BT58" i="18"/>
  <c r="B59" i="18"/>
  <c r="C59" i="18"/>
  <c r="D59" i="18"/>
  <c r="E59" i="18"/>
  <c r="F59" i="18"/>
  <c r="G59" i="18"/>
  <c r="H59" i="18"/>
  <c r="I59" i="18"/>
  <c r="J59" i="18"/>
  <c r="K59" i="18"/>
  <c r="L59" i="18"/>
  <c r="M59" i="18"/>
  <c r="N59" i="18"/>
  <c r="O59" i="18"/>
  <c r="P59" i="18"/>
  <c r="Q59" i="18"/>
  <c r="R59" i="18"/>
  <c r="S59" i="18"/>
  <c r="T59" i="18"/>
  <c r="U59" i="18"/>
  <c r="V59" i="18"/>
  <c r="W59" i="18"/>
  <c r="X59" i="18"/>
  <c r="Y59" i="18"/>
  <c r="Z59" i="18"/>
  <c r="AA59" i="18"/>
  <c r="AB59" i="18"/>
  <c r="AC59" i="18"/>
  <c r="AD59" i="18"/>
  <c r="AE59" i="18"/>
  <c r="AF59" i="18"/>
  <c r="AG59" i="18"/>
  <c r="AH59" i="18"/>
  <c r="AI59" i="18"/>
  <c r="AJ59" i="18"/>
  <c r="AK59" i="18"/>
  <c r="AL59" i="18"/>
  <c r="AM59" i="18"/>
  <c r="AN59" i="18"/>
  <c r="AO59" i="18"/>
  <c r="AP59" i="18"/>
  <c r="AQ59" i="18"/>
  <c r="AR59" i="18"/>
  <c r="AS59" i="18"/>
  <c r="AT59" i="18"/>
  <c r="AU59" i="18"/>
  <c r="AV59" i="18"/>
  <c r="AW59" i="18"/>
  <c r="AX59" i="18"/>
  <c r="AY59" i="18"/>
  <c r="AZ59" i="18"/>
  <c r="BA59" i="18"/>
  <c r="BB59" i="18"/>
  <c r="BC59" i="18"/>
  <c r="BD59" i="18"/>
  <c r="BE59" i="18"/>
  <c r="BF59" i="18"/>
  <c r="BG59" i="18"/>
  <c r="BH59" i="18"/>
  <c r="BI59" i="18"/>
  <c r="BJ59" i="18"/>
  <c r="BK59" i="18"/>
  <c r="BL59" i="18"/>
  <c r="BM59" i="18"/>
  <c r="BN59" i="18"/>
  <c r="BO59" i="18"/>
  <c r="BP59" i="18"/>
  <c r="BQ59" i="18"/>
  <c r="BR59" i="18"/>
  <c r="BS59" i="18"/>
  <c r="BT59" i="18"/>
  <c r="B60" i="18"/>
  <c r="C60" i="18"/>
  <c r="D60" i="18"/>
  <c r="E60" i="18"/>
  <c r="F60" i="18"/>
  <c r="G60" i="18"/>
  <c r="H60" i="18"/>
  <c r="I60" i="18"/>
  <c r="J60" i="18"/>
  <c r="K60" i="18"/>
  <c r="L60" i="18"/>
  <c r="M60" i="18"/>
  <c r="N60" i="18"/>
  <c r="O60" i="18"/>
  <c r="P60" i="18"/>
  <c r="Q60" i="18"/>
  <c r="R60" i="18"/>
  <c r="S60" i="18"/>
  <c r="T60" i="18"/>
  <c r="U60" i="18"/>
  <c r="V60" i="18"/>
  <c r="W60" i="18"/>
  <c r="X60" i="18"/>
  <c r="Y60" i="18"/>
  <c r="Z60" i="18"/>
  <c r="AA60" i="18"/>
  <c r="AB60" i="18"/>
  <c r="AC60" i="18"/>
  <c r="AD60" i="18"/>
  <c r="AE60" i="18"/>
  <c r="AF60" i="18"/>
  <c r="AG60" i="18"/>
  <c r="AH60" i="18"/>
  <c r="AI60" i="18"/>
  <c r="AJ60" i="18"/>
  <c r="AK60" i="18"/>
  <c r="AL60" i="18"/>
  <c r="AM60" i="18"/>
  <c r="AN60" i="18"/>
  <c r="AO60" i="18"/>
  <c r="AP60" i="18"/>
  <c r="AQ60" i="18"/>
  <c r="AR60" i="18"/>
  <c r="AS60" i="18"/>
  <c r="AT60" i="18"/>
  <c r="AU60" i="18"/>
  <c r="AV60" i="18"/>
  <c r="AW60" i="18"/>
  <c r="AX60" i="18"/>
  <c r="AY60" i="18"/>
  <c r="AZ60" i="18"/>
  <c r="BA60" i="18"/>
  <c r="BB60" i="18"/>
  <c r="BC60" i="18"/>
  <c r="BD60" i="18"/>
  <c r="BE60" i="18"/>
  <c r="BF60" i="18"/>
  <c r="BG60" i="18"/>
  <c r="BH60" i="18"/>
  <c r="BI60" i="18"/>
  <c r="BJ60" i="18"/>
  <c r="BK60" i="18"/>
  <c r="BL60" i="18"/>
  <c r="BM60" i="18"/>
  <c r="BN60" i="18"/>
  <c r="BO60" i="18"/>
  <c r="BP60" i="18"/>
  <c r="BQ60" i="18"/>
  <c r="BR60" i="18"/>
  <c r="BS60" i="18"/>
  <c r="BT60" i="18"/>
  <c r="B61" i="18"/>
  <c r="C61" i="18"/>
  <c r="D61" i="18"/>
  <c r="E61" i="18"/>
  <c r="F61" i="18"/>
  <c r="G61" i="18"/>
  <c r="H61" i="18"/>
  <c r="I61" i="18"/>
  <c r="J61" i="18"/>
  <c r="K61" i="18"/>
  <c r="L61" i="18"/>
  <c r="M61" i="18"/>
  <c r="N61" i="18"/>
  <c r="O61" i="18"/>
  <c r="P61" i="18"/>
  <c r="Q61" i="18"/>
  <c r="R61" i="18"/>
  <c r="S61" i="18"/>
  <c r="T61" i="18"/>
  <c r="U61" i="18"/>
  <c r="V61" i="18"/>
  <c r="W61" i="18"/>
  <c r="X61" i="18"/>
  <c r="Y61" i="18"/>
  <c r="Z61" i="18"/>
  <c r="AA61" i="18"/>
  <c r="AB61" i="18"/>
  <c r="AC61" i="18"/>
  <c r="AD61" i="18"/>
  <c r="AE61" i="18"/>
  <c r="AF61" i="18"/>
  <c r="AG61" i="18"/>
  <c r="AH61" i="18"/>
  <c r="AI61" i="18"/>
  <c r="AJ61" i="18"/>
  <c r="AK61" i="18"/>
  <c r="AL61" i="18"/>
  <c r="AM61" i="18"/>
  <c r="AN61" i="18"/>
  <c r="AO61" i="18"/>
  <c r="AP61" i="18"/>
  <c r="AQ61" i="18"/>
  <c r="AR61" i="18"/>
  <c r="AS61" i="18"/>
  <c r="AT61" i="18"/>
  <c r="AU61" i="18"/>
  <c r="AV61" i="18"/>
  <c r="AW61" i="18"/>
  <c r="AX61" i="18"/>
  <c r="AY61" i="18"/>
  <c r="AZ61" i="18"/>
  <c r="BA61" i="18"/>
  <c r="BB61" i="18"/>
  <c r="BC61" i="18"/>
  <c r="BD61" i="18"/>
  <c r="BE61" i="18"/>
  <c r="BF61" i="18"/>
  <c r="BG61" i="18"/>
  <c r="BH61" i="18"/>
  <c r="BI61" i="18"/>
  <c r="BJ61" i="18"/>
  <c r="BK61" i="18"/>
  <c r="BL61" i="18"/>
  <c r="BM61" i="18"/>
  <c r="BN61" i="18"/>
  <c r="BO61" i="18"/>
  <c r="BP61" i="18"/>
  <c r="BQ61" i="18"/>
  <c r="BR61" i="18"/>
  <c r="BS61" i="18"/>
  <c r="BT61" i="18"/>
  <c r="B62" i="18"/>
  <c r="C62" i="18"/>
  <c r="D62" i="18"/>
  <c r="E62" i="18"/>
  <c r="F62" i="18"/>
  <c r="G62" i="18"/>
  <c r="H62" i="18"/>
  <c r="I62" i="18"/>
  <c r="J62" i="18"/>
  <c r="K62" i="18"/>
  <c r="L62" i="18"/>
  <c r="M62" i="18"/>
  <c r="N62" i="18"/>
  <c r="O62" i="18"/>
  <c r="P62" i="18"/>
  <c r="Q62" i="18"/>
  <c r="R62" i="18"/>
  <c r="S62" i="18"/>
  <c r="T62" i="18"/>
  <c r="U62" i="18"/>
  <c r="V62" i="18"/>
  <c r="W62" i="18"/>
  <c r="X62" i="18"/>
  <c r="Y62" i="18"/>
  <c r="Z62" i="18"/>
  <c r="AA62" i="18"/>
  <c r="AB62" i="18"/>
  <c r="AC62" i="18"/>
  <c r="AD62" i="18"/>
  <c r="AE62" i="18"/>
  <c r="AF62" i="18"/>
  <c r="AG62" i="18"/>
  <c r="AH62" i="18"/>
  <c r="AI62" i="18"/>
  <c r="AJ62" i="18"/>
  <c r="AK62" i="18"/>
  <c r="AL62" i="18"/>
  <c r="AM62" i="18"/>
  <c r="AN62" i="18"/>
  <c r="AO62" i="18"/>
  <c r="AP62" i="18"/>
  <c r="AQ62" i="18"/>
  <c r="AR62" i="18"/>
  <c r="AS62" i="18"/>
  <c r="AT62" i="18"/>
  <c r="AU62" i="18"/>
  <c r="AV62" i="18"/>
  <c r="AW62" i="18"/>
  <c r="AX62" i="18"/>
  <c r="AY62" i="18"/>
  <c r="AZ62" i="18"/>
  <c r="BA62" i="18"/>
  <c r="BB62" i="18"/>
  <c r="BC62" i="18"/>
  <c r="BD62" i="18"/>
  <c r="BE62" i="18"/>
  <c r="BF62" i="18"/>
  <c r="BG62" i="18"/>
  <c r="BH62" i="18"/>
  <c r="BI62" i="18"/>
  <c r="BJ62" i="18"/>
  <c r="BK62" i="18"/>
  <c r="BL62" i="18"/>
  <c r="BM62" i="18"/>
  <c r="BN62" i="18"/>
  <c r="BO62" i="18"/>
  <c r="BP62" i="18"/>
  <c r="BQ62" i="18"/>
  <c r="BR62" i="18"/>
  <c r="BS62" i="18"/>
  <c r="BT62" i="18"/>
  <c r="B63" i="18"/>
  <c r="C63" i="18"/>
  <c r="D63" i="18"/>
  <c r="E63" i="18"/>
  <c r="F63" i="18"/>
  <c r="G63" i="18"/>
  <c r="H63" i="18"/>
  <c r="I63" i="18"/>
  <c r="J63" i="18"/>
  <c r="K63" i="18"/>
  <c r="L63" i="18"/>
  <c r="M63" i="18"/>
  <c r="N63" i="18"/>
  <c r="O63" i="18"/>
  <c r="P63" i="18"/>
  <c r="Q63" i="18"/>
  <c r="R63" i="18"/>
  <c r="S63" i="18"/>
  <c r="T63" i="18"/>
  <c r="U63" i="18"/>
  <c r="V63" i="18"/>
  <c r="W63" i="18"/>
  <c r="X63" i="18"/>
  <c r="Y63" i="18"/>
  <c r="Z63" i="18"/>
  <c r="AA63" i="18"/>
  <c r="AB63" i="18"/>
  <c r="AC63" i="18"/>
  <c r="AD63" i="18"/>
  <c r="AE63" i="18"/>
  <c r="AF63" i="18"/>
  <c r="AG63" i="18"/>
  <c r="AH63" i="18"/>
  <c r="AI63" i="18"/>
  <c r="AJ63" i="18"/>
  <c r="AK63" i="18"/>
  <c r="AL63" i="18"/>
  <c r="AM63" i="18"/>
  <c r="AN63" i="18"/>
  <c r="AO63" i="18"/>
  <c r="AP63" i="18"/>
  <c r="AQ63" i="18"/>
  <c r="AR63" i="18"/>
  <c r="AS63" i="18"/>
  <c r="AT63" i="18"/>
  <c r="AU63" i="18"/>
  <c r="AV63" i="18"/>
  <c r="AW63" i="18"/>
  <c r="AX63" i="18"/>
  <c r="AY63" i="18"/>
  <c r="AZ63" i="18"/>
  <c r="BA63" i="18"/>
  <c r="BB63" i="18"/>
  <c r="BC63" i="18"/>
  <c r="BD63" i="18"/>
  <c r="BE63" i="18"/>
  <c r="BF63" i="18"/>
  <c r="BG63" i="18"/>
  <c r="BH63" i="18"/>
  <c r="BI63" i="18"/>
  <c r="BJ63" i="18"/>
  <c r="BK63" i="18"/>
  <c r="BL63" i="18"/>
  <c r="BM63" i="18"/>
  <c r="BN63" i="18"/>
  <c r="BO63" i="18"/>
  <c r="BP63" i="18"/>
  <c r="BQ63" i="18"/>
  <c r="BR63" i="18"/>
  <c r="BS63" i="18"/>
  <c r="BT63" i="18"/>
  <c r="B64" i="18"/>
  <c r="C64" i="18"/>
  <c r="D64" i="18"/>
  <c r="E64" i="18"/>
  <c r="F64" i="18"/>
  <c r="G64" i="18"/>
  <c r="H64" i="18"/>
  <c r="I64" i="18"/>
  <c r="J64" i="18"/>
  <c r="K64" i="18"/>
  <c r="L64" i="18"/>
  <c r="M64" i="18"/>
  <c r="N64" i="18"/>
  <c r="O64" i="18"/>
  <c r="P64" i="18"/>
  <c r="Q64" i="18"/>
  <c r="R64" i="18"/>
  <c r="S64" i="18"/>
  <c r="T64" i="18"/>
  <c r="U64" i="18"/>
  <c r="V64" i="18"/>
  <c r="W64" i="18"/>
  <c r="X64" i="18"/>
  <c r="Y64" i="18"/>
  <c r="Z64" i="18"/>
  <c r="AA64" i="18"/>
  <c r="AB64" i="18"/>
  <c r="AC64" i="18"/>
  <c r="AD64" i="18"/>
  <c r="AE64" i="18"/>
  <c r="AF64" i="18"/>
  <c r="AG64" i="18"/>
  <c r="AH64" i="18"/>
  <c r="AI64" i="18"/>
  <c r="AJ64" i="18"/>
  <c r="AK64" i="18"/>
  <c r="AL64" i="18"/>
  <c r="AM64" i="18"/>
  <c r="AN64" i="18"/>
  <c r="AO64" i="18"/>
  <c r="AP64" i="18"/>
  <c r="AQ64" i="18"/>
  <c r="AR64" i="18"/>
  <c r="AS64" i="18"/>
  <c r="AT64" i="18"/>
  <c r="AU64" i="18"/>
  <c r="AV64" i="18"/>
  <c r="AW64" i="18"/>
  <c r="AX64" i="18"/>
  <c r="AY64" i="18"/>
  <c r="AZ64" i="18"/>
  <c r="BA64" i="18"/>
  <c r="BB64" i="18"/>
  <c r="BC64" i="18"/>
  <c r="BD64" i="18"/>
  <c r="BE64" i="18"/>
  <c r="BF64" i="18"/>
  <c r="BG64" i="18"/>
  <c r="BH64" i="18"/>
  <c r="BI64" i="18"/>
  <c r="BJ64" i="18"/>
  <c r="BK64" i="18"/>
  <c r="BL64" i="18"/>
  <c r="BM64" i="18"/>
  <c r="BN64" i="18"/>
  <c r="BO64" i="18"/>
  <c r="BP64" i="18"/>
  <c r="BQ64" i="18"/>
  <c r="BR64" i="18"/>
  <c r="BS64" i="18"/>
  <c r="BT64" i="18"/>
  <c r="B65" i="18"/>
  <c r="C65" i="18"/>
  <c r="D65" i="18"/>
  <c r="E65" i="18"/>
  <c r="F65" i="18"/>
  <c r="G65" i="18"/>
  <c r="H65" i="18"/>
  <c r="I65" i="18"/>
  <c r="J65" i="18"/>
  <c r="K65" i="18"/>
  <c r="L65" i="18"/>
  <c r="M65" i="18"/>
  <c r="N65" i="18"/>
  <c r="O65" i="18"/>
  <c r="P65" i="18"/>
  <c r="Q65" i="18"/>
  <c r="R65" i="18"/>
  <c r="S65" i="18"/>
  <c r="T65" i="18"/>
  <c r="U65" i="18"/>
  <c r="V65" i="18"/>
  <c r="W65" i="18"/>
  <c r="X65" i="18"/>
  <c r="Y65" i="18"/>
  <c r="Z65" i="18"/>
  <c r="AA65" i="18"/>
  <c r="AB65" i="18"/>
  <c r="AC65" i="18"/>
  <c r="AD65" i="18"/>
  <c r="AE65" i="18"/>
  <c r="AF65" i="18"/>
  <c r="AG65" i="18"/>
  <c r="AH65" i="18"/>
  <c r="AI65" i="18"/>
  <c r="AJ65" i="18"/>
  <c r="AK65" i="18"/>
  <c r="AL65" i="18"/>
  <c r="AM65" i="18"/>
  <c r="AN65" i="18"/>
  <c r="AO65" i="18"/>
  <c r="AP65" i="18"/>
  <c r="AQ65" i="18"/>
  <c r="AR65" i="18"/>
  <c r="AS65" i="18"/>
  <c r="AT65" i="18"/>
  <c r="AU65" i="18"/>
  <c r="AV65" i="18"/>
  <c r="AW65" i="18"/>
  <c r="AX65" i="18"/>
  <c r="AY65" i="18"/>
  <c r="AZ65" i="18"/>
  <c r="BA65" i="18"/>
  <c r="BB65" i="18"/>
  <c r="BC65" i="18"/>
  <c r="BD65" i="18"/>
  <c r="BE65" i="18"/>
  <c r="BF65" i="18"/>
  <c r="BG65" i="18"/>
  <c r="BH65" i="18"/>
  <c r="BI65" i="18"/>
  <c r="BJ65" i="18"/>
  <c r="BK65" i="18"/>
  <c r="BL65" i="18"/>
  <c r="BM65" i="18"/>
  <c r="BN65" i="18"/>
  <c r="BO65" i="18"/>
  <c r="BP65" i="18"/>
  <c r="BQ65" i="18"/>
  <c r="BR65" i="18"/>
  <c r="BS65" i="18"/>
  <c r="BT65" i="18"/>
  <c r="B66" i="18"/>
  <c r="C66" i="18"/>
  <c r="D66" i="18"/>
  <c r="E66" i="18"/>
  <c r="F66" i="18"/>
  <c r="G66" i="18"/>
  <c r="H66" i="18"/>
  <c r="I66" i="18"/>
  <c r="J66" i="18"/>
  <c r="K66" i="18"/>
  <c r="L66" i="18"/>
  <c r="M66" i="18"/>
  <c r="N66" i="18"/>
  <c r="O66" i="18"/>
  <c r="P66" i="18"/>
  <c r="Q66" i="18"/>
  <c r="R66" i="18"/>
  <c r="S66" i="18"/>
  <c r="T66" i="18"/>
  <c r="U66" i="18"/>
  <c r="V66" i="18"/>
  <c r="W66" i="18"/>
  <c r="X66" i="18"/>
  <c r="Y66" i="18"/>
  <c r="Z66" i="18"/>
  <c r="AA66" i="18"/>
  <c r="AB66" i="18"/>
  <c r="AC66" i="18"/>
  <c r="AD66" i="18"/>
  <c r="AE66" i="18"/>
  <c r="AF66" i="18"/>
  <c r="AG66" i="18"/>
  <c r="AH66" i="18"/>
  <c r="AI66" i="18"/>
  <c r="AJ66" i="18"/>
  <c r="AK66" i="18"/>
  <c r="AL66" i="18"/>
  <c r="AM66" i="18"/>
  <c r="AN66" i="18"/>
  <c r="AO66" i="18"/>
  <c r="AP66" i="18"/>
  <c r="AQ66" i="18"/>
  <c r="AR66" i="18"/>
  <c r="AS66" i="18"/>
  <c r="AT66" i="18"/>
  <c r="AU66" i="18"/>
  <c r="AV66" i="18"/>
  <c r="AW66" i="18"/>
  <c r="AX66" i="18"/>
  <c r="AY66" i="18"/>
  <c r="AZ66" i="18"/>
  <c r="BA66" i="18"/>
  <c r="BB66" i="18"/>
  <c r="BC66" i="18"/>
  <c r="BD66" i="18"/>
  <c r="BE66" i="18"/>
  <c r="BF66" i="18"/>
  <c r="BG66" i="18"/>
  <c r="BH66" i="18"/>
  <c r="BI66" i="18"/>
  <c r="BJ66" i="18"/>
  <c r="BK66" i="18"/>
  <c r="BL66" i="18"/>
  <c r="BM66" i="18"/>
  <c r="BN66" i="18"/>
  <c r="BO66" i="18"/>
  <c r="BP66" i="18"/>
  <c r="BQ66" i="18"/>
  <c r="BR66" i="18"/>
  <c r="BS66" i="18"/>
  <c r="BT66" i="18"/>
  <c r="B67" i="18"/>
  <c r="C67" i="18"/>
  <c r="D67" i="18"/>
  <c r="E67" i="18"/>
  <c r="F67" i="18"/>
  <c r="G67" i="18"/>
  <c r="H67" i="18"/>
  <c r="I67" i="18"/>
  <c r="J67" i="18"/>
  <c r="K67" i="18"/>
  <c r="L67" i="18"/>
  <c r="M67" i="18"/>
  <c r="N67" i="18"/>
  <c r="O67" i="18"/>
  <c r="P67" i="18"/>
  <c r="Q67" i="18"/>
  <c r="R67" i="18"/>
  <c r="S67" i="18"/>
  <c r="T67" i="18"/>
  <c r="U67" i="18"/>
  <c r="V67" i="18"/>
  <c r="W67" i="18"/>
  <c r="X67" i="18"/>
  <c r="Y67" i="18"/>
  <c r="Z67" i="18"/>
  <c r="AA67" i="18"/>
  <c r="AB67" i="18"/>
  <c r="AC67" i="18"/>
  <c r="AD67" i="18"/>
  <c r="AE67" i="18"/>
  <c r="AF67" i="18"/>
  <c r="AG67" i="18"/>
  <c r="AH67" i="18"/>
  <c r="AI67" i="18"/>
  <c r="AJ67" i="18"/>
  <c r="AK67" i="18"/>
  <c r="AL67" i="18"/>
  <c r="AM67" i="18"/>
  <c r="AN67" i="18"/>
  <c r="AO67" i="18"/>
  <c r="AP67" i="18"/>
  <c r="AQ67" i="18"/>
  <c r="AR67" i="18"/>
  <c r="AS67" i="18"/>
  <c r="AT67" i="18"/>
  <c r="AU67" i="18"/>
  <c r="AV67" i="18"/>
  <c r="AW67" i="18"/>
  <c r="AX67" i="18"/>
  <c r="AY67" i="18"/>
  <c r="AZ67" i="18"/>
  <c r="BA67" i="18"/>
  <c r="BB67" i="18"/>
  <c r="BC67" i="18"/>
  <c r="BD67" i="18"/>
  <c r="BE67" i="18"/>
  <c r="BF67" i="18"/>
  <c r="BG67" i="18"/>
  <c r="BH67" i="18"/>
  <c r="BI67" i="18"/>
  <c r="BJ67" i="18"/>
  <c r="BK67" i="18"/>
  <c r="BL67" i="18"/>
  <c r="BM67" i="18"/>
  <c r="BN67" i="18"/>
  <c r="BO67" i="18"/>
  <c r="BP67" i="18"/>
  <c r="BQ67" i="18"/>
  <c r="BR67" i="18"/>
  <c r="BS67" i="18"/>
  <c r="BT67" i="18"/>
  <c r="B68" i="18"/>
  <c r="C68" i="18"/>
  <c r="D68" i="18"/>
  <c r="E68" i="18"/>
  <c r="F68" i="18"/>
  <c r="G68" i="18"/>
  <c r="H68" i="18"/>
  <c r="I68" i="18"/>
  <c r="J68" i="18"/>
  <c r="K68" i="18"/>
  <c r="L68" i="18"/>
  <c r="M68" i="18"/>
  <c r="N68" i="18"/>
  <c r="O68" i="18"/>
  <c r="P68" i="18"/>
  <c r="Q68" i="18"/>
  <c r="R68" i="18"/>
  <c r="S68" i="18"/>
  <c r="T68" i="18"/>
  <c r="U68" i="18"/>
  <c r="V68" i="18"/>
  <c r="W68" i="18"/>
  <c r="X68" i="18"/>
  <c r="Y68" i="18"/>
  <c r="Z68" i="18"/>
  <c r="AA68" i="18"/>
  <c r="AB68" i="18"/>
  <c r="AC68" i="18"/>
  <c r="AD68" i="18"/>
  <c r="AE68" i="18"/>
  <c r="AF68" i="18"/>
  <c r="AG68" i="18"/>
  <c r="AH68" i="18"/>
  <c r="AI68" i="18"/>
  <c r="AJ68" i="18"/>
  <c r="AK68" i="18"/>
  <c r="AL68" i="18"/>
  <c r="AM68" i="18"/>
  <c r="AN68" i="18"/>
  <c r="AO68" i="18"/>
  <c r="AP68" i="18"/>
  <c r="AQ68" i="18"/>
  <c r="AR68" i="18"/>
  <c r="AS68" i="18"/>
  <c r="AT68" i="18"/>
  <c r="AU68" i="18"/>
  <c r="AV68" i="18"/>
  <c r="AW68" i="18"/>
  <c r="AX68" i="18"/>
  <c r="AY68" i="18"/>
  <c r="AZ68" i="18"/>
  <c r="BA68" i="18"/>
  <c r="BB68" i="18"/>
  <c r="BC68" i="18"/>
  <c r="BD68" i="18"/>
  <c r="BE68" i="18"/>
  <c r="BF68" i="18"/>
  <c r="BG68" i="18"/>
  <c r="BH68" i="18"/>
  <c r="BI68" i="18"/>
  <c r="BJ68" i="18"/>
  <c r="BK68" i="18"/>
  <c r="BL68" i="18"/>
  <c r="BM68" i="18"/>
  <c r="BN68" i="18"/>
  <c r="BO68" i="18"/>
  <c r="BP68" i="18"/>
  <c r="BQ68" i="18"/>
  <c r="BR68" i="18"/>
  <c r="BS68" i="18"/>
  <c r="BT68" i="18"/>
  <c r="B69" i="18"/>
  <c r="C69" i="18"/>
  <c r="D69" i="18"/>
  <c r="E69" i="18"/>
  <c r="F69" i="18"/>
  <c r="G69" i="18"/>
  <c r="H69" i="18"/>
  <c r="I69" i="18"/>
  <c r="J69" i="18"/>
  <c r="K69" i="18"/>
  <c r="L69" i="18"/>
  <c r="M69" i="18"/>
  <c r="N69" i="18"/>
  <c r="O69" i="18"/>
  <c r="P69" i="18"/>
  <c r="Q69" i="18"/>
  <c r="R69" i="18"/>
  <c r="S69" i="18"/>
  <c r="T69" i="18"/>
  <c r="U69" i="18"/>
  <c r="V69" i="18"/>
  <c r="W69" i="18"/>
  <c r="X69" i="18"/>
  <c r="Y69" i="18"/>
  <c r="Z69" i="18"/>
  <c r="AA69" i="18"/>
  <c r="AB69" i="18"/>
  <c r="AC69" i="18"/>
  <c r="AD69" i="18"/>
  <c r="AE69" i="18"/>
  <c r="AF69" i="18"/>
  <c r="AG69" i="18"/>
  <c r="AH69" i="18"/>
  <c r="AI69" i="18"/>
  <c r="AJ69" i="18"/>
  <c r="AK69" i="18"/>
  <c r="AL69" i="18"/>
  <c r="AM69" i="18"/>
  <c r="AN69" i="18"/>
  <c r="AO69" i="18"/>
  <c r="AP69" i="18"/>
  <c r="AQ69" i="18"/>
  <c r="AR69" i="18"/>
  <c r="AS69" i="18"/>
  <c r="AT69" i="18"/>
  <c r="AU69" i="18"/>
  <c r="AV69" i="18"/>
  <c r="AW69" i="18"/>
  <c r="AX69" i="18"/>
  <c r="AY69" i="18"/>
  <c r="AZ69" i="18"/>
  <c r="BA69" i="18"/>
  <c r="BB69" i="18"/>
  <c r="BC69" i="18"/>
  <c r="BD69" i="18"/>
  <c r="BE69" i="18"/>
  <c r="BF69" i="18"/>
  <c r="BG69" i="18"/>
  <c r="BH69" i="18"/>
  <c r="BI69" i="18"/>
  <c r="BJ69" i="18"/>
  <c r="BK69" i="18"/>
  <c r="BL69" i="18"/>
  <c r="BM69" i="18"/>
  <c r="BN69" i="18"/>
  <c r="BO69" i="18"/>
  <c r="BP69" i="18"/>
  <c r="BQ69" i="18"/>
  <c r="BR69" i="18"/>
  <c r="BS69" i="18"/>
  <c r="BT69" i="18"/>
  <c r="B70" i="18"/>
  <c r="C70" i="18"/>
  <c r="D70" i="18"/>
  <c r="E70" i="18"/>
  <c r="F70" i="18"/>
  <c r="G70" i="18"/>
  <c r="H70" i="18"/>
  <c r="I70" i="18"/>
  <c r="J70" i="18"/>
  <c r="K70" i="18"/>
  <c r="L70" i="18"/>
  <c r="M70" i="18"/>
  <c r="N70" i="18"/>
  <c r="O70" i="18"/>
  <c r="P70" i="18"/>
  <c r="Q70" i="18"/>
  <c r="R70" i="18"/>
  <c r="S70" i="18"/>
  <c r="T70" i="18"/>
  <c r="U70" i="18"/>
  <c r="V70" i="18"/>
  <c r="W70" i="18"/>
  <c r="X70" i="18"/>
  <c r="Y70" i="18"/>
  <c r="Z70" i="18"/>
  <c r="AA70" i="18"/>
  <c r="AB70" i="18"/>
  <c r="AC70" i="18"/>
  <c r="AD70" i="18"/>
  <c r="AE70" i="18"/>
  <c r="AF70" i="18"/>
  <c r="AG70" i="18"/>
  <c r="AH70" i="18"/>
  <c r="AI70" i="18"/>
  <c r="AJ70" i="18"/>
  <c r="AK70" i="18"/>
  <c r="AL70" i="18"/>
  <c r="AM70" i="18"/>
  <c r="AN70" i="18"/>
  <c r="AO70" i="18"/>
  <c r="AP70" i="18"/>
  <c r="AQ70" i="18"/>
  <c r="AR70" i="18"/>
  <c r="AS70" i="18"/>
  <c r="AT70" i="18"/>
  <c r="AU70" i="18"/>
  <c r="AV70" i="18"/>
  <c r="AW70" i="18"/>
  <c r="AX70" i="18"/>
  <c r="AY70" i="18"/>
  <c r="AZ70" i="18"/>
  <c r="BA70" i="18"/>
  <c r="BB70" i="18"/>
  <c r="BC70" i="18"/>
  <c r="BD70" i="18"/>
  <c r="BE70" i="18"/>
  <c r="BF70" i="18"/>
  <c r="BG70" i="18"/>
  <c r="BH70" i="18"/>
  <c r="BI70" i="18"/>
  <c r="BJ70" i="18"/>
  <c r="BK70" i="18"/>
  <c r="BL70" i="18"/>
  <c r="BM70" i="18"/>
  <c r="BN70" i="18"/>
  <c r="BO70" i="18"/>
  <c r="BP70" i="18"/>
  <c r="BQ70" i="18"/>
  <c r="BR70" i="18"/>
  <c r="BS70" i="18"/>
  <c r="BT70" i="18"/>
  <c r="B71" i="18"/>
  <c r="C71" i="18"/>
  <c r="D71" i="18"/>
  <c r="E71" i="18"/>
  <c r="F71" i="18"/>
  <c r="G71" i="18"/>
  <c r="H71" i="18"/>
  <c r="I71" i="18"/>
  <c r="J71" i="18"/>
  <c r="K71" i="18"/>
  <c r="L71" i="18"/>
  <c r="M71" i="18"/>
  <c r="N71" i="18"/>
  <c r="O71" i="18"/>
  <c r="P71" i="18"/>
  <c r="Q71" i="18"/>
  <c r="R71" i="18"/>
  <c r="S71" i="18"/>
  <c r="T71" i="18"/>
  <c r="U71" i="18"/>
  <c r="V71" i="18"/>
  <c r="W71" i="18"/>
  <c r="X71" i="18"/>
  <c r="Y71" i="18"/>
  <c r="Z71" i="18"/>
  <c r="AA71" i="18"/>
  <c r="AB71" i="18"/>
  <c r="AC71" i="18"/>
  <c r="AD71" i="18"/>
  <c r="AE71" i="18"/>
  <c r="AF71" i="18"/>
  <c r="AG71" i="18"/>
  <c r="AH71" i="18"/>
  <c r="AI71" i="18"/>
  <c r="AJ71" i="18"/>
  <c r="AK71" i="18"/>
  <c r="AL71" i="18"/>
  <c r="AM71" i="18"/>
  <c r="AN71" i="18"/>
  <c r="AO71" i="18"/>
  <c r="AP71" i="18"/>
  <c r="AQ71" i="18"/>
  <c r="AR71" i="18"/>
  <c r="AS71" i="18"/>
  <c r="AT71" i="18"/>
  <c r="AU71" i="18"/>
  <c r="AV71" i="18"/>
  <c r="AW71" i="18"/>
  <c r="AX71" i="18"/>
  <c r="AY71" i="18"/>
  <c r="AZ71" i="18"/>
  <c r="BA71" i="18"/>
  <c r="BB71" i="18"/>
  <c r="BC71" i="18"/>
  <c r="BD71" i="18"/>
  <c r="BE71" i="18"/>
  <c r="BF71" i="18"/>
  <c r="BG71" i="18"/>
  <c r="BH71" i="18"/>
  <c r="BI71" i="18"/>
  <c r="BJ71" i="18"/>
  <c r="BK71" i="18"/>
  <c r="BL71" i="18"/>
  <c r="BM71" i="18"/>
  <c r="BN71" i="18"/>
  <c r="BO71" i="18"/>
  <c r="BP71" i="18"/>
  <c r="BQ71" i="18"/>
  <c r="BR71" i="18"/>
  <c r="BS71" i="18"/>
  <c r="BT71" i="18"/>
  <c r="B72" i="18"/>
  <c r="C72" i="18"/>
  <c r="D72" i="18"/>
  <c r="E72" i="18"/>
  <c r="F72" i="18"/>
  <c r="G72" i="18"/>
  <c r="H72" i="18"/>
  <c r="I72" i="18"/>
  <c r="J72" i="18"/>
  <c r="K72" i="18"/>
  <c r="L72" i="18"/>
  <c r="M72" i="18"/>
  <c r="N72" i="18"/>
  <c r="O72" i="18"/>
  <c r="P72" i="18"/>
  <c r="Q72" i="18"/>
  <c r="R72" i="18"/>
  <c r="S72" i="18"/>
  <c r="T72" i="18"/>
  <c r="U72" i="18"/>
  <c r="V72" i="18"/>
  <c r="W72" i="18"/>
  <c r="X72" i="18"/>
  <c r="Y72" i="18"/>
  <c r="Z72" i="18"/>
  <c r="AA72" i="18"/>
  <c r="AB72" i="18"/>
  <c r="AC72" i="18"/>
  <c r="AD72" i="18"/>
  <c r="AE72" i="18"/>
  <c r="AF72" i="18"/>
  <c r="AG72" i="18"/>
  <c r="AH72" i="18"/>
  <c r="AI72" i="18"/>
  <c r="AJ72" i="18"/>
  <c r="AK72" i="18"/>
  <c r="AL72" i="18"/>
  <c r="AM72" i="18"/>
  <c r="AN72" i="18"/>
  <c r="AO72" i="18"/>
  <c r="AP72" i="18"/>
  <c r="AQ72" i="18"/>
  <c r="AR72" i="18"/>
  <c r="AS72" i="18"/>
  <c r="AT72" i="18"/>
  <c r="AU72" i="18"/>
  <c r="AV72" i="18"/>
  <c r="AW72" i="18"/>
  <c r="AX72" i="18"/>
  <c r="AY72" i="18"/>
  <c r="AZ72" i="18"/>
  <c r="BA72" i="18"/>
  <c r="BB72" i="18"/>
  <c r="BC72" i="18"/>
  <c r="BD72" i="18"/>
  <c r="BE72" i="18"/>
  <c r="BF72" i="18"/>
  <c r="BG72" i="18"/>
  <c r="BH72" i="18"/>
  <c r="BI72" i="18"/>
  <c r="BJ72" i="18"/>
  <c r="BK72" i="18"/>
  <c r="BL72" i="18"/>
  <c r="BM72" i="18"/>
  <c r="BN72" i="18"/>
  <c r="BO72" i="18"/>
  <c r="BP72" i="18"/>
  <c r="BQ72" i="18"/>
  <c r="BR72" i="18"/>
  <c r="BS72" i="18"/>
  <c r="BT72" i="18"/>
  <c r="B73" i="18"/>
  <c r="C73" i="18"/>
  <c r="D73" i="18"/>
  <c r="E73" i="18"/>
  <c r="F73" i="18"/>
  <c r="G73" i="18"/>
  <c r="H73" i="18"/>
  <c r="I73" i="18"/>
  <c r="J73" i="18"/>
  <c r="K73" i="18"/>
  <c r="L73" i="18"/>
  <c r="M73" i="18"/>
  <c r="N73" i="18"/>
  <c r="O73" i="18"/>
  <c r="P73" i="18"/>
  <c r="Q73" i="18"/>
  <c r="R73" i="18"/>
  <c r="S73" i="18"/>
  <c r="T73" i="18"/>
  <c r="U73" i="18"/>
  <c r="V73" i="18"/>
  <c r="W73" i="18"/>
  <c r="X73" i="18"/>
  <c r="Y73" i="18"/>
  <c r="Z73" i="18"/>
  <c r="AA73" i="18"/>
  <c r="AB73" i="18"/>
  <c r="AC73" i="18"/>
  <c r="AD73" i="18"/>
  <c r="AE73" i="18"/>
  <c r="AF73" i="18"/>
  <c r="AG73" i="18"/>
  <c r="AH73" i="18"/>
  <c r="AI73" i="18"/>
  <c r="AJ73" i="18"/>
  <c r="AK73" i="18"/>
  <c r="AL73" i="18"/>
  <c r="AM73" i="18"/>
  <c r="AN73" i="18"/>
  <c r="AO73" i="18"/>
  <c r="AP73" i="18"/>
  <c r="AQ73" i="18"/>
  <c r="AR73" i="18"/>
  <c r="AS73" i="18"/>
  <c r="AT73" i="18"/>
  <c r="AU73" i="18"/>
  <c r="AV73" i="18"/>
  <c r="AW73" i="18"/>
  <c r="AX73" i="18"/>
  <c r="AY73" i="18"/>
  <c r="AZ73" i="18"/>
  <c r="BA73" i="18"/>
  <c r="BB73" i="18"/>
  <c r="BC73" i="18"/>
  <c r="BD73" i="18"/>
  <c r="BE73" i="18"/>
  <c r="BF73" i="18"/>
  <c r="BG73" i="18"/>
  <c r="BH73" i="18"/>
  <c r="BI73" i="18"/>
  <c r="BJ73" i="18"/>
  <c r="BK73" i="18"/>
  <c r="BL73" i="18"/>
  <c r="BM73" i="18"/>
  <c r="BN73" i="18"/>
  <c r="BO73" i="18"/>
  <c r="BP73" i="18"/>
  <c r="BQ73" i="18"/>
  <c r="BR73" i="18"/>
  <c r="BS73" i="18"/>
  <c r="BT73" i="18"/>
  <c r="B74" i="18"/>
  <c r="C74" i="18"/>
  <c r="D74" i="18"/>
  <c r="E74" i="18"/>
  <c r="F74" i="18"/>
  <c r="G74" i="18"/>
  <c r="H74" i="18"/>
  <c r="I74" i="18"/>
  <c r="J74" i="18"/>
  <c r="K74" i="18"/>
  <c r="L74" i="18"/>
  <c r="M74" i="18"/>
  <c r="N74" i="18"/>
  <c r="O74" i="18"/>
  <c r="P74" i="18"/>
  <c r="Q74" i="18"/>
  <c r="R74" i="18"/>
  <c r="S74" i="18"/>
  <c r="T74" i="18"/>
  <c r="U74" i="18"/>
  <c r="V74" i="18"/>
  <c r="W74" i="18"/>
  <c r="X74" i="18"/>
  <c r="Y74" i="18"/>
  <c r="Z74" i="18"/>
  <c r="AA74" i="18"/>
  <c r="AB74" i="18"/>
  <c r="AC74" i="18"/>
  <c r="AD74" i="18"/>
  <c r="AE74" i="18"/>
  <c r="AF74" i="18"/>
  <c r="AG74" i="18"/>
  <c r="AH74" i="18"/>
  <c r="AI74" i="18"/>
  <c r="AJ74" i="18"/>
  <c r="AK74" i="18"/>
  <c r="AL74" i="18"/>
  <c r="AM74" i="18"/>
  <c r="AN74" i="18"/>
  <c r="AO74" i="18"/>
  <c r="AP74" i="18"/>
  <c r="AQ74" i="18"/>
  <c r="AR74" i="18"/>
  <c r="AS74" i="18"/>
  <c r="AT74" i="18"/>
  <c r="AU74" i="18"/>
  <c r="AV74" i="18"/>
  <c r="AW74" i="18"/>
  <c r="AX74" i="18"/>
  <c r="AY74" i="18"/>
  <c r="AZ74" i="18"/>
  <c r="BA74" i="18"/>
  <c r="BB74" i="18"/>
  <c r="BC74" i="18"/>
  <c r="BD74" i="18"/>
  <c r="BE74" i="18"/>
  <c r="BF74" i="18"/>
  <c r="BG74" i="18"/>
  <c r="BH74" i="18"/>
  <c r="BI74" i="18"/>
  <c r="BJ74" i="18"/>
  <c r="BK74" i="18"/>
  <c r="BL74" i="18"/>
  <c r="BM74" i="18"/>
  <c r="BN74" i="18"/>
  <c r="BO74" i="18"/>
  <c r="BP74" i="18"/>
  <c r="BQ74" i="18"/>
  <c r="BR74" i="18"/>
  <c r="BS74" i="18"/>
  <c r="BT74" i="18"/>
  <c r="B75" i="18"/>
  <c r="C75" i="18"/>
  <c r="D75" i="18"/>
  <c r="E75" i="18"/>
  <c r="F75" i="18"/>
  <c r="G75" i="18"/>
  <c r="H75" i="18"/>
  <c r="I75" i="18"/>
  <c r="J75" i="18"/>
  <c r="K75" i="18"/>
  <c r="L75" i="18"/>
  <c r="M75" i="18"/>
  <c r="N75" i="18"/>
  <c r="O75" i="18"/>
  <c r="P75" i="18"/>
  <c r="Q75" i="18"/>
  <c r="R75" i="18"/>
  <c r="S75" i="18"/>
  <c r="T75" i="18"/>
  <c r="U75" i="18"/>
  <c r="V75" i="18"/>
  <c r="W75" i="18"/>
  <c r="X75" i="18"/>
  <c r="Y75" i="18"/>
  <c r="Z75" i="18"/>
  <c r="AA75" i="18"/>
  <c r="AB75" i="18"/>
  <c r="AC75" i="18"/>
  <c r="AD75" i="18"/>
  <c r="AE75" i="18"/>
  <c r="AF75" i="18"/>
  <c r="AG75" i="18"/>
  <c r="AH75" i="18"/>
  <c r="AI75" i="18"/>
  <c r="AJ75" i="18"/>
  <c r="AK75" i="18"/>
  <c r="AL75" i="18"/>
  <c r="AM75" i="18"/>
  <c r="AN75" i="18"/>
  <c r="AO75" i="18"/>
  <c r="AP75" i="18"/>
  <c r="AQ75" i="18"/>
  <c r="AR75" i="18"/>
  <c r="AS75" i="18"/>
  <c r="AT75" i="18"/>
  <c r="AU75" i="18"/>
  <c r="AV75" i="18"/>
  <c r="AW75" i="18"/>
  <c r="AX75" i="18"/>
  <c r="AY75" i="18"/>
  <c r="AZ75" i="18"/>
  <c r="BA75" i="18"/>
  <c r="BB75" i="18"/>
  <c r="BC75" i="18"/>
  <c r="BD75" i="18"/>
  <c r="BE75" i="18"/>
  <c r="BF75" i="18"/>
  <c r="BG75" i="18"/>
  <c r="BH75" i="18"/>
  <c r="BI75" i="18"/>
  <c r="BJ75" i="18"/>
  <c r="BK75" i="18"/>
  <c r="BL75" i="18"/>
  <c r="BM75" i="18"/>
  <c r="BN75" i="18"/>
  <c r="BO75" i="18"/>
  <c r="BP75" i="18"/>
  <c r="BQ75" i="18"/>
  <c r="BR75" i="18"/>
  <c r="BS75" i="18"/>
  <c r="BT75" i="18"/>
  <c r="B76" i="18"/>
  <c r="C76" i="18"/>
  <c r="D76" i="18"/>
  <c r="E76" i="18"/>
  <c r="F76" i="18"/>
  <c r="G76" i="18"/>
  <c r="H76" i="18"/>
  <c r="I76" i="18"/>
  <c r="J76" i="18"/>
  <c r="K76" i="18"/>
  <c r="L76" i="18"/>
  <c r="M76" i="18"/>
  <c r="N76" i="18"/>
  <c r="O76" i="18"/>
  <c r="P76" i="18"/>
  <c r="Q76" i="18"/>
  <c r="R76" i="18"/>
  <c r="S76" i="18"/>
  <c r="T76" i="18"/>
  <c r="U76" i="18"/>
  <c r="V76" i="18"/>
  <c r="W76" i="18"/>
  <c r="X76" i="18"/>
  <c r="Y76" i="18"/>
  <c r="Z76" i="18"/>
  <c r="AA76" i="18"/>
  <c r="AB76" i="18"/>
  <c r="AC76" i="18"/>
  <c r="AD76" i="18"/>
  <c r="AE76" i="18"/>
  <c r="AF76" i="18"/>
  <c r="AG76" i="18"/>
  <c r="AH76" i="18"/>
  <c r="AI76" i="18"/>
  <c r="AJ76" i="18"/>
  <c r="AK76" i="18"/>
  <c r="AL76" i="18"/>
  <c r="AM76" i="18"/>
  <c r="AN76" i="18"/>
  <c r="AO76" i="18"/>
  <c r="AP76" i="18"/>
  <c r="AQ76" i="18"/>
  <c r="AR76" i="18"/>
  <c r="AS76" i="18"/>
  <c r="AT76" i="18"/>
  <c r="AU76" i="18"/>
  <c r="AV76" i="18"/>
  <c r="AW76" i="18"/>
  <c r="AX76" i="18"/>
  <c r="AY76" i="18"/>
  <c r="AZ76" i="18"/>
  <c r="BA76" i="18"/>
  <c r="BB76" i="18"/>
  <c r="BC76" i="18"/>
  <c r="BD76" i="18"/>
  <c r="BE76" i="18"/>
  <c r="BF76" i="18"/>
  <c r="BG76" i="18"/>
  <c r="BH76" i="18"/>
  <c r="BI76" i="18"/>
  <c r="BJ76" i="18"/>
  <c r="BK76" i="18"/>
  <c r="BL76" i="18"/>
  <c r="BM76" i="18"/>
  <c r="BN76" i="18"/>
  <c r="BO76" i="18"/>
  <c r="BP76" i="18"/>
  <c r="BQ76" i="18"/>
  <c r="BR76" i="18"/>
  <c r="BS76" i="18"/>
  <c r="BT76" i="18"/>
  <c r="B77" i="18"/>
  <c r="C77" i="18"/>
  <c r="D77" i="18"/>
  <c r="E77" i="18"/>
  <c r="F77" i="18"/>
  <c r="G77" i="18"/>
  <c r="H77" i="18"/>
  <c r="I77" i="18"/>
  <c r="J77" i="18"/>
  <c r="K77" i="18"/>
  <c r="L77" i="18"/>
  <c r="M77" i="18"/>
  <c r="N77" i="18"/>
  <c r="O77" i="18"/>
  <c r="P77" i="18"/>
  <c r="Q77" i="18"/>
  <c r="R77" i="18"/>
  <c r="S77" i="18"/>
  <c r="T77" i="18"/>
  <c r="U77" i="18"/>
  <c r="V77" i="18"/>
  <c r="W77" i="18"/>
  <c r="X77" i="18"/>
  <c r="Y77" i="18"/>
  <c r="Z77" i="18"/>
  <c r="AA77" i="18"/>
  <c r="AB77" i="18"/>
  <c r="AC77" i="18"/>
  <c r="AD77" i="18"/>
  <c r="AE77" i="18"/>
  <c r="AF77" i="18"/>
  <c r="AG77" i="18"/>
  <c r="AH77" i="18"/>
  <c r="AI77" i="18"/>
  <c r="AJ77" i="18"/>
  <c r="AK77" i="18"/>
  <c r="AL77" i="18"/>
  <c r="AM77" i="18"/>
  <c r="AN77" i="18"/>
  <c r="AO77" i="18"/>
  <c r="AP77" i="18"/>
  <c r="AQ77" i="18"/>
  <c r="AR77" i="18"/>
  <c r="AS77" i="18"/>
  <c r="AT77" i="18"/>
  <c r="AU77" i="18"/>
  <c r="AV77" i="18"/>
  <c r="AW77" i="18"/>
  <c r="AX77" i="18"/>
  <c r="AY77" i="18"/>
  <c r="AZ77" i="18"/>
  <c r="BA77" i="18"/>
  <c r="BB77" i="18"/>
  <c r="BC77" i="18"/>
  <c r="BD77" i="18"/>
  <c r="BE77" i="18"/>
  <c r="BF77" i="18"/>
  <c r="BG77" i="18"/>
  <c r="BH77" i="18"/>
  <c r="BI77" i="18"/>
  <c r="BJ77" i="18"/>
  <c r="BK77" i="18"/>
  <c r="BL77" i="18"/>
  <c r="BM77" i="18"/>
  <c r="BN77" i="18"/>
  <c r="BO77" i="18"/>
  <c r="BP77" i="18"/>
  <c r="BQ77" i="18"/>
  <c r="BR77" i="18"/>
  <c r="BS77" i="18"/>
  <c r="BT77" i="18"/>
  <c r="B78" i="18"/>
  <c r="C78" i="18"/>
  <c r="D78" i="18"/>
  <c r="E78" i="18"/>
  <c r="F78" i="18"/>
  <c r="G78" i="18"/>
  <c r="H78" i="18"/>
  <c r="I78" i="18"/>
  <c r="J78" i="18"/>
  <c r="K78" i="18"/>
  <c r="L78" i="18"/>
  <c r="M78" i="18"/>
  <c r="N78" i="18"/>
  <c r="O78" i="18"/>
  <c r="P78" i="18"/>
  <c r="Q78" i="18"/>
  <c r="R78" i="18"/>
  <c r="S78" i="18"/>
  <c r="T78" i="18"/>
  <c r="U78" i="18"/>
  <c r="V78" i="18"/>
  <c r="W78" i="18"/>
  <c r="X78" i="18"/>
  <c r="Y78" i="18"/>
  <c r="Z78" i="18"/>
  <c r="AA78" i="18"/>
  <c r="AB78" i="18"/>
  <c r="AC78" i="18"/>
  <c r="AD78" i="18"/>
  <c r="AE78" i="18"/>
  <c r="AF78" i="18"/>
  <c r="AG78" i="18"/>
  <c r="AH78" i="18"/>
  <c r="AI78" i="18"/>
  <c r="AJ78" i="18"/>
  <c r="AK78" i="18"/>
  <c r="AL78" i="18"/>
  <c r="AM78" i="18"/>
  <c r="AN78" i="18"/>
  <c r="AO78" i="18"/>
  <c r="AP78" i="18"/>
  <c r="AQ78" i="18"/>
  <c r="AR78" i="18"/>
  <c r="AS78" i="18"/>
  <c r="AT78" i="18"/>
  <c r="AU78" i="18"/>
  <c r="AV78" i="18"/>
  <c r="AW78" i="18"/>
  <c r="AX78" i="18"/>
  <c r="AY78" i="18"/>
  <c r="AZ78" i="18"/>
  <c r="BA78" i="18"/>
  <c r="BB78" i="18"/>
  <c r="BC78" i="18"/>
  <c r="BD78" i="18"/>
  <c r="BE78" i="18"/>
  <c r="BF78" i="18"/>
  <c r="BG78" i="18"/>
  <c r="BH78" i="18"/>
  <c r="BI78" i="18"/>
  <c r="BJ78" i="18"/>
  <c r="BK78" i="18"/>
  <c r="BL78" i="18"/>
  <c r="BM78" i="18"/>
  <c r="BN78" i="18"/>
  <c r="BO78" i="18"/>
  <c r="BP78" i="18"/>
  <c r="BQ78" i="18"/>
  <c r="BR78" i="18"/>
  <c r="BS78" i="18"/>
  <c r="BT78" i="18"/>
  <c r="B79" i="18"/>
  <c r="C79" i="18"/>
  <c r="D79" i="18"/>
  <c r="E79" i="18"/>
  <c r="F79" i="18"/>
  <c r="G79" i="18"/>
  <c r="H79" i="18"/>
  <c r="I79" i="18"/>
  <c r="J79" i="18"/>
  <c r="K79" i="18"/>
  <c r="L79" i="18"/>
  <c r="M79" i="18"/>
  <c r="N79" i="18"/>
  <c r="O79" i="18"/>
  <c r="P79" i="18"/>
  <c r="Q79" i="18"/>
  <c r="R79" i="18"/>
  <c r="S79" i="18"/>
  <c r="T79" i="18"/>
  <c r="U79" i="18"/>
  <c r="V79" i="18"/>
  <c r="W79" i="18"/>
  <c r="X79" i="18"/>
  <c r="Y79" i="18"/>
  <c r="Z79" i="18"/>
  <c r="AA79" i="18"/>
  <c r="AB79" i="18"/>
  <c r="AC79" i="18"/>
  <c r="AD79" i="18"/>
  <c r="AE79" i="18"/>
  <c r="AF79" i="18"/>
  <c r="AG79" i="18"/>
  <c r="AH79" i="18"/>
  <c r="AI79" i="18"/>
  <c r="AJ79" i="18"/>
  <c r="AK79" i="18"/>
  <c r="AL79" i="18"/>
  <c r="AM79" i="18"/>
  <c r="AN79" i="18"/>
  <c r="AO79" i="18"/>
  <c r="AP79" i="18"/>
  <c r="AQ79" i="18"/>
  <c r="AR79" i="18"/>
  <c r="AS79" i="18"/>
  <c r="AT79" i="18"/>
  <c r="AU79" i="18"/>
  <c r="AV79" i="18"/>
  <c r="AW79" i="18"/>
  <c r="AX79" i="18"/>
  <c r="AY79" i="18"/>
  <c r="AZ79" i="18"/>
  <c r="BA79" i="18"/>
  <c r="BB79" i="18"/>
  <c r="BC79" i="18"/>
  <c r="BD79" i="18"/>
  <c r="BE79" i="18"/>
  <c r="BF79" i="18"/>
  <c r="BG79" i="18"/>
  <c r="BH79" i="18"/>
  <c r="BI79" i="18"/>
  <c r="BJ79" i="18"/>
  <c r="BK79" i="18"/>
  <c r="BL79" i="18"/>
  <c r="BM79" i="18"/>
  <c r="BN79" i="18"/>
  <c r="BO79" i="18"/>
  <c r="BP79" i="18"/>
  <c r="BQ79" i="18"/>
  <c r="BR79" i="18"/>
  <c r="BS79" i="18"/>
  <c r="BT79" i="18"/>
  <c r="B80" i="18"/>
  <c r="C80" i="18"/>
  <c r="D80" i="18"/>
  <c r="E80" i="18"/>
  <c r="F80" i="18"/>
  <c r="G80" i="18"/>
  <c r="H80" i="18"/>
  <c r="I80" i="18"/>
  <c r="J80" i="18"/>
  <c r="K80" i="18"/>
  <c r="L80" i="18"/>
  <c r="M80" i="18"/>
  <c r="N80" i="18"/>
  <c r="O80" i="18"/>
  <c r="P80" i="18"/>
  <c r="Q80" i="18"/>
  <c r="R80" i="18"/>
  <c r="S80" i="18"/>
  <c r="T80" i="18"/>
  <c r="U80" i="18"/>
  <c r="V80" i="18"/>
  <c r="W80" i="18"/>
  <c r="X80" i="18"/>
  <c r="Y80" i="18"/>
  <c r="Z80" i="18"/>
  <c r="AA80" i="18"/>
  <c r="AB80" i="18"/>
  <c r="AC80" i="18"/>
  <c r="AD80" i="18"/>
  <c r="AE80" i="18"/>
  <c r="AF80" i="18"/>
  <c r="AG80" i="18"/>
  <c r="AH80" i="18"/>
  <c r="AI80" i="18"/>
  <c r="AJ80" i="18"/>
  <c r="AK80" i="18"/>
  <c r="AL80" i="18"/>
  <c r="AM80" i="18"/>
  <c r="AN80" i="18"/>
  <c r="AO80" i="18"/>
  <c r="AP80" i="18"/>
  <c r="AQ80" i="18"/>
  <c r="AR80" i="18"/>
  <c r="AS80" i="18"/>
  <c r="AT80" i="18"/>
  <c r="AU80" i="18"/>
  <c r="AV80" i="18"/>
  <c r="AW80" i="18"/>
  <c r="AX80" i="18"/>
  <c r="AY80" i="18"/>
  <c r="AZ80" i="18"/>
  <c r="BA80" i="18"/>
  <c r="BB80" i="18"/>
  <c r="BC80" i="18"/>
  <c r="BD80" i="18"/>
  <c r="BE80" i="18"/>
  <c r="BF80" i="18"/>
  <c r="BG80" i="18"/>
  <c r="BH80" i="18"/>
  <c r="BI80" i="18"/>
  <c r="BJ80" i="18"/>
  <c r="BK80" i="18"/>
  <c r="BL80" i="18"/>
  <c r="BM80" i="18"/>
  <c r="BN80" i="18"/>
  <c r="BO80" i="18"/>
  <c r="BP80" i="18"/>
  <c r="BQ80" i="18"/>
  <c r="BR80" i="18"/>
  <c r="BS80" i="18"/>
  <c r="BT80" i="18"/>
  <c r="B81" i="18"/>
  <c r="C81" i="18"/>
  <c r="D81" i="18"/>
  <c r="E81" i="18"/>
  <c r="F81" i="18"/>
  <c r="G81" i="18"/>
  <c r="H81" i="18"/>
  <c r="I81" i="18"/>
  <c r="J81" i="18"/>
  <c r="K81" i="18"/>
  <c r="L81" i="18"/>
  <c r="M81" i="18"/>
  <c r="N81" i="18"/>
  <c r="O81" i="18"/>
  <c r="P81" i="18"/>
  <c r="Q81" i="18"/>
  <c r="R81" i="18"/>
  <c r="S81" i="18"/>
  <c r="T81" i="18"/>
  <c r="U81" i="18"/>
  <c r="V81" i="18"/>
  <c r="W81" i="18"/>
  <c r="X81" i="18"/>
  <c r="Y81" i="18"/>
  <c r="Z81" i="18"/>
  <c r="AA81" i="18"/>
  <c r="AB81" i="18"/>
  <c r="AC81" i="18"/>
  <c r="AD81" i="18"/>
  <c r="AE81" i="18"/>
  <c r="AF81" i="18"/>
  <c r="AG81" i="18"/>
  <c r="AH81" i="18"/>
  <c r="AI81" i="18"/>
  <c r="AJ81" i="18"/>
  <c r="AK81" i="18"/>
  <c r="AL81" i="18"/>
  <c r="AM81" i="18"/>
  <c r="AN81" i="18"/>
  <c r="AO81" i="18"/>
  <c r="AP81" i="18"/>
  <c r="AQ81" i="18"/>
  <c r="AR81" i="18"/>
  <c r="AS81" i="18"/>
  <c r="AT81" i="18"/>
  <c r="AU81" i="18"/>
  <c r="AV81" i="18"/>
  <c r="AW81" i="18"/>
  <c r="AX81" i="18"/>
  <c r="AY81" i="18"/>
  <c r="AZ81" i="18"/>
  <c r="BA81" i="18"/>
  <c r="BB81" i="18"/>
  <c r="BC81" i="18"/>
  <c r="BD81" i="18"/>
  <c r="BE81" i="18"/>
  <c r="BF81" i="18"/>
  <c r="BG81" i="18"/>
  <c r="BH81" i="18"/>
  <c r="BI81" i="18"/>
  <c r="BJ81" i="18"/>
  <c r="BK81" i="18"/>
  <c r="BL81" i="18"/>
  <c r="BM81" i="18"/>
  <c r="BN81" i="18"/>
  <c r="BO81" i="18"/>
  <c r="BP81" i="18"/>
  <c r="BQ81" i="18"/>
  <c r="BR81" i="18"/>
  <c r="BS81" i="18"/>
  <c r="BT81" i="18"/>
  <c r="B82" i="18"/>
  <c r="C82" i="18"/>
  <c r="D82" i="18"/>
  <c r="E82" i="18"/>
  <c r="F82" i="18"/>
  <c r="G82" i="18"/>
  <c r="H82" i="18"/>
  <c r="I82" i="18"/>
  <c r="J82" i="18"/>
  <c r="K82" i="18"/>
  <c r="L82" i="18"/>
  <c r="M82" i="18"/>
  <c r="N82" i="18"/>
  <c r="O82" i="18"/>
  <c r="P82" i="18"/>
  <c r="Q82" i="18"/>
  <c r="R82" i="18"/>
  <c r="S82" i="18"/>
  <c r="T82" i="18"/>
  <c r="U82" i="18"/>
  <c r="V82" i="18"/>
  <c r="W82" i="18"/>
  <c r="X82" i="18"/>
  <c r="Y82" i="18"/>
  <c r="Z82" i="18"/>
  <c r="AA82" i="18"/>
  <c r="AB82" i="18"/>
  <c r="AC82" i="18"/>
  <c r="AD82" i="18"/>
  <c r="AE82" i="18"/>
  <c r="AF82" i="18"/>
  <c r="AG82" i="18"/>
  <c r="AH82" i="18"/>
  <c r="AI82" i="18"/>
  <c r="AJ82" i="18"/>
  <c r="AK82" i="18"/>
  <c r="AL82" i="18"/>
  <c r="AM82" i="18"/>
  <c r="AN82" i="18"/>
  <c r="AO82" i="18"/>
  <c r="AP82" i="18"/>
  <c r="AQ82" i="18"/>
  <c r="AR82" i="18"/>
  <c r="AS82" i="18"/>
  <c r="AT82" i="18"/>
  <c r="AU82" i="18"/>
  <c r="AV82" i="18"/>
  <c r="AW82" i="18"/>
  <c r="AX82" i="18"/>
  <c r="AY82" i="18"/>
  <c r="AZ82" i="18"/>
  <c r="BA82" i="18"/>
  <c r="BB82" i="18"/>
  <c r="BC82" i="18"/>
  <c r="BD82" i="18"/>
  <c r="BE82" i="18"/>
  <c r="BF82" i="18"/>
  <c r="BG82" i="18"/>
  <c r="BH82" i="18"/>
  <c r="BI82" i="18"/>
  <c r="BJ82" i="18"/>
  <c r="BK82" i="18"/>
  <c r="BL82" i="18"/>
  <c r="BM82" i="18"/>
  <c r="BN82" i="18"/>
  <c r="BO82" i="18"/>
  <c r="BP82" i="18"/>
  <c r="BQ82" i="18"/>
  <c r="BR82" i="18"/>
  <c r="BS82" i="18"/>
  <c r="BT82" i="18"/>
  <c r="B83" i="18"/>
  <c r="C83" i="18"/>
  <c r="D83" i="18"/>
  <c r="E83" i="18"/>
  <c r="F83" i="18"/>
  <c r="G83" i="18"/>
  <c r="H83" i="18"/>
  <c r="I83" i="18"/>
  <c r="J83" i="18"/>
  <c r="K83" i="18"/>
  <c r="L83" i="18"/>
  <c r="M83" i="18"/>
  <c r="N83" i="18"/>
  <c r="O83" i="18"/>
  <c r="P83" i="18"/>
  <c r="Q83" i="18"/>
  <c r="R83" i="18"/>
  <c r="S83" i="18"/>
  <c r="T83" i="18"/>
  <c r="U83" i="18"/>
  <c r="V83" i="18"/>
  <c r="W83" i="18"/>
  <c r="X83" i="18"/>
  <c r="Y83" i="18"/>
  <c r="Z83" i="18"/>
  <c r="AA83" i="18"/>
  <c r="AB83" i="18"/>
  <c r="AC83" i="18"/>
  <c r="AD83" i="18"/>
  <c r="AE83" i="18"/>
  <c r="AF83" i="18"/>
  <c r="AG83" i="18"/>
  <c r="AH83" i="18"/>
  <c r="AI83" i="18"/>
  <c r="AJ83" i="18"/>
  <c r="AK83" i="18"/>
  <c r="AL83" i="18"/>
  <c r="AM83" i="18"/>
  <c r="AN83" i="18"/>
  <c r="AO83" i="18"/>
  <c r="AP83" i="18"/>
  <c r="AQ83" i="18"/>
  <c r="AR83" i="18"/>
  <c r="AS83" i="18"/>
  <c r="AT83" i="18"/>
  <c r="AU83" i="18"/>
  <c r="AV83" i="18"/>
  <c r="AW83" i="18"/>
  <c r="AX83" i="18"/>
  <c r="AY83" i="18"/>
  <c r="AZ83" i="18"/>
  <c r="BA83" i="18"/>
  <c r="BB83" i="18"/>
  <c r="BC83" i="18"/>
  <c r="BD83" i="18"/>
  <c r="BE83" i="18"/>
  <c r="BF83" i="18"/>
  <c r="BG83" i="18"/>
  <c r="BH83" i="18"/>
  <c r="BI83" i="18"/>
  <c r="BJ83" i="18"/>
  <c r="BK83" i="18"/>
  <c r="BL83" i="18"/>
  <c r="BM83" i="18"/>
  <c r="BN83" i="18"/>
  <c r="BO83" i="18"/>
  <c r="BP83" i="18"/>
  <c r="BQ83" i="18"/>
  <c r="BR83" i="18"/>
  <c r="BS83" i="18"/>
  <c r="BT83" i="18"/>
  <c r="B84" i="18"/>
  <c r="C84" i="18"/>
  <c r="D84" i="18"/>
  <c r="E84" i="18"/>
  <c r="F84" i="18"/>
  <c r="G84" i="18"/>
  <c r="H84" i="18"/>
  <c r="I84" i="18"/>
  <c r="J84" i="18"/>
  <c r="K84" i="18"/>
  <c r="L84" i="18"/>
  <c r="M84" i="18"/>
  <c r="N84" i="18"/>
  <c r="O84" i="18"/>
  <c r="P84" i="18"/>
  <c r="Q84" i="18"/>
  <c r="R84" i="18"/>
  <c r="S84" i="18"/>
  <c r="T84" i="18"/>
  <c r="U84" i="18"/>
  <c r="V84" i="18"/>
  <c r="W84" i="18"/>
  <c r="X84" i="18"/>
  <c r="Y84" i="18"/>
  <c r="Z84" i="18"/>
  <c r="AA84" i="18"/>
  <c r="AB84" i="18"/>
  <c r="AC84" i="18"/>
  <c r="AD84" i="18"/>
  <c r="AE84" i="18"/>
  <c r="AF84" i="18"/>
  <c r="AG84" i="18"/>
  <c r="AH84" i="18"/>
  <c r="AI84" i="18"/>
  <c r="AJ84" i="18"/>
  <c r="AK84" i="18"/>
  <c r="AL84" i="18"/>
  <c r="AM84" i="18"/>
  <c r="AN84" i="18"/>
  <c r="AO84" i="18"/>
  <c r="AP84" i="18"/>
  <c r="AQ84" i="18"/>
  <c r="AR84" i="18"/>
  <c r="AS84" i="18"/>
  <c r="AT84" i="18"/>
  <c r="AU84" i="18"/>
  <c r="AV84" i="18"/>
  <c r="AW84" i="18"/>
  <c r="AX84" i="18"/>
  <c r="AY84" i="18"/>
  <c r="AZ84" i="18"/>
  <c r="BA84" i="18"/>
  <c r="BB84" i="18"/>
  <c r="BC84" i="18"/>
  <c r="BD84" i="18"/>
  <c r="BE84" i="18"/>
  <c r="BF84" i="18"/>
  <c r="BG84" i="18"/>
  <c r="BH84" i="18"/>
  <c r="BI84" i="18"/>
  <c r="BJ84" i="18"/>
  <c r="BK84" i="18"/>
  <c r="BL84" i="18"/>
  <c r="BM84" i="18"/>
  <c r="BN84" i="18"/>
  <c r="BO84" i="18"/>
  <c r="BP84" i="18"/>
  <c r="BQ84" i="18"/>
  <c r="BR84" i="18"/>
  <c r="BS84" i="18"/>
  <c r="BT84" i="18"/>
  <c r="B85" i="18"/>
  <c r="C85" i="18"/>
  <c r="D85" i="18"/>
  <c r="E85" i="18"/>
  <c r="F85" i="18"/>
  <c r="G85" i="18"/>
  <c r="H85" i="18"/>
  <c r="I85" i="18"/>
  <c r="J85" i="18"/>
  <c r="K85" i="18"/>
  <c r="L85" i="18"/>
  <c r="M85" i="18"/>
  <c r="N85" i="18"/>
  <c r="O85" i="18"/>
  <c r="P85" i="18"/>
  <c r="Q85" i="18"/>
  <c r="R85" i="18"/>
  <c r="S85" i="18"/>
  <c r="T85" i="18"/>
  <c r="U85" i="18"/>
  <c r="V85" i="18"/>
  <c r="W85" i="18"/>
  <c r="X85" i="18"/>
  <c r="Y85" i="18"/>
  <c r="Z85" i="18"/>
  <c r="AA85" i="18"/>
  <c r="AB85" i="18"/>
  <c r="AC85" i="18"/>
  <c r="AD85" i="18"/>
  <c r="AE85" i="18"/>
  <c r="AF85" i="18"/>
  <c r="AG85" i="18"/>
  <c r="AH85" i="18"/>
  <c r="AI85" i="18"/>
  <c r="AJ85" i="18"/>
  <c r="AK85" i="18"/>
  <c r="AL85" i="18"/>
  <c r="AM85" i="18"/>
  <c r="AN85" i="18"/>
  <c r="AO85" i="18"/>
  <c r="AP85" i="18"/>
  <c r="AQ85" i="18"/>
  <c r="AR85" i="18"/>
  <c r="AS85" i="18"/>
  <c r="AT85" i="18"/>
  <c r="AU85" i="18"/>
  <c r="AV85" i="18"/>
  <c r="AW85" i="18"/>
  <c r="AX85" i="18"/>
  <c r="AY85" i="18"/>
  <c r="AZ85" i="18"/>
  <c r="BA85" i="18"/>
  <c r="BB85" i="18"/>
  <c r="BC85" i="18"/>
  <c r="BD85" i="18"/>
  <c r="BE85" i="18"/>
  <c r="BF85" i="18"/>
  <c r="BG85" i="18"/>
  <c r="BH85" i="18"/>
  <c r="BI85" i="18"/>
  <c r="BJ85" i="18"/>
  <c r="BK85" i="18"/>
  <c r="BL85" i="18"/>
  <c r="BM85" i="18"/>
  <c r="BN85" i="18"/>
  <c r="BO85" i="18"/>
  <c r="BP85" i="18"/>
  <c r="BQ85" i="18"/>
  <c r="BR85" i="18"/>
  <c r="BS85" i="18"/>
  <c r="BT85" i="18"/>
  <c r="B86" i="18"/>
  <c r="C86" i="18"/>
  <c r="D86" i="18"/>
  <c r="E86" i="18"/>
  <c r="F86" i="18"/>
  <c r="G86" i="18"/>
  <c r="H86" i="18"/>
  <c r="I86" i="18"/>
  <c r="J86" i="18"/>
  <c r="K86" i="18"/>
  <c r="L86" i="18"/>
  <c r="M86" i="18"/>
  <c r="N86" i="18"/>
  <c r="O86" i="18"/>
  <c r="P86" i="18"/>
  <c r="Q86" i="18"/>
  <c r="R86" i="18"/>
  <c r="S86" i="18"/>
  <c r="T86" i="18"/>
  <c r="U86" i="18"/>
  <c r="V86" i="18"/>
  <c r="W86" i="18"/>
  <c r="X86" i="18"/>
  <c r="Y86" i="18"/>
  <c r="Z86" i="18"/>
  <c r="AA86" i="18"/>
  <c r="AB86" i="18"/>
  <c r="AC86" i="18"/>
  <c r="AD86" i="18"/>
  <c r="AE86" i="18"/>
  <c r="AF86" i="18"/>
  <c r="AG86" i="18"/>
  <c r="AH86" i="18"/>
  <c r="AI86" i="18"/>
  <c r="AJ86" i="18"/>
  <c r="AK86" i="18"/>
  <c r="AL86" i="18"/>
  <c r="AM86" i="18"/>
  <c r="AN86" i="18"/>
  <c r="AO86" i="18"/>
  <c r="AP86" i="18"/>
  <c r="AQ86" i="18"/>
  <c r="AR86" i="18"/>
  <c r="AS86" i="18"/>
  <c r="AT86" i="18"/>
  <c r="AU86" i="18"/>
  <c r="AV86" i="18"/>
  <c r="AW86" i="18"/>
  <c r="AX86" i="18"/>
  <c r="AY86" i="18"/>
  <c r="AZ86" i="18"/>
  <c r="BA86" i="18"/>
  <c r="BB86" i="18"/>
  <c r="BC86" i="18"/>
  <c r="BD86" i="18"/>
  <c r="BE86" i="18"/>
  <c r="BF86" i="18"/>
  <c r="BG86" i="18"/>
  <c r="BH86" i="18"/>
  <c r="BI86" i="18"/>
  <c r="BJ86" i="18"/>
  <c r="BK86" i="18"/>
  <c r="BL86" i="18"/>
  <c r="BM86" i="18"/>
  <c r="BN86" i="18"/>
  <c r="BO86" i="18"/>
  <c r="BP86" i="18"/>
  <c r="BQ86" i="18"/>
  <c r="BR86" i="18"/>
  <c r="BS86" i="18"/>
  <c r="BT86" i="18"/>
  <c r="B87" i="18"/>
  <c r="C87" i="18"/>
  <c r="D87" i="18"/>
  <c r="E87" i="18"/>
  <c r="F87" i="18"/>
  <c r="G87" i="18"/>
  <c r="H87" i="18"/>
  <c r="I87" i="18"/>
  <c r="J87" i="18"/>
  <c r="K87" i="18"/>
  <c r="L87" i="18"/>
  <c r="M87" i="18"/>
  <c r="N87" i="18"/>
  <c r="O87" i="18"/>
  <c r="P87" i="18"/>
  <c r="Q87" i="18"/>
  <c r="R87" i="18"/>
  <c r="S87" i="18"/>
  <c r="T87" i="18"/>
  <c r="U87" i="18"/>
  <c r="V87" i="18"/>
  <c r="W87" i="18"/>
  <c r="X87" i="18"/>
  <c r="Y87" i="18"/>
  <c r="Z87" i="18"/>
  <c r="AA87" i="18"/>
  <c r="AB87" i="18"/>
  <c r="AC87" i="18"/>
  <c r="AD87" i="18"/>
  <c r="AE87" i="18"/>
  <c r="AF87" i="18"/>
  <c r="AG87" i="18"/>
  <c r="AH87" i="18"/>
  <c r="AI87" i="18"/>
  <c r="AJ87" i="18"/>
  <c r="AK87" i="18"/>
  <c r="AL87" i="18"/>
  <c r="AM87" i="18"/>
  <c r="AN87" i="18"/>
  <c r="AO87" i="18"/>
  <c r="AP87" i="18"/>
  <c r="AQ87" i="18"/>
  <c r="AR87" i="18"/>
  <c r="AS87" i="18"/>
  <c r="AT87" i="18"/>
  <c r="AU87" i="18"/>
  <c r="AV87" i="18"/>
  <c r="AW87" i="18"/>
  <c r="AX87" i="18"/>
  <c r="AY87" i="18"/>
  <c r="AZ87" i="18"/>
  <c r="BA87" i="18"/>
  <c r="BB87" i="18"/>
  <c r="BC87" i="18"/>
  <c r="BD87" i="18"/>
  <c r="BE87" i="18"/>
  <c r="BF87" i="18"/>
  <c r="BG87" i="18"/>
  <c r="BH87" i="18"/>
  <c r="BI87" i="18"/>
  <c r="BJ87" i="18"/>
  <c r="BK87" i="18"/>
  <c r="BL87" i="18"/>
  <c r="BM87" i="18"/>
  <c r="BN87" i="18"/>
  <c r="BO87" i="18"/>
  <c r="BP87" i="18"/>
  <c r="BQ87" i="18"/>
  <c r="BR87" i="18"/>
  <c r="BS87" i="18"/>
  <c r="BT87" i="18"/>
  <c r="B88" i="18"/>
  <c r="C88" i="18"/>
  <c r="D88" i="18"/>
  <c r="E88" i="18"/>
  <c r="F88" i="18"/>
  <c r="G88" i="18"/>
  <c r="H88" i="18"/>
  <c r="I88" i="18"/>
  <c r="J88" i="18"/>
  <c r="K88" i="18"/>
  <c r="L88" i="18"/>
  <c r="M88" i="18"/>
  <c r="N88" i="18"/>
  <c r="O88" i="18"/>
  <c r="P88" i="18"/>
  <c r="Q88" i="18"/>
  <c r="R88" i="18"/>
  <c r="S88" i="18"/>
  <c r="T88" i="18"/>
  <c r="U88" i="18"/>
  <c r="V88" i="18"/>
  <c r="W88" i="18"/>
  <c r="X88" i="18"/>
  <c r="Y88" i="18"/>
  <c r="Z88" i="18"/>
  <c r="AA88" i="18"/>
  <c r="AB88" i="18"/>
  <c r="AC88" i="18"/>
  <c r="AD88" i="18"/>
  <c r="AE88" i="18"/>
  <c r="AF88" i="18"/>
  <c r="AG88" i="18"/>
  <c r="AH88" i="18"/>
  <c r="AI88" i="18"/>
  <c r="AJ88" i="18"/>
  <c r="AK88" i="18"/>
  <c r="AL88" i="18"/>
  <c r="AM88" i="18"/>
  <c r="AN88" i="18"/>
  <c r="AO88" i="18"/>
  <c r="AP88" i="18"/>
  <c r="AQ88" i="18"/>
  <c r="AR88" i="18"/>
  <c r="AS88" i="18"/>
  <c r="AT88" i="18"/>
  <c r="AU88" i="18"/>
  <c r="AV88" i="18"/>
  <c r="AW88" i="18"/>
  <c r="AX88" i="18"/>
  <c r="AY88" i="18"/>
  <c r="AZ88" i="18"/>
  <c r="BA88" i="18"/>
  <c r="BB88" i="18"/>
  <c r="BC88" i="18"/>
  <c r="BD88" i="18"/>
  <c r="BE88" i="18"/>
  <c r="BF88" i="18"/>
  <c r="BG88" i="18"/>
  <c r="BH88" i="18"/>
  <c r="BI88" i="18"/>
  <c r="BJ88" i="18"/>
  <c r="BK88" i="18"/>
  <c r="BL88" i="18"/>
  <c r="BM88" i="18"/>
  <c r="BN88" i="18"/>
  <c r="BO88" i="18"/>
  <c r="BP88" i="18"/>
  <c r="BQ88" i="18"/>
  <c r="BR88" i="18"/>
  <c r="BS88" i="18"/>
  <c r="BT88" i="18"/>
  <c r="B89" i="18"/>
  <c r="C89" i="18"/>
  <c r="D89" i="18"/>
  <c r="E89" i="18"/>
  <c r="F89" i="18"/>
  <c r="G89" i="18"/>
  <c r="H89" i="18"/>
  <c r="I89" i="18"/>
  <c r="J89" i="18"/>
  <c r="K89" i="18"/>
  <c r="L89" i="18"/>
  <c r="M89" i="18"/>
  <c r="N89" i="18"/>
  <c r="O89" i="18"/>
  <c r="P89" i="18"/>
  <c r="Q89" i="18"/>
  <c r="R89" i="18"/>
  <c r="S89" i="18"/>
  <c r="T89" i="18"/>
  <c r="U89" i="18"/>
  <c r="V89" i="18"/>
  <c r="W89" i="18"/>
  <c r="X89" i="18"/>
  <c r="Y89" i="18"/>
  <c r="Z89" i="18"/>
  <c r="AA89" i="18"/>
  <c r="AB89" i="18"/>
  <c r="AC89" i="18"/>
  <c r="AD89" i="18"/>
  <c r="AE89" i="18"/>
  <c r="AF89" i="18"/>
  <c r="AG89" i="18"/>
  <c r="AH89" i="18"/>
  <c r="AI89" i="18"/>
  <c r="AJ89" i="18"/>
  <c r="AK89" i="18"/>
  <c r="AL89" i="18"/>
  <c r="AM89" i="18"/>
  <c r="AN89" i="18"/>
  <c r="AO89" i="18"/>
  <c r="AP89" i="18"/>
  <c r="AQ89" i="18"/>
  <c r="AR89" i="18"/>
  <c r="AS89" i="18"/>
  <c r="AT89" i="18"/>
  <c r="AU89" i="18"/>
  <c r="AV89" i="18"/>
  <c r="AW89" i="18"/>
  <c r="AX89" i="18"/>
  <c r="AY89" i="18"/>
  <c r="AZ89" i="18"/>
  <c r="BA89" i="18"/>
  <c r="BB89" i="18"/>
  <c r="BC89" i="18"/>
  <c r="BD89" i="18"/>
  <c r="BE89" i="18"/>
  <c r="BF89" i="18"/>
  <c r="BG89" i="18"/>
  <c r="BH89" i="18"/>
  <c r="BI89" i="18"/>
  <c r="BJ89" i="18"/>
  <c r="BK89" i="18"/>
  <c r="BL89" i="18"/>
  <c r="BM89" i="18"/>
  <c r="BN89" i="18"/>
  <c r="BO89" i="18"/>
  <c r="BP89" i="18"/>
  <c r="BQ89" i="18"/>
  <c r="BR89" i="18"/>
  <c r="BS89" i="18"/>
  <c r="BT89" i="18"/>
  <c r="B90" i="18"/>
  <c r="C90" i="18"/>
  <c r="D90" i="18"/>
  <c r="E90" i="18"/>
  <c r="F90" i="18"/>
  <c r="G90" i="18"/>
  <c r="H90" i="18"/>
  <c r="I90" i="18"/>
  <c r="J90" i="18"/>
  <c r="K90" i="18"/>
  <c r="L90" i="18"/>
  <c r="M90" i="18"/>
  <c r="N90" i="18"/>
  <c r="O90" i="18"/>
  <c r="P90" i="18"/>
  <c r="Q90" i="18"/>
  <c r="R90" i="18"/>
  <c r="S90" i="18"/>
  <c r="T90" i="18"/>
  <c r="U90" i="18"/>
  <c r="V90" i="18"/>
  <c r="W90" i="18"/>
  <c r="X90" i="18"/>
  <c r="Y90" i="18"/>
  <c r="Z90" i="18"/>
  <c r="AA90" i="18"/>
  <c r="AB90" i="18"/>
  <c r="AC90" i="18"/>
  <c r="AD90" i="18"/>
  <c r="AE90" i="18"/>
  <c r="AF90" i="18"/>
  <c r="AG90" i="18"/>
  <c r="AH90" i="18"/>
  <c r="AI90" i="18"/>
  <c r="AJ90" i="18"/>
  <c r="AK90" i="18"/>
  <c r="AL90" i="18"/>
  <c r="AM90" i="18"/>
  <c r="AN90" i="18"/>
  <c r="AO90" i="18"/>
  <c r="AP90" i="18"/>
  <c r="AQ90" i="18"/>
  <c r="AR90" i="18"/>
  <c r="AS90" i="18"/>
  <c r="AT90" i="18"/>
  <c r="AU90" i="18"/>
  <c r="AV90" i="18"/>
  <c r="AW90" i="18"/>
  <c r="AX90" i="18"/>
  <c r="AY90" i="18"/>
  <c r="AZ90" i="18"/>
  <c r="BA90" i="18"/>
  <c r="BB90" i="18"/>
  <c r="BC90" i="18"/>
  <c r="BD90" i="18"/>
  <c r="BE90" i="18"/>
  <c r="BF90" i="18"/>
  <c r="BG90" i="18"/>
  <c r="BH90" i="18"/>
  <c r="BI90" i="18"/>
  <c r="BJ90" i="18"/>
  <c r="BK90" i="18"/>
  <c r="BL90" i="18"/>
  <c r="BM90" i="18"/>
  <c r="BN90" i="18"/>
  <c r="BO90" i="18"/>
  <c r="BP90" i="18"/>
  <c r="BQ90" i="18"/>
  <c r="BR90" i="18"/>
  <c r="BS90" i="18"/>
  <c r="BT90" i="18"/>
  <c r="B91" i="18"/>
  <c r="C91" i="18"/>
  <c r="D91" i="18"/>
  <c r="E91" i="18"/>
  <c r="F91" i="18"/>
  <c r="G91" i="18"/>
  <c r="H91" i="18"/>
  <c r="I91" i="18"/>
  <c r="J91" i="18"/>
  <c r="K91" i="18"/>
  <c r="L91" i="18"/>
  <c r="M91" i="18"/>
  <c r="N91" i="18"/>
  <c r="O91" i="18"/>
  <c r="P91" i="18"/>
  <c r="Q91" i="18"/>
  <c r="R91" i="18"/>
  <c r="S91" i="18"/>
  <c r="T91" i="18"/>
  <c r="U91" i="18"/>
  <c r="V91" i="18"/>
  <c r="W91" i="18"/>
  <c r="X91" i="18"/>
  <c r="Y91" i="18"/>
  <c r="Z91" i="18"/>
  <c r="AA91" i="18"/>
  <c r="AB91" i="18"/>
  <c r="AC91" i="18"/>
  <c r="AD91" i="18"/>
  <c r="AE91" i="18"/>
  <c r="AF91" i="18"/>
  <c r="AG91" i="18"/>
  <c r="AH91" i="18"/>
  <c r="AI91" i="18"/>
  <c r="AJ91" i="18"/>
  <c r="AK91" i="18"/>
  <c r="AL91" i="18"/>
  <c r="AM91" i="18"/>
  <c r="AN91" i="18"/>
  <c r="AO91" i="18"/>
  <c r="AP91" i="18"/>
  <c r="AQ91" i="18"/>
  <c r="AR91" i="18"/>
  <c r="AS91" i="18"/>
  <c r="AT91" i="18"/>
  <c r="AU91" i="18"/>
  <c r="AV91" i="18"/>
  <c r="AW91" i="18"/>
  <c r="AX91" i="18"/>
  <c r="AY91" i="18"/>
  <c r="AZ91" i="18"/>
  <c r="BA91" i="18"/>
  <c r="BB91" i="18"/>
  <c r="BC91" i="18"/>
  <c r="BD91" i="18"/>
  <c r="BE91" i="18"/>
  <c r="BF91" i="18"/>
  <c r="BG91" i="18"/>
  <c r="BH91" i="18"/>
  <c r="BI91" i="18"/>
  <c r="BJ91" i="18"/>
  <c r="BK91" i="18"/>
  <c r="BL91" i="18"/>
  <c r="BM91" i="18"/>
  <c r="BN91" i="18"/>
  <c r="BO91" i="18"/>
  <c r="BP91" i="18"/>
  <c r="BQ91" i="18"/>
  <c r="BR91" i="18"/>
  <c r="BS91" i="18"/>
  <c r="BT91" i="18"/>
  <c r="B92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O92" i="18"/>
  <c r="P92" i="18"/>
  <c r="Q92" i="18"/>
  <c r="R92" i="18"/>
  <c r="S92" i="18"/>
  <c r="T92" i="18"/>
  <c r="U92" i="18"/>
  <c r="V92" i="18"/>
  <c r="W92" i="18"/>
  <c r="X92" i="18"/>
  <c r="Y92" i="18"/>
  <c r="Z92" i="18"/>
  <c r="AA92" i="18"/>
  <c r="AB92" i="18"/>
  <c r="AC92" i="18"/>
  <c r="AD92" i="18"/>
  <c r="AE92" i="18"/>
  <c r="AF92" i="18"/>
  <c r="AG92" i="18"/>
  <c r="AH92" i="18"/>
  <c r="AI92" i="18"/>
  <c r="AJ92" i="18"/>
  <c r="AK92" i="18"/>
  <c r="AL92" i="18"/>
  <c r="AM92" i="18"/>
  <c r="AN92" i="18"/>
  <c r="AO92" i="18"/>
  <c r="AP92" i="18"/>
  <c r="AQ92" i="18"/>
  <c r="AR92" i="18"/>
  <c r="AS92" i="18"/>
  <c r="AT92" i="18"/>
  <c r="AU92" i="18"/>
  <c r="AV92" i="18"/>
  <c r="AW92" i="18"/>
  <c r="AX92" i="18"/>
  <c r="AY92" i="18"/>
  <c r="AZ92" i="18"/>
  <c r="BA92" i="18"/>
  <c r="BB92" i="18"/>
  <c r="BC92" i="18"/>
  <c r="BD92" i="18"/>
  <c r="BE92" i="18"/>
  <c r="BF92" i="18"/>
  <c r="BG92" i="18"/>
  <c r="BH92" i="18"/>
  <c r="BI92" i="18"/>
  <c r="BJ92" i="18"/>
  <c r="BK92" i="18"/>
  <c r="BL92" i="18"/>
  <c r="BM92" i="18"/>
  <c r="BN92" i="18"/>
  <c r="BO92" i="18"/>
  <c r="BP92" i="18"/>
  <c r="BQ92" i="18"/>
  <c r="BR92" i="18"/>
  <c r="BS92" i="18"/>
  <c r="BT92" i="18"/>
  <c r="B93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O93" i="18"/>
  <c r="P93" i="18"/>
  <c r="Q93" i="18"/>
  <c r="R93" i="18"/>
  <c r="S93" i="18"/>
  <c r="T93" i="18"/>
  <c r="U93" i="18"/>
  <c r="V93" i="18"/>
  <c r="W93" i="18"/>
  <c r="X93" i="18"/>
  <c r="Y93" i="18"/>
  <c r="Z93" i="18"/>
  <c r="AA93" i="18"/>
  <c r="AB93" i="18"/>
  <c r="AC93" i="18"/>
  <c r="AD93" i="18"/>
  <c r="AE93" i="18"/>
  <c r="AF93" i="18"/>
  <c r="AG93" i="18"/>
  <c r="AH93" i="18"/>
  <c r="AI93" i="18"/>
  <c r="AJ93" i="18"/>
  <c r="AK93" i="18"/>
  <c r="AL93" i="18"/>
  <c r="AM93" i="18"/>
  <c r="AN93" i="18"/>
  <c r="AO93" i="18"/>
  <c r="AP93" i="18"/>
  <c r="AQ93" i="18"/>
  <c r="AR93" i="18"/>
  <c r="AS93" i="18"/>
  <c r="AT93" i="18"/>
  <c r="AU93" i="18"/>
  <c r="AV93" i="18"/>
  <c r="AW93" i="18"/>
  <c r="AX93" i="18"/>
  <c r="AY93" i="18"/>
  <c r="AZ93" i="18"/>
  <c r="BA93" i="18"/>
  <c r="BB93" i="18"/>
  <c r="BC93" i="18"/>
  <c r="BD93" i="18"/>
  <c r="BE93" i="18"/>
  <c r="BF93" i="18"/>
  <c r="BG93" i="18"/>
  <c r="BH93" i="18"/>
  <c r="BI93" i="18"/>
  <c r="BJ93" i="18"/>
  <c r="BK93" i="18"/>
  <c r="BL93" i="18"/>
  <c r="BM93" i="18"/>
  <c r="BN93" i="18"/>
  <c r="BO93" i="18"/>
  <c r="BP93" i="18"/>
  <c r="BQ93" i="18"/>
  <c r="BR93" i="18"/>
  <c r="BS93" i="18"/>
  <c r="BT93" i="18"/>
  <c r="B94" i="18"/>
  <c r="C94" i="18"/>
  <c r="D94" i="18"/>
  <c r="E94" i="18"/>
  <c r="F94" i="18"/>
  <c r="G94" i="18"/>
  <c r="H94" i="18"/>
  <c r="I94" i="18"/>
  <c r="J94" i="18"/>
  <c r="K94" i="18"/>
  <c r="L94" i="18"/>
  <c r="M94" i="18"/>
  <c r="N94" i="18"/>
  <c r="O94" i="18"/>
  <c r="P94" i="18"/>
  <c r="Q94" i="18"/>
  <c r="R94" i="18"/>
  <c r="S94" i="18"/>
  <c r="T94" i="18"/>
  <c r="U94" i="18"/>
  <c r="V94" i="18"/>
  <c r="W94" i="18"/>
  <c r="X94" i="18"/>
  <c r="Y94" i="18"/>
  <c r="Z94" i="18"/>
  <c r="AA94" i="18"/>
  <c r="AB94" i="18"/>
  <c r="AC94" i="18"/>
  <c r="AD94" i="18"/>
  <c r="AE94" i="18"/>
  <c r="AF94" i="18"/>
  <c r="AG94" i="18"/>
  <c r="AH94" i="18"/>
  <c r="AI94" i="18"/>
  <c r="AJ94" i="18"/>
  <c r="AK94" i="18"/>
  <c r="AL94" i="18"/>
  <c r="AM94" i="18"/>
  <c r="AN94" i="18"/>
  <c r="AO94" i="18"/>
  <c r="AP94" i="18"/>
  <c r="AQ94" i="18"/>
  <c r="AR94" i="18"/>
  <c r="AS94" i="18"/>
  <c r="AT94" i="18"/>
  <c r="AU94" i="18"/>
  <c r="AV94" i="18"/>
  <c r="AW94" i="18"/>
  <c r="AX94" i="18"/>
  <c r="AY94" i="18"/>
  <c r="AZ94" i="18"/>
  <c r="BA94" i="18"/>
  <c r="BB94" i="18"/>
  <c r="BC94" i="18"/>
  <c r="BD94" i="18"/>
  <c r="BE94" i="18"/>
  <c r="BF94" i="18"/>
  <c r="BG94" i="18"/>
  <c r="BH94" i="18"/>
  <c r="BI94" i="18"/>
  <c r="BJ94" i="18"/>
  <c r="BK94" i="18"/>
  <c r="BL94" i="18"/>
  <c r="BM94" i="18"/>
  <c r="BN94" i="18"/>
  <c r="BO94" i="18"/>
  <c r="BP94" i="18"/>
  <c r="BQ94" i="18"/>
  <c r="BR94" i="18"/>
  <c r="BS94" i="18"/>
  <c r="BT94" i="18"/>
  <c r="B95" i="18"/>
  <c r="C95" i="18"/>
  <c r="D95" i="18"/>
  <c r="E95" i="18"/>
  <c r="F95" i="18"/>
  <c r="G95" i="18"/>
  <c r="H95" i="18"/>
  <c r="I95" i="18"/>
  <c r="J95" i="18"/>
  <c r="K95" i="18"/>
  <c r="L95" i="18"/>
  <c r="M95" i="18"/>
  <c r="N95" i="18"/>
  <c r="O95" i="18"/>
  <c r="P95" i="18"/>
  <c r="Q95" i="18"/>
  <c r="R95" i="18"/>
  <c r="S95" i="18"/>
  <c r="T95" i="18"/>
  <c r="U95" i="18"/>
  <c r="V95" i="18"/>
  <c r="W95" i="18"/>
  <c r="X95" i="18"/>
  <c r="Y95" i="18"/>
  <c r="Z95" i="18"/>
  <c r="AA95" i="18"/>
  <c r="AB95" i="18"/>
  <c r="AC95" i="18"/>
  <c r="AD95" i="18"/>
  <c r="AE95" i="18"/>
  <c r="AF95" i="18"/>
  <c r="AG95" i="18"/>
  <c r="AH95" i="18"/>
  <c r="AI95" i="18"/>
  <c r="AJ95" i="18"/>
  <c r="AK95" i="18"/>
  <c r="AL95" i="18"/>
  <c r="AM95" i="18"/>
  <c r="AN95" i="18"/>
  <c r="AO95" i="18"/>
  <c r="AP95" i="18"/>
  <c r="AQ95" i="18"/>
  <c r="AR95" i="18"/>
  <c r="AS95" i="18"/>
  <c r="AT95" i="18"/>
  <c r="AU95" i="18"/>
  <c r="AV95" i="18"/>
  <c r="AW95" i="18"/>
  <c r="AX95" i="18"/>
  <c r="AY95" i="18"/>
  <c r="AZ95" i="18"/>
  <c r="BA95" i="18"/>
  <c r="BB95" i="18"/>
  <c r="BC95" i="18"/>
  <c r="BD95" i="18"/>
  <c r="BE95" i="18"/>
  <c r="BF95" i="18"/>
  <c r="BG95" i="18"/>
  <c r="BH95" i="18"/>
  <c r="BI95" i="18"/>
  <c r="BJ95" i="18"/>
  <c r="BK95" i="18"/>
  <c r="BL95" i="18"/>
  <c r="BM95" i="18"/>
  <c r="BN95" i="18"/>
  <c r="BO95" i="18"/>
  <c r="BP95" i="18"/>
  <c r="BQ95" i="18"/>
  <c r="BR95" i="18"/>
  <c r="BS95" i="18"/>
  <c r="BT95" i="18"/>
  <c r="B96" i="18"/>
  <c r="C96" i="18"/>
  <c r="D96" i="18"/>
  <c r="E96" i="18"/>
  <c r="F96" i="18"/>
  <c r="G96" i="18"/>
  <c r="H96" i="18"/>
  <c r="I96" i="18"/>
  <c r="J96" i="18"/>
  <c r="K96" i="18"/>
  <c r="L96" i="18"/>
  <c r="M96" i="18"/>
  <c r="N96" i="18"/>
  <c r="O96" i="18"/>
  <c r="P96" i="18"/>
  <c r="Q96" i="18"/>
  <c r="R96" i="18"/>
  <c r="S96" i="18"/>
  <c r="T96" i="18"/>
  <c r="U96" i="18"/>
  <c r="V96" i="18"/>
  <c r="W96" i="18"/>
  <c r="X96" i="18"/>
  <c r="Y96" i="18"/>
  <c r="Z96" i="18"/>
  <c r="AA96" i="18"/>
  <c r="AB96" i="18"/>
  <c r="AC96" i="18"/>
  <c r="AD96" i="18"/>
  <c r="AE96" i="18"/>
  <c r="AF96" i="18"/>
  <c r="AG96" i="18"/>
  <c r="AH96" i="18"/>
  <c r="AI96" i="18"/>
  <c r="AJ96" i="18"/>
  <c r="AK96" i="18"/>
  <c r="AL96" i="18"/>
  <c r="AM96" i="18"/>
  <c r="AN96" i="18"/>
  <c r="AO96" i="18"/>
  <c r="AP96" i="18"/>
  <c r="AQ96" i="18"/>
  <c r="AR96" i="18"/>
  <c r="AS96" i="18"/>
  <c r="AT96" i="18"/>
  <c r="AU96" i="18"/>
  <c r="AV96" i="18"/>
  <c r="AW96" i="18"/>
  <c r="AX96" i="18"/>
  <c r="AY96" i="18"/>
  <c r="AZ96" i="18"/>
  <c r="BA96" i="18"/>
  <c r="BB96" i="18"/>
  <c r="BC96" i="18"/>
  <c r="BD96" i="18"/>
  <c r="BE96" i="18"/>
  <c r="BF96" i="18"/>
  <c r="BG96" i="18"/>
  <c r="BH96" i="18"/>
  <c r="BI96" i="18"/>
  <c r="BJ96" i="18"/>
  <c r="BK96" i="18"/>
  <c r="BL96" i="18"/>
  <c r="BM96" i="18"/>
  <c r="BN96" i="18"/>
  <c r="BO96" i="18"/>
  <c r="BP96" i="18"/>
  <c r="BQ96" i="18"/>
  <c r="BR96" i="18"/>
  <c r="BS96" i="18"/>
  <c r="BT96" i="18"/>
  <c r="B97" i="18"/>
  <c r="C97" i="18"/>
  <c r="D97" i="18"/>
  <c r="E97" i="18"/>
  <c r="F97" i="18"/>
  <c r="G97" i="18"/>
  <c r="H97" i="18"/>
  <c r="I97" i="18"/>
  <c r="J97" i="18"/>
  <c r="K97" i="18"/>
  <c r="L97" i="18"/>
  <c r="M97" i="18"/>
  <c r="N97" i="18"/>
  <c r="O97" i="18"/>
  <c r="P97" i="18"/>
  <c r="Q97" i="18"/>
  <c r="R97" i="18"/>
  <c r="S97" i="18"/>
  <c r="T97" i="18"/>
  <c r="U97" i="18"/>
  <c r="V97" i="18"/>
  <c r="W97" i="18"/>
  <c r="X97" i="18"/>
  <c r="Y97" i="18"/>
  <c r="Z97" i="18"/>
  <c r="AA97" i="18"/>
  <c r="AB97" i="18"/>
  <c r="AC97" i="18"/>
  <c r="AD97" i="18"/>
  <c r="AE97" i="18"/>
  <c r="AF97" i="18"/>
  <c r="AG97" i="18"/>
  <c r="AH97" i="18"/>
  <c r="AI97" i="18"/>
  <c r="AJ97" i="18"/>
  <c r="AK97" i="18"/>
  <c r="AL97" i="18"/>
  <c r="AM97" i="18"/>
  <c r="AN97" i="18"/>
  <c r="AO97" i="18"/>
  <c r="AP97" i="18"/>
  <c r="AQ97" i="18"/>
  <c r="AR97" i="18"/>
  <c r="AS97" i="18"/>
  <c r="AT97" i="18"/>
  <c r="AU97" i="18"/>
  <c r="AV97" i="18"/>
  <c r="AW97" i="18"/>
  <c r="AX97" i="18"/>
  <c r="AY97" i="18"/>
  <c r="AZ97" i="18"/>
  <c r="BA97" i="18"/>
  <c r="BB97" i="18"/>
  <c r="BC97" i="18"/>
  <c r="BD97" i="18"/>
  <c r="BE97" i="18"/>
  <c r="BF97" i="18"/>
  <c r="BG97" i="18"/>
  <c r="BH97" i="18"/>
  <c r="BI97" i="18"/>
  <c r="BJ97" i="18"/>
  <c r="BK97" i="18"/>
  <c r="BL97" i="18"/>
  <c r="BM97" i="18"/>
  <c r="BN97" i="18"/>
  <c r="BO97" i="18"/>
  <c r="BP97" i="18"/>
  <c r="BQ97" i="18"/>
  <c r="BR97" i="18"/>
  <c r="BS97" i="18"/>
  <c r="BT97" i="18"/>
  <c r="B98" i="18"/>
  <c r="C98" i="18"/>
  <c r="D98" i="18"/>
  <c r="E98" i="18"/>
  <c r="F98" i="18"/>
  <c r="G98" i="18"/>
  <c r="H98" i="18"/>
  <c r="I98" i="18"/>
  <c r="J98" i="18"/>
  <c r="K98" i="18"/>
  <c r="L98" i="18"/>
  <c r="M98" i="18"/>
  <c r="N98" i="18"/>
  <c r="O98" i="18"/>
  <c r="P98" i="18"/>
  <c r="Q98" i="18"/>
  <c r="R98" i="18"/>
  <c r="S98" i="18"/>
  <c r="T98" i="18"/>
  <c r="U98" i="18"/>
  <c r="V98" i="18"/>
  <c r="W98" i="18"/>
  <c r="X98" i="18"/>
  <c r="Y98" i="18"/>
  <c r="Z98" i="18"/>
  <c r="AA98" i="18"/>
  <c r="AB98" i="18"/>
  <c r="AC98" i="18"/>
  <c r="AD98" i="18"/>
  <c r="AE98" i="18"/>
  <c r="AF98" i="18"/>
  <c r="AG98" i="18"/>
  <c r="AH98" i="18"/>
  <c r="AI98" i="18"/>
  <c r="AJ98" i="18"/>
  <c r="AK98" i="18"/>
  <c r="AL98" i="18"/>
  <c r="AM98" i="18"/>
  <c r="AN98" i="18"/>
  <c r="AO98" i="18"/>
  <c r="AP98" i="18"/>
  <c r="AQ98" i="18"/>
  <c r="AR98" i="18"/>
  <c r="AS98" i="18"/>
  <c r="AT98" i="18"/>
  <c r="AU98" i="18"/>
  <c r="AV98" i="18"/>
  <c r="AW98" i="18"/>
  <c r="AX98" i="18"/>
  <c r="AY98" i="18"/>
  <c r="AZ98" i="18"/>
  <c r="BA98" i="18"/>
  <c r="BB98" i="18"/>
  <c r="BC98" i="18"/>
  <c r="BD98" i="18"/>
  <c r="BE98" i="18"/>
  <c r="BF98" i="18"/>
  <c r="BG98" i="18"/>
  <c r="BH98" i="18"/>
  <c r="BI98" i="18"/>
  <c r="BJ98" i="18"/>
  <c r="BK98" i="18"/>
  <c r="BL98" i="18"/>
  <c r="BM98" i="18"/>
  <c r="BN98" i="18"/>
  <c r="BO98" i="18"/>
  <c r="BP98" i="18"/>
  <c r="BQ98" i="18"/>
  <c r="BR98" i="18"/>
  <c r="BS98" i="18"/>
  <c r="BT98" i="18"/>
  <c r="B99" i="18"/>
  <c r="C99" i="18"/>
  <c r="D99" i="18"/>
  <c r="E99" i="18"/>
  <c r="F99" i="18"/>
  <c r="G99" i="18"/>
  <c r="H99" i="18"/>
  <c r="I99" i="18"/>
  <c r="J99" i="18"/>
  <c r="K99" i="18"/>
  <c r="L99" i="18"/>
  <c r="M99" i="18"/>
  <c r="N99" i="18"/>
  <c r="O99" i="18"/>
  <c r="P99" i="18"/>
  <c r="Q99" i="18"/>
  <c r="R99" i="18"/>
  <c r="S99" i="18"/>
  <c r="T99" i="18"/>
  <c r="U99" i="18"/>
  <c r="V99" i="18"/>
  <c r="W99" i="18"/>
  <c r="X99" i="18"/>
  <c r="Y99" i="18"/>
  <c r="Z99" i="18"/>
  <c r="AA99" i="18"/>
  <c r="AB99" i="18"/>
  <c r="AC99" i="18"/>
  <c r="AD99" i="18"/>
  <c r="AE99" i="18"/>
  <c r="AF99" i="18"/>
  <c r="AG99" i="18"/>
  <c r="AH99" i="18"/>
  <c r="AI99" i="18"/>
  <c r="AJ99" i="18"/>
  <c r="AK99" i="18"/>
  <c r="AL99" i="18"/>
  <c r="AM99" i="18"/>
  <c r="AN99" i="18"/>
  <c r="AO99" i="18"/>
  <c r="AP99" i="18"/>
  <c r="AQ99" i="18"/>
  <c r="AR99" i="18"/>
  <c r="AS99" i="18"/>
  <c r="AT99" i="18"/>
  <c r="AU99" i="18"/>
  <c r="AV99" i="18"/>
  <c r="AW99" i="18"/>
  <c r="AX99" i="18"/>
  <c r="AY99" i="18"/>
  <c r="AZ99" i="18"/>
  <c r="BA99" i="18"/>
  <c r="BB99" i="18"/>
  <c r="BC99" i="18"/>
  <c r="BD99" i="18"/>
  <c r="BE99" i="18"/>
  <c r="BF99" i="18"/>
  <c r="BG99" i="18"/>
  <c r="BH99" i="18"/>
  <c r="BI99" i="18"/>
  <c r="BJ99" i="18"/>
  <c r="BK99" i="18"/>
  <c r="BL99" i="18"/>
  <c r="BM99" i="18"/>
  <c r="BN99" i="18"/>
  <c r="BO99" i="18"/>
  <c r="BP99" i="18"/>
  <c r="BQ99" i="18"/>
  <c r="BR99" i="18"/>
  <c r="BS99" i="18"/>
  <c r="BT99" i="18"/>
  <c r="B100" i="18"/>
  <c r="C100" i="18"/>
  <c r="D100" i="18"/>
  <c r="E100" i="18"/>
  <c r="F100" i="18"/>
  <c r="G100" i="18"/>
  <c r="H100" i="18"/>
  <c r="I100" i="18"/>
  <c r="J100" i="18"/>
  <c r="K100" i="18"/>
  <c r="L100" i="18"/>
  <c r="M100" i="18"/>
  <c r="N100" i="18"/>
  <c r="O100" i="18"/>
  <c r="P100" i="18"/>
  <c r="Q100" i="18"/>
  <c r="R100" i="18"/>
  <c r="S100" i="18"/>
  <c r="T100" i="18"/>
  <c r="U100" i="18"/>
  <c r="V100" i="18"/>
  <c r="W100" i="18"/>
  <c r="X100" i="18"/>
  <c r="Y100" i="18"/>
  <c r="Z100" i="18"/>
  <c r="AA100" i="18"/>
  <c r="AB100" i="18"/>
  <c r="AC100" i="18"/>
  <c r="AD100" i="18"/>
  <c r="AE100" i="18"/>
  <c r="AF100" i="18"/>
  <c r="AG100" i="18"/>
  <c r="AH100" i="18"/>
  <c r="AI100" i="18"/>
  <c r="AJ100" i="18"/>
  <c r="AK100" i="18"/>
  <c r="AL100" i="18"/>
  <c r="AM100" i="18"/>
  <c r="AN100" i="18"/>
  <c r="AO100" i="18"/>
  <c r="AP100" i="18"/>
  <c r="AQ100" i="18"/>
  <c r="AR100" i="18"/>
  <c r="AS100" i="18"/>
  <c r="AT100" i="18"/>
  <c r="AU100" i="18"/>
  <c r="AV100" i="18"/>
  <c r="AW100" i="18"/>
  <c r="AX100" i="18"/>
  <c r="AY100" i="18"/>
  <c r="AZ100" i="18"/>
  <c r="BA100" i="18"/>
  <c r="BB100" i="18"/>
  <c r="BC100" i="18"/>
  <c r="BD100" i="18"/>
  <c r="BE100" i="18"/>
  <c r="BF100" i="18"/>
  <c r="BG100" i="18"/>
  <c r="BH100" i="18"/>
  <c r="BI100" i="18"/>
  <c r="BJ100" i="18"/>
  <c r="BK100" i="18"/>
  <c r="BL100" i="18"/>
  <c r="BM100" i="18"/>
  <c r="BN100" i="18"/>
  <c r="BO100" i="18"/>
  <c r="BP100" i="18"/>
  <c r="BQ100" i="18"/>
  <c r="BR100" i="18"/>
  <c r="BS100" i="18"/>
  <c r="BT100" i="18"/>
  <c r="B101" i="18"/>
  <c r="C101" i="18"/>
  <c r="D101" i="18"/>
  <c r="E101" i="18"/>
  <c r="F101" i="18"/>
  <c r="G101" i="18"/>
  <c r="H101" i="18"/>
  <c r="I101" i="18"/>
  <c r="J101" i="18"/>
  <c r="K101" i="18"/>
  <c r="L101" i="18"/>
  <c r="M101" i="18"/>
  <c r="N101" i="18"/>
  <c r="O101" i="18"/>
  <c r="P101" i="18"/>
  <c r="Q101" i="18"/>
  <c r="R101" i="18"/>
  <c r="S101" i="18"/>
  <c r="T101" i="18"/>
  <c r="U101" i="18"/>
  <c r="V101" i="18"/>
  <c r="W101" i="18"/>
  <c r="X101" i="18"/>
  <c r="Y101" i="18"/>
  <c r="Z101" i="18"/>
  <c r="AA101" i="18"/>
  <c r="AB101" i="18"/>
  <c r="AC101" i="18"/>
  <c r="AD101" i="18"/>
  <c r="AE101" i="18"/>
  <c r="AF101" i="18"/>
  <c r="AG101" i="18"/>
  <c r="AH101" i="18"/>
  <c r="AI101" i="18"/>
  <c r="AJ101" i="18"/>
  <c r="AK101" i="18"/>
  <c r="AL101" i="18"/>
  <c r="AM101" i="18"/>
  <c r="AN101" i="18"/>
  <c r="AO101" i="18"/>
  <c r="AP101" i="18"/>
  <c r="AQ101" i="18"/>
  <c r="AR101" i="18"/>
  <c r="AS101" i="18"/>
  <c r="AT101" i="18"/>
  <c r="AU101" i="18"/>
  <c r="AV101" i="18"/>
  <c r="AW101" i="18"/>
  <c r="AX101" i="18"/>
  <c r="AY101" i="18"/>
  <c r="AZ101" i="18"/>
  <c r="BA101" i="18"/>
  <c r="BB101" i="18"/>
  <c r="BC101" i="18"/>
  <c r="BD101" i="18"/>
  <c r="BE101" i="18"/>
  <c r="BF101" i="18"/>
  <c r="BG101" i="18"/>
  <c r="BH101" i="18"/>
  <c r="BI101" i="18"/>
  <c r="BJ101" i="18"/>
  <c r="BK101" i="18"/>
  <c r="BL101" i="18"/>
  <c r="BM101" i="18"/>
  <c r="BN101" i="18"/>
  <c r="BO101" i="18"/>
  <c r="BP101" i="18"/>
  <c r="BQ101" i="18"/>
  <c r="BR101" i="18"/>
  <c r="BS101" i="18"/>
  <c r="BT101" i="18"/>
  <c r="B102" i="18"/>
  <c r="C102" i="18"/>
  <c r="D102" i="18"/>
  <c r="E102" i="18"/>
  <c r="F102" i="18"/>
  <c r="G102" i="18"/>
  <c r="H102" i="18"/>
  <c r="I102" i="18"/>
  <c r="J102" i="18"/>
  <c r="K102" i="18"/>
  <c r="L102" i="18"/>
  <c r="M102" i="18"/>
  <c r="N102" i="18"/>
  <c r="O102" i="18"/>
  <c r="P102" i="18"/>
  <c r="Q102" i="18"/>
  <c r="R102" i="18"/>
  <c r="S102" i="18"/>
  <c r="T102" i="18"/>
  <c r="U102" i="18"/>
  <c r="V102" i="18"/>
  <c r="W102" i="18"/>
  <c r="X102" i="18"/>
  <c r="Y102" i="18"/>
  <c r="Z102" i="18"/>
  <c r="AA102" i="18"/>
  <c r="AB102" i="18"/>
  <c r="AC102" i="18"/>
  <c r="AD102" i="18"/>
  <c r="AE102" i="18"/>
  <c r="AF102" i="18"/>
  <c r="AG102" i="18"/>
  <c r="AH102" i="18"/>
  <c r="AI102" i="18"/>
  <c r="AJ102" i="18"/>
  <c r="AK102" i="18"/>
  <c r="AL102" i="18"/>
  <c r="AM102" i="18"/>
  <c r="AN102" i="18"/>
  <c r="AO102" i="18"/>
  <c r="AP102" i="18"/>
  <c r="AQ102" i="18"/>
  <c r="AR102" i="18"/>
  <c r="AS102" i="18"/>
  <c r="AT102" i="18"/>
  <c r="AU102" i="18"/>
  <c r="AV102" i="18"/>
  <c r="AW102" i="18"/>
  <c r="AX102" i="18"/>
  <c r="AY102" i="18"/>
  <c r="AZ102" i="18"/>
  <c r="BA102" i="18"/>
  <c r="BB102" i="18"/>
  <c r="BC102" i="18"/>
  <c r="BD102" i="18"/>
  <c r="BE102" i="18"/>
  <c r="BF102" i="18"/>
  <c r="BG102" i="18"/>
  <c r="BH102" i="18"/>
  <c r="BI102" i="18"/>
  <c r="BJ102" i="18"/>
  <c r="BK102" i="18"/>
  <c r="BL102" i="18"/>
  <c r="BM102" i="18"/>
  <c r="BN102" i="18"/>
  <c r="BO102" i="18"/>
  <c r="BP102" i="18"/>
  <c r="BQ102" i="18"/>
  <c r="BR102" i="18"/>
  <c r="BS102" i="18"/>
  <c r="BT102" i="18"/>
  <c r="B103" i="18"/>
  <c r="C103" i="18"/>
  <c r="D103" i="18"/>
  <c r="E103" i="18"/>
  <c r="F103" i="18"/>
  <c r="G103" i="18"/>
  <c r="H103" i="18"/>
  <c r="I103" i="18"/>
  <c r="J103" i="18"/>
  <c r="K103" i="18"/>
  <c r="L103" i="18"/>
  <c r="M103" i="18"/>
  <c r="N103" i="18"/>
  <c r="O103" i="18"/>
  <c r="P103" i="18"/>
  <c r="Q103" i="18"/>
  <c r="R103" i="18"/>
  <c r="S103" i="18"/>
  <c r="T103" i="18"/>
  <c r="U103" i="18"/>
  <c r="V103" i="18"/>
  <c r="W103" i="18"/>
  <c r="X103" i="18"/>
  <c r="Y103" i="18"/>
  <c r="Z103" i="18"/>
  <c r="AA103" i="18"/>
  <c r="AB103" i="18"/>
  <c r="AC103" i="18"/>
  <c r="AD103" i="18"/>
  <c r="AE103" i="18"/>
  <c r="AF103" i="18"/>
  <c r="AG103" i="18"/>
  <c r="AH103" i="18"/>
  <c r="AI103" i="18"/>
  <c r="AJ103" i="18"/>
  <c r="AK103" i="18"/>
  <c r="AL103" i="18"/>
  <c r="AM103" i="18"/>
  <c r="AN103" i="18"/>
  <c r="AO103" i="18"/>
  <c r="AP103" i="18"/>
  <c r="AQ103" i="18"/>
  <c r="AR103" i="18"/>
  <c r="AS103" i="18"/>
  <c r="AT103" i="18"/>
  <c r="AU103" i="18"/>
  <c r="AV103" i="18"/>
  <c r="AW103" i="18"/>
  <c r="AX103" i="18"/>
  <c r="AY103" i="18"/>
  <c r="AZ103" i="18"/>
  <c r="BA103" i="18"/>
  <c r="BB103" i="18"/>
  <c r="BC103" i="18"/>
  <c r="BD103" i="18"/>
  <c r="BE103" i="18"/>
  <c r="BF103" i="18"/>
  <c r="BG103" i="18"/>
  <c r="BH103" i="18"/>
  <c r="BI103" i="18"/>
  <c r="BJ103" i="18"/>
  <c r="BK103" i="18"/>
  <c r="BL103" i="18"/>
  <c r="BM103" i="18"/>
  <c r="BN103" i="18"/>
  <c r="BO103" i="18"/>
  <c r="BP103" i="18"/>
  <c r="BQ103" i="18"/>
  <c r="BR103" i="18"/>
  <c r="BS103" i="18"/>
  <c r="BT103" i="18"/>
  <c r="B104" i="18"/>
  <c r="C104" i="18"/>
  <c r="D104" i="18"/>
  <c r="E104" i="18"/>
  <c r="F104" i="18"/>
  <c r="G104" i="18"/>
  <c r="H104" i="18"/>
  <c r="I104" i="18"/>
  <c r="J104" i="18"/>
  <c r="K104" i="18"/>
  <c r="L104" i="18"/>
  <c r="M104" i="18"/>
  <c r="N104" i="18"/>
  <c r="O104" i="18"/>
  <c r="P104" i="18"/>
  <c r="Q104" i="18"/>
  <c r="R104" i="18"/>
  <c r="S104" i="18"/>
  <c r="T104" i="18"/>
  <c r="U104" i="18"/>
  <c r="V104" i="18"/>
  <c r="W104" i="18"/>
  <c r="X104" i="18"/>
  <c r="Y104" i="18"/>
  <c r="Z104" i="18"/>
  <c r="AA104" i="18"/>
  <c r="AB104" i="18"/>
  <c r="AC104" i="18"/>
  <c r="AD104" i="18"/>
  <c r="AE104" i="18"/>
  <c r="AF104" i="18"/>
  <c r="AG104" i="18"/>
  <c r="AH104" i="18"/>
  <c r="AI104" i="18"/>
  <c r="AJ104" i="18"/>
  <c r="AK104" i="18"/>
  <c r="AL104" i="18"/>
  <c r="AM104" i="18"/>
  <c r="AN104" i="18"/>
  <c r="AO104" i="18"/>
  <c r="AP104" i="18"/>
  <c r="AQ104" i="18"/>
  <c r="AR104" i="18"/>
  <c r="AS104" i="18"/>
  <c r="AT104" i="18"/>
  <c r="AU104" i="18"/>
  <c r="AV104" i="18"/>
  <c r="AW104" i="18"/>
  <c r="AX104" i="18"/>
  <c r="AY104" i="18"/>
  <c r="AZ104" i="18"/>
  <c r="BA104" i="18"/>
  <c r="BB104" i="18"/>
  <c r="BC104" i="18"/>
  <c r="BD104" i="18"/>
  <c r="BE104" i="18"/>
  <c r="BF104" i="18"/>
  <c r="BG104" i="18"/>
  <c r="BH104" i="18"/>
  <c r="BI104" i="18"/>
  <c r="BJ104" i="18"/>
  <c r="BK104" i="18"/>
  <c r="BL104" i="18"/>
  <c r="BM104" i="18"/>
  <c r="BN104" i="18"/>
  <c r="BO104" i="18"/>
  <c r="BP104" i="18"/>
  <c r="BQ104" i="18"/>
  <c r="BR104" i="18"/>
  <c r="BS104" i="18"/>
  <c r="BT104" i="18"/>
  <c r="B105" i="18"/>
  <c r="C105" i="18"/>
  <c r="D105" i="18"/>
  <c r="E105" i="18"/>
  <c r="F105" i="18"/>
  <c r="G105" i="18"/>
  <c r="H105" i="18"/>
  <c r="I105" i="18"/>
  <c r="J105" i="18"/>
  <c r="K105" i="18"/>
  <c r="L105" i="18"/>
  <c r="M105" i="18"/>
  <c r="N105" i="18"/>
  <c r="O105" i="18"/>
  <c r="P105" i="18"/>
  <c r="Q105" i="18"/>
  <c r="R105" i="18"/>
  <c r="S105" i="18"/>
  <c r="T105" i="18"/>
  <c r="U105" i="18"/>
  <c r="V105" i="18"/>
  <c r="W105" i="18"/>
  <c r="X105" i="18"/>
  <c r="Y105" i="18"/>
  <c r="Z105" i="18"/>
  <c r="AA105" i="18"/>
  <c r="AB105" i="18"/>
  <c r="AC105" i="18"/>
  <c r="AD105" i="18"/>
  <c r="AE105" i="18"/>
  <c r="AF105" i="18"/>
  <c r="AG105" i="18"/>
  <c r="AH105" i="18"/>
  <c r="AI105" i="18"/>
  <c r="AJ105" i="18"/>
  <c r="AK105" i="18"/>
  <c r="AL105" i="18"/>
  <c r="AM105" i="18"/>
  <c r="AN105" i="18"/>
  <c r="AO105" i="18"/>
  <c r="AP105" i="18"/>
  <c r="AQ105" i="18"/>
  <c r="AR105" i="18"/>
  <c r="AS105" i="18"/>
  <c r="AT105" i="18"/>
  <c r="AU105" i="18"/>
  <c r="AV105" i="18"/>
  <c r="AW105" i="18"/>
  <c r="AX105" i="18"/>
  <c r="AY105" i="18"/>
  <c r="AZ105" i="18"/>
  <c r="BA105" i="18"/>
  <c r="BB105" i="18"/>
  <c r="BC105" i="18"/>
  <c r="BD105" i="18"/>
  <c r="BE105" i="18"/>
  <c r="BF105" i="18"/>
  <c r="BG105" i="18"/>
  <c r="BH105" i="18"/>
  <c r="BI105" i="18"/>
  <c r="BJ105" i="18"/>
  <c r="BK105" i="18"/>
  <c r="BL105" i="18"/>
  <c r="BM105" i="18"/>
  <c r="BN105" i="18"/>
  <c r="BO105" i="18"/>
  <c r="BP105" i="18"/>
  <c r="BQ105" i="18"/>
  <c r="BR105" i="18"/>
  <c r="BS105" i="18"/>
  <c r="BT105" i="18"/>
  <c r="B106" i="18"/>
  <c r="C106" i="18"/>
  <c r="D106" i="18"/>
  <c r="E106" i="18"/>
  <c r="F106" i="18"/>
  <c r="G106" i="18"/>
  <c r="H106" i="18"/>
  <c r="I106" i="18"/>
  <c r="J106" i="18"/>
  <c r="K106" i="18"/>
  <c r="L106" i="18"/>
  <c r="M106" i="18"/>
  <c r="N106" i="18"/>
  <c r="O106" i="18"/>
  <c r="P106" i="18"/>
  <c r="Q106" i="18"/>
  <c r="R106" i="18"/>
  <c r="S106" i="18"/>
  <c r="T106" i="18"/>
  <c r="U106" i="18"/>
  <c r="V106" i="18"/>
  <c r="W106" i="18"/>
  <c r="X106" i="18"/>
  <c r="Y106" i="18"/>
  <c r="Z106" i="18"/>
  <c r="AA106" i="18"/>
  <c r="AB106" i="18"/>
  <c r="AC106" i="18"/>
  <c r="AD106" i="18"/>
  <c r="AE106" i="18"/>
  <c r="AF106" i="18"/>
  <c r="AG106" i="18"/>
  <c r="AH106" i="18"/>
  <c r="AI106" i="18"/>
  <c r="AJ106" i="18"/>
  <c r="AK106" i="18"/>
  <c r="AL106" i="18"/>
  <c r="AM106" i="18"/>
  <c r="AN106" i="18"/>
  <c r="AO106" i="18"/>
  <c r="AP106" i="18"/>
  <c r="AQ106" i="18"/>
  <c r="AR106" i="18"/>
  <c r="AS106" i="18"/>
  <c r="AT106" i="18"/>
  <c r="AU106" i="18"/>
  <c r="AV106" i="18"/>
  <c r="AW106" i="18"/>
  <c r="AX106" i="18"/>
  <c r="AY106" i="18"/>
  <c r="AZ106" i="18"/>
  <c r="BA106" i="18"/>
  <c r="BB106" i="18"/>
  <c r="BC106" i="18"/>
  <c r="BD106" i="18"/>
  <c r="BE106" i="18"/>
  <c r="BF106" i="18"/>
  <c r="BG106" i="18"/>
  <c r="BH106" i="18"/>
  <c r="BI106" i="18"/>
  <c r="BJ106" i="18"/>
  <c r="BK106" i="18"/>
  <c r="BL106" i="18"/>
  <c r="BM106" i="18"/>
  <c r="BN106" i="18"/>
  <c r="BO106" i="18"/>
  <c r="BP106" i="18"/>
  <c r="BQ106" i="18"/>
  <c r="BR106" i="18"/>
  <c r="BS106" i="18"/>
  <c r="BT106" i="18"/>
  <c r="B107" i="18"/>
  <c r="C107" i="18"/>
  <c r="D107" i="18"/>
  <c r="E107" i="18"/>
  <c r="F107" i="18"/>
  <c r="G107" i="18"/>
  <c r="H107" i="18"/>
  <c r="I107" i="18"/>
  <c r="J107" i="18"/>
  <c r="K107" i="18"/>
  <c r="L107" i="18"/>
  <c r="M107" i="18"/>
  <c r="N107" i="18"/>
  <c r="O107" i="18"/>
  <c r="P107" i="18"/>
  <c r="Q107" i="18"/>
  <c r="R107" i="18"/>
  <c r="S107" i="18"/>
  <c r="T107" i="18"/>
  <c r="U107" i="18"/>
  <c r="V107" i="18"/>
  <c r="W107" i="18"/>
  <c r="X107" i="18"/>
  <c r="Y107" i="18"/>
  <c r="Z107" i="18"/>
  <c r="AA107" i="18"/>
  <c r="AB107" i="18"/>
  <c r="AC107" i="18"/>
  <c r="AD107" i="18"/>
  <c r="AE107" i="18"/>
  <c r="AF107" i="18"/>
  <c r="AG107" i="18"/>
  <c r="AH107" i="18"/>
  <c r="AI107" i="18"/>
  <c r="AJ107" i="18"/>
  <c r="AK107" i="18"/>
  <c r="AL107" i="18"/>
  <c r="AM107" i="18"/>
  <c r="AN107" i="18"/>
  <c r="AO107" i="18"/>
  <c r="AP107" i="18"/>
  <c r="AQ107" i="18"/>
  <c r="AR107" i="18"/>
  <c r="AS107" i="18"/>
  <c r="AT107" i="18"/>
  <c r="AU107" i="18"/>
  <c r="AV107" i="18"/>
  <c r="AW107" i="18"/>
  <c r="AX107" i="18"/>
  <c r="AY107" i="18"/>
  <c r="AZ107" i="18"/>
  <c r="BA107" i="18"/>
  <c r="BB107" i="18"/>
  <c r="BC107" i="18"/>
  <c r="BD107" i="18"/>
  <c r="BE107" i="18"/>
  <c r="BF107" i="18"/>
  <c r="BG107" i="18"/>
  <c r="BH107" i="18"/>
  <c r="BI107" i="18"/>
  <c r="BJ107" i="18"/>
  <c r="BK107" i="18"/>
  <c r="BL107" i="18"/>
  <c r="BM107" i="18"/>
  <c r="BN107" i="18"/>
  <c r="BO107" i="18"/>
  <c r="BP107" i="18"/>
  <c r="BQ107" i="18"/>
  <c r="BR107" i="18"/>
  <c r="BS107" i="18"/>
  <c r="BT107" i="18"/>
  <c r="B108" i="18"/>
  <c r="C108" i="18"/>
  <c r="D108" i="18"/>
  <c r="E108" i="18"/>
  <c r="F108" i="18"/>
  <c r="G108" i="18"/>
  <c r="H108" i="18"/>
  <c r="I108" i="18"/>
  <c r="J108" i="18"/>
  <c r="K108" i="18"/>
  <c r="L108" i="18"/>
  <c r="M108" i="18"/>
  <c r="N108" i="18"/>
  <c r="O108" i="18"/>
  <c r="P108" i="18"/>
  <c r="Q108" i="18"/>
  <c r="R108" i="18"/>
  <c r="S108" i="18"/>
  <c r="T108" i="18"/>
  <c r="U108" i="18"/>
  <c r="V108" i="18"/>
  <c r="W108" i="18"/>
  <c r="X108" i="18"/>
  <c r="Y108" i="18"/>
  <c r="Z108" i="18"/>
  <c r="AA108" i="18"/>
  <c r="AB108" i="18"/>
  <c r="AC108" i="18"/>
  <c r="AD108" i="18"/>
  <c r="AE108" i="18"/>
  <c r="AF108" i="18"/>
  <c r="AG108" i="18"/>
  <c r="AH108" i="18"/>
  <c r="AI108" i="18"/>
  <c r="AJ108" i="18"/>
  <c r="AK108" i="18"/>
  <c r="AL108" i="18"/>
  <c r="AM108" i="18"/>
  <c r="AN108" i="18"/>
  <c r="AO108" i="18"/>
  <c r="AP108" i="18"/>
  <c r="AQ108" i="18"/>
  <c r="AR108" i="18"/>
  <c r="AS108" i="18"/>
  <c r="AT108" i="18"/>
  <c r="AU108" i="18"/>
  <c r="AV108" i="18"/>
  <c r="AW108" i="18"/>
  <c r="AX108" i="18"/>
  <c r="AY108" i="18"/>
  <c r="AZ108" i="18"/>
  <c r="BA108" i="18"/>
  <c r="BB108" i="18"/>
  <c r="BC108" i="18"/>
  <c r="BD108" i="18"/>
  <c r="BE108" i="18"/>
  <c r="BF108" i="18"/>
  <c r="BG108" i="18"/>
  <c r="BH108" i="18"/>
  <c r="BI108" i="18"/>
  <c r="BJ108" i="18"/>
  <c r="BK108" i="18"/>
  <c r="BL108" i="18"/>
  <c r="BM108" i="18"/>
  <c r="BN108" i="18"/>
  <c r="BO108" i="18"/>
  <c r="BP108" i="18"/>
  <c r="BQ108" i="18"/>
  <c r="BR108" i="18"/>
  <c r="BS108" i="18"/>
  <c r="BT108" i="18"/>
  <c r="B109" i="18"/>
  <c r="C109" i="18"/>
  <c r="D109" i="18"/>
  <c r="E109" i="18"/>
  <c r="F109" i="18"/>
  <c r="G109" i="18"/>
  <c r="H109" i="18"/>
  <c r="I109" i="18"/>
  <c r="J109" i="18"/>
  <c r="K109" i="18"/>
  <c r="L109" i="18"/>
  <c r="M109" i="18"/>
  <c r="N109" i="18"/>
  <c r="O109" i="18"/>
  <c r="P109" i="18"/>
  <c r="Q109" i="18"/>
  <c r="R109" i="18"/>
  <c r="S109" i="18"/>
  <c r="T109" i="18"/>
  <c r="U109" i="18"/>
  <c r="V109" i="18"/>
  <c r="W109" i="18"/>
  <c r="X109" i="18"/>
  <c r="Y109" i="18"/>
  <c r="Z109" i="18"/>
  <c r="AA109" i="18"/>
  <c r="AB109" i="18"/>
  <c r="AC109" i="18"/>
  <c r="AD109" i="18"/>
  <c r="AE109" i="18"/>
  <c r="AF109" i="18"/>
  <c r="AG109" i="18"/>
  <c r="AH109" i="18"/>
  <c r="AI109" i="18"/>
  <c r="AJ109" i="18"/>
  <c r="AK109" i="18"/>
  <c r="AL109" i="18"/>
  <c r="AM109" i="18"/>
  <c r="AN109" i="18"/>
  <c r="AO109" i="18"/>
  <c r="AP109" i="18"/>
  <c r="AQ109" i="18"/>
  <c r="AR109" i="18"/>
  <c r="AS109" i="18"/>
  <c r="AT109" i="18"/>
  <c r="AU109" i="18"/>
  <c r="AV109" i="18"/>
  <c r="AW109" i="18"/>
  <c r="AX109" i="18"/>
  <c r="AY109" i="18"/>
  <c r="AZ109" i="18"/>
  <c r="BA109" i="18"/>
  <c r="BB109" i="18"/>
  <c r="BC109" i="18"/>
  <c r="BD109" i="18"/>
  <c r="BE109" i="18"/>
  <c r="BF109" i="18"/>
  <c r="BG109" i="18"/>
  <c r="BH109" i="18"/>
  <c r="BI109" i="18"/>
  <c r="BJ109" i="18"/>
  <c r="BK109" i="18"/>
  <c r="BL109" i="18"/>
  <c r="BM109" i="18"/>
  <c r="BN109" i="18"/>
  <c r="BO109" i="18"/>
  <c r="BP109" i="18"/>
  <c r="BQ109" i="18"/>
  <c r="BR109" i="18"/>
  <c r="BS109" i="18"/>
  <c r="BT109" i="18"/>
  <c r="B110" i="18"/>
  <c r="C110" i="18"/>
  <c r="D110" i="18"/>
  <c r="E110" i="18"/>
  <c r="F110" i="18"/>
  <c r="G110" i="18"/>
  <c r="H110" i="18"/>
  <c r="I110" i="18"/>
  <c r="J110" i="18"/>
  <c r="K110" i="18"/>
  <c r="L110" i="18"/>
  <c r="M110" i="18"/>
  <c r="N110" i="18"/>
  <c r="O110" i="18"/>
  <c r="P110" i="18"/>
  <c r="Q110" i="18"/>
  <c r="R110" i="18"/>
  <c r="S110" i="18"/>
  <c r="T110" i="18"/>
  <c r="U110" i="18"/>
  <c r="V110" i="18"/>
  <c r="W110" i="18"/>
  <c r="X110" i="18"/>
  <c r="Y110" i="18"/>
  <c r="Z110" i="18"/>
  <c r="AA110" i="18"/>
  <c r="AB110" i="18"/>
  <c r="AC110" i="18"/>
  <c r="AD110" i="18"/>
  <c r="AE110" i="18"/>
  <c r="AF110" i="18"/>
  <c r="AG110" i="18"/>
  <c r="AH110" i="18"/>
  <c r="AI110" i="18"/>
  <c r="AJ110" i="18"/>
  <c r="AK110" i="18"/>
  <c r="AL110" i="18"/>
  <c r="AM110" i="18"/>
  <c r="AN110" i="18"/>
  <c r="AO110" i="18"/>
  <c r="AP110" i="18"/>
  <c r="AQ110" i="18"/>
  <c r="AR110" i="18"/>
  <c r="AS110" i="18"/>
  <c r="AT110" i="18"/>
  <c r="AU110" i="18"/>
  <c r="AV110" i="18"/>
  <c r="AW110" i="18"/>
  <c r="AX110" i="18"/>
  <c r="AY110" i="18"/>
  <c r="AZ110" i="18"/>
  <c r="BA110" i="18"/>
  <c r="BB110" i="18"/>
  <c r="BC110" i="18"/>
  <c r="BD110" i="18"/>
  <c r="BE110" i="18"/>
  <c r="BF110" i="18"/>
  <c r="BG110" i="18"/>
  <c r="BH110" i="18"/>
  <c r="BI110" i="18"/>
  <c r="BJ110" i="18"/>
  <c r="BK110" i="18"/>
  <c r="BL110" i="18"/>
  <c r="BM110" i="18"/>
  <c r="BN110" i="18"/>
  <c r="BO110" i="18"/>
  <c r="BP110" i="18"/>
  <c r="BQ110" i="18"/>
  <c r="BR110" i="18"/>
  <c r="BS110" i="18"/>
  <c r="BT110" i="18"/>
  <c r="B111" i="18"/>
  <c r="C111" i="18"/>
  <c r="D111" i="18"/>
  <c r="E111" i="18"/>
  <c r="F111" i="18"/>
  <c r="G111" i="18"/>
  <c r="H111" i="18"/>
  <c r="I111" i="18"/>
  <c r="J111" i="18"/>
  <c r="K111" i="18"/>
  <c r="L111" i="18"/>
  <c r="M111" i="18"/>
  <c r="N111" i="18"/>
  <c r="O111" i="18"/>
  <c r="P111" i="18"/>
  <c r="Q111" i="18"/>
  <c r="R111" i="18"/>
  <c r="S111" i="18"/>
  <c r="T111" i="18"/>
  <c r="U111" i="18"/>
  <c r="V111" i="18"/>
  <c r="W111" i="18"/>
  <c r="X111" i="18"/>
  <c r="Y111" i="18"/>
  <c r="Z111" i="18"/>
  <c r="AA111" i="18"/>
  <c r="AB111" i="18"/>
  <c r="AC111" i="18"/>
  <c r="AD111" i="18"/>
  <c r="AE111" i="18"/>
  <c r="AF111" i="18"/>
  <c r="AG111" i="18"/>
  <c r="AH111" i="18"/>
  <c r="AI111" i="18"/>
  <c r="AJ111" i="18"/>
  <c r="AK111" i="18"/>
  <c r="AL111" i="18"/>
  <c r="AM111" i="18"/>
  <c r="AN111" i="18"/>
  <c r="AO111" i="18"/>
  <c r="AP111" i="18"/>
  <c r="AQ111" i="18"/>
  <c r="AR111" i="18"/>
  <c r="AS111" i="18"/>
  <c r="AT111" i="18"/>
  <c r="AU111" i="18"/>
  <c r="AV111" i="18"/>
  <c r="AW111" i="18"/>
  <c r="AX111" i="18"/>
  <c r="AY111" i="18"/>
  <c r="AZ111" i="18"/>
  <c r="BA111" i="18"/>
  <c r="BB111" i="18"/>
  <c r="BC111" i="18"/>
  <c r="BD111" i="18"/>
  <c r="BE111" i="18"/>
  <c r="BF111" i="18"/>
  <c r="BG111" i="18"/>
  <c r="BH111" i="18"/>
  <c r="BI111" i="18"/>
  <c r="BJ111" i="18"/>
  <c r="BK111" i="18"/>
  <c r="BL111" i="18"/>
  <c r="BM111" i="18"/>
  <c r="BN111" i="18"/>
  <c r="BO111" i="18"/>
  <c r="BP111" i="18"/>
  <c r="BQ111" i="18"/>
  <c r="BR111" i="18"/>
  <c r="BS111" i="18"/>
  <c r="BT111" i="18"/>
  <c r="B112" i="18"/>
  <c r="C112" i="18"/>
  <c r="D112" i="18"/>
  <c r="E112" i="18"/>
  <c r="F112" i="18"/>
  <c r="G112" i="18"/>
  <c r="H112" i="18"/>
  <c r="I112" i="18"/>
  <c r="J112" i="18"/>
  <c r="K112" i="18"/>
  <c r="L112" i="18"/>
  <c r="M112" i="18"/>
  <c r="N112" i="18"/>
  <c r="O112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113" i="18"/>
  <c r="C113" i="18"/>
  <c r="D113" i="18"/>
  <c r="E113" i="18"/>
  <c r="F113" i="18"/>
  <c r="G113" i="18"/>
  <c r="H113" i="18"/>
  <c r="I113" i="18"/>
  <c r="J113" i="18"/>
  <c r="K113" i="18"/>
  <c r="L113" i="18"/>
  <c r="M113" i="18"/>
  <c r="N113" i="18"/>
  <c r="O113" i="18"/>
  <c r="P113" i="18"/>
  <c r="Q113" i="18"/>
  <c r="R113" i="18"/>
  <c r="S113" i="18"/>
  <c r="T113" i="18"/>
  <c r="U113" i="18"/>
  <c r="V113" i="18"/>
  <c r="W113" i="18"/>
  <c r="X113" i="18"/>
  <c r="Y113" i="18"/>
  <c r="Z113" i="18"/>
  <c r="AA113" i="18"/>
  <c r="AB113" i="18"/>
  <c r="AC113" i="18"/>
  <c r="AD113" i="18"/>
  <c r="AE113" i="18"/>
  <c r="AF113" i="18"/>
  <c r="AG113" i="18"/>
  <c r="AH113" i="18"/>
  <c r="AI113" i="18"/>
  <c r="AJ113" i="18"/>
  <c r="AK113" i="18"/>
  <c r="AL113" i="18"/>
  <c r="AM113" i="18"/>
  <c r="AN113" i="18"/>
  <c r="AO113" i="18"/>
  <c r="AP113" i="18"/>
  <c r="AQ113" i="18"/>
  <c r="AR113" i="18"/>
  <c r="AS113" i="18"/>
  <c r="AT113" i="18"/>
  <c r="AU113" i="18"/>
  <c r="AV113" i="18"/>
  <c r="AW113" i="18"/>
  <c r="AX113" i="18"/>
  <c r="AY113" i="18"/>
  <c r="AZ113" i="18"/>
  <c r="BA113" i="18"/>
  <c r="BB113" i="18"/>
  <c r="BC113" i="18"/>
  <c r="BD113" i="18"/>
  <c r="BE113" i="18"/>
  <c r="BF113" i="18"/>
  <c r="BG113" i="18"/>
  <c r="BH113" i="18"/>
  <c r="BI113" i="18"/>
  <c r="BJ113" i="18"/>
  <c r="BK113" i="18"/>
  <c r="BL113" i="18"/>
  <c r="BM113" i="18"/>
  <c r="BN113" i="18"/>
  <c r="BO113" i="18"/>
  <c r="BP113" i="18"/>
  <c r="BQ113" i="18"/>
  <c r="BR113" i="18"/>
  <c r="BS113" i="18"/>
  <c r="BT113" i="18"/>
  <c r="B114" i="18"/>
  <c r="C114" i="18"/>
  <c r="D114" i="18"/>
  <c r="E114" i="18"/>
  <c r="F114" i="18"/>
  <c r="G114" i="18"/>
  <c r="H114" i="18"/>
  <c r="I114" i="18"/>
  <c r="J114" i="18"/>
  <c r="K114" i="18"/>
  <c r="L114" i="18"/>
  <c r="M114" i="18"/>
  <c r="N114" i="18"/>
  <c r="O114" i="18"/>
  <c r="P114" i="18"/>
  <c r="Q114" i="18"/>
  <c r="R114" i="18"/>
  <c r="S114" i="18"/>
  <c r="T114" i="18"/>
  <c r="U114" i="18"/>
  <c r="V114" i="18"/>
  <c r="W114" i="18"/>
  <c r="X114" i="18"/>
  <c r="Y114" i="18"/>
  <c r="Z114" i="18"/>
  <c r="AA114" i="18"/>
  <c r="AB114" i="18"/>
  <c r="AC114" i="18"/>
  <c r="AD114" i="18"/>
  <c r="AE114" i="18"/>
  <c r="AF114" i="18"/>
  <c r="AG114" i="18"/>
  <c r="AH114" i="18"/>
  <c r="AI114" i="18"/>
  <c r="AJ114" i="18"/>
  <c r="AK114" i="18"/>
  <c r="AL114" i="18"/>
  <c r="AM114" i="18"/>
  <c r="AN114" i="18"/>
  <c r="AO114" i="18"/>
  <c r="AP114" i="18"/>
  <c r="AQ114" i="18"/>
  <c r="AR114" i="18"/>
  <c r="AS114" i="18"/>
  <c r="AT114" i="18"/>
  <c r="AU114" i="18"/>
  <c r="AV114" i="18"/>
  <c r="AW114" i="18"/>
  <c r="AX114" i="18"/>
  <c r="AY114" i="18"/>
  <c r="AZ114" i="18"/>
  <c r="BA114" i="18"/>
  <c r="BB114" i="18"/>
  <c r="BC114" i="18"/>
  <c r="BD114" i="18"/>
  <c r="BE114" i="18"/>
  <c r="BF114" i="18"/>
  <c r="BG114" i="18"/>
  <c r="BH114" i="18"/>
  <c r="BI114" i="18"/>
  <c r="BJ114" i="18"/>
  <c r="BK114" i="18"/>
  <c r="BL114" i="18"/>
  <c r="BM114" i="18"/>
  <c r="BN114" i="18"/>
  <c r="BO114" i="18"/>
  <c r="BP114" i="18"/>
  <c r="BQ114" i="18"/>
  <c r="BR114" i="18"/>
  <c r="BS114" i="18"/>
  <c r="BT114" i="18"/>
  <c r="B115" i="18"/>
  <c r="C115" i="18"/>
  <c r="D115" i="18"/>
  <c r="E115" i="18"/>
  <c r="F115" i="18"/>
  <c r="G115" i="18"/>
  <c r="H115" i="18"/>
  <c r="I115" i="18"/>
  <c r="J115" i="18"/>
  <c r="K115" i="18"/>
  <c r="L115" i="18"/>
  <c r="M115" i="18"/>
  <c r="N115" i="18"/>
  <c r="O115" i="18"/>
  <c r="P115" i="18"/>
  <c r="Q115" i="18"/>
  <c r="R115" i="18"/>
  <c r="S115" i="18"/>
  <c r="T115" i="18"/>
  <c r="U115" i="18"/>
  <c r="V115" i="18"/>
  <c r="W115" i="18"/>
  <c r="X115" i="18"/>
  <c r="Y115" i="18"/>
  <c r="Z115" i="18"/>
  <c r="AA115" i="18"/>
  <c r="AB115" i="18"/>
  <c r="AC115" i="18"/>
  <c r="AD115" i="18"/>
  <c r="AE115" i="18"/>
  <c r="AF115" i="18"/>
  <c r="AG115" i="18"/>
  <c r="AH115" i="18"/>
  <c r="AI115" i="18"/>
  <c r="AJ115" i="18"/>
  <c r="AK115" i="18"/>
  <c r="AL115" i="18"/>
  <c r="AM115" i="18"/>
  <c r="AN115" i="18"/>
  <c r="AO115" i="18"/>
  <c r="AP115" i="18"/>
  <c r="AQ115" i="18"/>
  <c r="AR115" i="18"/>
  <c r="AS115" i="18"/>
  <c r="AT115" i="18"/>
  <c r="AU115" i="18"/>
  <c r="AV115" i="18"/>
  <c r="AW115" i="18"/>
  <c r="AX115" i="18"/>
  <c r="AY115" i="18"/>
  <c r="AZ115" i="18"/>
  <c r="BA115" i="18"/>
  <c r="BB115" i="18"/>
  <c r="BC115" i="18"/>
  <c r="BD115" i="18"/>
  <c r="BE115" i="18"/>
  <c r="BF115" i="18"/>
  <c r="BG115" i="18"/>
  <c r="BH115" i="18"/>
  <c r="BI115" i="18"/>
  <c r="BJ115" i="18"/>
  <c r="BK115" i="18"/>
  <c r="BL115" i="18"/>
  <c r="BM115" i="18"/>
  <c r="BN115" i="18"/>
  <c r="BO115" i="18"/>
  <c r="BP115" i="18"/>
  <c r="BQ115" i="18"/>
  <c r="BR115" i="18"/>
  <c r="BS115" i="18"/>
  <c r="BT115" i="18"/>
  <c r="B116" i="18"/>
  <c r="C116" i="18"/>
  <c r="D116" i="18"/>
  <c r="E116" i="18"/>
  <c r="F116" i="18"/>
  <c r="G116" i="18"/>
  <c r="H116" i="18"/>
  <c r="I116" i="18"/>
  <c r="J116" i="18"/>
  <c r="K116" i="18"/>
  <c r="L116" i="18"/>
  <c r="M116" i="18"/>
  <c r="N116" i="18"/>
  <c r="O116" i="18"/>
  <c r="P116" i="18"/>
  <c r="Q116" i="18"/>
  <c r="R116" i="18"/>
  <c r="S116" i="18"/>
  <c r="T116" i="18"/>
  <c r="U116" i="18"/>
  <c r="V116" i="18"/>
  <c r="W116" i="18"/>
  <c r="X116" i="18"/>
  <c r="Y116" i="18"/>
  <c r="Z116" i="18"/>
  <c r="AA116" i="18"/>
  <c r="AB116" i="18"/>
  <c r="AC116" i="18"/>
  <c r="AD116" i="18"/>
  <c r="AE116" i="18"/>
  <c r="AF116" i="18"/>
  <c r="AG116" i="18"/>
  <c r="AH116" i="18"/>
  <c r="AI116" i="18"/>
  <c r="AJ116" i="18"/>
  <c r="AK116" i="18"/>
  <c r="AL116" i="18"/>
  <c r="AM116" i="18"/>
  <c r="AN116" i="18"/>
  <c r="AO116" i="18"/>
  <c r="AP116" i="18"/>
  <c r="AQ116" i="18"/>
  <c r="AR116" i="18"/>
  <c r="AS116" i="18"/>
  <c r="AT116" i="18"/>
  <c r="AU116" i="18"/>
  <c r="AV116" i="18"/>
  <c r="AW116" i="18"/>
  <c r="AX116" i="18"/>
  <c r="AY116" i="18"/>
  <c r="AZ116" i="18"/>
  <c r="BA116" i="18"/>
  <c r="BB116" i="18"/>
  <c r="BC116" i="18"/>
  <c r="BD116" i="18"/>
  <c r="BE116" i="18"/>
  <c r="BF116" i="18"/>
  <c r="BG116" i="18"/>
  <c r="BH116" i="18"/>
  <c r="BI116" i="18"/>
  <c r="BJ116" i="18"/>
  <c r="BK116" i="18"/>
  <c r="BL116" i="18"/>
  <c r="BM116" i="18"/>
  <c r="BN116" i="18"/>
  <c r="BO116" i="18"/>
  <c r="BP116" i="18"/>
  <c r="BQ116" i="18"/>
  <c r="BR116" i="18"/>
  <c r="BS116" i="18"/>
  <c r="BT116" i="18"/>
  <c r="B117" i="18"/>
  <c r="C117" i="18"/>
  <c r="D117" i="18"/>
  <c r="E117" i="18"/>
  <c r="F117" i="18"/>
  <c r="G117" i="18"/>
  <c r="H117" i="18"/>
  <c r="I117" i="18"/>
  <c r="J117" i="18"/>
  <c r="K117" i="18"/>
  <c r="L117" i="18"/>
  <c r="M117" i="18"/>
  <c r="N117" i="18"/>
  <c r="O117" i="18"/>
  <c r="P117" i="18"/>
  <c r="Q117" i="18"/>
  <c r="R117" i="18"/>
  <c r="S117" i="18"/>
  <c r="T117" i="18"/>
  <c r="U117" i="18"/>
  <c r="V117" i="18"/>
  <c r="W117" i="18"/>
  <c r="X117" i="18"/>
  <c r="Y117" i="18"/>
  <c r="Z117" i="18"/>
  <c r="AA117" i="18"/>
  <c r="AB117" i="18"/>
  <c r="AC117" i="18"/>
  <c r="AD117" i="18"/>
  <c r="AE117" i="18"/>
  <c r="AF117" i="18"/>
  <c r="AG117" i="18"/>
  <c r="AH117" i="18"/>
  <c r="AI117" i="18"/>
  <c r="AJ117" i="18"/>
  <c r="AK117" i="18"/>
  <c r="AL117" i="18"/>
  <c r="AM117" i="18"/>
  <c r="AN117" i="18"/>
  <c r="AO117" i="18"/>
  <c r="AP117" i="18"/>
  <c r="AQ117" i="18"/>
  <c r="AR117" i="18"/>
  <c r="AS117" i="18"/>
  <c r="AT117" i="18"/>
  <c r="AU117" i="18"/>
  <c r="AV117" i="18"/>
  <c r="AW117" i="18"/>
  <c r="AX117" i="18"/>
  <c r="AY117" i="18"/>
  <c r="AZ117" i="18"/>
  <c r="BA117" i="18"/>
  <c r="BB117" i="18"/>
  <c r="BC117" i="18"/>
  <c r="BD117" i="18"/>
  <c r="BE117" i="18"/>
  <c r="BF117" i="18"/>
  <c r="BG117" i="18"/>
  <c r="BH117" i="18"/>
  <c r="BI117" i="18"/>
  <c r="BJ117" i="18"/>
  <c r="BK117" i="18"/>
  <c r="BL117" i="18"/>
  <c r="BM117" i="18"/>
  <c r="BN117" i="18"/>
  <c r="BO117" i="18"/>
  <c r="BP117" i="18"/>
  <c r="BQ117" i="18"/>
  <c r="BR117" i="18"/>
  <c r="BS117" i="18"/>
  <c r="BT117" i="18"/>
  <c r="B118" i="18"/>
  <c r="C118" i="18"/>
  <c r="D118" i="18"/>
  <c r="E118" i="18"/>
  <c r="F118" i="18"/>
  <c r="G118" i="18"/>
  <c r="H118" i="18"/>
  <c r="I118" i="18"/>
  <c r="J118" i="18"/>
  <c r="K118" i="18"/>
  <c r="L118" i="18"/>
  <c r="M118" i="18"/>
  <c r="N118" i="18"/>
  <c r="O118" i="18"/>
  <c r="P118" i="18"/>
  <c r="Q118" i="18"/>
  <c r="R118" i="18"/>
  <c r="S118" i="18"/>
  <c r="T118" i="18"/>
  <c r="U118" i="18"/>
  <c r="V118" i="18"/>
  <c r="W118" i="18"/>
  <c r="X118" i="18"/>
  <c r="Y118" i="18"/>
  <c r="Z118" i="18"/>
  <c r="AA118" i="18"/>
  <c r="AB118" i="18"/>
  <c r="AC118" i="18"/>
  <c r="AD118" i="18"/>
  <c r="AE118" i="18"/>
  <c r="AF118" i="18"/>
  <c r="AG118" i="18"/>
  <c r="AH118" i="18"/>
  <c r="AI118" i="18"/>
  <c r="AJ118" i="18"/>
  <c r="AK118" i="18"/>
  <c r="AL118" i="18"/>
  <c r="AM118" i="18"/>
  <c r="AN118" i="18"/>
  <c r="AO118" i="18"/>
  <c r="AP118" i="18"/>
  <c r="AQ118" i="18"/>
  <c r="AR118" i="18"/>
  <c r="AS118" i="18"/>
  <c r="AT118" i="18"/>
  <c r="AU118" i="18"/>
  <c r="AV118" i="18"/>
  <c r="AW118" i="18"/>
  <c r="AX118" i="18"/>
  <c r="AY118" i="18"/>
  <c r="AZ118" i="18"/>
  <c r="BA118" i="18"/>
  <c r="BB118" i="18"/>
  <c r="BC118" i="18"/>
  <c r="BD118" i="18"/>
  <c r="BE118" i="18"/>
  <c r="BF118" i="18"/>
  <c r="BG118" i="18"/>
  <c r="BH118" i="18"/>
  <c r="BI118" i="18"/>
  <c r="BJ118" i="18"/>
  <c r="BK118" i="18"/>
  <c r="BL118" i="18"/>
  <c r="BM118" i="18"/>
  <c r="BN118" i="18"/>
  <c r="BO118" i="18"/>
  <c r="BP118" i="18"/>
  <c r="BQ118" i="18"/>
  <c r="BR118" i="18"/>
  <c r="BS118" i="18"/>
  <c r="BT118" i="18"/>
  <c r="B119" i="18"/>
  <c r="C119" i="18"/>
  <c r="D119" i="18"/>
  <c r="E119" i="18"/>
  <c r="F119" i="18"/>
  <c r="G119" i="18"/>
  <c r="H119" i="18"/>
  <c r="I119" i="18"/>
  <c r="J119" i="18"/>
  <c r="K119" i="18"/>
  <c r="L119" i="18"/>
  <c r="M119" i="18"/>
  <c r="N119" i="18"/>
  <c r="O119" i="18"/>
  <c r="P119" i="18"/>
  <c r="Q119" i="18"/>
  <c r="R119" i="18"/>
  <c r="S119" i="18"/>
  <c r="T119" i="18"/>
  <c r="U119" i="18"/>
  <c r="V119" i="18"/>
  <c r="W119" i="18"/>
  <c r="X119" i="18"/>
  <c r="Y119" i="18"/>
  <c r="Z119" i="18"/>
  <c r="AA119" i="18"/>
  <c r="AB119" i="18"/>
  <c r="AC119" i="18"/>
  <c r="AD119" i="18"/>
  <c r="AE119" i="18"/>
  <c r="AF119" i="18"/>
  <c r="AG119" i="18"/>
  <c r="AH119" i="18"/>
  <c r="AI119" i="18"/>
  <c r="AJ119" i="18"/>
  <c r="AK119" i="18"/>
  <c r="AL119" i="18"/>
  <c r="AM119" i="18"/>
  <c r="AN119" i="18"/>
  <c r="AO119" i="18"/>
  <c r="AP119" i="18"/>
  <c r="AQ119" i="18"/>
  <c r="AR119" i="18"/>
  <c r="AS119" i="18"/>
  <c r="AT119" i="18"/>
  <c r="AU119" i="18"/>
  <c r="AV119" i="18"/>
  <c r="AW119" i="18"/>
  <c r="AX119" i="18"/>
  <c r="AY119" i="18"/>
  <c r="AZ119" i="18"/>
  <c r="BA119" i="18"/>
  <c r="BB119" i="18"/>
  <c r="BC119" i="18"/>
  <c r="BD119" i="18"/>
  <c r="BE119" i="18"/>
  <c r="BF119" i="18"/>
  <c r="BG119" i="18"/>
  <c r="BH119" i="18"/>
  <c r="BI119" i="18"/>
  <c r="BJ119" i="18"/>
  <c r="BK119" i="18"/>
  <c r="BL119" i="18"/>
  <c r="BM119" i="18"/>
  <c r="BN119" i="18"/>
  <c r="BO119" i="18"/>
  <c r="BP119" i="18"/>
  <c r="BQ119" i="18"/>
  <c r="BR119" i="18"/>
  <c r="BS119" i="18"/>
  <c r="BT119" i="18"/>
  <c r="B120" i="18"/>
  <c r="C120" i="18"/>
  <c r="D120" i="18"/>
  <c r="E120" i="18"/>
  <c r="F120" i="18"/>
  <c r="G120" i="18"/>
  <c r="H120" i="18"/>
  <c r="I120" i="18"/>
  <c r="J120" i="18"/>
  <c r="K120" i="18"/>
  <c r="L120" i="18"/>
  <c r="M120" i="18"/>
  <c r="N120" i="18"/>
  <c r="O120" i="18"/>
  <c r="P120" i="18"/>
  <c r="Q120" i="18"/>
  <c r="R120" i="18"/>
  <c r="S120" i="18"/>
  <c r="T120" i="18"/>
  <c r="U120" i="18"/>
  <c r="V120" i="18"/>
  <c r="W120" i="18"/>
  <c r="X120" i="18"/>
  <c r="Y120" i="18"/>
  <c r="Z120" i="18"/>
  <c r="AA120" i="18"/>
  <c r="AB120" i="18"/>
  <c r="AC120" i="18"/>
  <c r="AD120" i="18"/>
  <c r="AE120" i="18"/>
  <c r="AF120" i="18"/>
  <c r="AG120" i="18"/>
  <c r="AH120" i="18"/>
  <c r="AI120" i="18"/>
  <c r="AJ120" i="18"/>
  <c r="AK120" i="18"/>
  <c r="AL120" i="18"/>
  <c r="AM120" i="18"/>
  <c r="AN120" i="18"/>
  <c r="AO120" i="18"/>
  <c r="AP120" i="18"/>
  <c r="AQ120" i="18"/>
  <c r="AR120" i="18"/>
  <c r="AS120" i="18"/>
  <c r="AT120" i="18"/>
  <c r="AU120" i="18"/>
  <c r="AV120" i="18"/>
  <c r="AW120" i="18"/>
  <c r="AX120" i="18"/>
  <c r="AY120" i="18"/>
  <c r="AZ120" i="18"/>
  <c r="BA120" i="18"/>
  <c r="BB120" i="18"/>
  <c r="BC120" i="18"/>
  <c r="BD120" i="18"/>
  <c r="BE120" i="18"/>
  <c r="BF120" i="18"/>
  <c r="BG120" i="18"/>
  <c r="BH120" i="18"/>
  <c r="BI120" i="18"/>
  <c r="BJ120" i="18"/>
  <c r="BK120" i="18"/>
  <c r="BL120" i="18"/>
  <c r="BM120" i="18"/>
  <c r="BN120" i="18"/>
  <c r="BO120" i="18"/>
  <c r="BP120" i="18"/>
  <c r="BQ120" i="18"/>
  <c r="BR120" i="18"/>
  <c r="BS120" i="18"/>
  <c r="BT120" i="18"/>
  <c r="B121" i="18"/>
  <c r="C121" i="18"/>
  <c r="D121" i="18"/>
  <c r="E121" i="18"/>
  <c r="F121" i="18"/>
  <c r="G121" i="18"/>
  <c r="H121" i="18"/>
  <c r="I121" i="18"/>
  <c r="J121" i="18"/>
  <c r="K121" i="18"/>
  <c r="L121" i="18"/>
  <c r="M121" i="18"/>
  <c r="N121" i="18"/>
  <c r="O121" i="18"/>
  <c r="P121" i="18"/>
  <c r="Q121" i="18"/>
  <c r="R121" i="18"/>
  <c r="S121" i="18"/>
  <c r="T121" i="18"/>
  <c r="U121" i="18"/>
  <c r="V121" i="18"/>
  <c r="W121" i="18"/>
  <c r="X121" i="18"/>
  <c r="Y121" i="18"/>
  <c r="Z121" i="18"/>
  <c r="AA121" i="18"/>
  <c r="AB121" i="18"/>
  <c r="AC121" i="18"/>
  <c r="AD121" i="18"/>
  <c r="AE121" i="18"/>
  <c r="AF121" i="18"/>
  <c r="AG121" i="18"/>
  <c r="AH121" i="18"/>
  <c r="AI121" i="18"/>
  <c r="AJ121" i="18"/>
  <c r="AK121" i="18"/>
  <c r="AL121" i="18"/>
  <c r="AM121" i="18"/>
  <c r="AN121" i="18"/>
  <c r="AO121" i="18"/>
  <c r="AP121" i="18"/>
  <c r="AQ121" i="18"/>
  <c r="AR121" i="18"/>
  <c r="AS121" i="18"/>
  <c r="AT121" i="18"/>
  <c r="AU121" i="18"/>
  <c r="AV121" i="18"/>
  <c r="AW121" i="18"/>
  <c r="AX121" i="18"/>
  <c r="AY121" i="18"/>
  <c r="AZ121" i="18"/>
  <c r="BA121" i="18"/>
  <c r="BB121" i="18"/>
  <c r="BC121" i="18"/>
  <c r="BD121" i="18"/>
  <c r="BE121" i="18"/>
  <c r="BF121" i="18"/>
  <c r="BG121" i="18"/>
  <c r="BH121" i="18"/>
  <c r="BI121" i="18"/>
  <c r="BJ121" i="18"/>
  <c r="BK121" i="18"/>
  <c r="BL121" i="18"/>
  <c r="BM121" i="18"/>
  <c r="BN121" i="18"/>
  <c r="BO121" i="18"/>
  <c r="BP121" i="18"/>
  <c r="BQ121" i="18"/>
  <c r="BR121" i="18"/>
  <c r="BS121" i="18"/>
  <c r="BT121" i="18"/>
  <c r="B122" i="18"/>
  <c r="C122" i="18"/>
  <c r="D122" i="18"/>
  <c r="E122" i="18"/>
  <c r="F122" i="18"/>
  <c r="G122" i="18"/>
  <c r="H122" i="18"/>
  <c r="I122" i="18"/>
  <c r="J122" i="18"/>
  <c r="K122" i="18"/>
  <c r="L122" i="18"/>
  <c r="M122" i="18"/>
  <c r="N122" i="18"/>
  <c r="O122" i="18"/>
  <c r="P122" i="18"/>
  <c r="Q122" i="18"/>
  <c r="R122" i="18"/>
  <c r="S122" i="18"/>
  <c r="T122" i="18"/>
  <c r="U122" i="18"/>
  <c r="V122" i="18"/>
  <c r="W122" i="18"/>
  <c r="X122" i="18"/>
  <c r="Y122" i="18"/>
  <c r="Z122" i="18"/>
  <c r="AA122" i="18"/>
  <c r="AB122" i="18"/>
  <c r="AC122" i="18"/>
  <c r="AD122" i="18"/>
  <c r="AE122" i="18"/>
  <c r="AF122" i="18"/>
  <c r="AG122" i="18"/>
  <c r="AH122" i="18"/>
  <c r="AI122" i="18"/>
  <c r="AJ122" i="18"/>
  <c r="AK122" i="18"/>
  <c r="AL122" i="18"/>
  <c r="AM122" i="18"/>
  <c r="AN122" i="18"/>
  <c r="AO122" i="18"/>
  <c r="AP122" i="18"/>
  <c r="AQ122" i="18"/>
  <c r="AR122" i="18"/>
  <c r="AS122" i="18"/>
  <c r="AT122" i="18"/>
  <c r="AU122" i="18"/>
  <c r="AV122" i="18"/>
  <c r="AW122" i="18"/>
  <c r="AX122" i="18"/>
  <c r="AY122" i="18"/>
  <c r="AZ122" i="18"/>
  <c r="BA122" i="18"/>
  <c r="BB122" i="18"/>
  <c r="BC122" i="18"/>
  <c r="BD122" i="18"/>
  <c r="BE122" i="18"/>
  <c r="BF122" i="18"/>
  <c r="BG122" i="18"/>
  <c r="BH122" i="18"/>
  <c r="BI122" i="18"/>
  <c r="BJ122" i="18"/>
  <c r="BK122" i="18"/>
  <c r="BL122" i="18"/>
  <c r="BM122" i="18"/>
  <c r="BN122" i="18"/>
  <c r="BO122" i="18"/>
  <c r="BP122" i="18"/>
  <c r="BQ122" i="18"/>
  <c r="BR122" i="18"/>
  <c r="BS122" i="18"/>
  <c r="BT122" i="18"/>
  <c r="B123" i="18"/>
  <c r="C123" i="18"/>
  <c r="D123" i="18"/>
  <c r="E123" i="18"/>
  <c r="F123" i="18"/>
  <c r="G123" i="18"/>
  <c r="H123" i="18"/>
  <c r="I123" i="18"/>
  <c r="J123" i="18"/>
  <c r="K123" i="18"/>
  <c r="L123" i="18"/>
  <c r="M123" i="18"/>
  <c r="N123" i="18"/>
  <c r="O123" i="18"/>
  <c r="P123" i="18"/>
  <c r="Q123" i="18"/>
  <c r="R123" i="18"/>
  <c r="S123" i="18"/>
  <c r="T123" i="18"/>
  <c r="U123" i="18"/>
  <c r="V123" i="18"/>
  <c r="W123" i="18"/>
  <c r="X123" i="18"/>
  <c r="Y123" i="18"/>
  <c r="Z123" i="18"/>
  <c r="AA123" i="18"/>
  <c r="AB123" i="18"/>
  <c r="AC123" i="18"/>
  <c r="AD123" i="18"/>
  <c r="AE123" i="18"/>
  <c r="AF123" i="18"/>
  <c r="AG123" i="18"/>
  <c r="AH123" i="18"/>
  <c r="AI123" i="18"/>
  <c r="AJ123" i="18"/>
  <c r="AK123" i="18"/>
  <c r="AL123" i="18"/>
  <c r="AM123" i="18"/>
  <c r="AN123" i="18"/>
  <c r="AO123" i="18"/>
  <c r="AP123" i="18"/>
  <c r="AQ123" i="18"/>
  <c r="AR123" i="18"/>
  <c r="AS123" i="18"/>
  <c r="AT123" i="18"/>
  <c r="AU123" i="18"/>
  <c r="AV123" i="18"/>
  <c r="AW123" i="18"/>
  <c r="AX123" i="18"/>
  <c r="AY123" i="18"/>
  <c r="AZ123" i="18"/>
  <c r="BA123" i="18"/>
  <c r="BB123" i="18"/>
  <c r="BC123" i="18"/>
  <c r="BD123" i="18"/>
  <c r="BE123" i="18"/>
  <c r="BF123" i="18"/>
  <c r="BG123" i="18"/>
  <c r="BH123" i="18"/>
  <c r="BI123" i="18"/>
  <c r="BJ123" i="18"/>
  <c r="BK123" i="18"/>
  <c r="BL123" i="18"/>
  <c r="BM123" i="18"/>
  <c r="BN123" i="18"/>
  <c r="BO123" i="18"/>
  <c r="BP123" i="18"/>
  <c r="BQ123" i="18"/>
  <c r="BR123" i="18"/>
  <c r="BS123" i="18"/>
  <c r="BT123" i="18"/>
  <c r="B124" i="18"/>
  <c r="C124" i="18"/>
  <c r="D124" i="18"/>
  <c r="E124" i="18"/>
  <c r="F124" i="18"/>
  <c r="G124" i="18"/>
  <c r="H124" i="18"/>
  <c r="I124" i="18"/>
  <c r="J124" i="18"/>
  <c r="K124" i="18"/>
  <c r="L124" i="18"/>
  <c r="M124" i="18"/>
  <c r="N124" i="18"/>
  <c r="O124" i="18"/>
  <c r="P124" i="18"/>
  <c r="Q124" i="18"/>
  <c r="R124" i="18"/>
  <c r="S124" i="18"/>
  <c r="T124" i="18"/>
  <c r="U124" i="18"/>
  <c r="V124" i="18"/>
  <c r="W124" i="18"/>
  <c r="X124" i="18"/>
  <c r="Y124" i="18"/>
  <c r="Z124" i="18"/>
  <c r="AA124" i="18"/>
  <c r="AB124" i="18"/>
  <c r="AC124" i="18"/>
  <c r="AD124" i="18"/>
  <c r="AE124" i="18"/>
  <c r="AF124" i="18"/>
  <c r="AG124" i="18"/>
  <c r="AH124" i="18"/>
  <c r="AI124" i="18"/>
  <c r="AJ124" i="18"/>
  <c r="AK124" i="18"/>
  <c r="AL124" i="18"/>
  <c r="AM124" i="18"/>
  <c r="AN124" i="18"/>
  <c r="AO124" i="18"/>
  <c r="AP124" i="18"/>
  <c r="AQ124" i="18"/>
  <c r="AR124" i="18"/>
  <c r="AS124" i="18"/>
  <c r="AT124" i="18"/>
  <c r="AU124" i="18"/>
  <c r="AV124" i="18"/>
  <c r="AW124" i="18"/>
  <c r="AX124" i="18"/>
  <c r="AY124" i="18"/>
  <c r="AZ124" i="18"/>
  <c r="BA124" i="18"/>
  <c r="BB124" i="18"/>
  <c r="BC124" i="18"/>
  <c r="BD124" i="18"/>
  <c r="BE124" i="18"/>
  <c r="BF124" i="18"/>
  <c r="BG124" i="18"/>
  <c r="BH124" i="18"/>
  <c r="BI124" i="18"/>
  <c r="BJ124" i="18"/>
  <c r="BK124" i="18"/>
  <c r="BL124" i="18"/>
  <c r="BM124" i="18"/>
  <c r="BN124" i="18"/>
  <c r="BO124" i="18"/>
  <c r="BP124" i="18"/>
  <c r="BQ124" i="18"/>
  <c r="BR124" i="18"/>
  <c r="BS124" i="18"/>
  <c r="BT124" i="18"/>
  <c r="B125" i="18"/>
  <c r="C125" i="18"/>
  <c r="D125" i="18"/>
  <c r="E125" i="18"/>
  <c r="F125" i="18"/>
  <c r="G125" i="18"/>
  <c r="H125" i="18"/>
  <c r="I125" i="18"/>
  <c r="J125" i="18"/>
  <c r="K125" i="18"/>
  <c r="L125" i="18"/>
  <c r="M125" i="18"/>
  <c r="N125" i="18"/>
  <c r="O125" i="18"/>
  <c r="P125" i="18"/>
  <c r="Q125" i="18"/>
  <c r="R125" i="18"/>
  <c r="S125" i="18"/>
  <c r="T125" i="18"/>
  <c r="U125" i="18"/>
  <c r="V125" i="18"/>
  <c r="W125" i="18"/>
  <c r="X125" i="18"/>
  <c r="Y125" i="18"/>
  <c r="Z125" i="18"/>
  <c r="AA125" i="18"/>
  <c r="AB125" i="18"/>
  <c r="AC125" i="18"/>
  <c r="AD125" i="18"/>
  <c r="AE125" i="18"/>
  <c r="AF125" i="18"/>
  <c r="AG125" i="18"/>
  <c r="AH125" i="18"/>
  <c r="AI125" i="18"/>
  <c r="AJ125" i="18"/>
  <c r="AK125" i="18"/>
  <c r="AL125" i="18"/>
  <c r="AM125" i="18"/>
  <c r="AN125" i="18"/>
  <c r="AO125" i="18"/>
  <c r="AP125" i="18"/>
  <c r="AQ125" i="18"/>
  <c r="AR125" i="18"/>
  <c r="AS125" i="18"/>
  <c r="AT125" i="18"/>
  <c r="AU125" i="18"/>
  <c r="AV125" i="18"/>
  <c r="AW125" i="18"/>
  <c r="AX125" i="18"/>
  <c r="AY125" i="18"/>
  <c r="AZ125" i="18"/>
  <c r="BA125" i="18"/>
  <c r="BB125" i="18"/>
  <c r="BC125" i="18"/>
  <c r="BD125" i="18"/>
  <c r="BE125" i="18"/>
  <c r="BF125" i="18"/>
  <c r="BG125" i="18"/>
  <c r="BH125" i="18"/>
  <c r="BI125" i="18"/>
  <c r="BJ125" i="18"/>
  <c r="BK125" i="18"/>
  <c r="BL125" i="18"/>
  <c r="BM125" i="18"/>
  <c r="BN125" i="18"/>
  <c r="BO125" i="18"/>
  <c r="BP125" i="18"/>
  <c r="BQ125" i="18"/>
  <c r="BR125" i="18"/>
  <c r="BS125" i="18"/>
  <c r="BT125" i="18"/>
  <c r="B126" i="18"/>
  <c r="C126" i="18"/>
  <c r="D126" i="18"/>
  <c r="E126" i="18"/>
  <c r="F126" i="18"/>
  <c r="G126" i="18"/>
  <c r="H126" i="18"/>
  <c r="I126" i="18"/>
  <c r="J126" i="18"/>
  <c r="K126" i="18"/>
  <c r="L126" i="18"/>
  <c r="M126" i="18"/>
  <c r="N126" i="18"/>
  <c r="O126" i="18"/>
  <c r="P126" i="18"/>
  <c r="Q126" i="18"/>
  <c r="R126" i="18"/>
  <c r="S126" i="18"/>
  <c r="T126" i="18"/>
  <c r="U126" i="18"/>
  <c r="V126" i="18"/>
  <c r="W126" i="18"/>
  <c r="X126" i="18"/>
  <c r="Y126" i="18"/>
  <c r="Z126" i="18"/>
  <c r="AA126" i="18"/>
  <c r="AB126" i="18"/>
  <c r="AC126" i="18"/>
  <c r="AD126" i="18"/>
  <c r="AE126" i="18"/>
  <c r="AF126" i="18"/>
  <c r="AG126" i="18"/>
  <c r="AH126" i="18"/>
  <c r="AI126" i="18"/>
  <c r="AJ126" i="18"/>
  <c r="AK126" i="18"/>
  <c r="AL126" i="18"/>
  <c r="AM126" i="18"/>
  <c r="AN126" i="18"/>
  <c r="AO126" i="18"/>
  <c r="AP126" i="18"/>
  <c r="AQ126" i="18"/>
  <c r="AR126" i="18"/>
  <c r="AS126" i="18"/>
  <c r="AT126" i="18"/>
  <c r="AU126" i="18"/>
  <c r="AV126" i="18"/>
  <c r="AW126" i="18"/>
  <c r="AX126" i="18"/>
  <c r="AY126" i="18"/>
  <c r="AZ126" i="18"/>
  <c r="BA126" i="18"/>
  <c r="BB126" i="18"/>
  <c r="BC126" i="18"/>
  <c r="BD126" i="18"/>
  <c r="BE126" i="18"/>
  <c r="BF126" i="18"/>
  <c r="BG126" i="18"/>
  <c r="BH126" i="18"/>
  <c r="BI126" i="18"/>
  <c r="BJ126" i="18"/>
  <c r="BK126" i="18"/>
  <c r="BL126" i="18"/>
  <c r="BM126" i="18"/>
  <c r="BN126" i="18"/>
  <c r="BO126" i="18"/>
  <c r="BP126" i="18"/>
  <c r="BQ126" i="18"/>
  <c r="BR126" i="18"/>
  <c r="BS126" i="18"/>
  <c r="BT126" i="18"/>
  <c r="BT2" i="18"/>
  <c r="BS2" i="18"/>
  <c r="BR2" i="18"/>
  <c r="BQ2" i="18"/>
  <c r="BP2" i="18"/>
  <c r="BO2" i="18"/>
  <c r="BN2" i="18"/>
  <c r="BM2" i="18"/>
  <c r="BL2" i="18"/>
  <c r="BK2" i="18"/>
  <c r="BJ2" i="18"/>
  <c r="BI2" i="18"/>
  <c r="BH2" i="18"/>
  <c r="BG2" i="18"/>
  <c r="BF2" i="18"/>
  <c r="BE2" i="18"/>
  <c r="BD2" i="18"/>
  <c r="BC2" i="18"/>
  <c r="BB2" i="18"/>
  <c r="BA2" i="18"/>
  <c r="AZ2" i="18"/>
  <c r="AY2" i="18"/>
  <c r="AX2" i="18"/>
  <c r="AW2" i="18"/>
  <c r="AV2" i="18"/>
  <c r="AU2" i="18"/>
  <c r="AT2" i="18"/>
  <c r="AS2" i="18"/>
  <c r="AR2" i="18"/>
  <c r="AQ2" i="18"/>
  <c r="AP2" i="18"/>
  <c r="AO2" i="18"/>
  <c r="AN2" i="18"/>
  <c r="AM2" i="18"/>
  <c r="AL2" i="18"/>
  <c r="AK2" i="18"/>
  <c r="AJ2" i="18"/>
  <c r="AI2" i="18"/>
  <c r="AH2" i="18"/>
  <c r="AG2" i="18"/>
  <c r="AF2" i="18"/>
  <c r="AE2" i="18"/>
  <c r="AD2" i="18"/>
  <c r="AC2" i="18"/>
  <c r="AB2" i="18"/>
  <c r="AA2" i="18"/>
  <c r="Z2" i="18"/>
  <c r="Y2" i="18"/>
  <c r="X2" i="18"/>
  <c r="W2" i="18"/>
  <c r="V2" i="18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D2" i="18"/>
  <c r="C2" i="18"/>
  <c r="B2" i="18"/>
  <c r="H119" i="14" l="1"/>
  <c r="H111" i="14"/>
  <c r="H103" i="14"/>
  <c r="H95" i="14"/>
  <c r="H87" i="14"/>
  <c r="H79" i="14"/>
  <c r="H71" i="14"/>
  <c r="H63" i="14"/>
  <c r="H55" i="14"/>
  <c r="H47" i="14"/>
  <c r="H39" i="14"/>
  <c r="H31" i="14"/>
  <c r="H23" i="14"/>
  <c r="H15" i="14"/>
  <c r="H7" i="14"/>
  <c r="H104" i="14"/>
  <c r="H96" i="14"/>
  <c r="H88" i="14"/>
  <c r="H80" i="14"/>
  <c r="H72" i="14"/>
  <c r="H64" i="14"/>
  <c r="H56" i="14"/>
  <c r="H48" i="14"/>
  <c r="H40" i="14"/>
  <c r="H32" i="14"/>
  <c r="H24" i="14"/>
  <c r="H16" i="14"/>
  <c r="H8" i="14"/>
  <c r="H121" i="14"/>
  <c r="H113" i="14"/>
  <c r="H105" i="14"/>
  <c r="H97" i="14"/>
  <c r="H89" i="14"/>
  <c r="H81" i="14"/>
  <c r="H73" i="14"/>
  <c r="H65" i="14"/>
  <c r="H57" i="14"/>
  <c r="H49" i="14"/>
  <c r="H41" i="14"/>
  <c r="H33" i="14"/>
  <c r="H25" i="14"/>
  <c r="H17" i="14"/>
  <c r="H9" i="14"/>
  <c r="H122" i="14"/>
  <c r="H114" i="14"/>
  <c r="H106" i="14"/>
  <c r="H98" i="14"/>
  <c r="H90" i="14"/>
  <c r="H82" i="14"/>
  <c r="H74" i="14"/>
  <c r="H66" i="14"/>
  <c r="H58" i="14"/>
  <c r="H50" i="14"/>
  <c r="H42" i="14"/>
  <c r="H34" i="14"/>
  <c r="H26" i="14"/>
  <c r="H18" i="14"/>
  <c r="H10" i="14"/>
  <c r="H112" i="14"/>
  <c r="H2" i="14"/>
  <c r="H123" i="14"/>
  <c r="H115" i="14"/>
  <c r="H107" i="14"/>
  <c r="H99" i="14"/>
  <c r="H91" i="14"/>
  <c r="H83" i="14"/>
  <c r="H75" i="14"/>
  <c r="H67" i="14"/>
  <c r="H59" i="14"/>
  <c r="H51" i="14"/>
  <c r="H43" i="14"/>
  <c r="H35" i="14"/>
  <c r="H27" i="14"/>
  <c r="H19" i="14"/>
  <c r="H11" i="14"/>
  <c r="H3" i="14"/>
  <c r="H124" i="14"/>
  <c r="H116" i="14"/>
  <c r="H108" i="14"/>
  <c r="H100" i="14"/>
  <c r="H92" i="14"/>
  <c r="H84" i="14"/>
  <c r="H76" i="14"/>
  <c r="H68" i="14"/>
  <c r="H60" i="14"/>
  <c r="H52" i="14"/>
  <c r="H44" i="14"/>
  <c r="H36" i="14"/>
  <c r="H28" i="14"/>
  <c r="H20" i="14"/>
  <c r="H12" i="14"/>
  <c r="H4" i="14"/>
  <c r="H125" i="14"/>
  <c r="H117" i="14"/>
  <c r="H109" i="14"/>
  <c r="H101" i="14"/>
  <c r="H93" i="14"/>
  <c r="H85" i="14"/>
  <c r="H77" i="14"/>
  <c r="H69" i="14"/>
  <c r="H61" i="14"/>
  <c r="H53" i="14"/>
  <c r="H45" i="14"/>
  <c r="H37" i="14"/>
  <c r="H29" i="14"/>
  <c r="H21" i="14"/>
  <c r="H13" i="14"/>
  <c r="H5" i="14"/>
  <c r="H126" i="14"/>
  <c r="H118" i="14"/>
  <c r="H110" i="14"/>
  <c r="H102" i="14"/>
  <c r="H94" i="14"/>
  <c r="H86" i="14"/>
  <c r="H78" i="14"/>
  <c r="H70" i="14"/>
  <c r="H62" i="14"/>
  <c r="H54" i="14"/>
  <c r="H46" i="14"/>
  <c r="H38" i="14"/>
  <c r="H30" i="14"/>
  <c r="H22" i="14"/>
  <c r="H14" i="14"/>
  <c r="H6" i="14"/>
  <c r="G122" i="14"/>
  <c r="G114" i="14"/>
  <c r="G106" i="14"/>
  <c r="G98" i="14"/>
  <c r="G90" i="14"/>
  <c r="G82" i="14"/>
  <c r="G74" i="14"/>
  <c r="G66" i="14"/>
  <c r="G58" i="14"/>
  <c r="G50" i="14"/>
  <c r="G42" i="14"/>
  <c r="G34" i="14"/>
  <c r="G26" i="14"/>
  <c r="G18" i="14"/>
  <c r="G10" i="14"/>
  <c r="G123" i="14"/>
  <c r="G115" i="14"/>
  <c r="G107" i="14"/>
  <c r="G99" i="14"/>
  <c r="G91" i="14"/>
  <c r="G83" i="14"/>
  <c r="G75" i="14"/>
  <c r="G67" i="14"/>
  <c r="G59" i="14"/>
  <c r="G51" i="14"/>
  <c r="G43" i="14"/>
  <c r="G35" i="14"/>
  <c r="G27" i="14"/>
  <c r="G19" i="14"/>
  <c r="G11" i="14"/>
  <c r="G3" i="14"/>
  <c r="G124" i="14"/>
  <c r="G116" i="14"/>
  <c r="G108" i="14"/>
  <c r="G100" i="14"/>
  <c r="G92" i="14"/>
  <c r="G84" i="14"/>
  <c r="G76" i="14"/>
  <c r="G68" i="14"/>
  <c r="G60" i="14"/>
  <c r="G52" i="14"/>
  <c r="G44" i="14"/>
  <c r="G36" i="14"/>
  <c r="G28" i="14"/>
  <c r="G20" i="14"/>
  <c r="G12" i="14"/>
  <c r="G4" i="14"/>
  <c r="G125" i="14"/>
  <c r="G117" i="14"/>
  <c r="G109" i="14"/>
  <c r="G101" i="14"/>
  <c r="G93" i="14"/>
  <c r="G85" i="14"/>
  <c r="G77" i="14"/>
  <c r="G69" i="14"/>
  <c r="G61" i="14"/>
  <c r="G53" i="14"/>
  <c r="G45" i="14"/>
  <c r="G37" i="14"/>
  <c r="G29" i="14"/>
  <c r="G21" i="14"/>
  <c r="G13" i="14"/>
  <c r="G5" i="14"/>
  <c r="G126" i="14"/>
  <c r="G118" i="14"/>
  <c r="G110" i="14"/>
  <c r="G102" i="14"/>
  <c r="G94" i="14"/>
  <c r="G86" i="14"/>
  <c r="G78" i="14"/>
  <c r="G70" i="14"/>
  <c r="G62" i="14"/>
  <c r="G54" i="14"/>
  <c r="G46" i="14"/>
  <c r="G38" i="14"/>
  <c r="G30" i="14"/>
  <c r="G22" i="14"/>
  <c r="G14" i="14"/>
  <c r="G6" i="14"/>
  <c r="G119" i="14"/>
  <c r="G111" i="14"/>
  <c r="G103" i="14"/>
  <c r="G95" i="14"/>
  <c r="G87" i="14"/>
  <c r="G79" i="14"/>
  <c r="G71" i="14"/>
  <c r="G63" i="14"/>
  <c r="G55" i="14"/>
  <c r="G47" i="14"/>
  <c r="G39" i="14"/>
  <c r="G31" i="14"/>
  <c r="G23" i="14"/>
  <c r="G15" i="14"/>
  <c r="G7" i="14"/>
  <c r="G120" i="14"/>
  <c r="G112" i="14"/>
  <c r="G104" i="14"/>
  <c r="G96" i="14"/>
  <c r="G88" i="14"/>
  <c r="G80" i="14"/>
  <c r="G72" i="14"/>
  <c r="G64" i="14"/>
  <c r="G56" i="14"/>
  <c r="G48" i="14"/>
  <c r="G40" i="14"/>
  <c r="G32" i="14"/>
  <c r="G24" i="14"/>
  <c r="G16" i="14"/>
  <c r="G8" i="14"/>
  <c r="G2" i="14"/>
  <c r="G121" i="14"/>
  <c r="G113" i="14"/>
  <c r="G105" i="14"/>
  <c r="G97" i="14"/>
  <c r="G89" i="14"/>
  <c r="G81" i="14"/>
  <c r="G73" i="14"/>
  <c r="G65" i="14"/>
  <c r="G57" i="14"/>
  <c r="G49" i="14"/>
  <c r="G41" i="14"/>
  <c r="G33" i="14"/>
  <c r="G25" i="14"/>
  <c r="G17" i="14"/>
  <c r="G9" i="14"/>
  <c r="A2" i="8"/>
  <c r="A3" i="8" s="1"/>
  <c r="A4" i="8" s="1"/>
  <c r="A5" i="8" s="1"/>
  <c r="D3" i="14" l="1"/>
  <c r="D4" i="14"/>
  <c r="D5" i="14"/>
  <c r="D6" i="14"/>
  <c r="D7" i="14"/>
  <c r="D8" i="14"/>
  <c r="D9" i="14"/>
  <c r="D10" i="14"/>
  <c r="D11" i="14"/>
  <c r="D12" i="14"/>
  <c r="D13" i="14"/>
  <c r="D14" i="14"/>
  <c r="E50" i="14"/>
  <c r="E53" i="14"/>
  <c r="E54" i="14"/>
  <c r="E56" i="14"/>
  <c r="E57" i="14"/>
  <c r="E59" i="14"/>
  <c r="E62" i="14"/>
  <c r="E63" i="14"/>
  <c r="E64" i="14"/>
  <c r="E65" i="14"/>
  <c r="E67" i="14"/>
  <c r="E68" i="14"/>
  <c r="E69" i="14"/>
  <c r="E70" i="14"/>
  <c r="E72" i="14"/>
  <c r="E73" i="14"/>
  <c r="E74" i="14"/>
  <c r="E75" i="14"/>
  <c r="E76" i="14"/>
  <c r="E77" i="14"/>
  <c r="E78" i="14"/>
  <c r="E79" i="14"/>
  <c r="E80" i="14"/>
  <c r="E81" i="14"/>
  <c r="E82" i="14"/>
  <c r="E83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6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C126" i="14"/>
  <c r="D126" i="14" l="1"/>
  <c r="J57" i="20"/>
  <c r="J53" i="20"/>
  <c r="H4" i="13"/>
  <c r="F1" i="8"/>
  <c r="C2" i="8"/>
  <c r="AY15" i="3"/>
  <c r="BB3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B4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B7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B9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B10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B11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B12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B13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B14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B15" i="3"/>
  <c r="BD15" i="3"/>
  <c r="BE15" i="3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B16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B17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B18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B19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B20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B21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B22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B23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B24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B25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B26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B27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B28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B29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B30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B31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B32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B33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B34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B35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B36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B37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B38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B70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B71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B72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B73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B74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B75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B76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B77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B78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B79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B80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B81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B82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B83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B84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B85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B86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B87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B88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B89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B90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B91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B92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B93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B94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B95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B96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B97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B98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B99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B100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B101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B102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B103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B104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B105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B106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B107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B109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B110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B111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B112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B113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B114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B115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B116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B117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B118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B119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B120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B121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B122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B123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B124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B125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B126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F53" i="20" l="1"/>
  <c r="F60" i="20"/>
  <c r="F61" i="20"/>
  <c r="F62" i="20"/>
  <c r="F57" i="20"/>
  <c r="F9" i="8"/>
  <c r="G9" i="8" s="1"/>
  <c r="F28" i="20" s="1"/>
  <c r="F17" i="8"/>
  <c r="G17" i="8" s="1"/>
  <c r="F12" i="20" s="1"/>
  <c r="F24" i="8"/>
  <c r="G24" i="8" s="1"/>
  <c r="F10" i="20" s="1"/>
  <c r="F33" i="8"/>
  <c r="G33" i="8" s="1"/>
  <c r="F30" i="20" s="1"/>
  <c r="F40" i="8"/>
  <c r="G40" i="8" s="1"/>
  <c r="F13" i="20" s="1"/>
  <c r="F48" i="8"/>
  <c r="G48" i="8" s="1"/>
  <c r="F35" i="20" s="1"/>
  <c r="F56" i="8"/>
  <c r="G56" i="8" s="1"/>
  <c r="F56" i="20" s="1"/>
  <c r="F10" i="8"/>
  <c r="G10" i="8" s="1"/>
  <c r="F12" i="8"/>
  <c r="G12" i="8" s="1"/>
  <c r="F50" i="20" s="1"/>
  <c r="F30" i="8"/>
  <c r="G30" i="8" s="1"/>
  <c r="F22" i="20" s="1"/>
  <c r="F37" i="8"/>
  <c r="G37" i="8" s="1"/>
  <c r="F26" i="20" s="1"/>
  <c r="F45" i="8"/>
  <c r="G45" i="8" s="1"/>
  <c r="F4" i="20" s="1"/>
  <c r="F53" i="8"/>
  <c r="G53" i="8" s="1"/>
  <c r="F43" i="20" s="1"/>
  <c r="F61" i="8"/>
  <c r="G61" i="8" s="1"/>
  <c r="F26" i="8"/>
  <c r="G26" i="8" s="1"/>
  <c r="F5" i="20" s="1"/>
  <c r="F11" i="8"/>
  <c r="G11" i="8" s="1"/>
  <c r="F17" i="20" s="1"/>
  <c r="F19" i="8"/>
  <c r="G19" i="8" s="1"/>
  <c r="F24" i="20" s="1"/>
  <c r="F27" i="8"/>
  <c r="G27" i="8" s="1"/>
  <c r="F35" i="8"/>
  <c r="G35" i="8" s="1"/>
  <c r="F3" i="20" s="1"/>
  <c r="F42" i="8"/>
  <c r="G42" i="8" s="1"/>
  <c r="F16" i="20" s="1"/>
  <c r="F50" i="8"/>
  <c r="G50" i="8" s="1"/>
  <c r="F38" i="20" s="1"/>
  <c r="F58" i="8"/>
  <c r="G58" i="8" s="1"/>
  <c r="F54" i="20" s="1"/>
  <c r="F59" i="8"/>
  <c r="G59" i="8" s="1"/>
  <c r="F55" i="20" s="1"/>
  <c r="F7" i="8"/>
  <c r="G7" i="8" s="1"/>
  <c r="F11" i="20" s="1"/>
  <c r="F16" i="8"/>
  <c r="G16" i="8" s="1"/>
  <c r="F25" i="20" s="1"/>
  <c r="F23" i="8"/>
  <c r="G23" i="8" s="1"/>
  <c r="F51" i="20" s="1"/>
  <c r="F32" i="8"/>
  <c r="G32" i="8" s="1"/>
  <c r="F27" i="20" s="1"/>
  <c r="F39" i="8"/>
  <c r="G39" i="8" s="1"/>
  <c r="F48" i="20" s="1"/>
  <c r="F47" i="8"/>
  <c r="G47" i="8" s="1"/>
  <c r="F32" i="20" s="1"/>
  <c r="F55" i="8"/>
  <c r="G55" i="8" s="1"/>
  <c r="F49" i="20" s="1"/>
  <c r="F28" i="8"/>
  <c r="G28" i="8" s="1"/>
  <c r="F45" i="20" s="1"/>
  <c r="F14" i="8"/>
  <c r="G14" i="8" s="1"/>
  <c r="F20" i="20" s="1"/>
  <c r="F21" i="8"/>
  <c r="G21" i="8" s="1"/>
  <c r="F46" i="20" s="1"/>
  <c r="F29" i="8"/>
  <c r="G29" i="8" s="1"/>
  <c r="F8" i="20" s="1"/>
  <c r="F36" i="8"/>
  <c r="G36" i="8" s="1"/>
  <c r="F33" i="20" s="1"/>
  <c r="F44" i="8"/>
  <c r="G44" i="8" s="1"/>
  <c r="F19" i="20" s="1"/>
  <c r="F52" i="8"/>
  <c r="G52" i="8" s="1"/>
  <c r="F15" i="20" s="1"/>
  <c r="F60" i="8"/>
  <c r="G60" i="8" s="1"/>
  <c r="F58" i="20" s="1"/>
  <c r="F13" i="8"/>
  <c r="G13" i="8" s="1"/>
  <c r="F44" i="20" s="1"/>
  <c r="F51" i="8"/>
  <c r="G51" i="8" s="1"/>
  <c r="F9" i="20" s="1"/>
  <c r="F8" i="8"/>
  <c r="G8" i="8" s="1"/>
  <c r="F6" i="20" s="1"/>
  <c r="F18" i="8"/>
  <c r="G18" i="8" s="1"/>
  <c r="F42" i="20" s="1"/>
  <c r="F25" i="8"/>
  <c r="G25" i="8" s="1"/>
  <c r="F18" i="20" s="1"/>
  <c r="F34" i="8"/>
  <c r="G34" i="8" s="1"/>
  <c r="F41" i="20" s="1"/>
  <c r="F41" i="8"/>
  <c r="G41" i="8" s="1"/>
  <c r="F36" i="20" s="1"/>
  <c r="F49" i="8"/>
  <c r="G49" i="8" s="1"/>
  <c r="F39" i="20" s="1"/>
  <c r="F57" i="8"/>
  <c r="G57" i="8" s="1"/>
  <c r="F59" i="20" s="1"/>
  <c r="F20" i="8"/>
  <c r="G20" i="8" s="1"/>
  <c r="F40" i="20" s="1"/>
  <c r="F6" i="8"/>
  <c r="G6" i="8" s="1"/>
  <c r="F34" i="20" s="1"/>
  <c r="F15" i="8"/>
  <c r="G15" i="8" s="1"/>
  <c r="F23" i="20" s="1"/>
  <c r="F22" i="8"/>
  <c r="G22" i="8" s="1"/>
  <c r="F7" i="20" s="1"/>
  <c r="F31" i="8"/>
  <c r="G31" i="8" s="1"/>
  <c r="F29" i="20" s="1"/>
  <c r="F38" i="8"/>
  <c r="G38" i="8" s="1"/>
  <c r="F21" i="20" s="1"/>
  <c r="F46" i="8"/>
  <c r="G46" i="8" s="1"/>
  <c r="F31" i="20" s="1"/>
  <c r="F54" i="8"/>
  <c r="G54" i="8" s="1"/>
  <c r="F47" i="20" s="1"/>
  <c r="F62" i="8"/>
  <c r="G62" i="8" s="1"/>
  <c r="F43" i="8"/>
  <c r="G43" i="8" s="1"/>
  <c r="F14" i="20" s="1"/>
  <c r="I4" i="13"/>
  <c r="J2" i="8"/>
  <c r="R21" i="12"/>
  <c r="R22" i="12" s="1"/>
  <c r="R23" i="12" s="1"/>
  <c r="R24" i="12" s="1"/>
  <c r="R25" i="12" s="1"/>
  <c r="R26" i="12" s="1"/>
  <c r="R27" i="12" s="1"/>
  <c r="R28" i="12" s="1"/>
  <c r="R29" i="12" s="1"/>
  <c r="F37" i="20" l="1"/>
  <c r="J4" i="13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J1" i="8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BA15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AY45" i="3"/>
  <c r="AZ45" i="3"/>
  <c r="BA45" i="3"/>
  <c r="AY85" i="3"/>
  <c r="AZ85" i="3"/>
  <c r="BA85" i="3"/>
  <c r="AY56" i="3"/>
  <c r="AZ56" i="3"/>
  <c r="BA56" i="3"/>
  <c r="AY64" i="3"/>
  <c r="AZ64" i="3"/>
  <c r="BA64" i="3"/>
  <c r="AY110" i="3"/>
  <c r="AZ110" i="3"/>
  <c r="BA110" i="3"/>
  <c r="AY111" i="3"/>
  <c r="AZ111" i="3"/>
  <c r="BA111" i="3"/>
  <c r="AY59" i="3"/>
  <c r="AZ59" i="3"/>
  <c r="BA59" i="3"/>
  <c r="AY83" i="3"/>
  <c r="AZ83" i="3"/>
  <c r="BA83" i="3"/>
  <c r="AY103" i="3"/>
  <c r="AZ103" i="3"/>
  <c r="BA103" i="3"/>
  <c r="AY21" i="3"/>
  <c r="AZ21" i="3"/>
  <c r="BA21" i="3"/>
  <c r="AY19" i="3"/>
  <c r="AZ19" i="3"/>
  <c r="BA19" i="3"/>
  <c r="AY74" i="3"/>
  <c r="AZ74" i="3"/>
  <c r="BA74" i="3"/>
  <c r="AY26" i="3"/>
  <c r="AZ26" i="3"/>
  <c r="BA26" i="3"/>
  <c r="AY99" i="3"/>
  <c r="AZ99" i="3"/>
  <c r="BA99" i="3"/>
  <c r="AY62" i="3"/>
  <c r="AZ62" i="3"/>
  <c r="BA62" i="3"/>
  <c r="AY18" i="3"/>
  <c r="AZ18" i="3"/>
  <c r="BA18" i="3"/>
  <c r="AY112" i="3"/>
  <c r="AZ112" i="3"/>
  <c r="BA112" i="3"/>
  <c r="AY100" i="3"/>
  <c r="AZ100" i="3"/>
  <c r="BA100" i="3"/>
  <c r="AY77" i="3"/>
  <c r="AZ77" i="3"/>
  <c r="BA77" i="3"/>
  <c r="AY29" i="3"/>
  <c r="AZ29" i="3"/>
  <c r="BA29" i="3"/>
  <c r="AY53" i="3"/>
  <c r="AZ53" i="3"/>
  <c r="BA53" i="3"/>
  <c r="AY67" i="3"/>
  <c r="AZ67" i="3"/>
  <c r="BA67" i="3"/>
  <c r="AY104" i="3"/>
  <c r="AZ104" i="3"/>
  <c r="BA104" i="3"/>
  <c r="AY91" i="3"/>
  <c r="AZ91" i="3"/>
  <c r="BA91" i="3"/>
  <c r="AY105" i="3"/>
  <c r="AZ105" i="3"/>
  <c r="BA105" i="3"/>
  <c r="AY24" i="3"/>
  <c r="AZ24" i="3"/>
  <c r="BA24" i="3"/>
  <c r="AY113" i="3"/>
  <c r="AZ113" i="3"/>
  <c r="BA113" i="3"/>
  <c r="AY52" i="3"/>
  <c r="AZ52" i="3"/>
  <c r="BA52" i="3"/>
  <c r="AY2" i="3"/>
  <c r="AZ2" i="3"/>
  <c r="BA2" i="3"/>
  <c r="AY78" i="3"/>
  <c r="AZ78" i="3"/>
  <c r="BA78" i="3"/>
  <c r="AY106" i="3"/>
  <c r="AZ106" i="3"/>
  <c r="BA106" i="3"/>
  <c r="AY68" i="3"/>
  <c r="AZ68" i="3"/>
  <c r="BA68" i="3"/>
  <c r="AY114" i="3"/>
  <c r="AZ114" i="3"/>
  <c r="BA114" i="3"/>
  <c r="AY57" i="3"/>
  <c r="AZ57" i="3"/>
  <c r="BA57" i="3"/>
  <c r="AY17" i="3"/>
  <c r="AZ17" i="3"/>
  <c r="BA17" i="3"/>
  <c r="AY97" i="3"/>
  <c r="AZ97" i="3"/>
  <c r="BA97" i="3"/>
  <c r="AY75" i="3"/>
  <c r="AZ75" i="3"/>
  <c r="BA75" i="3"/>
  <c r="AY30" i="3"/>
  <c r="AZ30" i="3"/>
  <c r="BA30" i="3"/>
  <c r="AY13" i="3"/>
  <c r="AZ13" i="3"/>
  <c r="BA13" i="3"/>
  <c r="AY92" i="3"/>
  <c r="AZ92" i="3"/>
  <c r="BA92" i="3"/>
  <c r="AY71" i="3"/>
  <c r="AZ71" i="3"/>
  <c r="BA71" i="3"/>
  <c r="AY40" i="3"/>
  <c r="AZ40" i="3"/>
  <c r="BA40" i="3"/>
  <c r="AY43" i="3"/>
  <c r="AZ43" i="3"/>
  <c r="BA43" i="3"/>
  <c r="AY115" i="3"/>
  <c r="AZ115" i="3"/>
  <c r="BA115" i="3"/>
  <c r="AY28" i="3"/>
  <c r="AZ28" i="3"/>
  <c r="BA28" i="3"/>
  <c r="AY8" i="3"/>
  <c r="AZ8" i="3"/>
  <c r="BA8" i="3"/>
  <c r="AY93" i="3"/>
  <c r="AZ93" i="3"/>
  <c r="BA93" i="3"/>
  <c r="AY65" i="3"/>
  <c r="AZ65" i="3"/>
  <c r="BA65" i="3"/>
  <c r="AY7" i="3"/>
  <c r="AZ7" i="3"/>
  <c r="BA7" i="3"/>
  <c r="AY25" i="3"/>
  <c r="AZ25" i="3"/>
  <c r="BA25" i="3"/>
  <c r="AY116" i="3"/>
  <c r="AZ116" i="3"/>
  <c r="BA116" i="3"/>
  <c r="AY117" i="3"/>
  <c r="AZ117" i="3"/>
  <c r="BA117" i="3"/>
  <c r="AY118" i="3"/>
  <c r="AZ118" i="3"/>
  <c r="BA118" i="3"/>
  <c r="AY119" i="3"/>
  <c r="AZ119" i="3"/>
  <c r="BA119" i="3"/>
  <c r="AY107" i="3"/>
  <c r="AZ107" i="3"/>
  <c r="BA107" i="3"/>
  <c r="AY69" i="3"/>
  <c r="AZ69" i="3"/>
  <c r="BA69" i="3"/>
  <c r="AY32" i="3"/>
  <c r="AZ32" i="3"/>
  <c r="BA32" i="3"/>
  <c r="AY39" i="3"/>
  <c r="AZ39" i="3"/>
  <c r="BA39" i="3"/>
  <c r="AY46" i="3"/>
  <c r="AZ46" i="3"/>
  <c r="BA46" i="3"/>
  <c r="AY4" i="3"/>
  <c r="AZ4" i="3"/>
  <c r="BA4" i="3"/>
  <c r="AY34" i="3"/>
  <c r="AZ34" i="3"/>
  <c r="BA34" i="3"/>
  <c r="AY35" i="3"/>
  <c r="AZ35" i="3"/>
  <c r="BA35" i="3"/>
  <c r="AY27" i="3"/>
  <c r="AZ27" i="3"/>
  <c r="BA27" i="3"/>
  <c r="AY3" i="3"/>
  <c r="AZ3" i="3"/>
  <c r="BA3" i="3"/>
  <c r="AY84" i="3"/>
  <c r="AZ84" i="3"/>
  <c r="BA84" i="3"/>
  <c r="AY16" i="3"/>
  <c r="AZ16" i="3"/>
  <c r="BA16" i="3"/>
  <c r="AY120" i="3"/>
  <c r="AZ120" i="3"/>
  <c r="BA120" i="3"/>
  <c r="AY98" i="3"/>
  <c r="AZ98" i="3"/>
  <c r="BA98" i="3"/>
  <c r="AY121" i="3"/>
  <c r="AZ121" i="3"/>
  <c r="BA121" i="3"/>
  <c r="AY5" i="3"/>
  <c r="AZ5" i="3"/>
  <c r="BA5" i="3"/>
  <c r="AY41" i="3"/>
  <c r="AZ41" i="3"/>
  <c r="BA41" i="3"/>
  <c r="AY72" i="3"/>
  <c r="AZ72" i="3"/>
  <c r="BA72" i="3"/>
  <c r="AY44" i="3"/>
  <c r="AZ44" i="3"/>
  <c r="BA44" i="3"/>
  <c r="AY122" i="3"/>
  <c r="AZ122" i="3"/>
  <c r="BA122" i="3"/>
  <c r="AY87" i="3"/>
  <c r="AZ87" i="3"/>
  <c r="BA87" i="3"/>
  <c r="AY55" i="3"/>
  <c r="AZ55" i="3"/>
  <c r="BA55" i="3"/>
  <c r="AY23" i="3"/>
  <c r="AZ23" i="3"/>
  <c r="BA23" i="3"/>
  <c r="AY82" i="3"/>
  <c r="AZ82" i="3"/>
  <c r="BA82" i="3"/>
  <c r="AY79" i="3"/>
  <c r="AZ79" i="3"/>
  <c r="BA79" i="3"/>
  <c r="AY101" i="3"/>
  <c r="AZ101" i="3"/>
  <c r="BA101" i="3"/>
  <c r="AY80" i="3"/>
  <c r="AZ80" i="3"/>
  <c r="BA80" i="3"/>
  <c r="AY88" i="3"/>
  <c r="AZ88" i="3"/>
  <c r="BA88" i="3"/>
  <c r="AY108" i="3"/>
  <c r="AZ108" i="3"/>
  <c r="BA108" i="3"/>
  <c r="AY123" i="3"/>
  <c r="AZ123" i="3"/>
  <c r="BA123" i="3"/>
  <c r="AY86" i="3"/>
  <c r="AZ86" i="3"/>
  <c r="BA86" i="3"/>
  <c r="AY124" i="3"/>
  <c r="AZ124" i="3"/>
  <c r="BA124" i="3"/>
  <c r="AY14" i="3"/>
  <c r="AZ14" i="3"/>
  <c r="BA14" i="3"/>
  <c r="AY94" i="3"/>
  <c r="AZ94" i="3"/>
  <c r="BA94" i="3"/>
  <c r="AY109" i="3"/>
  <c r="AZ109" i="3"/>
  <c r="BA109" i="3"/>
  <c r="AY76" i="3"/>
  <c r="AZ76" i="3"/>
  <c r="BA76" i="3"/>
  <c r="AY11" i="3"/>
  <c r="AZ11" i="3"/>
  <c r="BA11" i="3"/>
  <c r="AY70" i="3"/>
  <c r="AZ70" i="3"/>
  <c r="BA70" i="3"/>
  <c r="AY60" i="3"/>
  <c r="AZ60" i="3"/>
  <c r="BA60" i="3"/>
  <c r="AY63" i="3"/>
  <c r="AZ63" i="3"/>
  <c r="BA63" i="3"/>
  <c r="AY89" i="3"/>
  <c r="AZ89" i="3"/>
  <c r="BA89" i="3"/>
  <c r="AY61" i="3"/>
  <c r="AZ61" i="3"/>
  <c r="BA61" i="3"/>
  <c r="AY48" i="3"/>
  <c r="AZ48" i="3"/>
  <c r="BA48" i="3"/>
  <c r="AY47" i="3"/>
  <c r="AZ47" i="3"/>
  <c r="BA47" i="3"/>
  <c r="AY33" i="3"/>
  <c r="AZ33" i="3"/>
  <c r="BA33" i="3"/>
  <c r="AY20" i="3"/>
  <c r="AZ20" i="3"/>
  <c r="BA20" i="3"/>
  <c r="AY95" i="3"/>
  <c r="AZ95" i="3"/>
  <c r="BA95" i="3"/>
  <c r="AY36" i="3"/>
  <c r="AZ36" i="3"/>
  <c r="BA36" i="3"/>
  <c r="AY51" i="3"/>
  <c r="AZ51" i="3"/>
  <c r="BA51" i="3"/>
  <c r="AY42" i="3"/>
  <c r="AZ42" i="3"/>
  <c r="BA42" i="3"/>
  <c r="AY37" i="3"/>
  <c r="AZ37" i="3"/>
  <c r="BA37" i="3"/>
  <c r="AY81" i="3"/>
  <c r="AZ81" i="3"/>
  <c r="BA81" i="3"/>
  <c r="AY54" i="3"/>
  <c r="AZ54" i="3"/>
  <c r="BA54" i="3"/>
  <c r="AY22" i="3"/>
  <c r="AZ22" i="3"/>
  <c r="BA22" i="3"/>
  <c r="AY58" i="3"/>
  <c r="AZ58" i="3"/>
  <c r="BA58" i="3"/>
  <c r="AY31" i="3"/>
  <c r="AZ31" i="3"/>
  <c r="BA31" i="3"/>
  <c r="AY66" i="3"/>
  <c r="AZ66" i="3"/>
  <c r="BA66" i="3"/>
  <c r="AY6" i="3"/>
  <c r="AZ6" i="3"/>
  <c r="BA6" i="3"/>
  <c r="AY90" i="3"/>
  <c r="AZ90" i="3"/>
  <c r="BA90" i="3"/>
  <c r="AY125" i="3"/>
  <c r="AZ125" i="3"/>
  <c r="BA125" i="3"/>
  <c r="AY12" i="3"/>
  <c r="AZ12" i="3"/>
  <c r="BA12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B2" i="3"/>
  <c r="E2" i="14" s="1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B45" i="3"/>
  <c r="E38" i="14" l="1"/>
  <c r="E71" i="14"/>
  <c r="E66" i="14"/>
  <c r="E49" i="14"/>
  <c r="E58" i="14"/>
  <c r="D4" i="8"/>
  <c r="E61" i="14"/>
  <c r="E51" i="14"/>
  <c r="F15" i="14"/>
  <c r="E55" i="14"/>
  <c r="F125" i="14"/>
  <c r="F81" i="14"/>
  <c r="E47" i="14"/>
  <c r="F47" i="14"/>
  <c r="D13" i="20" s="1"/>
  <c r="E13" i="20" s="1"/>
  <c r="H13" i="20" s="1"/>
  <c r="F76" i="14"/>
  <c r="F88" i="14"/>
  <c r="F122" i="14"/>
  <c r="E16" i="14"/>
  <c r="F16" i="14"/>
  <c r="E39" i="14"/>
  <c r="F39" i="14"/>
  <c r="D38" i="20" s="1"/>
  <c r="E38" i="20" s="1"/>
  <c r="H38" i="20" s="1"/>
  <c r="E25" i="14"/>
  <c r="F25" i="14"/>
  <c r="E40" i="14"/>
  <c r="F40" i="14"/>
  <c r="D32" i="20" s="1"/>
  <c r="E32" i="20" s="1"/>
  <c r="H32" i="20" s="1"/>
  <c r="F57" i="14"/>
  <c r="E24" i="14"/>
  <c r="F24" i="14"/>
  <c r="F100" i="14"/>
  <c r="E21" i="14"/>
  <c r="F21" i="14"/>
  <c r="F85" i="14"/>
  <c r="F90" i="14"/>
  <c r="E37" i="14"/>
  <c r="F37" i="14"/>
  <c r="D35" i="20" s="1"/>
  <c r="E35" i="20" s="1"/>
  <c r="H35" i="20" s="1"/>
  <c r="E48" i="14"/>
  <c r="F48" i="14"/>
  <c r="D31" i="20" s="1"/>
  <c r="E31" i="20" s="1"/>
  <c r="H31" i="20" s="1"/>
  <c r="F109" i="14"/>
  <c r="F80" i="14"/>
  <c r="E44" i="14"/>
  <c r="F44" i="14"/>
  <c r="D47" i="20" s="1"/>
  <c r="E47" i="20" s="1"/>
  <c r="H47" i="20" s="1"/>
  <c r="F84" i="14"/>
  <c r="E32" i="14"/>
  <c r="F32" i="14"/>
  <c r="E7" i="14"/>
  <c r="F7" i="14"/>
  <c r="F71" i="14"/>
  <c r="D54" i="20" s="1"/>
  <c r="E54" i="20" s="1"/>
  <c r="H54" i="20" s="1"/>
  <c r="F114" i="14"/>
  <c r="F105" i="14"/>
  <c r="F112" i="14"/>
  <c r="F103" i="14"/>
  <c r="E9" i="14"/>
  <c r="F9" i="14"/>
  <c r="E6" i="14"/>
  <c r="F6" i="14"/>
  <c r="E42" i="14"/>
  <c r="F42" i="14"/>
  <c r="D49" i="20" s="1"/>
  <c r="E49" i="20" s="1"/>
  <c r="H49" i="20" s="1"/>
  <c r="F61" i="14"/>
  <c r="D15" i="20" s="1"/>
  <c r="E15" i="20" s="1"/>
  <c r="H15" i="20" s="1"/>
  <c r="F94" i="14"/>
  <c r="F101" i="14"/>
  <c r="F72" i="14"/>
  <c r="D62" i="20" s="1"/>
  <c r="E62" i="20" s="1"/>
  <c r="H62" i="20" s="1"/>
  <c r="E3" i="14"/>
  <c r="F3" i="14"/>
  <c r="F69" i="14"/>
  <c r="F65" i="14"/>
  <c r="F92" i="14"/>
  <c r="F68" i="14"/>
  <c r="F91" i="14"/>
  <c r="E18" i="14"/>
  <c r="F18" i="14"/>
  <c r="F83" i="14"/>
  <c r="F66" i="14"/>
  <c r="D56" i="20" s="1"/>
  <c r="E56" i="20" s="1"/>
  <c r="H56" i="20" s="1"/>
  <c r="F51" i="14"/>
  <c r="D9" i="20" s="1"/>
  <c r="E9" i="20" s="1"/>
  <c r="H9" i="20" s="1"/>
  <c r="F89" i="14"/>
  <c r="E14" i="14"/>
  <c r="F14" i="14"/>
  <c r="F79" i="14"/>
  <c r="E41" i="14"/>
  <c r="F41" i="14"/>
  <c r="D43" i="20" s="1"/>
  <c r="E43" i="20" s="1"/>
  <c r="H43" i="20" s="1"/>
  <c r="E27" i="14"/>
  <c r="F27" i="14"/>
  <c r="F107" i="14"/>
  <c r="F93" i="14"/>
  <c r="E13" i="14"/>
  <c r="F13" i="14"/>
  <c r="F106" i="14"/>
  <c r="F104" i="14"/>
  <c r="F62" i="14"/>
  <c r="F59" i="14"/>
  <c r="E15" i="14"/>
  <c r="F102" i="14"/>
  <c r="F73" i="14"/>
  <c r="F49" i="14"/>
  <c r="D58" i="20" s="1"/>
  <c r="E58" i="20" s="1"/>
  <c r="H58" i="20" s="1"/>
  <c r="E31" i="14"/>
  <c r="F31" i="14"/>
  <c r="E36" i="14"/>
  <c r="F36" i="14"/>
  <c r="F63" i="14"/>
  <c r="F124" i="14"/>
  <c r="F82" i="14"/>
  <c r="E5" i="14"/>
  <c r="F5" i="14"/>
  <c r="E35" i="14"/>
  <c r="F35" i="14"/>
  <c r="F119" i="14"/>
  <c r="E8" i="14"/>
  <c r="F8" i="14"/>
  <c r="E30" i="14"/>
  <c r="F30" i="14"/>
  <c r="F78" i="14"/>
  <c r="F67" i="14"/>
  <c r="D60" i="20" s="1"/>
  <c r="E60" i="20" s="1"/>
  <c r="H60" i="20" s="1"/>
  <c r="F99" i="14"/>
  <c r="F111" i="14"/>
  <c r="F58" i="14"/>
  <c r="D55" i="20" s="1"/>
  <c r="E55" i="20" s="1"/>
  <c r="H55" i="20" s="1"/>
  <c r="F95" i="14"/>
  <c r="E60" i="14"/>
  <c r="F60" i="14"/>
  <c r="F86" i="14"/>
  <c r="E23" i="14"/>
  <c r="F23" i="14"/>
  <c r="F121" i="14"/>
  <c r="E34" i="14"/>
  <c r="F34" i="14"/>
  <c r="D39" i="20" s="1"/>
  <c r="E39" i="20" s="1"/>
  <c r="H39" i="20" s="1"/>
  <c r="F118" i="14"/>
  <c r="E28" i="14"/>
  <c r="F28" i="14"/>
  <c r="F75" i="14"/>
  <c r="D61" i="20" s="1"/>
  <c r="E61" i="20" s="1"/>
  <c r="H61" i="20" s="1"/>
  <c r="F2" i="14"/>
  <c r="F53" i="14"/>
  <c r="E26" i="14"/>
  <c r="F26" i="14"/>
  <c r="D48" i="20" s="1"/>
  <c r="E48" i="20" s="1"/>
  <c r="H48" i="20" s="1"/>
  <c r="F110" i="14"/>
  <c r="F50" i="14"/>
  <c r="E45" i="14"/>
  <c r="F45" i="14"/>
  <c r="D19" i="20" s="1"/>
  <c r="E19" i="20" s="1"/>
  <c r="H19" i="20" s="1"/>
  <c r="E22" i="14"/>
  <c r="F22" i="14"/>
  <c r="E20" i="14"/>
  <c r="F20" i="14"/>
  <c r="F70" i="14"/>
  <c r="F123" i="14"/>
  <c r="F55" i="14"/>
  <c r="D4" i="20" s="1"/>
  <c r="E4" i="20" s="1"/>
  <c r="H4" i="20" s="1"/>
  <c r="F98" i="14"/>
  <c r="E4" i="14"/>
  <c r="F4" i="14"/>
  <c r="F117" i="14"/>
  <c r="F115" i="14"/>
  <c r="F97" i="14"/>
  <c r="E52" i="14"/>
  <c r="F52" i="14"/>
  <c r="D16" i="20" s="1"/>
  <c r="E16" i="20" s="1"/>
  <c r="H16" i="20" s="1"/>
  <c r="E29" i="14"/>
  <c r="F29" i="14"/>
  <c r="F74" i="14"/>
  <c r="F64" i="14"/>
  <c r="E12" i="14"/>
  <c r="F12" i="14"/>
  <c r="F54" i="14"/>
  <c r="E33" i="14"/>
  <c r="F33" i="14"/>
  <c r="E11" i="14"/>
  <c r="F11" i="14"/>
  <c r="F108" i="14"/>
  <c r="F87" i="14"/>
  <c r="F120" i="14"/>
  <c r="E46" i="14"/>
  <c r="F46" i="14"/>
  <c r="D14" i="20" s="1"/>
  <c r="E14" i="20" s="1"/>
  <c r="H14" i="20" s="1"/>
  <c r="F116" i="14"/>
  <c r="E43" i="14"/>
  <c r="F43" i="14"/>
  <c r="E17" i="14"/>
  <c r="F17" i="14"/>
  <c r="F113" i="14"/>
  <c r="F77" i="14"/>
  <c r="E19" i="14"/>
  <c r="F19" i="14"/>
  <c r="F56" i="14"/>
  <c r="F38" i="14"/>
  <c r="D59" i="20" s="1"/>
  <c r="E59" i="20" s="1"/>
  <c r="H59" i="20" s="1"/>
  <c r="F96" i="14"/>
  <c r="E126" i="14"/>
  <c r="E10" i="14"/>
  <c r="F10" i="14"/>
  <c r="K1" i="8"/>
  <c r="K4" i="13"/>
  <c r="D2" i="8"/>
  <c r="G3" i="13" l="1"/>
  <c r="G23" i="13" s="1"/>
  <c r="D36" i="20"/>
  <c r="E36" i="20" s="1"/>
  <c r="H36" i="20" s="1"/>
  <c r="D37" i="20"/>
  <c r="E37" i="20" s="1"/>
  <c r="H37" i="20" s="1"/>
  <c r="L1" i="8"/>
  <c r="L4" i="13"/>
  <c r="D3" i="8" l="1"/>
  <c r="M1" i="8"/>
  <c r="M4" i="13"/>
  <c r="N1" i="8" l="1"/>
  <c r="N4" i="13"/>
  <c r="O1" i="8" l="1"/>
  <c r="O4" i="13"/>
  <c r="P1" i="8" l="1"/>
  <c r="P4" i="13"/>
  <c r="Q1" i="8" l="1"/>
  <c r="Q4" i="13"/>
  <c r="R1" i="8" l="1"/>
  <c r="R4" i="13"/>
  <c r="S1" i="8" l="1"/>
  <c r="S4" i="13"/>
  <c r="T1" i="8" l="1"/>
  <c r="T4" i="13"/>
  <c r="U1" i="8" l="1"/>
  <c r="U4" i="13"/>
  <c r="V1" i="8" l="1"/>
  <c r="V4" i="13"/>
  <c r="W1" i="8" l="1"/>
  <c r="W4" i="13"/>
  <c r="X1" i="8" l="1"/>
  <c r="X4" i="13"/>
  <c r="Y1" i="8" l="1"/>
  <c r="Y4" i="13"/>
  <c r="Z1" i="8" l="1"/>
  <c r="Z4" i="13"/>
  <c r="AA1" i="8" l="1"/>
  <c r="AA4" i="13"/>
  <c r="AB1" i="8" l="1"/>
  <c r="AB4" i="13"/>
  <c r="AC1" i="8" l="1"/>
  <c r="AC4" i="13"/>
  <c r="AD1" i="8" l="1"/>
  <c r="AD4" i="13"/>
  <c r="AE1" i="8" l="1"/>
  <c r="AE4" i="13"/>
  <c r="AF1" i="8" l="1"/>
  <c r="AF4" i="13"/>
  <c r="AG1" i="8" l="1"/>
  <c r="AG4" i="13"/>
  <c r="AH1" i="8" l="1"/>
  <c r="AH4" i="13"/>
  <c r="AI1" i="8" l="1"/>
  <c r="AI4" i="13"/>
  <c r="AJ1" i="8" l="1"/>
  <c r="AJ4" i="13"/>
  <c r="AK1" i="8" l="1"/>
  <c r="AK4" i="13"/>
  <c r="AL1" i="8" l="1"/>
  <c r="AL4" i="13"/>
  <c r="AM1" i="8" l="1"/>
  <c r="AM4" i="13"/>
  <c r="AN1" i="8" l="1"/>
  <c r="AN4" i="13"/>
  <c r="AO1" i="8" l="1"/>
  <c r="AO4" i="13"/>
  <c r="AP1" i="8" l="1"/>
  <c r="AP4" i="13"/>
  <c r="AQ1" i="8" l="1"/>
  <c r="AQ4" i="13"/>
  <c r="AR1" i="8" l="1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E2" i="8"/>
  <c r="F2" i="8"/>
  <c r="AR4" i="13"/>
  <c r="G2" i="8" l="1"/>
  <c r="E5" i="8"/>
  <c r="F5" i="8"/>
  <c r="F3" i="8"/>
  <c r="E3" i="8"/>
  <c r="E4" i="8"/>
  <c r="F4" i="8"/>
  <c r="AS4" i="13"/>
  <c r="G3" i="8" l="1"/>
  <c r="G4" i="8"/>
  <c r="G5" i="8"/>
  <c r="F52" i="20" s="1"/>
  <c r="AT4" i="13"/>
  <c r="AU4" i="13" l="1"/>
  <c r="AV4" i="13" l="1"/>
  <c r="AW4" i="13" l="1"/>
  <c r="AX4" i="13" l="1"/>
  <c r="AY4" i="13" l="1"/>
  <c r="AZ4" i="13" l="1"/>
  <c r="BA4" i="13" l="1"/>
  <c r="BB4" i="13" l="1"/>
  <c r="BC4" i="13" l="1"/>
  <c r="BD4" i="13" l="1"/>
  <c r="C11" i="13" l="1"/>
  <c r="F18" i="13" s="1"/>
  <c r="C28" i="13"/>
  <c r="BE4" i="13"/>
  <c r="C15" i="13" l="1"/>
  <c r="C35" i="15" s="1"/>
  <c r="C39" i="15" s="1"/>
  <c r="C18" i="13"/>
  <c r="C20" i="13" s="1"/>
  <c r="G5" i="13"/>
  <c r="C23" i="13"/>
  <c r="C24" i="15" s="1"/>
  <c r="C22" i="13"/>
  <c r="C22" i="15" s="1"/>
  <c r="C4" i="13"/>
  <c r="C8" i="13"/>
  <c r="C16" i="15" s="1"/>
  <c r="C7" i="13"/>
  <c r="C14" i="15" s="1"/>
  <c r="BD5" i="13"/>
  <c r="BE5" i="13"/>
  <c r="D28" i="13"/>
  <c r="H3" i="13"/>
  <c r="H23" i="13" s="1"/>
  <c r="B34" i="13"/>
  <c r="B29" i="15" s="1"/>
  <c r="B33" i="13"/>
  <c r="H5" i="13"/>
  <c r="I5" i="13"/>
  <c r="J5" i="13"/>
  <c r="K5" i="13"/>
  <c r="L5" i="13"/>
  <c r="C20" i="15"/>
  <c r="M5" i="13"/>
  <c r="N5" i="13"/>
  <c r="O5" i="13"/>
  <c r="P5" i="13"/>
  <c r="Q5" i="13"/>
  <c r="R5" i="13"/>
  <c r="S5" i="13"/>
  <c r="T5" i="13"/>
  <c r="U5" i="13"/>
  <c r="V5" i="13"/>
  <c r="W5" i="13"/>
  <c r="X5" i="13"/>
  <c r="Y5" i="13"/>
  <c r="Z5" i="13"/>
  <c r="AA5" i="13"/>
  <c r="AB5" i="13"/>
  <c r="AC5" i="13"/>
  <c r="AD5" i="13"/>
  <c r="AE5" i="13"/>
  <c r="AF5" i="13"/>
  <c r="AG5" i="13"/>
  <c r="AH5" i="13"/>
  <c r="AI5" i="13"/>
  <c r="AJ5" i="13"/>
  <c r="AK5" i="13"/>
  <c r="AL5" i="13"/>
  <c r="AM5" i="13"/>
  <c r="AN5" i="13"/>
  <c r="AO5" i="13"/>
  <c r="AP5" i="13"/>
  <c r="AQ5" i="13"/>
  <c r="AR5" i="13"/>
  <c r="AS5" i="13"/>
  <c r="AT5" i="13"/>
  <c r="AU5" i="13"/>
  <c r="AV5" i="13"/>
  <c r="AW5" i="13"/>
  <c r="AX5" i="13"/>
  <c r="AY5" i="13"/>
  <c r="AZ5" i="13"/>
  <c r="BA5" i="13"/>
  <c r="BB5" i="13"/>
  <c r="BC5" i="13"/>
  <c r="BF4" i="13"/>
  <c r="BF5" i="13" s="1"/>
  <c r="C6" i="13" l="1"/>
  <c r="G26" i="13"/>
  <c r="G27" i="13" s="1"/>
  <c r="AN17" i="13"/>
  <c r="FV17" i="13"/>
  <c r="EH17" i="13"/>
  <c r="HH17" i="13"/>
  <c r="GM17" i="13"/>
  <c r="FG17" i="13"/>
  <c r="HY17" i="13"/>
  <c r="DL17" i="13"/>
  <c r="GB17" i="13"/>
  <c r="FQ17" i="13"/>
  <c r="EC17" i="13"/>
  <c r="GC17" i="13"/>
  <c r="FZ17" i="13"/>
  <c r="EL17" i="13"/>
  <c r="IL17" i="13"/>
  <c r="FK17" i="13"/>
  <c r="DW17" i="13"/>
  <c r="GR17" i="13"/>
  <c r="CV17" i="13"/>
  <c r="BY17" i="13"/>
  <c r="CQ17" i="13"/>
  <c r="CZ17" i="13"/>
  <c r="BU17" i="13"/>
  <c r="BN17" i="13"/>
  <c r="GE17" i="13"/>
  <c r="GD17" i="13"/>
  <c r="EP17" i="13"/>
  <c r="HP17" i="13"/>
  <c r="GU17" i="13"/>
  <c r="HM17" i="13"/>
  <c r="IG17" i="13"/>
  <c r="DT17" i="13"/>
  <c r="EF17" i="13"/>
  <c r="FY17" i="13"/>
  <c r="EK17" i="13"/>
  <c r="HC17" i="13"/>
  <c r="GH17" i="13"/>
  <c r="ET17" i="13"/>
  <c r="HA17" i="13"/>
  <c r="FS17" i="13"/>
  <c r="EE17" i="13"/>
  <c r="DP17" i="13"/>
  <c r="BP17" i="13"/>
  <c r="CG17" i="13"/>
  <c r="CY17" i="13"/>
  <c r="BT17" i="13"/>
  <c r="CC17" i="13"/>
  <c r="BO17" i="13"/>
  <c r="HQ17" i="13"/>
  <c r="HG17" i="13"/>
  <c r="GL17" i="13"/>
  <c r="EX17" i="13"/>
  <c r="HX17" i="13"/>
  <c r="DK17" i="13"/>
  <c r="DX17" i="13"/>
  <c r="FP17" i="13"/>
  <c r="EB17" i="13"/>
  <c r="FM17" i="13"/>
  <c r="GG17" i="13"/>
  <c r="ES17" i="13"/>
  <c r="HK17" i="13"/>
  <c r="GP17" i="13"/>
  <c r="FB17" i="13"/>
  <c r="EG17" i="13"/>
  <c r="GA17" i="13"/>
  <c r="EM17" i="13"/>
  <c r="EV17" i="13"/>
  <c r="BX17" i="13"/>
  <c r="CE17" i="13"/>
  <c r="BS17" i="13"/>
  <c r="CB17" i="13"/>
  <c r="CK17" i="13"/>
  <c r="EY17" i="13"/>
  <c r="HO17" i="13"/>
  <c r="GT17" i="13"/>
  <c r="FF17" i="13"/>
  <c r="IF17" i="13"/>
  <c r="DS17" i="13"/>
  <c r="HV17" i="13"/>
  <c r="FX17" i="13"/>
  <c r="EJ17" i="13"/>
  <c r="EW17" i="13"/>
  <c r="GO17" i="13"/>
  <c r="FA17" i="13"/>
  <c r="HS17" i="13"/>
  <c r="GX17" i="13"/>
  <c r="HU17" i="13"/>
  <c r="HD17" i="13"/>
  <c r="GI17" i="13"/>
  <c r="EU17" i="13"/>
  <c r="ID17" i="13"/>
  <c r="CF17" i="13"/>
  <c r="CP17" i="13"/>
  <c r="CA17" i="13"/>
  <c r="CJ17" i="13"/>
  <c r="CT17" i="13"/>
  <c r="DU17" i="13"/>
  <c r="HW17" i="13"/>
  <c r="HB17" i="13"/>
  <c r="HF17" i="13"/>
  <c r="IN17" i="13"/>
  <c r="EA17" i="13"/>
  <c r="GK17" i="13"/>
  <c r="GF17" i="13"/>
  <c r="ER17" i="13"/>
  <c r="HJ17" i="13"/>
  <c r="GW17" i="13"/>
  <c r="FI17" i="13"/>
  <c r="IA17" i="13"/>
  <c r="DF17" i="13"/>
  <c r="FT17" i="13"/>
  <c r="HL17" i="13"/>
  <c r="GQ17" i="13"/>
  <c r="FC17" i="13"/>
  <c r="GS17" i="13"/>
  <c r="CM17" i="13"/>
  <c r="CX17" i="13"/>
  <c r="CI17" i="13"/>
  <c r="CU17" i="13"/>
  <c r="BV17" i="13"/>
  <c r="EO17" i="13"/>
  <c r="IE17" i="13"/>
  <c r="DJ17" i="13"/>
  <c r="FU17" i="13"/>
  <c r="FO17" i="13"/>
  <c r="EI17" i="13"/>
  <c r="DY17" i="13"/>
  <c r="GN17" i="13"/>
  <c r="EZ17" i="13"/>
  <c r="HR17" i="13"/>
  <c r="DE17" i="13"/>
  <c r="IK17" i="13"/>
  <c r="II17" i="13"/>
  <c r="DN17" i="13"/>
  <c r="DH17" i="13"/>
  <c r="HT17" i="13"/>
  <c r="GY17" i="13"/>
  <c r="IC17" i="13"/>
  <c r="DQ17" i="13"/>
  <c r="CO17" i="13"/>
  <c r="BR17" i="13"/>
  <c r="BW17" i="13"/>
  <c r="DC17" i="13"/>
  <c r="CD17" i="13"/>
  <c r="DZ17" i="13"/>
  <c r="IH17" i="13"/>
  <c r="FR17" i="13"/>
  <c r="IJ17" i="13"/>
  <c r="CN17" i="13"/>
  <c r="CH17" i="13"/>
  <c r="CR17" i="13"/>
  <c r="IM17" i="13"/>
  <c r="DR17" i="13"/>
  <c r="DI17" i="13"/>
  <c r="FW17" i="13"/>
  <c r="EQ17" i="13"/>
  <c r="HI17" i="13"/>
  <c r="GV17" i="13"/>
  <c r="FH17" i="13"/>
  <c r="HZ17" i="13"/>
  <c r="DM17" i="13"/>
  <c r="GZ17" i="13"/>
  <c r="FJ17" i="13"/>
  <c r="DV17" i="13"/>
  <c r="EN17" i="13"/>
  <c r="IB17" i="13"/>
  <c r="DG17" i="13"/>
  <c r="FL17" i="13"/>
  <c r="FE17" i="13"/>
  <c r="CW17" i="13"/>
  <c r="BZ17" i="13"/>
  <c r="DB17" i="13"/>
  <c r="CS17" i="13"/>
  <c r="CL17" i="13"/>
  <c r="FN17" i="13"/>
  <c r="HE17" i="13"/>
  <c r="ED17" i="13"/>
  <c r="HN17" i="13"/>
  <c r="GJ17" i="13"/>
  <c r="BQ17" i="13"/>
  <c r="DA17" i="13"/>
  <c r="DD17" i="13"/>
  <c r="FD17" i="13"/>
  <c r="DO17" i="13"/>
  <c r="BM17" i="13"/>
  <c r="V17" i="13"/>
  <c r="AL17" i="13"/>
  <c r="Z17" i="13"/>
  <c r="W17" i="13"/>
  <c r="AF17" i="13"/>
  <c r="AY17" i="13"/>
  <c r="BL17" i="13"/>
  <c r="BK17" i="13"/>
  <c r="AO17" i="13"/>
  <c r="AS17" i="13"/>
  <c r="AK17" i="13"/>
  <c r="AJ17" i="13"/>
  <c r="X17" i="13"/>
  <c r="AG17" i="13"/>
  <c r="BF17" i="13"/>
  <c r="BC17" i="13"/>
  <c r="M17" i="13"/>
  <c r="BJ17" i="13"/>
  <c r="Y17" i="13"/>
  <c r="AQ17" i="13"/>
  <c r="R17" i="13"/>
  <c r="BD17" i="13"/>
  <c r="AX17" i="13"/>
  <c r="BE17" i="13"/>
  <c r="D26" i="13"/>
  <c r="Q17" i="13"/>
  <c r="J17" i="13"/>
  <c r="AR17" i="13"/>
  <c r="O17" i="13"/>
  <c r="G17" i="13"/>
  <c r="AP17" i="13"/>
  <c r="AV17" i="13"/>
  <c r="T17" i="13"/>
  <c r="S17" i="13"/>
  <c r="AD17" i="13"/>
  <c r="P17" i="13"/>
  <c r="AI17" i="13"/>
  <c r="AU17" i="13"/>
  <c r="BA17" i="13"/>
  <c r="BH17" i="13"/>
  <c r="AE17" i="13"/>
  <c r="BI17" i="13"/>
  <c r="U17" i="13"/>
  <c r="H17" i="13"/>
  <c r="AA17" i="13"/>
  <c r="AZ17" i="13"/>
  <c r="K17" i="13"/>
  <c r="AW17" i="13"/>
  <c r="N17" i="13"/>
  <c r="L17" i="13"/>
  <c r="AC17" i="13"/>
  <c r="AT17" i="13"/>
  <c r="I17" i="13"/>
  <c r="AH17" i="13"/>
  <c r="AB17" i="13"/>
  <c r="AM17" i="13"/>
  <c r="BG17" i="13"/>
  <c r="BB17" i="13"/>
  <c r="AS25" i="13"/>
  <c r="M25" i="13"/>
  <c r="AG25" i="13"/>
  <c r="BB25" i="13"/>
  <c r="AT25" i="13"/>
  <c r="AL25" i="13"/>
  <c r="AD25" i="13"/>
  <c r="V25" i="13"/>
  <c r="N25" i="13"/>
  <c r="G15" i="13"/>
  <c r="G13" i="13"/>
  <c r="G9" i="13"/>
  <c r="G11" i="13"/>
  <c r="H11" i="13" s="1"/>
  <c r="H26" i="13"/>
  <c r="H27" i="13" s="1"/>
  <c r="I3" i="13"/>
  <c r="I23" i="13" s="1"/>
  <c r="AJ25" i="13"/>
  <c r="T25" i="13"/>
  <c r="AY25" i="13"/>
  <c r="AQ25" i="13"/>
  <c r="AI25" i="13"/>
  <c r="AA25" i="13"/>
  <c r="S25" i="13"/>
  <c r="L25" i="13"/>
  <c r="C10" i="15"/>
  <c r="C13" i="13"/>
  <c r="C18" i="15" s="1"/>
  <c r="BE25" i="13"/>
  <c r="AK25" i="13"/>
  <c r="AR25" i="13"/>
  <c r="AB25" i="13"/>
  <c r="F6" i="13"/>
  <c r="G6" i="13" s="1"/>
  <c r="G7" i="13" s="1"/>
  <c r="G18" i="13" s="1"/>
  <c r="AX25" i="13"/>
  <c r="AP25" i="13"/>
  <c r="AH25" i="13"/>
  <c r="Z25" i="13"/>
  <c r="R25" i="13"/>
  <c r="K25" i="13"/>
  <c r="BA25" i="13"/>
  <c r="U25" i="13"/>
  <c r="AZ25" i="13"/>
  <c r="AO25" i="13"/>
  <c r="Y25" i="13"/>
  <c r="Q25" i="13"/>
  <c r="J25" i="13"/>
  <c r="AV25" i="13"/>
  <c r="AN25" i="13"/>
  <c r="AF25" i="13"/>
  <c r="X25" i="13"/>
  <c r="P25" i="13"/>
  <c r="I25" i="13"/>
  <c r="AC25" i="13"/>
  <c r="AW25" i="13"/>
  <c r="BF25" i="13"/>
  <c r="BC25" i="13"/>
  <c r="AU25" i="13"/>
  <c r="AM25" i="13"/>
  <c r="AE25" i="13"/>
  <c r="W25" i="13"/>
  <c r="O25" i="13"/>
  <c r="H25" i="13"/>
  <c r="G25" i="13" s="1"/>
  <c r="BD25" i="13"/>
  <c r="BG4" i="13"/>
  <c r="BG5" i="13" s="1"/>
  <c r="BG25" i="13" s="1"/>
  <c r="H6" i="13" l="1"/>
  <c r="H7" i="13" s="1"/>
  <c r="H18" i="13" s="1"/>
  <c r="H24" i="13" s="1"/>
  <c r="G16" i="13"/>
  <c r="G22" i="13" s="1"/>
  <c r="H12" i="13"/>
  <c r="H20" i="13" s="1"/>
  <c r="G14" i="13"/>
  <c r="G21" i="13" s="1"/>
  <c r="G12" i="13"/>
  <c r="G20" i="13" s="1"/>
  <c r="I11" i="13"/>
  <c r="J11" i="13" s="1"/>
  <c r="J12" i="13" s="1"/>
  <c r="G10" i="13"/>
  <c r="G19" i="13" s="1"/>
  <c r="H9" i="13"/>
  <c r="I9" i="13" s="1"/>
  <c r="I10" i="13" s="1"/>
  <c r="H13" i="13"/>
  <c r="I13" i="13" s="1"/>
  <c r="I14" i="13" s="1"/>
  <c r="G24" i="13"/>
  <c r="G8" i="13"/>
  <c r="I26" i="13"/>
  <c r="I27" i="13" s="1"/>
  <c r="J3" i="13"/>
  <c r="J23" i="13" s="1"/>
  <c r="H15" i="13"/>
  <c r="H16" i="13" s="1"/>
  <c r="BH4" i="13"/>
  <c r="BH5" i="13" s="1"/>
  <c r="BH25" i="13" s="1"/>
  <c r="I6" i="13" l="1"/>
  <c r="I7" i="13" s="1"/>
  <c r="H8" i="13"/>
  <c r="H14" i="13"/>
  <c r="H21" i="13" s="1"/>
  <c r="H10" i="13"/>
  <c r="H19" i="13" s="1"/>
  <c r="I12" i="13"/>
  <c r="I20" i="13" s="1"/>
  <c r="H22" i="13"/>
  <c r="I15" i="13"/>
  <c r="I16" i="13" s="1"/>
  <c r="J20" i="13"/>
  <c r="K11" i="13"/>
  <c r="K12" i="13" s="1"/>
  <c r="I19" i="13"/>
  <c r="J9" i="13"/>
  <c r="J10" i="13" s="1"/>
  <c r="I21" i="13"/>
  <c r="J13" i="13"/>
  <c r="J14" i="13" s="1"/>
  <c r="K3" i="13"/>
  <c r="K23" i="13" s="1"/>
  <c r="J26" i="13"/>
  <c r="J27" i="13" s="1"/>
  <c r="BI4" i="13"/>
  <c r="BI5" i="13" s="1"/>
  <c r="BI25" i="13" s="1"/>
  <c r="J6" i="13" l="1"/>
  <c r="J7" i="13" s="1"/>
  <c r="I18" i="13"/>
  <c r="I24" i="13" s="1"/>
  <c r="I8" i="13"/>
  <c r="K26" i="13"/>
  <c r="K27" i="13" s="1"/>
  <c r="L3" i="13"/>
  <c r="L23" i="13" s="1"/>
  <c r="K20" i="13"/>
  <c r="L11" i="13"/>
  <c r="L12" i="13" s="1"/>
  <c r="J19" i="13"/>
  <c r="K9" i="13"/>
  <c r="K10" i="13" s="1"/>
  <c r="J21" i="13"/>
  <c r="K13" i="13"/>
  <c r="K14" i="13" s="1"/>
  <c r="I22" i="13"/>
  <c r="J15" i="13"/>
  <c r="J16" i="13" s="1"/>
  <c r="BJ4" i="13"/>
  <c r="BJ5" i="13" s="1"/>
  <c r="BJ25" i="13" s="1"/>
  <c r="K6" i="13" l="1"/>
  <c r="K7" i="13" s="1"/>
  <c r="J18" i="13"/>
  <c r="J24" i="13" s="1"/>
  <c r="J8" i="13"/>
  <c r="L20" i="13"/>
  <c r="M11" i="13"/>
  <c r="M12" i="13" s="1"/>
  <c r="L26" i="13"/>
  <c r="L27" i="13" s="1"/>
  <c r="M3" i="13"/>
  <c r="M23" i="13" s="1"/>
  <c r="K21" i="13"/>
  <c r="L13" i="13"/>
  <c r="L14" i="13" s="1"/>
  <c r="L6" i="13"/>
  <c r="J22" i="13"/>
  <c r="K15" i="13"/>
  <c r="K16" i="13" s="1"/>
  <c r="K19" i="13"/>
  <c r="L9" i="13"/>
  <c r="L10" i="13" s="1"/>
  <c r="BK4" i="13"/>
  <c r="BK5" i="13" s="1"/>
  <c r="BK25" i="13" s="1"/>
  <c r="K18" i="13" l="1"/>
  <c r="K24" i="13" s="1"/>
  <c r="K8" i="13"/>
  <c r="L7" i="13"/>
  <c r="M6" i="13"/>
  <c r="L21" i="13"/>
  <c r="M13" i="13"/>
  <c r="M14" i="13" s="1"/>
  <c r="L19" i="13"/>
  <c r="M9" i="13"/>
  <c r="M10" i="13" s="1"/>
  <c r="M26" i="13"/>
  <c r="M27" i="13" s="1"/>
  <c r="N3" i="13"/>
  <c r="K22" i="13"/>
  <c r="L15" i="13"/>
  <c r="L16" i="13" s="1"/>
  <c r="M20" i="13"/>
  <c r="N11" i="13"/>
  <c r="N12" i="13" s="1"/>
  <c r="BL4" i="13"/>
  <c r="BL5" i="13" s="1"/>
  <c r="O3" i="13" l="1"/>
  <c r="O23" i="13" s="1"/>
  <c r="N23" i="13"/>
  <c r="BL25" i="13"/>
  <c r="C5" i="13"/>
  <c r="L18" i="13"/>
  <c r="L24" i="13" s="1"/>
  <c r="L8" i="13"/>
  <c r="M19" i="13"/>
  <c r="N9" i="13"/>
  <c r="N10" i="13" s="1"/>
  <c r="N20" i="13"/>
  <c r="O11" i="13"/>
  <c r="O12" i="13" s="1"/>
  <c r="M21" i="13"/>
  <c r="N13" i="13"/>
  <c r="N14" i="13" s="1"/>
  <c r="L22" i="13"/>
  <c r="M15" i="13"/>
  <c r="M16" i="13" s="1"/>
  <c r="N26" i="13"/>
  <c r="N27" i="13" s="1"/>
  <c r="M7" i="13"/>
  <c r="N6" i="13"/>
  <c r="BM4" i="13"/>
  <c r="BM5" i="13" s="1"/>
  <c r="BM25" i="13" s="1"/>
  <c r="M18" i="13" l="1"/>
  <c r="M24" i="13" s="1"/>
  <c r="M8" i="13"/>
  <c r="M22" i="13"/>
  <c r="N15" i="13"/>
  <c r="N16" i="13" s="1"/>
  <c r="N21" i="13"/>
  <c r="O13" i="13"/>
  <c r="O14" i="13" s="1"/>
  <c r="O6" i="13"/>
  <c r="N7" i="13"/>
  <c r="O20" i="13"/>
  <c r="P11" i="13"/>
  <c r="P12" i="13" s="1"/>
  <c r="P3" i="13"/>
  <c r="P23" i="13" s="1"/>
  <c r="O26" i="13"/>
  <c r="O27" i="13" s="1"/>
  <c r="N19" i="13"/>
  <c r="O9" i="13"/>
  <c r="O10" i="13" s="1"/>
  <c r="BN4" i="13"/>
  <c r="BN5" i="13" s="1"/>
  <c r="BN25" i="13" s="1"/>
  <c r="N18" i="13" l="1"/>
  <c r="N24" i="13" s="1"/>
  <c r="N8" i="13"/>
  <c r="P20" i="13"/>
  <c r="Q11" i="13"/>
  <c r="Q12" i="13" s="1"/>
  <c r="O7" i="13"/>
  <c r="P6" i="13"/>
  <c r="P7" i="13" s="1"/>
  <c r="O21" i="13"/>
  <c r="P13" i="13"/>
  <c r="P14" i="13" s="1"/>
  <c r="O19" i="13"/>
  <c r="P9" i="13"/>
  <c r="P10" i="13" s="1"/>
  <c r="N22" i="13"/>
  <c r="O15" i="13"/>
  <c r="O16" i="13" s="1"/>
  <c r="P26" i="13"/>
  <c r="P27" i="13" s="1"/>
  <c r="Q3" i="13"/>
  <c r="Q23" i="13" s="1"/>
  <c r="BN8" i="13"/>
  <c r="BO4" i="13"/>
  <c r="O18" i="13" l="1"/>
  <c r="O24" i="13" s="1"/>
  <c r="O8" i="13"/>
  <c r="P19" i="13"/>
  <c r="Q9" i="13"/>
  <c r="Q10" i="13" s="1"/>
  <c r="P21" i="13"/>
  <c r="Q13" i="13"/>
  <c r="Q14" i="13" s="1"/>
  <c r="Q6" i="13"/>
  <c r="Q7" i="13" s="1"/>
  <c r="O22" i="13"/>
  <c r="P15" i="13"/>
  <c r="P16" i="13" s="1"/>
  <c r="Q20" i="13"/>
  <c r="R11" i="13"/>
  <c r="R12" i="13" s="1"/>
  <c r="R3" i="13"/>
  <c r="R23" i="13" s="1"/>
  <c r="Q26" i="13"/>
  <c r="Q27" i="13" s="1"/>
  <c r="BP4" i="13"/>
  <c r="BO5" i="13"/>
  <c r="BO25" i="13" s="1"/>
  <c r="P18" i="13" l="1"/>
  <c r="P24" i="13" s="1"/>
  <c r="P8" i="13"/>
  <c r="P22" i="13"/>
  <c r="Q15" i="13"/>
  <c r="Q16" i="13" s="1"/>
  <c r="R6" i="13"/>
  <c r="R7" i="13" s="1"/>
  <c r="Q21" i="13"/>
  <c r="R13" i="13"/>
  <c r="R14" i="13" s="1"/>
  <c r="S3" i="13"/>
  <c r="S23" i="13" s="1"/>
  <c r="R26" i="13"/>
  <c r="R27" i="13" s="1"/>
  <c r="Q19" i="13"/>
  <c r="R9" i="13"/>
  <c r="R10" i="13" s="1"/>
  <c r="R20" i="13"/>
  <c r="S11" i="13"/>
  <c r="S12" i="13" s="1"/>
  <c r="BO8" i="13"/>
  <c r="BQ4" i="13"/>
  <c r="BP5" i="13"/>
  <c r="BP25" i="13" s="1"/>
  <c r="Q18" i="13" l="1"/>
  <c r="Q24" i="13" s="1"/>
  <c r="Q8" i="13"/>
  <c r="R21" i="13"/>
  <c r="S13" i="13"/>
  <c r="S14" i="13" s="1"/>
  <c r="S26" i="13"/>
  <c r="S27" i="13" s="1"/>
  <c r="T3" i="13"/>
  <c r="T23" i="13" s="1"/>
  <c r="S20" i="13"/>
  <c r="T11" i="13"/>
  <c r="T12" i="13" s="1"/>
  <c r="S6" i="13"/>
  <c r="S7" i="13" s="1"/>
  <c r="Q22" i="13"/>
  <c r="R15" i="13"/>
  <c r="R16" i="13" s="1"/>
  <c r="R19" i="13"/>
  <c r="S9" i="13"/>
  <c r="S10" i="13" s="1"/>
  <c r="BP8" i="13"/>
  <c r="BR4" i="13"/>
  <c r="BQ5" i="13"/>
  <c r="BQ25" i="13" s="1"/>
  <c r="R18" i="13" l="1"/>
  <c r="R24" i="13" s="1"/>
  <c r="R8" i="13"/>
  <c r="T20" i="13"/>
  <c r="U11" i="13"/>
  <c r="U12" i="13" s="1"/>
  <c r="S19" i="13"/>
  <c r="T9" i="13"/>
  <c r="T10" i="13" s="1"/>
  <c r="U3" i="13"/>
  <c r="U23" i="13" s="1"/>
  <c r="T26" i="13"/>
  <c r="T27" i="13" s="1"/>
  <c r="R22" i="13"/>
  <c r="S15" i="13"/>
  <c r="S16" i="13" s="1"/>
  <c r="T6" i="13"/>
  <c r="T7" i="13" s="1"/>
  <c r="S21" i="13"/>
  <c r="T13" i="13"/>
  <c r="T14" i="13" s="1"/>
  <c r="BQ8" i="13"/>
  <c r="BR5" i="13"/>
  <c r="BR25" i="13" s="1"/>
  <c r="BS4" i="13"/>
  <c r="S18" i="13" l="1"/>
  <c r="S24" i="13" s="1"/>
  <c r="S8" i="13"/>
  <c r="U26" i="13"/>
  <c r="U27" i="13" s="1"/>
  <c r="V3" i="13"/>
  <c r="V23" i="13" s="1"/>
  <c r="T19" i="13"/>
  <c r="U9" i="13"/>
  <c r="U10" i="13" s="1"/>
  <c r="U6" i="13"/>
  <c r="U7" i="13" s="1"/>
  <c r="C12" i="15"/>
  <c r="U20" i="13"/>
  <c r="V11" i="13"/>
  <c r="V12" i="13" s="1"/>
  <c r="T21" i="13"/>
  <c r="U13" i="13"/>
  <c r="U14" i="13" s="1"/>
  <c r="S22" i="13"/>
  <c r="T15" i="13"/>
  <c r="T16" i="13" s="1"/>
  <c r="BR8" i="13"/>
  <c r="BS5" i="13"/>
  <c r="BS25" i="13" s="1"/>
  <c r="BT4" i="13"/>
  <c r="T18" i="13" l="1"/>
  <c r="T24" i="13" s="1"/>
  <c r="T8" i="13"/>
  <c r="V6" i="13"/>
  <c r="V7" i="13" s="1"/>
  <c r="U19" i="13"/>
  <c r="V9" i="13"/>
  <c r="V10" i="13" s="1"/>
  <c r="U21" i="13"/>
  <c r="V13" i="13"/>
  <c r="V14" i="13" s="1"/>
  <c r="V26" i="13"/>
  <c r="V27" i="13" s="1"/>
  <c r="W3" i="13"/>
  <c r="W23" i="13" s="1"/>
  <c r="T22" i="13"/>
  <c r="U15" i="13"/>
  <c r="U16" i="13" s="1"/>
  <c r="V20" i="13"/>
  <c r="W11" i="13"/>
  <c r="W12" i="13" s="1"/>
  <c r="BT5" i="13"/>
  <c r="BT25" i="13" s="1"/>
  <c r="BU4" i="13"/>
  <c r="BS8" i="13"/>
  <c r="U18" i="13" l="1"/>
  <c r="U24" i="13" s="1"/>
  <c r="U8" i="13"/>
  <c r="V21" i="13"/>
  <c r="W13" i="13"/>
  <c r="W14" i="13" s="1"/>
  <c r="W20" i="13"/>
  <c r="X11" i="13"/>
  <c r="X12" i="13" s="1"/>
  <c r="V19" i="13"/>
  <c r="W9" i="13"/>
  <c r="W10" i="13" s="1"/>
  <c r="U22" i="13"/>
  <c r="V15" i="13"/>
  <c r="V16" i="13" s="1"/>
  <c r="W6" i="13"/>
  <c r="W7" i="13" s="1"/>
  <c r="W26" i="13"/>
  <c r="W27" i="13" s="1"/>
  <c r="X3" i="13"/>
  <c r="X23" i="13" s="1"/>
  <c r="BU5" i="13"/>
  <c r="BU25" i="13" s="1"/>
  <c r="BV4" i="13"/>
  <c r="BT8" i="13"/>
  <c r="V18" i="13" l="1"/>
  <c r="V24" i="13" s="1"/>
  <c r="V8" i="13"/>
  <c r="V22" i="13"/>
  <c r="W15" i="13"/>
  <c r="W16" i="13" s="1"/>
  <c r="W19" i="13"/>
  <c r="X9" i="13"/>
  <c r="X10" i="13" s="1"/>
  <c r="X26" i="13"/>
  <c r="X27" i="13" s="1"/>
  <c r="Y3" i="13"/>
  <c r="Y23" i="13" s="1"/>
  <c r="X20" i="13"/>
  <c r="Y11" i="13"/>
  <c r="Y12" i="13" s="1"/>
  <c r="W21" i="13"/>
  <c r="X13" i="13"/>
  <c r="X14" i="13" s="1"/>
  <c r="X6" i="13"/>
  <c r="X7" i="13" s="1"/>
  <c r="BV5" i="13"/>
  <c r="BV25" i="13" s="1"/>
  <c r="BW4" i="13"/>
  <c r="BU8" i="13"/>
  <c r="W18" i="13" l="1"/>
  <c r="W24" i="13" s="1"/>
  <c r="W8" i="13"/>
  <c r="Y26" i="13"/>
  <c r="Y27" i="13" s="1"/>
  <c r="Z3" i="13"/>
  <c r="Z23" i="13" s="1"/>
  <c r="Y6" i="13"/>
  <c r="Y7" i="13" s="1"/>
  <c r="X19" i="13"/>
  <c r="Y9" i="13"/>
  <c r="Y10" i="13" s="1"/>
  <c r="Y13" i="13"/>
  <c r="Y14" i="13" s="1"/>
  <c r="X21" i="13"/>
  <c r="W22" i="13"/>
  <c r="X15" i="13"/>
  <c r="X16" i="13" s="1"/>
  <c r="Y20" i="13"/>
  <c r="Z11" i="13"/>
  <c r="Z12" i="13" s="1"/>
  <c r="BW5" i="13"/>
  <c r="BW25" i="13" s="1"/>
  <c r="BX4" i="13"/>
  <c r="BV8" i="13"/>
  <c r="X18" i="13" l="1"/>
  <c r="X24" i="13" s="1"/>
  <c r="X8" i="13"/>
  <c r="Y19" i="13"/>
  <c r="Z9" i="13"/>
  <c r="Z10" i="13" s="1"/>
  <c r="AA11" i="13"/>
  <c r="AA12" i="13" s="1"/>
  <c r="Z20" i="13"/>
  <c r="Z6" i="13"/>
  <c r="Z7" i="13" s="1"/>
  <c r="X22" i="13"/>
  <c r="Y15" i="13"/>
  <c r="Y16" i="13" s="1"/>
  <c r="AA3" i="13"/>
  <c r="AA23" i="13" s="1"/>
  <c r="Z26" i="13"/>
  <c r="Z27" i="13" s="1"/>
  <c r="Y21" i="13"/>
  <c r="Z13" i="13"/>
  <c r="Z14" i="13" s="1"/>
  <c r="BX5" i="13"/>
  <c r="BX25" i="13" s="1"/>
  <c r="BY4" i="13"/>
  <c r="BW8" i="13"/>
  <c r="Y18" i="13" l="1"/>
  <c r="Y24" i="13" s="1"/>
  <c r="Y8" i="13"/>
  <c r="Y22" i="13"/>
  <c r="Z15" i="13"/>
  <c r="Z16" i="13" s="1"/>
  <c r="AA6" i="13"/>
  <c r="AA7" i="13" s="1"/>
  <c r="Z21" i="13"/>
  <c r="AA13" i="13"/>
  <c r="AA14" i="13" s="1"/>
  <c r="AA20" i="13"/>
  <c r="AB11" i="13"/>
  <c r="AB12" i="13" s="1"/>
  <c r="Z19" i="13"/>
  <c r="AA9" i="13"/>
  <c r="AA10" i="13" s="1"/>
  <c r="AA26" i="13"/>
  <c r="AA27" i="13" s="1"/>
  <c r="AB3" i="13"/>
  <c r="AB23" i="13" s="1"/>
  <c r="BY5" i="13"/>
  <c r="BY25" i="13" s="1"/>
  <c r="BZ4" i="13"/>
  <c r="BX8" i="13"/>
  <c r="Z18" i="13" l="1"/>
  <c r="Z24" i="13" s="1"/>
  <c r="Z8" i="13"/>
  <c r="AB20" i="13"/>
  <c r="AC11" i="13"/>
  <c r="AC12" i="13" s="1"/>
  <c r="AA21" i="13"/>
  <c r="AB13" i="13"/>
  <c r="AB14" i="13" s="1"/>
  <c r="AB26" i="13"/>
  <c r="AB27" i="13" s="1"/>
  <c r="AC3" i="13"/>
  <c r="AC23" i="13" s="1"/>
  <c r="AB6" i="13"/>
  <c r="AB7" i="13" s="1"/>
  <c r="AA19" i="13"/>
  <c r="AB9" i="13"/>
  <c r="AB10" i="13" s="1"/>
  <c r="Z22" i="13"/>
  <c r="AA15" i="13"/>
  <c r="AA16" i="13" s="1"/>
  <c r="BZ5" i="13"/>
  <c r="BZ25" i="13" s="1"/>
  <c r="CA4" i="13"/>
  <c r="BY8" i="13"/>
  <c r="AA18" i="13" l="1"/>
  <c r="AA24" i="13" s="1"/>
  <c r="AA8" i="13"/>
  <c r="AA22" i="13"/>
  <c r="AB15" i="13"/>
  <c r="AB16" i="13" s="1"/>
  <c r="AB21" i="13"/>
  <c r="AC13" i="13"/>
  <c r="AC14" i="13" s="1"/>
  <c r="AC26" i="13"/>
  <c r="AC27" i="13" s="1"/>
  <c r="AD3" i="13"/>
  <c r="AD23" i="13" s="1"/>
  <c r="AB19" i="13"/>
  <c r="AC9" i="13"/>
  <c r="AC10" i="13" s="1"/>
  <c r="AC20" i="13"/>
  <c r="AD11" i="13"/>
  <c r="AD12" i="13" s="1"/>
  <c r="AC6" i="13"/>
  <c r="AC7" i="13" s="1"/>
  <c r="CA5" i="13"/>
  <c r="CA25" i="13" s="1"/>
  <c r="CB4" i="13"/>
  <c r="BZ8" i="13"/>
  <c r="AB18" i="13" l="1"/>
  <c r="AB24" i="13" s="1"/>
  <c r="AB8" i="13"/>
  <c r="AD26" i="13"/>
  <c r="AD27" i="13" s="1"/>
  <c r="AE3" i="13"/>
  <c r="AE23" i="13" s="1"/>
  <c r="AD6" i="13"/>
  <c r="AD7" i="13" s="1"/>
  <c r="AC21" i="13"/>
  <c r="AD13" i="13"/>
  <c r="AD14" i="13" s="1"/>
  <c r="AD20" i="13"/>
  <c r="AE11" i="13"/>
  <c r="AE12" i="13" s="1"/>
  <c r="AB22" i="13"/>
  <c r="AC15" i="13"/>
  <c r="AC16" i="13" s="1"/>
  <c r="AC19" i="13"/>
  <c r="AD9" i="13"/>
  <c r="AD10" i="13" s="1"/>
  <c r="CB5" i="13"/>
  <c r="CB25" i="13" s="1"/>
  <c r="CC4" i="13"/>
  <c r="CA8" i="13"/>
  <c r="AC18" i="13" l="1"/>
  <c r="AC24" i="13" s="1"/>
  <c r="AC8" i="13"/>
  <c r="AD21" i="13"/>
  <c r="AE13" i="13"/>
  <c r="AE14" i="13" s="1"/>
  <c r="AD19" i="13"/>
  <c r="AE9" i="13"/>
  <c r="AE10" i="13" s="1"/>
  <c r="AE6" i="13"/>
  <c r="AE7" i="13" s="1"/>
  <c r="AC22" i="13"/>
  <c r="AD15" i="13"/>
  <c r="AD16" i="13" s="1"/>
  <c r="AE26" i="13"/>
  <c r="AE27" i="13" s="1"/>
  <c r="AF3" i="13"/>
  <c r="AF23" i="13" s="1"/>
  <c r="AE20" i="13"/>
  <c r="AF11" i="13"/>
  <c r="AF12" i="13" s="1"/>
  <c r="CC5" i="13"/>
  <c r="CC25" i="13" s="1"/>
  <c r="CD4" i="13"/>
  <c r="CB8" i="13"/>
  <c r="AD18" i="13" l="1"/>
  <c r="AD24" i="13" s="1"/>
  <c r="AD8" i="13"/>
  <c r="AD22" i="13"/>
  <c r="AE15" i="13"/>
  <c r="AE16" i="13" s="1"/>
  <c r="AF20" i="13"/>
  <c r="AG11" i="13"/>
  <c r="AG12" i="13" s="1"/>
  <c r="AF6" i="13"/>
  <c r="AF7" i="13" s="1"/>
  <c r="AF8" i="13" s="1"/>
  <c r="AE19" i="13"/>
  <c r="AF9" i="13"/>
  <c r="AF10" i="13" s="1"/>
  <c r="AF26" i="13"/>
  <c r="AF27" i="13" s="1"/>
  <c r="AG3" i="13"/>
  <c r="AG23" i="13" s="1"/>
  <c r="AE21" i="13"/>
  <c r="AF13" i="13"/>
  <c r="AF14" i="13" s="1"/>
  <c r="BL8" i="13"/>
  <c r="CD5" i="13"/>
  <c r="CD25" i="13" s="1"/>
  <c r="CE4" i="13"/>
  <c r="CC8" i="13"/>
  <c r="AE18" i="13" l="1"/>
  <c r="AE24" i="13" s="1"/>
  <c r="AE8" i="13"/>
  <c r="AF21" i="13"/>
  <c r="AG13" i="13"/>
  <c r="AG14" i="13" s="1"/>
  <c r="AG6" i="13"/>
  <c r="AG7" i="13" s="1"/>
  <c r="AG8" i="13" s="1"/>
  <c r="AF18" i="13"/>
  <c r="AG20" i="13"/>
  <c r="AH11" i="13"/>
  <c r="AH12" i="13" s="1"/>
  <c r="AG9" i="13"/>
  <c r="AG10" i="13" s="1"/>
  <c r="AF19" i="13"/>
  <c r="AG26" i="13"/>
  <c r="AG27" i="13" s="1"/>
  <c r="AH3" i="13"/>
  <c r="AH23" i="13" s="1"/>
  <c r="AE22" i="13"/>
  <c r="AF15" i="13"/>
  <c r="AF16" i="13" s="1"/>
  <c r="BM8" i="13"/>
  <c r="CE5" i="13"/>
  <c r="CE25" i="13" s="1"/>
  <c r="CF4" i="13"/>
  <c r="CD8" i="13"/>
  <c r="AF24" i="13" l="1"/>
  <c r="AG19" i="13"/>
  <c r="AH9" i="13"/>
  <c r="AH10" i="13" s="1"/>
  <c r="AH20" i="13"/>
  <c r="AI11" i="13"/>
  <c r="AI12" i="13" s="1"/>
  <c r="AF22" i="13"/>
  <c r="AG15" i="13"/>
  <c r="AG16" i="13" s="1"/>
  <c r="AH26" i="13"/>
  <c r="AH27" i="13" s="1"/>
  <c r="AI3" i="13"/>
  <c r="AI23" i="13" s="1"/>
  <c r="AG18" i="13"/>
  <c r="AG24" i="13" s="1"/>
  <c r="AH6" i="13"/>
  <c r="AH7" i="13" s="1"/>
  <c r="AH8" i="13" s="1"/>
  <c r="AG21" i="13"/>
  <c r="AH13" i="13"/>
  <c r="AH14" i="13" s="1"/>
  <c r="CE8" i="13"/>
  <c r="CF5" i="13"/>
  <c r="CF25" i="13" s="1"/>
  <c r="CG4" i="13"/>
  <c r="AG22" i="13" l="1"/>
  <c r="AH15" i="13"/>
  <c r="AH16" i="13" s="1"/>
  <c r="AH21" i="13"/>
  <c r="AI13" i="13"/>
  <c r="AI14" i="13" s="1"/>
  <c r="AI20" i="13"/>
  <c r="AJ11" i="13"/>
  <c r="AJ12" i="13" s="1"/>
  <c r="AH18" i="13"/>
  <c r="AH24" i="13" s="1"/>
  <c r="AI6" i="13"/>
  <c r="AI7" i="13" s="1"/>
  <c r="AI8" i="13" s="1"/>
  <c r="AH19" i="13"/>
  <c r="AI9" i="13"/>
  <c r="AI10" i="13" s="1"/>
  <c r="AJ3" i="13"/>
  <c r="AJ23" i="13" s="1"/>
  <c r="AI26" i="13"/>
  <c r="AI27" i="13" s="1"/>
  <c r="CF8" i="13"/>
  <c r="CG5" i="13"/>
  <c r="CG25" i="13" s="1"/>
  <c r="CH4" i="13"/>
  <c r="AJ6" i="13" l="1"/>
  <c r="AJ7" i="13" s="1"/>
  <c r="AJ8" i="13" s="1"/>
  <c r="AI18" i="13"/>
  <c r="AI24" i="13" s="1"/>
  <c r="AJ20" i="13"/>
  <c r="AK11" i="13"/>
  <c r="AK12" i="13" s="1"/>
  <c r="AI21" i="13"/>
  <c r="AJ13" i="13"/>
  <c r="AJ14" i="13" s="1"/>
  <c r="AJ26" i="13"/>
  <c r="AJ27" i="13" s="1"/>
  <c r="AK3" i="13"/>
  <c r="AK23" i="13" s="1"/>
  <c r="AH22" i="13"/>
  <c r="AI15" i="13"/>
  <c r="AI16" i="13" s="1"/>
  <c r="AI19" i="13"/>
  <c r="AJ9" i="13"/>
  <c r="AJ10" i="13" s="1"/>
  <c r="CG8" i="13"/>
  <c r="CH5" i="13"/>
  <c r="CH25" i="13" s="1"/>
  <c r="CI4" i="13"/>
  <c r="AJ21" i="13" l="1"/>
  <c r="AK13" i="13"/>
  <c r="AK14" i="13" s="1"/>
  <c r="AJ19" i="13"/>
  <c r="AK9" i="13"/>
  <c r="AK10" i="13" s="1"/>
  <c r="AK20" i="13"/>
  <c r="AL11" i="13"/>
  <c r="AL12" i="13" s="1"/>
  <c r="AI22" i="13"/>
  <c r="AJ15" i="13"/>
  <c r="AJ16" i="13" s="1"/>
  <c r="AK26" i="13"/>
  <c r="AK27" i="13" s="1"/>
  <c r="AL3" i="13"/>
  <c r="AL23" i="13" s="1"/>
  <c r="AK6" i="13"/>
  <c r="AK7" i="13" s="1"/>
  <c r="AK8" i="13" s="1"/>
  <c r="AJ18" i="13"/>
  <c r="AJ24" i="13" s="1"/>
  <c r="CH8" i="13"/>
  <c r="CI5" i="13"/>
  <c r="CI25" i="13" s="1"/>
  <c r="CJ4" i="13"/>
  <c r="AL20" i="13" l="1"/>
  <c r="AM11" i="13"/>
  <c r="AM12" i="13" s="1"/>
  <c r="AK18" i="13"/>
  <c r="AK24" i="13" s="1"/>
  <c r="AL6" i="13"/>
  <c r="AL7" i="13" s="1"/>
  <c r="AL8" i="13" s="1"/>
  <c r="AK19" i="13"/>
  <c r="AL9" i="13"/>
  <c r="AL10" i="13" s="1"/>
  <c r="AJ22" i="13"/>
  <c r="AK15" i="13"/>
  <c r="AK16" i="13" s="1"/>
  <c r="AL26" i="13"/>
  <c r="AL27" i="13" s="1"/>
  <c r="AM3" i="13"/>
  <c r="AM23" i="13" s="1"/>
  <c r="AK21" i="13"/>
  <c r="AL13" i="13"/>
  <c r="AL14" i="13" s="1"/>
  <c r="CI8" i="13"/>
  <c r="CJ5" i="13"/>
  <c r="CJ25" i="13" s="1"/>
  <c r="CK4" i="13"/>
  <c r="AL21" i="13" l="1"/>
  <c r="AM13" i="13"/>
  <c r="AM14" i="13" s="1"/>
  <c r="AM6" i="13"/>
  <c r="AM7" i="13" s="1"/>
  <c r="AM8" i="13" s="1"/>
  <c r="AL18" i="13"/>
  <c r="AL24" i="13" s="1"/>
  <c r="AK22" i="13"/>
  <c r="AL15" i="13"/>
  <c r="AL16" i="13" s="1"/>
  <c r="AL19" i="13"/>
  <c r="AM9" i="13"/>
  <c r="AM10" i="13" s="1"/>
  <c r="AM20" i="13"/>
  <c r="AN11" i="13"/>
  <c r="AN12" i="13" s="1"/>
  <c r="AM26" i="13"/>
  <c r="AM27" i="13" s="1"/>
  <c r="AN3" i="13"/>
  <c r="AN23" i="13" s="1"/>
  <c r="CK5" i="13"/>
  <c r="CK25" i="13" s="1"/>
  <c r="CL4" i="13"/>
  <c r="CJ8" i="13"/>
  <c r="AM19" i="13" l="1"/>
  <c r="AN9" i="13"/>
  <c r="AN10" i="13" s="1"/>
  <c r="AL22" i="13"/>
  <c r="AM15" i="13"/>
  <c r="AM16" i="13" s="1"/>
  <c r="AN26" i="13"/>
  <c r="AN27" i="13" s="1"/>
  <c r="AO3" i="13"/>
  <c r="AO23" i="13" s="1"/>
  <c r="AN6" i="13"/>
  <c r="AN7" i="13" s="1"/>
  <c r="AN8" i="13" s="1"/>
  <c r="AM18" i="13"/>
  <c r="AM24" i="13" s="1"/>
  <c r="AN20" i="13"/>
  <c r="AO11" i="13"/>
  <c r="AO12" i="13" s="1"/>
  <c r="AM21" i="13"/>
  <c r="AN13" i="13"/>
  <c r="AN14" i="13" s="1"/>
  <c r="CL5" i="13"/>
  <c r="CL25" i="13" s="1"/>
  <c r="CM4" i="13"/>
  <c r="CK8" i="13"/>
  <c r="AO6" i="13" l="1"/>
  <c r="AO7" i="13" s="1"/>
  <c r="AO8" i="13" s="1"/>
  <c r="AN18" i="13"/>
  <c r="AN24" i="13" s="1"/>
  <c r="AP3" i="13"/>
  <c r="AP23" i="13" s="1"/>
  <c r="AO26" i="13"/>
  <c r="AO27" i="13" s="1"/>
  <c r="AN21" i="13"/>
  <c r="AO13" i="13"/>
  <c r="AO14" i="13" s="1"/>
  <c r="AM22" i="13"/>
  <c r="AN15" i="13"/>
  <c r="AN16" i="13" s="1"/>
  <c r="AO20" i="13"/>
  <c r="AP11" i="13"/>
  <c r="AP12" i="13" s="1"/>
  <c r="AN19" i="13"/>
  <c r="AO9" i="13"/>
  <c r="AO10" i="13" s="1"/>
  <c r="CN4" i="13"/>
  <c r="CM5" i="13"/>
  <c r="CM25" i="13" s="1"/>
  <c r="CL8" i="13"/>
  <c r="AO21" i="13" l="1"/>
  <c r="AP13" i="13"/>
  <c r="AP14" i="13" s="1"/>
  <c r="AO19" i="13"/>
  <c r="AP9" i="13"/>
  <c r="AP10" i="13" s="1"/>
  <c r="AP20" i="13"/>
  <c r="AQ11" i="13"/>
  <c r="AQ12" i="13" s="1"/>
  <c r="AQ3" i="13"/>
  <c r="AQ23" i="13" s="1"/>
  <c r="AP26" i="13"/>
  <c r="AP27" i="13" s="1"/>
  <c r="AN22" i="13"/>
  <c r="AO15" i="13"/>
  <c r="AO16" i="13" s="1"/>
  <c r="AO18" i="13"/>
  <c r="AO24" i="13" s="1"/>
  <c r="AP6" i="13"/>
  <c r="AP7" i="13" s="1"/>
  <c r="AP8" i="13" s="1"/>
  <c r="CM8" i="13"/>
  <c r="CO4" i="13"/>
  <c r="CN5" i="13"/>
  <c r="CN25" i="13" s="1"/>
  <c r="AR3" i="13" l="1"/>
  <c r="AR23" i="13" s="1"/>
  <c r="AQ26" i="13"/>
  <c r="AQ27" i="13" s="1"/>
  <c r="AQ20" i="13"/>
  <c r="AR11" i="13"/>
  <c r="AR12" i="13" s="1"/>
  <c r="AQ6" i="13"/>
  <c r="AQ7" i="13" s="1"/>
  <c r="AQ8" i="13" s="1"/>
  <c r="AP18" i="13"/>
  <c r="AP24" i="13" s="1"/>
  <c r="AP19" i="13"/>
  <c r="AQ9" i="13"/>
  <c r="AQ10" i="13" s="1"/>
  <c r="AO22" i="13"/>
  <c r="AP15" i="13"/>
  <c r="AP16" i="13" s="1"/>
  <c r="AP21" i="13"/>
  <c r="AQ13" i="13"/>
  <c r="AQ14" i="13" s="1"/>
  <c r="CP4" i="13"/>
  <c r="CO5" i="13"/>
  <c r="CO25" i="13" s="1"/>
  <c r="CN8" i="13"/>
  <c r="AQ18" i="13" l="1"/>
  <c r="AQ24" i="13" s="1"/>
  <c r="AR6" i="13"/>
  <c r="AR7" i="13" s="1"/>
  <c r="AR8" i="13" s="1"/>
  <c r="AQ21" i="13"/>
  <c r="AR13" i="13"/>
  <c r="AR14" i="13" s="1"/>
  <c r="AR20" i="13"/>
  <c r="AS11" i="13"/>
  <c r="AS12" i="13" s="1"/>
  <c r="AP22" i="13"/>
  <c r="AQ15" i="13"/>
  <c r="AQ16" i="13" s="1"/>
  <c r="AS3" i="13"/>
  <c r="AS23" i="13" s="1"/>
  <c r="AR26" i="13"/>
  <c r="AR27" i="13" s="1"/>
  <c r="AQ19" i="13"/>
  <c r="AR9" i="13"/>
  <c r="AR10" i="13" s="1"/>
  <c r="CO8" i="13"/>
  <c r="CP5" i="13"/>
  <c r="CP25" i="13" s="1"/>
  <c r="CQ4" i="13"/>
  <c r="AQ22" i="13" l="1"/>
  <c r="AR15" i="13"/>
  <c r="AR16" i="13" s="1"/>
  <c r="AS20" i="13"/>
  <c r="AT11" i="13"/>
  <c r="AT12" i="13" s="1"/>
  <c r="AR19" i="13"/>
  <c r="AS9" i="13"/>
  <c r="AS10" i="13" s="1"/>
  <c r="AR21" i="13"/>
  <c r="AS13" i="13"/>
  <c r="AS14" i="13" s="1"/>
  <c r="AS6" i="13"/>
  <c r="AS7" i="13" s="1"/>
  <c r="AS8" i="13" s="1"/>
  <c r="AR18" i="13"/>
  <c r="AR24" i="13" s="1"/>
  <c r="AS26" i="13"/>
  <c r="AS27" i="13" s="1"/>
  <c r="AT3" i="13"/>
  <c r="AT23" i="13" s="1"/>
  <c r="CQ5" i="13"/>
  <c r="CQ25" i="13" s="1"/>
  <c r="CR4" i="13"/>
  <c r="CP8" i="13"/>
  <c r="AS19" i="13" l="1"/>
  <c r="AT9" i="13"/>
  <c r="AT10" i="13" s="1"/>
  <c r="AT26" i="13"/>
  <c r="AT27" i="13" s="1"/>
  <c r="AU3" i="13"/>
  <c r="AU23" i="13" s="1"/>
  <c r="AS21" i="13"/>
  <c r="AT13" i="13"/>
  <c r="AT14" i="13" s="1"/>
  <c r="AT20" i="13"/>
  <c r="AU11" i="13"/>
  <c r="AU12" i="13" s="1"/>
  <c r="AR22" i="13"/>
  <c r="AS15" i="13"/>
  <c r="AS16" i="13" s="1"/>
  <c r="AS18" i="13"/>
  <c r="AS24" i="13" s="1"/>
  <c r="AT6" i="13"/>
  <c r="AT7" i="13" s="1"/>
  <c r="AT8" i="13" s="1"/>
  <c r="CR5" i="13"/>
  <c r="CR25" i="13" s="1"/>
  <c r="CS4" i="13"/>
  <c r="CQ8" i="13"/>
  <c r="AT21" i="13" l="1"/>
  <c r="AU13" i="13"/>
  <c r="AU14" i="13" s="1"/>
  <c r="AT18" i="13"/>
  <c r="AT24" i="13" s="1"/>
  <c r="AU6" i="13"/>
  <c r="AU7" i="13" s="1"/>
  <c r="AU8" i="13" s="1"/>
  <c r="AU26" i="13"/>
  <c r="AU27" i="13" s="1"/>
  <c r="AV3" i="13"/>
  <c r="AV23" i="13" s="1"/>
  <c r="AS22" i="13"/>
  <c r="AT15" i="13"/>
  <c r="AT16" i="13" s="1"/>
  <c r="AT19" i="13"/>
  <c r="AU9" i="13"/>
  <c r="AU10" i="13" s="1"/>
  <c r="AU20" i="13"/>
  <c r="AV11" i="13"/>
  <c r="AV12" i="13" s="1"/>
  <c r="CS5" i="13"/>
  <c r="CS25" i="13" s="1"/>
  <c r="CT4" i="13"/>
  <c r="CR8" i="13"/>
  <c r="AV26" i="13" l="1"/>
  <c r="AV27" i="13" s="1"/>
  <c r="AW3" i="13"/>
  <c r="AW23" i="13" s="1"/>
  <c r="AV20" i="13"/>
  <c r="AW11" i="13"/>
  <c r="AW12" i="13" s="1"/>
  <c r="AV6" i="13"/>
  <c r="AV7" i="13" s="1"/>
  <c r="AV8" i="13" s="1"/>
  <c r="AU18" i="13"/>
  <c r="AU24" i="13" s="1"/>
  <c r="AU19" i="13"/>
  <c r="AV9" i="13"/>
  <c r="AV10" i="13" s="1"/>
  <c r="AU21" i="13"/>
  <c r="AV13" i="13"/>
  <c r="AV14" i="13" s="1"/>
  <c r="AT22" i="13"/>
  <c r="AU15" i="13"/>
  <c r="AU16" i="13" s="1"/>
  <c r="CT5" i="13"/>
  <c r="CT25" i="13" s="1"/>
  <c r="CU4" i="13"/>
  <c r="CU5" i="13" s="1"/>
  <c r="CU25" i="13" s="1"/>
  <c r="CS8" i="13"/>
  <c r="AW6" i="13" l="1"/>
  <c r="AW7" i="13" s="1"/>
  <c r="AW8" i="13" s="1"/>
  <c r="AV18" i="13"/>
  <c r="AV24" i="13" s="1"/>
  <c r="AU22" i="13"/>
  <c r="AV15" i="13"/>
  <c r="AV16" i="13" s="1"/>
  <c r="AW20" i="13"/>
  <c r="AX11" i="13"/>
  <c r="AX12" i="13" s="1"/>
  <c r="AV21" i="13"/>
  <c r="AW13" i="13"/>
  <c r="AW14" i="13" s="1"/>
  <c r="AW26" i="13"/>
  <c r="AW27" i="13" s="1"/>
  <c r="AX3" i="13"/>
  <c r="AX23" i="13" s="1"/>
  <c r="AV19" i="13"/>
  <c r="AW9" i="13"/>
  <c r="AW10" i="13" s="1"/>
  <c r="CV4" i="13"/>
  <c r="CV5" i="13" s="1"/>
  <c r="CV25" i="13" s="1"/>
  <c r="CT8" i="13"/>
  <c r="AW21" i="13" l="1"/>
  <c r="AX13" i="13"/>
  <c r="AX14" i="13" s="1"/>
  <c r="AX20" i="13"/>
  <c r="AY11" i="13"/>
  <c r="AY12" i="13" s="1"/>
  <c r="AW19" i="13"/>
  <c r="AX9" i="13"/>
  <c r="AX10" i="13" s="1"/>
  <c r="AV22" i="13"/>
  <c r="AW15" i="13"/>
  <c r="AW16" i="13" s="1"/>
  <c r="AX26" i="13"/>
  <c r="AX27" i="13" s="1"/>
  <c r="AY3" i="13"/>
  <c r="AY23" i="13" s="1"/>
  <c r="AX6" i="13"/>
  <c r="AX7" i="13" s="1"/>
  <c r="AX8" i="13" s="1"/>
  <c r="AW18" i="13"/>
  <c r="AW24" i="13" s="1"/>
  <c r="CW4" i="13"/>
  <c r="CW5" i="13" s="1"/>
  <c r="CW25" i="13" s="1"/>
  <c r="CU8" i="13"/>
  <c r="AW22" i="13" l="1"/>
  <c r="AX15" i="13"/>
  <c r="AX16" i="13" s="1"/>
  <c r="AX19" i="13"/>
  <c r="AY9" i="13"/>
  <c r="AY10" i="13" s="1"/>
  <c r="AY6" i="13"/>
  <c r="AY7" i="13" s="1"/>
  <c r="AY8" i="13" s="1"/>
  <c r="AX18" i="13"/>
  <c r="AX24" i="13" s="1"/>
  <c r="AY20" i="13"/>
  <c r="AZ11" i="13"/>
  <c r="AZ12" i="13" s="1"/>
  <c r="AZ3" i="13"/>
  <c r="AZ23" i="13" s="1"/>
  <c r="AY26" i="13"/>
  <c r="AY27" i="13" s="1"/>
  <c r="AX21" i="13"/>
  <c r="AY13" i="13"/>
  <c r="AY14" i="13" s="1"/>
  <c r="CX4" i="13"/>
  <c r="CX5" i="13" s="1"/>
  <c r="CX25" i="13" s="1"/>
  <c r="CV8" i="13"/>
  <c r="AZ20" i="13" l="1"/>
  <c r="BA11" i="13"/>
  <c r="BA12" i="13" s="1"/>
  <c r="AY21" i="13"/>
  <c r="AZ13" i="13"/>
  <c r="AZ14" i="13" s="1"/>
  <c r="AZ6" i="13"/>
  <c r="AZ7" i="13" s="1"/>
  <c r="AZ8" i="13" s="1"/>
  <c r="AY18" i="13"/>
  <c r="AY24" i="13" s="1"/>
  <c r="AY19" i="13"/>
  <c r="AZ9" i="13"/>
  <c r="AZ10" i="13" s="1"/>
  <c r="AX22" i="13"/>
  <c r="AY15" i="13"/>
  <c r="AY16" i="13" s="1"/>
  <c r="BA3" i="13"/>
  <c r="BA23" i="13" s="1"/>
  <c r="AZ26" i="13"/>
  <c r="AZ27" i="13" s="1"/>
  <c r="CY4" i="13"/>
  <c r="CY5" i="13" s="1"/>
  <c r="CY25" i="13" s="1"/>
  <c r="CW8" i="13"/>
  <c r="AZ19" i="13" l="1"/>
  <c r="BA9" i="13"/>
  <c r="BA10" i="13" s="1"/>
  <c r="AZ18" i="13"/>
  <c r="AZ24" i="13" s="1"/>
  <c r="BA6" i="13"/>
  <c r="BA7" i="13" s="1"/>
  <c r="BA8" i="13" s="1"/>
  <c r="AZ21" i="13"/>
  <c r="BA13" i="13"/>
  <c r="BA14" i="13" s="1"/>
  <c r="BA26" i="13"/>
  <c r="BA27" i="13" s="1"/>
  <c r="BB3" i="13"/>
  <c r="BB23" i="13" s="1"/>
  <c r="BA20" i="13"/>
  <c r="BB11" i="13"/>
  <c r="BB12" i="13" s="1"/>
  <c r="AY22" i="13"/>
  <c r="AZ15" i="13"/>
  <c r="AZ16" i="13" s="1"/>
  <c r="CZ4" i="13"/>
  <c r="CZ5" i="13" s="1"/>
  <c r="CZ25" i="13" s="1"/>
  <c r="CX8" i="13"/>
  <c r="AZ22" i="13" l="1"/>
  <c r="BA15" i="13"/>
  <c r="BA16" i="13" s="1"/>
  <c r="BA21" i="13"/>
  <c r="BB13" i="13"/>
  <c r="BB14" i="13" s="1"/>
  <c r="BA18" i="13"/>
  <c r="BA24" i="13" s="1"/>
  <c r="BB6" i="13"/>
  <c r="BB7" i="13" s="1"/>
  <c r="BB20" i="13"/>
  <c r="BC11" i="13"/>
  <c r="BC12" i="13" s="1"/>
  <c r="BA19" i="13"/>
  <c r="BB9" i="13"/>
  <c r="BB10" i="13" s="1"/>
  <c r="BB26" i="13"/>
  <c r="BB27" i="13" s="1"/>
  <c r="BC3" i="13"/>
  <c r="BC23" i="13" s="1"/>
  <c r="DA4" i="13"/>
  <c r="DA5" i="13" s="1"/>
  <c r="DA25" i="13" s="1"/>
  <c r="CY8" i="13"/>
  <c r="D6" i="13" l="1"/>
  <c r="BB8" i="13"/>
  <c r="BC20" i="13"/>
  <c r="BD11" i="13"/>
  <c r="BD12" i="13" s="1"/>
  <c r="BB18" i="13"/>
  <c r="BB24" i="13" s="1"/>
  <c r="BC6" i="13"/>
  <c r="BC7" i="13" s="1"/>
  <c r="BC8" i="13" s="1"/>
  <c r="BC26" i="13"/>
  <c r="BC27" i="13" s="1"/>
  <c r="BD3" i="13"/>
  <c r="BD23" i="13" s="1"/>
  <c r="BB21" i="13"/>
  <c r="BC13" i="13"/>
  <c r="BC14" i="13" s="1"/>
  <c r="BA22" i="13"/>
  <c r="BB15" i="13"/>
  <c r="BB16" i="13" s="1"/>
  <c r="BB19" i="13"/>
  <c r="BC9" i="13"/>
  <c r="BC10" i="13" s="1"/>
  <c r="DB4" i="13"/>
  <c r="DB5" i="13" s="1"/>
  <c r="DB25" i="13" s="1"/>
  <c r="CZ8" i="13"/>
  <c r="BC19" i="13" l="1"/>
  <c r="BD9" i="13"/>
  <c r="BD10" i="13" s="1"/>
  <c r="BC18" i="13"/>
  <c r="BC24" i="13" s="1"/>
  <c r="BD6" i="13"/>
  <c r="BD7" i="13" s="1"/>
  <c r="BD8" i="13" s="1"/>
  <c r="BD26" i="13"/>
  <c r="BD27" i="13" s="1"/>
  <c r="BE3" i="13"/>
  <c r="BE23" i="13" s="1"/>
  <c r="BD20" i="13"/>
  <c r="BE11" i="13"/>
  <c r="BE12" i="13" s="1"/>
  <c r="BB22" i="13"/>
  <c r="BC15" i="13"/>
  <c r="BC16" i="13" s="1"/>
  <c r="BC21" i="13"/>
  <c r="BD13" i="13"/>
  <c r="BD14" i="13" s="1"/>
  <c r="DC4" i="13"/>
  <c r="DA8" i="13"/>
  <c r="BE26" i="13" l="1"/>
  <c r="BE27" i="13" s="1"/>
  <c r="BF3" i="13"/>
  <c r="BF23" i="13" s="1"/>
  <c r="BD18" i="13"/>
  <c r="BD24" i="13" s="1"/>
  <c r="BE6" i="13"/>
  <c r="BE7" i="13" s="1"/>
  <c r="BE8" i="13" s="1"/>
  <c r="BC22" i="13"/>
  <c r="BD15" i="13"/>
  <c r="BD16" i="13" s="1"/>
  <c r="BE9" i="13"/>
  <c r="BE10" i="13" s="1"/>
  <c r="BD19" i="13"/>
  <c r="BD21" i="13"/>
  <c r="BE13" i="13"/>
  <c r="BE14" i="13" s="1"/>
  <c r="BF11" i="13"/>
  <c r="BF12" i="13" s="1"/>
  <c r="BE20" i="13"/>
  <c r="DD4" i="13"/>
  <c r="DC5" i="13"/>
  <c r="DC25" i="13" s="1"/>
  <c r="DB8" i="13"/>
  <c r="BD22" i="13" l="1"/>
  <c r="BE15" i="13"/>
  <c r="BE16" i="13" s="1"/>
  <c r="BE18" i="13"/>
  <c r="BE24" i="13" s="1"/>
  <c r="BF6" i="13"/>
  <c r="BF7" i="13" s="1"/>
  <c r="BF8" i="13" s="1"/>
  <c r="BF20" i="13"/>
  <c r="BG11" i="13"/>
  <c r="BG12" i="13" s="1"/>
  <c r="BE21" i="13"/>
  <c r="BF13" i="13"/>
  <c r="BF14" i="13" s="1"/>
  <c r="BG3" i="13"/>
  <c r="BG23" i="13" s="1"/>
  <c r="BF26" i="13"/>
  <c r="BF27" i="13" s="1"/>
  <c r="BE19" i="13"/>
  <c r="BF9" i="13"/>
  <c r="BF10" i="13" s="1"/>
  <c r="DC8" i="13"/>
  <c r="DD5" i="13"/>
  <c r="DD25" i="13" s="1"/>
  <c r="DE4" i="13"/>
  <c r="BF21" i="13" l="1"/>
  <c r="BG13" i="13"/>
  <c r="BG14" i="13" s="1"/>
  <c r="BH11" i="13"/>
  <c r="BH12" i="13" s="1"/>
  <c r="BG20" i="13"/>
  <c r="BG6" i="13"/>
  <c r="BG7" i="13" s="1"/>
  <c r="BG8" i="13" s="1"/>
  <c r="BF18" i="13"/>
  <c r="BF24" i="13" s="1"/>
  <c r="BF19" i="13"/>
  <c r="BG9" i="13"/>
  <c r="BG10" i="13" s="1"/>
  <c r="BH3" i="13"/>
  <c r="BH23" i="13" s="1"/>
  <c r="BG26" i="13"/>
  <c r="BG27" i="13" s="1"/>
  <c r="BE22" i="13"/>
  <c r="BF15" i="13"/>
  <c r="BF16" i="13" s="1"/>
  <c r="DD8" i="13"/>
  <c r="DE5" i="13"/>
  <c r="DE25" i="13" s="1"/>
  <c r="DF4" i="13"/>
  <c r="BF22" i="13" l="1"/>
  <c r="BG15" i="13"/>
  <c r="BG16" i="13" s="1"/>
  <c r="BH6" i="13"/>
  <c r="BH7" i="13" s="1"/>
  <c r="BH8" i="13" s="1"/>
  <c r="BG18" i="13"/>
  <c r="BG24" i="13" s="1"/>
  <c r="BG19" i="13"/>
  <c r="BH9" i="13"/>
  <c r="BH10" i="13" s="1"/>
  <c r="BI11" i="13"/>
  <c r="BI12" i="13" s="1"/>
  <c r="BH20" i="13"/>
  <c r="BI3" i="13"/>
  <c r="BI23" i="13" s="1"/>
  <c r="BH26" i="13"/>
  <c r="BH27" i="13" s="1"/>
  <c r="BH13" i="13"/>
  <c r="BH14" i="13" s="1"/>
  <c r="BG21" i="13"/>
  <c r="DE8" i="13"/>
  <c r="DF5" i="13"/>
  <c r="DF25" i="13" s="1"/>
  <c r="DG4" i="13"/>
  <c r="BJ11" i="13" l="1"/>
  <c r="BJ12" i="13" s="1"/>
  <c r="BI20" i="13"/>
  <c r="BI9" i="13"/>
  <c r="BI10" i="13" s="1"/>
  <c r="BH19" i="13"/>
  <c r="BI6" i="13"/>
  <c r="BI7" i="13" s="1"/>
  <c r="BI8" i="13" s="1"/>
  <c r="BH18" i="13"/>
  <c r="BH24" i="13" s="1"/>
  <c r="BI13" i="13"/>
  <c r="BI14" i="13" s="1"/>
  <c r="BH21" i="13"/>
  <c r="BJ3" i="13"/>
  <c r="BJ23" i="13" s="1"/>
  <c r="BI26" i="13"/>
  <c r="BI27" i="13" s="1"/>
  <c r="BG22" i="13"/>
  <c r="BH15" i="13"/>
  <c r="BH16" i="13" s="1"/>
  <c r="DF8" i="13"/>
  <c r="DG5" i="13"/>
  <c r="DG25" i="13" s="1"/>
  <c r="DH4" i="13"/>
  <c r="BH22" i="13" l="1"/>
  <c r="BI15" i="13"/>
  <c r="BI16" i="13" s="1"/>
  <c r="BI18" i="13"/>
  <c r="BI24" i="13" s="1"/>
  <c r="BJ6" i="13"/>
  <c r="BJ7" i="13" s="1"/>
  <c r="BJ8" i="13" s="1"/>
  <c r="BI21" i="13"/>
  <c r="BJ13" i="13"/>
  <c r="BJ14" i="13" s="1"/>
  <c r="BI19" i="13"/>
  <c r="BJ9" i="13"/>
  <c r="BJ10" i="13" s="1"/>
  <c r="BK3" i="13"/>
  <c r="BK23" i="13" s="1"/>
  <c r="BJ26" i="13"/>
  <c r="BJ27" i="13" s="1"/>
  <c r="BJ20" i="13"/>
  <c r="BK11" i="13"/>
  <c r="BK12" i="13" s="1"/>
  <c r="DG8" i="13"/>
  <c r="DH5" i="13"/>
  <c r="DH25" i="13" s="1"/>
  <c r="DI4" i="13"/>
  <c r="BJ19" i="13" l="1"/>
  <c r="BK9" i="13"/>
  <c r="BK10" i="13" s="1"/>
  <c r="BK13" i="13"/>
  <c r="BK14" i="13" s="1"/>
  <c r="BJ21" i="13"/>
  <c r="BK20" i="13"/>
  <c r="BL11" i="13"/>
  <c r="BL12" i="13" s="1"/>
  <c r="BK6" i="13"/>
  <c r="BK7" i="13" s="1"/>
  <c r="BK8" i="13" s="1"/>
  <c r="BJ18" i="13"/>
  <c r="BJ24" i="13" s="1"/>
  <c r="BL3" i="13"/>
  <c r="BL23" i="13" s="1"/>
  <c r="BK26" i="13"/>
  <c r="BK27" i="13" s="1"/>
  <c r="BI22" i="13"/>
  <c r="BJ15" i="13"/>
  <c r="BJ16" i="13" s="1"/>
  <c r="DH8" i="13"/>
  <c r="DI5" i="13"/>
  <c r="DI25" i="13" s="1"/>
  <c r="DJ4" i="13"/>
  <c r="BJ22" i="13" l="1"/>
  <c r="BK15" i="13"/>
  <c r="BK16" i="13" s="1"/>
  <c r="BL20" i="13"/>
  <c r="BM11" i="13"/>
  <c r="BM12" i="13" s="1"/>
  <c r="BL6" i="13"/>
  <c r="BL7" i="13" s="1"/>
  <c r="BK18" i="13"/>
  <c r="BK24" i="13" s="1"/>
  <c r="BK21" i="13"/>
  <c r="BL13" i="13"/>
  <c r="BL14" i="13" s="1"/>
  <c r="BM3" i="13"/>
  <c r="BM23" i="13" s="1"/>
  <c r="BL26" i="13"/>
  <c r="BL27" i="13" s="1"/>
  <c r="BK19" i="13"/>
  <c r="BL9" i="13"/>
  <c r="BL10" i="13" s="1"/>
  <c r="DI8" i="13"/>
  <c r="DJ5" i="13"/>
  <c r="DJ25" i="13" s="1"/>
  <c r="DK4" i="13"/>
  <c r="BL21" i="13" l="1"/>
  <c r="BM13" i="13"/>
  <c r="BM14" i="13" s="1"/>
  <c r="BM6" i="13"/>
  <c r="BM7" i="13" s="1"/>
  <c r="BL18" i="13"/>
  <c r="BM20" i="13"/>
  <c r="BN11" i="13"/>
  <c r="BN12" i="13" s="1"/>
  <c r="BL19" i="13"/>
  <c r="BM9" i="13"/>
  <c r="BM10" i="13" s="1"/>
  <c r="BK22" i="13"/>
  <c r="BL15" i="13"/>
  <c r="BL16" i="13" s="1"/>
  <c r="BN3" i="13"/>
  <c r="BN23" i="13" s="1"/>
  <c r="BM26" i="13"/>
  <c r="BM27" i="13" s="1"/>
  <c r="DJ8" i="13"/>
  <c r="DK5" i="13"/>
  <c r="DK25" i="13" s="1"/>
  <c r="DL4" i="13"/>
  <c r="BL24" i="13" l="1"/>
  <c r="BN9" i="13"/>
  <c r="BN10" i="13" s="1"/>
  <c r="BM19" i="13"/>
  <c r="BN20" i="13"/>
  <c r="BO11" i="13"/>
  <c r="BO12" i="13" s="1"/>
  <c r="BO3" i="13"/>
  <c r="BO23" i="13" s="1"/>
  <c r="BN26" i="13"/>
  <c r="BN27" i="13" s="1"/>
  <c r="BN6" i="13"/>
  <c r="BN7" i="13" s="1"/>
  <c r="BM18" i="13"/>
  <c r="BM24" i="13" s="1"/>
  <c r="BL22" i="13"/>
  <c r="BM15" i="13"/>
  <c r="BM16" i="13" s="1"/>
  <c r="BM21" i="13"/>
  <c r="BN13" i="13"/>
  <c r="BN14" i="13" s="1"/>
  <c r="DK8" i="13"/>
  <c r="DL5" i="13"/>
  <c r="DL25" i="13" s="1"/>
  <c r="DM4" i="13"/>
  <c r="BN21" i="13" l="1"/>
  <c r="BO13" i="13"/>
  <c r="BO14" i="13" s="1"/>
  <c r="BP3" i="13"/>
  <c r="BP23" i="13" s="1"/>
  <c r="BO26" i="13"/>
  <c r="BO27" i="13" s="1"/>
  <c r="BO20" i="13"/>
  <c r="BP11" i="13"/>
  <c r="BP12" i="13" s="1"/>
  <c r="BM22" i="13"/>
  <c r="BN15" i="13"/>
  <c r="BN16" i="13" s="1"/>
  <c r="BN18" i="13"/>
  <c r="BN24" i="13" s="1"/>
  <c r="BO6" i="13"/>
  <c r="BO7" i="13" s="1"/>
  <c r="BN19" i="13"/>
  <c r="BO9" i="13"/>
  <c r="BO10" i="13" s="1"/>
  <c r="DL8" i="13"/>
  <c r="DM5" i="13"/>
  <c r="DM25" i="13" s="1"/>
  <c r="DN4" i="13"/>
  <c r="BQ11" i="13" l="1"/>
  <c r="BQ12" i="13" s="1"/>
  <c r="BP20" i="13"/>
  <c r="BP9" i="13"/>
  <c r="BP10" i="13" s="1"/>
  <c r="BO19" i="13"/>
  <c r="BO18" i="13"/>
  <c r="BO24" i="13" s="1"/>
  <c r="BP6" i="13"/>
  <c r="BP7" i="13" s="1"/>
  <c r="BQ3" i="13"/>
  <c r="BQ23" i="13" s="1"/>
  <c r="BP26" i="13"/>
  <c r="BP27" i="13" s="1"/>
  <c r="BO21" i="13"/>
  <c r="BP13" i="13"/>
  <c r="BP14" i="13" s="1"/>
  <c r="BN22" i="13"/>
  <c r="BO15" i="13"/>
  <c r="BO16" i="13" s="1"/>
  <c r="DM8" i="13"/>
  <c r="DN5" i="13"/>
  <c r="DN25" i="13" s="1"/>
  <c r="DO4" i="13"/>
  <c r="BR3" i="13" l="1"/>
  <c r="BR23" i="13" s="1"/>
  <c r="BQ26" i="13"/>
  <c r="BQ27" i="13" s="1"/>
  <c r="BQ6" i="13"/>
  <c r="BQ7" i="13" s="1"/>
  <c r="BP18" i="13"/>
  <c r="BP24" i="13" s="1"/>
  <c r="BO22" i="13"/>
  <c r="BP15" i="13"/>
  <c r="BP16" i="13" s="1"/>
  <c r="BQ13" i="13"/>
  <c r="BQ14" i="13" s="1"/>
  <c r="BP21" i="13"/>
  <c r="BQ9" i="13"/>
  <c r="BQ10" i="13" s="1"/>
  <c r="BP19" i="13"/>
  <c r="BR11" i="13"/>
  <c r="BR12" i="13" s="1"/>
  <c r="BQ20" i="13"/>
  <c r="DN8" i="13"/>
  <c r="DO5" i="13"/>
  <c r="DO25" i="13" s="1"/>
  <c r="DP4" i="13"/>
  <c r="BQ21" i="13" l="1"/>
  <c r="BR13" i="13"/>
  <c r="BR14" i="13" s="1"/>
  <c r="BP22" i="13"/>
  <c r="BQ15" i="13"/>
  <c r="BQ16" i="13" s="1"/>
  <c r="BQ18" i="13"/>
  <c r="BQ24" i="13" s="1"/>
  <c r="BR6" i="13"/>
  <c r="BR7" i="13" s="1"/>
  <c r="BS11" i="13"/>
  <c r="BS12" i="13" s="1"/>
  <c r="BR20" i="13"/>
  <c r="BQ19" i="13"/>
  <c r="BR9" i="13"/>
  <c r="BR10" i="13" s="1"/>
  <c r="BS3" i="13"/>
  <c r="BS23" i="13" s="1"/>
  <c r="BR26" i="13"/>
  <c r="BR27" i="13" s="1"/>
  <c r="DO8" i="13"/>
  <c r="DP5" i="13"/>
  <c r="DP25" i="13" s="1"/>
  <c r="DQ4" i="13"/>
  <c r="BS20" i="13" l="1"/>
  <c r="BT11" i="13"/>
  <c r="BT12" i="13" s="1"/>
  <c r="BR18" i="13"/>
  <c r="BR24" i="13" s="1"/>
  <c r="BS6" i="13"/>
  <c r="BS7" i="13" s="1"/>
  <c r="BT3" i="13"/>
  <c r="BT23" i="13" s="1"/>
  <c r="BS26" i="13"/>
  <c r="BS27" i="13" s="1"/>
  <c r="BQ22" i="13"/>
  <c r="BR15" i="13"/>
  <c r="BR16" i="13" s="1"/>
  <c r="BR21" i="13"/>
  <c r="BS13" i="13"/>
  <c r="BS14" i="13" s="1"/>
  <c r="BR19" i="13"/>
  <c r="BS9" i="13"/>
  <c r="BS10" i="13" s="1"/>
  <c r="DP8" i="13"/>
  <c r="DQ5" i="13"/>
  <c r="DQ25" i="13" s="1"/>
  <c r="DR4" i="13"/>
  <c r="BT26" i="13" l="1"/>
  <c r="BT27" i="13" s="1"/>
  <c r="BU3" i="13"/>
  <c r="BU23" i="13" s="1"/>
  <c r="BS19" i="13"/>
  <c r="BT9" i="13"/>
  <c r="BT10" i="13" s="1"/>
  <c r="BS18" i="13"/>
  <c r="BS24" i="13" s="1"/>
  <c r="BT6" i="13"/>
  <c r="BT7" i="13" s="1"/>
  <c r="BT13" i="13"/>
  <c r="BT14" i="13" s="1"/>
  <c r="BS21" i="13"/>
  <c r="BU11" i="13"/>
  <c r="BU12" i="13" s="1"/>
  <c r="BT20" i="13"/>
  <c r="BS15" i="13"/>
  <c r="BS16" i="13" s="1"/>
  <c r="BR22" i="13"/>
  <c r="DQ8" i="13"/>
  <c r="DR5" i="13"/>
  <c r="DR25" i="13" s="1"/>
  <c r="DS4" i="13"/>
  <c r="BU6" i="13" l="1"/>
  <c r="BU7" i="13" s="1"/>
  <c r="BT18" i="13"/>
  <c r="BT24" i="13" s="1"/>
  <c r="BU13" i="13"/>
  <c r="BU14" i="13" s="1"/>
  <c r="BT21" i="13"/>
  <c r="BT19" i="13"/>
  <c r="BU9" i="13"/>
  <c r="BU10" i="13" s="1"/>
  <c r="BT15" i="13"/>
  <c r="BT16" i="13" s="1"/>
  <c r="BS22" i="13"/>
  <c r="BV3" i="13"/>
  <c r="BV23" i="13" s="1"/>
  <c r="BU26" i="13"/>
  <c r="BU27" i="13" s="1"/>
  <c r="BV11" i="13"/>
  <c r="BV12" i="13" s="1"/>
  <c r="BU20" i="13"/>
  <c r="DR8" i="13"/>
  <c r="DS5" i="13"/>
  <c r="DS25" i="13" s="1"/>
  <c r="DT4" i="13"/>
  <c r="BU15" i="13" l="1"/>
  <c r="BU16" i="13" s="1"/>
  <c r="BT22" i="13"/>
  <c r="BU19" i="13"/>
  <c r="BV9" i="13"/>
  <c r="BV10" i="13" s="1"/>
  <c r="BW11" i="13"/>
  <c r="BW12" i="13" s="1"/>
  <c r="BV20" i="13"/>
  <c r="BV13" i="13"/>
  <c r="BV14" i="13" s="1"/>
  <c r="BU21" i="13"/>
  <c r="BW3" i="13"/>
  <c r="BW23" i="13" s="1"/>
  <c r="BV26" i="13"/>
  <c r="BV27" i="13" s="1"/>
  <c r="BU18" i="13"/>
  <c r="BU24" i="13" s="1"/>
  <c r="BV6" i="13"/>
  <c r="BV7" i="13" s="1"/>
  <c r="DS8" i="13"/>
  <c r="DT5" i="13"/>
  <c r="DT25" i="13" s="1"/>
  <c r="DU4" i="13"/>
  <c r="BW20" i="13" l="1"/>
  <c r="BX11" i="13"/>
  <c r="BX12" i="13" s="1"/>
  <c r="BV19" i="13"/>
  <c r="BW9" i="13"/>
  <c r="BW10" i="13" s="1"/>
  <c r="BV21" i="13"/>
  <c r="BW13" i="13"/>
  <c r="BW14" i="13" s="1"/>
  <c r="BV18" i="13"/>
  <c r="BV24" i="13" s="1"/>
  <c r="BW6" i="13"/>
  <c r="BW7" i="13" s="1"/>
  <c r="BX3" i="13"/>
  <c r="BX23" i="13" s="1"/>
  <c r="BW26" i="13"/>
  <c r="BW27" i="13" s="1"/>
  <c r="BU22" i="13"/>
  <c r="BV15" i="13"/>
  <c r="BV16" i="13" s="1"/>
  <c r="DT8" i="13"/>
  <c r="DU5" i="13"/>
  <c r="DU25" i="13" s="1"/>
  <c r="DV4" i="13"/>
  <c r="BW21" i="13" l="1"/>
  <c r="BX13" i="13"/>
  <c r="BX14" i="13" s="1"/>
  <c r="BV22" i="13"/>
  <c r="BW15" i="13"/>
  <c r="BW16" i="13" s="1"/>
  <c r="BW19" i="13"/>
  <c r="BX9" i="13"/>
  <c r="BX10" i="13" s="1"/>
  <c r="BX6" i="13"/>
  <c r="BX7" i="13" s="1"/>
  <c r="BW18" i="13"/>
  <c r="BW24" i="13" s="1"/>
  <c r="BX20" i="13"/>
  <c r="BY11" i="13"/>
  <c r="BY12" i="13" s="1"/>
  <c r="BY3" i="13"/>
  <c r="BY23" i="13" s="1"/>
  <c r="BX26" i="13"/>
  <c r="BX27" i="13" s="1"/>
  <c r="DU8" i="13"/>
  <c r="DV5" i="13"/>
  <c r="DV25" i="13" s="1"/>
  <c r="DW4" i="13"/>
  <c r="BX18" i="13" l="1"/>
  <c r="BX24" i="13" s="1"/>
  <c r="BY6" i="13"/>
  <c r="BY7" i="13" s="1"/>
  <c r="BY9" i="13"/>
  <c r="BY10" i="13" s="1"/>
  <c r="BX19" i="13"/>
  <c r="BZ3" i="13"/>
  <c r="BZ23" i="13" s="1"/>
  <c r="BY26" i="13"/>
  <c r="BY27" i="13" s="1"/>
  <c r="BX15" i="13"/>
  <c r="BX16" i="13" s="1"/>
  <c r="BW22" i="13"/>
  <c r="BY13" i="13"/>
  <c r="BY14" i="13" s="1"/>
  <c r="BX21" i="13"/>
  <c r="BY20" i="13"/>
  <c r="BZ11" i="13"/>
  <c r="BZ12" i="13" s="1"/>
  <c r="DV8" i="13"/>
  <c r="DW5" i="13"/>
  <c r="DW25" i="13" s="1"/>
  <c r="DX4" i="13"/>
  <c r="BY15" i="13" l="1"/>
  <c r="BY16" i="13" s="1"/>
  <c r="BX22" i="13"/>
  <c r="CA3" i="13"/>
  <c r="CA23" i="13" s="1"/>
  <c r="BZ26" i="13"/>
  <c r="BZ27" i="13" s="1"/>
  <c r="CA11" i="13"/>
  <c r="CA12" i="13" s="1"/>
  <c r="BZ20" i="13"/>
  <c r="BZ9" i="13"/>
  <c r="BZ10" i="13" s="1"/>
  <c r="BY19" i="13"/>
  <c r="BZ13" i="13"/>
  <c r="BZ14" i="13" s="1"/>
  <c r="BY21" i="13"/>
  <c r="BY18" i="13"/>
  <c r="BY24" i="13" s="1"/>
  <c r="BZ6" i="13"/>
  <c r="BZ7" i="13" s="1"/>
  <c r="DW8" i="13"/>
  <c r="DX5" i="13"/>
  <c r="DX25" i="13" s="1"/>
  <c r="DY4" i="13"/>
  <c r="CA9" i="13" l="1"/>
  <c r="CA10" i="13" s="1"/>
  <c r="BZ19" i="13"/>
  <c r="CB11" i="13"/>
  <c r="CB12" i="13" s="1"/>
  <c r="CA20" i="13"/>
  <c r="CA6" i="13"/>
  <c r="CA7" i="13" s="1"/>
  <c r="BZ18" i="13"/>
  <c r="BZ24" i="13" s="1"/>
  <c r="CB3" i="13"/>
  <c r="CB23" i="13" s="1"/>
  <c r="CA26" i="13"/>
  <c r="CA27" i="13" s="1"/>
  <c r="CA13" i="13"/>
  <c r="CA14" i="13" s="1"/>
  <c r="BZ21" i="13"/>
  <c r="BZ15" i="13"/>
  <c r="BZ16" i="13" s="1"/>
  <c r="BY22" i="13"/>
  <c r="DX8" i="13"/>
  <c r="DY5" i="13"/>
  <c r="DY25" i="13" s="1"/>
  <c r="DZ4" i="13"/>
  <c r="CC3" i="13" l="1"/>
  <c r="CC23" i="13" s="1"/>
  <c r="CB26" i="13"/>
  <c r="CB27" i="13" s="1"/>
  <c r="CB6" i="13"/>
  <c r="CB7" i="13" s="1"/>
  <c r="CA18" i="13"/>
  <c r="CA24" i="13" s="1"/>
  <c r="BZ22" i="13"/>
  <c r="CA15" i="13"/>
  <c r="CA16" i="13" s="1"/>
  <c r="CB20" i="13"/>
  <c r="CC11" i="13"/>
  <c r="CC12" i="13" s="1"/>
  <c r="CB13" i="13"/>
  <c r="CB14" i="13" s="1"/>
  <c r="CA21" i="13"/>
  <c r="CB9" i="13"/>
  <c r="CB10" i="13" s="1"/>
  <c r="CA19" i="13"/>
  <c r="DY8" i="13"/>
  <c r="DZ5" i="13"/>
  <c r="DZ25" i="13" s="1"/>
  <c r="EA4" i="13"/>
  <c r="CA22" i="13" l="1"/>
  <c r="CB15" i="13"/>
  <c r="CB16" i="13" s="1"/>
  <c r="CC9" i="13"/>
  <c r="CC10" i="13" s="1"/>
  <c r="CB19" i="13"/>
  <c r="CB18" i="13"/>
  <c r="CB24" i="13" s="1"/>
  <c r="CC6" i="13"/>
  <c r="CC7" i="13" s="1"/>
  <c r="CB21" i="13"/>
  <c r="CC13" i="13"/>
  <c r="CC14" i="13" s="1"/>
  <c r="CC26" i="13"/>
  <c r="CC27" i="13" s="1"/>
  <c r="CD3" i="13"/>
  <c r="CD23" i="13" s="1"/>
  <c r="CD11" i="13"/>
  <c r="CD12" i="13" s="1"/>
  <c r="CC20" i="13"/>
  <c r="DZ8" i="13"/>
  <c r="EA5" i="13"/>
  <c r="EA25" i="13" s="1"/>
  <c r="EB4" i="13"/>
  <c r="CD13" i="13" l="1"/>
  <c r="CD14" i="13" s="1"/>
  <c r="CC21" i="13"/>
  <c r="CC18" i="13"/>
  <c r="CC24" i="13" s="1"/>
  <c r="CD6" i="13"/>
  <c r="CD7" i="13" s="1"/>
  <c r="CE11" i="13"/>
  <c r="CE12" i="13" s="1"/>
  <c r="CD20" i="13"/>
  <c r="CE3" i="13"/>
  <c r="CE23" i="13" s="1"/>
  <c r="CD26" i="13"/>
  <c r="CD27" i="13" s="1"/>
  <c r="CC19" i="13"/>
  <c r="CD9" i="13"/>
  <c r="CD10" i="13" s="1"/>
  <c r="CB22" i="13"/>
  <c r="CC15" i="13"/>
  <c r="CC16" i="13" s="1"/>
  <c r="EA8" i="13"/>
  <c r="EB5" i="13"/>
  <c r="EB25" i="13" s="1"/>
  <c r="EC4" i="13"/>
  <c r="CE26" i="13" l="1"/>
  <c r="CE27" i="13" s="1"/>
  <c r="CF3" i="13"/>
  <c r="CF23" i="13" s="1"/>
  <c r="CC22" i="13"/>
  <c r="CD15" i="13"/>
  <c r="CD16" i="13" s="1"/>
  <c r="CF11" i="13"/>
  <c r="CF12" i="13" s="1"/>
  <c r="CE20" i="13"/>
  <c r="CE6" i="13"/>
  <c r="CE7" i="13" s="1"/>
  <c r="CD18" i="13"/>
  <c r="CD24" i="13" s="1"/>
  <c r="CD19" i="13"/>
  <c r="CE9" i="13"/>
  <c r="CE10" i="13" s="1"/>
  <c r="CD21" i="13"/>
  <c r="CE13" i="13"/>
  <c r="CE14" i="13" s="1"/>
  <c r="EB8" i="13"/>
  <c r="EC5" i="13"/>
  <c r="EC25" i="13" s="1"/>
  <c r="ED4" i="13"/>
  <c r="CE18" i="13" l="1"/>
  <c r="CE24" i="13" s="1"/>
  <c r="CF6" i="13"/>
  <c r="CF7" i="13" s="1"/>
  <c r="CG11" i="13"/>
  <c r="CG12" i="13" s="1"/>
  <c r="CF20" i="13"/>
  <c r="CE21" i="13"/>
  <c r="CF13" i="13"/>
  <c r="CF14" i="13" s="1"/>
  <c r="CE15" i="13"/>
  <c r="CE16" i="13" s="1"/>
  <c r="CD22" i="13"/>
  <c r="CE19" i="13"/>
  <c r="CF9" i="13"/>
  <c r="CF10" i="13" s="1"/>
  <c r="CF26" i="13"/>
  <c r="CF27" i="13" s="1"/>
  <c r="CG3" i="13"/>
  <c r="CG23" i="13" s="1"/>
  <c r="EC8" i="13"/>
  <c r="ED5" i="13"/>
  <c r="ED25" i="13" s="1"/>
  <c r="EE4" i="13"/>
  <c r="CF15" i="13" l="1"/>
  <c r="CF16" i="13" s="1"/>
  <c r="CE22" i="13"/>
  <c r="CG13" i="13"/>
  <c r="CG14" i="13" s="1"/>
  <c r="CF21" i="13"/>
  <c r="CG26" i="13"/>
  <c r="CG27" i="13" s="1"/>
  <c r="CH3" i="13"/>
  <c r="CH23" i="13" s="1"/>
  <c r="CH11" i="13"/>
  <c r="CH12" i="13" s="1"/>
  <c r="CG20" i="13"/>
  <c r="CF19" i="13"/>
  <c r="CG9" i="13"/>
  <c r="CG10" i="13" s="1"/>
  <c r="CF18" i="13"/>
  <c r="CF24" i="13" s="1"/>
  <c r="CG6" i="13"/>
  <c r="CG7" i="13" s="1"/>
  <c r="ED8" i="13"/>
  <c r="EE5" i="13"/>
  <c r="EE25" i="13" s="1"/>
  <c r="EF4" i="13"/>
  <c r="CI11" i="13" l="1"/>
  <c r="CI12" i="13" s="1"/>
  <c r="CH20" i="13"/>
  <c r="CH26" i="13"/>
  <c r="CH27" i="13" s="1"/>
  <c r="CI3" i="13"/>
  <c r="CI23" i="13" s="1"/>
  <c r="CH6" i="13"/>
  <c r="CH7" i="13" s="1"/>
  <c r="CG18" i="13"/>
  <c r="CG24" i="13" s="1"/>
  <c r="CG19" i="13"/>
  <c r="CH9" i="13"/>
  <c r="CH10" i="13" s="1"/>
  <c r="CG21" i="13"/>
  <c r="CH13" i="13"/>
  <c r="CH14" i="13" s="1"/>
  <c r="CG15" i="13"/>
  <c r="CG16" i="13" s="1"/>
  <c r="CF22" i="13"/>
  <c r="EE8" i="13"/>
  <c r="EF5" i="13"/>
  <c r="EF25" i="13" s="1"/>
  <c r="EG4" i="13"/>
  <c r="CJ3" i="13" l="1"/>
  <c r="CJ23" i="13" s="1"/>
  <c r="CI26" i="13"/>
  <c r="CI27" i="13" s="1"/>
  <c r="CI13" i="13"/>
  <c r="CI14" i="13" s="1"/>
  <c r="CH21" i="13"/>
  <c r="CI6" i="13"/>
  <c r="CI7" i="13" s="1"/>
  <c r="CH18" i="13"/>
  <c r="CH24" i="13" s="1"/>
  <c r="CH15" i="13"/>
  <c r="CH16" i="13" s="1"/>
  <c r="CG22" i="13"/>
  <c r="CH19" i="13"/>
  <c r="CI9" i="13"/>
  <c r="CI10" i="13" s="1"/>
  <c r="CI20" i="13"/>
  <c r="CJ11" i="13"/>
  <c r="CJ12" i="13" s="1"/>
  <c r="EF8" i="13"/>
  <c r="EG5" i="13"/>
  <c r="EG25" i="13" s="1"/>
  <c r="EH4" i="13"/>
  <c r="CI15" i="13" l="1"/>
  <c r="CI16" i="13" s="1"/>
  <c r="CH22" i="13"/>
  <c r="CJ6" i="13"/>
  <c r="CJ7" i="13" s="1"/>
  <c r="CI18" i="13"/>
  <c r="CI24" i="13" s="1"/>
  <c r="CK11" i="13"/>
  <c r="CK12" i="13" s="1"/>
  <c r="CJ20" i="13"/>
  <c r="CI21" i="13"/>
  <c r="CJ13" i="13"/>
  <c r="CJ14" i="13" s="1"/>
  <c r="CI19" i="13"/>
  <c r="CJ9" i="13"/>
  <c r="CJ10" i="13" s="1"/>
  <c r="CK3" i="13"/>
  <c r="CK23" i="13" s="1"/>
  <c r="CJ26" i="13"/>
  <c r="CJ27" i="13" s="1"/>
  <c r="EG8" i="13"/>
  <c r="EH5" i="13"/>
  <c r="EH25" i="13" s="1"/>
  <c r="EI4" i="13"/>
  <c r="CL11" i="13" l="1"/>
  <c r="CL12" i="13" s="1"/>
  <c r="CK20" i="13"/>
  <c r="CK26" i="13"/>
  <c r="CK27" i="13" s="1"/>
  <c r="CL3" i="13"/>
  <c r="CL23" i="13" s="1"/>
  <c r="CJ21" i="13"/>
  <c r="CK13" i="13"/>
  <c r="CK14" i="13" s="1"/>
  <c r="CK6" i="13"/>
  <c r="CK7" i="13" s="1"/>
  <c r="CJ18" i="13"/>
  <c r="CJ24" i="13" s="1"/>
  <c r="CJ19" i="13"/>
  <c r="CK9" i="13"/>
  <c r="CK10" i="13" s="1"/>
  <c r="CJ15" i="13"/>
  <c r="CJ16" i="13" s="1"/>
  <c r="CI22" i="13"/>
  <c r="EH8" i="13"/>
  <c r="EI5" i="13"/>
  <c r="EI25" i="13" s="1"/>
  <c r="EJ4" i="13"/>
  <c r="CK21" i="13" l="1"/>
  <c r="CL13" i="13"/>
  <c r="CL14" i="13" s="1"/>
  <c r="CL26" i="13"/>
  <c r="CL27" i="13" s="1"/>
  <c r="CM3" i="13"/>
  <c r="CM23" i="13" s="1"/>
  <c r="CK15" i="13"/>
  <c r="CK16" i="13" s="1"/>
  <c r="CJ22" i="13"/>
  <c r="CL6" i="13"/>
  <c r="CL7" i="13" s="1"/>
  <c r="CK18" i="13"/>
  <c r="CK24" i="13" s="1"/>
  <c r="CK19" i="13"/>
  <c r="CL9" i="13"/>
  <c r="CL10" i="13" s="1"/>
  <c r="CL20" i="13"/>
  <c r="CM11" i="13"/>
  <c r="CM12" i="13" s="1"/>
  <c r="EI8" i="13"/>
  <c r="EJ5" i="13"/>
  <c r="EJ25" i="13" s="1"/>
  <c r="EK4" i="13"/>
  <c r="CM6" i="13" l="1"/>
  <c r="CM7" i="13" s="1"/>
  <c r="CL18" i="13"/>
  <c r="CL24" i="13" s="1"/>
  <c r="CK22" i="13"/>
  <c r="CL15" i="13"/>
  <c r="CL16" i="13" s="1"/>
  <c r="CM20" i="13"/>
  <c r="CN11" i="13"/>
  <c r="CN12" i="13" s="1"/>
  <c r="CN3" i="13"/>
  <c r="CN23" i="13" s="1"/>
  <c r="CM26" i="13"/>
  <c r="CM27" i="13" s="1"/>
  <c r="CM9" i="13"/>
  <c r="CM10" i="13" s="1"/>
  <c r="CL19" i="13"/>
  <c r="CM13" i="13"/>
  <c r="CM14" i="13" s="1"/>
  <c r="CL21" i="13"/>
  <c r="EJ8" i="13"/>
  <c r="EK5" i="13"/>
  <c r="EK25" i="13" s="1"/>
  <c r="EL4" i="13"/>
  <c r="CN13" i="13" l="1"/>
  <c r="CN14" i="13" s="1"/>
  <c r="CM21" i="13"/>
  <c r="CM15" i="13"/>
  <c r="CM16" i="13" s="1"/>
  <c r="CL22" i="13"/>
  <c r="CO3" i="13"/>
  <c r="CO23" i="13" s="1"/>
  <c r="CN26" i="13"/>
  <c r="CN27" i="13" s="1"/>
  <c r="CN20" i="13"/>
  <c r="CO11" i="13"/>
  <c r="CO12" i="13" s="1"/>
  <c r="CN9" i="13"/>
  <c r="CN10" i="13" s="1"/>
  <c r="CM19" i="13"/>
  <c r="CN6" i="13"/>
  <c r="CN7" i="13" s="1"/>
  <c r="CM18" i="13"/>
  <c r="CM24" i="13" s="1"/>
  <c r="EK8" i="13"/>
  <c r="EL5" i="13"/>
  <c r="EL25" i="13" s="1"/>
  <c r="EM4" i="13"/>
  <c r="CP3" i="13" l="1"/>
  <c r="CP23" i="13" s="1"/>
  <c r="CO26" i="13"/>
  <c r="CO27" i="13" s="1"/>
  <c r="CO6" i="13"/>
  <c r="CO7" i="13" s="1"/>
  <c r="CN18" i="13"/>
  <c r="CN24" i="13" s="1"/>
  <c r="CN15" i="13"/>
  <c r="CN16" i="13" s="1"/>
  <c r="CM22" i="13"/>
  <c r="CO9" i="13"/>
  <c r="CO10" i="13" s="1"/>
  <c r="CN19" i="13"/>
  <c r="CP11" i="13"/>
  <c r="CP12" i="13" s="1"/>
  <c r="CO20" i="13"/>
  <c r="CO13" i="13"/>
  <c r="CO14" i="13" s="1"/>
  <c r="CN21" i="13"/>
  <c r="EL8" i="13"/>
  <c r="EM5" i="13"/>
  <c r="EM25" i="13" s="1"/>
  <c r="EN4" i="13"/>
  <c r="CP6" i="13" l="1"/>
  <c r="CP7" i="13" s="1"/>
  <c r="CO18" i="13"/>
  <c r="CO24" i="13" s="1"/>
  <c r="CP9" i="13"/>
  <c r="CP10" i="13" s="1"/>
  <c r="CO19" i="13"/>
  <c r="CO21" i="13"/>
  <c r="CP13" i="13"/>
  <c r="CP14" i="13" s="1"/>
  <c r="CP20" i="13"/>
  <c r="CQ11" i="13"/>
  <c r="CQ12" i="13" s="1"/>
  <c r="CQ3" i="13"/>
  <c r="CQ23" i="13" s="1"/>
  <c r="CP26" i="13"/>
  <c r="CP27" i="13" s="1"/>
  <c r="CN22" i="13"/>
  <c r="CO15" i="13"/>
  <c r="CO16" i="13" s="1"/>
  <c r="EM8" i="13"/>
  <c r="EN5" i="13"/>
  <c r="EN25" i="13" s="1"/>
  <c r="EO4" i="13"/>
  <c r="CR11" i="13" l="1"/>
  <c r="CR12" i="13" s="1"/>
  <c r="CQ20" i="13"/>
  <c r="CQ13" i="13"/>
  <c r="CQ14" i="13" s="1"/>
  <c r="CP21" i="13"/>
  <c r="CO22" i="13"/>
  <c r="CP15" i="13"/>
  <c r="CP16" i="13" s="1"/>
  <c r="CQ9" i="13"/>
  <c r="CQ10" i="13" s="1"/>
  <c r="CP19" i="13"/>
  <c r="CQ26" i="13"/>
  <c r="CQ27" i="13" s="1"/>
  <c r="CR3" i="13"/>
  <c r="CR23" i="13" s="1"/>
  <c r="CP18" i="13"/>
  <c r="CP24" i="13" s="1"/>
  <c r="CQ6" i="13"/>
  <c r="CQ7" i="13" s="1"/>
  <c r="EN8" i="13"/>
  <c r="EO5" i="13"/>
  <c r="EO25" i="13" s="1"/>
  <c r="EP4" i="13"/>
  <c r="CR9" i="13" l="1"/>
  <c r="CR10" i="13" s="1"/>
  <c r="CQ19" i="13"/>
  <c r="CQ15" i="13"/>
  <c r="CQ16" i="13" s="1"/>
  <c r="CP22" i="13"/>
  <c r="CR6" i="13"/>
  <c r="CR7" i="13" s="1"/>
  <c r="CQ18" i="13"/>
  <c r="CQ24" i="13" s="1"/>
  <c r="CS3" i="13"/>
  <c r="CS23" i="13" s="1"/>
  <c r="CR26" i="13"/>
  <c r="CR27" i="13" s="1"/>
  <c r="CR13" i="13"/>
  <c r="CR14" i="13" s="1"/>
  <c r="CQ21" i="13"/>
  <c r="CR20" i="13"/>
  <c r="CS11" i="13"/>
  <c r="CS12" i="13" s="1"/>
  <c r="EO8" i="13"/>
  <c r="EP5" i="13"/>
  <c r="EP25" i="13" s="1"/>
  <c r="EQ4" i="13"/>
  <c r="CT3" i="13" l="1"/>
  <c r="CT23" i="13" s="1"/>
  <c r="CS26" i="13"/>
  <c r="CS27" i="13" s="1"/>
  <c r="CT11" i="13"/>
  <c r="CT12" i="13" s="1"/>
  <c r="CS20" i="13"/>
  <c r="CS6" i="13"/>
  <c r="CS7" i="13" s="1"/>
  <c r="CR18" i="13"/>
  <c r="CR24" i="13" s="1"/>
  <c r="CQ22" i="13"/>
  <c r="CR15" i="13"/>
  <c r="CR16" i="13" s="1"/>
  <c r="CS13" i="13"/>
  <c r="CS14" i="13" s="1"/>
  <c r="CR21" i="13"/>
  <c r="CS9" i="13"/>
  <c r="CS10" i="13" s="1"/>
  <c r="CR19" i="13"/>
  <c r="EP8" i="13"/>
  <c r="EQ5" i="13"/>
  <c r="EQ25" i="13" s="1"/>
  <c r="ER4" i="13"/>
  <c r="CT6" i="13" l="1"/>
  <c r="CT7" i="13" s="1"/>
  <c r="CS18" i="13"/>
  <c r="CS24" i="13" s="1"/>
  <c r="CU11" i="13"/>
  <c r="CU12" i="13" s="1"/>
  <c r="CT20" i="13"/>
  <c r="CT9" i="13"/>
  <c r="CT10" i="13" s="1"/>
  <c r="CS19" i="13"/>
  <c r="CS21" i="13"/>
  <c r="CT13" i="13"/>
  <c r="CT14" i="13" s="1"/>
  <c r="CU3" i="13"/>
  <c r="CU23" i="13" s="1"/>
  <c r="CT26" i="13"/>
  <c r="CT27" i="13" s="1"/>
  <c r="CS15" i="13"/>
  <c r="CS16" i="13" s="1"/>
  <c r="CR22" i="13"/>
  <c r="EQ8" i="13"/>
  <c r="ER5" i="13"/>
  <c r="ER25" i="13" s="1"/>
  <c r="ES4" i="13"/>
  <c r="CT21" i="13" l="1"/>
  <c r="CU13" i="13"/>
  <c r="CU14" i="13" s="1"/>
  <c r="CU9" i="13"/>
  <c r="CU10" i="13" s="1"/>
  <c r="CT19" i="13"/>
  <c r="CT15" i="13"/>
  <c r="CT16" i="13" s="1"/>
  <c r="CS22" i="13"/>
  <c r="CU20" i="13"/>
  <c r="CV11" i="13"/>
  <c r="CV12" i="13" s="1"/>
  <c r="CV3" i="13"/>
  <c r="CV23" i="13" s="1"/>
  <c r="CU26" i="13"/>
  <c r="CU27" i="13" s="1"/>
  <c r="CU6" i="13"/>
  <c r="CU7" i="13" s="1"/>
  <c r="CT18" i="13"/>
  <c r="CT24" i="13" s="1"/>
  <c r="ER8" i="13"/>
  <c r="ES5" i="13"/>
  <c r="ES25" i="13" s="1"/>
  <c r="ET4" i="13"/>
  <c r="CU15" i="13" l="1"/>
  <c r="CU16" i="13" s="1"/>
  <c r="CT22" i="13"/>
  <c r="CU18" i="13"/>
  <c r="CU24" i="13" s="1"/>
  <c r="CV6" i="13"/>
  <c r="CV7" i="13" s="1"/>
  <c r="CU19" i="13"/>
  <c r="CV9" i="13"/>
  <c r="CV10" i="13" s="1"/>
  <c r="CW3" i="13"/>
  <c r="CW23" i="13" s="1"/>
  <c r="CV26" i="13"/>
  <c r="CV27" i="13" s="1"/>
  <c r="CV13" i="13"/>
  <c r="CV14" i="13" s="1"/>
  <c r="CU21" i="13"/>
  <c r="CW11" i="13"/>
  <c r="CW12" i="13" s="1"/>
  <c r="CV20" i="13"/>
  <c r="ES8" i="13"/>
  <c r="ET5" i="13"/>
  <c r="ET25" i="13" s="1"/>
  <c r="EU4" i="13"/>
  <c r="CV19" i="13" l="1"/>
  <c r="CW9" i="13"/>
  <c r="CW10" i="13" s="1"/>
  <c r="CW26" i="13"/>
  <c r="CW27" i="13" s="1"/>
  <c r="CX3" i="13"/>
  <c r="CX23" i="13" s="1"/>
  <c r="CX11" i="13"/>
  <c r="CX12" i="13" s="1"/>
  <c r="CW20" i="13"/>
  <c r="CW6" i="13"/>
  <c r="CW7" i="13" s="1"/>
  <c r="CV18" i="13"/>
  <c r="CV24" i="13" s="1"/>
  <c r="CW13" i="13"/>
  <c r="CW14" i="13" s="1"/>
  <c r="CV21" i="13"/>
  <c r="CU22" i="13"/>
  <c r="CV15" i="13"/>
  <c r="CV16" i="13" s="1"/>
  <c r="ET8" i="13"/>
  <c r="EU5" i="13"/>
  <c r="EU25" i="13" s="1"/>
  <c r="EV4" i="13"/>
  <c r="CX6" i="13" l="1"/>
  <c r="CX7" i="13" s="1"/>
  <c r="CW18" i="13"/>
  <c r="CW24" i="13" s="1"/>
  <c r="CW15" i="13"/>
  <c r="CW16" i="13" s="1"/>
  <c r="CV22" i="13"/>
  <c r="CY3" i="13"/>
  <c r="CY23" i="13" s="1"/>
  <c r="CX26" i="13"/>
  <c r="CX27" i="13" s="1"/>
  <c r="CY11" i="13"/>
  <c r="CY12" i="13" s="1"/>
  <c r="CX20" i="13"/>
  <c r="CX13" i="13"/>
  <c r="CX14" i="13" s="1"/>
  <c r="CW21" i="13"/>
  <c r="CW19" i="13"/>
  <c r="CX9" i="13"/>
  <c r="CX10" i="13" s="1"/>
  <c r="EU8" i="13"/>
  <c r="EV5" i="13"/>
  <c r="EV25" i="13" s="1"/>
  <c r="EW4" i="13"/>
  <c r="CX19" i="13" l="1"/>
  <c r="CY9" i="13"/>
  <c r="CY10" i="13" s="1"/>
  <c r="CZ3" i="13"/>
  <c r="CZ23" i="13" s="1"/>
  <c r="CY26" i="13"/>
  <c r="CY27" i="13" s="1"/>
  <c r="CX15" i="13"/>
  <c r="CX16" i="13" s="1"/>
  <c r="CW22" i="13"/>
  <c r="CZ11" i="13"/>
  <c r="CZ12" i="13" s="1"/>
  <c r="CY20" i="13"/>
  <c r="CY13" i="13"/>
  <c r="CY14" i="13" s="1"/>
  <c r="CX21" i="13"/>
  <c r="CX18" i="13"/>
  <c r="CX24" i="13" s="1"/>
  <c r="CY6" i="13"/>
  <c r="CY7" i="13" s="1"/>
  <c r="EV8" i="13"/>
  <c r="EW5" i="13"/>
  <c r="EW25" i="13" s="1"/>
  <c r="EX4" i="13"/>
  <c r="CX22" i="13" l="1"/>
  <c r="CY15" i="13"/>
  <c r="CY16" i="13" s="1"/>
  <c r="CZ20" i="13"/>
  <c r="DA11" i="13"/>
  <c r="DA12" i="13" s="1"/>
  <c r="CZ26" i="13"/>
  <c r="CZ27" i="13" s="1"/>
  <c r="DA3" i="13"/>
  <c r="DA23" i="13" s="1"/>
  <c r="CZ6" i="13"/>
  <c r="CZ7" i="13" s="1"/>
  <c r="CY18" i="13"/>
  <c r="CY24" i="13" s="1"/>
  <c r="CZ13" i="13"/>
  <c r="CZ14" i="13" s="1"/>
  <c r="CY21" i="13"/>
  <c r="CY19" i="13"/>
  <c r="CZ9" i="13"/>
  <c r="CZ10" i="13" s="1"/>
  <c r="EW8" i="13"/>
  <c r="EX5" i="13"/>
  <c r="EX25" i="13" s="1"/>
  <c r="EY4" i="13"/>
  <c r="DB3" i="13" l="1"/>
  <c r="DB23" i="13" s="1"/>
  <c r="DA26" i="13"/>
  <c r="DA27" i="13" s="1"/>
  <c r="CZ19" i="13"/>
  <c r="DA9" i="13"/>
  <c r="DA10" i="13" s="1"/>
  <c r="DB11" i="13"/>
  <c r="DB12" i="13" s="1"/>
  <c r="DA20" i="13"/>
  <c r="DA6" i="13"/>
  <c r="DA7" i="13" s="1"/>
  <c r="CZ18" i="13"/>
  <c r="CZ24" i="13" s="1"/>
  <c r="DA13" i="13"/>
  <c r="DA14" i="13" s="1"/>
  <c r="CZ21" i="13"/>
  <c r="CY22" i="13"/>
  <c r="CZ15" i="13"/>
  <c r="CZ16" i="13" s="1"/>
  <c r="EX8" i="13"/>
  <c r="EY5" i="13"/>
  <c r="EY25" i="13" s="1"/>
  <c r="EZ4" i="13"/>
  <c r="DB6" i="13" l="1"/>
  <c r="DB7" i="13" s="1"/>
  <c r="DA18" i="13"/>
  <c r="DA24" i="13" s="1"/>
  <c r="DB20" i="13"/>
  <c r="DC11" i="13"/>
  <c r="DC12" i="13" s="1"/>
  <c r="DA15" i="13"/>
  <c r="DA16" i="13" s="1"/>
  <c r="CZ22" i="13"/>
  <c r="DA19" i="13"/>
  <c r="DB9" i="13"/>
  <c r="DB10" i="13" s="1"/>
  <c r="DB13" i="13"/>
  <c r="DB14" i="13" s="1"/>
  <c r="DA21" i="13"/>
  <c r="DC3" i="13"/>
  <c r="DC23" i="13" s="1"/>
  <c r="DB26" i="13"/>
  <c r="DB27" i="13" s="1"/>
  <c r="EY8" i="13"/>
  <c r="EZ5" i="13"/>
  <c r="EZ25" i="13" s="1"/>
  <c r="FA4" i="13"/>
  <c r="DB19" i="13" l="1"/>
  <c r="DC9" i="13"/>
  <c r="DC10" i="13" s="1"/>
  <c r="DA22" i="13"/>
  <c r="DB15" i="13"/>
  <c r="DB16" i="13" s="1"/>
  <c r="DD3" i="13"/>
  <c r="DD23" i="13" s="1"/>
  <c r="DC26" i="13"/>
  <c r="DC27" i="13" s="1"/>
  <c r="DC20" i="13"/>
  <c r="DD11" i="13"/>
  <c r="DD12" i="13" s="1"/>
  <c r="DB21" i="13"/>
  <c r="DC13" i="13"/>
  <c r="DC14" i="13" s="1"/>
  <c r="DB18" i="13"/>
  <c r="DB24" i="13" s="1"/>
  <c r="DC6" i="13"/>
  <c r="DC7" i="13" s="1"/>
  <c r="EZ8" i="13"/>
  <c r="FA5" i="13"/>
  <c r="FA25" i="13" s="1"/>
  <c r="FB4" i="13"/>
  <c r="DC18" i="13" l="1"/>
  <c r="DC24" i="13" s="1"/>
  <c r="DD6" i="13"/>
  <c r="DD7" i="13" s="1"/>
  <c r="DE3" i="13"/>
  <c r="DE23" i="13" s="1"/>
  <c r="DD26" i="13"/>
  <c r="DD27" i="13" s="1"/>
  <c r="DB22" i="13"/>
  <c r="DC15" i="13"/>
  <c r="DC16" i="13" s="1"/>
  <c r="DC21" i="13"/>
  <c r="DD13" i="13"/>
  <c r="DD14" i="13" s="1"/>
  <c r="DC19" i="13"/>
  <c r="DD9" i="13"/>
  <c r="DD10" i="13" s="1"/>
  <c r="DD20" i="13"/>
  <c r="DE11" i="13"/>
  <c r="DE12" i="13" s="1"/>
  <c r="FA8" i="13"/>
  <c r="FB5" i="13"/>
  <c r="FB25" i="13" s="1"/>
  <c r="FC4" i="13"/>
  <c r="DC22" i="13" l="1"/>
  <c r="DD15" i="13"/>
  <c r="DD16" i="13" s="1"/>
  <c r="DE20" i="13"/>
  <c r="DF11" i="13"/>
  <c r="DF12" i="13" s="1"/>
  <c r="DF3" i="13"/>
  <c r="DF23" i="13" s="1"/>
  <c r="DE26" i="13"/>
  <c r="DE27" i="13" s="1"/>
  <c r="DD19" i="13"/>
  <c r="DE9" i="13"/>
  <c r="DE10" i="13" s="1"/>
  <c r="DD18" i="13"/>
  <c r="DD24" i="13" s="1"/>
  <c r="DE6" i="13"/>
  <c r="DE7" i="13" s="1"/>
  <c r="DD21" i="13"/>
  <c r="DE13" i="13"/>
  <c r="DE14" i="13" s="1"/>
  <c r="FB8" i="13"/>
  <c r="FC5" i="13"/>
  <c r="FC25" i="13" s="1"/>
  <c r="FD4" i="13"/>
  <c r="DG3" i="13" l="1"/>
  <c r="DG23" i="13" s="1"/>
  <c r="DF26" i="13"/>
  <c r="DF27" i="13" s="1"/>
  <c r="DE21" i="13"/>
  <c r="DF13" i="13"/>
  <c r="DF14" i="13" s="1"/>
  <c r="DF20" i="13"/>
  <c r="DG11" i="13"/>
  <c r="DG12" i="13" s="1"/>
  <c r="DE18" i="13"/>
  <c r="DE24" i="13" s="1"/>
  <c r="DF6" i="13"/>
  <c r="DF7" i="13" s="1"/>
  <c r="DD22" i="13"/>
  <c r="DE15" i="13"/>
  <c r="DE16" i="13" s="1"/>
  <c r="DE19" i="13"/>
  <c r="DF9" i="13"/>
  <c r="DF10" i="13" s="1"/>
  <c r="FC8" i="13"/>
  <c r="FD5" i="13"/>
  <c r="FD25" i="13" s="1"/>
  <c r="FE4" i="13"/>
  <c r="DG20" i="13" l="1"/>
  <c r="DH11" i="13"/>
  <c r="DH12" i="13" s="1"/>
  <c r="DF19" i="13"/>
  <c r="DG9" i="13"/>
  <c r="DG10" i="13" s="1"/>
  <c r="DF21" i="13"/>
  <c r="DG13" i="13"/>
  <c r="DG14" i="13" s="1"/>
  <c r="DE22" i="13"/>
  <c r="DF15" i="13"/>
  <c r="DF16" i="13" s="1"/>
  <c r="DH3" i="13"/>
  <c r="DH23" i="13" s="1"/>
  <c r="DG26" i="13"/>
  <c r="DG27" i="13" s="1"/>
  <c r="DF18" i="13"/>
  <c r="DF24" i="13" s="1"/>
  <c r="DG6" i="13"/>
  <c r="DG7" i="13" s="1"/>
  <c r="FD8" i="13"/>
  <c r="FE5" i="13"/>
  <c r="FE25" i="13" s="1"/>
  <c r="FF4" i="13"/>
  <c r="B126" i="14" l="1"/>
  <c r="DF22" i="13"/>
  <c r="DG15" i="13"/>
  <c r="DG16" i="13" s="1"/>
  <c r="DG21" i="13"/>
  <c r="DH13" i="13"/>
  <c r="DH14" i="13" s="1"/>
  <c r="DH6" i="13"/>
  <c r="DH7" i="13" s="1"/>
  <c r="DG18" i="13"/>
  <c r="DG24" i="13" s="1"/>
  <c r="DG19" i="13"/>
  <c r="DH9" i="13"/>
  <c r="DH10" i="13" s="1"/>
  <c r="DH26" i="13"/>
  <c r="DH27" i="13" s="1"/>
  <c r="DI3" i="13"/>
  <c r="DI23" i="13" s="1"/>
  <c r="DH20" i="13"/>
  <c r="DI11" i="13"/>
  <c r="DI12" i="13" s="1"/>
  <c r="FE8" i="13"/>
  <c r="FF5" i="13"/>
  <c r="FF25" i="13" s="1"/>
  <c r="FG4" i="13"/>
  <c r="DH19" i="13" l="1"/>
  <c r="DI9" i="13"/>
  <c r="DI10" i="13" s="1"/>
  <c r="DI20" i="13"/>
  <c r="DJ11" i="13"/>
  <c r="DJ12" i="13" s="1"/>
  <c r="DI6" i="13"/>
  <c r="DI7" i="13" s="1"/>
  <c r="DH18" i="13"/>
  <c r="DH24" i="13" s="1"/>
  <c r="DH21" i="13"/>
  <c r="DI13" i="13"/>
  <c r="DI14" i="13" s="1"/>
  <c r="DJ3" i="13"/>
  <c r="DJ23" i="13" s="1"/>
  <c r="DI26" i="13"/>
  <c r="DI27" i="13" s="1"/>
  <c r="DG22" i="13"/>
  <c r="DH15" i="13"/>
  <c r="DH16" i="13" s="1"/>
  <c r="FF8" i="13"/>
  <c r="FG5" i="13"/>
  <c r="FG25" i="13" s="1"/>
  <c r="FH4" i="13"/>
  <c r="DI21" i="13" l="1"/>
  <c r="DJ13" i="13"/>
  <c r="DJ14" i="13" s="1"/>
  <c r="DH22" i="13"/>
  <c r="DI15" i="13"/>
  <c r="DI16" i="13" s="1"/>
  <c r="DI18" i="13"/>
  <c r="DI24" i="13" s="1"/>
  <c r="DJ6" i="13"/>
  <c r="DJ7" i="13" s="1"/>
  <c r="DJ20" i="13"/>
  <c r="DK11" i="13"/>
  <c r="DK12" i="13" s="1"/>
  <c r="DK3" i="13"/>
  <c r="DK23" i="13" s="1"/>
  <c r="DJ26" i="13"/>
  <c r="DJ27" i="13" s="1"/>
  <c r="DI19" i="13"/>
  <c r="DJ9" i="13"/>
  <c r="DJ10" i="13" s="1"/>
  <c r="FG8" i="13"/>
  <c r="FH5" i="13"/>
  <c r="FH25" i="13" s="1"/>
  <c r="FI4" i="13"/>
  <c r="DK20" i="13" l="1"/>
  <c r="DL11" i="13"/>
  <c r="DL12" i="13" s="1"/>
  <c r="DK6" i="13"/>
  <c r="DK7" i="13" s="1"/>
  <c r="DJ18" i="13"/>
  <c r="DJ24" i="13" s="1"/>
  <c r="DJ19" i="13"/>
  <c r="DK9" i="13"/>
  <c r="DK10" i="13" s="1"/>
  <c r="DI22" i="13"/>
  <c r="DJ15" i="13"/>
  <c r="DJ16" i="13" s="1"/>
  <c r="DL3" i="13"/>
  <c r="DL23" i="13" s="1"/>
  <c r="DK26" i="13"/>
  <c r="DK27" i="13" s="1"/>
  <c r="DJ21" i="13"/>
  <c r="DK13" i="13"/>
  <c r="DK14" i="13" s="1"/>
  <c r="FH8" i="13"/>
  <c r="FJ4" i="13"/>
  <c r="FI5" i="13"/>
  <c r="FI25" i="13" s="1"/>
  <c r="DJ22" i="13" l="1"/>
  <c r="DK15" i="13"/>
  <c r="DK16" i="13" s="1"/>
  <c r="DK19" i="13"/>
  <c r="DL9" i="13"/>
  <c r="DL10" i="13" s="1"/>
  <c r="DK21" i="13"/>
  <c r="DL13" i="13"/>
  <c r="DL14" i="13" s="1"/>
  <c r="DK18" i="13"/>
  <c r="DK24" i="13" s="1"/>
  <c r="DL6" i="13"/>
  <c r="DL7" i="13" s="1"/>
  <c r="DL20" i="13"/>
  <c r="DM11" i="13"/>
  <c r="DM12" i="13" s="1"/>
  <c r="DM3" i="13"/>
  <c r="DM23" i="13" s="1"/>
  <c r="DL26" i="13"/>
  <c r="DL27" i="13" s="1"/>
  <c r="FI8" i="13"/>
  <c r="FK4" i="13"/>
  <c r="FJ5" i="13"/>
  <c r="FJ25" i="13" s="1"/>
  <c r="DM6" i="13" l="1"/>
  <c r="DM7" i="13" s="1"/>
  <c r="DL18" i="13"/>
  <c r="DL24" i="13" s="1"/>
  <c r="DL21" i="13"/>
  <c r="DM13" i="13"/>
  <c r="DM14" i="13" s="1"/>
  <c r="DL19" i="13"/>
  <c r="DM9" i="13"/>
  <c r="DM10" i="13" s="1"/>
  <c r="DN3" i="13"/>
  <c r="DN23" i="13" s="1"/>
  <c r="DM26" i="13"/>
  <c r="DM27" i="13" s="1"/>
  <c r="DM20" i="13"/>
  <c r="DN11" i="13"/>
  <c r="DN12" i="13" s="1"/>
  <c r="DK22" i="13"/>
  <c r="DL15" i="13"/>
  <c r="DL16" i="13" s="1"/>
  <c r="FJ8" i="13"/>
  <c r="FL4" i="13"/>
  <c r="FK5" i="13"/>
  <c r="FK25" i="13" s="1"/>
  <c r="DO3" i="13" l="1"/>
  <c r="DO23" i="13" s="1"/>
  <c r="DN26" i="13"/>
  <c r="DN27" i="13" s="1"/>
  <c r="DM19" i="13"/>
  <c r="DN9" i="13"/>
  <c r="DN10" i="13" s="1"/>
  <c r="DL22" i="13"/>
  <c r="DM15" i="13"/>
  <c r="DM16" i="13" s="1"/>
  <c r="DM21" i="13"/>
  <c r="DN13" i="13"/>
  <c r="DN14" i="13" s="1"/>
  <c r="DN20" i="13"/>
  <c r="DO11" i="13"/>
  <c r="DO12" i="13" s="1"/>
  <c r="DM18" i="13"/>
  <c r="DM24" i="13" s="1"/>
  <c r="DN6" i="13"/>
  <c r="DN7" i="13" s="1"/>
  <c r="FK8" i="13"/>
  <c r="FL5" i="13"/>
  <c r="FL25" i="13" s="1"/>
  <c r="FM4" i="13"/>
  <c r="DM22" i="13" l="1"/>
  <c r="DN15" i="13"/>
  <c r="DN16" i="13" s="1"/>
  <c r="DN18" i="13"/>
  <c r="DN24" i="13" s="1"/>
  <c r="DO6" i="13"/>
  <c r="DO7" i="13" s="1"/>
  <c r="DN19" i="13"/>
  <c r="DO9" i="13"/>
  <c r="DO10" i="13" s="1"/>
  <c r="DO20" i="13"/>
  <c r="DP11" i="13"/>
  <c r="DP12" i="13" s="1"/>
  <c r="DP3" i="13"/>
  <c r="DP23" i="13" s="1"/>
  <c r="DO26" i="13"/>
  <c r="DO27" i="13" s="1"/>
  <c r="DN21" i="13"/>
  <c r="DO13" i="13"/>
  <c r="DO14" i="13" s="1"/>
  <c r="FL8" i="13"/>
  <c r="FM5" i="13"/>
  <c r="FM25" i="13" s="1"/>
  <c r="FN4" i="13"/>
  <c r="DP20" i="13" l="1"/>
  <c r="DQ11" i="13"/>
  <c r="DQ12" i="13" s="1"/>
  <c r="DO19" i="13"/>
  <c r="DP9" i="13"/>
  <c r="DP10" i="13" s="1"/>
  <c r="DO21" i="13"/>
  <c r="DP13" i="13"/>
  <c r="DP14" i="13" s="1"/>
  <c r="DO18" i="13"/>
  <c r="DO24" i="13" s="1"/>
  <c r="DP6" i="13"/>
  <c r="DP7" i="13" s="1"/>
  <c r="DQ3" i="13"/>
  <c r="DQ23" i="13" s="1"/>
  <c r="DP26" i="13"/>
  <c r="DP27" i="13" s="1"/>
  <c r="DN22" i="13"/>
  <c r="DO15" i="13"/>
  <c r="DO16" i="13" s="1"/>
  <c r="FM8" i="13"/>
  <c r="FN5" i="13"/>
  <c r="FN25" i="13" s="1"/>
  <c r="FO4" i="13"/>
  <c r="DQ6" i="13" l="1"/>
  <c r="DQ7" i="13" s="1"/>
  <c r="DP18" i="13"/>
  <c r="DP24" i="13" s="1"/>
  <c r="DP21" i="13"/>
  <c r="DQ13" i="13"/>
  <c r="DQ14" i="13" s="1"/>
  <c r="DO22" i="13"/>
  <c r="DP15" i="13"/>
  <c r="DP16" i="13" s="1"/>
  <c r="DP19" i="13"/>
  <c r="DQ9" i="13"/>
  <c r="DQ10" i="13" s="1"/>
  <c r="DQ20" i="13"/>
  <c r="DR11" i="13"/>
  <c r="DR12" i="13" s="1"/>
  <c r="DQ26" i="13"/>
  <c r="DQ27" i="13" s="1"/>
  <c r="DR3" i="13"/>
  <c r="DR23" i="13" s="1"/>
  <c r="FN8" i="13"/>
  <c r="FO5" i="13"/>
  <c r="FO25" i="13" s="1"/>
  <c r="FP4" i="13"/>
  <c r="DQ19" i="13" l="1"/>
  <c r="DR9" i="13"/>
  <c r="DR10" i="13" s="1"/>
  <c r="DP22" i="13"/>
  <c r="DQ15" i="13"/>
  <c r="DQ16" i="13" s="1"/>
  <c r="DS3" i="13"/>
  <c r="DS23" i="13" s="1"/>
  <c r="DR26" i="13"/>
  <c r="DR27" i="13" s="1"/>
  <c r="DQ21" i="13"/>
  <c r="DR13" i="13"/>
  <c r="DR14" i="13" s="1"/>
  <c r="DR20" i="13"/>
  <c r="DS11" i="13"/>
  <c r="DS12" i="13" s="1"/>
  <c r="DQ18" i="13"/>
  <c r="DQ24" i="13" s="1"/>
  <c r="DR6" i="13"/>
  <c r="DR7" i="13" s="1"/>
  <c r="FO8" i="13"/>
  <c r="FP5" i="13"/>
  <c r="FP25" i="13" s="1"/>
  <c r="FQ4" i="13"/>
  <c r="DR18" i="13" l="1"/>
  <c r="DR24" i="13" s="1"/>
  <c r="DS6" i="13"/>
  <c r="DS7" i="13" s="1"/>
  <c r="DT3" i="13"/>
  <c r="DT23" i="13" s="1"/>
  <c r="DS26" i="13"/>
  <c r="DS27" i="13" s="1"/>
  <c r="DQ22" i="13"/>
  <c r="DR15" i="13"/>
  <c r="DR16" i="13" s="1"/>
  <c r="DS20" i="13"/>
  <c r="DT11" i="13"/>
  <c r="DT12" i="13" s="1"/>
  <c r="DR19" i="13"/>
  <c r="DS9" i="13"/>
  <c r="DS10" i="13" s="1"/>
  <c r="DR21" i="13"/>
  <c r="DS13" i="13"/>
  <c r="DS14" i="13" s="1"/>
  <c r="FP8" i="13"/>
  <c r="FQ5" i="13"/>
  <c r="FQ25" i="13" s="1"/>
  <c r="FR4" i="13"/>
  <c r="DR22" i="13" l="1"/>
  <c r="DS15" i="13"/>
  <c r="DS16" i="13" s="1"/>
  <c r="DS21" i="13"/>
  <c r="DT13" i="13"/>
  <c r="DT14" i="13" s="1"/>
  <c r="DS19" i="13"/>
  <c r="DT9" i="13"/>
  <c r="DT10" i="13" s="1"/>
  <c r="DU3" i="13"/>
  <c r="DU23" i="13" s="1"/>
  <c r="DT26" i="13"/>
  <c r="DT27" i="13" s="1"/>
  <c r="DT6" i="13"/>
  <c r="DT7" i="13" s="1"/>
  <c r="DS18" i="13"/>
  <c r="DS24" i="13" s="1"/>
  <c r="DT20" i="13"/>
  <c r="DU11" i="13"/>
  <c r="DU12" i="13" s="1"/>
  <c r="FQ8" i="13"/>
  <c r="FR5" i="13"/>
  <c r="FR25" i="13" s="1"/>
  <c r="FS4" i="13"/>
  <c r="DV3" i="13" l="1"/>
  <c r="DV23" i="13" s="1"/>
  <c r="DU26" i="13"/>
  <c r="DU27" i="13" s="1"/>
  <c r="DT19" i="13"/>
  <c r="DU9" i="13"/>
  <c r="DU10" i="13" s="1"/>
  <c r="DU20" i="13"/>
  <c r="DV11" i="13"/>
  <c r="DV12" i="13" s="1"/>
  <c r="DT21" i="13"/>
  <c r="DU13" i="13"/>
  <c r="DU14" i="13" s="1"/>
  <c r="DT18" i="13"/>
  <c r="DT24" i="13" s="1"/>
  <c r="DU6" i="13"/>
  <c r="DU7" i="13" s="1"/>
  <c r="DS22" i="13"/>
  <c r="DT15" i="13"/>
  <c r="DT16" i="13" s="1"/>
  <c r="FR8" i="13"/>
  <c r="FS5" i="13"/>
  <c r="FS25" i="13" s="1"/>
  <c r="FT4" i="13"/>
  <c r="DV20" i="13" l="1"/>
  <c r="DW11" i="13"/>
  <c r="DW12" i="13" s="1"/>
  <c r="DT22" i="13"/>
  <c r="DU15" i="13"/>
  <c r="DU16" i="13" s="1"/>
  <c r="DU19" i="13"/>
  <c r="DV9" i="13"/>
  <c r="DV10" i="13" s="1"/>
  <c r="DV6" i="13"/>
  <c r="DV7" i="13" s="1"/>
  <c r="DU18" i="13"/>
  <c r="DU24" i="13" s="1"/>
  <c r="DV26" i="13"/>
  <c r="DV27" i="13" s="1"/>
  <c r="DW3" i="13"/>
  <c r="DW23" i="13" s="1"/>
  <c r="DU21" i="13"/>
  <c r="DV13" i="13"/>
  <c r="DV14" i="13" s="1"/>
  <c r="FS8" i="13"/>
  <c r="FT5" i="13"/>
  <c r="FT25" i="13" s="1"/>
  <c r="FU4" i="13"/>
  <c r="DV18" i="13" l="1"/>
  <c r="DV24" i="13" s="1"/>
  <c r="DW6" i="13"/>
  <c r="DW7" i="13" s="1"/>
  <c r="DV19" i="13"/>
  <c r="DW9" i="13"/>
  <c r="DW10" i="13" s="1"/>
  <c r="DV21" i="13"/>
  <c r="DW13" i="13"/>
  <c r="DW14" i="13" s="1"/>
  <c r="DU22" i="13"/>
  <c r="DV15" i="13"/>
  <c r="DV16" i="13" s="1"/>
  <c r="DX3" i="13"/>
  <c r="DX23" i="13" s="1"/>
  <c r="DW26" i="13"/>
  <c r="DW27" i="13" s="1"/>
  <c r="DW20" i="13"/>
  <c r="DX11" i="13"/>
  <c r="DX12" i="13" s="1"/>
  <c r="FT8" i="13"/>
  <c r="FU5" i="13"/>
  <c r="FU25" i="13" s="1"/>
  <c r="FV4" i="13"/>
  <c r="DV22" i="13" l="1"/>
  <c r="DW15" i="13"/>
  <c r="DW16" i="13" s="1"/>
  <c r="DW21" i="13"/>
  <c r="DX13" i="13"/>
  <c r="DX14" i="13" s="1"/>
  <c r="DX20" i="13"/>
  <c r="DY11" i="13"/>
  <c r="DY12" i="13" s="1"/>
  <c r="DW19" i="13"/>
  <c r="DX9" i="13"/>
  <c r="DX10" i="13" s="1"/>
  <c r="DW18" i="13"/>
  <c r="DW24" i="13" s="1"/>
  <c r="DX6" i="13"/>
  <c r="DX7" i="13" s="1"/>
  <c r="DY3" i="13"/>
  <c r="DY23" i="13" s="1"/>
  <c r="DX26" i="13"/>
  <c r="DX27" i="13" s="1"/>
  <c r="FU8" i="13"/>
  <c r="FV5" i="13"/>
  <c r="FV25" i="13" s="1"/>
  <c r="FW4" i="13"/>
  <c r="DX19" i="13" l="1"/>
  <c r="DY9" i="13"/>
  <c r="DY10" i="13" s="1"/>
  <c r="DY20" i="13"/>
  <c r="DZ11" i="13"/>
  <c r="DZ12" i="13" s="1"/>
  <c r="DX21" i="13"/>
  <c r="DY13" i="13"/>
  <c r="DY14" i="13" s="1"/>
  <c r="DY26" i="13"/>
  <c r="DY27" i="13" s="1"/>
  <c r="DZ3" i="13"/>
  <c r="DZ23" i="13" s="1"/>
  <c r="DY6" i="13"/>
  <c r="DY7" i="13" s="1"/>
  <c r="DX18" i="13"/>
  <c r="DX24" i="13" s="1"/>
  <c r="DW22" i="13"/>
  <c r="DX15" i="13"/>
  <c r="DX16" i="13" s="1"/>
  <c r="FV8" i="13"/>
  <c r="FW5" i="13"/>
  <c r="FW25" i="13" s="1"/>
  <c r="FX4" i="13"/>
  <c r="DY21" i="13" l="1"/>
  <c r="DZ13" i="13"/>
  <c r="DZ14" i="13" s="1"/>
  <c r="DX22" i="13"/>
  <c r="DY15" i="13"/>
  <c r="DY16" i="13" s="1"/>
  <c r="DZ20" i="13"/>
  <c r="EA11" i="13"/>
  <c r="EA12" i="13" s="1"/>
  <c r="DZ6" i="13"/>
  <c r="DZ7" i="13" s="1"/>
  <c r="DY18" i="13"/>
  <c r="DY24" i="13" s="1"/>
  <c r="DY19" i="13"/>
  <c r="DZ9" i="13"/>
  <c r="DZ10" i="13" s="1"/>
  <c r="EA3" i="13"/>
  <c r="EA23" i="13" s="1"/>
  <c r="DZ26" i="13"/>
  <c r="DZ27" i="13" s="1"/>
  <c r="FW8" i="13"/>
  <c r="FX5" i="13"/>
  <c r="FX25" i="13" s="1"/>
  <c r="FY4" i="13"/>
  <c r="EA6" i="13" l="1"/>
  <c r="EA7" i="13" s="1"/>
  <c r="DZ18" i="13"/>
  <c r="DZ24" i="13" s="1"/>
  <c r="EA20" i="13"/>
  <c r="EB11" i="13"/>
  <c r="EB12" i="13" s="1"/>
  <c r="EB3" i="13"/>
  <c r="EB23" i="13" s="1"/>
  <c r="EA26" i="13"/>
  <c r="EA27" i="13" s="1"/>
  <c r="DY22" i="13"/>
  <c r="DZ15" i="13"/>
  <c r="DZ16" i="13" s="1"/>
  <c r="DZ19" i="13"/>
  <c r="EA9" i="13"/>
  <c r="EA10" i="13" s="1"/>
  <c r="DZ21" i="13"/>
  <c r="EA13" i="13"/>
  <c r="EA14" i="13" s="1"/>
  <c r="FX8" i="13"/>
  <c r="FY5" i="13"/>
  <c r="FY25" i="13" s="1"/>
  <c r="FZ4" i="13"/>
  <c r="EB26" i="13" l="1"/>
  <c r="EB27" i="13" s="1"/>
  <c r="EC3" i="13"/>
  <c r="EC23" i="13" s="1"/>
  <c r="EA21" i="13"/>
  <c r="EB13" i="13"/>
  <c r="EB14" i="13" s="1"/>
  <c r="EB20" i="13"/>
  <c r="EC11" i="13"/>
  <c r="EC12" i="13" s="1"/>
  <c r="EA19" i="13"/>
  <c r="EB9" i="13"/>
  <c r="EB10" i="13" s="1"/>
  <c r="DZ22" i="13"/>
  <c r="EA15" i="13"/>
  <c r="EA16" i="13" s="1"/>
  <c r="EA18" i="13"/>
  <c r="EA24" i="13" s="1"/>
  <c r="EB6" i="13"/>
  <c r="EB7" i="13" s="1"/>
  <c r="FY8" i="13"/>
  <c r="FZ5" i="13"/>
  <c r="FZ25" i="13" s="1"/>
  <c r="GA4" i="13"/>
  <c r="EC20" i="13" l="1"/>
  <c r="ED11" i="13"/>
  <c r="ED12" i="13" s="1"/>
  <c r="EB18" i="13"/>
  <c r="EB24" i="13" s="1"/>
  <c r="EC6" i="13"/>
  <c r="EC7" i="13" s="1"/>
  <c r="EB21" i="13"/>
  <c r="EC13" i="13"/>
  <c r="EC14" i="13" s="1"/>
  <c r="ED3" i="13"/>
  <c r="ED23" i="13" s="1"/>
  <c r="EC26" i="13"/>
  <c r="EC27" i="13" s="1"/>
  <c r="EA22" i="13"/>
  <c r="EB15" i="13"/>
  <c r="EB16" i="13" s="1"/>
  <c r="EB19" i="13"/>
  <c r="EC9" i="13"/>
  <c r="EC10" i="13" s="1"/>
  <c r="FZ8" i="13"/>
  <c r="GA5" i="13"/>
  <c r="GA25" i="13" s="1"/>
  <c r="GB4" i="13"/>
  <c r="EE3" i="13" l="1"/>
  <c r="EE23" i="13" s="1"/>
  <c r="ED26" i="13"/>
  <c r="ED27" i="13" s="1"/>
  <c r="EC21" i="13"/>
  <c r="ED13" i="13"/>
  <c r="ED14" i="13" s="1"/>
  <c r="EC19" i="13"/>
  <c r="ED9" i="13"/>
  <c r="ED10" i="13" s="1"/>
  <c r="ED6" i="13"/>
  <c r="ED7" i="13" s="1"/>
  <c r="EC18" i="13"/>
  <c r="EC24" i="13" s="1"/>
  <c r="EB22" i="13"/>
  <c r="EC15" i="13"/>
  <c r="EC16" i="13" s="1"/>
  <c r="ED20" i="13"/>
  <c r="EE11" i="13"/>
  <c r="EE12" i="13" s="1"/>
  <c r="GA8" i="13"/>
  <c r="GB5" i="13"/>
  <c r="GB25" i="13" s="1"/>
  <c r="GC4" i="13"/>
  <c r="ED18" i="13" l="1"/>
  <c r="ED24" i="13" s="1"/>
  <c r="EE6" i="13"/>
  <c r="EE7" i="13" s="1"/>
  <c r="ED19" i="13"/>
  <c r="EE9" i="13"/>
  <c r="EE10" i="13" s="1"/>
  <c r="EE20" i="13"/>
  <c r="EF11" i="13"/>
  <c r="EF12" i="13" s="1"/>
  <c r="ED21" i="13"/>
  <c r="EE13" i="13"/>
  <c r="EE14" i="13" s="1"/>
  <c r="EC22" i="13"/>
  <c r="ED15" i="13"/>
  <c r="ED16" i="13" s="1"/>
  <c r="EF3" i="13"/>
  <c r="EF23" i="13" s="1"/>
  <c r="EE26" i="13"/>
  <c r="EE27" i="13" s="1"/>
  <c r="GB8" i="13"/>
  <c r="GC5" i="13"/>
  <c r="GC25" i="13" s="1"/>
  <c r="GD4" i="13"/>
  <c r="EE21" i="13" l="1"/>
  <c r="EF13" i="13"/>
  <c r="EF14" i="13" s="1"/>
  <c r="EF20" i="13"/>
  <c r="EG11" i="13"/>
  <c r="EG12" i="13" s="1"/>
  <c r="EG3" i="13"/>
  <c r="EG23" i="13" s="1"/>
  <c r="EF26" i="13"/>
  <c r="EF27" i="13" s="1"/>
  <c r="EE19" i="13"/>
  <c r="EF9" i="13"/>
  <c r="EF10" i="13" s="1"/>
  <c r="ED22" i="13"/>
  <c r="EE15" i="13"/>
  <c r="EE16" i="13" s="1"/>
  <c r="EF6" i="13"/>
  <c r="EF7" i="13" s="1"/>
  <c r="EE18" i="13"/>
  <c r="EE24" i="13" s="1"/>
  <c r="GC8" i="13"/>
  <c r="GD5" i="13"/>
  <c r="GD25" i="13" s="1"/>
  <c r="GE4" i="13"/>
  <c r="EH3" i="13" l="1"/>
  <c r="EH23" i="13" s="1"/>
  <c r="EG26" i="13"/>
  <c r="EG27" i="13" s="1"/>
  <c r="EF18" i="13"/>
  <c r="EF24" i="13" s="1"/>
  <c r="EG6" i="13"/>
  <c r="EG7" i="13" s="1"/>
  <c r="EG20" i="13"/>
  <c r="EH11" i="13"/>
  <c r="EH12" i="13" s="1"/>
  <c r="EE22" i="13"/>
  <c r="EF15" i="13"/>
  <c r="EF16" i="13" s="1"/>
  <c r="EF21" i="13"/>
  <c r="EG13" i="13"/>
  <c r="EG14" i="13" s="1"/>
  <c r="EF19" i="13"/>
  <c r="EG9" i="13"/>
  <c r="EG10" i="13" s="1"/>
  <c r="GD8" i="13"/>
  <c r="GE5" i="13"/>
  <c r="GE25" i="13" s="1"/>
  <c r="GF4" i="13"/>
  <c r="EH20" i="13" l="1"/>
  <c r="EI11" i="13"/>
  <c r="EI12" i="13" s="1"/>
  <c r="EG19" i="13"/>
  <c r="EH9" i="13"/>
  <c r="EH10" i="13" s="1"/>
  <c r="EH6" i="13"/>
  <c r="EH7" i="13" s="1"/>
  <c r="EG18" i="13"/>
  <c r="EG24" i="13" s="1"/>
  <c r="EG21" i="13"/>
  <c r="EH13" i="13"/>
  <c r="EH14" i="13" s="1"/>
  <c r="EI3" i="13"/>
  <c r="EI23" i="13" s="1"/>
  <c r="EH26" i="13"/>
  <c r="EH27" i="13" s="1"/>
  <c r="EF22" i="13"/>
  <c r="EG15" i="13"/>
  <c r="EG16" i="13" s="1"/>
  <c r="GE8" i="13"/>
  <c r="GF5" i="13"/>
  <c r="GF25" i="13" s="1"/>
  <c r="GG4" i="13"/>
  <c r="EG22" i="13" l="1"/>
  <c r="EH15" i="13"/>
  <c r="EH16" i="13" s="1"/>
  <c r="EI6" i="13"/>
  <c r="EI7" i="13" s="1"/>
  <c r="EH18" i="13"/>
  <c r="EH24" i="13" s="1"/>
  <c r="EH19" i="13"/>
  <c r="EI9" i="13"/>
  <c r="EI10" i="13" s="1"/>
  <c r="EJ3" i="13"/>
  <c r="EJ23" i="13" s="1"/>
  <c r="EI26" i="13"/>
  <c r="EI27" i="13" s="1"/>
  <c r="EI20" i="13"/>
  <c r="EJ11" i="13"/>
  <c r="EJ12" i="13" s="1"/>
  <c r="EH21" i="13"/>
  <c r="EI13" i="13"/>
  <c r="EI14" i="13" s="1"/>
  <c r="GF8" i="13"/>
  <c r="GG5" i="13"/>
  <c r="GG25" i="13" s="1"/>
  <c r="GH4" i="13"/>
  <c r="EI19" i="13" l="1"/>
  <c r="EJ9" i="13"/>
  <c r="EJ10" i="13" s="1"/>
  <c r="EK3" i="13"/>
  <c r="EK23" i="13" s="1"/>
  <c r="EJ26" i="13"/>
  <c r="EJ27" i="13" s="1"/>
  <c r="EI21" i="13"/>
  <c r="EJ13" i="13"/>
  <c r="EJ14" i="13" s="1"/>
  <c r="EJ20" i="13"/>
  <c r="EK11" i="13"/>
  <c r="EK12" i="13" s="1"/>
  <c r="EI18" i="13"/>
  <c r="EI24" i="13" s="1"/>
  <c r="EJ6" i="13"/>
  <c r="EJ7" i="13" s="1"/>
  <c r="EH22" i="13"/>
  <c r="EI15" i="13"/>
  <c r="EI16" i="13" s="1"/>
  <c r="GG8" i="13"/>
  <c r="GH5" i="13"/>
  <c r="GH25" i="13" s="1"/>
  <c r="GI4" i="13"/>
  <c r="EI22" i="13" l="1"/>
  <c r="EJ15" i="13"/>
  <c r="EJ16" i="13" s="1"/>
  <c r="EK26" i="13"/>
  <c r="EK27" i="13" s="1"/>
  <c r="EL3" i="13"/>
  <c r="EL23" i="13" s="1"/>
  <c r="EJ21" i="13"/>
  <c r="EK13" i="13"/>
  <c r="EK14" i="13" s="1"/>
  <c r="EJ18" i="13"/>
  <c r="EJ24" i="13" s="1"/>
  <c r="EK6" i="13"/>
  <c r="EK7" i="13" s="1"/>
  <c r="EJ19" i="13"/>
  <c r="EK9" i="13"/>
  <c r="EK10" i="13" s="1"/>
  <c r="EK20" i="13"/>
  <c r="EL11" i="13"/>
  <c r="EL12" i="13" s="1"/>
  <c r="GH8" i="13"/>
  <c r="GI5" i="13"/>
  <c r="GI25" i="13" s="1"/>
  <c r="GJ4" i="13"/>
  <c r="EK19" i="13" l="1"/>
  <c r="EL9" i="13"/>
  <c r="EL10" i="13" s="1"/>
  <c r="EL20" i="13"/>
  <c r="EM11" i="13"/>
  <c r="EM12" i="13" s="1"/>
  <c r="EJ22" i="13"/>
  <c r="EK15" i="13"/>
  <c r="EK16" i="13" s="1"/>
  <c r="EK21" i="13"/>
  <c r="EL13" i="13"/>
  <c r="EL14" i="13" s="1"/>
  <c r="EL26" i="13"/>
  <c r="EL27" i="13" s="1"/>
  <c r="EM3" i="13"/>
  <c r="EM23" i="13" s="1"/>
  <c r="EK18" i="13"/>
  <c r="EK24" i="13" s="1"/>
  <c r="EL6" i="13"/>
  <c r="EL7" i="13" s="1"/>
  <c r="GI8" i="13"/>
  <c r="GJ5" i="13"/>
  <c r="GJ25" i="13" s="1"/>
  <c r="GK4" i="13"/>
  <c r="EK22" i="13" l="1"/>
  <c r="EL15" i="13"/>
  <c r="EL16" i="13" s="1"/>
  <c r="EM6" i="13"/>
  <c r="EM7" i="13" s="1"/>
  <c r="EL18" i="13"/>
  <c r="EL24" i="13" s="1"/>
  <c r="EL21" i="13"/>
  <c r="EM13" i="13"/>
  <c r="EM14" i="13" s="1"/>
  <c r="EM20" i="13"/>
  <c r="EN11" i="13"/>
  <c r="EN12" i="13" s="1"/>
  <c r="EN3" i="13"/>
  <c r="EN23" i="13" s="1"/>
  <c r="EM26" i="13"/>
  <c r="EM27" i="13" s="1"/>
  <c r="EL19" i="13"/>
  <c r="EM9" i="13"/>
  <c r="EM10" i="13" s="1"/>
  <c r="GJ8" i="13"/>
  <c r="GK5" i="13"/>
  <c r="GK25" i="13" s="1"/>
  <c r="GL4" i="13"/>
  <c r="EM21" i="13" l="1"/>
  <c r="EN13" i="13"/>
  <c r="EN14" i="13" s="1"/>
  <c r="EN20" i="13"/>
  <c r="EO11" i="13"/>
  <c r="EO12" i="13" s="1"/>
  <c r="EM19" i="13"/>
  <c r="EN9" i="13"/>
  <c r="EN10" i="13" s="1"/>
  <c r="EM18" i="13"/>
  <c r="EM24" i="13" s="1"/>
  <c r="EN6" i="13"/>
  <c r="EN7" i="13" s="1"/>
  <c r="EN26" i="13"/>
  <c r="EN27" i="13" s="1"/>
  <c r="EO3" i="13"/>
  <c r="EO23" i="13" s="1"/>
  <c r="EL22" i="13"/>
  <c r="EM15" i="13"/>
  <c r="EM16" i="13" s="1"/>
  <c r="GK8" i="13"/>
  <c r="GL5" i="13"/>
  <c r="GL25" i="13" s="1"/>
  <c r="GM4" i="13"/>
  <c r="EN19" i="13" l="1"/>
  <c r="EO9" i="13"/>
  <c r="EO10" i="13" s="1"/>
  <c r="EM22" i="13"/>
  <c r="EN15" i="13"/>
  <c r="EN16" i="13" s="1"/>
  <c r="EO6" i="13"/>
  <c r="EO7" i="13" s="1"/>
  <c r="EN18" i="13"/>
  <c r="EN24" i="13" s="1"/>
  <c r="EO20" i="13"/>
  <c r="EP11" i="13"/>
  <c r="EP12" i="13" s="1"/>
  <c r="EO26" i="13"/>
  <c r="EO27" i="13" s="1"/>
  <c r="EP3" i="13"/>
  <c r="EP23" i="13" s="1"/>
  <c r="EN21" i="13"/>
  <c r="EO13" i="13"/>
  <c r="EO14" i="13" s="1"/>
  <c r="GL8" i="13"/>
  <c r="GM5" i="13"/>
  <c r="GM25" i="13" s="1"/>
  <c r="GN4" i="13"/>
  <c r="EO18" i="13" l="1"/>
  <c r="EO24" i="13" s="1"/>
  <c r="EP6" i="13"/>
  <c r="EP7" i="13" s="1"/>
  <c r="EN22" i="13"/>
  <c r="EO15" i="13"/>
  <c r="EO16" i="13" s="1"/>
  <c r="EO21" i="13"/>
  <c r="EP13" i="13"/>
  <c r="EP14" i="13" s="1"/>
  <c r="EQ3" i="13"/>
  <c r="EQ23" i="13" s="1"/>
  <c r="EP26" i="13"/>
  <c r="EP27" i="13" s="1"/>
  <c r="EP20" i="13"/>
  <c r="EQ11" i="13"/>
  <c r="EQ12" i="13" s="1"/>
  <c r="EO19" i="13"/>
  <c r="EP9" i="13"/>
  <c r="EP10" i="13" s="1"/>
  <c r="GM8" i="13"/>
  <c r="GN5" i="13"/>
  <c r="GN25" i="13" s="1"/>
  <c r="GO4" i="13"/>
  <c r="EP21" i="13" l="1"/>
  <c r="EQ13" i="13"/>
  <c r="EQ14" i="13" s="1"/>
  <c r="EP19" i="13"/>
  <c r="EQ9" i="13"/>
  <c r="EQ10" i="13" s="1"/>
  <c r="EO22" i="13"/>
  <c r="EP15" i="13"/>
  <c r="EP16" i="13" s="1"/>
  <c r="EQ20" i="13"/>
  <c r="ER11" i="13"/>
  <c r="ER12" i="13" s="1"/>
  <c r="ER3" i="13"/>
  <c r="ER23" i="13" s="1"/>
  <c r="EQ26" i="13"/>
  <c r="EQ27" i="13" s="1"/>
  <c r="EQ6" i="13"/>
  <c r="EQ7" i="13" s="1"/>
  <c r="EP18" i="13"/>
  <c r="EP24" i="13" s="1"/>
  <c r="GN8" i="13"/>
  <c r="GO5" i="13"/>
  <c r="GO25" i="13" s="1"/>
  <c r="GP4" i="13"/>
  <c r="ER20" i="13" l="1"/>
  <c r="ES11" i="13"/>
  <c r="ES12" i="13" s="1"/>
  <c r="EP22" i="13"/>
  <c r="EQ15" i="13"/>
  <c r="EQ16" i="13" s="1"/>
  <c r="ER6" i="13"/>
  <c r="ER7" i="13" s="1"/>
  <c r="EQ18" i="13"/>
  <c r="EQ24" i="13" s="1"/>
  <c r="EQ19" i="13"/>
  <c r="ER9" i="13"/>
  <c r="ER10" i="13" s="1"/>
  <c r="ES3" i="13"/>
  <c r="ES23" i="13" s="1"/>
  <c r="ER26" i="13"/>
  <c r="ER27" i="13" s="1"/>
  <c r="EQ21" i="13"/>
  <c r="ER13" i="13"/>
  <c r="ER14" i="13" s="1"/>
  <c r="GO8" i="13"/>
  <c r="GP5" i="13"/>
  <c r="GP25" i="13" s="1"/>
  <c r="GQ4" i="13"/>
  <c r="ER19" i="13" l="1"/>
  <c r="ES9" i="13"/>
  <c r="ES10" i="13" s="1"/>
  <c r="ER18" i="13"/>
  <c r="ER24" i="13" s="1"/>
  <c r="ES6" i="13"/>
  <c r="ES7" i="13" s="1"/>
  <c r="EQ22" i="13"/>
  <c r="ER15" i="13"/>
  <c r="ER16" i="13" s="1"/>
  <c r="ER21" i="13"/>
  <c r="ES13" i="13"/>
  <c r="ES14" i="13" s="1"/>
  <c r="ES26" i="13"/>
  <c r="ES27" i="13" s="1"/>
  <c r="ET3" i="13"/>
  <c r="ET23" i="13" s="1"/>
  <c r="ES20" i="13"/>
  <c r="ET11" i="13"/>
  <c r="ET12" i="13" s="1"/>
  <c r="GP8" i="13"/>
  <c r="GQ5" i="13"/>
  <c r="GQ25" i="13" s="1"/>
  <c r="GR4" i="13"/>
  <c r="ES21" i="13" l="1"/>
  <c r="ET13" i="13"/>
  <c r="ET14" i="13" s="1"/>
  <c r="ER22" i="13"/>
  <c r="ES15" i="13"/>
  <c r="ES16" i="13" s="1"/>
  <c r="ET20" i="13"/>
  <c r="EU11" i="13"/>
  <c r="EU12" i="13" s="1"/>
  <c r="ET6" i="13"/>
  <c r="ET7" i="13" s="1"/>
  <c r="ES18" i="13"/>
  <c r="ES24" i="13" s="1"/>
  <c r="EU3" i="13"/>
  <c r="EU23" i="13" s="1"/>
  <c r="ET26" i="13"/>
  <c r="ET27" i="13" s="1"/>
  <c r="ES19" i="13"/>
  <c r="ET9" i="13"/>
  <c r="ET10" i="13" s="1"/>
  <c r="GQ8" i="13"/>
  <c r="GR5" i="13"/>
  <c r="GR25" i="13" s="1"/>
  <c r="GS4" i="13"/>
  <c r="ET19" i="13" l="1"/>
  <c r="EU9" i="13"/>
  <c r="EU10" i="13" s="1"/>
  <c r="ES22" i="13"/>
  <c r="ET15" i="13"/>
  <c r="ET16" i="13" s="1"/>
  <c r="EU20" i="13"/>
  <c r="EV11" i="13"/>
  <c r="EV12" i="13" s="1"/>
  <c r="EV3" i="13"/>
  <c r="EV23" i="13" s="1"/>
  <c r="EU26" i="13"/>
  <c r="EU27" i="13" s="1"/>
  <c r="ET21" i="13"/>
  <c r="EU13" i="13"/>
  <c r="EU14" i="13" s="1"/>
  <c r="ET18" i="13"/>
  <c r="ET24" i="13" s="1"/>
  <c r="EU6" i="13"/>
  <c r="EU7" i="13" s="1"/>
  <c r="GR8" i="13"/>
  <c r="GS5" i="13"/>
  <c r="GS25" i="13" s="1"/>
  <c r="GT4" i="13"/>
  <c r="EW3" i="13" l="1"/>
  <c r="EW23" i="13" s="1"/>
  <c r="EV26" i="13"/>
  <c r="EV27" i="13" s="1"/>
  <c r="EV20" i="13"/>
  <c r="EW11" i="13"/>
  <c r="EW12" i="13" s="1"/>
  <c r="EV6" i="13"/>
  <c r="EV7" i="13" s="1"/>
  <c r="EU18" i="13"/>
  <c r="EU24" i="13" s="1"/>
  <c r="ET22" i="13"/>
  <c r="EU15" i="13"/>
  <c r="EU16" i="13" s="1"/>
  <c r="EU21" i="13"/>
  <c r="EV13" i="13"/>
  <c r="EV14" i="13" s="1"/>
  <c r="EU19" i="13"/>
  <c r="EV9" i="13"/>
  <c r="EV10" i="13" s="1"/>
  <c r="GS8" i="13"/>
  <c r="GT5" i="13"/>
  <c r="GT25" i="13" s="1"/>
  <c r="GU4" i="13"/>
  <c r="EV18" i="13" l="1"/>
  <c r="EV24" i="13" s="1"/>
  <c r="EW6" i="13"/>
  <c r="EW7" i="13" s="1"/>
  <c r="EV19" i="13"/>
  <c r="EW9" i="13"/>
  <c r="EW10" i="13" s="1"/>
  <c r="EW20" i="13"/>
  <c r="EX11" i="13"/>
  <c r="EX12" i="13" s="1"/>
  <c r="EV21" i="13"/>
  <c r="EW13" i="13"/>
  <c r="EW14" i="13" s="1"/>
  <c r="EW26" i="13"/>
  <c r="EW27" i="13" s="1"/>
  <c r="EX3" i="13"/>
  <c r="EX23" i="13" s="1"/>
  <c r="EU22" i="13"/>
  <c r="EV15" i="13"/>
  <c r="EV16" i="13" s="1"/>
  <c r="GT8" i="13"/>
  <c r="GU5" i="13"/>
  <c r="GU25" i="13" s="1"/>
  <c r="GV4" i="13"/>
  <c r="EW21" i="13" l="1"/>
  <c r="EX13" i="13"/>
  <c r="EX14" i="13" s="1"/>
  <c r="EX20" i="13"/>
  <c r="EY11" i="13"/>
  <c r="EY12" i="13" s="1"/>
  <c r="EV22" i="13"/>
  <c r="EW15" i="13"/>
  <c r="EW16" i="13" s="1"/>
  <c r="EW19" i="13"/>
  <c r="EX9" i="13"/>
  <c r="EX10" i="13" s="1"/>
  <c r="EX26" i="13"/>
  <c r="EX27" i="13" s="1"/>
  <c r="EY3" i="13"/>
  <c r="EY23" i="13" s="1"/>
  <c r="EW18" i="13"/>
  <c r="EW24" i="13" s="1"/>
  <c r="EX6" i="13"/>
  <c r="EX7" i="13" s="1"/>
  <c r="GU8" i="13"/>
  <c r="GV5" i="13"/>
  <c r="GV25" i="13" s="1"/>
  <c r="GW4" i="13"/>
  <c r="EX19" i="13" l="1"/>
  <c r="EY9" i="13"/>
  <c r="EY10" i="13" s="1"/>
  <c r="EW22" i="13"/>
  <c r="EX15" i="13"/>
  <c r="EX16" i="13" s="1"/>
  <c r="EX18" i="13"/>
  <c r="EX24" i="13" s="1"/>
  <c r="EY6" i="13"/>
  <c r="EY7" i="13" s="1"/>
  <c r="EY20" i="13"/>
  <c r="EZ11" i="13"/>
  <c r="EZ12" i="13" s="1"/>
  <c r="EZ3" i="13"/>
  <c r="EZ23" i="13" s="1"/>
  <c r="EY26" i="13"/>
  <c r="EY27" i="13" s="1"/>
  <c r="EX21" i="13"/>
  <c r="EY13" i="13"/>
  <c r="EY14" i="13" s="1"/>
  <c r="GV8" i="13"/>
  <c r="GW5" i="13"/>
  <c r="GW25" i="13" s="1"/>
  <c r="GX4" i="13"/>
  <c r="EZ20" i="13" l="1"/>
  <c r="FA11" i="13"/>
  <c r="FA12" i="13" s="1"/>
  <c r="EZ6" i="13"/>
  <c r="EZ7" i="13" s="1"/>
  <c r="EY18" i="13"/>
  <c r="EY24" i="13" s="1"/>
  <c r="EY21" i="13"/>
  <c r="EZ13" i="13"/>
  <c r="EZ14" i="13" s="1"/>
  <c r="EX22" i="13"/>
  <c r="EY15" i="13"/>
  <c r="EY16" i="13" s="1"/>
  <c r="EY19" i="13"/>
  <c r="EZ9" i="13"/>
  <c r="EZ10" i="13" s="1"/>
  <c r="EZ26" i="13"/>
  <c r="EZ27" i="13" s="1"/>
  <c r="FA3" i="13"/>
  <c r="FA23" i="13" s="1"/>
  <c r="GW8" i="13"/>
  <c r="GX5" i="13"/>
  <c r="GX25" i="13" s="1"/>
  <c r="GY4" i="13"/>
  <c r="EY22" i="13" l="1"/>
  <c r="EZ15" i="13"/>
  <c r="EZ16" i="13" s="1"/>
  <c r="EZ21" i="13"/>
  <c r="FA13" i="13"/>
  <c r="FA14" i="13" s="1"/>
  <c r="FB3" i="13"/>
  <c r="FB23" i="13" s="1"/>
  <c r="FA26" i="13"/>
  <c r="FA27" i="13" s="1"/>
  <c r="EZ18" i="13"/>
  <c r="EZ24" i="13" s="1"/>
  <c r="FA6" i="13"/>
  <c r="FA7" i="13" s="1"/>
  <c r="EZ19" i="13"/>
  <c r="FA9" i="13"/>
  <c r="FA10" i="13" s="1"/>
  <c r="FA20" i="13"/>
  <c r="FB11" i="13"/>
  <c r="FB12" i="13" s="1"/>
  <c r="GX8" i="13"/>
  <c r="GY5" i="13"/>
  <c r="GY25" i="13" s="1"/>
  <c r="GZ4" i="13"/>
  <c r="FC3" i="13" l="1"/>
  <c r="FC23" i="13" s="1"/>
  <c r="FB26" i="13"/>
  <c r="FB27" i="13" s="1"/>
  <c r="FB20" i="13"/>
  <c r="FC11" i="13"/>
  <c r="FC12" i="13" s="1"/>
  <c r="FA21" i="13"/>
  <c r="FB13" i="13"/>
  <c r="FB14" i="13" s="1"/>
  <c r="FA19" i="13"/>
  <c r="FB9" i="13"/>
  <c r="FB10" i="13" s="1"/>
  <c r="EZ22" i="13"/>
  <c r="FA15" i="13"/>
  <c r="FA16" i="13" s="1"/>
  <c r="FA18" i="13"/>
  <c r="FA24" i="13" s="1"/>
  <c r="FB6" i="13"/>
  <c r="FB7" i="13" s="1"/>
  <c r="GY8" i="13"/>
  <c r="GZ5" i="13"/>
  <c r="GZ25" i="13" s="1"/>
  <c r="HA4" i="13"/>
  <c r="FB21" i="13" l="1"/>
  <c r="FC13" i="13"/>
  <c r="FC14" i="13" s="1"/>
  <c r="FB18" i="13"/>
  <c r="FB24" i="13" s="1"/>
  <c r="FC6" i="13"/>
  <c r="FC7" i="13" s="1"/>
  <c r="FC20" i="13"/>
  <c r="FD11" i="13"/>
  <c r="FD12" i="13" s="1"/>
  <c r="FA22" i="13"/>
  <c r="FB15" i="13"/>
  <c r="FB16" i="13" s="1"/>
  <c r="FC26" i="13"/>
  <c r="FC27" i="13" s="1"/>
  <c r="FD3" i="13"/>
  <c r="FD23" i="13" s="1"/>
  <c r="FB19" i="13"/>
  <c r="FC9" i="13"/>
  <c r="FC10" i="13" s="1"/>
  <c r="GZ8" i="13"/>
  <c r="HA5" i="13"/>
  <c r="HA25" i="13" s="1"/>
  <c r="HB4" i="13"/>
  <c r="FB22" i="13" l="1"/>
  <c r="FC15" i="13"/>
  <c r="FC16" i="13" s="1"/>
  <c r="FC19" i="13"/>
  <c r="FD9" i="13"/>
  <c r="FD10" i="13" s="1"/>
  <c r="FD20" i="13"/>
  <c r="FE11" i="13"/>
  <c r="FE12" i="13" s="1"/>
  <c r="FD6" i="13"/>
  <c r="FD7" i="13" s="1"/>
  <c r="FC18" i="13"/>
  <c r="FC24" i="13" s="1"/>
  <c r="FC21" i="13"/>
  <c r="FD13" i="13"/>
  <c r="FD14" i="13" s="1"/>
  <c r="FE3" i="13"/>
  <c r="FE23" i="13" s="1"/>
  <c r="FD26" i="13"/>
  <c r="FD27" i="13" s="1"/>
  <c r="HA8" i="13"/>
  <c r="HC4" i="13"/>
  <c r="HB5" i="13"/>
  <c r="HB25" i="13" s="1"/>
  <c r="FE6" i="13" l="1"/>
  <c r="FE7" i="13" s="1"/>
  <c r="FD18" i="13"/>
  <c r="FD24" i="13" s="1"/>
  <c r="FE20" i="13"/>
  <c r="FF11" i="13"/>
  <c r="FF12" i="13" s="1"/>
  <c r="FE26" i="13"/>
  <c r="FE27" i="13" s="1"/>
  <c r="FF3" i="13"/>
  <c r="FF23" i="13" s="1"/>
  <c r="FD19" i="13"/>
  <c r="FE9" i="13"/>
  <c r="FE10" i="13" s="1"/>
  <c r="FD21" i="13"/>
  <c r="FE13" i="13"/>
  <c r="FE14" i="13" s="1"/>
  <c r="FC22" i="13"/>
  <c r="FD15" i="13"/>
  <c r="FD16" i="13" s="1"/>
  <c r="HB8" i="13"/>
  <c r="HD4" i="13"/>
  <c r="HC5" i="13"/>
  <c r="HC25" i="13" s="1"/>
  <c r="FF26" i="13" l="1"/>
  <c r="FF27" i="13" s="1"/>
  <c r="FG3" i="13"/>
  <c r="FG23" i="13" s="1"/>
  <c r="FD22" i="13"/>
  <c r="FE15" i="13"/>
  <c r="FE16" i="13" s="1"/>
  <c r="FF20" i="13"/>
  <c r="FG11" i="13"/>
  <c r="FG12" i="13" s="1"/>
  <c r="FE21" i="13"/>
  <c r="FF13" i="13"/>
  <c r="FF14" i="13" s="1"/>
  <c r="FE19" i="13"/>
  <c r="FF9" i="13"/>
  <c r="FF10" i="13" s="1"/>
  <c r="FF6" i="13"/>
  <c r="FF7" i="13" s="1"/>
  <c r="FE18" i="13"/>
  <c r="FE24" i="13" s="1"/>
  <c r="HC8" i="13"/>
  <c r="HD5" i="13"/>
  <c r="HD25" i="13" s="1"/>
  <c r="HE4" i="13"/>
  <c r="FE22" i="13" l="1"/>
  <c r="FF15" i="13"/>
  <c r="FF16" i="13" s="1"/>
  <c r="FG6" i="13"/>
  <c r="FG7" i="13" s="1"/>
  <c r="FF18" i="13"/>
  <c r="FF24" i="13" s="1"/>
  <c r="FF19" i="13"/>
  <c r="FG9" i="13"/>
  <c r="FG10" i="13" s="1"/>
  <c r="FG26" i="13"/>
  <c r="FG27" i="13" s="1"/>
  <c r="FH3" i="13"/>
  <c r="FH23" i="13" s="1"/>
  <c r="FG20" i="13"/>
  <c r="FH11" i="13"/>
  <c r="FH12" i="13" s="1"/>
  <c r="FF21" i="13"/>
  <c r="FG13" i="13"/>
  <c r="FG14" i="13" s="1"/>
  <c r="HD8" i="13"/>
  <c r="HE5" i="13"/>
  <c r="HE25" i="13" s="1"/>
  <c r="HF4" i="13"/>
  <c r="FG19" i="13" l="1"/>
  <c r="FH9" i="13"/>
  <c r="FH10" i="13" s="1"/>
  <c r="FG21" i="13"/>
  <c r="FH13" i="13"/>
  <c r="FH14" i="13" s="1"/>
  <c r="FG18" i="13"/>
  <c r="FG24" i="13" s="1"/>
  <c r="FH6" i="13"/>
  <c r="FH7" i="13" s="1"/>
  <c r="FF22" i="13"/>
  <c r="FG15" i="13"/>
  <c r="FG16" i="13" s="1"/>
  <c r="FH20" i="13"/>
  <c r="FI11" i="13"/>
  <c r="FI12" i="13" s="1"/>
  <c r="FH26" i="13"/>
  <c r="FH27" i="13" s="1"/>
  <c r="FI3" i="13"/>
  <c r="FI23" i="13" s="1"/>
  <c r="HE8" i="13"/>
  <c r="HF5" i="13"/>
  <c r="HF25" i="13" s="1"/>
  <c r="HG4" i="13"/>
  <c r="FG22" i="13" l="1"/>
  <c r="FH15" i="13"/>
  <c r="FH16" i="13" s="1"/>
  <c r="FI6" i="13"/>
  <c r="FI7" i="13" s="1"/>
  <c r="FH18" i="13"/>
  <c r="FH24" i="13" s="1"/>
  <c r="FJ3" i="13"/>
  <c r="FJ23" i="13" s="1"/>
  <c r="FI26" i="13"/>
  <c r="FI27" i="13" s="1"/>
  <c r="FH21" i="13"/>
  <c r="FI13" i="13"/>
  <c r="FI14" i="13" s="1"/>
  <c r="FI20" i="13"/>
  <c r="FJ11" i="13"/>
  <c r="FJ12" i="13" s="1"/>
  <c r="FH19" i="13"/>
  <c r="FI9" i="13"/>
  <c r="FI10" i="13" s="1"/>
  <c r="HF8" i="13"/>
  <c r="HG5" i="13"/>
  <c r="HG25" i="13" s="1"/>
  <c r="HH4" i="13"/>
  <c r="FK3" i="13" l="1"/>
  <c r="FK23" i="13" s="1"/>
  <c r="FJ26" i="13"/>
  <c r="FJ27" i="13" s="1"/>
  <c r="FI19" i="13"/>
  <c r="FJ9" i="13"/>
  <c r="FJ10" i="13" s="1"/>
  <c r="FI18" i="13"/>
  <c r="FI24" i="13" s="1"/>
  <c r="FJ6" i="13"/>
  <c r="FJ7" i="13" s="1"/>
  <c r="FJ20" i="13"/>
  <c r="FK11" i="13"/>
  <c r="FK12" i="13" s="1"/>
  <c r="FH22" i="13"/>
  <c r="FI15" i="13"/>
  <c r="FI16" i="13" s="1"/>
  <c r="FI21" i="13"/>
  <c r="FJ13" i="13"/>
  <c r="FJ14" i="13" s="1"/>
  <c r="HG8" i="13"/>
  <c r="HH5" i="13"/>
  <c r="HH25" i="13" s="1"/>
  <c r="HI4" i="13"/>
  <c r="FJ18" i="13" l="1"/>
  <c r="FJ24" i="13" s="1"/>
  <c r="FK6" i="13"/>
  <c r="FK7" i="13" s="1"/>
  <c r="FJ21" i="13"/>
  <c r="FK13" i="13"/>
  <c r="FK14" i="13" s="1"/>
  <c r="FJ19" i="13"/>
  <c r="FK9" i="13"/>
  <c r="FK10" i="13" s="1"/>
  <c r="FI22" i="13"/>
  <c r="FJ15" i="13"/>
  <c r="FJ16" i="13" s="1"/>
  <c r="FK20" i="13"/>
  <c r="FL11" i="13"/>
  <c r="FL12" i="13" s="1"/>
  <c r="FL3" i="13"/>
  <c r="FL23" i="13" s="1"/>
  <c r="FK26" i="13"/>
  <c r="FK27" i="13" s="1"/>
  <c r="HH8" i="13"/>
  <c r="HI5" i="13"/>
  <c r="HI25" i="13" s="1"/>
  <c r="HJ4" i="13"/>
  <c r="FJ22" i="13" l="1"/>
  <c r="FK15" i="13"/>
  <c r="FK16" i="13" s="1"/>
  <c r="FK19" i="13"/>
  <c r="FL9" i="13"/>
  <c r="FL10" i="13" s="1"/>
  <c r="FM3" i="13"/>
  <c r="FM23" i="13" s="1"/>
  <c r="FL26" i="13"/>
  <c r="FL27" i="13" s="1"/>
  <c r="FK21" i="13"/>
  <c r="FL13" i="13"/>
  <c r="FL14" i="13" s="1"/>
  <c r="FL20" i="13"/>
  <c r="FM11" i="13"/>
  <c r="FM12" i="13" s="1"/>
  <c r="FK18" i="13"/>
  <c r="FK24" i="13" s="1"/>
  <c r="FL6" i="13"/>
  <c r="FL7" i="13" s="1"/>
  <c r="HI8" i="13"/>
  <c r="HJ5" i="13"/>
  <c r="HJ25" i="13" s="1"/>
  <c r="HK4" i="13"/>
  <c r="FM26" i="13" l="1"/>
  <c r="FM27" i="13" s="1"/>
  <c r="FN3" i="13"/>
  <c r="FN23" i="13" s="1"/>
  <c r="FL18" i="13"/>
  <c r="FL24" i="13" s="1"/>
  <c r="FM6" i="13"/>
  <c r="FM7" i="13" s="1"/>
  <c r="FL19" i="13"/>
  <c r="FM9" i="13"/>
  <c r="FM10" i="13" s="1"/>
  <c r="FM20" i="13"/>
  <c r="FN11" i="13"/>
  <c r="FN12" i="13" s="1"/>
  <c r="FK22" i="13"/>
  <c r="FL15" i="13"/>
  <c r="FL16" i="13" s="1"/>
  <c r="FL21" i="13"/>
  <c r="FM13" i="13"/>
  <c r="FM14" i="13" s="1"/>
  <c r="HJ8" i="13"/>
  <c r="HK5" i="13"/>
  <c r="HK25" i="13" s="1"/>
  <c r="HL4" i="13"/>
  <c r="FM19" i="13" l="1"/>
  <c r="FN9" i="13"/>
  <c r="FN10" i="13" s="1"/>
  <c r="FM21" i="13"/>
  <c r="FN13" i="13"/>
  <c r="FN14" i="13" s="1"/>
  <c r="FN6" i="13"/>
  <c r="FN7" i="13" s="1"/>
  <c r="FM18" i="13"/>
  <c r="FM24" i="13" s="1"/>
  <c r="FO3" i="13"/>
  <c r="FO23" i="13" s="1"/>
  <c r="FN26" i="13"/>
  <c r="FN27" i="13" s="1"/>
  <c r="FL22" i="13"/>
  <c r="FM15" i="13"/>
  <c r="FM16" i="13" s="1"/>
  <c r="FN20" i="13"/>
  <c r="FO11" i="13"/>
  <c r="FO12" i="13" s="1"/>
  <c r="HK8" i="13"/>
  <c r="HL5" i="13"/>
  <c r="HL25" i="13" s="1"/>
  <c r="HM4" i="13"/>
  <c r="FP3" i="13" l="1"/>
  <c r="FP23" i="13" s="1"/>
  <c r="FO26" i="13"/>
  <c r="FO27" i="13" s="1"/>
  <c r="FO20" i="13"/>
  <c r="FP11" i="13"/>
  <c r="FP12" i="13" s="1"/>
  <c r="FO6" i="13"/>
  <c r="FO7" i="13" s="1"/>
  <c r="FN18" i="13"/>
  <c r="FN24" i="13" s="1"/>
  <c r="FN21" i="13"/>
  <c r="FO13" i="13"/>
  <c r="FO14" i="13" s="1"/>
  <c r="FM22" i="13"/>
  <c r="FN15" i="13"/>
  <c r="FN16" i="13" s="1"/>
  <c r="FN19" i="13"/>
  <c r="FO9" i="13"/>
  <c r="FO10" i="13" s="1"/>
  <c r="HL8" i="13"/>
  <c r="HM5" i="13"/>
  <c r="HM25" i="13" s="1"/>
  <c r="HN4" i="13"/>
  <c r="FP6" i="13" l="1"/>
  <c r="FP7" i="13" s="1"/>
  <c r="FO18" i="13"/>
  <c r="FO24" i="13" s="1"/>
  <c r="FO19" i="13"/>
  <c r="FP9" i="13"/>
  <c r="FP10" i="13" s="1"/>
  <c r="FP20" i="13"/>
  <c r="FQ11" i="13"/>
  <c r="FQ12" i="13" s="1"/>
  <c r="FN22" i="13"/>
  <c r="FO15" i="13"/>
  <c r="FO16" i="13" s="1"/>
  <c r="FQ3" i="13"/>
  <c r="FQ23" i="13" s="1"/>
  <c r="FP26" i="13"/>
  <c r="FP27" i="13" s="1"/>
  <c r="FO21" i="13"/>
  <c r="FP13" i="13"/>
  <c r="FP14" i="13" s="1"/>
  <c r="HM8" i="13"/>
  <c r="HN5" i="13"/>
  <c r="HN25" i="13" s="1"/>
  <c r="HO4" i="13"/>
  <c r="FO22" i="13" l="1"/>
  <c r="FP15" i="13"/>
  <c r="FP16" i="13" s="1"/>
  <c r="FQ20" i="13"/>
  <c r="FR11" i="13"/>
  <c r="FR12" i="13" s="1"/>
  <c r="FP21" i="13"/>
  <c r="FQ13" i="13"/>
  <c r="FQ14" i="13" s="1"/>
  <c r="FP19" i="13"/>
  <c r="FQ9" i="13"/>
  <c r="FQ10" i="13" s="1"/>
  <c r="FR3" i="13"/>
  <c r="FR23" i="13" s="1"/>
  <c r="FQ26" i="13"/>
  <c r="FQ27" i="13" s="1"/>
  <c r="FQ6" i="13"/>
  <c r="FQ7" i="13" s="1"/>
  <c r="FP18" i="13"/>
  <c r="FP24" i="13" s="1"/>
  <c r="HN8" i="13"/>
  <c r="HO5" i="13"/>
  <c r="HO25" i="13" s="1"/>
  <c r="HP4" i="13"/>
  <c r="FQ19" i="13" l="1"/>
  <c r="FR9" i="13"/>
  <c r="FR10" i="13" s="1"/>
  <c r="FQ21" i="13"/>
  <c r="FR13" i="13"/>
  <c r="FR14" i="13" s="1"/>
  <c r="FR20" i="13"/>
  <c r="FS11" i="13"/>
  <c r="FS12" i="13" s="1"/>
  <c r="FR26" i="13"/>
  <c r="FR27" i="13" s="1"/>
  <c r="FS3" i="13"/>
  <c r="FS23" i="13" s="1"/>
  <c r="FP22" i="13"/>
  <c r="FQ15" i="13"/>
  <c r="FQ16" i="13" s="1"/>
  <c r="FQ18" i="13"/>
  <c r="FQ24" i="13" s="1"/>
  <c r="FR6" i="13"/>
  <c r="FR7" i="13" s="1"/>
  <c r="HO8" i="13"/>
  <c r="HP5" i="13"/>
  <c r="HP25" i="13" s="1"/>
  <c r="HQ4" i="13"/>
  <c r="FS20" i="13" l="1"/>
  <c r="FT11" i="13"/>
  <c r="FT12" i="13" s="1"/>
  <c r="FS6" i="13"/>
  <c r="FS7" i="13" s="1"/>
  <c r="FR18" i="13"/>
  <c r="FR24" i="13" s="1"/>
  <c r="FR21" i="13"/>
  <c r="FS13" i="13"/>
  <c r="FS14" i="13" s="1"/>
  <c r="FQ22" i="13"/>
  <c r="FR15" i="13"/>
  <c r="FR16" i="13" s="1"/>
  <c r="FR19" i="13"/>
  <c r="FS9" i="13"/>
  <c r="FS10" i="13" s="1"/>
  <c r="FT3" i="13"/>
  <c r="FT23" i="13" s="1"/>
  <c r="FS26" i="13"/>
  <c r="FS27" i="13" s="1"/>
  <c r="HP8" i="13"/>
  <c r="HQ5" i="13"/>
  <c r="HQ25" i="13" s="1"/>
  <c r="HR4" i="13"/>
  <c r="FR22" i="13" l="1"/>
  <c r="FS15" i="13"/>
  <c r="FS16" i="13" s="1"/>
  <c r="FS21" i="13"/>
  <c r="FT13" i="13"/>
  <c r="FT14" i="13" s="1"/>
  <c r="FU3" i="13"/>
  <c r="FU23" i="13" s="1"/>
  <c r="FT26" i="13"/>
  <c r="FT27" i="13" s="1"/>
  <c r="FT6" i="13"/>
  <c r="FT7" i="13" s="1"/>
  <c r="FS18" i="13"/>
  <c r="FS24" i="13" s="1"/>
  <c r="FT20" i="13"/>
  <c r="FU11" i="13"/>
  <c r="FU12" i="13" s="1"/>
  <c r="FS19" i="13"/>
  <c r="FT9" i="13"/>
  <c r="FT10" i="13" s="1"/>
  <c r="HQ8" i="13"/>
  <c r="HR5" i="13"/>
  <c r="HR25" i="13" s="1"/>
  <c r="HS4" i="13"/>
  <c r="FU6" i="13" l="1"/>
  <c r="FU7" i="13" s="1"/>
  <c r="FT18" i="13"/>
  <c r="FT24" i="13" s="1"/>
  <c r="FT19" i="13"/>
  <c r="FU9" i="13"/>
  <c r="FU10" i="13" s="1"/>
  <c r="FV3" i="13"/>
  <c r="FV23" i="13" s="1"/>
  <c r="FU26" i="13"/>
  <c r="FU27" i="13" s="1"/>
  <c r="FT21" i="13"/>
  <c r="FU13" i="13"/>
  <c r="FU14" i="13" s="1"/>
  <c r="FU20" i="13"/>
  <c r="FV11" i="13"/>
  <c r="FV12" i="13" s="1"/>
  <c r="FS22" i="13"/>
  <c r="FT15" i="13"/>
  <c r="FT16" i="13" s="1"/>
  <c r="HR8" i="13"/>
  <c r="HS5" i="13"/>
  <c r="HS25" i="13" s="1"/>
  <c r="HT4" i="13"/>
  <c r="FW3" i="13" l="1"/>
  <c r="FW23" i="13" s="1"/>
  <c r="FV26" i="13"/>
  <c r="FV27" i="13" s="1"/>
  <c r="FT22" i="13"/>
  <c r="FU15" i="13"/>
  <c r="FU16" i="13" s="1"/>
  <c r="FU19" i="13"/>
  <c r="FV9" i="13"/>
  <c r="FV10" i="13" s="1"/>
  <c r="FV20" i="13"/>
  <c r="FW11" i="13"/>
  <c r="FW12" i="13" s="1"/>
  <c r="FU21" i="13"/>
  <c r="FV13" i="13"/>
  <c r="FV14" i="13" s="1"/>
  <c r="FU18" i="13"/>
  <c r="FU24" i="13" s="1"/>
  <c r="FV6" i="13"/>
  <c r="FV7" i="13" s="1"/>
  <c r="HS8" i="13"/>
  <c r="HT5" i="13"/>
  <c r="HT25" i="13" s="1"/>
  <c r="HU4" i="13"/>
  <c r="FV19" i="13" l="1"/>
  <c r="FW9" i="13"/>
  <c r="FW10" i="13" s="1"/>
  <c r="FV18" i="13"/>
  <c r="FV24" i="13" s="1"/>
  <c r="FW6" i="13"/>
  <c r="FW7" i="13" s="1"/>
  <c r="FU22" i="13"/>
  <c r="FV15" i="13"/>
  <c r="FV16" i="13" s="1"/>
  <c r="FV21" i="13"/>
  <c r="FW13" i="13"/>
  <c r="FW14" i="13" s="1"/>
  <c r="FX3" i="13"/>
  <c r="FX23" i="13" s="1"/>
  <c r="FW26" i="13"/>
  <c r="FW27" i="13" s="1"/>
  <c r="FW20" i="13"/>
  <c r="FX11" i="13"/>
  <c r="FX12" i="13" s="1"/>
  <c r="HT8" i="13"/>
  <c r="HU5" i="13"/>
  <c r="HU25" i="13" s="1"/>
  <c r="HV4" i="13"/>
  <c r="FW21" i="13" l="1"/>
  <c r="FX13" i="13"/>
  <c r="FX14" i="13" s="1"/>
  <c r="FV22" i="13"/>
  <c r="FW15" i="13"/>
  <c r="FW16" i="13" s="1"/>
  <c r="FX20" i="13"/>
  <c r="FY11" i="13"/>
  <c r="FY12" i="13" s="1"/>
  <c r="FX6" i="13"/>
  <c r="FX7" i="13" s="1"/>
  <c r="FW18" i="13"/>
  <c r="FW24" i="13" s="1"/>
  <c r="FX26" i="13"/>
  <c r="FX27" i="13" s="1"/>
  <c r="FY3" i="13"/>
  <c r="FY23" i="13" s="1"/>
  <c r="FW19" i="13"/>
  <c r="FX9" i="13"/>
  <c r="FX10" i="13" s="1"/>
  <c r="HU8" i="13"/>
  <c r="HV5" i="13"/>
  <c r="HV25" i="13" s="1"/>
  <c r="HW4" i="13"/>
  <c r="FY6" i="13" l="1"/>
  <c r="FY7" i="13" s="1"/>
  <c r="FX18" i="13"/>
  <c r="FX24" i="13" s="1"/>
  <c r="FY20" i="13"/>
  <c r="FZ11" i="13"/>
  <c r="FZ12" i="13" s="1"/>
  <c r="FX19" i="13"/>
  <c r="FY9" i="13"/>
  <c r="FY10" i="13" s="1"/>
  <c r="FW22" i="13"/>
  <c r="FX15" i="13"/>
  <c r="FX16" i="13" s="1"/>
  <c r="FZ3" i="13"/>
  <c r="FZ23" i="13" s="1"/>
  <c r="FY26" i="13"/>
  <c r="FY27" i="13" s="1"/>
  <c r="FX21" i="13"/>
  <c r="FY13" i="13"/>
  <c r="FY14" i="13" s="1"/>
  <c r="HV8" i="13"/>
  <c r="HW5" i="13"/>
  <c r="HW25" i="13" s="1"/>
  <c r="HX4" i="13"/>
  <c r="FX22" i="13" l="1"/>
  <c r="FY15" i="13"/>
  <c r="FY16" i="13" s="1"/>
  <c r="FY19" i="13"/>
  <c r="FZ9" i="13"/>
  <c r="FZ10" i="13" s="1"/>
  <c r="FY21" i="13"/>
  <c r="FZ13" i="13"/>
  <c r="FZ14" i="13" s="1"/>
  <c r="FZ20" i="13"/>
  <c r="GA11" i="13"/>
  <c r="GA12" i="13" s="1"/>
  <c r="GA3" i="13"/>
  <c r="GA23" i="13" s="1"/>
  <c r="FZ26" i="13"/>
  <c r="FZ27" i="13" s="1"/>
  <c r="FZ6" i="13"/>
  <c r="FZ7" i="13" s="1"/>
  <c r="FY18" i="13"/>
  <c r="FY24" i="13" s="1"/>
  <c r="HW8" i="13"/>
  <c r="HX5" i="13"/>
  <c r="HX25" i="13" s="1"/>
  <c r="HY4" i="13"/>
  <c r="GA20" i="13" l="1"/>
  <c r="GB11" i="13"/>
  <c r="GB12" i="13" s="1"/>
  <c r="FZ21" i="13"/>
  <c r="GA13" i="13"/>
  <c r="GA14" i="13" s="1"/>
  <c r="FZ19" i="13"/>
  <c r="GA9" i="13"/>
  <c r="GA10" i="13" s="1"/>
  <c r="GB3" i="13"/>
  <c r="GB23" i="13" s="1"/>
  <c r="GA26" i="13"/>
  <c r="GA27" i="13" s="1"/>
  <c r="FY22" i="13"/>
  <c r="FZ15" i="13"/>
  <c r="FZ16" i="13" s="1"/>
  <c r="GA6" i="13"/>
  <c r="GA7" i="13" s="1"/>
  <c r="FZ18" i="13"/>
  <c r="FZ24" i="13" s="1"/>
  <c r="HX8" i="13"/>
  <c r="HY5" i="13"/>
  <c r="HY25" i="13" s="1"/>
  <c r="HZ4" i="13"/>
  <c r="GC3" i="13" l="1"/>
  <c r="GC23" i="13" s="1"/>
  <c r="GB26" i="13"/>
  <c r="GB27" i="13" s="1"/>
  <c r="GA19" i="13"/>
  <c r="GB9" i="13"/>
  <c r="GB10" i="13" s="1"/>
  <c r="GA21" i="13"/>
  <c r="GB13" i="13"/>
  <c r="GB14" i="13" s="1"/>
  <c r="GA18" i="13"/>
  <c r="GA24" i="13" s="1"/>
  <c r="GB6" i="13"/>
  <c r="GB7" i="13" s="1"/>
  <c r="FZ22" i="13"/>
  <c r="GA15" i="13"/>
  <c r="GA16" i="13" s="1"/>
  <c r="GB20" i="13"/>
  <c r="GC11" i="13"/>
  <c r="GC12" i="13" s="1"/>
  <c r="HY8" i="13"/>
  <c r="HZ5" i="13"/>
  <c r="HZ25" i="13" s="1"/>
  <c r="IA4" i="13"/>
  <c r="GB21" i="13" l="1"/>
  <c r="GC13" i="13"/>
  <c r="GC14" i="13" s="1"/>
  <c r="GC20" i="13"/>
  <c r="GD11" i="13"/>
  <c r="GD12" i="13" s="1"/>
  <c r="GB19" i="13"/>
  <c r="GC9" i="13"/>
  <c r="GC10" i="13" s="1"/>
  <c r="GA22" i="13"/>
  <c r="GB15" i="13"/>
  <c r="GB16" i="13" s="1"/>
  <c r="GD3" i="13"/>
  <c r="GD23" i="13" s="1"/>
  <c r="GC26" i="13"/>
  <c r="GC27" i="13" s="1"/>
  <c r="GB18" i="13"/>
  <c r="GB24" i="13" s="1"/>
  <c r="GC6" i="13"/>
  <c r="GC7" i="13" s="1"/>
  <c r="HZ8" i="13"/>
  <c r="IA5" i="13"/>
  <c r="IA25" i="13" s="1"/>
  <c r="IB4" i="13"/>
  <c r="GB22" i="13" l="1"/>
  <c r="GC15" i="13"/>
  <c r="GC16" i="13" s="1"/>
  <c r="GC19" i="13"/>
  <c r="GD9" i="13"/>
  <c r="GD10" i="13" s="1"/>
  <c r="GD6" i="13"/>
  <c r="GD7" i="13" s="1"/>
  <c r="GC18" i="13"/>
  <c r="GC24" i="13" s="1"/>
  <c r="GD20" i="13"/>
  <c r="GE11" i="13"/>
  <c r="GE12" i="13" s="1"/>
  <c r="GC21" i="13"/>
  <c r="GD13" i="13"/>
  <c r="GD14" i="13" s="1"/>
  <c r="GE3" i="13"/>
  <c r="GE23" i="13" s="1"/>
  <c r="GD26" i="13"/>
  <c r="GD27" i="13" s="1"/>
  <c r="IA8" i="13"/>
  <c r="IB5" i="13"/>
  <c r="IB25" i="13" s="1"/>
  <c r="IC4" i="13"/>
  <c r="GE20" i="13" l="1"/>
  <c r="GF11" i="13"/>
  <c r="GF12" i="13" s="1"/>
  <c r="GE6" i="13"/>
  <c r="GE7" i="13" s="1"/>
  <c r="GD18" i="13"/>
  <c r="GD24" i="13" s="1"/>
  <c r="GD19" i="13"/>
  <c r="GE9" i="13"/>
  <c r="GE10" i="13" s="1"/>
  <c r="GF3" i="13"/>
  <c r="GF23" i="13" s="1"/>
  <c r="GE26" i="13"/>
  <c r="GE27" i="13" s="1"/>
  <c r="GD21" i="13"/>
  <c r="GE13" i="13"/>
  <c r="GE14" i="13" s="1"/>
  <c r="GC22" i="13"/>
  <c r="GD15" i="13"/>
  <c r="GD16" i="13" s="1"/>
  <c r="IB8" i="13"/>
  <c r="IC5" i="13"/>
  <c r="IC25" i="13" s="1"/>
  <c r="ID4" i="13"/>
  <c r="GG3" i="13" l="1"/>
  <c r="GG23" i="13" s="1"/>
  <c r="GF26" i="13"/>
  <c r="GF27" i="13" s="1"/>
  <c r="GE19" i="13"/>
  <c r="GF9" i="13"/>
  <c r="GF10" i="13" s="1"/>
  <c r="GD22" i="13"/>
  <c r="GE15" i="13"/>
  <c r="GE16" i="13" s="1"/>
  <c r="GE21" i="13"/>
  <c r="GF13" i="13"/>
  <c r="GF14" i="13" s="1"/>
  <c r="GF6" i="13"/>
  <c r="GF7" i="13" s="1"/>
  <c r="GE18" i="13"/>
  <c r="GE24" i="13" s="1"/>
  <c r="GF20" i="13"/>
  <c r="GG11" i="13"/>
  <c r="GG12" i="13" s="1"/>
  <c r="IC8" i="13"/>
  <c r="ID5" i="13"/>
  <c r="ID25" i="13" s="1"/>
  <c r="IE4" i="13"/>
  <c r="GE22" i="13" l="1"/>
  <c r="GF15" i="13"/>
  <c r="GF16" i="13" s="1"/>
  <c r="GG20" i="13"/>
  <c r="GH11" i="13"/>
  <c r="GH12" i="13" s="1"/>
  <c r="GF19" i="13"/>
  <c r="GG9" i="13"/>
  <c r="GG10" i="13" s="1"/>
  <c r="GG6" i="13"/>
  <c r="GG7" i="13" s="1"/>
  <c r="GF18" i="13"/>
  <c r="GF24" i="13" s="1"/>
  <c r="GH3" i="13"/>
  <c r="GH23" i="13" s="1"/>
  <c r="GG26" i="13"/>
  <c r="GG27" i="13" s="1"/>
  <c r="GF21" i="13"/>
  <c r="GG13" i="13"/>
  <c r="GG14" i="13" s="1"/>
  <c r="ID8" i="13"/>
  <c r="IE5" i="13"/>
  <c r="IE25" i="13" s="1"/>
  <c r="IF4" i="13"/>
  <c r="GG18" i="13" l="1"/>
  <c r="GG24" i="13" s="1"/>
  <c r="GH6" i="13"/>
  <c r="GH7" i="13" s="1"/>
  <c r="GG19" i="13"/>
  <c r="GH9" i="13"/>
  <c r="GH10" i="13" s="1"/>
  <c r="GG21" i="13"/>
  <c r="GH13" i="13"/>
  <c r="GH14" i="13" s="1"/>
  <c r="GH20" i="13"/>
  <c r="GI11" i="13"/>
  <c r="GI12" i="13" s="1"/>
  <c r="GI3" i="13"/>
  <c r="GI23" i="13" s="1"/>
  <c r="GH26" i="13"/>
  <c r="GH27" i="13" s="1"/>
  <c r="GF22" i="13"/>
  <c r="GG15" i="13"/>
  <c r="GG16" i="13" s="1"/>
  <c r="IE8" i="13"/>
  <c r="IF5" i="13"/>
  <c r="IF25" i="13" s="1"/>
  <c r="IG4" i="13"/>
  <c r="GI20" i="13" l="1"/>
  <c r="GJ11" i="13"/>
  <c r="GJ12" i="13" s="1"/>
  <c r="GH21" i="13"/>
  <c r="GI13" i="13"/>
  <c r="GI14" i="13" s="1"/>
  <c r="GG22" i="13"/>
  <c r="GH15" i="13"/>
  <c r="GH16" i="13" s="1"/>
  <c r="GH19" i="13"/>
  <c r="GI9" i="13"/>
  <c r="GI10" i="13" s="1"/>
  <c r="GJ3" i="13"/>
  <c r="GJ23" i="13" s="1"/>
  <c r="GI26" i="13"/>
  <c r="GI27" i="13" s="1"/>
  <c r="GH18" i="13"/>
  <c r="GH24" i="13" s="1"/>
  <c r="GI6" i="13"/>
  <c r="GI7" i="13" s="1"/>
  <c r="IF8" i="13"/>
  <c r="IG5" i="13"/>
  <c r="IG25" i="13" s="1"/>
  <c r="IH4" i="13"/>
  <c r="GI19" i="13" l="1"/>
  <c r="GJ9" i="13"/>
  <c r="GJ10" i="13" s="1"/>
  <c r="GH22" i="13"/>
  <c r="GI15" i="13"/>
  <c r="GI16" i="13" s="1"/>
  <c r="GJ6" i="13"/>
  <c r="GJ7" i="13" s="1"/>
  <c r="GI18" i="13"/>
  <c r="GI24" i="13" s="1"/>
  <c r="GI21" i="13"/>
  <c r="GJ13" i="13"/>
  <c r="GJ14" i="13" s="1"/>
  <c r="GK3" i="13"/>
  <c r="GK23" i="13" s="1"/>
  <c r="GJ26" i="13"/>
  <c r="GJ27" i="13" s="1"/>
  <c r="GJ20" i="13"/>
  <c r="GK11" i="13"/>
  <c r="GK12" i="13" s="1"/>
  <c r="IG8" i="13"/>
  <c r="IH5" i="13"/>
  <c r="IH25" i="13" s="1"/>
  <c r="II4" i="13"/>
  <c r="GJ21" i="13" l="1"/>
  <c r="GK13" i="13"/>
  <c r="GK14" i="13" s="1"/>
  <c r="GK20" i="13"/>
  <c r="GL11" i="13"/>
  <c r="GL12" i="13" s="1"/>
  <c r="GJ18" i="13"/>
  <c r="GJ24" i="13" s="1"/>
  <c r="GK6" i="13"/>
  <c r="GK7" i="13" s="1"/>
  <c r="GI22" i="13"/>
  <c r="GJ15" i="13"/>
  <c r="GJ16" i="13" s="1"/>
  <c r="GK26" i="13"/>
  <c r="GK27" i="13" s="1"/>
  <c r="GL3" i="13"/>
  <c r="GL23" i="13" s="1"/>
  <c r="GJ19" i="13"/>
  <c r="GK9" i="13"/>
  <c r="GK10" i="13" s="1"/>
  <c r="IH8" i="13"/>
  <c r="II5" i="13"/>
  <c r="II25" i="13" s="1"/>
  <c r="IJ4" i="13"/>
  <c r="GJ22" i="13" l="1"/>
  <c r="GK15" i="13"/>
  <c r="GK16" i="13" s="1"/>
  <c r="GL6" i="13"/>
  <c r="GL7" i="13" s="1"/>
  <c r="GK18" i="13"/>
  <c r="GK24" i="13" s="1"/>
  <c r="GK19" i="13"/>
  <c r="GL9" i="13"/>
  <c r="GL10" i="13" s="1"/>
  <c r="GL20" i="13"/>
  <c r="GM11" i="13"/>
  <c r="GM12" i="13" s="1"/>
  <c r="GL26" i="13"/>
  <c r="GL27" i="13" s="1"/>
  <c r="GM3" i="13"/>
  <c r="GM23" i="13" s="1"/>
  <c r="GK21" i="13"/>
  <c r="GL13" i="13"/>
  <c r="GL14" i="13" s="1"/>
  <c r="II8" i="13"/>
  <c r="IJ5" i="13"/>
  <c r="IJ25" i="13" s="1"/>
  <c r="IK4" i="13"/>
  <c r="GM20" i="13" l="1"/>
  <c r="GN11" i="13"/>
  <c r="GN12" i="13" s="1"/>
  <c r="GL19" i="13"/>
  <c r="GM9" i="13"/>
  <c r="GM10" i="13" s="1"/>
  <c r="GL21" i="13"/>
  <c r="GM13" i="13"/>
  <c r="GM14" i="13" s="1"/>
  <c r="GM6" i="13"/>
  <c r="GM7" i="13" s="1"/>
  <c r="GL18" i="13"/>
  <c r="GL24" i="13" s="1"/>
  <c r="GN3" i="13"/>
  <c r="GN23" i="13" s="1"/>
  <c r="GM26" i="13"/>
  <c r="GM27" i="13" s="1"/>
  <c r="GK22" i="13"/>
  <c r="GL15" i="13"/>
  <c r="GL16" i="13" s="1"/>
  <c r="IJ8" i="13"/>
  <c r="IK5" i="13"/>
  <c r="IK25" i="13" s="1"/>
  <c r="IL4" i="13"/>
  <c r="GM18" i="13" l="1"/>
  <c r="GM24" i="13" s="1"/>
  <c r="GN6" i="13"/>
  <c r="GN7" i="13" s="1"/>
  <c r="GM21" i="13"/>
  <c r="GN13" i="13"/>
  <c r="GN14" i="13" s="1"/>
  <c r="GL22" i="13"/>
  <c r="GM15" i="13"/>
  <c r="GM16" i="13" s="1"/>
  <c r="GM19" i="13"/>
  <c r="GN9" i="13"/>
  <c r="GN10" i="13" s="1"/>
  <c r="GN20" i="13"/>
  <c r="GO11" i="13"/>
  <c r="GO12" i="13" s="1"/>
  <c r="GN26" i="13"/>
  <c r="GN27" i="13" s="1"/>
  <c r="GO3" i="13"/>
  <c r="GO23" i="13" s="1"/>
  <c r="IK8" i="13"/>
  <c r="IL5" i="13"/>
  <c r="IL25" i="13" s="1"/>
  <c r="IM4" i="13"/>
  <c r="GN19" i="13" l="1"/>
  <c r="GO9" i="13"/>
  <c r="GO10" i="13" s="1"/>
  <c r="GM22" i="13"/>
  <c r="GN15" i="13"/>
  <c r="GN16" i="13" s="1"/>
  <c r="GP3" i="13"/>
  <c r="GP23" i="13" s="1"/>
  <c r="GO26" i="13"/>
  <c r="GO27" i="13" s="1"/>
  <c r="GN21" i="13"/>
  <c r="GO13" i="13"/>
  <c r="GO14" i="13" s="1"/>
  <c r="GO20" i="13"/>
  <c r="GP11" i="13"/>
  <c r="GP12" i="13" s="1"/>
  <c r="GN18" i="13"/>
  <c r="GN24" i="13" s="1"/>
  <c r="GO6" i="13"/>
  <c r="GO7" i="13" s="1"/>
  <c r="IL8" i="13"/>
  <c r="IM5" i="13"/>
  <c r="IM25" i="13" s="1"/>
  <c r="IN4" i="13"/>
  <c r="IN5" i="13" s="1"/>
  <c r="IN25" i="13" s="1"/>
  <c r="GQ3" i="13" l="1"/>
  <c r="GQ23" i="13" s="1"/>
  <c r="GP26" i="13"/>
  <c r="GP27" i="13" s="1"/>
  <c r="GO18" i="13"/>
  <c r="GO24" i="13" s="1"/>
  <c r="GP6" i="13"/>
  <c r="GP7" i="13" s="1"/>
  <c r="GN22" i="13"/>
  <c r="GO15" i="13"/>
  <c r="GO16" i="13" s="1"/>
  <c r="GP20" i="13"/>
  <c r="GQ11" i="13"/>
  <c r="GQ12" i="13" s="1"/>
  <c r="GO19" i="13"/>
  <c r="GP9" i="13"/>
  <c r="GP10" i="13" s="1"/>
  <c r="GO21" i="13"/>
  <c r="GP13" i="13"/>
  <c r="GP14" i="13" s="1"/>
  <c r="IN8" i="13"/>
  <c r="IM8" i="13"/>
  <c r="GO22" i="13" l="1"/>
  <c r="GP15" i="13"/>
  <c r="GP16" i="13" s="1"/>
  <c r="GP21" i="13"/>
  <c r="GQ13" i="13"/>
  <c r="GQ14" i="13" s="1"/>
  <c r="GQ6" i="13"/>
  <c r="GQ7" i="13" s="1"/>
  <c r="GP18" i="13"/>
  <c r="GP24" i="13" s="1"/>
  <c r="GP19" i="13"/>
  <c r="GQ9" i="13"/>
  <c r="GQ10" i="13" s="1"/>
  <c r="GR3" i="13"/>
  <c r="GR23" i="13" s="1"/>
  <c r="GQ26" i="13"/>
  <c r="GQ27" i="13" s="1"/>
  <c r="GQ20" i="13"/>
  <c r="GR11" i="13"/>
  <c r="GR12" i="13" s="1"/>
  <c r="GQ19" i="13" l="1"/>
  <c r="GR9" i="13"/>
  <c r="GR10" i="13" s="1"/>
  <c r="GR20" i="13"/>
  <c r="GS11" i="13"/>
  <c r="GS12" i="13" s="1"/>
  <c r="GQ18" i="13"/>
  <c r="GQ24" i="13" s="1"/>
  <c r="GR6" i="13"/>
  <c r="GR7" i="13" s="1"/>
  <c r="GQ21" i="13"/>
  <c r="GR13" i="13"/>
  <c r="GR14" i="13" s="1"/>
  <c r="GP22" i="13"/>
  <c r="GQ15" i="13"/>
  <c r="GQ16" i="13" s="1"/>
  <c r="GR26" i="13"/>
  <c r="GR27" i="13" s="1"/>
  <c r="GS3" i="13"/>
  <c r="GS23" i="13" s="1"/>
  <c r="GR21" i="13" l="1"/>
  <c r="GS13" i="13"/>
  <c r="GS14" i="13" s="1"/>
  <c r="GT3" i="13"/>
  <c r="GT23" i="13" s="1"/>
  <c r="GS26" i="13"/>
  <c r="GS27" i="13" s="1"/>
  <c r="GS20" i="13"/>
  <c r="GT11" i="13"/>
  <c r="GT12" i="13" s="1"/>
  <c r="GR18" i="13"/>
  <c r="GR24" i="13" s="1"/>
  <c r="GS6" i="13"/>
  <c r="GS7" i="13" s="1"/>
  <c r="GQ22" i="13"/>
  <c r="GR15" i="13"/>
  <c r="GR16" i="13" s="1"/>
  <c r="GR19" i="13"/>
  <c r="GS9" i="13"/>
  <c r="GS10" i="13" s="1"/>
  <c r="GT20" i="13" l="1"/>
  <c r="GU11" i="13"/>
  <c r="GU12" i="13" s="1"/>
  <c r="GT26" i="13"/>
  <c r="GT27" i="13" s="1"/>
  <c r="GU3" i="13"/>
  <c r="GU23" i="13" s="1"/>
  <c r="GS19" i="13"/>
  <c r="GT9" i="13"/>
  <c r="GT10" i="13" s="1"/>
  <c r="GR22" i="13"/>
  <c r="GS15" i="13"/>
  <c r="GS16" i="13" s="1"/>
  <c r="GS21" i="13"/>
  <c r="GT13" i="13"/>
  <c r="GT14" i="13" s="1"/>
  <c r="GS18" i="13"/>
  <c r="GS24" i="13" s="1"/>
  <c r="GT6" i="13"/>
  <c r="GT7" i="13" s="1"/>
  <c r="GT18" i="13" l="1"/>
  <c r="GT24" i="13" s="1"/>
  <c r="GU6" i="13"/>
  <c r="GU7" i="13" s="1"/>
  <c r="GV3" i="13"/>
  <c r="GV23" i="13" s="1"/>
  <c r="GU26" i="13"/>
  <c r="GU27" i="13" s="1"/>
  <c r="GU20" i="13"/>
  <c r="GV11" i="13"/>
  <c r="GV12" i="13" s="1"/>
  <c r="GT19" i="13"/>
  <c r="GU9" i="13"/>
  <c r="GU10" i="13" s="1"/>
  <c r="GT21" i="13"/>
  <c r="GU13" i="13"/>
  <c r="GU14" i="13" s="1"/>
  <c r="GS22" i="13"/>
  <c r="GT15" i="13"/>
  <c r="GT16" i="13" s="1"/>
  <c r="GV20" i="13" l="1"/>
  <c r="GW11" i="13"/>
  <c r="GW12" i="13" s="1"/>
  <c r="GW3" i="13"/>
  <c r="GW23" i="13" s="1"/>
  <c r="GV26" i="13"/>
  <c r="GV27" i="13" s="1"/>
  <c r="GU21" i="13"/>
  <c r="GV13" i="13"/>
  <c r="GV14" i="13" s="1"/>
  <c r="GV6" i="13"/>
  <c r="GV7" i="13" s="1"/>
  <c r="GU18" i="13"/>
  <c r="GU24" i="13" s="1"/>
  <c r="GT22" i="13"/>
  <c r="GU15" i="13"/>
  <c r="GU16" i="13" s="1"/>
  <c r="GU19" i="13"/>
  <c r="GV9" i="13"/>
  <c r="GV10" i="13" s="1"/>
  <c r="GV18" i="13" l="1"/>
  <c r="GV24" i="13" s="1"/>
  <c r="GW6" i="13"/>
  <c r="GW7" i="13" s="1"/>
  <c r="GV21" i="13"/>
  <c r="GW13" i="13"/>
  <c r="GW14" i="13" s="1"/>
  <c r="GV19" i="13"/>
  <c r="GW9" i="13"/>
  <c r="GW10" i="13" s="1"/>
  <c r="GX3" i="13"/>
  <c r="GX23" i="13" s="1"/>
  <c r="GW26" i="13"/>
  <c r="GW27" i="13" s="1"/>
  <c r="GU22" i="13"/>
  <c r="GV15" i="13"/>
  <c r="GV16" i="13" s="1"/>
  <c r="GW20" i="13"/>
  <c r="GX11" i="13"/>
  <c r="GX12" i="13" s="1"/>
  <c r="GX26" i="13" l="1"/>
  <c r="GX27" i="13" s="1"/>
  <c r="GY3" i="13"/>
  <c r="GY23" i="13" s="1"/>
  <c r="GW19" i="13"/>
  <c r="GX9" i="13"/>
  <c r="GX10" i="13" s="1"/>
  <c r="GX20" i="13"/>
  <c r="GY11" i="13"/>
  <c r="GY12" i="13" s="1"/>
  <c r="GW21" i="13"/>
  <c r="GX13" i="13"/>
  <c r="GX14" i="13" s="1"/>
  <c r="GV22" i="13"/>
  <c r="GW15" i="13"/>
  <c r="GW16" i="13" s="1"/>
  <c r="GX6" i="13"/>
  <c r="GX7" i="13" s="1"/>
  <c r="GW18" i="13"/>
  <c r="GW24" i="13" s="1"/>
  <c r="GX19" i="13" l="1"/>
  <c r="GY9" i="13"/>
  <c r="GY10" i="13" s="1"/>
  <c r="GY20" i="13"/>
  <c r="GZ11" i="13"/>
  <c r="GZ12" i="13" s="1"/>
  <c r="GX18" i="13"/>
  <c r="GX24" i="13" s="1"/>
  <c r="GY6" i="13"/>
  <c r="GY7" i="13" s="1"/>
  <c r="GZ3" i="13"/>
  <c r="GZ23" i="13" s="1"/>
  <c r="GY26" i="13"/>
  <c r="GY27" i="13" s="1"/>
  <c r="GW22" i="13"/>
  <c r="GX15" i="13"/>
  <c r="GX16" i="13" s="1"/>
  <c r="GX21" i="13"/>
  <c r="GY13" i="13"/>
  <c r="GY14" i="13" s="1"/>
  <c r="GY21" i="13" l="1"/>
  <c r="GZ13" i="13"/>
  <c r="GZ14" i="13" s="1"/>
  <c r="HA3" i="13"/>
  <c r="HA23" i="13" s="1"/>
  <c r="GZ26" i="13"/>
  <c r="GZ27" i="13" s="1"/>
  <c r="GY18" i="13"/>
  <c r="GY24" i="13" s="1"/>
  <c r="GZ6" i="13"/>
  <c r="GZ7" i="13" s="1"/>
  <c r="GZ20" i="13"/>
  <c r="HA11" i="13"/>
  <c r="HA12" i="13" s="1"/>
  <c r="GX22" i="13"/>
  <c r="GY15" i="13"/>
  <c r="GY16" i="13" s="1"/>
  <c r="GY19" i="13"/>
  <c r="GZ9" i="13"/>
  <c r="GZ10" i="13" s="1"/>
  <c r="GZ18" i="13" l="1"/>
  <c r="GZ24" i="13" s="1"/>
  <c r="HA6" i="13"/>
  <c r="HA7" i="13" s="1"/>
  <c r="HB3" i="13"/>
  <c r="HB23" i="13" s="1"/>
  <c r="HA26" i="13"/>
  <c r="HA27" i="13" s="1"/>
  <c r="GY22" i="13"/>
  <c r="GZ15" i="13"/>
  <c r="GZ16" i="13" s="1"/>
  <c r="GZ21" i="13"/>
  <c r="HA13" i="13"/>
  <c r="HA14" i="13" s="1"/>
  <c r="GZ19" i="13"/>
  <c r="HA9" i="13"/>
  <c r="HA10" i="13" s="1"/>
  <c r="HA20" i="13"/>
  <c r="HB11" i="13"/>
  <c r="HB12" i="13" s="1"/>
  <c r="GZ22" i="13" l="1"/>
  <c r="HA15" i="13"/>
  <c r="HA16" i="13" s="1"/>
  <c r="HB20" i="13"/>
  <c r="HC11" i="13"/>
  <c r="HC12" i="13" s="1"/>
  <c r="HC3" i="13"/>
  <c r="HC23" i="13" s="1"/>
  <c r="HB26" i="13"/>
  <c r="HB27" i="13" s="1"/>
  <c r="HA19" i="13"/>
  <c r="HB9" i="13"/>
  <c r="HB10" i="13" s="1"/>
  <c r="HB6" i="13"/>
  <c r="HB7" i="13" s="1"/>
  <c r="HA18" i="13"/>
  <c r="HA24" i="13" s="1"/>
  <c r="HA21" i="13"/>
  <c r="HB13" i="13"/>
  <c r="HB14" i="13" s="1"/>
  <c r="HB21" i="13" l="1"/>
  <c r="HC13" i="13"/>
  <c r="HC14" i="13" s="1"/>
  <c r="HC20" i="13"/>
  <c r="HD11" i="13"/>
  <c r="HD12" i="13" s="1"/>
  <c r="HD3" i="13"/>
  <c r="HD23" i="13" s="1"/>
  <c r="HC26" i="13"/>
  <c r="HC27" i="13" s="1"/>
  <c r="HB18" i="13"/>
  <c r="HB24" i="13" s="1"/>
  <c r="HC6" i="13"/>
  <c r="HC7" i="13" s="1"/>
  <c r="HA22" i="13"/>
  <c r="HB15" i="13"/>
  <c r="HB16" i="13" s="1"/>
  <c r="HB19" i="13"/>
  <c r="HC9" i="13"/>
  <c r="HC10" i="13" s="1"/>
  <c r="HD20" i="13" l="1"/>
  <c r="HE11" i="13"/>
  <c r="HE12" i="13" s="1"/>
  <c r="HE3" i="13"/>
  <c r="HE23" i="13" s="1"/>
  <c r="HD26" i="13"/>
  <c r="HD27" i="13" s="1"/>
  <c r="HC19" i="13"/>
  <c r="HD9" i="13"/>
  <c r="HD10" i="13" s="1"/>
  <c r="HB22" i="13"/>
  <c r="HC15" i="13"/>
  <c r="HC16" i="13" s="1"/>
  <c r="HC21" i="13"/>
  <c r="HD13" i="13"/>
  <c r="HD14" i="13" s="1"/>
  <c r="HD6" i="13"/>
  <c r="HD7" i="13" s="1"/>
  <c r="HC18" i="13"/>
  <c r="HC24" i="13" s="1"/>
  <c r="HD19" i="13" l="1"/>
  <c r="HE9" i="13"/>
  <c r="HE10" i="13" s="1"/>
  <c r="HF3" i="13"/>
  <c r="HF23" i="13" s="1"/>
  <c r="HE26" i="13"/>
  <c r="HE27" i="13" s="1"/>
  <c r="HD21" i="13"/>
  <c r="HE13" i="13"/>
  <c r="HE14" i="13" s="1"/>
  <c r="HE20" i="13"/>
  <c r="HF11" i="13"/>
  <c r="HF12" i="13" s="1"/>
  <c r="HD18" i="13"/>
  <c r="HD24" i="13" s="1"/>
  <c r="HE6" i="13"/>
  <c r="HE7" i="13" s="1"/>
  <c r="HC22" i="13"/>
  <c r="HD15" i="13"/>
  <c r="HD16" i="13" s="1"/>
  <c r="HD22" i="13" l="1"/>
  <c r="HE15" i="13"/>
  <c r="HE16" i="13" s="1"/>
  <c r="HG3" i="13"/>
  <c r="HG23" i="13" s="1"/>
  <c r="HF26" i="13"/>
  <c r="HF27" i="13" s="1"/>
  <c r="HE18" i="13"/>
  <c r="HE24" i="13" s="1"/>
  <c r="HF6" i="13"/>
  <c r="HF7" i="13" s="1"/>
  <c r="HE19" i="13"/>
  <c r="HF9" i="13"/>
  <c r="HF10" i="13" s="1"/>
  <c r="HE21" i="13"/>
  <c r="HF13" i="13"/>
  <c r="HF14" i="13" s="1"/>
  <c r="HF20" i="13"/>
  <c r="HG11" i="13"/>
  <c r="HG12" i="13" s="1"/>
  <c r="HF18" i="13" l="1"/>
  <c r="HF24" i="13" s="1"/>
  <c r="HG6" i="13"/>
  <c r="HG7" i="13" s="1"/>
  <c r="HH3" i="13"/>
  <c r="HH23" i="13" s="1"/>
  <c r="HG26" i="13"/>
  <c r="HG27" i="13" s="1"/>
  <c r="HF21" i="13"/>
  <c r="HG13" i="13"/>
  <c r="HG14" i="13" s="1"/>
  <c r="HE22" i="13"/>
  <c r="HF15" i="13"/>
  <c r="HF16" i="13" s="1"/>
  <c r="HG20" i="13"/>
  <c r="HH11" i="13"/>
  <c r="HH12" i="13" s="1"/>
  <c r="HF19" i="13"/>
  <c r="HG9" i="13"/>
  <c r="HG10" i="13" s="1"/>
  <c r="HG21" i="13" l="1"/>
  <c r="HH13" i="13"/>
  <c r="HH14" i="13" s="1"/>
  <c r="HG19" i="13"/>
  <c r="HH9" i="13"/>
  <c r="HH10" i="13" s="1"/>
  <c r="HI3" i="13"/>
  <c r="HI23" i="13" s="1"/>
  <c r="HH26" i="13"/>
  <c r="HH27" i="13" s="1"/>
  <c r="HH20" i="13"/>
  <c r="HI11" i="13"/>
  <c r="HI12" i="13" s="1"/>
  <c r="HG18" i="13"/>
  <c r="HG24" i="13" s="1"/>
  <c r="HH6" i="13"/>
  <c r="HH7" i="13" s="1"/>
  <c r="HF22" i="13"/>
  <c r="HG15" i="13"/>
  <c r="HG16" i="13" s="1"/>
  <c r="HI26" i="13" l="1"/>
  <c r="HI27" i="13" s="1"/>
  <c r="HJ3" i="13"/>
  <c r="HJ23" i="13" s="1"/>
  <c r="HH19" i="13"/>
  <c r="HI9" i="13"/>
  <c r="HI10" i="13" s="1"/>
  <c r="HG22" i="13"/>
  <c r="HH15" i="13"/>
  <c r="HH16" i="13" s="1"/>
  <c r="HH21" i="13"/>
  <c r="HI13" i="13"/>
  <c r="HI14" i="13" s="1"/>
  <c r="HI6" i="13"/>
  <c r="HI7" i="13" s="1"/>
  <c r="HH18" i="13"/>
  <c r="HH24" i="13" s="1"/>
  <c r="HI20" i="13"/>
  <c r="HJ11" i="13"/>
  <c r="HJ12" i="13" s="1"/>
  <c r="HI19" i="13" l="1"/>
  <c r="HJ9" i="13"/>
  <c r="HJ10" i="13" s="1"/>
  <c r="HJ20" i="13"/>
  <c r="HK11" i="13"/>
  <c r="HK12" i="13" s="1"/>
  <c r="HH22" i="13"/>
  <c r="HI15" i="13"/>
  <c r="HI16" i="13" s="1"/>
  <c r="HK3" i="13"/>
  <c r="HK23" i="13" s="1"/>
  <c r="HJ26" i="13"/>
  <c r="HJ27" i="13" s="1"/>
  <c r="HI18" i="13"/>
  <c r="HI24" i="13" s="1"/>
  <c r="HJ6" i="13"/>
  <c r="HJ7" i="13" s="1"/>
  <c r="HI21" i="13"/>
  <c r="HJ13" i="13"/>
  <c r="HJ14" i="13" s="1"/>
  <c r="HK26" i="13" l="1"/>
  <c r="HK27" i="13" s="1"/>
  <c r="HL3" i="13"/>
  <c r="HL23" i="13" s="1"/>
  <c r="HJ21" i="13"/>
  <c r="HK13" i="13"/>
  <c r="HK14" i="13" s="1"/>
  <c r="HI22" i="13"/>
  <c r="HJ15" i="13"/>
  <c r="HJ16" i="13" s="1"/>
  <c r="HK20" i="13"/>
  <c r="HL11" i="13"/>
  <c r="HL12" i="13" s="1"/>
  <c r="HK6" i="13"/>
  <c r="HK7" i="13" s="1"/>
  <c r="HJ18" i="13"/>
  <c r="HJ24" i="13" s="1"/>
  <c r="HJ19" i="13"/>
  <c r="HK9" i="13"/>
  <c r="HK10" i="13" s="1"/>
  <c r="HJ22" i="13" l="1"/>
  <c r="HK15" i="13"/>
  <c r="HK16" i="13" s="1"/>
  <c r="HK21" i="13"/>
  <c r="HL13" i="13"/>
  <c r="HL14" i="13" s="1"/>
  <c r="HK19" i="13"/>
  <c r="HL9" i="13"/>
  <c r="HL10" i="13" s="1"/>
  <c r="HM3" i="13"/>
  <c r="HM23" i="13" s="1"/>
  <c r="HL26" i="13"/>
  <c r="HL27" i="13" s="1"/>
  <c r="HL6" i="13"/>
  <c r="HL7" i="13" s="1"/>
  <c r="HK18" i="13"/>
  <c r="HK24" i="13" s="1"/>
  <c r="HL20" i="13"/>
  <c r="HM11" i="13"/>
  <c r="HM12" i="13" s="1"/>
  <c r="HL19" i="13" l="1"/>
  <c r="HM9" i="13"/>
  <c r="HM10" i="13" s="1"/>
  <c r="HL21" i="13"/>
  <c r="HM13" i="13"/>
  <c r="HM14" i="13" s="1"/>
  <c r="HM26" i="13"/>
  <c r="HM27" i="13" s="1"/>
  <c r="HN3" i="13"/>
  <c r="HN23" i="13" s="1"/>
  <c r="HK22" i="13"/>
  <c r="HL15" i="13"/>
  <c r="HL16" i="13" s="1"/>
  <c r="HM20" i="13"/>
  <c r="HN11" i="13"/>
  <c r="HN12" i="13" s="1"/>
  <c r="HM6" i="13"/>
  <c r="HM7" i="13" s="1"/>
  <c r="HL18" i="13"/>
  <c r="HL24" i="13" s="1"/>
  <c r="HN26" i="13" l="1"/>
  <c r="HN27" i="13" s="1"/>
  <c r="HO3" i="13"/>
  <c r="HO23" i="13" s="1"/>
  <c r="HM21" i="13"/>
  <c r="HN13" i="13"/>
  <c r="HN14" i="13" s="1"/>
  <c r="HN20" i="13"/>
  <c r="HO11" i="13"/>
  <c r="HO12" i="13" s="1"/>
  <c r="HM18" i="13"/>
  <c r="HM24" i="13" s="1"/>
  <c r="HN6" i="13"/>
  <c r="HN7" i="13" s="1"/>
  <c r="HM19" i="13"/>
  <c r="HN9" i="13"/>
  <c r="HN10" i="13" s="1"/>
  <c r="HL22" i="13"/>
  <c r="HM15" i="13"/>
  <c r="HM16" i="13" s="1"/>
  <c r="HO20" i="13" l="1"/>
  <c r="HP11" i="13"/>
  <c r="HP12" i="13" s="1"/>
  <c r="HN21" i="13"/>
  <c r="HO13" i="13"/>
  <c r="HO14" i="13" s="1"/>
  <c r="HN19" i="13"/>
  <c r="HO9" i="13"/>
  <c r="HO10" i="13" s="1"/>
  <c r="HP3" i="13"/>
  <c r="HP23" i="13" s="1"/>
  <c r="HO26" i="13"/>
  <c r="HO27" i="13" s="1"/>
  <c r="HM22" i="13"/>
  <c r="HN15" i="13"/>
  <c r="HN16" i="13" s="1"/>
  <c r="HO6" i="13"/>
  <c r="HO7" i="13" s="1"/>
  <c r="HN18" i="13"/>
  <c r="HN24" i="13" s="1"/>
  <c r="HQ3" i="13" l="1"/>
  <c r="HQ23" i="13" s="1"/>
  <c r="HP26" i="13"/>
  <c r="HP27" i="13" s="1"/>
  <c r="HO19" i="13"/>
  <c r="HP9" i="13"/>
  <c r="HP10" i="13" s="1"/>
  <c r="HO21" i="13"/>
  <c r="HP13" i="13"/>
  <c r="HP14" i="13" s="1"/>
  <c r="HP6" i="13"/>
  <c r="HP7" i="13" s="1"/>
  <c r="HO18" i="13"/>
  <c r="HO24" i="13" s="1"/>
  <c r="HP20" i="13"/>
  <c r="HQ11" i="13"/>
  <c r="HQ12" i="13" s="1"/>
  <c r="HN22" i="13"/>
  <c r="HO15" i="13"/>
  <c r="HO16" i="13" s="1"/>
  <c r="HP21" i="13" l="1"/>
  <c r="HQ13" i="13"/>
  <c r="HQ14" i="13" s="1"/>
  <c r="HP19" i="13"/>
  <c r="HQ9" i="13"/>
  <c r="HQ10" i="13" s="1"/>
  <c r="HP18" i="13"/>
  <c r="HP24" i="13" s="1"/>
  <c r="HQ6" i="13"/>
  <c r="HQ7" i="13" s="1"/>
  <c r="HQ20" i="13"/>
  <c r="HR11" i="13"/>
  <c r="HR12" i="13" s="1"/>
  <c r="HO22" i="13"/>
  <c r="HP15" i="13"/>
  <c r="HP16" i="13" s="1"/>
  <c r="HQ26" i="13"/>
  <c r="HQ27" i="13" s="1"/>
  <c r="HR3" i="13"/>
  <c r="HR23" i="13" s="1"/>
  <c r="HR20" i="13" l="1"/>
  <c r="HS11" i="13"/>
  <c r="HS12" i="13" s="1"/>
  <c r="HR6" i="13"/>
  <c r="HR7" i="13" s="1"/>
  <c r="HQ18" i="13"/>
  <c r="HQ24" i="13" s="1"/>
  <c r="HQ19" i="13"/>
  <c r="HR9" i="13"/>
  <c r="HR10" i="13" s="1"/>
  <c r="HS3" i="13"/>
  <c r="HS23" i="13" s="1"/>
  <c r="HR26" i="13"/>
  <c r="HR27" i="13" s="1"/>
  <c r="HQ21" i="13"/>
  <c r="HR13" i="13"/>
  <c r="HR14" i="13" s="1"/>
  <c r="HP22" i="13"/>
  <c r="HQ15" i="13"/>
  <c r="HQ16" i="13" s="1"/>
  <c r="HT3" i="13" l="1"/>
  <c r="HT23" i="13" s="1"/>
  <c r="HS26" i="13"/>
  <c r="HS27" i="13" s="1"/>
  <c r="HQ22" i="13"/>
  <c r="HR15" i="13"/>
  <c r="HR16" i="13" s="1"/>
  <c r="HR18" i="13"/>
  <c r="HR24" i="13" s="1"/>
  <c r="HS6" i="13"/>
  <c r="HS7" i="13" s="1"/>
  <c r="HR19" i="13"/>
  <c r="HS9" i="13"/>
  <c r="HS10" i="13" s="1"/>
  <c r="HR21" i="13"/>
  <c r="HS13" i="13"/>
  <c r="HS14" i="13" s="1"/>
  <c r="HS20" i="13"/>
  <c r="HT11" i="13"/>
  <c r="HT12" i="13" s="1"/>
  <c r="HT20" i="13" l="1"/>
  <c r="HU11" i="13"/>
  <c r="HU12" i="13" s="1"/>
  <c r="HR22" i="13"/>
  <c r="HS15" i="13"/>
  <c r="HS16" i="13" s="1"/>
  <c r="HT6" i="13"/>
  <c r="HT7" i="13" s="1"/>
  <c r="HS18" i="13"/>
  <c r="HS24" i="13" s="1"/>
  <c r="HS21" i="13"/>
  <c r="HT13" i="13"/>
  <c r="HT14" i="13" s="1"/>
  <c r="HT26" i="13"/>
  <c r="HT27" i="13" s="1"/>
  <c r="HU3" i="13"/>
  <c r="HU23" i="13" s="1"/>
  <c r="HS19" i="13"/>
  <c r="HT9" i="13"/>
  <c r="HT10" i="13" s="1"/>
  <c r="HT18" i="13" l="1"/>
  <c r="HT24" i="13" s="1"/>
  <c r="HU6" i="13"/>
  <c r="HU7" i="13" s="1"/>
  <c r="HS22" i="13"/>
  <c r="HT15" i="13"/>
  <c r="HT16" i="13" s="1"/>
  <c r="HT21" i="13"/>
  <c r="HU13" i="13"/>
  <c r="HU14" i="13" s="1"/>
  <c r="HV3" i="13"/>
  <c r="HV23" i="13" s="1"/>
  <c r="HU26" i="13"/>
  <c r="HU27" i="13" s="1"/>
  <c r="HU20" i="13"/>
  <c r="HV11" i="13"/>
  <c r="HV12" i="13" s="1"/>
  <c r="HT19" i="13"/>
  <c r="HU9" i="13"/>
  <c r="HU10" i="13" s="1"/>
  <c r="HT22" i="13" l="1"/>
  <c r="HU15" i="13"/>
  <c r="HU16" i="13" s="1"/>
  <c r="HW3" i="13"/>
  <c r="HW23" i="13" s="1"/>
  <c r="HV26" i="13"/>
  <c r="HV27" i="13" s="1"/>
  <c r="HV20" i="13"/>
  <c r="HW11" i="13"/>
  <c r="HW12" i="13" s="1"/>
  <c r="HU19" i="13"/>
  <c r="HV9" i="13"/>
  <c r="HV10" i="13" s="1"/>
  <c r="HU18" i="13"/>
  <c r="HU24" i="13" s="1"/>
  <c r="HV6" i="13"/>
  <c r="HV7" i="13" s="1"/>
  <c r="HU21" i="13"/>
  <c r="HV13" i="13"/>
  <c r="HV14" i="13" s="1"/>
  <c r="HW20" i="13" l="1"/>
  <c r="HX11" i="13"/>
  <c r="HX12" i="13" s="1"/>
  <c r="HV21" i="13"/>
  <c r="HW13" i="13"/>
  <c r="HW14" i="13" s="1"/>
  <c r="HX3" i="13"/>
  <c r="HX23" i="13" s="1"/>
  <c r="HW26" i="13"/>
  <c r="HW27" i="13" s="1"/>
  <c r="HW6" i="13"/>
  <c r="HW7" i="13" s="1"/>
  <c r="HV18" i="13"/>
  <c r="HV24" i="13" s="1"/>
  <c r="HU22" i="13"/>
  <c r="HV15" i="13"/>
  <c r="HV16" i="13" s="1"/>
  <c r="HV19" i="13"/>
  <c r="HW9" i="13"/>
  <c r="HW10" i="13" s="1"/>
  <c r="HW21" i="13" l="1"/>
  <c r="HX13" i="13"/>
  <c r="HX14" i="13" s="1"/>
  <c r="HY3" i="13"/>
  <c r="HY23" i="13" s="1"/>
  <c r="HX26" i="13"/>
  <c r="HX27" i="13" s="1"/>
  <c r="HV22" i="13"/>
  <c r="HW15" i="13"/>
  <c r="HW16" i="13" s="1"/>
  <c r="HX6" i="13"/>
  <c r="HX7" i="13" s="1"/>
  <c r="HW18" i="13"/>
  <c r="HW24" i="13" s="1"/>
  <c r="HX20" i="13"/>
  <c r="HY11" i="13"/>
  <c r="HY12" i="13" s="1"/>
  <c r="HW19" i="13"/>
  <c r="HX9" i="13"/>
  <c r="HX10" i="13" s="1"/>
  <c r="HX18" i="13" l="1"/>
  <c r="HX24" i="13" s="1"/>
  <c r="HY6" i="13"/>
  <c r="HY7" i="13" s="1"/>
  <c r="HY20" i="13"/>
  <c r="HZ11" i="13"/>
  <c r="HZ12" i="13" s="1"/>
  <c r="HZ3" i="13"/>
  <c r="HZ23" i="13" s="1"/>
  <c r="HY26" i="13"/>
  <c r="HY27" i="13" s="1"/>
  <c r="HW22" i="13"/>
  <c r="HX15" i="13"/>
  <c r="HX16" i="13" s="1"/>
  <c r="HX21" i="13"/>
  <c r="HY13" i="13"/>
  <c r="HY14" i="13" s="1"/>
  <c r="HX19" i="13"/>
  <c r="HY9" i="13"/>
  <c r="HY10" i="13" s="1"/>
  <c r="IA3" i="13" l="1"/>
  <c r="IA23" i="13" s="1"/>
  <c r="HZ26" i="13"/>
  <c r="HZ27" i="13" s="1"/>
  <c r="HY19" i="13"/>
  <c r="HZ9" i="13"/>
  <c r="HZ10" i="13" s="1"/>
  <c r="HZ20" i="13"/>
  <c r="IA11" i="13"/>
  <c r="IA12" i="13" s="1"/>
  <c r="HY21" i="13"/>
  <c r="HZ13" i="13"/>
  <c r="HZ14" i="13" s="1"/>
  <c r="HZ6" i="13"/>
  <c r="HZ7" i="13" s="1"/>
  <c r="HY18" i="13"/>
  <c r="HY24" i="13" s="1"/>
  <c r="HX22" i="13"/>
  <c r="HY15" i="13"/>
  <c r="HY16" i="13" s="1"/>
  <c r="HZ19" i="13" l="1"/>
  <c r="IA9" i="13"/>
  <c r="IA10" i="13" s="1"/>
  <c r="HY22" i="13"/>
  <c r="HZ15" i="13"/>
  <c r="HZ16" i="13" s="1"/>
  <c r="IA6" i="13"/>
  <c r="IA7" i="13" s="1"/>
  <c r="HZ18" i="13"/>
  <c r="HZ24" i="13" s="1"/>
  <c r="IA26" i="13"/>
  <c r="IA27" i="13" s="1"/>
  <c r="IB3" i="13"/>
  <c r="IB23" i="13" s="1"/>
  <c r="IA20" i="13"/>
  <c r="IB11" i="13"/>
  <c r="IB12" i="13" s="1"/>
  <c r="HZ21" i="13"/>
  <c r="IA13" i="13"/>
  <c r="IA14" i="13" s="1"/>
  <c r="IB6" i="13" l="1"/>
  <c r="IB7" i="13" s="1"/>
  <c r="IA18" i="13"/>
  <c r="IA24" i="13" s="1"/>
  <c r="HZ22" i="13"/>
  <c r="IA15" i="13"/>
  <c r="IA16" i="13" s="1"/>
  <c r="IA21" i="13"/>
  <c r="IB13" i="13"/>
  <c r="IB14" i="13" s="1"/>
  <c r="IA19" i="13"/>
  <c r="IB9" i="13"/>
  <c r="IB10" i="13" s="1"/>
  <c r="IB20" i="13"/>
  <c r="IC11" i="13"/>
  <c r="IC12" i="13" s="1"/>
  <c r="IC3" i="13"/>
  <c r="IC23" i="13" s="1"/>
  <c r="IB26" i="13"/>
  <c r="IB27" i="13" s="1"/>
  <c r="IA22" i="13" l="1"/>
  <c r="IB15" i="13"/>
  <c r="IB16" i="13" s="1"/>
  <c r="IB19" i="13"/>
  <c r="IC9" i="13"/>
  <c r="IC10" i="13" s="1"/>
  <c r="ID3" i="13"/>
  <c r="ID23" i="13" s="1"/>
  <c r="IC26" i="13"/>
  <c r="IC27" i="13" s="1"/>
  <c r="IB21" i="13"/>
  <c r="IC13" i="13"/>
  <c r="IC14" i="13" s="1"/>
  <c r="IC20" i="13"/>
  <c r="ID11" i="13"/>
  <c r="ID12" i="13" s="1"/>
  <c r="IC6" i="13"/>
  <c r="IC7" i="13" s="1"/>
  <c r="IB18" i="13"/>
  <c r="IB24" i="13" s="1"/>
  <c r="ID26" i="13" l="1"/>
  <c r="ID27" i="13" s="1"/>
  <c r="IE3" i="13"/>
  <c r="IE23" i="13" s="1"/>
  <c r="IC19" i="13"/>
  <c r="ID9" i="13"/>
  <c r="ID10" i="13" s="1"/>
  <c r="ID20" i="13"/>
  <c r="IE11" i="13"/>
  <c r="IE12" i="13" s="1"/>
  <c r="IB22" i="13"/>
  <c r="IC15" i="13"/>
  <c r="IC16" i="13" s="1"/>
  <c r="IC18" i="13"/>
  <c r="IC24" i="13" s="1"/>
  <c r="ID6" i="13"/>
  <c r="ID7" i="13" s="1"/>
  <c r="IC21" i="13"/>
  <c r="ID13" i="13"/>
  <c r="ID14" i="13" s="1"/>
  <c r="ID19" i="13" l="1"/>
  <c r="IE9" i="13"/>
  <c r="IE10" i="13" s="1"/>
  <c r="ID21" i="13"/>
  <c r="IE13" i="13"/>
  <c r="IE14" i="13" s="1"/>
  <c r="IF3" i="13"/>
  <c r="IF23" i="13" s="1"/>
  <c r="IE26" i="13"/>
  <c r="IE27" i="13" s="1"/>
  <c r="IE20" i="13"/>
  <c r="IF11" i="13"/>
  <c r="IF12" i="13" s="1"/>
  <c r="IE6" i="13"/>
  <c r="IE7" i="13" s="1"/>
  <c r="ID18" i="13"/>
  <c r="ID24" i="13" s="1"/>
  <c r="IC22" i="13"/>
  <c r="ID15" i="13"/>
  <c r="ID16" i="13" s="1"/>
  <c r="IF26" i="13" l="1"/>
  <c r="IF27" i="13" s="1"/>
  <c r="IG3" i="13"/>
  <c r="IG23" i="13" s="1"/>
  <c r="ID22" i="13"/>
  <c r="IE15" i="13"/>
  <c r="IE16" i="13" s="1"/>
  <c r="IE21" i="13"/>
  <c r="IF13" i="13"/>
  <c r="IF14" i="13" s="1"/>
  <c r="IE18" i="13"/>
  <c r="IE24" i="13" s="1"/>
  <c r="IF6" i="13"/>
  <c r="IF7" i="13" s="1"/>
  <c r="IE19" i="13"/>
  <c r="IF9" i="13"/>
  <c r="IF10" i="13" s="1"/>
  <c r="IF20" i="13"/>
  <c r="IG11" i="13"/>
  <c r="IG12" i="13" s="1"/>
  <c r="IE22" i="13" l="1"/>
  <c r="IF15" i="13"/>
  <c r="IF16" i="13" s="1"/>
  <c r="IG20" i="13"/>
  <c r="IH11" i="13"/>
  <c r="IH12" i="13" s="1"/>
  <c r="IH3" i="13"/>
  <c r="IH23" i="13" s="1"/>
  <c r="IG26" i="13"/>
  <c r="IG27" i="13" s="1"/>
  <c r="IF19" i="13"/>
  <c r="IG9" i="13"/>
  <c r="IG10" i="13" s="1"/>
  <c r="IF21" i="13"/>
  <c r="IG13" i="13"/>
  <c r="IG14" i="13" s="1"/>
  <c r="IF18" i="13"/>
  <c r="IF24" i="13" s="1"/>
  <c r="IG6" i="13"/>
  <c r="IG7" i="13" s="1"/>
  <c r="II3" i="13" l="1"/>
  <c r="II23" i="13" s="1"/>
  <c r="IH26" i="13"/>
  <c r="IH27" i="13" s="1"/>
  <c r="IH20" i="13"/>
  <c r="II11" i="13"/>
  <c r="II12" i="13" s="1"/>
  <c r="IH6" i="13"/>
  <c r="IH7" i="13" s="1"/>
  <c r="IG18" i="13"/>
  <c r="IG24" i="13" s="1"/>
  <c r="IF22" i="13"/>
  <c r="IG15" i="13"/>
  <c r="IG16" i="13" s="1"/>
  <c r="IG21" i="13"/>
  <c r="IH13" i="13"/>
  <c r="IH14" i="13" s="1"/>
  <c r="IG19" i="13"/>
  <c r="IH9" i="13"/>
  <c r="IH10" i="13" s="1"/>
  <c r="II20" i="13" l="1"/>
  <c r="IJ11" i="13"/>
  <c r="IJ12" i="13" s="1"/>
  <c r="IH18" i="13"/>
  <c r="IH24" i="13" s="1"/>
  <c r="II6" i="13"/>
  <c r="II7" i="13" s="1"/>
  <c r="IH21" i="13"/>
  <c r="II13" i="13"/>
  <c r="II14" i="13" s="1"/>
  <c r="IJ3" i="13"/>
  <c r="IJ23" i="13" s="1"/>
  <c r="II26" i="13"/>
  <c r="II27" i="13" s="1"/>
  <c r="IH19" i="13"/>
  <c r="II9" i="13"/>
  <c r="II10" i="13" s="1"/>
  <c r="IG22" i="13"/>
  <c r="IH15" i="13"/>
  <c r="IH16" i="13" s="1"/>
  <c r="IJ26" i="13" l="1"/>
  <c r="IJ27" i="13" s="1"/>
  <c r="IK3" i="13"/>
  <c r="IK23" i="13" s="1"/>
  <c r="II21" i="13"/>
  <c r="IJ13" i="13"/>
  <c r="IJ14" i="13" s="1"/>
  <c r="IH22" i="13"/>
  <c r="II15" i="13"/>
  <c r="II16" i="13" s="1"/>
  <c r="II18" i="13"/>
  <c r="II24" i="13" s="1"/>
  <c r="IJ6" i="13"/>
  <c r="IJ7" i="13" s="1"/>
  <c r="II19" i="13"/>
  <c r="IJ9" i="13"/>
  <c r="IJ10" i="13" s="1"/>
  <c r="IJ20" i="13"/>
  <c r="IK11" i="13"/>
  <c r="IK12" i="13" s="1"/>
  <c r="II22" i="13" l="1"/>
  <c r="IJ15" i="13"/>
  <c r="IJ16" i="13" s="1"/>
  <c r="IJ21" i="13"/>
  <c r="IK13" i="13"/>
  <c r="IK14" i="13" s="1"/>
  <c r="IK20" i="13"/>
  <c r="IL11" i="13"/>
  <c r="IL12" i="13" s="1"/>
  <c r="IJ19" i="13"/>
  <c r="IK9" i="13"/>
  <c r="IK10" i="13" s="1"/>
  <c r="IL3" i="13"/>
  <c r="IL23" i="13" s="1"/>
  <c r="IK26" i="13"/>
  <c r="IK27" i="13" s="1"/>
  <c r="IJ18" i="13"/>
  <c r="IJ24" i="13" s="1"/>
  <c r="IK6" i="13"/>
  <c r="IK7" i="13" s="1"/>
  <c r="IL20" i="13" l="1"/>
  <c r="IM11" i="13"/>
  <c r="IM12" i="13" s="1"/>
  <c r="IK21" i="13"/>
  <c r="IL13" i="13"/>
  <c r="IL14" i="13" s="1"/>
  <c r="IJ22" i="13"/>
  <c r="IK15" i="13"/>
  <c r="IK16" i="13" s="1"/>
  <c r="IK19" i="13"/>
  <c r="IL9" i="13"/>
  <c r="IL10" i="13" s="1"/>
  <c r="IK18" i="13"/>
  <c r="IK24" i="13" s="1"/>
  <c r="IL6" i="13"/>
  <c r="IL7" i="13" s="1"/>
  <c r="IM3" i="13"/>
  <c r="IM23" i="13" s="1"/>
  <c r="IL26" i="13"/>
  <c r="IL27" i="13" s="1"/>
  <c r="IL19" i="13" l="1"/>
  <c r="IM9" i="13"/>
  <c r="IM10" i="13" s="1"/>
  <c r="IL21" i="13"/>
  <c r="IM13" i="13"/>
  <c r="IM14" i="13" s="1"/>
  <c r="IL18" i="13"/>
  <c r="IL24" i="13" s="1"/>
  <c r="IM6" i="13"/>
  <c r="IM7" i="13" s="1"/>
  <c r="IM20" i="13"/>
  <c r="IN11" i="13"/>
  <c r="IK22" i="13"/>
  <c r="IL15" i="13"/>
  <c r="IL16" i="13" s="1"/>
  <c r="IN3" i="13"/>
  <c r="IM26" i="13"/>
  <c r="IM27" i="13" s="1"/>
  <c r="C29" i="13" l="1"/>
  <c r="C26" i="13" s="1"/>
  <c r="IN23" i="13"/>
  <c r="IN12" i="13"/>
  <c r="IN20" i="13" s="1"/>
  <c r="IM21" i="13"/>
  <c r="IN13" i="13"/>
  <c r="IM18" i="13"/>
  <c r="IM24" i="13" s="1"/>
  <c r="IN6" i="13"/>
  <c r="IN26" i="13"/>
  <c r="IN27" i="13" s="1"/>
  <c r="IL22" i="13"/>
  <c r="IM15" i="13"/>
  <c r="IM16" i="13" s="1"/>
  <c r="IM19" i="13"/>
  <c r="IN9" i="13"/>
  <c r="IN7" i="13" l="1"/>
  <c r="IN18" i="13" s="1"/>
  <c r="IN24" i="13" s="1"/>
  <c r="D29" i="13" s="1"/>
  <c r="IN14" i="13"/>
  <c r="IN21" i="13" s="1"/>
  <c r="IN10" i="13"/>
  <c r="IN19" i="13" s="1"/>
  <c r="IM22" i="13"/>
  <c r="IN15" i="13"/>
  <c r="C41" i="15" l="1"/>
  <c r="C43" i="15" s="1"/>
  <c r="IN16" i="13"/>
  <c r="IN22" i="13" s="1"/>
  <c r="B4" i="20" l="1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D44" i="20"/>
  <c r="E44" i="20" s="1"/>
  <c r="H44" i="20" s="1"/>
  <c r="K44" i="20"/>
  <c r="K3" i="20"/>
  <c r="D3" i="20"/>
  <c r="E3" i="20" s="1"/>
  <c r="H3" i="20" s="1"/>
  <c r="K52" i="20"/>
  <c r="D52" i="20"/>
  <c r="E52" i="20" s="1"/>
  <c r="D18" i="20"/>
  <c r="E18" i="20" s="1"/>
  <c r="K18" i="20"/>
  <c r="D41" i="20"/>
  <c r="E41" i="20" s="1"/>
  <c r="H41" i="20" s="1"/>
  <c r="K41" i="20"/>
  <c r="D46" i="20"/>
  <c r="E46" i="20" s="1"/>
  <c r="K46" i="20"/>
  <c r="K26" i="20"/>
  <c r="D26" i="20"/>
  <c r="E26" i="20" s="1"/>
  <c r="D7" i="20"/>
  <c r="E7" i="20" s="1"/>
  <c r="K7" i="20"/>
  <c r="D30" i="20"/>
  <c r="E30" i="20" s="1"/>
  <c r="H30" i="20" s="1"/>
  <c r="K30" i="20"/>
  <c r="D57" i="20"/>
  <c r="K21" i="20"/>
  <c r="D21" i="20"/>
  <c r="E21" i="20" s="1"/>
  <c r="D27" i="20"/>
  <c r="E27" i="20" s="1"/>
  <c r="H27" i="20" s="1"/>
  <c r="K27" i="20"/>
  <c r="D6" i="20"/>
  <c r="E6" i="20" s="1"/>
  <c r="K6" i="20"/>
  <c r="D33" i="20"/>
  <c r="E33" i="20" s="1"/>
  <c r="K33" i="20"/>
  <c r="D11" i="20"/>
  <c r="E11" i="20" s="1"/>
  <c r="K11" i="20"/>
  <c r="K17" i="20"/>
  <c r="D17" i="20"/>
  <c r="E17" i="20" s="1"/>
  <c r="D42" i="20"/>
  <c r="E42" i="20" s="1"/>
  <c r="K42" i="20"/>
  <c r="D29" i="20"/>
  <c r="E29" i="20" s="1"/>
  <c r="K29" i="20"/>
  <c r="D50" i="20"/>
  <c r="E50" i="20" s="1"/>
  <c r="K50" i="20"/>
  <c r="K5" i="20"/>
  <c r="D5" i="20"/>
  <c r="E5" i="20" s="1"/>
  <c r="D10" i="20"/>
  <c r="E10" i="20" s="1"/>
  <c r="K10" i="20"/>
  <c r="D51" i="20"/>
  <c r="E51" i="20" s="1"/>
  <c r="H51" i="20" s="1"/>
  <c r="K51" i="20"/>
  <c r="D8" i="20"/>
  <c r="E8" i="20" s="1"/>
  <c r="K8" i="20"/>
  <c r="K23" i="20"/>
  <c r="D23" i="20"/>
  <c r="E23" i="20" s="1"/>
  <c r="D34" i="20"/>
  <c r="E34" i="20" s="1"/>
  <c r="K34" i="20"/>
  <c r="K45" i="20"/>
  <c r="D45" i="20"/>
  <c r="E45" i="20" s="1"/>
  <c r="K28" i="20"/>
  <c r="D28" i="20"/>
  <c r="E28" i="20" s="1"/>
  <c r="D40" i="20"/>
  <c r="E40" i="20" s="1"/>
  <c r="K40" i="20"/>
  <c r="K20" i="20"/>
  <c r="D20" i="20"/>
  <c r="E20" i="20" s="1"/>
  <c r="K53" i="20"/>
  <c r="D53" i="20"/>
  <c r="E53" i="20" s="1"/>
  <c r="D12" i="20"/>
  <c r="E12" i="20" s="1"/>
  <c r="K12" i="20"/>
  <c r="D22" i="20"/>
  <c r="E22" i="20" s="1"/>
  <c r="K22" i="20"/>
  <c r="K24" i="20"/>
  <c r="D24" i="20"/>
  <c r="E24" i="20" s="1"/>
  <c r="H24" i="20" s="1"/>
  <c r="D25" i="20"/>
  <c r="E25" i="20" s="1"/>
  <c r="H25" i="20" s="1"/>
  <c r="K25" i="20"/>
  <c r="H22" i="20" l="1"/>
  <c r="H26" i="20"/>
  <c r="H52" i="20"/>
  <c r="H11" i="20"/>
  <c r="H8" i="20"/>
  <c r="H50" i="20"/>
  <c r="H12" i="20"/>
  <c r="H29" i="20"/>
  <c r="H40" i="20"/>
  <c r="H33" i="20"/>
  <c r="H34" i="20"/>
  <c r="H10" i="20"/>
  <c r="H42" i="20"/>
  <c r="H28" i="20"/>
  <c r="H21" i="20"/>
  <c r="H53" i="20"/>
  <c r="H45" i="20"/>
  <c r="H46" i="20"/>
  <c r="H20" i="20"/>
  <c r="H6" i="20"/>
  <c r="H23" i="20"/>
  <c r="H5" i="20"/>
  <c r="H17" i="20"/>
  <c r="H7" i="20"/>
  <c r="H18" i="20"/>
  <c r="E57" i="20"/>
  <c r="H57" i="20" s="1"/>
</calcChain>
</file>

<file path=xl/sharedStrings.xml><?xml version="1.0" encoding="utf-8"?>
<sst xmlns="http://schemas.openxmlformats.org/spreadsheetml/2006/main" count="3263" uniqueCount="534">
  <si>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</si>
  <si>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</si>
  <si>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</si>
  <si>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</si>
  <si>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</si>
  <si>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</si>
  <si>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</si>
  <si>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</si>
  <si>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</si>
  <si>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</si>
  <si>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</si>
  <si>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</si>
  <si>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</si>
  <si>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</si>
  <si>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</si>
  <si>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</si>
  <si>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</si>
  <si>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</si>
  <si>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</si>
  <si>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</si>
  <si>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</si>
  <si>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</si>
  <si>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</si>
  <si>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</si>
  <si>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</si>
  <si>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</si>
  <si>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</si>
  <si>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</si>
  <si>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</si>
  <si>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</si>
  <si>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</si>
  <si>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</si>
  <si>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</si>
  <si>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</si>
  <si>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</si>
  <si>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</si>
  <si>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</si>
  <si>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</si>
  <si>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</si>
  <si>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</si>
  <si>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</si>
  <si>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</si>
  <si>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</si>
  <si>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</si>
  <si>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</si>
  <si>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</si>
  <si>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</si>
  <si>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</si>
  <si>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</si>
  <si>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</si>
  <si>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</si>
  <si>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</si>
  <si>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</si>
  <si>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</si>
  <si>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</si>
  <si>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</si>
  <si>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</si>
  <si>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</si>
  <si>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</si>
  <si>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</si>
  <si>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</si>
  <si>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</si>
  <si>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</si>
  <si>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</si>
  <si>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</si>
  <si>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</si>
  <si>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</si>
  <si>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</si>
  <si>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</si>
  <si>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</si>
  <si>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</si>
  <si>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</si>
  <si>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</si>
  <si>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</si>
  <si>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</si>
  <si>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</si>
  <si>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</si>
  <si>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</si>
  <si>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</si>
  <si>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</si>
  <si>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</si>
  <si>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</si>
  <si>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</si>
  <si>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</si>
  <si>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</si>
  <si>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</si>
  <si>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</si>
  <si>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</si>
  <si>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</si>
  <si>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</si>
  <si>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</si>
  <si>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</si>
  <si>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</si>
  <si>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</si>
  <si>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</si>
  <si>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</si>
  <si>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</si>
  <si>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</si>
  <si>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</si>
  <si>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</si>
  <si>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</si>
  <si>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</si>
  <si>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</si>
  <si>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</si>
  <si>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</si>
  <si>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</si>
  <si>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</si>
  <si>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</si>
  <si>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</si>
  <si>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</si>
  <si>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</si>
  <si>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</si>
  <si>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</si>
  <si>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</si>
  <si>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</si>
  <si>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</si>
  <si>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</si>
  <si>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</si>
  <si>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</si>
  <si>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</si>
  <si>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</si>
  <si>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</si>
  <si>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</si>
  <si>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</si>
  <si>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</si>
  <si>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</si>
  <si>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</si>
  <si>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</si>
  <si>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</si>
  <si>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</si>
  <si>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</si>
  <si>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</si>
  <si>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</si>
  <si>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</si>
  <si>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</si>
  <si>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</si>
  <si>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</si>
  <si>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</si>
  <si>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</si>
  <si>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</si>
  <si>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</si>
  <si>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</si>
  <si>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</si>
  <si>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</si>
  <si>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</si>
  <si>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</si>
  <si>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</si>
  <si>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</si>
  <si>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</si>
  <si>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</si>
  <si>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</si>
  <si>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</si>
  <si>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</si>
  <si>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</si>
  <si>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</si>
  <si>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</si>
  <si>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</si>
  <si>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</si>
  <si>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</si>
  <si>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</si>
  <si>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</si>
  <si>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</si>
  <si>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</si>
  <si>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</si>
  <si>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</si>
  <si>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</si>
  <si>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</si>
  <si>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</si>
  <si>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</si>
  <si>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</si>
  <si>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</si>
  <si>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</si>
  <si>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</si>
  <si>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</si>
  <si>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</si>
  <si>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</si>
  <si>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</si>
  <si>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</si>
  <si>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</si>
  <si>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</si>
  <si>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</si>
  <si>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</si>
  <si>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</si>
  <si>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</si>
  <si>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</si>
  <si>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</si>
  <si>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</si>
  <si>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</si>
  <si>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</si>
  <si>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</si>
  <si>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</si>
  <si>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</si>
  <si>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</si>
  <si>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</si>
  <si>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</si>
  <si>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</si>
  <si>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</si>
  <si>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</si>
  <si>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</si>
  <si>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</si>
  <si>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</si>
  <si>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</si>
  <si>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</si>
  <si>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</si>
  <si>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</si>
  <si>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</si>
  <si>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</si>
  <si>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</si>
  <si>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</si>
  <si>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</si>
  <si>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</si>
  <si>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</si>
  <si>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</si>
  <si>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</si>
  <si>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</si>
  <si>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</si>
  <si>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</si>
  <si>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</si>
  <si>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</si>
  <si>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</si>
  <si>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</si>
  <si>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</si>
  <si>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</si>
  <si>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</si>
  <si>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</si>
  <si>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</si>
  <si>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</si>
  <si>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</si>
  <si>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</si>
  <si>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</si>
  <si>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</si>
  <si>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</si>
  <si>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</si>
  <si>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</si>
  <si>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</si>
  <si>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</si>
  <si>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</si>
  <si>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</si>
  <si>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</si>
  <si>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</si>
  <si>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</si>
  <si>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</si>
  <si>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</si>
  <si>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</si>
  <si>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</si>
  <si>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</si>
  <si>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</si>
  <si>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</si>
  <si>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</si>
  <si>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</si>
  <si>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</si>
  <si>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</si>
  <si>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</si>
  <si>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</si>
  <si>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</si>
  <si>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</si>
  <si>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</si>
  <si>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</si>
  <si>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</si>
  <si>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</si>
  <si>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</si>
  <si>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</si>
  <si>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</si>
  <si>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</si>
  <si>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</si>
  <si>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</si>
  <si>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</si>
  <si>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</si>
  <si>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</si>
  <si>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</si>
  <si>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</si>
  <si>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</si>
  <si>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</si>
  <si>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</si>
  <si>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</si>
  <si>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</si>
  <si>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</si>
  <si>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</si>
  <si>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</si>
  <si>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</si>
  <si>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</si>
  <si>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</si>
  <si>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</si>
  <si>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</si>
  <si>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</si>
  <si>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</si>
  <si>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</si>
  <si>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</si>
  <si>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</si>
  <si>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</si>
  <si>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</si>
  <si>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</si>
  <si>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</si>
  <si>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</si>
  <si>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</si>
  <si>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</si>
  <si>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</si>
  <si>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</si>
  <si>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</si>
  <si>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</si>
  <si>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</si>
  <si>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</si>
  <si>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</si>
  <si>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</si>
  <si>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</si>
  <si>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</si>
  <si>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</si>
  <si>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</si>
  <si>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</si>
  <si>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</si>
  <si>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</si>
  <si>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</si>
  <si>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</si>
  <si>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</si>
  <si>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</si>
  <si>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</si>
  <si>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</si>
  <si>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</si>
  <si>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</si>
  <si>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</si>
  <si>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</si>
  <si>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</si>
  <si>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</si>
  <si>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</si>
  <si>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</si>
  <si>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</si>
  <si>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</si>
  <si>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</si>
  <si>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</si>
  <si>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</si>
  <si>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</si>
  <si>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</si>
  <si>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</si>
  <si>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</si>
  <si>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</si>
  <si>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</si>
  <si>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</si>
  <si>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</si>
  <si>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</si>
  <si>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</si>
  <si>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</si>
  <si>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</si>
  <si>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</si>
  <si>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</si>
  <si>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</si>
  <si>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</si>
  <si>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</si>
  <si>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</si>
  <si>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</si>
  <si>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</si>
  <si>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</si>
  <si>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</si>
  <si>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</si>
  <si>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</si>
  <si>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</si>
  <si>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</si>
  <si>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</si>
  <si>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</si>
  <si>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</si>
  <si>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</si>
  <si>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</si>
  <si>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</si>
  <si>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</si>
  <si>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</si>
  <si>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</si>
  <si>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</si>
  <si>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</si>
  <si>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</si>
  <si>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</si>
  <si>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</si>
  <si>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</si>
  <si>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</si>
  <si>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</si>
  <si>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</si>
  <si>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</si>
  <si>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</si>
  <si>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</si>
  <si>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</si>
  <si>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</si>
  <si>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</si>
  <si>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</si>
  <si>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</si>
  <si>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</si>
  <si>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</si>
  <si>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</si>
  <si>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</si>
  <si>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</si>
  <si>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</si>
  <si>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</si>
  <si>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</si>
  <si>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</si>
  <si>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</si>
  <si>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</si>
  <si>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</si>
  <si>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</si>
  <si>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</si>
  <si>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</si>
  <si>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</si>
  <si>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</si>
  <si>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</si>
  <si>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</si>
  <si>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</si>
  <si>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</si>
  <si>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</si>
  <si>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</si>
  <si>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</si>
  <si>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</si>
  <si>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</si>
  <si>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</si>
  <si>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</si>
  <si>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</si>
  <si>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</si>
  <si>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</si>
  <si>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</si>
  <si>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</si>
  <si>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</si>
  <si>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</si>
  <si>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</si>
  <si>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</si>
  <si>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</si>
  <si>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</si>
  <si>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</si>
  <si>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</si>
  <si>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</si>
  <si>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</si>
  <si>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</si>
  <si>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</si>
  <si>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</si>
  <si>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</si>
  <si>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</si>
  <si>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50% Daily Increase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</si>
  <si>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</si>
  <si>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</si>
  <si>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</si>
  <si>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</si>
  <si>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</si>
  <si>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</si>
  <si>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</si>
  <si>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</si>
  <si>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</si>
  <si>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</si>
  <si>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</si>
  <si>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</si>
  <si>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</si>
  <si>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</si>
  <si>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</si>
  <si>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</si>
  <si>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</si>
  <si>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</si>
  <si>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</si>
  <si>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</si>
  <si>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Rate of increase</t>
  </si>
  <si>
    <t>Last x days</t>
  </si>
  <si>
    <t>Expected tomorrow</t>
  </si>
  <si>
    <t>Actual</t>
  </si>
  <si>
    <t>30% daily increase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</si>
  <si>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</si>
  <si>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</si>
  <si>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</si>
  <si>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</si>
  <si>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</si>
  <si>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</si>
  <si>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</si>
  <si>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</si>
  <si>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</si>
  <si>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</si>
  <si>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</si>
  <si>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</si>
  <si>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</si>
  <si>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</si>
  <si>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</si>
  <si>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</si>
  <si>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</si>
  <si>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</si>
  <si>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</si>
  <si>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</si>
  <si>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The Bahamas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</si>
  <si>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</si>
  <si>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</si>
  <si>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</si>
  <si>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</si>
  <si>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</si>
  <si>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</si>
  <si>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</si>
  <si>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</si>
  <si>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</si>
  <si>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</si>
  <si>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</si>
  <si>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</si>
  <si>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</si>
  <si>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</si>
  <si>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</si>
  <si>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</si>
  <si>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</si>
  <si>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Current Cases</t>
  </si>
  <si>
    <t>Daily increase rate</t>
  </si>
  <si>
    <t>Infected</t>
  </si>
  <si>
    <t>Active Cases</t>
  </si>
  <si>
    <t>Total infected</t>
  </si>
  <si>
    <t>Days more</t>
  </si>
  <si>
    <t>10% daily increase</t>
  </si>
  <si>
    <t>10% increase</t>
  </si>
  <si>
    <t>30%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</si>
  <si>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</si>
  <si>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</si>
  <si>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</si>
  <si>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</si>
  <si>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</si>
  <si>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</si>
  <si>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</si>
  <si>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</si>
  <si>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</si>
  <si>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</si>
  <si>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Days until healthcare overload</t>
  </si>
  <si>
    <t>Schools shut</t>
  </si>
  <si>
    <t>Social distancing introduced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</si>
  <si>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</si>
  <si>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</si>
  <si>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</si>
  <si>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</si>
  <si>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</si>
  <si>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</si>
  <si>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</si>
  <si>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</si>
  <si>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Popultation</t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</si>
  <si>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</si>
  <si>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</si>
  <si>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</si>
  <si>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</si>
  <si>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</si>
  <si>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</si>
  <si>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</si>
  <si>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r>
      <rPr>
        <b/>
        <sz val="13"/>
        <rFont val="Verdana"/>
        <family val="2"/>
      </rPr>
      <t>*Assumptions</t>
    </r>
    <r>
      <rPr>
        <sz val="13"/>
        <rFont val="Verdana"/>
        <family val="2"/>
      </rPr>
      <t>: Numbers requiring critical = 2x current country fatality rate</t>
    </r>
  </si>
  <si>
    <t>Current daily rate of increase (5 day average)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</si>
</sst>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[$-F800]dddd\,\ mmmm\ dd\,\ yyyy"/>
    <numFmt numFmtId="168" formatCode="_-* #,##0.0_-;\-* #,##0.0_-;_-* &quot;-&quot;??_-;_-@_-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/>
      <name val="Verdana"/>
      <family val="2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6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2"/>
      <color theme="1"/>
      <name val="Verdana"/>
      <family val="2"/>
    </font>
    <font>
      <sz val="12"/>
      <color theme="0"/>
      <name val="Verdana"/>
      <family val="2"/>
    </font>
    <font>
      <sz val="13"/>
      <name val="Verdana"/>
      <family val="2"/>
    </font>
    <font>
      <b/>
      <sz val="13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3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3" fontId="6" fillId="0" borderId="0" xfId="0" applyNumberFormat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3" fontId="6" fillId="0" borderId="4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8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8" fillId="6" borderId="7" xfId="0" applyFont="1" applyFill="1" applyBorder="1"/>
    <xf numFmtId="0" fontId="8" fillId="6" borderId="8" xfId="0" applyFont="1" applyFill="1" applyBorder="1"/>
    <xf numFmtId="0" fontId="8" fillId="6" borderId="9" xfId="0" applyFont="1" applyFill="1" applyBorder="1"/>
    <xf numFmtId="0" fontId="8" fillId="6" borderId="10" xfId="0" applyFont="1" applyFill="1" applyBorder="1"/>
    <xf numFmtId="0" fontId="8" fillId="6" borderId="0" xfId="0" applyFont="1" applyFill="1" applyBorder="1"/>
    <xf numFmtId="0" fontId="8" fillId="6" borderId="11" xfId="0" applyFont="1" applyFill="1" applyBorder="1"/>
    <xf numFmtId="0" fontId="8" fillId="6" borderId="12" xfId="0" applyFont="1" applyFill="1" applyBorder="1"/>
    <xf numFmtId="0" fontId="8" fillId="6" borderId="13" xfId="0" applyFont="1" applyFill="1" applyBorder="1"/>
    <xf numFmtId="0" fontId="8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11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8" fillId="5" borderId="17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/>
    </xf>
    <xf numFmtId="0" fontId="12" fillId="6" borderId="0" xfId="0" applyFont="1" applyFill="1" applyAlignment="1">
      <alignment horizontal="center"/>
    </xf>
    <xf numFmtId="0" fontId="12" fillId="6" borderId="0" xfId="0" applyFont="1" applyFill="1"/>
    <xf numFmtId="0" fontId="12" fillId="6" borderId="0" xfId="0" applyFont="1" applyFill="1" applyAlignment="1">
      <alignment vertical="center"/>
    </xf>
    <xf numFmtId="165" fontId="12" fillId="6" borderId="11" xfId="1" applyNumberFormat="1" applyFont="1" applyFill="1" applyBorder="1" applyAlignment="1">
      <alignment vertical="center"/>
    </xf>
    <xf numFmtId="165" fontId="12" fillId="6" borderId="0" xfId="1" applyNumberFormat="1" applyFont="1" applyFill="1" applyBorder="1" applyAlignment="1">
      <alignment vertical="center"/>
    </xf>
    <xf numFmtId="0" fontId="12" fillId="6" borderId="0" xfId="0" applyFont="1" applyFill="1" applyBorder="1" applyAlignment="1">
      <alignment vertical="center"/>
    </xf>
    <xf numFmtId="0" fontId="13" fillId="4" borderId="20" xfId="0" applyFont="1" applyFill="1" applyBorder="1" applyAlignment="1">
      <alignment horizontal="center" vertical="center" wrapText="1"/>
    </xf>
    <xf numFmtId="0" fontId="13" fillId="4" borderId="15" xfId="0" applyFont="1" applyFill="1" applyBorder="1" applyAlignment="1">
      <alignment horizontal="center" vertical="center" wrapText="1"/>
    </xf>
    <xf numFmtId="0" fontId="13" fillId="4" borderId="16" xfId="0" applyFont="1" applyFill="1" applyBorder="1" applyAlignment="1">
      <alignment horizontal="center" vertical="center" wrapText="1"/>
    </xf>
    <xf numFmtId="0" fontId="12" fillId="6" borderId="10" xfId="0" applyNumberFormat="1" applyFont="1" applyFill="1" applyBorder="1" applyAlignment="1">
      <alignment horizontal="center" vertical="center"/>
    </xf>
    <xf numFmtId="43" fontId="14" fillId="6" borderId="11" xfId="1" applyFont="1" applyFill="1" applyBorder="1" applyAlignment="1">
      <alignment horizontal="center" vertical="center"/>
    </xf>
    <xf numFmtId="168" fontId="12" fillId="6" borderId="0" xfId="1" applyNumberFormat="1" applyFont="1" applyFill="1" applyBorder="1" applyAlignment="1">
      <alignment vertical="center"/>
    </xf>
    <xf numFmtId="165" fontId="12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9" fillId="4" borderId="21" xfId="0" applyFont="1" applyFill="1" applyBorder="1" applyAlignment="1">
      <alignment horizontal="left" vertical="center" wrapText="1"/>
    </xf>
    <xf numFmtId="0" fontId="9" fillId="4" borderId="22" xfId="0" applyFont="1" applyFill="1" applyBorder="1" applyAlignment="1">
      <alignment horizontal="left" vertical="center" wrapText="1"/>
    </xf>
    <xf numFmtId="0" fontId="9" fillId="4" borderId="23" xfId="0" applyFont="1" applyFill="1" applyBorder="1" applyAlignment="1">
      <alignment horizontal="left" vertical="center" wrapText="1"/>
    </xf>
    <xf numFmtId="0" fontId="9" fillId="4" borderId="24" xfId="0" applyFont="1" applyFill="1" applyBorder="1" applyAlignment="1">
      <alignment horizontal="left" vertical="center" wrapText="1"/>
    </xf>
    <xf numFmtId="0" fontId="9" fillId="4" borderId="25" xfId="0" applyFont="1" applyFill="1" applyBorder="1" applyAlignment="1">
      <alignment horizontal="left" vertical="center" wrapText="1"/>
    </xf>
    <xf numFmtId="0" fontId="9" fillId="4" borderId="26" xfId="0" applyFont="1" applyFill="1" applyBorder="1" applyAlignment="1">
      <alignment horizontal="left" vertical="center" wrapText="1"/>
    </xf>
    <xf numFmtId="0" fontId="10" fillId="4" borderId="21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10" fillId="4" borderId="23" xfId="0" applyFont="1" applyFill="1" applyBorder="1" applyAlignment="1">
      <alignment horizontal="center" vertical="center" wrapText="1"/>
    </xf>
    <xf numFmtId="0" fontId="10" fillId="4" borderId="24" xfId="0" applyFont="1" applyFill="1" applyBorder="1" applyAlignment="1">
      <alignment horizontal="center" vertical="center" wrapText="1"/>
    </xf>
    <xf numFmtId="0" fontId="10" fillId="4" borderId="25" xfId="0" applyFont="1" applyFill="1" applyBorder="1" applyAlignment="1">
      <alignment horizontal="center" vertical="center" wrapText="1"/>
    </xf>
    <xf numFmtId="0" fontId="10" fillId="4" borderId="26" xfId="0" applyFont="1" applyFill="1" applyBorder="1" applyAlignment="1">
      <alignment horizontal="center" vertical="center" wrapText="1"/>
    </xf>
    <xf numFmtId="0" fontId="10" fillId="6" borderId="0" xfId="0" applyFont="1" applyFill="1" applyBorder="1" applyAlignment="1">
      <alignment vertical="center" wrapText="1"/>
    </xf>
    <xf numFmtId="0" fontId="15" fillId="6" borderId="13" xfId="0" applyFont="1" applyFill="1" applyBorder="1" applyAlignment="1">
      <alignment horizontal="left" vertical="center" wrapText="1"/>
    </xf>
    <xf numFmtId="0" fontId="15" fillId="6" borderId="0" xfId="0" applyFont="1" applyFill="1" applyBorder="1" applyAlignment="1">
      <alignment horizontal="left" vertical="center" wrapText="1"/>
    </xf>
    <xf numFmtId="0" fontId="19" fillId="4" borderId="17" xfId="0" applyFont="1" applyFill="1" applyBorder="1" applyAlignment="1">
      <alignment horizontal="left" vertical="center" wrapText="1"/>
    </xf>
    <xf numFmtId="0" fontId="19" fillId="4" borderId="17" xfId="0" applyFont="1" applyFill="1" applyBorder="1" applyAlignment="1">
      <alignment horizontal="left" vertical="center"/>
    </xf>
    <xf numFmtId="165" fontId="20" fillId="5" borderId="17" xfId="1" applyNumberFormat="1" applyFont="1" applyFill="1" applyBorder="1" applyAlignment="1">
      <alignment horizontal="left" vertical="center"/>
    </xf>
    <xf numFmtId="10" fontId="20" fillId="5" borderId="17" xfId="0" applyNumberFormat="1" applyFont="1" applyFill="1" applyBorder="1" applyAlignment="1">
      <alignment horizontal="right" vertical="center"/>
    </xf>
    <xf numFmtId="166" fontId="20" fillId="5" borderId="17" xfId="0" applyNumberFormat="1" applyFont="1" applyFill="1" applyBorder="1" applyAlignment="1">
      <alignment horizontal="right" vertical="center" shrinkToFit="1"/>
    </xf>
    <xf numFmtId="0" fontId="19" fillId="6" borderId="0" xfId="0" applyFont="1" applyFill="1" applyBorder="1" applyAlignment="1">
      <alignment shrinkToFit="1"/>
    </xf>
    <xf numFmtId="0" fontId="20" fillId="5" borderId="18" xfId="0" applyFont="1" applyFill="1" applyBorder="1" applyAlignment="1">
      <alignment horizontal="center" vertical="center" shrinkToFit="1"/>
    </xf>
    <xf numFmtId="0" fontId="20" fillId="5" borderId="19" xfId="0" applyFont="1" applyFill="1" applyBorder="1" applyAlignment="1">
      <alignment horizontal="center" vertical="center" shrinkToFit="1"/>
    </xf>
    <xf numFmtId="0" fontId="19" fillId="4" borderId="18" xfId="0" applyFont="1" applyFill="1" applyBorder="1" applyAlignment="1">
      <alignment horizontal="left" vertical="center" shrinkToFit="1"/>
    </xf>
    <xf numFmtId="0" fontId="19" fillId="4" borderId="19" xfId="0" applyFont="1" applyFill="1" applyBorder="1" applyAlignment="1">
      <alignment horizontal="left" vertical="center" shrinkToFit="1"/>
    </xf>
    <xf numFmtId="165" fontId="20" fillId="5" borderId="18" xfId="1" applyNumberFormat="1" applyFont="1" applyFill="1" applyBorder="1" applyAlignment="1">
      <alignment horizontal="left" vertical="center" shrinkToFit="1"/>
    </xf>
    <xf numFmtId="165" fontId="20" fillId="5" borderId="19" xfId="1" applyNumberFormat="1" applyFont="1" applyFill="1" applyBorder="1" applyAlignment="1">
      <alignment horizontal="left" vertical="center" shrinkToFit="1"/>
    </xf>
    <xf numFmtId="165" fontId="20" fillId="5" borderId="18" xfId="1" applyNumberFormat="1" applyFont="1" applyFill="1" applyBorder="1" applyAlignment="1">
      <alignment horizontal="center" vertical="center" shrinkToFit="1"/>
    </xf>
    <xf numFmtId="165" fontId="20" fillId="5" borderId="19" xfId="1" applyNumberFormat="1" applyFont="1" applyFill="1" applyBorder="1" applyAlignment="1">
      <alignment horizontal="center" vertical="center" shrinkToFit="1"/>
    </xf>
    <xf numFmtId="165" fontId="21" fillId="5" borderId="18" xfId="1" applyNumberFormat="1" applyFont="1" applyFill="1" applyBorder="1" applyAlignment="1">
      <alignment horizontal="center" vertical="center" shrinkToFit="1"/>
    </xf>
    <xf numFmtId="165" fontId="21" fillId="5" borderId="19" xfId="1" applyNumberFormat="1" applyFont="1" applyFill="1" applyBorder="1" applyAlignment="1">
      <alignment horizontal="center" vertical="center" shrinkToFit="1"/>
    </xf>
    <xf numFmtId="165" fontId="22" fillId="5" borderId="18" xfId="1" applyNumberFormat="1" applyFont="1" applyFill="1" applyBorder="1" applyAlignment="1">
      <alignment horizontal="right" vertical="center" shrinkToFit="1"/>
    </xf>
    <xf numFmtId="165" fontId="22" fillId="5" borderId="19" xfId="1" applyNumberFormat="1" applyFont="1" applyFill="1" applyBorder="1" applyAlignment="1">
      <alignment horizontal="right" vertical="center" shrinkToFit="1"/>
    </xf>
    <xf numFmtId="165" fontId="20" fillId="5" borderId="18" xfId="1" applyNumberFormat="1" applyFont="1" applyFill="1" applyBorder="1" applyAlignment="1">
      <alignment horizontal="right" vertical="center" shrinkToFit="1"/>
    </xf>
    <xf numFmtId="165" fontId="20" fillId="5" borderId="19" xfId="1" applyNumberFormat="1" applyFont="1" applyFill="1" applyBorder="1" applyAlignment="1">
      <alignment horizontal="right" vertical="center" shrinkToFit="1"/>
    </xf>
    <xf numFmtId="9" fontId="20" fillId="5" borderId="18" xfId="2" applyFont="1" applyFill="1" applyBorder="1" applyAlignment="1">
      <alignment horizontal="right" vertical="center" shrinkToFit="1"/>
    </xf>
    <xf numFmtId="9" fontId="20" fillId="5" borderId="19" xfId="2" applyFont="1" applyFill="1" applyBorder="1" applyAlignment="1">
      <alignment horizontal="right" vertical="center" shrinkToFit="1"/>
    </xf>
    <xf numFmtId="14" fontId="20" fillId="5" borderId="18" xfId="2" applyNumberFormat="1" applyFont="1" applyFill="1" applyBorder="1" applyAlignment="1">
      <alignment horizontal="right" vertical="center" shrinkToFit="1"/>
    </xf>
    <xf numFmtId="14" fontId="20" fillId="5" borderId="19" xfId="2" applyNumberFormat="1" applyFont="1" applyFill="1" applyBorder="1" applyAlignment="1">
      <alignment horizontal="right" vertical="center" shrinkToFit="1"/>
    </xf>
    <xf numFmtId="0" fontId="19" fillId="4" borderId="18" xfId="0" applyFont="1" applyFill="1" applyBorder="1" applyAlignment="1">
      <alignment horizontal="left" vertical="center" wrapText="1" shrinkToFit="1"/>
    </xf>
    <xf numFmtId="0" fontId="19" fillId="4" borderId="19" xfId="0" applyFont="1" applyFill="1" applyBorder="1" applyAlignment="1">
      <alignment horizontal="left" vertical="center" wrapText="1" shrinkToFit="1"/>
    </xf>
    <xf numFmtId="0" fontId="16" fillId="4" borderId="18" xfId="0" applyFont="1" applyFill="1" applyBorder="1" applyAlignment="1">
      <alignment horizontal="left" vertical="center" wrapText="1" shrinkToFit="1"/>
    </xf>
    <xf numFmtId="0" fontId="16" fillId="4" borderId="19" xfId="0" applyFont="1" applyFill="1" applyBorder="1" applyAlignment="1">
      <alignment horizontal="left" vertical="center" wrapText="1" shrinkToFit="1"/>
    </xf>
    <xf numFmtId="9" fontId="14" fillId="6" borderId="11" xfId="2" applyFont="1" applyFill="1" applyBorder="1" applyAlignment="1">
      <alignment horizontal="right" vertical="center" indent="1"/>
    </xf>
    <xf numFmtId="0" fontId="7" fillId="4" borderId="17" xfId="0" applyFont="1" applyFill="1" applyBorder="1" applyAlignment="1">
      <alignment horizontal="right" vertical="center"/>
    </xf>
    <xf numFmtId="0" fontId="17" fillId="6" borderId="28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27" xfId="0" applyFont="1" applyFill="1" applyBorder="1" applyAlignment="1">
      <alignment horizontal="left" vertical="center" wrapText="1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37356410045567"/>
          <c:y val="2.5923618184178723E-2"/>
          <c:w val="0.7975782985219162"/>
          <c:h val="0.72568759360068469"/>
        </c:manualLayout>
      </c:layout>
      <c:lineChart>
        <c:grouping val="standard"/>
        <c:varyColors val="0"/>
        <c:ser>
          <c:idx val="5"/>
          <c:order val="0"/>
          <c:tx>
            <c:strRef>
              <c:f>Projections_Data!$F$9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Projections_Data!$G$10:$KU$10</c:f>
              <c:numCache>
                <c:formatCode>_-* #,##0_-;\-* #,##0_-;_-* "-"??_-;_-@_-</c:formatCode>
                <c:ptCount val="301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3545</c:v>
                </c:pt>
                <c:pt idx="13">
                  <c:v>4426</c:v>
                </c:pt>
                <c:pt idx="14">
                  <c:v>5599</c:v>
                </c:pt>
                <c:pt idx="15">
                  <c:v>7010</c:v>
                </c:pt>
                <c:pt idx="16">
                  <c:v>8775</c:v>
                </c:pt>
                <c:pt idx="17">
                  <c:v>11657</c:v>
                </c:pt>
                <c:pt idx="18">
                  <c:v>14521</c:v>
                </c:pt>
                <c:pt idx="19">
                  <c:v>15812</c:v>
                </c:pt>
                <c:pt idx="20">
                  <c:v>17361.2</c:v>
                </c:pt>
                <c:pt idx="21">
                  <c:v>18933.920000000002</c:v>
                </c:pt>
                <c:pt idx="22">
                  <c:v>20522.012000000002</c:v>
                </c:pt>
                <c:pt idx="23">
                  <c:v>22595.013200000005</c:v>
                </c:pt>
                <c:pt idx="24">
                  <c:v>23465.314520000007</c:v>
                </c:pt>
                <c:pt idx="25">
                  <c:v>25269.34597200001</c:v>
                </c:pt>
                <c:pt idx="26">
                  <c:v>27044.780569200011</c:v>
                </c:pt>
                <c:pt idx="27">
                  <c:v>28851.758626120012</c:v>
                </c:pt>
                <c:pt idx="28">
                  <c:v>30479.134488732016</c:v>
                </c:pt>
                <c:pt idx="29">
                  <c:v>31382.747937605222</c:v>
                </c:pt>
                <c:pt idx="30">
                  <c:v>32760.722731365749</c:v>
                </c:pt>
                <c:pt idx="31">
                  <c:v>36036.795004502332</c:v>
                </c:pt>
                <c:pt idx="32">
                  <c:v>39640.474504952566</c:v>
                </c:pt>
                <c:pt idx="33">
                  <c:v>43604.521955447824</c:v>
                </c:pt>
                <c:pt idx="34">
                  <c:v>47964.97415099261</c:v>
                </c:pt>
                <c:pt idx="35">
                  <c:v>52761.471566091874</c:v>
                </c:pt>
                <c:pt idx="36">
                  <c:v>58037.61872270106</c:v>
                </c:pt>
                <c:pt idx="37">
                  <c:v>63841.380594971168</c:v>
                </c:pt>
                <c:pt idx="38">
                  <c:v>70225.518654468295</c:v>
                </c:pt>
                <c:pt idx="39">
                  <c:v>77248.070519915142</c:v>
                </c:pt>
                <c:pt idx="40">
                  <c:v>84972.877571906662</c:v>
                </c:pt>
                <c:pt idx="41">
                  <c:v>93470.165329097334</c:v>
                </c:pt>
                <c:pt idx="42">
                  <c:v>102817.18186200708</c:v>
                </c:pt>
                <c:pt idx="43">
                  <c:v>113098.9000482078</c:v>
                </c:pt>
                <c:pt idx="44">
                  <c:v>124408.79005302858</c:v>
                </c:pt>
                <c:pt idx="45">
                  <c:v>136849.66905833143</c:v>
                </c:pt>
                <c:pt idx="46">
                  <c:v>150534.63596416463</c:v>
                </c:pt>
                <c:pt idx="47">
                  <c:v>165588.09956058109</c:v>
                </c:pt>
                <c:pt idx="48">
                  <c:v>182146.90951663925</c:v>
                </c:pt>
                <c:pt idx="49">
                  <c:v>200361.60046830319</c:v>
                </c:pt>
                <c:pt idx="50">
                  <c:v>220397.7605151335</c:v>
                </c:pt>
                <c:pt idx="51">
                  <c:v>242437.53656664689</c:v>
                </c:pt>
                <c:pt idx="52">
                  <c:v>266681.29022331157</c:v>
                </c:pt>
                <c:pt idx="53">
                  <c:v>293349.41924564278</c:v>
                </c:pt>
                <c:pt idx="54">
                  <c:v>322684.36117020709</c:v>
                </c:pt>
                <c:pt idx="55">
                  <c:v>354952.79728722782</c:v>
                </c:pt>
                <c:pt idx="56">
                  <c:v>390448.07701595069</c:v>
                </c:pt>
                <c:pt idx="57">
                  <c:v>429492.8847175457</c:v>
                </c:pt>
                <c:pt idx="58">
                  <c:v>472442.17318930035</c:v>
                </c:pt>
                <c:pt idx="59">
                  <c:v>519686.39050823043</c:v>
                </c:pt>
                <c:pt idx="60">
                  <c:v>571655.02955905348</c:v>
                </c:pt>
                <c:pt idx="61">
                  <c:v>628820.53251495888</c:v>
                </c:pt>
                <c:pt idx="62">
                  <c:v>691702.58576645481</c:v>
                </c:pt>
                <c:pt idx="63">
                  <c:v>760872.84434310044</c:v>
                </c:pt>
                <c:pt idx="64">
                  <c:v>836960.12877741049</c:v>
                </c:pt>
                <c:pt idx="65">
                  <c:v>920656.1416551515</c:v>
                </c:pt>
                <c:pt idx="66">
                  <c:v>1012721.7558206669</c:v>
                </c:pt>
                <c:pt idx="67">
                  <c:v>1113993.9314027335</c:v>
                </c:pt>
                <c:pt idx="68">
                  <c:v>1225393.3245430072</c:v>
                </c:pt>
                <c:pt idx="69">
                  <c:v>1347932.6569973081</c:v>
                </c:pt>
                <c:pt idx="70">
                  <c:v>1482725.9226970389</c:v>
                </c:pt>
                <c:pt idx="71">
                  <c:v>1630998.5149667428</c:v>
                </c:pt>
                <c:pt idx="72">
                  <c:v>1794098.3664634174</c:v>
                </c:pt>
                <c:pt idx="73">
                  <c:v>1973508.2031097591</c:v>
                </c:pt>
                <c:pt idx="74">
                  <c:v>2170859.0234207353</c:v>
                </c:pt>
                <c:pt idx="75">
                  <c:v>2387944.9257628089</c:v>
                </c:pt>
                <c:pt idx="76">
                  <c:v>2626739.4183390904</c:v>
                </c:pt>
                <c:pt idx="77">
                  <c:v>2889413.3601729991</c:v>
                </c:pt>
                <c:pt idx="78">
                  <c:v>3178354.696190299</c:v>
                </c:pt>
                <c:pt idx="79">
                  <c:v>3496190.1658093296</c:v>
                </c:pt>
                <c:pt idx="80">
                  <c:v>3845809.1823902624</c:v>
                </c:pt>
                <c:pt idx="81">
                  <c:v>4230390.1006292887</c:v>
                </c:pt>
                <c:pt idx="82">
                  <c:v>4653429.1106922179</c:v>
                </c:pt>
                <c:pt idx="83">
                  <c:v>5118772.0217614397</c:v>
                </c:pt>
                <c:pt idx="84">
                  <c:v>5630649.2239375841</c:v>
                </c:pt>
                <c:pt idx="85">
                  <c:v>6193714.1463313438</c:v>
                </c:pt>
                <c:pt idx="86">
                  <c:v>6813085.5609644782</c:v>
                </c:pt>
                <c:pt idx="87">
                  <c:v>7494394.1170609258</c:v>
                </c:pt>
                <c:pt idx="88">
                  <c:v>8243833.5287670176</c:v>
                </c:pt>
                <c:pt idx="89">
                  <c:v>9068216.8816437218</c:v>
                </c:pt>
                <c:pt idx="90">
                  <c:v>9975038.5698080957</c:v>
                </c:pt>
                <c:pt idx="91">
                  <c:v>10972542.426788907</c:v>
                </c:pt>
                <c:pt idx="92">
                  <c:v>12069796.669467796</c:v>
                </c:pt>
                <c:pt idx="93">
                  <c:v>13276776.336414579</c:v>
                </c:pt>
                <c:pt idx="94">
                  <c:v>14604453.970056038</c:v>
                </c:pt>
                <c:pt idx="95">
                  <c:v>16064899.367061645</c:v>
                </c:pt>
                <c:pt idx="96">
                  <c:v>17671389.303767808</c:v>
                </c:pt>
                <c:pt idx="97">
                  <c:v>19438528.234144591</c:v>
                </c:pt>
                <c:pt idx="98">
                  <c:v>21382381.057559051</c:v>
                </c:pt>
                <c:pt idx="99">
                  <c:v>22514555.547120482</c:v>
                </c:pt>
                <c:pt idx="100">
                  <c:v>21414653.421832532</c:v>
                </c:pt>
                <c:pt idx="101">
                  <c:v>20204761.084015783</c:v>
                </c:pt>
                <c:pt idx="102">
                  <c:v>18873879.512417361</c:v>
                </c:pt>
                <c:pt idx="103">
                  <c:v>17409909.783659093</c:v>
                </c:pt>
                <c:pt idx="104">
                  <c:v>15799543.082025003</c:v>
                </c:pt>
                <c:pt idx="105">
                  <c:v>14028139.710227501</c:v>
                </c:pt>
                <c:pt idx="106">
                  <c:v>12079596.001250248</c:v>
                </c:pt>
                <c:pt idx="107">
                  <c:v>9936197.9213752709</c:v>
                </c:pt>
                <c:pt idx="108">
                  <c:v>7578460.0335127972</c:v>
                </c:pt>
                <c:pt idx="109">
                  <c:v>4984948.3568640761</c:v>
                </c:pt>
                <c:pt idx="110">
                  <c:v>2132085.5125504807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75-4CE9-A73F-2C5A11769A81}"/>
            </c:ext>
          </c:extLst>
        </c:ser>
        <c:ser>
          <c:idx val="2"/>
          <c:order val="1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222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Projections_Data!$G$12:$KU$12</c:f>
              <c:numCache>
                <c:formatCode>_-* #,##0_-;\-* #,##0_-;_-* "-"??_-;_-@_-</c:formatCode>
                <c:ptCount val="301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3545</c:v>
                </c:pt>
                <c:pt idx="13">
                  <c:v>4426</c:v>
                </c:pt>
                <c:pt idx="14">
                  <c:v>5599</c:v>
                </c:pt>
                <c:pt idx="15">
                  <c:v>7010</c:v>
                </c:pt>
                <c:pt idx="16">
                  <c:v>8775</c:v>
                </c:pt>
                <c:pt idx="17">
                  <c:v>11657</c:v>
                </c:pt>
                <c:pt idx="18">
                  <c:v>14521</c:v>
                </c:pt>
                <c:pt idx="19">
                  <c:v>18110</c:v>
                </c:pt>
                <c:pt idx="20">
                  <c:v>22761.5</c:v>
                </c:pt>
                <c:pt idx="21">
                  <c:v>28464.875</c:v>
                </c:pt>
                <c:pt idx="22">
                  <c:v>35494.34375</c:v>
                </c:pt>
                <c:pt idx="23">
                  <c:v>44674.9296875</c:v>
                </c:pt>
                <c:pt idx="24">
                  <c:v>54766.162109375</c:v>
                </c:pt>
                <c:pt idx="25">
                  <c:v>68466.45263671875</c:v>
                </c:pt>
                <c:pt idx="26">
                  <c:v>85519.315795898438</c:v>
                </c:pt>
                <c:pt idx="27">
                  <c:v>106870.89474487305</c:v>
                </c:pt>
                <c:pt idx="28">
                  <c:v>133421.61843109131</c:v>
                </c:pt>
                <c:pt idx="29">
                  <c:v>166021.27303886414</c:v>
                </c:pt>
                <c:pt idx="30">
                  <c:v>207615.34129858017</c:v>
                </c:pt>
                <c:pt idx="31">
                  <c:v>259519.17662322521</c:v>
                </c:pt>
                <c:pt idx="32">
                  <c:v>324398.97077903152</c:v>
                </c:pt>
                <c:pt idx="33">
                  <c:v>405498.71347378939</c:v>
                </c:pt>
                <c:pt idx="34">
                  <c:v>506873.39184223674</c:v>
                </c:pt>
                <c:pt idx="35">
                  <c:v>633591.73980279593</c:v>
                </c:pt>
                <c:pt idx="36">
                  <c:v>791989.67475349491</c:v>
                </c:pt>
                <c:pt idx="37">
                  <c:v>989987.09344186867</c:v>
                </c:pt>
                <c:pt idx="38">
                  <c:v>1237483.8668023357</c:v>
                </c:pt>
                <c:pt idx="39">
                  <c:v>1546854.8335029196</c:v>
                </c:pt>
                <c:pt idx="40">
                  <c:v>1933568.5418786495</c:v>
                </c:pt>
                <c:pt idx="41">
                  <c:v>2416960.677348312</c:v>
                </c:pt>
                <c:pt idx="42">
                  <c:v>3021200.84668539</c:v>
                </c:pt>
                <c:pt idx="43">
                  <c:v>3776501.0583567377</c:v>
                </c:pt>
                <c:pt idx="44">
                  <c:v>4720626.3229459226</c:v>
                </c:pt>
                <c:pt idx="45">
                  <c:v>5900782.9036824033</c:v>
                </c:pt>
                <c:pt idx="46">
                  <c:v>7375978.6296030041</c:v>
                </c:pt>
                <c:pt idx="47">
                  <c:v>9219973.2870037556</c:v>
                </c:pt>
                <c:pt idx="48">
                  <c:v>11524966.608754694</c:v>
                </c:pt>
                <c:pt idx="49">
                  <c:v>14406208.260943368</c:v>
                </c:pt>
                <c:pt idx="50">
                  <c:v>18007760.32617921</c:v>
                </c:pt>
                <c:pt idx="51">
                  <c:v>22509700.407724012</c:v>
                </c:pt>
                <c:pt idx="52">
                  <c:v>28137125.509655014</c:v>
                </c:pt>
                <c:pt idx="53">
                  <c:v>30918267.849612825</c:v>
                </c:pt>
                <c:pt idx="54">
                  <c:v>30269440.61201603</c:v>
                </c:pt>
                <c:pt idx="55">
                  <c:v>29458406.56502004</c:v>
                </c:pt>
                <c:pt idx="56">
                  <c:v>28444614.006275047</c:v>
                </c:pt>
                <c:pt idx="57">
                  <c:v>27177373.307843808</c:v>
                </c:pt>
                <c:pt idx="58">
                  <c:v>25593322.43480476</c:v>
                </c:pt>
                <c:pt idx="59">
                  <c:v>23613258.843505949</c:v>
                </c:pt>
                <c:pt idx="60">
                  <c:v>21138179.354382437</c:v>
                </c:pt>
                <c:pt idx="61">
                  <c:v>18044329.992978044</c:v>
                </c:pt>
                <c:pt idx="62">
                  <c:v>14177018.291222557</c:v>
                </c:pt>
                <c:pt idx="63">
                  <c:v>9342878.6640281975</c:v>
                </c:pt>
                <c:pt idx="64">
                  <c:v>3300204.1300352477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75-4CE9-A73F-2C5A11769A81}"/>
            </c:ext>
          </c:extLst>
        </c:ser>
        <c:ser>
          <c:idx val="4"/>
          <c:order val="2"/>
          <c:tx>
            <c:strRef>
              <c:f>Projections_Data!$F$15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Projections_Data!$G$16:$KU$16</c:f>
              <c:numCache>
                <c:formatCode>_-* #,##0_-;\-* #,##0_-;_-* "-"??_-;_-@_-</c:formatCode>
                <c:ptCount val="301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3545</c:v>
                </c:pt>
                <c:pt idx="13">
                  <c:v>4426</c:v>
                </c:pt>
                <c:pt idx="14">
                  <c:v>5599</c:v>
                </c:pt>
                <c:pt idx="15">
                  <c:v>7010</c:v>
                </c:pt>
                <c:pt idx="16">
                  <c:v>8775</c:v>
                </c:pt>
                <c:pt idx="17">
                  <c:v>11657</c:v>
                </c:pt>
                <c:pt idx="18">
                  <c:v>14521</c:v>
                </c:pt>
                <c:pt idx="19">
                  <c:v>20408</c:v>
                </c:pt>
                <c:pt idx="20">
                  <c:v>28851.199999999997</c:v>
                </c:pt>
                <c:pt idx="21">
                  <c:v>40581.079999999994</c:v>
                </c:pt>
                <c:pt idx="22">
                  <c:v>56945.311999999991</c:v>
                </c:pt>
                <c:pt idx="23">
                  <c:v>80316.636799999978</c:v>
                </c:pt>
                <c:pt idx="24">
                  <c:v>111677.49151999997</c:v>
                </c:pt>
                <c:pt idx="25">
                  <c:v>156908.48812799994</c:v>
                </c:pt>
                <c:pt idx="26">
                  <c:v>220295.88337919989</c:v>
                </c:pt>
                <c:pt idx="27">
                  <c:v>309255.23673087981</c:v>
                </c:pt>
                <c:pt idx="28">
                  <c:v>433881.13142323174</c:v>
                </c:pt>
                <c:pt idx="29">
                  <c:v>608066.38399252435</c:v>
                </c:pt>
                <c:pt idx="30">
                  <c:v>853230.73758953402</c:v>
                </c:pt>
                <c:pt idx="31">
                  <c:v>1194523.0326253476</c:v>
                </c:pt>
                <c:pt idx="32">
                  <c:v>1672332.2456754865</c:v>
                </c:pt>
                <c:pt idx="33">
                  <c:v>2341265.1439456809</c:v>
                </c:pt>
                <c:pt idx="34">
                  <c:v>3277771.2015239531</c:v>
                </c:pt>
                <c:pt idx="35">
                  <c:v>4588879.6821335331</c:v>
                </c:pt>
                <c:pt idx="36">
                  <c:v>6424431.5549869472</c:v>
                </c:pt>
                <c:pt idx="37">
                  <c:v>8994204.1769817248</c:v>
                </c:pt>
                <c:pt idx="38">
                  <c:v>12591885.847774414</c:v>
                </c:pt>
                <c:pt idx="39">
                  <c:v>17628640.18688418</c:v>
                </c:pt>
                <c:pt idx="40">
                  <c:v>24680096.261637852</c:v>
                </c:pt>
                <c:pt idx="41">
                  <c:v>32893183.416007478</c:v>
                </c:pt>
                <c:pt idx="42">
                  <c:v>32645026.062410466</c:v>
                </c:pt>
                <c:pt idx="43">
                  <c:v>32297605.767374653</c:v>
                </c:pt>
                <c:pt idx="44">
                  <c:v>31811217.354324516</c:v>
                </c:pt>
                <c:pt idx="45">
                  <c:v>31130273.57605432</c:v>
                </c:pt>
                <c:pt idx="46">
                  <c:v>30176952.286476046</c:v>
                </c:pt>
                <c:pt idx="47">
                  <c:v>28842302.481066465</c:v>
                </c:pt>
                <c:pt idx="48">
                  <c:v>26973792.753493056</c:v>
                </c:pt>
                <c:pt idx="49">
                  <c:v>24357879.134890273</c:v>
                </c:pt>
                <c:pt idx="50">
                  <c:v>20695600.068846386</c:v>
                </c:pt>
                <c:pt idx="51">
                  <c:v>15568409.37638494</c:v>
                </c:pt>
                <c:pt idx="52">
                  <c:v>8390342.4069389179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75-4CE9-A73F-2C5A11769A81}"/>
            </c:ext>
          </c:extLst>
        </c:ser>
        <c:ser>
          <c:idx val="1"/>
          <c:order val="3"/>
          <c:tx>
            <c:strRef>
              <c:f>Projections_Data!$F$6</c:f>
              <c:strCache>
                <c:ptCount val="1"/>
                <c:pt idx="0">
                  <c:v>Current Avg (27%)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Projections_Data!$G$7:$KU$7</c:f>
              <c:numCache>
                <c:formatCode>_-* #,##0_-;\-* #,##0_-;_-* "-"??_-;_-@_-</c:formatCode>
                <c:ptCount val="301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3545</c:v>
                </c:pt>
                <c:pt idx="13">
                  <c:v>4426</c:v>
                </c:pt>
                <c:pt idx="14">
                  <c:v>5599</c:v>
                </c:pt>
                <c:pt idx="15">
                  <c:v>7010</c:v>
                </c:pt>
                <c:pt idx="16">
                  <c:v>8775</c:v>
                </c:pt>
                <c:pt idx="17">
                  <c:v>11657</c:v>
                </c:pt>
                <c:pt idx="18">
                  <c:v>14521</c:v>
                </c:pt>
                <c:pt idx="19">
                  <c:v>18460.360957379911</c:v>
                </c:pt>
                <c:pt idx="20">
                  <c:v>23645.41497833595</c:v>
                </c:pt>
                <c:pt idx="21">
                  <c:v>30137.422424965225</c:v>
                </c:pt>
                <c:pt idx="22">
                  <c:v>38307.577123156669</c:v>
                </c:pt>
                <c:pt idx="23">
                  <c:v>49111.182115594318</c:v>
                </c:pt>
                <c:pt idx="24">
                  <c:v>61482.14937122359</c:v>
                </c:pt>
                <c:pt idx="25">
                  <c:v>78351.549066108317</c:v>
                </c:pt>
                <c:pt idx="26">
                  <c:v>99772.404918313434</c:v>
                </c:pt>
                <c:pt idx="27">
                  <c:v>127101.5314125976</c:v>
                </c:pt>
                <c:pt idx="28">
                  <c:v>161782.97164905228</c:v>
                </c:pt>
                <c:pt idx="29">
                  <c:v>205384.56561987897</c:v>
                </c:pt>
                <c:pt idx="30">
                  <c:v>261798.41476396489</c:v>
                </c:pt>
                <c:pt idx="31">
                  <c:v>333235.22101613402</c:v>
                </c:pt>
                <c:pt idx="32">
                  <c:v>424164.95388556691</c:v>
                </c:pt>
                <c:pt idx="33">
                  <c:v>539906.63878844387</c:v>
                </c:pt>
                <c:pt idx="34">
                  <c:v>687230.70102221856</c:v>
                </c:pt>
                <c:pt idx="35">
                  <c:v>874755.00854611595</c:v>
                </c:pt>
                <c:pt idx="36">
                  <c:v>1113448.9827627421</c:v>
                </c:pt>
                <c:pt idx="37">
                  <c:v>1417275.2657637696</c:v>
                </c:pt>
                <c:pt idx="38">
                  <c:v>1804006.4790052252</c:v>
                </c:pt>
                <c:pt idx="39">
                  <c:v>2296264.8505257112</c:v>
                </c:pt>
                <c:pt idx="40">
                  <c:v>2922845.5247386033</c:v>
                </c:pt>
                <c:pt idx="41">
                  <c:v>3720400.9631243637</c:v>
                </c:pt>
                <c:pt idx="42">
                  <c:v>4735584.9665214727</c:v>
                </c:pt>
                <c:pt idx="43">
                  <c:v>6027781.7357382886</c:v>
                </c:pt>
                <c:pt idx="44">
                  <c:v>7672579.6096082656</c:v>
                </c:pt>
                <c:pt idx="45">
                  <c:v>9766192.6802607179</c:v>
                </c:pt>
                <c:pt idx="46">
                  <c:v>12431088.932402452</c:v>
                </c:pt>
                <c:pt idx="47">
                  <c:v>15823154.13023096</c:v>
                </c:pt>
                <c:pt idx="48">
                  <c:v>20140810.510689326</c:v>
                </c:pt>
                <c:pt idx="49">
                  <c:v>25636623.69011965</c:v>
                </c:pt>
                <c:pt idx="50">
                  <c:v>31604002.916076463</c:v>
                </c:pt>
                <c:pt idx="51">
                  <c:v>31082938.418061692</c:v>
                </c:pt>
                <c:pt idx="52">
                  <c:v>30419691.303612344</c:v>
                </c:pt>
                <c:pt idx="53">
                  <c:v>29575464.271255758</c:v>
                </c:pt>
                <c:pt idx="54">
                  <c:v>28500873.418714564</c:v>
                </c:pt>
                <c:pt idx="55">
                  <c:v>27133059.482288197</c:v>
                </c:pt>
                <c:pt idx="56">
                  <c:v>25392010.821527831</c:v>
                </c:pt>
                <c:pt idx="57">
                  <c:v>23175883.058525875</c:v>
                </c:pt>
                <c:pt idx="58">
                  <c:v>20355041.589452174</c:v>
                </c:pt>
                <c:pt idx="59">
                  <c:v>16764478.479107331</c:v>
                </c:pt>
                <c:pt idx="60">
                  <c:v>12194160.157176711</c:v>
                </c:pt>
                <c:pt idx="61">
                  <c:v>6376741.295050472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75-4CE9-A73F-2C5A11769A81}"/>
            </c:ext>
          </c:extLst>
        </c:ser>
        <c:ser>
          <c:idx val="0"/>
          <c:order val="4"/>
          <c:tx>
            <c:strRef>
              <c:f>Projections_Data!$F$7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38-4D9F-BABB-17385EC32B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Projections_Data!$G$3:$KU$3</c:f>
              <c:numCache>
                <c:formatCode>m/d/yyyy</c:formatCode>
                <c:ptCount val="30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Projections_Data!$G$8:$KU$8</c:f>
              <c:numCache>
                <c:formatCode>_-* #,##0_-;\-* #,##0_-;_-* "-"??_-;_-@_-</c:formatCode>
                <c:ptCount val="301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3545</c:v>
                </c:pt>
                <c:pt idx="13">
                  <c:v>4426</c:v>
                </c:pt>
                <c:pt idx="14">
                  <c:v>5599</c:v>
                </c:pt>
                <c:pt idx="15">
                  <c:v>7010</c:v>
                </c:pt>
                <c:pt idx="16">
                  <c:v>8775</c:v>
                </c:pt>
                <c:pt idx="17">
                  <c:v>11657</c:v>
                </c:pt>
                <c:pt idx="18">
                  <c:v>14521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75-4CE9-A73F-2C5A11769A81}"/>
            </c:ext>
          </c:extLst>
        </c:ser>
        <c:ser>
          <c:idx val="7"/>
          <c:order val="6"/>
          <c:tx>
            <c:strRef>
              <c:f>Projections_Data!$F$27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175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Projections_Data!$G$3:$KU$3</c:f>
              <c:numCache>
                <c:formatCode>m/d/yyyy</c:formatCode>
                <c:ptCount val="30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E-4857-A39F-FEB1B1D8DA2B}"/>
            </c:ext>
          </c:extLst>
        </c:ser>
        <c:ser>
          <c:idx val="6"/>
          <c:order val="7"/>
          <c:tx>
            <c:strRef>
              <c:f>Projections_Data!$F$26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175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Projections_Data!$G$3:$KU$3</c:f>
              <c:numCache>
                <c:formatCode>m/d/yyyy</c:formatCode>
                <c:ptCount val="30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Projections_Data!$G$26:$IN$26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1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E-4857-A39F-FEB1B1D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600224"/>
        <c:axId val="1363512368"/>
      </c:lineChart>
      <c:lineChart>
        <c:grouping val="standard"/>
        <c:varyColors val="0"/>
        <c:ser>
          <c:idx val="3"/>
          <c:order val="5"/>
          <c:tx>
            <c:strRef>
              <c:f>Projections_Data!$F$25</c:f>
              <c:strCache>
                <c:ptCount val="1"/>
                <c:pt idx="0">
                  <c:v>Rate of increase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dLbls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rgbClr val="00B0F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2F38-4D9F-BABB-17385EC32BBA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rgbClr val="00B0F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38-4D9F-BABB-17385EC32B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Projections_Data!$G$3:$KU$3</c:f>
              <c:numCache>
                <c:formatCode>m/d/yyyy</c:formatCode>
                <c:ptCount val="30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Projections_Data!$G$25:$IN$25</c:f>
              <c:numCache>
                <c:formatCode>0.00%</c:formatCode>
                <c:ptCount val="242"/>
                <c:pt idx="0">
                  <c:v>0.22307692307692317</c:v>
                </c:pt>
                <c:pt idx="1">
                  <c:v>0.22307692307692317</c:v>
                </c:pt>
                <c:pt idx="2">
                  <c:v>0.22788122702984093</c:v>
                </c:pt>
                <c:pt idx="3">
                  <c:v>0.2631433684039477</c:v>
                </c:pt>
                <c:pt idx="4">
                  <c:v>0.38763716012764582</c:v>
                </c:pt>
                <c:pt idx="5">
                  <c:v>0.38811769392774842</c:v>
                </c:pt>
                <c:pt idx="6">
                  <c:v>0.38111528279502327</c:v>
                </c:pt>
                <c:pt idx="7">
                  <c:v>0.39622514024097799</c:v>
                </c:pt>
                <c:pt idx="8">
                  <c:v>0.35027182622316877</c:v>
                </c:pt>
                <c:pt idx="9">
                  <c:v>0.24762050157678384</c:v>
                </c:pt>
                <c:pt idx="10">
                  <c:v>0.23282295852597534</c:v>
                </c:pt>
                <c:pt idx="11">
                  <c:v>0.2106531957839306</c:v>
                </c:pt>
                <c:pt idx="12">
                  <c:v>0.28719635363307194</c:v>
                </c:pt>
                <c:pt idx="13">
                  <c:v>0.31276322958120861</c:v>
                </c:pt>
                <c:pt idx="14">
                  <c:v>0.31801021959469611</c:v>
                </c:pt>
                <c:pt idx="15">
                  <c:v>0.30681797649716258</c:v>
                </c:pt>
                <c:pt idx="16">
                  <c:v>0.34823297258154295</c:v>
                </c:pt>
                <c:pt idx="17">
                  <c:v>0.27385504237479696</c:v>
                </c:pt>
                <c:pt idx="18">
                  <c:v>0.27286951418928918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0E-4857-A39F-FEB1B1D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252687"/>
        <c:axId val="313398847"/>
      </c:lineChart>
      <c:dateAx>
        <c:axId val="1216600224"/>
        <c:scaling>
          <c:orientation val="minMax"/>
          <c:max val="43915"/>
          <c:min val="4389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363512368"/>
        <c:crosses val="autoZero"/>
        <c:auto val="0"/>
        <c:lblOffset val="100"/>
        <c:baseTimeUnit val="days"/>
      </c:dateAx>
      <c:valAx>
        <c:axId val="1363512368"/>
        <c:scaling>
          <c:orientation val="minMax"/>
          <c:max val="65157.1493712235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Number of 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600224"/>
        <c:crosses val="autoZero"/>
        <c:crossBetween val="midCat"/>
      </c:valAx>
      <c:valAx>
        <c:axId val="31339884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Rate of increase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0252687"/>
        <c:crosses val="max"/>
        <c:crossBetween val="between"/>
      </c:valAx>
      <c:dateAx>
        <c:axId val="25025268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13398847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7"/>
        <c:delete val="1"/>
      </c:legendEntry>
      <c:layout>
        <c:manualLayout>
          <c:xMode val="edge"/>
          <c:yMode val="edge"/>
          <c:x val="3.8733884320672735E-2"/>
          <c:y val="0.87336570406812253"/>
          <c:w val="0.9440510559812505"/>
          <c:h val="0.12663429766800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15975842354885"/>
          <c:y val="3.4617722360402912E-2"/>
          <c:w val="0.8552333486015079"/>
          <c:h val="0.78537918982808697"/>
        </c:manualLayout>
      </c:layout>
      <c:lineChart>
        <c:grouping val="standard"/>
        <c:varyColors val="0"/>
        <c:ser>
          <c:idx val="0"/>
          <c:order val="0"/>
          <c:tx>
            <c:strRef>
              <c:f>Projections_Data!$F$17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E3-4F5B-91A2-6F28082897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Projections_Data!$G$17:$IN$17</c:f>
              <c:numCache>
                <c:formatCode>_-* #,##0_-;\-* #,##0_-;_-* "-"??_-;_-@_-</c:formatCode>
                <c:ptCount val="242"/>
                <c:pt idx="0">
                  <c:v>24464.911064</c:v>
                </c:pt>
                <c:pt idx="1">
                  <c:v>24464.911064</c:v>
                </c:pt>
                <c:pt idx="2">
                  <c:v>24464.911064</c:v>
                </c:pt>
                <c:pt idx="3">
                  <c:v>24464.911064</c:v>
                </c:pt>
                <c:pt idx="4">
                  <c:v>24464.911064</c:v>
                </c:pt>
                <c:pt idx="5">
                  <c:v>24464.911064</c:v>
                </c:pt>
                <c:pt idx="6">
                  <c:v>24464.911064</c:v>
                </c:pt>
                <c:pt idx="7">
                  <c:v>24464.911064</c:v>
                </c:pt>
                <c:pt idx="8">
                  <c:v>24464.911064</c:v>
                </c:pt>
                <c:pt idx="9">
                  <c:v>24464.911064</c:v>
                </c:pt>
                <c:pt idx="10">
                  <c:v>24464.911064</c:v>
                </c:pt>
                <c:pt idx="11">
                  <c:v>24464.911064</c:v>
                </c:pt>
                <c:pt idx="12">
                  <c:v>24464.911064</c:v>
                </c:pt>
                <c:pt idx="13">
                  <c:v>24464.911064</c:v>
                </c:pt>
                <c:pt idx="14">
                  <c:v>24464.911064</c:v>
                </c:pt>
                <c:pt idx="15">
                  <c:v>24464.911064</c:v>
                </c:pt>
                <c:pt idx="16">
                  <c:v>24464.911064</c:v>
                </c:pt>
                <c:pt idx="17">
                  <c:v>24464.911064</c:v>
                </c:pt>
                <c:pt idx="18">
                  <c:v>24464.911064</c:v>
                </c:pt>
                <c:pt idx="19">
                  <c:v>24464.911064</c:v>
                </c:pt>
                <c:pt idx="20">
                  <c:v>24464.911064</c:v>
                </c:pt>
                <c:pt idx="21">
                  <c:v>24464.911064</c:v>
                </c:pt>
                <c:pt idx="22">
                  <c:v>24464.911064</c:v>
                </c:pt>
                <c:pt idx="23">
                  <c:v>24464.911064</c:v>
                </c:pt>
                <c:pt idx="24">
                  <c:v>24464.911064</c:v>
                </c:pt>
                <c:pt idx="25">
                  <c:v>24464.911064</c:v>
                </c:pt>
                <c:pt idx="26">
                  <c:v>24464.911064</c:v>
                </c:pt>
                <c:pt idx="27">
                  <c:v>24464.911064</c:v>
                </c:pt>
                <c:pt idx="28">
                  <c:v>24464.911064</c:v>
                </c:pt>
                <c:pt idx="29">
                  <c:v>24464.911064</c:v>
                </c:pt>
                <c:pt idx="30">
                  <c:v>24464.911064</c:v>
                </c:pt>
                <c:pt idx="31">
                  <c:v>24464.911064</c:v>
                </c:pt>
                <c:pt idx="32">
                  <c:v>24464.911064</c:v>
                </c:pt>
                <c:pt idx="33">
                  <c:v>24464.911064</c:v>
                </c:pt>
                <c:pt idx="34">
                  <c:v>24464.911064</c:v>
                </c:pt>
                <c:pt idx="35">
                  <c:v>24464.911064</c:v>
                </c:pt>
                <c:pt idx="36">
                  <c:v>24464.911064</c:v>
                </c:pt>
                <c:pt idx="37">
                  <c:v>24464.911064</c:v>
                </c:pt>
                <c:pt idx="38">
                  <c:v>24464.911064</c:v>
                </c:pt>
                <c:pt idx="39">
                  <c:v>24464.911064</c:v>
                </c:pt>
                <c:pt idx="40">
                  <c:v>24464.911064</c:v>
                </c:pt>
                <c:pt idx="41">
                  <c:v>24464.911064</c:v>
                </c:pt>
                <c:pt idx="42">
                  <c:v>24464.911064</c:v>
                </c:pt>
                <c:pt idx="43">
                  <c:v>24464.911064</c:v>
                </c:pt>
                <c:pt idx="44">
                  <c:v>24464.911064</c:v>
                </c:pt>
                <c:pt idx="45">
                  <c:v>24464.911064</c:v>
                </c:pt>
                <c:pt idx="46">
                  <c:v>24464.911064</c:v>
                </c:pt>
                <c:pt idx="47">
                  <c:v>24464.911064</c:v>
                </c:pt>
                <c:pt idx="48">
                  <c:v>24464.911064</c:v>
                </c:pt>
                <c:pt idx="49">
                  <c:v>24464.911064</c:v>
                </c:pt>
                <c:pt idx="50">
                  <c:v>24464.911064</c:v>
                </c:pt>
                <c:pt idx="51">
                  <c:v>24464.911064</c:v>
                </c:pt>
                <c:pt idx="52">
                  <c:v>24464.911064</c:v>
                </c:pt>
                <c:pt idx="53">
                  <c:v>24464.911064</c:v>
                </c:pt>
                <c:pt idx="54">
                  <c:v>24464.911064</c:v>
                </c:pt>
                <c:pt idx="55">
                  <c:v>24464.911064</c:v>
                </c:pt>
                <c:pt idx="56">
                  <c:v>24464.911064</c:v>
                </c:pt>
                <c:pt idx="57">
                  <c:v>24464.911064</c:v>
                </c:pt>
                <c:pt idx="58">
                  <c:v>24464.911064</c:v>
                </c:pt>
                <c:pt idx="59">
                  <c:v>24464.911064</c:v>
                </c:pt>
                <c:pt idx="60">
                  <c:v>24464.911064</c:v>
                </c:pt>
                <c:pt idx="61">
                  <c:v>24464.911064</c:v>
                </c:pt>
                <c:pt idx="62">
                  <c:v>24464.911064</c:v>
                </c:pt>
                <c:pt idx="63">
                  <c:v>24464.911064</c:v>
                </c:pt>
                <c:pt idx="64">
                  <c:v>24464.911064</c:v>
                </c:pt>
                <c:pt idx="65">
                  <c:v>24464.911064</c:v>
                </c:pt>
                <c:pt idx="66">
                  <c:v>24464.911064</c:v>
                </c:pt>
                <c:pt idx="67">
                  <c:v>24464.911064</c:v>
                </c:pt>
                <c:pt idx="68">
                  <c:v>24464.911064</c:v>
                </c:pt>
                <c:pt idx="69">
                  <c:v>24464.911064</c:v>
                </c:pt>
                <c:pt idx="70">
                  <c:v>24464.911064</c:v>
                </c:pt>
                <c:pt idx="71">
                  <c:v>24464.911064</c:v>
                </c:pt>
                <c:pt idx="72">
                  <c:v>24464.911064</c:v>
                </c:pt>
                <c:pt idx="73">
                  <c:v>24464.911064</c:v>
                </c:pt>
                <c:pt idx="74">
                  <c:v>24464.911064</c:v>
                </c:pt>
                <c:pt idx="75">
                  <c:v>24464.911064</c:v>
                </c:pt>
                <c:pt idx="76">
                  <c:v>24464.911064</c:v>
                </c:pt>
                <c:pt idx="77">
                  <c:v>24464.911064</c:v>
                </c:pt>
                <c:pt idx="78">
                  <c:v>24464.911064</c:v>
                </c:pt>
                <c:pt idx="79">
                  <c:v>24464.911064</c:v>
                </c:pt>
                <c:pt idx="80">
                  <c:v>24464.911064</c:v>
                </c:pt>
                <c:pt idx="81">
                  <c:v>24464.911064</c:v>
                </c:pt>
                <c:pt idx="82">
                  <c:v>24464.911064</c:v>
                </c:pt>
                <c:pt idx="83">
                  <c:v>24464.911064</c:v>
                </c:pt>
                <c:pt idx="84">
                  <c:v>24464.911064</c:v>
                </c:pt>
                <c:pt idx="85">
                  <c:v>24464.911064</c:v>
                </c:pt>
                <c:pt idx="86">
                  <c:v>24464.911064</c:v>
                </c:pt>
                <c:pt idx="87">
                  <c:v>24464.911064</c:v>
                </c:pt>
                <c:pt idx="88">
                  <c:v>24464.911064</c:v>
                </c:pt>
                <c:pt idx="89">
                  <c:v>24464.911064</c:v>
                </c:pt>
                <c:pt idx="90">
                  <c:v>24464.911064</c:v>
                </c:pt>
                <c:pt idx="91">
                  <c:v>24464.911064</c:v>
                </c:pt>
                <c:pt idx="92">
                  <c:v>24464.911064</c:v>
                </c:pt>
                <c:pt idx="93">
                  <c:v>24464.911064</c:v>
                </c:pt>
                <c:pt idx="94">
                  <c:v>24464.911064</c:v>
                </c:pt>
                <c:pt idx="95">
                  <c:v>24464.911064</c:v>
                </c:pt>
                <c:pt idx="96">
                  <c:v>24464.911064</c:v>
                </c:pt>
                <c:pt idx="97">
                  <c:v>24464.911064</c:v>
                </c:pt>
                <c:pt idx="98">
                  <c:v>24464.911064</c:v>
                </c:pt>
                <c:pt idx="99">
                  <c:v>24464.911064</c:v>
                </c:pt>
                <c:pt idx="100">
                  <c:v>24464.911064</c:v>
                </c:pt>
                <c:pt idx="101">
                  <c:v>24464.911064</c:v>
                </c:pt>
                <c:pt idx="102">
                  <c:v>24464.911064</c:v>
                </c:pt>
                <c:pt idx="103">
                  <c:v>24464.911064</c:v>
                </c:pt>
                <c:pt idx="104">
                  <c:v>24464.911064</c:v>
                </c:pt>
                <c:pt idx="105">
                  <c:v>24464.911064</c:v>
                </c:pt>
                <c:pt idx="106">
                  <c:v>24464.911064</c:v>
                </c:pt>
                <c:pt idx="107">
                  <c:v>24464.911064</c:v>
                </c:pt>
                <c:pt idx="108">
                  <c:v>24464.911064</c:v>
                </c:pt>
                <c:pt idx="109">
                  <c:v>24464.911064</c:v>
                </c:pt>
                <c:pt idx="110">
                  <c:v>24464.911064</c:v>
                </c:pt>
                <c:pt idx="111">
                  <c:v>24464.911064</c:v>
                </c:pt>
                <c:pt idx="112">
                  <c:v>24464.911064</c:v>
                </c:pt>
                <c:pt idx="113">
                  <c:v>24464.911064</c:v>
                </c:pt>
                <c:pt idx="114">
                  <c:v>24464.911064</c:v>
                </c:pt>
                <c:pt idx="115">
                  <c:v>24464.911064</c:v>
                </c:pt>
                <c:pt idx="116">
                  <c:v>24464.911064</c:v>
                </c:pt>
                <c:pt idx="117">
                  <c:v>24464.911064</c:v>
                </c:pt>
                <c:pt idx="118">
                  <c:v>24464.911064</c:v>
                </c:pt>
                <c:pt idx="119">
                  <c:v>24464.911064</c:v>
                </c:pt>
                <c:pt idx="120">
                  <c:v>24464.911064</c:v>
                </c:pt>
                <c:pt idx="121">
                  <c:v>24464.911064</c:v>
                </c:pt>
                <c:pt idx="122">
                  <c:v>24464.911064</c:v>
                </c:pt>
                <c:pt idx="123">
                  <c:v>24464.911064</c:v>
                </c:pt>
                <c:pt idx="124">
                  <c:v>24464.911064</c:v>
                </c:pt>
                <c:pt idx="125">
                  <c:v>24464.911064</c:v>
                </c:pt>
                <c:pt idx="126">
                  <c:v>24464.911064</c:v>
                </c:pt>
                <c:pt idx="127">
                  <c:v>24464.911064</c:v>
                </c:pt>
                <c:pt idx="128">
                  <c:v>24464.911064</c:v>
                </c:pt>
                <c:pt idx="129">
                  <c:v>24464.911064</c:v>
                </c:pt>
                <c:pt idx="130">
                  <c:v>24464.911064</c:v>
                </c:pt>
                <c:pt idx="131">
                  <c:v>24464.911064</c:v>
                </c:pt>
                <c:pt idx="132">
                  <c:v>24464.911064</c:v>
                </c:pt>
                <c:pt idx="133">
                  <c:v>24464.911064</c:v>
                </c:pt>
                <c:pt idx="134">
                  <c:v>24464.911064</c:v>
                </c:pt>
                <c:pt idx="135">
                  <c:v>24464.911064</c:v>
                </c:pt>
                <c:pt idx="136">
                  <c:v>24464.911064</c:v>
                </c:pt>
                <c:pt idx="137">
                  <c:v>24464.911064</c:v>
                </c:pt>
                <c:pt idx="138">
                  <c:v>24464.911064</c:v>
                </c:pt>
                <c:pt idx="139">
                  <c:v>24464.911064</c:v>
                </c:pt>
                <c:pt idx="140">
                  <c:v>24464.911064</c:v>
                </c:pt>
                <c:pt idx="141">
                  <c:v>24464.911064</c:v>
                </c:pt>
                <c:pt idx="142">
                  <c:v>24464.911064</c:v>
                </c:pt>
                <c:pt idx="143">
                  <c:v>24464.911064</c:v>
                </c:pt>
                <c:pt idx="144">
                  <c:v>24464.911064</c:v>
                </c:pt>
                <c:pt idx="145">
                  <c:v>24464.911064</c:v>
                </c:pt>
                <c:pt idx="146">
                  <c:v>24464.911064</c:v>
                </c:pt>
                <c:pt idx="147">
                  <c:v>24464.911064</c:v>
                </c:pt>
                <c:pt idx="148">
                  <c:v>24464.911064</c:v>
                </c:pt>
                <c:pt idx="149">
                  <c:v>24464.911064</c:v>
                </c:pt>
                <c:pt idx="150">
                  <c:v>24464.911064</c:v>
                </c:pt>
                <c:pt idx="151">
                  <c:v>24464.911064</c:v>
                </c:pt>
                <c:pt idx="152">
                  <c:v>24464.911064</c:v>
                </c:pt>
                <c:pt idx="153">
                  <c:v>24464.911064</c:v>
                </c:pt>
                <c:pt idx="154">
                  <c:v>24464.911064</c:v>
                </c:pt>
                <c:pt idx="155">
                  <c:v>24464.911064</c:v>
                </c:pt>
                <c:pt idx="156">
                  <c:v>24464.911064</c:v>
                </c:pt>
                <c:pt idx="157">
                  <c:v>24464.911064</c:v>
                </c:pt>
                <c:pt idx="158">
                  <c:v>24464.911064</c:v>
                </c:pt>
                <c:pt idx="159">
                  <c:v>24464.911064</c:v>
                </c:pt>
                <c:pt idx="160">
                  <c:v>24464.911064</c:v>
                </c:pt>
                <c:pt idx="161">
                  <c:v>24464.911064</c:v>
                </c:pt>
                <c:pt idx="162">
                  <c:v>24464.911064</c:v>
                </c:pt>
                <c:pt idx="163">
                  <c:v>24464.911064</c:v>
                </c:pt>
                <c:pt idx="164">
                  <c:v>24464.911064</c:v>
                </c:pt>
                <c:pt idx="165">
                  <c:v>24464.911064</c:v>
                </c:pt>
                <c:pt idx="166">
                  <c:v>24464.911064</c:v>
                </c:pt>
                <c:pt idx="167">
                  <c:v>24464.911064</c:v>
                </c:pt>
                <c:pt idx="168">
                  <c:v>24464.911064</c:v>
                </c:pt>
                <c:pt idx="169">
                  <c:v>24464.911064</c:v>
                </c:pt>
                <c:pt idx="170">
                  <c:v>24464.911064</c:v>
                </c:pt>
                <c:pt idx="171">
                  <c:v>24464.911064</c:v>
                </c:pt>
                <c:pt idx="172">
                  <c:v>24464.911064</c:v>
                </c:pt>
                <c:pt idx="173">
                  <c:v>24464.911064</c:v>
                </c:pt>
                <c:pt idx="174">
                  <c:v>24464.911064</c:v>
                </c:pt>
                <c:pt idx="175">
                  <c:v>24464.911064</c:v>
                </c:pt>
                <c:pt idx="176">
                  <c:v>24464.911064</c:v>
                </c:pt>
                <c:pt idx="177">
                  <c:v>24464.911064</c:v>
                </c:pt>
                <c:pt idx="178">
                  <c:v>24464.911064</c:v>
                </c:pt>
                <c:pt idx="179">
                  <c:v>24464.911064</c:v>
                </c:pt>
                <c:pt idx="180">
                  <c:v>24464.911064</c:v>
                </c:pt>
                <c:pt idx="181">
                  <c:v>24464.911064</c:v>
                </c:pt>
                <c:pt idx="182">
                  <c:v>24464.911064</c:v>
                </c:pt>
                <c:pt idx="183">
                  <c:v>24464.911064</c:v>
                </c:pt>
                <c:pt idx="184">
                  <c:v>24464.911064</c:v>
                </c:pt>
                <c:pt idx="185">
                  <c:v>24464.911064</c:v>
                </c:pt>
                <c:pt idx="186">
                  <c:v>24464.911064</c:v>
                </c:pt>
                <c:pt idx="187">
                  <c:v>24464.911064</c:v>
                </c:pt>
                <c:pt idx="188">
                  <c:v>24464.911064</c:v>
                </c:pt>
                <c:pt idx="189">
                  <c:v>24464.911064</c:v>
                </c:pt>
                <c:pt idx="190">
                  <c:v>24464.911064</c:v>
                </c:pt>
                <c:pt idx="191">
                  <c:v>24464.911064</c:v>
                </c:pt>
                <c:pt idx="192">
                  <c:v>24464.911064</c:v>
                </c:pt>
                <c:pt idx="193">
                  <c:v>24464.911064</c:v>
                </c:pt>
                <c:pt idx="194">
                  <c:v>24464.911064</c:v>
                </c:pt>
                <c:pt idx="195">
                  <c:v>24464.911064</c:v>
                </c:pt>
                <c:pt idx="196">
                  <c:v>24464.911064</c:v>
                </c:pt>
                <c:pt idx="197">
                  <c:v>24464.911064</c:v>
                </c:pt>
                <c:pt idx="198">
                  <c:v>24464.911064</c:v>
                </c:pt>
                <c:pt idx="199">
                  <c:v>24464.911064</c:v>
                </c:pt>
                <c:pt idx="200">
                  <c:v>24464.911064</c:v>
                </c:pt>
                <c:pt idx="201">
                  <c:v>24464.911064</c:v>
                </c:pt>
                <c:pt idx="202">
                  <c:v>24464.911064</c:v>
                </c:pt>
                <c:pt idx="203">
                  <c:v>24464.911064</c:v>
                </c:pt>
                <c:pt idx="204">
                  <c:v>24464.911064</c:v>
                </c:pt>
                <c:pt idx="205">
                  <c:v>24464.911064</c:v>
                </c:pt>
                <c:pt idx="206">
                  <c:v>24464.911064</c:v>
                </c:pt>
                <c:pt idx="207">
                  <c:v>24464.911064</c:v>
                </c:pt>
                <c:pt idx="208">
                  <c:v>24464.911064</c:v>
                </c:pt>
                <c:pt idx="209">
                  <c:v>24464.911064</c:v>
                </c:pt>
                <c:pt idx="210">
                  <c:v>24464.911064</c:v>
                </c:pt>
                <c:pt idx="211">
                  <c:v>24464.911064</c:v>
                </c:pt>
                <c:pt idx="212">
                  <c:v>24464.911064</c:v>
                </c:pt>
                <c:pt idx="213">
                  <c:v>24464.911064</c:v>
                </c:pt>
                <c:pt idx="214">
                  <c:v>24464.911064</c:v>
                </c:pt>
                <c:pt idx="215">
                  <c:v>24464.911064</c:v>
                </c:pt>
                <c:pt idx="216">
                  <c:v>24464.911064</c:v>
                </c:pt>
                <c:pt idx="217">
                  <c:v>24464.911064</c:v>
                </c:pt>
                <c:pt idx="218">
                  <c:v>24464.911064</c:v>
                </c:pt>
                <c:pt idx="219">
                  <c:v>24464.911064</c:v>
                </c:pt>
                <c:pt idx="220">
                  <c:v>24464.911064</c:v>
                </c:pt>
                <c:pt idx="221">
                  <c:v>24464.911064</c:v>
                </c:pt>
                <c:pt idx="222">
                  <c:v>24464.911064</c:v>
                </c:pt>
                <c:pt idx="223">
                  <c:v>24464.911064</c:v>
                </c:pt>
                <c:pt idx="224">
                  <c:v>24464.911064</c:v>
                </c:pt>
                <c:pt idx="225">
                  <c:v>24464.911064</c:v>
                </c:pt>
                <c:pt idx="226">
                  <c:v>24464.911064</c:v>
                </c:pt>
                <c:pt idx="227">
                  <c:v>24464.911064</c:v>
                </c:pt>
                <c:pt idx="228">
                  <c:v>24464.911064</c:v>
                </c:pt>
                <c:pt idx="229">
                  <c:v>24464.911064</c:v>
                </c:pt>
                <c:pt idx="230">
                  <c:v>24464.911064</c:v>
                </c:pt>
                <c:pt idx="231">
                  <c:v>24464.911064</c:v>
                </c:pt>
                <c:pt idx="232">
                  <c:v>24464.911064</c:v>
                </c:pt>
                <c:pt idx="233">
                  <c:v>24464.911064</c:v>
                </c:pt>
                <c:pt idx="234">
                  <c:v>24464.911064</c:v>
                </c:pt>
                <c:pt idx="235">
                  <c:v>24464.911064</c:v>
                </c:pt>
                <c:pt idx="236">
                  <c:v>24464.911064</c:v>
                </c:pt>
                <c:pt idx="237">
                  <c:v>24464.911064</c:v>
                </c:pt>
                <c:pt idx="238">
                  <c:v>24464.911064</c:v>
                </c:pt>
                <c:pt idx="239">
                  <c:v>24464.911064</c:v>
                </c:pt>
                <c:pt idx="240">
                  <c:v>24464.911064</c:v>
                </c:pt>
                <c:pt idx="241">
                  <c:v>24464.911064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A7-483E-90D3-DC3447DC1CEE}"/>
            </c:ext>
          </c:extLst>
        </c:ser>
        <c:ser>
          <c:idx val="2"/>
          <c:order val="1"/>
          <c:tx>
            <c:strRef>
              <c:f>Projections_Data!$F$19</c:f>
              <c:strCache>
                <c:ptCount val="1"/>
                <c:pt idx="0">
                  <c:v>10% increase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0.59057353776263488</c:v>
                </c:pt>
                <c:pt idx="1">
                  <c:v>0.7223168654173765</c:v>
                </c:pt>
                <c:pt idx="2">
                  <c:v>0.89040318001135721</c:v>
                </c:pt>
                <c:pt idx="3">
                  <c:v>1.1902328222600795</c:v>
                </c:pt>
                <c:pt idx="4">
                  <c:v>2.1896649630891538</c:v>
                </c:pt>
                <c:pt idx="5">
                  <c:v>3.0437251561612721</c:v>
                </c:pt>
                <c:pt idx="6">
                  <c:v>3.6297558205565021</c:v>
                </c:pt>
                <c:pt idx="7">
                  <c:v>4.7245883021010791</c:v>
                </c:pt>
                <c:pt idx="8">
                  <c:v>5.3424190800681428</c:v>
                </c:pt>
                <c:pt idx="9">
                  <c:v>6.6189664963089152</c:v>
                </c:pt>
                <c:pt idx="10">
                  <c:v>8.6678023850085175</c:v>
                </c:pt>
                <c:pt idx="11">
                  <c:v>9.4400908574673483</c:v>
                </c:pt>
                <c:pt idx="12">
                  <c:v>16.104486087450312</c:v>
                </c:pt>
                <c:pt idx="13">
                  <c:v>20.106757524134014</c:v>
                </c:pt>
                <c:pt idx="14">
                  <c:v>25.435547984099944</c:v>
                </c:pt>
                <c:pt idx="15">
                  <c:v>31.845542305508236</c:v>
                </c:pt>
                <c:pt idx="16">
                  <c:v>39.863713798977855</c:v>
                </c:pt>
                <c:pt idx="17">
                  <c:v>52.956274843838727</c:v>
                </c:pt>
                <c:pt idx="18">
                  <c:v>65.96706416808631</c:v>
                </c:pt>
                <c:pt idx="19">
                  <c:v>71.831913685406022</c:v>
                </c:pt>
                <c:pt idx="20">
                  <c:v>78.86973310618967</c:v>
                </c:pt>
                <c:pt idx="21">
                  <c:v>86.014400908574686</c:v>
                </c:pt>
                <c:pt idx="22">
                  <c:v>93.228901760363442</c:v>
                </c:pt>
                <c:pt idx="23">
                  <c:v>102.64628370244182</c:v>
                </c:pt>
                <c:pt idx="24">
                  <c:v>106.59995239068715</c:v>
                </c:pt>
                <c:pt idx="25">
                  <c:v>114.79543882793872</c:v>
                </c:pt>
                <c:pt idx="26">
                  <c:v>122.86101337512783</c:v>
                </c:pt>
                <c:pt idx="27">
                  <c:v>131.06988586539472</c:v>
                </c:pt>
                <c:pt idx="28">
                  <c:v>138.46284833041233</c:v>
                </c:pt>
                <c:pt idx="29">
                  <c:v>142.56784980172731</c:v>
                </c:pt>
                <c:pt idx="30">
                  <c:v>148.82781479325723</c:v>
                </c:pt>
                <c:pt idx="31">
                  <c:v>163.71059627258299</c:v>
                </c:pt>
                <c:pt idx="32">
                  <c:v>180.08165589984131</c:v>
                </c:pt>
                <c:pt idx="33">
                  <c:v>198.08982148982545</c:v>
                </c:pt>
                <c:pt idx="34">
                  <c:v>217.898803638808</c:v>
                </c:pt>
                <c:pt idx="35">
                  <c:v>239.6886840026888</c:v>
                </c:pt>
                <c:pt idx="36">
                  <c:v>263.65755240295766</c:v>
                </c:pt>
                <c:pt idx="37">
                  <c:v>290.02330764325347</c:v>
                </c:pt>
                <c:pt idx="38">
                  <c:v>319.02563840757887</c:v>
                </c:pt>
                <c:pt idx="39">
                  <c:v>350.92820224833685</c:v>
                </c:pt>
                <c:pt idx="40">
                  <c:v>386.02102247317055</c:v>
                </c:pt>
                <c:pt idx="41">
                  <c:v>424.62312472048762</c:v>
                </c:pt>
                <c:pt idx="42">
                  <c:v>467.08543719253646</c:v>
                </c:pt>
                <c:pt idx="43">
                  <c:v>513.79398091179007</c:v>
                </c:pt>
                <c:pt idx="44">
                  <c:v>565.17337900296911</c:v>
                </c:pt>
                <c:pt idx="45">
                  <c:v>621.69071690326598</c:v>
                </c:pt>
                <c:pt idx="46">
                  <c:v>683.85978859359284</c:v>
                </c:pt>
                <c:pt idx="47">
                  <c:v>752.24576745295212</c:v>
                </c:pt>
                <c:pt idx="48">
                  <c:v>827.47034419824763</c:v>
                </c:pt>
                <c:pt idx="49">
                  <c:v>910.21737861807242</c:v>
                </c:pt>
                <c:pt idx="50">
                  <c:v>1001.2391164798796</c:v>
                </c:pt>
                <c:pt idx="51">
                  <c:v>1101.3630281278677</c:v>
                </c:pt>
                <c:pt idx="52">
                  <c:v>1211.4993309406545</c:v>
                </c:pt>
                <c:pt idx="53">
                  <c:v>1332.6492640347203</c:v>
                </c:pt>
                <c:pt idx="54">
                  <c:v>1465.9141904381925</c:v>
                </c:pt>
                <c:pt idx="55">
                  <c:v>1612.5056094820118</c:v>
                </c:pt>
                <c:pt idx="56">
                  <c:v>1773.7561704302134</c:v>
                </c:pt>
                <c:pt idx="57">
                  <c:v>1951.1317874732345</c:v>
                </c:pt>
                <c:pt idx="58">
                  <c:v>2146.2449662205581</c:v>
                </c:pt>
                <c:pt idx="59">
                  <c:v>2360.8694628426142</c:v>
                </c:pt>
                <c:pt idx="60">
                  <c:v>2596.9564091268758</c:v>
                </c:pt>
                <c:pt idx="61">
                  <c:v>2856.6520500395632</c:v>
                </c:pt>
                <c:pt idx="62">
                  <c:v>3142.3172550435197</c:v>
                </c:pt>
                <c:pt idx="63">
                  <c:v>3456.5489805478724</c:v>
                </c:pt>
                <c:pt idx="64">
                  <c:v>3802.2038786026596</c:v>
                </c:pt>
                <c:pt idx="65">
                  <c:v>4182.4242664629255</c:v>
                </c:pt>
                <c:pt idx="66">
                  <c:v>4600.6666931092195</c:v>
                </c:pt>
                <c:pt idx="67">
                  <c:v>5060.733362420141</c:v>
                </c:pt>
                <c:pt idx="68">
                  <c:v>5566.8066986621561</c:v>
                </c:pt>
                <c:pt idx="69">
                  <c:v>6123.4873685283728</c:v>
                </c:pt>
                <c:pt idx="70">
                  <c:v>6735.8361053812105</c:v>
                </c:pt>
                <c:pt idx="71">
                  <c:v>7409.4197159193318</c:v>
                </c:pt>
                <c:pt idx="72">
                  <c:v>8150.3616875112657</c:v>
                </c:pt>
                <c:pt idx="73">
                  <c:v>8965.3978562623925</c:v>
                </c:pt>
                <c:pt idx="74">
                  <c:v>9861.9376418886332</c:v>
                </c:pt>
                <c:pt idx="75">
                  <c:v>10848.131406077497</c:v>
                </c:pt>
                <c:pt idx="76">
                  <c:v>11932.944546685248</c:v>
                </c:pt>
                <c:pt idx="77">
                  <c:v>13126.239001353772</c:v>
                </c:pt>
                <c:pt idx="78">
                  <c:v>14438.86290148915</c:v>
                </c:pt>
                <c:pt idx="79">
                  <c:v>15882.749191638068</c:v>
                </c:pt>
                <c:pt idx="80">
                  <c:v>17471.024110801874</c:v>
                </c:pt>
                <c:pt idx="81">
                  <c:v>19218.126521882063</c:v>
                </c:pt>
                <c:pt idx="82">
                  <c:v>21139.93917407027</c:v>
                </c:pt>
                <c:pt idx="83">
                  <c:v>23253.933091477295</c:v>
                </c:pt>
                <c:pt idx="84">
                  <c:v>25579.326400625028</c:v>
                </c:pt>
                <c:pt idx="85">
                  <c:v>28137.259040687535</c:v>
                </c:pt>
                <c:pt idx="86">
                  <c:v>30950.984944756288</c:v>
                </c:pt>
                <c:pt idx="87">
                  <c:v>34046.083439231916</c:v>
                </c:pt>
                <c:pt idx="88">
                  <c:v>37450.691783155104</c:v>
                </c:pt>
                <c:pt idx="89">
                  <c:v>41195.760961470631</c:v>
                </c:pt>
                <c:pt idx="90">
                  <c:v>45315.337057617697</c:v>
                </c:pt>
                <c:pt idx="91">
                  <c:v>49846.870763379477</c:v>
                </c:pt>
                <c:pt idx="92">
                  <c:v>54831.557839717418</c:v>
                </c:pt>
                <c:pt idx="93">
                  <c:v>60314.713623689175</c:v>
                </c:pt>
                <c:pt idx="94">
                  <c:v>66346.184986058099</c:v>
                </c:pt>
                <c:pt idx="95">
                  <c:v>72980.80348466392</c:v>
                </c:pt>
                <c:pt idx="96">
                  <c:v>80278.883833130298</c:v>
                </c:pt>
                <c:pt idx="97">
                  <c:v>88306.772216443351</c:v>
                </c:pt>
                <c:pt idx="98">
                  <c:v>97137.449438087686</c:v>
                </c:pt>
                <c:pt idx="99">
                  <c:v>102280.77477397153</c:v>
                </c:pt>
                <c:pt idx="100">
                  <c:v>97284.058702248862</c:v>
                </c:pt>
                <c:pt idx="101">
                  <c:v>91787.671023353934</c:v>
                </c:pt>
                <c:pt idx="102">
                  <c:v>85741.644576569495</c:v>
                </c:pt>
                <c:pt idx="103">
                  <c:v>79091.015485106618</c:v>
                </c:pt>
                <c:pt idx="104">
                  <c:v>71775.323484497465</c:v>
                </c:pt>
                <c:pt idx="105">
                  <c:v>63728.062283827378</c:v>
                </c:pt>
                <c:pt idx="106">
                  <c:v>54876.074963090286</c:v>
                </c:pt>
                <c:pt idx="107">
                  <c:v>45138.888910279486</c:v>
                </c:pt>
                <c:pt idx="108">
                  <c:v>34427.984252187605</c:v>
                </c:pt>
                <c:pt idx="109">
                  <c:v>22645.989128286546</c:v>
                </c:pt>
                <c:pt idx="110">
                  <c:v>9685.7944919953698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A7-483E-90D3-DC3447DC1CEE}"/>
            </c:ext>
          </c:extLst>
        </c:ser>
        <c:ser>
          <c:idx val="3"/>
          <c:order val="2"/>
          <c:tx>
            <c:strRef>
              <c:f>Projections_Data!$F$20</c:f>
              <c:strCache>
                <c:ptCount val="1"/>
                <c:pt idx="0">
                  <c:v>25% increase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0.59057353776263488</c:v>
                </c:pt>
                <c:pt idx="1">
                  <c:v>0.7223168654173765</c:v>
                </c:pt>
                <c:pt idx="2">
                  <c:v>0.89040318001135721</c:v>
                </c:pt>
                <c:pt idx="3">
                  <c:v>1.1902328222600795</c:v>
                </c:pt>
                <c:pt idx="4">
                  <c:v>2.1896649630891538</c:v>
                </c:pt>
                <c:pt idx="5">
                  <c:v>3.0437251561612721</c:v>
                </c:pt>
                <c:pt idx="6">
                  <c:v>3.6297558205565021</c:v>
                </c:pt>
                <c:pt idx="7">
                  <c:v>4.7245883021010791</c:v>
                </c:pt>
                <c:pt idx="8">
                  <c:v>5.3424190800681428</c:v>
                </c:pt>
                <c:pt idx="9">
                  <c:v>6.6189664963089152</c:v>
                </c:pt>
                <c:pt idx="10">
                  <c:v>8.6678023850085175</c:v>
                </c:pt>
                <c:pt idx="11">
                  <c:v>9.4400908574673483</c:v>
                </c:pt>
                <c:pt idx="12">
                  <c:v>16.104486087450312</c:v>
                </c:pt>
                <c:pt idx="13">
                  <c:v>20.106757524134014</c:v>
                </c:pt>
                <c:pt idx="14">
                  <c:v>25.435547984099944</c:v>
                </c:pt>
                <c:pt idx="15">
                  <c:v>31.845542305508236</c:v>
                </c:pt>
                <c:pt idx="16">
                  <c:v>39.863713798977855</c:v>
                </c:pt>
                <c:pt idx="17">
                  <c:v>52.956274843838727</c:v>
                </c:pt>
                <c:pt idx="18">
                  <c:v>65.96706416808631</c:v>
                </c:pt>
                <c:pt idx="19">
                  <c:v>82.271436683702447</c:v>
                </c:pt>
                <c:pt idx="20">
                  <c:v>103.40261215218626</c:v>
                </c:pt>
                <c:pt idx="21">
                  <c:v>129.31232254400908</c:v>
                </c:pt>
                <c:pt idx="22">
                  <c:v>161.24630891538899</c:v>
                </c:pt>
                <c:pt idx="23">
                  <c:v>202.95254826802955</c:v>
                </c:pt>
                <c:pt idx="24">
                  <c:v>248.79573928165814</c:v>
                </c:pt>
                <c:pt idx="25">
                  <c:v>311.0344242440375</c:v>
                </c:pt>
                <c:pt idx="26">
                  <c:v>388.50342212787479</c:v>
                </c:pt>
                <c:pt idx="27">
                  <c:v>485.50094148721428</c:v>
                </c:pt>
                <c:pt idx="28">
                  <c:v>606.11751700666127</c:v>
                </c:pt>
                <c:pt idx="29">
                  <c:v>754.21361971091039</c:v>
                </c:pt>
                <c:pt idx="30">
                  <c:v>943.17020464999507</c:v>
                </c:pt>
                <c:pt idx="31">
                  <c:v>1178.9627558124939</c:v>
                </c:pt>
                <c:pt idx="32">
                  <c:v>1473.7034447656174</c:v>
                </c:pt>
                <c:pt idx="33">
                  <c:v>1842.1293059570216</c:v>
                </c:pt>
                <c:pt idx="34">
                  <c:v>2302.6616324462771</c:v>
                </c:pt>
                <c:pt idx="35">
                  <c:v>2878.3270405578464</c:v>
                </c:pt>
                <c:pt idx="36">
                  <c:v>3597.9088006973079</c:v>
                </c:pt>
                <c:pt idx="37">
                  <c:v>4497.3860008716347</c:v>
                </c:pt>
                <c:pt idx="38">
                  <c:v>5621.7325010895438</c:v>
                </c:pt>
                <c:pt idx="39">
                  <c:v>7027.1656263619288</c:v>
                </c:pt>
                <c:pt idx="40">
                  <c:v>8783.9570329524104</c:v>
                </c:pt>
                <c:pt idx="41">
                  <c:v>10979.946291190514</c:v>
                </c:pt>
                <c:pt idx="42">
                  <c:v>13724.932863988142</c:v>
                </c:pt>
                <c:pt idx="43">
                  <c:v>17156.166079985182</c:v>
                </c:pt>
                <c:pt idx="44">
                  <c:v>21445.207599981477</c:v>
                </c:pt>
                <c:pt idx="45">
                  <c:v>26806.509499976848</c:v>
                </c:pt>
                <c:pt idx="46">
                  <c:v>33508.13687497106</c:v>
                </c:pt>
                <c:pt idx="47">
                  <c:v>41885.171093713827</c:v>
                </c:pt>
                <c:pt idx="48">
                  <c:v>52356.46386714228</c:v>
                </c:pt>
                <c:pt idx="49">
                  <c:v>65445.579833927848</c:v>
                </c:pt>
                <c:pt idx="50">
                  <c:v>81806.974792409819</c:v>
                </c:pt>
                <c:pt idx="51">
                  <c:v>102258.71849051227</c:v>
                </c:pt>
                <c:pt idx="52">
                  <c:v>127823.39811314033</c:v>
                </c:pt>
                <c:pt idx="53">
                  <c:v>140457.77558029676</c:v>
                </c:pt>
                <c:pt idx="54">
                  <c:v>137510.2356025714</c:v>
                </c:pt>
                <c:pt idx="55">
                  <c:v>133825.81063041472</c:v>
                </c:pt>
                <c:pt idx="56">
                  <c:v>129220.27941521884</c:v>
                </c:pt>
                <c:pt idx="57">
                  <c:v>123463.36539622401</c:v>
                </c:pt>
                <c:pt idx="58">
                  <c:v>116267.22287248046</c:v>
                </c:pt>
                <c:pt idx="59">
                  <c:v>107272.04471780102</c:v>
                </c:pt>
                <c:pt idx="60">
                  <c:v>96028.072024451729</c:v>
                </c:pt>
                <c:pt idx="61">
                  <c:v>81973.106157765113</c:v>
                </c:pt>
                <c:pt idx="62">
                  <c:v>64404.398824406846</c:v>
                </c:pt>
                <c:pt idx="63">
                  <c:v>42443.51465770902</c:v>
                </c:pt>
                <c:pt idx="64">
                  <c:v>14992.40944933673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A7-483E-90D3-DC3447DC1CEE}"/>
            </c:ext>
          </c:extLst>
        </c:ser>
        <c:ser>
          <c:idx val="5"/>
          <c:order val="3"/>
          <c:tx>
            <c:strRef>
              <c:f>Projections_Data!$F$22</c:f>
              <c:strCache>
                <c:ptCount val="1"/>
                <c:pt idx="0">
                  <c:v>40% increase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0.59057353776263488</c:v>
                </c:pt>
                <c:pt idx="1">
                  <c:v>0.7223168654173765</c:v>
                </c:pt>
                <c:pt idx="2">
                  <c:v>0.89040318001135721</c:v>
                </c:pt>
                <c:pt idx="3">
                  <c:v>1.1902328222600795</c:v>
                </c:pt>
                <c:pt idx="4">
                  <c:v>2.1896649630891538</c:v>
                </c:pt>
                <c:pt idx="5">
                  <c:v>3.0437251561612721</c:v>
                </c:pt>
                <c:pt idx="6">
                  <c:v>3.6297558205565021</c:v>
                </c:pt>
                <c:pt idx="7">
                  <c:v>4.7245883021010791</c:v>
                </c:pt>
                <c:pt idx="8">
                  <c:v>5.3424190800681428</c:v>
                </c:pt>
                <c:pt idx="9">
                  <c:v>6.6189664963089152</c:v>
                </c:pt>
                <c:pt idx="10">
                  <c:v>8.6678023850085175</c:v>
                </c:pt>
                <c:pt idx="11">
                  <c:v>9.4400908574673483</c:v>
                </c:pt>
                <c:pt idx="12">
                  <c:v>16.104486087450312</c:v>
                </c:pt>
                <c:pt idx="13">
                  <c:v>20.106757524134014</c:v>
                </c:pt>
                <c:pt idx="14">
                  <c:v>25.435547984099944</c:v>
                </c:pt>
                <c:pt idx="15">
                  <c:v>31.845542305508236</c:v>
                </c:pt>
                <c:pt idx="16">
                  <c:v>39.863713798977855</c:v>
                </c:pt>
                <c:pt idx="17">
                  <c:v>52.956274843838727</c:v>
                </c:pt>
                <c:pt idx="18">
                  <c:v>65.96706416808631</c:v>
                </c:pt>
                <c:pt idx="19">
                  <c:v>92.710959681998872</c:v>
                </c:pt>
                <c:pt idx="20">
                  <c:v>131.06734809767175</c:v>
                </c:pt>
                <c:pt idx="21">
                  <c:v>184.35470755252695</c:v>
                </c:pt>
                <c:pt idx="22">
                  <c:v>258.6953412833617</c:v>
                </c:pt>
                <c:pt idx="23">
                  <c:v>364.86831027825087</c:v>
                </c:pt>
                <c:pt idx="24">
                  <c:v>507.33670196479261</c:v>
                </c:pt>
                <c:pt idx="25">
                  <c:v>712.81539183645634</c:v>
                </c:pt>
                <c:pt idx="26">
                  <c:v>1000.7763015522994</c:v>
                </c:pt>
                <c:pt idx="27">
                  <c:v>1404.9073786752065</c:v>
                </c:pt>
                <c:pt idx="28">
                  <c:v>1971.0670365620977</c:v>
                </c:pt>
                <c:pt idx="29">
                  <c:v>2762.3685814538303</c:v>
                </c:pt>
                <c:pt idx="30">
                  <c:v>3876.1191940467193</c:v>
                </c:pt>
                <c:pt idx="31">
                  <c:v>5426.5668716654063</c:v>
                </c:pt>
                <c:pt idx="32">
                  <c:v>7597.193620331569</c:v>
                </c:pt>
                <c:pt idx="33">
                  <c:v>10636.071068464194</c:v>
                </c:pt>
                <c:pt idx="34">
                  <c:v>14890.499495849872</c:v>
                </c:pt>
                <c:pt idx="35">
                  <c:v>20846.699294189817</c:v>
                </c:pt>
                <c:pt idx="36">
                  <c:v>29185.379011865745</c:v>
                </c:pt>
                <c:pt idx="37">
                  <c:v>40859.530616612035</c:v>
                </c:pt>
                <c:pt idx="38">
                  <c:v>57203.342863256854</c:v>
                </c:pt>
                <c:pt idx="39">
                  <c:v>80084.68000855959</c:v>
                </c:pt>
                <c:pt idx="40">
                  <c:v>112118.55201198343</c:v>
                </c:pt>
                <c:pt idx="41">
                  <c:v>149429.56690974438</c:v>
                </c:pt>
                <c:pt idx="42">
                  <c:v>148302.21947716281</c:v>
                </c:pt>
                <c:pt idx="43">
                  <c:v>146723.93307154867</c:v>
                </c:pt>
                <c:pt idx="44">
                  <c:v>144514.33210368888</c:v>
                </c:pt>
                <c:pt idx="45">
                  <c:v>141420.89074868517</c:v>
                </c:pt>
                <c:pt idx="46">
                  <c:v>137090.07285167993</c:v>
                </c:pt>
                <c:pt idx="47">
                  <c:v>131026.92779587265</c:v>
                </c:pt>
                <c:pt idx="48">
                  <c:v>122538.52471774245</c:v>
                </c:pt>
                <c:pt idx="49">
                  <c:v>110654.76040836013</c:v>
                </c:pt>
                <c:pt idx="50">
                  <c:v>94017.490375224923</c:v>
                </c:pt>
                <c:pt idx="51">
                  <c:v>70725.312328835615</c:v>
                </c:pt>
                <c:pt idx="52">
                  <c:v>38116.263063890598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A7-483E-90D3-DC3447DC1CEE}"/>
            </c:ext>
          </c:extLst>
        </c:ser>
        <c:ser>
          <c:idx val="6"/>
          <c:order val="4"/>
          <c:tx>
            <c:strRef>
              <c:f>Projections_Data!$F$23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0"/>
            <c:val val="70000000"/>
            <c:spPr>
              <a:noFill/>
              <a:ln w="285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Projections_Data!$G$23:$IN$23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1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A7-483E-90D3-DC3447DC1CEE}"/>
            </c:ext>
          </c:extLst>
        </c:ser>
        <c:ser>
          <c:idx val="1"/>
          <c:order val="5"/>
          <c:tx>
            <c:strRef>
              <c:f>Projections_Data!$F$18</c:f>
              <c:strCache>
                <c:ptCount val="1"/>
                <c:pt idx="0">
                  <c:v>Critically Ill (27% - current rate)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Projections_Data!$G$18:$IN$18</c:f>
              <c:numCache>
                <c:formatCode>_-* #,##0_-;\-* #,##0_-;_-* "-"??_-;_-@_-</c:formatCode>
                <c:ptCount val="242"/>
                <c:pt idx="0">
                  <c:v>0.59057353776263488</c:v>
                </c:pt>
                <c:pt idx="1">
                  <c:v>0.7223168654173765</c:v>
                </c:pt>
                <c:pt idx="2">
                  <c:v>0.89040318001135721</c:v>
                </c:pt>
                <c:pt idx="3">
                  <c:v>1.1902328222600795</c:v>
                </c:pt>
                <c:pt idx="4">
                  <c:v>2.1896649630891538</c:v>
                </c:pt>
                <c:pt idx="5">
                  <c:v>3.0437251561612721</c:v>
                </c:pt>
                <c:pt idx="6">
                  <c:v>3.6297558205565021</c:v>
                </c:pt>
                <c:pt idx="7">
                  <c:v>4.7245883021010791</c:v>
                </c:pt>
                <c:pt idx="8">
                  <c:v>5.3424190800681428</c:v>
                </c:pt>
                <c:pt idx="9">
                  <c:v>6.6189664963089152</c:v>
                </c:pt>
                <c:pt idx="10">
                  <c:v>8.6678023850085175</c:v>
                </c:pt>
                <c:pt idx="11">
                  <c:v>9.4400908574673483</c:v>
                </c:pt>
                <c:pt idx="12">
                  <c:v>16.104486087450312</c:v>
                </c:pt>
                <c:pt idx="13">
                  <c:v>20.106757524134014</c:v>
                </c:pt>
                <c:pt idx="14">
                  <c:v>25.435547984099944</c:v>
                </c:pt>
                <c:pt idx="15">
                  <c:v>31.845542305508236</c:v>
                </c:pt>
                <c:pt idx="16">
                  <c:v>39.863713798977855</c:v>
                </c:pt>
                <c:pt idx="17">
                  <c:v>52.956274843838727</c:v>
                </c:pt>
                <c:pt idx="18">
                  <c:v>65.96706416808631</c:v>
                </c:pt>
                <c:pt idx="19">
                  <c:v>83.863082145962125</c:v>
                </c:pt>
                <c:pt idx="20">
                  <c:v>107.41812596631891</c:v>
                </c:pt>
                <c:pt idx="21">
                  <c:v>136.91049369660522</c:v>
                </c:pt>
                <c:pt idx="22">
                  <c:v>174.02647188259701</c:v>
                </c:pt>
                <c:pt idx="23">
                  <c:v>223.10588127470444</c:v>
                </c:pt>
                <c:pt idx="24">
                  <c:v>279.30561894934056</c:v>
                </c:pt>
                <c:pt idx="25">
                  <c:v>355.94116554734046</c:v>
                </c:pt>
                <c:pt idx="26">
                  <c:v>453.25340110534211</c:v>
                </c:pt>
                <c:pt idx="27">
                  <c:v>577.40616201066484</c:v>
                </c:pt>
                <c:pt idx="28">
                  <c:v>734.95955320409894</c:v>
                </c:pt>
                <c:pt idx="29">
                  <c:v>933.03607323056883</c:v>
                </c:pt>
                <c:pt idx="30">
                  <c:v>1189.3170460600336</c:v>
                </c:pt>
                <c:pt idx="31">
                  <c:v>1513.8454106354754</c:v>
                </c:pt>
                <c:pt idx="32">
                  <c:v>1926.9276723932626</c:v>
                </c:pt>
                <c:pt idx="33">
                  <c:v>2452.72749023711</c:v>
                </c:pt>
                <c:pt idx="34">
                  <c:v>3122.0020489368248</c:v>
                </c:pt>
                <c:pt idx="35">
                  <c:v>3973.9012313281814</c:v>
                </c:pt>
                <c:pt idx="36">
                  <c:v>5058.2577297569205</c:v>
                </c:pt>
                <c:pt idx="37">
                  <c:v>6438.5020591199072</c:v>
                </c:pt>
                <c:pt idx="38">
                  <c:v>8195.3729880986957</c:v>
                </c:pt>
                <c:pt idx="39">
                  <c:v>10431.640433961209</c:v>
                </c:pt>
                <c:pt idx="40">
                  <c:v>13278.117091373553</c:v>
                </c:pt>
                <c:pt idx="41">
                  <c:v>16901.310451445152</c:v>
                </c:pt>
                <c:pt idx="42">
                  <c:v>21513.162823493345</c:v>
                </c:pt>
                <c:pt idx="43">
                  <c:v>27383.449111815054</c:v>
                </c:pt>
                <c:pt idx="44">
                  <c:v>34855.557567783151</c:v>
                </c:pt>
                <c:pt idx="45">
                  <c:v>44366.576628100935</c:v>
                </c:pt>
                <c:pt idx="46">
                  <c:v>56472.862838852707</c:v>
                </c:pt>
                <c:pt idx="47">
                  <c:v>71882.585486568816</c:v>
                </c:pt>
                <c:pt idx="48">
                  <c:v>91497.151666958889</c:v>
                </c:pt>
                <c:pt idx="49">
                  <c:v>116463.93499202566</c:v>
                </c:pt>
                <c:pt idx="50">
                  <c:v>143572.98315083006</c:v>
                </c:pt>
                <c:pt idx="51">
                  <c:v>141205.85312009856</c:v>
                </c:pt>
                <c:pt idx="52">
                  <c:v>138192.80546785847</c:v>
                </c:pt>
                <c:pt idx="53">
                  <c:v>134357.58896652245</c:v>
                </c:pt>
                <c:pt idx="54">
                  <c:v>129475.85880165617</c:v>
                </c:pt>
                <c:pt idx="55">
                  <c:v>123262.05329829959</c:v>
                </c:pt>
                <c:pt idx="56">
                  <c:v>115352.68970597538</c:v>
                </c:pt>
                <c:pt idx="57">
                  <c:v>105285.10191266723</c:v>
                </c:pt>
                <c:pt idx="58">
                  <c:v>92470.376329141058</c:v>
                </c:pt>
                <c:pt idx="59">
                  <c:v>76158.902801169024</c:v>
                </c:pt>
                <c:pt idx="60">
                  <c:v>55396.525415907832</c:v>
                </c:pt>
                <c:pt idx="61">
                  <c:v>28968.728200115718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A7-483E-90D3-DC3447DC1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559824"/>
        <c:axId val="1014577744"/>
      </c:lineChart>
      <c:dateAx>
        <c:axId val="1216559824"/>
        <c:scaling>
          <c:orientation val="minMax"/>
          <c:max val="43938"/>
          <c:min val="4389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14577744"/>
        <c:crosses val="autoZero"/>
        <c:auto val="0"/>
        <c:lblOffset val="100"/>
        <c:baseTimeUnit val="days"/>
        <c:majorUnit val="3"/>
        <c:majorTimeUnit val="days"/>
      </c:dateAx>
      <c:valAx>
        <c:axId val="1014577744"/>
        <c:scaling>
          <c:orientation val="minMax"/>
          <c:max val="36697.3665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Critically ill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5598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"/>
          <c:y val="0.89944042342335062"/>
          <c:w val="1"/>
          <c:h val="0.10055957657664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/>
              <a:t>Number</a:t>
            </a:r>
            <a:r>
              <a:rPr lang="en-GB" baseline="0"/>
              <a:t> of cases country by day since 100th infection</a:t>
            </a:r>
            <a:endParaRPr lang="en-GB"/>
          </a:p>
        </c:rich>
      </c:tx>
      <c:layout>
        <c:manualLayout>
          <c:xMode val="edge"/>
          <c:yMode val="edge"/>
          <c:x val="0.22355952870983875"/>
          <c:y val="1.72328902018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485542965665876E-2"/>
          <c:y val="7.4670365244226308E-2"/>
          <c:w val="0.72780846534149513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Days_Since_100!$I$2:$BH$2</c:f>
              <c:numCache>
                <c:formatCode>_-* #,##0_-;\-* #,##0_-;_-* "-"??_-;_-@_-</c:formatCode>
                <c:ptCount val="52"/>
                <c:pt idx="0" formatCode="General">
                  <c:v>100</c:v>
                </c:pt>
                <c:pt idx="1">
                  <c:v>150</c:v>
                </c:pt>
                <c:pt idx="2">
                  <c:v>225</c:v>
                </c:pt>
                <c:pt idx="3">
                  <c:v>337.5</c:v>
                </c:pt>
                <c:pt idx="4">
                  <c:v>506.25</c:v>
                </c:pt>
                <c:pt idx="5">
                  <c:v>759.375</c:v>
                </c:pt>
                <c:pt idx="6">
                  <c:v>1139.0625</c:v>
                </c:pt>
                <c:pt idx="7">
                  <c:v>1708.59375</c:v>
                </c:pt>
                <c:pt idx="8">
                  <c:v>2562.890625</c:v>
                </c:pt>
                <c:pt idx="9">
                  <c:v>3844.3359375</c:v>
                </c:pt>
                <c:pt idx="10">
                  <c:v>5766.50390625</c:v>
                </c:pt>
                <c:pt idx="11">
                  <c:v>8649.755859375</c:v>
                </c:pt>
                <c:pt idx="12">
                  <c:v>12974.6337890625</c:v>
                </c:pt>
                <c:pt idx="13">
                  <c:v>19461.95068359375</c:v>
                </c:pt>
                <c:pt idx="14">
                  <c:v>29192.926025390625</c:v>
                </c:pt>
                <c:pt idx="15">
                  <c:v>43789.389038085938</c:v>
                </c:pt>
                <c:pt idx="16">
                  <c:v>65684.083557128906</c:v>
                </c:pt>
                <c:pt idx="17">
                  <c:v>98526.125335693359</c:v>
                </c:pt>
                <c:pt idx="18">
                  <c:v>147789.18800354004</c:v>
                </c:pt>
                <c:pt idx="19">
                  <c:v>221683.78200531006</c:v>
                </c:pt>
                <c:pt idx="20">
                  <c:v>332525.67300796509</c:v>
                </c:pt>
                <c:pt idx="21">
                  <c:v>498788.50951194763</c:v>
                </c:pt>
                <c:pt idx="22">
                  <c:v>748182.76426792145</c:v>
                </c:pt>
                <c:pt idx="23">
                  <c:v>1122274.1464018822</c:v>
                </c:pt>
                <c:pt idx="24">
                  <c:v>1683411.2196028233</c:v>
                </c:pt>
                <c:pt idx="25">
                  <c:v>2525116.8294042349</c:v>
                </c:pt>
                <c:pt idx="26">
                  <c:v>3787675.2441063523</c:v>
                </c:pt>
                <c:pt idx="27">
                  <c:v>5681512.8661595285</c:v>
                </c:pt>
                <c:pt idx="28">
                  <c:v>8522269.2992392927</c:v>
                </c:pt>
                <c:pt idx="29">
                  <c:v>12783403.948858939</c:v>
                </c:pt>
                <c:pt idx="30">
                  <c:v>19175105.923288409</c:v>
                </c:pt>
                <c:pt idx="31">
                  <c:v>28762658.884932615</c:v>
                </c:pt>
                <c:pt idx="32">
                  <c:v>43143988.327398926</c:v>
                </c:pt>
                <c:pt idx="33">
                  <c:v>64715982.491098389</c:v>
                </c:pt>
                <c:pt idx="34">
                  <c:v>97073973.736647576</c:v>
                </c:pt>
                <c:pt idx="35">
                  <c:v>145610960.60497135</c:v>
                </c:pt>
                <c:pt idx="36">
                  <c:v>218416440.90745702</c:v>
                </c:pt>
                <c:pt idx="37">
                  <c:v>327624661.36118555</c:v>
                </c:pt>
                <c:pt idx="38">
                  <c:v>491436992.04177833</c:v>
                </c:pt>
                <c:pt idx="39">
                  <c:v>737155488.06266749</c:v>
                </c:pt>
                <c:pt idx="40">
                  <c:v>1105733232.0940013</c:v>
                </c:pt>
                <c:pt idx="41">
                  <c:v>1658599848.1410019</c:v>
                </c:pt>
                <c:pt idx="42">
                  <c:v>2487899772.211503</c:v>
                </c:pt>
                <c:pt idx="43">
                  <c:v>3731849658.3172545</c:v>
                </c:pt>
                <c:pt idx="44">
                  <c:v>5597774487.4758816</c:v>
                </c:pt>
                <c:pt idx="45">
                  <c:v>8396661731.2138224</c:v>
                </c:pt>
                <c:pt idx="46">
                  <c:v>12594992596.820734</c:v>
                </c:pt>
                <c:pt idx="47">
                  <c:v>18892488895.231102</c:v>
                </c:pt>
                <c:pt idx="48">
                  <c:v>28338733342.846653</c:v>
                </c:pt>
                <c:pt idx="49">
                  <c:v>42508100014.269981</c:v>
                </c:pt>
                <c:pt idx="50">
                  <c:v>63762150021.404968</c:v>
                </c:pt>
                <c:pt idx="51">
                  <c:v>95643225032.107452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Days_Since_100!$I$3:$BH$3</c:f>
              <c:numCache>
                <c:formatCode>_-* #,##0_-;\-* #,##0_-;_-* "-"??_-;_-@_-</c:formatCode>
                <c:ptCount val="52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Days_Since_100!$I$4:$BH$4</c:f>
              <c:numCache>
                <c:formatCode>_-* #,##0_-;\-* #,##0_-;_-* "-"??_-;_-@_-</c:formatCode>
                <c:ptCount val="52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China</c:v>
                </c:pt>
              </c:strCache>
            </c:strRef>
          </c:tx>
          <c:spPr>
            <a:ln w="444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Days_Since_100!$I$5:$BH$5</c:f>
              <c:numCache>
                <c:formatCode>General</c:formatCode>
                <c:ptCount val="52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548</c:v>
                </c:pt>
                <c:pt idx="5">
                  <c:v>643</c:v>
                </c:pt>
                <c:pt idx="6">
                  <c:v>920</c:v>
                </c:pt>
                <c:pt idx="7">
                  <c:v>1406</c:v>
                </c:pt>
                <c:pt idx="8">
                  <c:v>2075</c:v>
                </c:pt>
                <c:pt idx="9">
                  <c:v>2877</c:v>
                </c:pt>
                <c:pt idx="10">
                  <c:v>5509</c:v>
                </c:pt>
                <c:pt idx="11">
                  <c:v>6087</c:v>
                </c:pt>
                <c:pt idx="12">
                  <c:v>8141</c:v>
                </c:pt>
                <c:pt idx="13">
                  <c:v>9802</c:v>
                </c:pt>
                <c:pt idx="14">
                  <c:v>11891</c:v>
                </c:pt>
                <c:pt idx="15">
                  <c:v>16630</c:v>
                </c:pt>
                <c:pt idx="16">
                  <c:v>19716</c:v>
                </c:pt>
                <c:pt idx="17">
                  <c:v>23707</c:v>
                </c:pt>
                <c:pt idx="18">
                  <c:v>27440</c:v>
                </c:pt>
                <c:pt idx="19">
                  <c:v>30587</c:v>
                </c:pt>
                <c:pt idx="20">
                  <c:v>34110</c:v>
                </c:pt>
                <c:pt idx="21">
                  <c:v>36814</c:v>
                </c:pt>
                <c:pt idx="22">
                  <c:v>39829</c:v>
                </c:pt>
                <c:pt idx="23">
                  <c:v>42354</c:v>
                </c:pt>
                <c:pt idx="24">
                  <c:v>44386</c:v>
                </c:pt>
                <c:pt idx="25">
                  <c:v>44759</c:v>
                </c:pt>
                <c:pt idx="26">
                  <c:v>59895</c:v>
                </c:pt>
                <c:pt idx="27">
                  <c:v>66358</c:v>
                </c:pt>
                <c:pt idx="28">
                  <c:v>68413</c:v>
                </c:pt>
                <c:pt idx="29">
                  <c:v>70513</c:v>
                </c:pt>
                <c:pt idx="30">
                  <c:v>72434</c:v>
                </c:pt>
                <c:pt idx="31">
                  <c:v>74211</c:v>
                </c:pt>
                <c:pt idx="32">
                  <c:v>74619</c:v>
                </c:pt>
                <c:pt idx="33">
                  <c:v>75077</c:v>
                </c:pt>
                <c:pt idx="34">
                  <c:v>75550</c:v>
                </c:pt>
                <c:pt idx="35">
                  <c:v>77001</c:v>
                </c:pt>
                <c:pt idx="36">
                  <c:v>77022</c:v>
                </c:pt>
                <c:pt idx="37">
                  <c:v>77241</c:v>
                </c:pt>
                <c:pt idx="38">
                  <c:v>77754</c:v>
                </c:pt>
                <c:pt idx="39">
                  <c:v>78166</c:v>
                </c:pt>
                <c:pt idx="40">
                  <c:v>78600</c:v>
                </c:pt>
                <c:pt idx="41">
                  <c:v>78928</c:v>
                </c:pt>
                <c:pt idx="42">
                  <c:v>79356</c:v>
                </c:pt>
                <c:pt idx="43">
                  <c:v>79932</c:v>
                </c:pt>
                <c:pt idx="44">
                  <c:v>80136</c:v>
                </c:pt>
                <c:pt idx="45">
                  <c:v>80261</c:v>
                </c:pt>
                <c:pt idx="46">
                  <c:v>80386</c:v>
                </c:pt>
                <c:pt idx="47">
                  <c:v>80537</c:v>
                </c:pt>
                <c:pt idx="48">
                  <c:v>80690</c:v>
                </c:pt>
                <c:pt idx="49">
                  <c:v>80770</c:v>
                </c:pt>
                <c:pt idx="50">
                  <c:v>80823</c:v>
                </c:pt>
                <c:pt idx="51">
                  <c:v>80860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Italy</c:v>
                </c:pt>
              </c:strCache>
            </c:strRef>
          </c:tx>
          <c:spPr>
            <a:ln w="4445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Days_Since_100!$I$6:$BH$6</c:f>
              <c:numCache>
                <c:formatCode>General</c:formatCode>
                <c:ptCount val="52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12462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Germany</c:v>
                </c:pt>
              </c:strCache>
            </c:strRef>
          </c:tx>
          <c:spPr>
            <a:ln w="44450" cap="rnd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Days_Since_100!$I$7:$BH$7</c:f>
              <c:numCache>
                <c:formatCode>General</c:formatCode>
                <c:ptCount val="52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US</c:v>
                </c:pt>
              </c:strCache>
            </c:strRef>
          </c:tx>
          <c:spPr>
            <a:ln w="4445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Days_Since_100!$I$8:$BH$8</c:f>
              <c:numCache>
                <c:formatCode>General</c:formatCode>
                <c:ptCount val="52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11597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France</c:v>
                </c:pt>
              </c:strCache>
            </c:strRef>
          </c:tx>
          <c:spPr>
            <a:ln w="4445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Days_Since_100!$I$9:$BH$9</c:f>
              <c:numCache>
                <c:formatCode>General</c:formatCode>
                <c:ptCount val="52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957</c:v>
                </c:pt>
                <c:pt idx="8">
                  <c:v>1134</c:v>
                </c:pt>
                <c:pt idx="9">
                  <c:v>1217</c:v>
                </c:pt>
                <c:pt idx="10">
                  <c:v>1792</c:v>
                </c:pt>
                <c:pt idx="11">
                  <c:v>2290</c:v>
                </c:pt>
                <c:pt idx="12">
                  <c:v>2800</c:v>
                </c:pt>
                <c:pt idx="13">
                  <c:v>3678</c:v>
                </c:pt>
                <c:pt idx="14">
                  <c:v>4487</c:v>
                </c:pt>
                <c:pt idx="15">
                  <c:v>5523</c:v>
                </c:pt>
                <c:pt idx="16">
                  <c:v>6668</c:v>
                </c:pt>
                <c:pt idx="17">
                  <c:v>7699</c:v>
                </c:pt>
                <c:pt idx="18">
                  <c:v>9105</c:v>
                </c:pt>
                <c:pt idx="19">
                  <c:v>10995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Korea, South</c:v>
                </c:pt>
              </c:strCache>
            </c:strRef>
          </c:tx>
          <c:spPr>
            <a:ln w="44450" cap="rnd" cmpd="sng" algn="ctr">
              <a:solidFill>
                <a:srgbClr val="ED7D31">
                  <a:lumMod val="40000"/>
                  <a:lumOff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Days_Since_100!$I$10:$BH$10</c:f>
              <c:numCache>
                <c:formatCode>General</c:formatCode>
                <c:ptCount val="52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444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Days_Since_100!$I$11:$BH$11</c:f>
              <c:numCache>
                <c:formatCode>General</c:formatCode>
                <c:ptCount val="5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3269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11"/>
          <c:order val="10"/>
          <c:tx>
            <c:strRef>
              <c:f>Days_Since_100!$H$12</c:f>
              <c:strCache>
                <c:ptCount val="1"/>
                <c:pt idx="0">
                  <c:v>Japan</c:v>
                </c:pt>
              </c:strCache>
            </c:strRef>
          </c:tx>
          <c:spPr>
            <a:ln w="44450" cap="rnd" cmpd="sng" algn="ctr">
              <a:solidFill>
                <a:srgbClr val="ED7D3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Days_Since_100!$I$12:$BH$12</c:f>
              <c:numCache>
                <c:formatCode>General</c:formatCode>
                <c:ptCount val="52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825</c:v>
                </c:pt>
                <c:pt idx="25">
                  <c:v>878</c:v>
                </c:pt>
                <c:pt idx="26">
                  <c:v>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39-447C-95C3-9E180202C83B}"/>
            </c:ext>
          </c:extLst>
        </c:ser>
        <c:ser>
          <c:idx val="12"/>
          <c:order val="11"/>
          <c:tx>
            <c:strRef>
              <c:f>Days_Since_100!$H$13</c:f>
              <c:strCache>
                <c:ptCount val="1"/>
                <c:pt idx="0">
                  <c:v>Iran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Days_Since_100!$I$13:$BH$13</c:f>
              <c:numCache>
                <c:formatCode>General</c:formatCode>
                <c:ptCount val="52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  <c:pt idx="20">
                  <c:v>16169</c:v>
                </c:pt>
                <c:pt idx="21">
                  <c:v>17361</c:v>
                </c:pt>
                <c:pt idx="22">
                  <c:v>18407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39-447C-95C3-9E180202C83B}"/>
            </c:ext>
          </c:extLst>
        </c:ser>
        <c:ser>
          <c:idx val="13"/>
          <c:order val="12"/>
          <c:tx>
            <c:strRef>
              <c:f>Days_Since_100!$H$14</c:f>
              <c:strCache>
                <c:ptCount val="1"/>
                <c:pt idx="0">
                  <c:v>Spain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Days_Since_100!$I$14:$BH$14</c:f>
              <c:numCache>
                <c:formatCode>General</c:formatCode>
                <c:ptCount val="52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2277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939-447C-95C3-9E180202C83B}"/>
            </c:ext>
          </c:extLst>
        </c:ser>
        <c:ser>
          <c:idx val="14"/>
          <c:order val="13"/>
          <c:tx>
            <c:strRef>
              <c:f>Days_Since_100!$H$15</c:f>
              <c:strCache>
                <c:ptCount val="1"/>
                <c:pt idx="0">
                  <c:v>Switzerland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Days_Since_100!$I$15:$BH$15</c:f>
              <c:numCache>
                <c:formatCode>General</c:formatCode>
                <c:ptCount val="52"/>
                <c:pt idx="0">
                  <c:v>114</c:v>
                </c:pt>
                <c:pt idx="1">
                  <c:v>214</c:v>
                </c:pt>
                <c:pt idx="2">
                  <c:v>268</c:v>
                </c:pt>
                <c:pt idx="3">
                  <c:v>337</c:v>
                </c:pt>
                <c:pt idx="4">
                  <c:v>374</c:v>
                </c:pt>
                <c:pt idx="5">
                  <c:v>491</c:v>
                </c:pt>
                <c:pt idx="6">
                  <c:v>652</c:v>
                </c:pt>
                <c:pt idx="7">
                  <c:v>652</c:v>
                </c:pt>
                <c:pt idx="8">
                  <c:v>1139</c:v>
                </c:pt>
                <c:pt idx="9">
                  <c:v>1359</c:v>
                </c:pt>
                <c:pt idx="10">
                  <c:v>2200</c:v>
                </c:pt>
                <c:pt idx="11">
                  <c:v>2200</c:v>
                </c:pt>
                <c:pt idx="12">
                  <c:v>2700</c:v>
                </c:pt>
                <c:pt idx="13">
                  <c:v>3028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39-447C-95C3-9E180202C83B}"/>
            </c:ext>
          </c:extLst>
        </c:ser>
        <c:ser>
          <c:idx val="16"/>
          <c:order val="14"/>
          <c:tx>
            <c:strRef>
              <c:f>Days_Since_100!$H$16</c:f>
              <c:strCache>
                <c:ptCount val="1"/>
                <c:pt idx="0">
                  <c:v>Netherlands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Days_Since_100!$I$16:$BH$16</c:f>
              <c:numCache>
                <c:formatCode>General</c:formatCode>
                <c:ptCount val="52"/>
                <c:pt idx="0">
                  <c:v>128</c:v>
                </c:pt>
                <c:pt idx="1">
                  <c:v>188</c:v>
                </c:pt>
                <c:pt idx="2">
                  <c:v>265</c:v>
                </c:pt>
                <c:pt idx="3">
                  <c:v>321</c:v>
                </c:pt>
                <c:pt idx="4">
                  <c:v>382</c:v>
                </c:pt>
                <c:pt idx="5">
                  <c:v>503</c:v>
                </c:pt>
                <c:pt idx="6">
                  <c:v>503</c:v>
                </c:pt>
                <c:pt idx="7">
                  <c:v>806</c:v>
                </c:pt>
                <c:pt idx="8">
                  <c:v>962</c:v>
                </c:pt>
                <c:pt idx="9">
                  <c:v>1138</c:v>
                </c:pt>
                <c:pt idx="10">
                  <c:v>1416</c:v>
                </c:pt>
                <c:pt idx="11">
                  <c:v>1711</c:v>
                </c:pt>
                <c:pt idx="12">
                  <c:v>2058</c:v>
                </c:pt>
                <c:pt idx="13">
                  <c:v>2460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939-447C-95C3-9E180202C83B}"/>
            </c:ext>
          </c:extLst>
        </c:ser>
        <c:ser>
          <c:idx val="19"/>
          <c:order val="15"/>
          <c:tx>
            <c:strRef>
              <c:f>Days_Since_100!$H$17</c:f>
              <c:strCache>
                <c:ptCount val="1"/>
                <c:pt idx="0">
                  <c:v>Austria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Days_Since_100!$I$17:$BH$17</c:f>
              <c:numCache>
                <c:formatCode>General</c:formatCode>
                <c:ptCount val="52"/>
                <c:pt idx="0">
                  <c:v>104</c:v>
                </c:pt>
                <c:pt idx="1">
                  <c:v>131</c:v>
                </c:pt>
                <c:pt idx="2">
                  <c:v>182</c:v>
                </c:pt>
                <c:pt idx="3">
                  <c:v>246</c:v>
                </c:pt>
                <c:pt idx="4">
                  <c:v>302</c:v>
                </c:pt>
                <c:pt idx="5">
                  <c:v>504</c:v>
                </c:pt>
                <c:pt idx="6">
                  <c:v>655</c:v>
                </c:pt>
                <c:pt idx="7">
                  <c:v>860</c:v>
                </c:pt>
                <c:pt idx="8">
                  <c:v>1018</c:v>
                </c:pt>
                <c:pt idx="9">
                  <c:v>1332</c:v>
                </c:pt>
                <c:pt idx="10">
                  <c:v>1646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939-447C-95C3-9E180202C83B}"/>
            </c:ext>
          </c:extLst>
        </c:ser>
        <c:ser>
          <c:idx val="20"/>
          <c:order val="16"/>
          <c:tx>
            <c:strRef>
              <c:f>Days_Since_100!$H$18</c:f>
              <c:strCache>
                <c:ptCount val="1"/>
                <c:pt idx="0">
                  <c:v>Norway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Days_Since_100!$I$18:$BH$18</c:f>
              <c:numCache>
                <c:formatCode>General</c:formatCode>
                <c:ptCount val="52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  <c:pt idx="11">
                  <c:v>1463</c:v>
                </c:pt>
                <c:pt idx="12">
                  <c:v>1550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939-447C-95C3-9E180202C83B}"/>
            </c:ext>
          </c:extLst>
        </c:ser>
        <c:ser>
          <c:idx val="23"/>
          <c:order val="17"/>
          <c:tx>
            <c:strRef>
              <c:f>Days_Since_100!$H$19</c:f>
              <c:strCache>
                <c:ptCount val="1"/>
                <c:pt idx="0">
                  <c:v>Belgium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Days_Since_100!$I$19:$BH$19</c:f>
              <c:numCache>
                <c:formatCode>General</c:formatCode>
                <c:ptCount val="52"/>
                <c:pt idx="0">
                  <c:v>109</c:v>
                </c:pt>
                <c:pt idx="1">
                  <c:v>169</c:v>
                </c:pt>
                <c:pt idx="2">
                  <c:v>200</c:v>
                </c:pt>
                <c:pt idx="3">
                  <c:v>239</c:v>
                </c:pt>
                <c:pt idx="4">
                  <c:v>267</c:v>
                </c:pt>
                <c:pt idx="5">
                  <c:v>314</c:v>
                </c:pt>
                <c:pt idx="6">
                  <c:v>314</c:v>
                </c:pt>
                <c:pt idx="7">
                  <c:v>559</c:v>
                </c:pt>
                <c:pt idx="8">
                  <c:v>689</c:v>
                </c:pt>
                <c:pt idx="9">
                  <c:v>886</c:v>
                </c:pt>
                <c:pt idx="10">
                  <c:v>1058</c:v>
                </c:pt>
                <c:pt idx="11">
                  <c:v>1243</c:v>
                </c:pt>
                <c:pt idx="12">
                  <c:v>1486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939-447C-95C3-9E180202C83B}"/>
            </c:ext>
          </c:extLst>
        </c:ser>
        <c:ser>
          <c:idx val="26"/>
          <c:order val="18"/>
          <c:tx>
            <c:strRef>
              <c:f>Days_Since_100!$H$20</c:f>
              <c:strCache>
                <c:ptCount val="1"/>
                <c:pt idx="0">
                  <c:v>Sweden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Days_Since_100!$I$20:$BH$20</c:f>
              <c:numCache>
                <c:formatCode>General</c:formatCode>
                <c:ptCount val="52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  <c:pt idx="12">
                  <c:v>1279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939-447C-95C3-9E180202C83B}"/>
            </c:ext>
          </c:extLst>
        </c:ser>
        <c:ser>
          <c:idx val="27"/>
          <c:order val="19"/>
          <c:tx>
            <c:strRef>
              <c:f>Days_Since_100!$H$21</c:f>
              <c:strCache>
                <c:ptCount val="1"/>
                <c:pt idx="0">
                  <c:v>Denmark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Days_Since_100!$I$21:$BH$21</c:f>
              <c:numCache>
                <c:formatCode>General</c:formatCode>
                <c:ptCount val="52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932</c:v>
                </c:pt>
                <c:pt idx="7">
                  <c:v>1024</c:v>
                </c:pt>
                <c:pt idx="8">
                  <c:v>1115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39-447C-95C3-9E180202C83B}"/>
            </c:ext>
          </c:extLst>
        </c:ser>
        <c:ser>
          <c:idx val="29"/>
          <c:order val="20"/>
          <c:tx>
            <c:strRef>
              <c:f>Days_Since_100!$H$22</c:f>
              <c:strCache>
                <c:ptCount val="1"/>
                <c:pt idx="0">
                  <c:v>Malaysia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Days_Since_100!$I$22:$BH$22</c:f>
              <c:numCache>
                <c:formatCode>General</c:formatCode>
                <c:ptCount val="52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  <c:pt idx="9">
                  <c:v>790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939-447C-95C3-9E180202C83B}"/>
            </c:ext>
          </c:extLst>
        </c:ser>
        <c:ser>
          <c:idx val="30"/>
          <c:order val="21"/>
          <c:tx>
            <c:strRef>
              <c:f>Days_Since_100!$H$23</c:f>
              <c:strCache>
                <c:ptCount val="1"/>
                <c:pt idx="0">
                  <c:v>Cruise Ship</c:v>
                </c:pt>
              </c:strCache>
            </c:strRef>
          </c:tx>
          <c:spPr>
            <a:ln w="25400" cap="rnd" cmpd="sng" algn="ctr">
              <a:solidFill>
                <a:srgbClr val="ED7D31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Days_Since_100!$I$23:$BH$23</c:f>
              <c:numCache>
                <c:formatCode>General</c:formatCode>
                <c:ptCount val="52"/>
                <c:pt idx="0">
                  <c:v>135</c:v>
                </c:pt>
                <c:pt idx="1">
                  <c:v>135</c:v>
                </c:pt>
                <c:pt idx="2">
                  <c:v>175</c:v>
                </c:pt>
                <c:pt idx="3">
                  <c:v>175</c:v>
                </c:pt>
                <c:pt idx="4">
                  <c:v>218</c:v>
                </c:pt>
                <c:pt idx="5">
                  <c:v>285</c:v>
                </c:pt>
                <c:pt idx="6">
                  <c:v>355</c:v>
                </c:pt>
                <c:pt idx="7">
                  <c:v>454</c:v>
                </c:pt>
                <c:pt idx="8">
                  <c:v>542</c:v>
                </c:pt>
                <c:pt idx="9">
                  <c:v>621</c:v>
                </c:pt>
                <c:pt idx="10">
                  <c:v>634</c:v>
                </c:pt>
                <c:pt idx="11">
                  <c:v>634</c:v>
                </c:pt>
                <c:pt idx="12">
                  <c:v>634</c:v>
                </c:pt>
                <c:pt idx="13">
                  <c:v>691</c:v>
                </c:pt>
                <c:pt idx="14">
                  <c:v>691</c:v>
                </c:pt>
                <c:pt idx="15">
                  <c:v>691</c:v>
                </c:pt>
                <c:pt idx="16">
                  <c:v>705</c:v>
                </c:pt>
                <c:pt idx="17">
                  <c:v>705</c:v>
                </c:pt>
                <c:pt idx="18">
                  <c:v>705</c:v>
                </c:pt>
                <c:pt idx="19">
                  <c:v>705</c:v>
                </c:pt>
                <c:pt idx="20">
                  <c:v>705</c:v>
                </c:pt>
                <c:pt idx="21">
                  <c:v>705</c:v>
                </c:pt>
                <c:pt idx="22">
                  <c:v>706</c:v>
                </c:pt>
                <c:pt idx="23">
                  <c:v>706</c:v>
                </c:pt>
                <c:pt idx="24">
                  <c:v>706</c:v>
                </c:pt>
                <c:pt idx="25">
                  <c:v>696</c:v>
                </c:pt>
                <c:pt idx="26">
                  <c:v>696</c:v>
                </c:pt>
                <c:pt idx="27">
                  <c:v>696</c:v>
                </c:pt>
                <c:pt idx="28">
                  <c:v>696</c:v>
                </c:pt>
                <c:pt idx="29">
                  <c:v>696</c:v>
                </c:pt>
                <c:pt idx="30">
                  <c:v>696</c:v>
                </c:pt>
                <c:pt idx="31">
                  <c:v>696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696</c:v>
                </c:pt>
                <c:pt idx="36">
                  <c:v>696</c:v>
                </c:pt>
                <c:pt idx="37">
                  <c:v>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939-447C-95C3-9E180202C83B}"/>
            </c:ext>
          </c:extLst>
        </c:ser>
        <c:ser>
          <c:idx val="31"/>
          <c:order val="22"/>
          <c:tx>
            <c:strRef>
              <c:f>Days_Since_100!$H$24</c:f>
              <c:strCache>
                <c:ptCount val="1"/>
                <c:pt idx="0">
                  <c:v>Canada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Days_Since_100!$I$24:$BH$24</c:f>
              <c:numCache>
                <c:formatCode>General</c:formatCode>
                <c:ptCount val="52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939-447C-95C3-9E180202C83B}"/>
            </c:ext>
          </c:extLst>
        </c:ser>
        <c:ser>
          <c:idx val="32"/>
          <c:order val="23"/>
          <c:tx>
            <c:strRef>
              <c:f>Days_Since_100!$H$25</c:f>
              <c:strCache>
                <c:ptCount val="1"/>
                <c:pt idx="0">
                  <c:v>Australia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Days_Since_100!$I$25:$BH$25</c:f>
              <c:numCache>
                <c:formatCode>General</c:formatCode>
                <c:ptCount val="52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  <c:pt idx="8">
                  <c:v>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39-447C-95C3-9E180202C83B}"/>
            </c:ext>
          </c:extLst>
        </c:ser>
        <c:ser>
          <c:idx val="0"/>
          <c:order val="24"/>
          <c:tx>
            <c:strRef>
              <c:f>Days_Since_100!$H$26</c:f>
              <c:strCache>
                <c:ptCount val="1"/>
                <c:pt idx="0">
                  <c:v>Ireland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Days_Since_100!$I$26:$BH$26</c:f>
              <c:numCache>
                <c:formatCode>General</c:formatCode>
                <c:ptCount val="52"/>
                <c:pt idx="0">
                  <c:v>129</c:v>
                </c:pt>
                <c:pt idx="1">
                  <c:v>169</c:v>
                </c:pt>
                <c:pt idx="2">
                  <c:v>223</c:v>
                </c:pt>
                <c:pt idx="3">
                  <c:v>292</c:v>
                </c:pt>
                <c:pt idx="4">
                  <c:v>366</c:v>
                </c:pt>
                <c:pt idx="5">
                  <c:v>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939-447C-95C3-9E180202C83B}"/>
            </c:ext>
          </c:extLst>
        </c:ser>
        <c:ser>
          <c:idx val="15"/>
          <c:order val="25"/>
          <c:tx>
            <c:strRef>
              <c:f>Days_Since_100!$H$27</c:f>
              <c:strCache>
                <c:ptCount val="1"/>
                <c:pt idx="0">
                  <c:v>Czechia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Days_Since_100!$I$27:$BH$27</c:f>
              <c:numCache>
                <c:formatCode>General</c:formatCode>
                <c:ptCount val="52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  <c:pt idx="4">
                  <c:v>396</c:v>
                </c:pt>
                <c:pt idx="5">
                  <c:v>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39-447C-95C3-9E180202C83B}"/>
            </c:ext>
          </c:extLst>
        </c:ser>
        <c:ser>
          <c:idx val="33"/>
          <c:order val="26"/>
          <c:tx>
            <c:strRef>
              <c:f>Days_Since_100!$H$28</c:f>
              <c:strCache>
                <c:ptCount val="1"/>
                <c:pt idx="0">
                  <c:v>Qatar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Days_Since_100!$I$28:$BH$28</c:f>
              <c:numCache>
                <c:formatCode>General</c:formatCode>
                <c:ptCount val="52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  <c:pt idx="6">
                  <c:v>439</c:v>
                </c:pt>
                <c:pt idx="7">
                  <c:v>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39-447C-95C3-9E180202C83B}"/>
            </c:ext>
          </c:extLst>
        </c:ser>
        <c:ser>
          <c:idx val="17"/>
          <c:order val="27"/>
          <c:tx>
            <c:strRef>
              <c:f>Days_Since_100!$H$29</c:f>
              <c:strCache>
                <c:ptCount val="1"/>
                <c:pt idx="0">
                  <c:v>Portugal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Days_Since_100!$I$29:$BH$29</c:f>
              <c:numCache>
                <c:formatCode>General</c:formatCode>
                <c:ptCount val="52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  <c:pt idx="5">
                  <c:v>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39-447C-95C3-9E180202C83B}"/>
            </c:ext>
          </c:extLst>
        </c:ser>
        <c:ser>
          <c:idx val="18"/>
          <c:order val="28"/>
          <c:tx>
            <c:strRef>
              <c:f>Days_Since_100!$H$30</c:f>
              <c:strCache>
                <c:ptCount val="1"/>
                <c:pt idx="0">
                  <c:v>Israel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Days_Since_100!$I$30:$BH$30</c:f>
              <c:numCache>
                <c:formatCode>General</c:formatCode>
                <c:ptCount val="52"/>
                <c:pt idx="0">
                  <c:v>109</c:v>
                </c:pt>
                <c:pt idx="1">
                  <c:v>131</c:v>
                </c:pt>
                <c:pt idx="2">
                  <c:v>161</c:v>
                </c:pt>
                <c:pt idx="3">
                  <c:v>193</c:v>
                </c:pt>
                <c:pt idx="4">
                  <c:v>251</c:v>
                </c:pt>
                <c:pt idx="5">
                  <c:v>255</c:v>
                </c:pt>
                <c:pt idx="6">
                  <c:v>337</c:v>
                </c:pt>
                <c:pt idx="7">
                  <c:v>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4"/>
          <c:order val="29"/>
          <c:tx>
            <c:strRef>
              <c:f>Days_Since_100!$H$31</c:f>
              <c:strCache>
                <c:ptCount val="1"/>
                <c:pt idx="0">
                  <c:v>Greece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Days_Since_100!$I$31:$BH$31</c:f>
              <c:numCache>
                <c:formatCode>General</c:formatCode>
                <c:ptCount val="52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  <c:pt idx="4">
                  <c:v>387</c:v>
                </c:pt>
                <c:pt idx="5">
                  <c:v>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39-447C-95C3-9E180202C83B}"/>
            </c:ext>
          </c:extLst>
        </c:ser>
        <c:ser>
          <c:idx val="35"/>
          <c:order val="30"/>
          <c:tx>
            <c:strRef>
              <c:f>Days_Since_100!$H$32</c:f>
              <c:strCache>
                <c:ptCount val="1"/>
                <c:pt idx="0">
                  <c:v>Brazil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Days_Since_100!$I$32:$BH$32</c:f>
              <c:numCache>
                <c:formatCode>General</c:formatCode>
                <c:ptCount val="52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  <c:pt idx="3">
                  <c:v>200</c:v>
                </c:pt>
                <c:pt idx="4">
                  <c:v>321</c:v>
                </c:pt>
                <c:pt idx="5">
                  <c:v>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36"/>
          <c:order val="31"/>
          <c:tx>
            <c:strRef>
              <c:f>Days_Since_100!$H$33</c:f>
              <c:strCache>
                <c:ptCount val="1"/>
                <c:pt idx="0">
                  <c:v>Finland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Days_Since_100!$I$33:$BH$33</c:f>
              <c:numCache>
                <c:formatCode>General</c:formatCode>
                <c:ptCount val="52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  <c:pt idx="4">
                  <c:v>321</c:v>
                </c:pt>
                <c:pt idx="5">
                  <c:v>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39-447C-95C3-9E180202C83B}"/>
            </c:ext>
          </c:extLst>
        </c:ser>
        <c:ser>
          <c:idx val="21"/>
          <c:order val="32"/>
          <c:tx>
            <c:strRef>
              <c:f>Days_Since_100!$H$34</c:f>
              <c:strCache>
                <c:ptCount val="1"/>
                <c:pt idx="0">
                  <c:v>Singapore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Days_Since_100!$I$34:$BH$34</c:f>
              <c:numCache>
                <c:formatCode>General</c:formatCode>
                <c:ptCount val="52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  <c:pt idx="17">
                  <c:v>266</c:v>
                </c:pt>
                <c:pt idx="18">
                  <c:v>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39-447C-95C3-9E180202C83B}"/>
            </c:ext>
          </c:extLst>
        </c:ser>
        <c:ser>
          <c:idx val="22"/>
          <c:order val="33"/>
          <c:tx>
            <c:strRef>
              <c:f>Days_Since_100!$H$35</c:f>
              <c:strCache>
                <c:ptCount val="1"/>
                <c:pt idx="0">
                  <c:v>Pakistan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Days_Since_100!$I$35:$BH$35</c:f>
              <c:numCache>
                <c:formatCode>General</c:formatCode>
                <c:ptCount val="52"/>
                <c:pt idx="0">
                  <c:v>136</c:v>
                </c:pt>
                <c:pt idx="1">
                  <c:v>236</c:v>
                </c:pt>
                <c:pt idx="2">
                  <c:v>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7"/>
          <c:order val="34"/>
          <c:tx>
            <c:strRef>
              <c:f>Days_Since_100!$H$36</c:f>
              <c:strCache>
                <c:ptCount val="1"/>
                <c:pt idx="0">
                  <c:v>Slovenia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Days_Since_100!$I$36:$BH$36</c:f>
              <c:numCache>
                <c:formatCode>General</c:formatCode>
                <c:ptCount val="52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  <c:pt idx="4">
                  <c:v>275</c:v>
                </c:pt>
                <c:pt idx="5">
                  <c:v>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39-447C-95C3-9E180202C83B}"/>
            </c:ext>
          </c:extLst>
        </c:ser>
        <c:ser>
          <c:idx val="38"/>
          <c:order val="35"/>
          <c:tx>
            <c:strRef>
              <c:f>Days_Since_100!$H$37</c:f>
              <c:strCache>
                <c:ptCount val="1"/>
                <c:pt idx="0">
                  <c:v>Romania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Days_Since_100!$I$37:$BH$37</c:f>
              <c:numCache>
                <c:formatCode>General</c:formatCode>
                <c:ptCount val="52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  <c:pt idx="3">
                  <c:v>184</c:v>
                </c:pt>
                <c:pt idx="4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39-447C-95C3-9E180202C83B}"/>
            </c:ext>
          </c:extLst>
        </c:ser>
        <c:ser>
          <c:idx val="39"/>
          <c:order val="36"/>
          <c:tx>
            <c:strRef>
              <c:f>Days_Since_100!$H$38</c:f>
              <c:strCache>
                <c:ptCount val="1"/>
                <c:pt idx="0">
                  <c:v>Estonia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Days_Since_100!$I$38:$BH$38</c:f>
              <c:numCache>
                <c:formatCode>General</c:formatCode>
                <c:ptCount val="52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  <c:pt idx="3">
                  <c:v>225</c:v>
                </c:pt>
                <c:pt idx="4">
                  <c:v>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37"/>
          <c:tx>
            <c:strRef>
              <c:f>Days_Since_100!$H$39</c:f>
              <c:strCache>
                <c:ptCount val="1"/>
                <c:pt idx="0">
                  <c:v>Bahrain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Days_Since_100!$I$39:$BH$39</c:f>
              <c:numCache>
                <c:formatCode>General</c:formatCode>
                <c:ptCount val="52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189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  <c:pt idx="7">
                  <c:v>228</c:v>
                </c:pt>
                <c:pt idx="8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38"/>
          <c:tx>
            <c:strRef>
              <c:f>Days_Since_100!$H$40</c:f>
              <c:strCache>
                <c:ptCount val="1"/>
                <c:pt idx="0">
                  <c:v>Poland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Days_Since_100!$I$40:$BH$40</c:f>
              <c:numCache>
                <c:formatCode>General</c:formatCode>
                <c:ptCount val="52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  <c:pt idx="3">
                  <c:v>238</c:v>
                </c:pt>
                <c:pt idx="4">
                  <c:v>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39"/>
          <c:tx>
            <c:strRef>
              <c:f>Days_Since_100!$H$41</c:f>
              <c:strCache>
                <c:ptCount val="1"/>
                <c:pt idx="0">
                  <c:v>Iceland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Days_Since_100!$I$41:$BH$41</c:f>
              <c:numCache>
                <c:formatCode>General</c:formatCode>
                <c:ptCount val="52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  <c:pt idx="5">
                  <c:v>220</c:v>
                </c:pt>
                <c:pt idx="6">
                  <c:v>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40"/>
          <c:tx>
            <c:strRef>
              <c:f>Days_Since_100!$H$42</c:f>
              <c:strCache>
                <c:ptCount val="1"/>
                <c:pt idx="0">
                  <c:v>Chile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Days_Since_100!$I$42:$BH$42</c:f>
              <c:numCache>
                <c:formatCode>General</c:formatCode>
                <c:ptCount val="52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41"/>
          <c:tx>
            <c:strRef>
              <c:f>Days_Since_100!$H$43</c:f>
              <c:strCache>
                <c:ptCount val="1"/>
                <c:pt idx="0">
                  <c:v>Indonesia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Days_Since_100!$I$43:$BH$43</c:f>
              <c:numCache>
                <c:formatCode>General</c:formatCode>
                <c:ptCount val="52"/>
                <c:pt idx="0">
                  <c:v>117</c:v>
                </c:pt>
                <c:pt idx="1">
                  <c:v>134</c:v>
                </c:pt>
                <c:pt idx="2">
                  <c:v>172</c:v>
                </c:pt>
                <c:pt idx="3">
                  <c:v>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5"/>
          <c:order val="42"/>
          <c:tx>
            <c:strRef>
              <c:f>Days_Since_100!$H$44</c:f>
              <c:strCache>
                <c:ptCount val="1"/>
                <c:pt idx="0">
                  <c:v>Thailand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Days_Since_100!$I$44:$BH$44</c:f>
              <c:numCache>
                <c:formatCode>General</c:formatCode>
                <c:ptCount val="52"/>
                <c:pt idx="0">
                  <c:v>114</c:v>
                </c:pt>
                <c:pt idx="1">
                  <c:v>147</c:v>
                </c:pt>
                <c:pt idx="2">
                  <c:v>177</c:v>
                </c:pt>
                <c:pt idx="3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939-447C-95C3-9E180202C83B}"/>
            </c:ext>
          </c:extLst>
        </c:ser>
        <c:ser>
          <c:idx val="46"/>
          <c:order val="43"/>
          <c:tx>
            <c:strRef>
              <c:f>Days_Since_100!$H$45</c:f>
              <c:strCache>
                <c:ptCount val="1"/>
                <c:pt idx="0">
                  <c:v>Luxembourg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Days_Since_100!$I$45:$BH$45</c:f>
              <c:numCache>
                <c:formatCode>General</c:formatCode>
                <c:ptCount val="52"/>
                <c:pt idx="0">
                  <c:v>140</c:v>
                </c:pt>
                <c:pt idx="1">
                  <c:v>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44"/>
          <c:tx>
            <c:strRef>
              <c:f>Days_Since_100!$H$46</c:f>
              <c:strCache>
                <c:ptCount val="1"/>
                <c:pt idx="0">
                  <c:v>Philippines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Days_Since_100!$I$46:$BH$46</c:f>
              <c:numCache>
                <c:formatCode>General</c:formatCode>
                <c:ptCount val="52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  <c:pt idx="3">
                  <c:v>187</c:v>
                </c:pt>
                <c:pt idx="4">
                  <c:v>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45"/>
          <c:tx>
            <c:strRef>
              <c:f>Days_Since_100!$H$47</c:f>
              <c:strCache>
                <c:ptCount val="1"/>
                <c:pt idx="0">
                  <c:v>Egypt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Days_Since_100!$I$47:$BH$47</c:f>
              <c:numCache>
                <c:formatCode>General</c:formatCode>
                <c:ptCount val="52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  <c:pt idx="3">
                  <c:v>196</c:v>
                </c:pt>
                <c:pt idx="4">
                  <c:v>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49"/>
          <c:order val="46"/>
          <c:tx>
            <c:strRef>
              <c:f>Days_Since_100!$H$48</c:f>
              <c:strCache>
                <c:ptCount val="1"/>
                <c:pt idx="0">
                  <c:v>Saudi Arabia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Days_Since_100!$I$48:$BH$48</c:f>
              <c:numCache>
                <c:formatCode>General</c:formatCode>
                <c:ptCount val="52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  <c:pt idx="3">
                  <c:v>171</c:v>
                </c:pt>
                <c:pt idx="4">
                  <c:v>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939-447C-95C3-9E180202C83B}"/>
            </c:ext>
          </c:extLst>
        </c:ser>
        <c:ser>
          <c:idx val="50"/>
          <c:order val="47"/>
          <c:tx>
            <c:strRef>
              <c:f>Days_Since_100!$H$49</c:f>
              <c:strCache>
                <c:ptCount val="1"/>
                <c:pt idx="0">
                  <c:v>Iraq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Days_Since_100!$I$49:$BH$49</c:f>
              <c:numCache>
                <c:formatCode>General</c:formatCode>
                <c:ptCount val="52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  <c:pt idx="4">
                  <c:v>154</c:v>
                </c:pt>
                <c:pt idx="5">
                  <c:v>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939-447C-95C3-9E180202C83B}"/>
            </c:ext>
          </c:extLst>
        </c:ser>
        <c:ser>
          <c:idx val="51"/>
          <c:order val="48"/>
          <c:tx>
            <c:strRef>
              <c:f>Days_Since_100!$H$50</c:f>
              <c:strCache>
                <c:ptCount val="1"/>
                <c:pt idx="0">
                  <c:v>India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Days_Since_100!$I$50:$BH$50</c:f>
              <c:numCache>
                <c:formatCode>General</c:formatCode>
                <c:ptCount val="52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  <c:pt idx="3">
                  <c:v>142</c:v>
                </c:pt>
                <c:pt idx="4">
                  <c:v>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49"/>
          <c:tx>
            <c:strRef>
              <c:f>Days_Since_100!$H$51</c:f>
              <c:strCache>
                <c:ptCount val="1"/>
                <c:pt idx="0">
                  <c:v>Russia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Days_Since_100!$I$51:$BH$51</c:f>
              <c:numCache>
                <c:formatCode>General</c:formatCode>
                <c:ptCount val="52"/>
                <c:pt idx="0">
                  <c:v>114</c:v>
                </c:pt>
                <c:pt idx="1">
                  <c:v>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24"/>
          <c:order val="50"/>
          <c:tx>
            <c:strRef>
              <c:f>Days_Since_100!$H$52</c:f>
              <c:strCache>
                <c:ptCount val="1"/>
                <c:pt idx="0">
                  <c:v>Peru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Days_Since_100!$I$52:$BH$52</c:f>
              <c:numCache>
                <c:formatCode>General</c:formatCode>
                <c:ptCount val="52"/>
                <c:pt idx="0">
                  <c:v>117</c:v>
                </c:pt>
                <c:pt idx="1">
                  <c:v>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3-40E0-88DB-2AA2E7BEADD9}"/>
            </c:ext>
          </c:extLst>
        </c:ser>
        <c:ser>
          <c:idx val="25"/>
          <c:order val="51"/>
          <c:tx>
            <c:strRef>
              <c:f>Days_Since_100!$H$53</c:f>
              <c:strCache>
                <c:ptCount val="1"/>
                <c:pt idx="0">
                  <c:v>Kuwait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Days_Since_100!$I$53:$BH$53</c:f>
              <c:numCache>
                <c:formatCode>General</c:formatCode>
                <c:ptCount val="52"/>
                <c:pt idx="0">
                  <c:v>104</c:v>
                </c:pt>
                <c:pt idx="1">
                  <c:v>112</c:v>
                </c:pt>
                <c:pt idx="2">
                  <c:v>123</c:v>
                </c:pt>
                <c:pt idx="3">
                  <c:v>130</c:v>
                </c:pt>
                <c:pt idx="4">
                  <c:v>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3-40E0-88DB-2AA2E7BEADD9}"/>
            </c:ext>
          </c:extLst>
        </c:ser>
        <c:ser>
          <c:idx val="28"/>
          <c:order val="52"/>
          <c:tx>
            <c:strRef>
              <c:f>Days_Since_100!$H$54</c:f>
              <c:strCache>
                <c:ptCount val="1"/>
                <c:pt idx="0">
                  <c:v>Lebanon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Days_Since_100!$I$54:$BH$54</c:f>
              <c:numCache>
                <c:formatCode>General</c:formatCode>
                <c:ptCount val="52"/>
                <c:pt idx="0">
                  <c:v>110</c:v>
                </c:pt>
                <c:pt idx="1">
                  <c:v>99</c:v>
                </c:pt>
                <c:pt idx="2">
                  <c:v>120</c:v>
                </c:pt>
                <c:pt idx="3">
                  <c:v>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3-40E0-88DB-2AA2E7BEADD9}"/>
            </c:ext>
          </c:extLst>
        </c:ser>
        <c:ser>
          <c:idx val="53"/>
          <c:order val="53"/>
          <c:tx>
            <c:strRef>
              <c:f>Days_Since_100!$H$55</c:f>
              <c:strCache>
                <c:ptCount val="1"/>
                <c:pt idx="0">
                  <c:v>San Marino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Days_Since_100!$I$55:$BH$55</c:f>
              <c:numCache>
                <c:formatCode>General</c:formatCode>
                <c:ptCount val="52"/>
                <c:pt idx="0">
                  <c:v>101</c:v>
                </c:pt>
                <c:pt idx="1">
                  <c:v>109</c:v>
                </c:pt>
                <c:pt idx="2">
                  <c:v>109</c:v>
                </c:pt>
                <c:pt idx="3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3-40E0-88DB-2AA2E7BEADD9}"/>
            </c:ext>
          </c:extLst>
        </c:ser>
        <c:ser>
          <c:idx val="54"/>
          <c:order val="54"/>
          <c:tx>
            <c:strRef>
              <c:f>Days_Since_100!$H$56</c:f>
              <c:strCache>
                <c:ptCount val="1"/>
                <c:pt idx="0">
                  <c:v>South Africa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Days_Since_100!$I$56:$BH$56</c:f>
              <c:numCache>
                <c:formatCode>General</c:formatCode>
                <c:ptCount val="52"/>
                <c:pt idx="0">
                  <c:v>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3-40E0-88DB-2AA2E7BEADD9}"/>
            </c:ext>
          </c:extLst>
        </c:ser>
        <c:ser>
          <c:idx val="55"/>
          <c:order val="55"/>
          <c:tx>
            <c:strRef>
              <c:f>Days_Since_100!$H$57</c:f>
              <c:strCache>
                <c:ptCount val="1"/>
                <c:pt idx="0">
                  <c:v>United Arab Emirates</c:v>
                </c:pt>
              </c:strCache>
            </c:strRef>
          </c:tx>
          <c:spPr>
            <a:ln w="25400" cap="rnd" cmpd="sng" algn="ctr">
              <a:solidFill>
                <a:srgbClr val="ED7D31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Days_Since_100!$I$57:$BH$57</c:f>
              <c:numCache>
                <c:formatCode>General</c:formatCode>
                <c:ptCount val="52"/>
                <c:pt idx="0">
                  <c:v>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F3-40E0-88DB-2AA2E7BEADD9}"/>
            </c:ext>
          </c:extLst>
        </c:ser>
        <c:ser>
          <c:idx val="56"/>
          <c:order val="56"/>
          <c:tx>
            <c:strRef>
              <c:f>Days_Since_100!$H$58</c:f>
              <c:strCache>
                <c:ptCount val="1"/>
                <c:pt idx="0">
                  <c:v>Ecuador</c:v>
                </c:pt>
              </c:strCache>
            </c:strRef>
          </c:tx>
          <c:spPr>
            <a:ln w="25400" cap="rnd" cmpd="sng" algn="ctr">
              <a:solidFill>
                <a:srgbClr val="A5A5A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Days_Since_100!$I$58:$BH$58</c:f>
              <c:numCache>
                <c:formatCode>General</c:formatCode>
                <c:ptCount val="52"/>
                <c:pt idx="0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F3-40E0-88DB-2AA2E7BEADD9}"/>
            </c:ext>
          </c:extLst>
        </c:ser>
        <c:ser>
          <c:idx val="57"/>
          <c:order val="57"/>
          <c:tx>
            <c:strRef>
              <c:f>Days_Since_100!$H$59</c:f>
              <c:strCache>
                <c:ptCount val="1"/>
                <c:pt idx="0">
                  <c:v>Slovakia</c:v>
                </c:pt>
              </c:strCache>
            </c:strRef>
          </c:tx>
          <c:spPr>
            <a:ln w="25400" cap="rnd" cmpd="sng" algn="ctr">
              <a:solidFill>
                <a:srgbClr val="FFC000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Days_Since_100!$I$59:$BH$59</c:f>
              <c:numCache>
                <c:formatCode>General</c:formatCode>
                <c:ptCount val="52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F3-40E0-88DB-2AA2E7BEADD9}"/>
            </c:ext>
          </c:extLst>
        </c:ser>
        <c:ser>
          <c:idx val="58"/>
          <c:order val="58"/>
          <c:tx>
            <c:strRef>
              <c:f>Days_Since_100!$H$60</c:f>
              <c:strCache>
                <c:ptCount val="1"/>
                <c:pt idx="0">
                  <c:v>Taiwan*</c:v>
                </c:pt>
              </c:strCache>
            </c:strRef>
          </c:tx>
          <c:spPr>
            <a:ln w="25400" cap="rnd" cmpd="sng" algn="ctr">
              <a:solidFill>
                <a:srgbClr val="4472C4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Days_Since_100!$I$60:$BH$60</c:f>
              <c:numCache>
                <c:formatCode>General</c:formatCode>
                <c:ptCount val="52"/>
                <c:pt idx="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F3-40E0-88DB-2AA2E7BEADD9}"/>
            </c:ext>
          </c:extLst>
        </c:ser>
        <c:ser>
          <c:idx val="59"/>
          <c:order val="59"/>
          <c:tx>
            <c:strRef>
              <c:f>Days_Since_100!$H$61</c:f>
              <c:strCache>
                <c:ptCount val="1"/>
                <c:pt idx="0">
                  <c:v>Taiwan*</c:v>
                </c:pt>
              </c:strCache>
            </c:strRef>
          </c:tx>
          <c:spPr>
            <a:ln w="25400" cap="rnd" cmpd="sng" algn="ctr">
              <a:solidFill>
                <a:srgbClr val="70AD47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Days_Since_100!$I$61:$BH$61</c:f>
              <c:numCache>
                <c:formatCode>General</c:formatCode>
                <c:ptCount val="52"/>
                <c:pt idx="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0"/>
          <c:order val="60"/>
          <c:tx>
            <c:strRef>
              <c:f>Days_Since_100!$H$62</c:f>
              <c:strCache>
                <c:ptCount val="1"/>
                <c:pt idx="0">
                  <c:v>Taiwan*</c:v>
                </c:pt>
              </c:strCache>
            </c:strRef>
          </c:tx>
          <c:spPr>
            <a:ln w="25400" cap="rnd" cmpd="sng" algn="ctr">
              <a:solidFill>
                <a:srgbClr val="4472C4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Days_Since_100!$I$62:$BH$62</c:f>
              <c:numCache>
                <c:formatCode>General</c:formatCode>
                <c:ptCount val="52"/>
                <c:pt idx="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DF3-40E0-88DB-2AA2E7BEA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3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050"/>
                  <a:t>Days since 100th infection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5206056662831"/>
          <c:y val="5.8569922112763968E-2"/>
          <c:w val="0.18334793943337185"/>
          <c:h val="0.843515083140456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141513</xdr:colOff>
      <xdr:row>1</xdr:row>
      <xdr:rowOff>1089</xdr:rowOff>
    </xdr:from>
    <xdr:to>
      <xdr:col>20</xdr:col>
      <xdr:colOff>341586</xdr:colOff>
      <xdr:row>27</xdr:row>
      <xdr:rowOff>130628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C1F0A1-4E22-436E-A279-1C8C5675E4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141514</xdr:colOff>
      <xdr:row>27</xdr:row>
      <xdr:rowOff>129540</xdr:rowOff>
    </xdr:from>
    <xdr:to>
      <xdr:col>20</xdr:col>
      <xdr:colOff>341586</xdr:colOff>
      <xdr:row>52</xdr:row>
      <xdr:rowOff>99060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A082E9-A0DA-4384-8266-7FCF349A94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22</xdr:col>
      <xdr:colOff>192566</xdr:colOff>
      <xdr:row>1</xdr:row>
      <xdr:rowOff>159151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15301187" y="329944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25</xdr:col>
      <xdr:colOff>487604</xdr:colOff>
      <xdr:row>1</xdr:row>
      <xdr:rowOff>166289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17409259" y="337082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25</xdr:col>
      <xdr:colOff>487604</xdr:colOff>
      <xdr:row>5</xdr:row>
      <xdr:rowOff>28154</xdr:rowOff>
    </xdr:from>
    <xdr:ext cx="1447802" cy="489857"/>
    <xdr:sp macro="[0]!Macro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17409259" y="882120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22</xdr:col>
      <xdr:colOff>192566</xdr:colOff>
      <xdr:row>5</xdr:row>
      <xdr:rowOff>55924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15301187" y="90989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15</xdr:col>
      <xdr:colOff>502920</xdr:colOff>
      <xdr:row>29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/>
  <dimension ref="A1:Z53"/>
  <sheetViews>
    <sheetView showGridLines="0" tabSelected="1" zoomScale="54" zoomScaleNormal="54" workbookViewId="0">
      <selection activeCell="C41" sqref="C41:C42"/>
    </sheetView>
  </sheetViews>
  <sheetFormatPr defaultRowHeight="13.8" x14ac:dyDescent="0.25"/>
  <cols>
    <col min="1" max="1" width="3.21875" style="41" customWidth="1"/>
    <col min="2" max="2" width="32.44140625" style="41" bestFit="1" customWidth="1"/>
    <col min="3" max="3" width="17.21875" style="41" bestFit="1" customWidth="1"/>
    <col min="4" max="16384" width="8.88671875" style="41"/>
  </cols>
  <sheetData>
    <row r="1" spans="1:26" x14ac:dyDescent="0.25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7"/>
    </row>
    <row r="2" spans="1:26" x14ac:dyDescent="0.25">
      <c r="A2" s="48"/>
      <c r="B2" s="75" t="str">
        <f>C7&amp;" Covid-19 Active Case Projections"</f>
        <v>Germany Covid-19 Active Case Projections</v>
      </c>
      <c r="C2" s="76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50"/>
    </row>
    <row r="3" spans="1:26" x14ac:dyDescent="0.25">
      <c r="A3" s="48"/>
      <c r="B3" s="77"/>
      <c r="C3" s="78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50"/>
    </row>
    <row r="4" spans="1:26" x14ac:dyDescent="0.25">
      <c r="A4" s="48"/>
      <c r="B4" s="77"/>
      <c r="C4" s="78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50"/>
    </row>
    <row r="5" spans="1:26" x14ac:dyDescent="0.25">
      <c r="A5" s="48"/>
      <c r="B5" s="79"/>
      <c r="C5" s="80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50"/>
    </row>
    <row r="6" spans="1:26" x14ac:dyDescent="0.25">
      <c r="A6" s="48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50"/>
    </row>
    <row r="7" spans="1:26" x14ac:dyDescent="0.25">
      <c r="A7" s="48"/>
      <c r="B7" s="98" t="s">
        <v>481</v>
      </c>
      <c r="C7" s="96" t="s">
        <v>53</v>
      </c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50"/>
    </row>
    <row r="8" spans="1:26" x14ac:dyDescent="0.25">
      <c r="A8" s="48"/>
      <c r="B8" s="99"/>
      <c r="C8" s="97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50"/>
    </row>
    <row r="9" spans="1:26" ht="17.399999999999999" x14ac:dyDescent="0.3">
      <c r="A9" s="48"/>
      <c r="B9" s="95"/>
      <c r="C9" s="95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50"/>
    </row>
    <row r="10" spans="1:26" ht="15.6" customHeight="1" x14ac:dyDescent="0.25">
      <c r="A10" s="48"/>
      <c r="B10" s="98" t="s">
        <v>516</v>
      </c>
      <c r="C10" s="100">
        <f>Projections_Data!C4</f>
        <v>15320</v>
      </c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50"/>
    </row>
    <row r="11" spans="1:26" ht="15.6" customHeight="1" x14ac:dyDescent="0.25">
      <c r="A11" s="48"/>
      <c r="B11" s="99"/>
      <c r="C11" s="101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50"/>
      <c r="X11" s="119" t="s">
        <v>499</v>
      </c>
      <c r="Y11" s="119"/>
      <c r="Z11" s="59">
        <v>5</v>
      </c>
    </row>
    <row r="12" spans="1:26" ht="15.6" customHeight="1" x14ac:dyDescent="0.25">
      <c r="A12" s="48"/>
      <c r="B12" s="98" t="s">
        <v>517</v>
      </c>
      <c r="C12" s="102">
        <f>Projections_Data!C6</f>
        <v>15187</v>
      </c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50"/>
    </row>
    <row r="13" spans="1:26" ht="15.6" customHeight="1" x14ac:dyDescent="0.25">
      <c r="A13" s="48"/>
      <c r="B13" s="99"/>
      <c r="C13" s="103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50"/>
    </row>
    <row r="14" spans="1:26" ht="15.6" customHeight="1" x14ac:dyDescent="0.25">
      <c r="A14" s="48"/>
      <c r="B14" s="98" t="s">
        <v>519</v>
      </c>
      <c r="C14" s="104">
        <f>Projections_Data!C7</f>
        <v>105</v>
      </c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50"/>
    </row>
    <row r="15" spans="1:26" ht="15.6" customHeight="1" x14ac:dyDescent="0.25">
      <c r="A15" s="48"/>
      <c r="B15" s="99"/>
      <c r="C15" s="105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50"/>
    </row>
    <row r="16" spans="1:26" ht="15.6" customHeight="1" x14ac:dyDescent="0.25">
      <c r="A16" s="48"/>
      <c r="B16" s="98" t="s">
        <v>526</v>
      </c>
      <c r="C16" s="106">
        <f>Projections_Data!C8</f>
        <v>28</v>
      </c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50"/>
    </row>
    <row r="17" spans="1:21" ht="15.6" customHeight="1" x14ac:dyDescent="0.25">
      <c r="A17" s="48"/>
      <c r="B17" s="99"/>
      <c r="C17" s="107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50"/>
    </row>
    <row r="18" spans="1:21" ht="15.6" customHeight="1" x14ac:dyDescent="0.25">
      <c r="A18" s="48"/>
      <c r="B18" s="98" t="s">
        <v>518</v>
      </c>
      <c r="C18" s="108">
        <f>Projections_Data!C13</f>
        <v>19500.360957379911</v>
      </c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50"/>
    </row>
    <row r="19" spans="1:21" ht="15.6" customHeight="1" x14ac:dyDescent="0.25">
      <c r="A19" s="48"/>
      <c r="B19" s="99"/>
      <c r="C19" s="10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50"/>
    </row>
    <row r="20" spans="1:21" ht="18.600000000000001" customHeight="1" x14ac:dyDescent="0.25">
      <c r="A20" s="48"/>
      <c r="B20" s="116" t="s">
        <v>533</v>
      </c>
      <c r="C20" s="110">
        <f>Projections_Data!C11</f>
        <v>0.27286951418928918</v>
      </c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50"/>
    </row>
    <row r="21" spans="1:21" ht="18.600000000000001" customHeight="1" x14ac:dyDescent="0.25">
      <c r="A21" s="48"/>
      <c r="B21" s="117"/>
      <c r="C21" s="111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50"/>
    </row>
    <row r="22" spans="1:21" ht="19.8" customHeight="1" x14ac:dyDescent="0.25">
      <c r="A22" s="48"/>
      <c r="B22" s="114" t="s">
        <v>515</v>
      </c>
      <c r="C22" s="112">
        <f>Projections_Data!C22</f>
        <v>43900</v>
      </c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50" t="s">
        <v>507</v>
      </c>
    </row>
    <row r="23" spans="1:21" ht="19.8" customHeight="1" x14ac:dyDescent="0.25">
      <c r="A23" s="48"/>
      <c r="B23" s="115"/>
      <c r="C23" s="113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50"/>
    </row>
    <row r="24" spans="1:21" ht="18.600000000000001" customHeight="1" x14ac:dyDescent="0.25">
      <c r="A24" s="48"/>
      <c r="B24" s="98" t="s">
        <v>514</v>
      </c>
      <c r="C24" s="112">
        <f>Projections_Data!C23</f>
        <v>43907</v>
      </c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50"/>
    </row>
    <row r="25" spans="1:21" ht="18.600000000000001" customHeight="1" x14ac:dyDescent="0.25">
      <c r="A25" s="48"/>
      <c r="B25" s="99"/>
      <c r="C25" s="113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50"/>
    </row>
    <row r="26" spans="1:21" ht="15.6" customHeight="1" x14ac:dyDescent="0.25">
      <c r="A26" s="48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50"/>
    </row>
    <row r="27" spans="1:21" ht="15.6" customHeight="1" x14ac:dyDescent="0.25">
      <c r="A27" s="48"/>
      <c r="B27" s="60"/>
      <c r="C27" s="60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50"/>
    </row>
    <row r="28" spans="1:21" ht="15.6" customHeight="1" x14ac:dyDescent="0.25">
      <c r="A28" s="48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50"/>
    </row>
    <row r="29" spans="1:21" ht="15.6" customHeight="1" x14ac:dyDescent="0.25">
      <c r="A29" s="48"/>
      <c r="B29" s="81" t="str">
        <f>Projections_Data!B34</f>
        <v>Germany critically ill projections (0.5% of infected requiring critical care)</v>
      </c>
      <c r="C29" s="82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50"/>
    </row>
    <row r="30" spans="1:21" ht="15.6" customHeight="1" x14ac:dyDescent="0.25">
      <c r="A30" s="48"/>
      <c r="B30" s="83"/>
      <c r="C30" s="84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50"/>
    </row>
    <row r="31" spans="1:21" ht="15.6" customHeight="1" x14ac:dyDescent="0.25">
      <c r="A31" s="48"/>
      <c r="B31" s="83"/>
      <c r="C31" s="84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50"/>
    </row>
    <row r="32" spans="1:21" ht="15.6" customHeight="1" x14ac:dyDescent="0.25">
      <c r="A32" s="48"/>
      <c r="B32" s="83"/>
      <c r="C32" s="84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50"/>
    </row>
    <row r="33" spans="1:21" ht="15.6" customHeight="1" x14ac:dyDescent="0.25">
      <c r="A33" s="48"/>
      <c r="B33" s="85"/>
      <c r="C33" s="86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50"/>
    </row>
    <row r="34" spans="1:21" ht="15.6" customHeight="1" x14ac:dyDescent="0.25">
      <c r="A34" s="48"/>
      <c r="B34" s="87"/>
      <c r="C34" s="87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50"/>
    </row>
    <row r="35" spans="1:21" ht="18" customHeight="1" x14ac:dyDescent="0.25">
      <c r="A35" s="48"/>
      <c r="B35" s="91" t="s">
        <v>468</v>
      </c>
      <c r="C35" s="92">
        <f>Projections_Data!C15</f>
        <v>24464.911064</v>
      </c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50"/>
    </row>
    <row r="36" spans="1:21" ht="18" customHeight="1" x14ac:dyDescent="0.25">
      <c r="A36" s="48"/>
      <c r="B36" s="91"/>
      <c r="C36" s="92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50"/>
    </row>
    <row r="37" spans="1:21" ht="20.399999999999999" customHeight="1" x14ac:dyDescent="0.25">
      <c r="A37" s="48"/>
      <c r="B37" s="90" t="s">
        <v>531</v>
      </c>
      <c r="C37" s="93">
        <f>Projections_Data!C14</f>
        <v>4.5428733674048836E-3</v>
      </c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50"/>
    </row>
    <row r="38" spans="1:21" ht="20.399999999999999" customHeight="1" x14ac:dyDescent="0.25">
      <c r="A38" s="48"/>
      <c r="B38" s="90"/>
      <c r="C38" s="93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50"/>
    </row>
    <row r="39" spans="1:21" ht="20.399999999999999" customHeight="1" x14ac:dyDescent="0.25">
      <c r="A39" s="48"/>
      <c r="B39" s="90" t="s">
        <v>530</v>
      </c>
      <c r="C39" s="92">
        <f>Projections!C35*Projections!C37</f>
        <v>111.14099290857467</v>
      </c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50"/>
    </row>
    <row r="40" spans="1:21" ht="20.399999999999999" customHeight="1" x14ac:dyDescent="0.25">
      <c r="A40" s="48"/>
      <c r="B40" s="90"/>
      <c r="C40" s="92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50"/>
    </row>
    <row r="41" spans="1:21" ht="20.399999999999999" customHeight="1" x14ac:dyDescent="0.25">
      <c r="A41" s="48"/>
      <c r="B41" s="90" t="s">
        <v>492</v>
      </c>
      <c r="C41" s="94">
        <f ca="1">Projections_Data!D29-4</f>
        <v>43934</v>
      </c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50"/>
    </row>
    <row r="42" spans="1:21" ht="20.399999999999999" customHeight="1" x14ac:dyDescent="0.25">
      <c r="A42" s="48"/>
      <c r="B42" s="90"/>
      <c r="C42" s="94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50"/>
    </row>
    <row r="43" spans="1:21" ht="18" customHeight="1" x14ac:dyDescent="0.25">
      <c r="A43" s="48"/>
      <c r="B43" s="91" t="s">
        <v>493</v>
      </c>
      <c r="C43" s="92">
        <f ca="1">C41-TODAY()</f>
        <v>25</v>
      </c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50"/>
    </row>
    <row r="44" spans="1:21" ht="18" customHeight="1" x14ac:dyDescent="0.25">
      <c r="A44" s="48"/>
      <c r="B44" s="91"/>
      <c r="C44" s="92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50"/>
    </row>
    <row r="45" spans="1:21" ht="15.6" customHeight="1" x14ac:dyDescent="0.25">
      <c r="A45" s="48"/>
      <c r="B45" s="120" t="s">
        <v>532</v>
      </c>
      <c r="C45" s="120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50"/>
    </row>
    <row r="46" spans="1:21" ht="15.6" customHeight="1" x14ac:dyDescent="0.25">
      <c r="A46" s="48"/>
      <c r="B46" s="121"/>
      <c r="C46" s="121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50"/>
    </row>
    <row r="47" spans="1:21" ht="13.8" customHeight="1" x14ac:dyDescent="0.25">
      <c r="A47" s="48"/>
      <c r="B47" s="121"/>
      <c r="C47" s="121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50"/>
    </row>
    <row r="48" spans="1:21" ht="14.4" customHeight="1" x14ac:dyDescent="0.25">
      <c r="A48" s="48"/>
      <c r="B48" s="121"/>
      <c r="C48" s="121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50"/>
    </row>
    <row r="49" spans="1:21" ht="13.8" customHeight="1" x14ac:dyDescent="0.25">
      <c r="A49" s="48"/>
      <c r="B49" s="122"/>
      <c r="C49" s="122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50"/>
    </row>
    <row r="50" spans="1:21" ht="13.8" customHeight="1" x14ac:dyDescent="0.25">
      <c r="A50" s="48"/>
      <c r="B50" s="89" t="str">
        <f>"Source: Analysis of John Hopkins University and WHO data.
Data updated: "&amp;TEXT(Projections_Data!C2,"DD/MM/YYYY")&amp;"."</f>
        <v>Source: Analysis of John Hopkins University and WHO data.
Data updated: 18/03/2020.</v>
      </c>
      <c r="C50" s="8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50"/>
    </row>
    <row r="51" spans="1:21" ht="13.8" customHeight="1" x14ac:dyDescent="0.25">
      <c r="A51" s="48"/>
      <c r="B51" s="89"/>
      <c r="C51" s="8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50"/>
    </row>
    <row r="52" spans="1:21" ht="13.8" customHeight="1" x14ac:dyDescent="0.25">
      <c r="A52" s="48"/>
      <c r="B52" s="89"/>
      <c r="C52" s="8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50"/>
    </row>
    <row r="53" spans="1:21" ht="15" customHeight="1" thickBot="1" x14ac:dyDescent="0.3">
      <c r="A53" s="51"/>
      <c r="B53" s="88"/>
      <c r="C53" s="88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</sheetData>
  <mergeCells count="34">
    <mergeCell ref="X11:Y11"/>
    <mergeCell ref="B45:C49"/>
    <mergeCell ref="B29:C33"/>
    <mergeCell ref="C35:C36"/>
    <mergeCell ref="B35:B36"/>
    <mergeCell ref="B50:C53"/>
    <mergeCell ref="C22:C23"/>
    <mergeCell ref="C24:C25"/>
    <mergeCell ref="B24:B25"/>
    <mergeCell ref="B27:C27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41:B42"/>
    <mergeCell ref="B10:B11"/>
    <mergeCell ref="C43:C44"/>
    <mergeCell ref="B43:B44"/>
    <mergeCell ref="C41:C42"/>
    <mergeCell ref="B20:B21"/>
    <mergeCell ref="C20:C21"/>
    <mergeCell ref="B18:B19"/>
    <mergeCell ref="C18:C19"/>
    <mergeCell ref="C39:C40"/>
    <mergeCell ref="B39:B40"/>
    <mergeCell ref="C37:C38"/>
    <mergeCell ref="B37:B38"/>
    <mergeCell ref="B22:B23"/>
  </mergeCells>
  <pageMargins left="0.7" right="0.7" top="0.75" bottom="0.75" header="0.3" footer="0.3"/>
  <pageSetup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/>
  <dimension ref="B1:O66"/>
  <sheetViews>
    <sheetView workbookViewId="0">
      <selection activeCell="R18" sqref="R18"/>
    </sheetView>
  </sheetViews>
  <sheetFormatPr defaultColWidth="9" defaultRowHeight="13.2" customHeight="1" x14ac:dyDescent="0.2"/>
  <cols>
    <col min="1" max="1" width="2.21875" style="62" customWidth="1"/>
    <col min="2" max="2" width="3.88671875" style="61" customWidth="1"/>
    <col min="3" max="3" width="14" style="62" bestFit="1" customWidth="1"/>
    <col min="4" max="4" width="9.21875" style="62" customWidth="1"/>
    <col min="5" max="5" width="10.33203125" style="62" customWidth="1"/>
    <col min="6" max="6" width="11.5546875" style="61" customWidth="1"/>
    <col min="7" max="7" width="3" style="62" customWidth="1"/>
    <col min="8" max="8" width="16" style="62" customWidth="1"/>
    <col min="9" max="9" width="14" style="62" bestFit="1" customWidth="1"/>
    <col min="10" max="10" width="17.6640625" style="62" bestFit="1" customWidth="1"/>
    <col min="11" max="11" width="11.44140625" style="62" bestFit="1" customWidth="1"/>
    <col min="12" max="16384" width="9" style="62"/>
  </cols>
  <sheetData>
    <row r="1" spans="2:15" ht="13.2" customHeight="1" thickBot="1" x14ac:dyDescent="0.25"/>
    <row r="2" spans="2:15" ht="34.799999999999997" thickBot="1" x14ac:dyDescent="0.25">
      <c r="B2" s="67" t="s">
        <v>522</v>
      </c>
      <c r="C2" s="68" t="s">
        <v>481</v>
      </c>
      <c r="D2" s="68" t="s">
        <v>494</v>
      </c>
      <c r="E2" s="68" t="s">
        <v>512</v>
      </c>
      <c r="F2" s="69" t="s">
        <v>495</v>
      </c>
      <c r="H2" s="67" t="s">
        <v>513</v>
      </c>
      <c r="I2" s="68" t="s">
        <v>527</v>
      </c>
      <c r="J2" s="68" t="s">
        <v>482</v>
      </c>
      <c r="K2" s="69" t="s">
        <v>528</v>
      </c>
    </row>
    <row r="3" spans="2:15" s="63" customFormat="1" ht="13.8" customHeight="1" x14ac:dyDescent="0.3">
      <c r="B3" s="70">
        <v>1</v>
      </c>
      <c r="C3" s="66" t="s">
        <v>80</v>
      </c>
      <c r="D3" s="65">
        <f>VLOOKUP(C3,Country_Data!B:F,5,FALSE)</f>
        <v>299</v>
      </c>
      <c r="E3" s="65">
        <f>D3*Projections_Data!$C$14</f>
        <v>1.3583191368540601</v>
      </c>
      <c r="F3" s="118">
        <f>IFERROR(VLOOKUP(C3,Days_Since_100!C:G,5,FALSE)-1,0)</f>
        <v>0.48274387935499696</v>
      </c>
      <c r="H3" s="73" t="str">
        <f>IFERROR(LOG((K3/E3),1+F3),"")</f>
        <v/>
      </c>
      <c r="I3" s="72"/>
      <c r="J3" s="65">
        <f>VLOOKUP(C3,Country_Data!C:K,9,FALSE)</f>
        <v>220892340</v>
      </c>
      <c r="K3" s="64">
        <f>(J3/100000)*I3</f>
        <v>0</v>
      </c>
      <c r="M3" s="63">
        <f t="array" ref="M3">IF(OR(C3=$O$3:$O$21),1,0)</f>
        <v>0</v>
      </c>
      <c r="O3" s="63" t="s">
        <v>41</v>
      </c>
    </row>
    <row r="4" spans="2:15" s="63" customFormat="1" ht="13.8" customHeight="1" x14ac:dyDescent="0.3">
      <c r="B4" s="70">
        <f>B3+1</f>
        <v>2</v>
      </c>
      <c r="C4" s="66" t="s">
        <v>99</v>
      </c>
      <c r="D4" s="65">
        <f>VLOOKUP(C4,Country_Data!B:F,5,FALSE)</f>
        <v>203</v>
      </c>
      <c r="E4" s="65">
        <f>D4*Projections_Data!$C$14</f>
        <v>0.92220329358319142</v>
      </c>
      <c r="F4" s="118">
        <f>IFERROR(VLOOKUP(C4,Days_Since_100!C:G,5,FALSE)-1,0)</f>
        <v>0.44999999999999996</v>
      </c>
      <c r="H4" s="73">
        <f t="shared" ref="H4:H65" si="0">IFERROR(LOG((K4/E4),1+F4),"")</f>
        <v>13.795697110035187</v>
      </c>
      <c r="I4" s="72">
        <v>24.8</v>
      </c>
      <c r="J4" s="65">
        <f>VLOOKUP(C4,Country_Data!C:K,9,FALSE)</f>
        <v>625978</v>
      </c>
      <c r="K4" s="64">
        <f>(J4/100000)*I4</f>
        <v>155.24254400000001</v>
      </c>
      <c r="M4" s="63">
        <f t="array" ref="M4">IF(OR(C4=$O$3:$O$21),1,0)</f>
        <v>0</v>
      </c>
      <c r="O4" s="63" t="s">
        <v>38</v>
      </c>
    </row>
    <row r="5" spans="2:15" s="63" customFormat="1" ht="13.8" customHeight="1" x14ac:dyDescent="0.3">
      <c r="B5" s="70">
        <f>B4+1</f>
        <v>3</v>
      </c>
      <c r="C5" s="66" t="s">
        <v>98</v>
      </c>
      <c r="D5" s="65">
        <f>VLOOKUP(C5,Country_Data!B:F,5,FALSE)</f>
        <v>292</v>
      </c>
      <c r="E5" s="65">
        <f>D5*Projections_Data!$C$14</f>
        <v>1.3265190232822259</v>
      </c>
      <c r="F5" s="118">
        <f>IFERROR(VLOOKUP(C5,Days_Since_100!C:G,5,FALSE)-1,0)</f>
        <v>0.33984048671637046</v>
      </c>
      <c r="H5" s="73">
        <f t="shared" si="0"/>
        <v>18.761700382969003</v>
      </c>
      <c r="I5" s="72">
        <v>6.5</v>
      </c>
      <c r="J5" s="65">
        <f>VLOOKUP(C5,Country_Data!C:K,9,FALSE)</f>
        <v>4937786</v>
      </c>
      <c r="K5" s="64">
        <f>(J5/100000)*I5</f>
        <v>320.95609000000002</v>
      </c>
      <c r="M5" s="63">
        <f t="array" ref="M5">IF(OR(C5=$O$3:$O$21),1,0)</f>
        <v>0</v>
      </c>
      <c r="O5" s="63" t="s">
        <v>349</v>
      </c>
    </row>
    <row r="6" spans="2:15" s="63" customFormat="1" ht="13.8" customHeight="1" x14ac:dyDescent="0.3">
      <c r="B6" s="70">
        <f>B5+1</f>
        <v>4</v>
      </c>
      <c r="C6" s="66" t="s">
        <v>38</v>
      </c>
      <c r="D6" s="65">
        <f>VLOOKUP(C6,Country_Data!B:F,5,FALSE)</f>
        <v>7783</v>
      </c>
      <c r="E6" s="65">
        <f>D6*Projections_Data!$C$14</f>
        <v>35.357183418512207</v>
      </c>
      <c r="F6" s="118">
        <f>IFERROR(VLOOKUP(C6,Days_Since_100!C:G,5,FALSE)-1,0)</f>
        <v>0.33577128690399016</v>
      </c>
      <c r="H6" s="73">
        <f t="shared" si="0"/>
        <v>27.345612821348126</v>
      </c>
      <c r="I6" s="72">
        <v>29.3</v>
      </c>
      <c r="J6" s="65">
        <f>VLOOKUP(C6,Country_Data!C:K,9,FALSE)</f>
        <v>331002651</v>
      </c>
      <c r="K6" s="64">
        <f>(J6/100000)*I6</f>
        <v>96983.776743000009</v>
      </c>
      <c r="M6" s="63">
        <f t="array" ref="M6">IF(OR(C6=$O$3:$O$21),1,0)</f>
        <v>1</v>
      </c>
      <c r="O6" s="63" t="s">
        <v>58</v>
      </c>
    </row>
    <row r="7" spans="2:15" s="63" customFormat="1" ht="13.8" customHeight="1" x14ac:dyDescent="0.3">
      <c r="B7" s="70">
        <f>B6+1</f>
        <v>5</v>
      </c>
      <c r="C7" s="66" t="s">
        <v>43</v>
      </c>
      <c r="D7" s="65">
        <f>VLOOKUP(C7,Country_Data!B:F,5,FALSE)</f>
        <v>790</v>
      </c>
      <c r="E7" s="65">
        <f>D7*Projections_Data!$C$14</f>
        <v>3.5888699602498582</v>
      </c>
      <c r="F7" s="118">
        <f>IFERROR(VLOOKUP(C7,Days_Since_100!C:G,5,FALSE)-1,0)</f>
        <v>0.32017703277554332</v>
      </c>
      <c r="H7" s="73" t="str">
        <f t="shared" si="0"/>
        <v/>
      </c>
      <c r="I7" s="72"/>
      <c r="J7" s="65">
        <f>VLOOKUP(C7,Country_Data!C:K,9,FALSE)</f>
        <v>32365999</v>
      </c>
      <c r="K7" s="64">
        <f>(J7/100000)*I7</f>
        <v>0</v>
      </c>
      <c r="M7" s="63">
        <f t="array" ref="M7">IF(OR(C7=$O$3:$O$21),1,0)</f>
        <v>0</v>
      </c>
      <c r="O7" s="63" t="s">
        <v>60</v>
      </c>
    </row>
    <row r="8" spans="2:15" s="63" customFormat="1" ht="13.8" customHeight="1" x14ac:dyDescent="0.3">
      <c r="B8" s="70">
        <f>B7+1</f>
        <v>6</v>
      </c>
      <c r="C8" s="66" t="s">
        <v>108</v>
      </c>
      <c r="D8" s="65">
        <f>VLOOKUP(C8,Country_Data!B:F,5,FALSE)</f>
        <v>448</v>
      </c>
      <c r="E8" s="65">
        <f>D8*Projections_Data!$C$14</f>
        <v>2.0352072685973877</v>
      </c>
      <c r="F8" s="118">
        <f>IFERROR(VLOOKUP(C8,Days_Since_100!C:G,5,FALSE)-1,0)</f>
        <v>0.3195079107728942</v>
      </c>
      <c r="H8" s="73">
        <f t="shared" si="0"/>
        <v>19.292933463038828</v>
      </c>
      <c r="I8" s="72">
        <v>4.2</v>
      </c>
      <c r="J8" s="65">
        <f>VLOOKUP(C8,Country_Data!C:K,9,FALSE)</f>
        <v>10196709</v>
      </c>
      <c r="K8" s="64">
        <f>(J8/100000)*I8</f>
        <v>428.26177799999999</v>
      </c>
      <c r="M8" s="63">
        <f t="array" ref="M8">IF(OR(C8=$O$3:$O$21),1,0)</f>
        <v>0</v>
      </c>
      <c r="O8" s="63" t="s">
        <v>53</v>
      </c>
    </row>
    <row r="9" spans="2:15" s="63" customFormat="1" ht="13.8" customHeight="1" x14ac:dyDescent="0.3">
      <c r="B9" s="70">
        <f>B8+1</f>
        <v>7</v>
      </c>
      <c r="C9" s="66" t="s">
        <v>344</v>
      </c>
      <c r="D9" s="65">
        <f>VLOOKUP(C9,Country_Data!B:F,5,FALSE)</f>
        <v>147</v>
      </c>
      <c r="E9" s="65">
        <f>D9*Projections_Data!$C$14</f>
        <v>0.66780238500851785</v>
      </c>
      <c r="F9" s="118">
        <f>IFERROR(VLOOKUP(C9,Days_Since_100!C:G,5,FALSE)-1,0)</f>
        <v>0.28947368421052633</v>
      </c>
      <c r="H9" s="73" t="str">
        <f t="shared" si="0"/>
        <v/>
      </c>
      <c r="I9" s="72"/>
      <c r="J9" s="65">
        <f>VLOOKUP(C9,Country_Data!C:K,9,FALSE)</f>
        <v>145934462</v>
      </c>
      <c r="K9" s="64">
        <f>(J9/100000)*I9</f>
        <v>0</v>
      </c>
      <c r="M9" s="63">
        <f t="array" ref="M9">IF(OR(C9=$O$3:$O$21),1,0)</f>
        <v>0</v>
      </c>
    </row>
    <row r="10" spans="2:15" s="63" customFormat="1" ht="13.8" customHeight="1" x14ac:dyDescent="0.3">
      <c r="B10" s="70">
        <f>B9+1</f>
        <v>8</v>
      </c>
      <c r="C10" s="66" t="s">
        <v>45</v>
      </c>
      <c r="D10" s="65">
        <f>VLOOKUP(C10,Country_Data!B:F,5,FALSE)</f>
        <v>657</v>
      </c>
      <c r="E10" s="65">
        <f>D10*Projections_Data!$C$14</f>
        <v>2.9846678023850086</v>
      </c>
      <c r="F10" s="118">
        <f>IFERROR(VLOOKUP(C10,Days_Since_100!C:G,5,FALSE)-1,0)</f>
        <v>0.27761973651376848</v>
      </c>
      <c r="H10" s="73" t="str">
        <f t="shared" si="0"/>
        <v/>
      </c>
      <c r="I10" s="72"/>
      <c r="J10" s="65">
        <f>VLOOKUP(C10,Country_Data!C:K,9,FALSE)</f>
        <v>37742154</v>
      </c>
      <c r="K10" s="64">
        <f>(J10/100000)*I10</f>
        <v>0</v>
      </c>
      <c r="M10" s="63">
        <f t="array" ref="M10">IF(OR(C10=$O$3:$O$21),1,0)</f>
        <v>0</v>
      </c>
    </row>
    <row r="11" spans="2:15" s="63" customFormat="1" ht="13.8" customHeight="1" x14ac:dyDescent="0.3">
      <c r="B11" s="70">
        <f>B10+1</f>
        <v>9</v>
      </c>
      <c r="C11" s="66" t="s">
        <v>53</v>
      </c>
      <c r="D11" s="65">
        <f>VLOOKUP(C11,Country_Data!B:F,5,FALSE)</f>
        <v>12327</v>
      </c>
      <c r="E11" s="65">
        <f>D11*Projections_Data!$C$14</f>
        <v>56</v>
      </c>
      <c r="F11" s="118">
        <f>IFERROR(VLOOKUP(C11,Days_Since_100!C:G,5,FALSE)-1,0)</f>
        <v>0.27286951418928918</v>
      </c>
      <c r="H11" s="73">
        <f t="shared" si="0"/>
        <v>25.198107637072049</v>
      </c>
      <c r="I11" s="72">
        <v>29.2</v>
      </c>
      <c r="J11" s="65">
        <f>VLOOKUP(C11,Country_Data!C:K,9,FALSE)</f>
        <v>83783942</v>
      </c>
      <c r="K11" s="64">
        <f>(J11/100000)*I11</f>
        <v>24464.911064</v>
      </c>
      <c r="M11" s="63">
        <f t="array" ref="M11">IF(OR(C11=$O$3:$O$21),1,0)</f>
        <v>1</v>
      </c>
    </row>
    <row r="12" spans="2:15" s="63" customFormat="1" ht="13.8" customHeight="1" x14ac:dyDescent="0.3">
      <c r="B12" s="70">
        <f>B11+1</f>
        <v>10</v>
      </c>
      <c r="C12" s="66" t="s">
        <v>78</v>
      </c>
      <c r="D12" s="65">
        <f>VLOOKUP(C12,Country_Data!B:F,5,FALSE)</f>
        <v>1646</v>
      </c>
      <c r="E12" s="65">
        <f>D12*Projections_Data!$C$14</f>
        <v>7.4775695627484389</v>
      </c>
      <c r="F12" s="118">
        <f>IFERROR(VLOOKUP(C12,Days_Since_100!C:G,5,FALSE)-1,0)</f>
        <v>0.26706781329437068</v>
      </c>
      <c r="H12" s="73">
        <f t="shared" si="0"/>
        <v>23.533565053410339</v>
      </c>
      <c r="I12" s="72">
        <v>21.8</v>
      </c>
      <c r="J12" s="65">
        <f>VLOOKUP(C12,Country_Data!C:K,9,FALSE)</f>
        <v>9006398</v>
      </c>
      <c r="K12" s="64">
        <f>(J12/100000)*I12</f>
        <v>1963.3947640000001</v>
      </c>
      <c r="M12" s="63">
        <f t="array" ref="M12">IF(OR(C12=$O$3:$O$21),1,0)</f>
        <v>0</v>
      </c>
    </row>
    <row r="13" spans="2:15" s="63" customFormat="1" ht="13.8" customHeight="1" x14ac:dyDescent="0.3">
      <c r="B13" s="70">
        <f>B12+1</f>
        <v>11</v>
      </c>
      <c r="C13" s="66" t="s">
        <v>137</v>
      </c>
      <c r="D13" s="65">
        <f>VLOOKUP(C13,Country_Data!B:F,5,FALSE)</f>
        <v>251</v>
      </c>
      <c r="E13" s="65">
        <f>D13*Projections_Data!$C$14</f>
        <v>1.1402612152186258</v>
      </c>
      <c r="F13" s="118">
        <f>IFERROR(VLOOKUP(C13,Days_Since_100!C:G,5,FALSE)-1,0)</f>
        <v>0.24942192922171325</v>
      </c>
      <c r="H13" s="73">
        <f t="shared" si="0"/>
        <v>34.74203455592427</v>
      </c>
      <c r="I13" s="72">
        <v>6.9</v>
      </c>
      <c r="J13" s="65">
        <f>VLOOKUP(C13,Country_Data!C:K,9,FALSE)</f>
        <v>37846611</v>
      </c>
      <c r="K13" s="64">
        <f>(J13/100000)*I13</f>
        <v>2611.4161590000003</v>
      </c>
      <c r="M13" s="63">
        <f t="array" ref="M13">IF(OR(C13=$O$3:$O$21),1,0)</f>
        <v>0</v>
      </c>
    </row>
    <row r="14" spans="2:15" s="63" customFormat="1" ht="13.8" customHeight="1" x14ac:dyDescent="0.3">
      <c r="B14" s="70">
        <f>B13+1</f>
        <v>12</v>
      </c>
      <c r="C14" s="66" t="s">
        <v>107</v>
      </c>
      <c r="D14" s="65">
        <f>VLOOKUP(C14,Country_Data!B:F,5,FALSE)</f>
        <v>227</v>
      </c>
      <c r="E14" s="65">
        <f>D14*Projections_Data!$C$14</f>
        <v>1.0312322544009085</v>
      </c>
      <c r="F14" s="118">
        <f>IFERROR(VLOOKUP(C14,Days_Since_100!C:G,5,FALSE)-1,0)</f>
        <v>0.2472303349333298</v>
      </c>
      <c r="H14" s="73" t="str">
        <f t="shared" si="0"/>
        <v/>
      </c>
      <c r="I14" s="72"/>
      <c r="J14" s="65">
        <f>VLOOKUP(C14,Country_Data!C:K,9,FALSE)</f>
        <v>273523615</v>
      </c>
      <c r="K14" s="64">
        <f>(J14/100000)*I14</f>
        <v>0</v>
      </c>
      <c r="M14" s="63">
        <f t="array" ref="M14">IF(OR(C14=$O$3:$O$21),1,0)</f>
        <v>0</v>
      </c>
    </row>
    <row r="15" spans="2:15" s="63" customFormat="1" ht="13.8" customHeight="1" x14ac:dyDescent="0.3">
      <c r="B15" s="70">
        <f>B14+1</f>
        <v>13</v>
      </c>
      <c r="C15" s="66" t="s">
        <v>160</v>
      </c>
      <c r="D15" s="65">
        <f>VLOOKUP(C15,Country_Data!B:F,5,FALSE)</f>
        <v>145</v>
      </c>
      <c r="E15" s="65">
        <f>D15*Projections_Data!$C$14</f>
        <v>0.65871663827370808</v>
      </c>
      <c r="F15" s="118">
        <f>IFERROR(VLOOKUP(C15,Days_Since_100!C:G,5,FALSE)-1,0)</f>
        <v>0.23931623931623935</v>
      </c>
      <c r="H15" s="73" t="str">
        <f t="shared" si="0"/>
        <v/>
      </c>
      <c r="I15" s="72"/>
      <c r="J15" s="65">
        <f>VLOOKUP(C15,Country_Data!C:K,9,FALSE)</f>
        <v>32971854</v>
      </c>
      <c r="K15" s="64">
        <f>(J15/100000)*I15</f>
        <v>0</v>
      </c>
      <c r="M15" s="63">
        <f t="array" ref="M15">IF(OR(C15=$O$3:$O$21),1,0)</f>
        <v>0</v>
      </c>
    </row>
    <row r="16" spans="2:15" s="63" customFormat="1" ht="13.8" customHeight="1" x14ac:dyDescent="0.3">
      <c r="B16" s="70">
        <f>B15+1</f>
        <v>14</v>
      </c>
      <c r="C16" s="66" t="s">
        <v>124</v>
      </c>
      <c r="D16" s="65">
        <f>VLOOKUP(C16,Country_Data!B:F,5,FALSE)</f>
        <v>238</v>
      </c>
      <c r="E16" s="65">
        <f>D16*Projections_Data!$C$14</f>
        <v>1.0812038614423622</v>
      </c>
      <c r="F16" s="118">
        <f>IFERROR(VLOOKUP(C16,Days_Since_100!C:G,5,FALSE)-1,0)</f>
        <v>0.23914642838033551</v>
      </c>
      <c r="H16" s="73">
        <f t="shared" si="0"/>
        <v>33.742428556467054</v>
      </c>
      <c r="I16" s="72"/>
      <c r="J16" s="65">
        <f>VLOOKUP(C16,Country_Data!C:K,9,FALSE)</f>
        <v>19116201</v>
      </c>
      <c r="K16" s="64">
        <v>1500</v>
      </c>
      <c r="M16" s="63">
        <f t="array" ref="M16">IF(OR(C16=$O$3:$O$21),1,0)</f>
        <v>0</v>
      </c>
    </row>
    <row r="17" spans="2:13" s="63" customFormat="1" ht="13.8" customHeight="1" x14ac:dyDescent="0.3">
      <c r="B17" s="70">
        <f>B16+1</f>
        <v>15</v>
      </c>
      <c r="C17" s="66" t="s">
        <v>349</v>
      </c>
      <c r="D17" s="65">
        <f>VLOOKUP(C17,Country_Data!B:F,5,FALSE)</f>
        <v>2642</v>
      </c>
      <c r="E17" s="65">
        <f>D17*Projections_Data!$C$14</f>
        <v>12.002271436683703</v>
      </c>
      <c r="F17" s="118">
        <f>IFERROR(VLOOKUP(C17,Days_Since_100!C:G,5,FALSE)-1,0)</f>
        <v>0.23366652136662935</v>
      </c>
      <c r="H17" s="73">
        <f t="shared" si="0"/>
        <v>28.203107611507484</v>
      </c>
      <c r="I17" s="72">
        <v>6.6</v>
      </c>
      <c r="J17" s="65">
        <f>VLOOKUP(C17,Country_Data!C:K,9,FALSE)</f>
        <v>67886011</v>
      </c>
      <c r="K17" s="64">
        <f>(J17/100000)*I17</f>
        <v>4480.4767259999999</v>
      </c>
      <c r="M17" s="63">
        <f t="array" ref="M17">IF(OR(C17=$O$3:$O$21),1,0)</f>
        <v>1</v>
      </c>
    </row>
    <row r="18" spans="2:13" s="63" customFormat="1" ht="13.8" customHeight="1" x14ac:dyDescent="0.3">
      <c r="B18" s="70">
        <f>B17+1</f>
        <v>16</v>
      </c>
      <c r="C18" s="66" t="s">
        <v>48</v>
      </c>
      <c r="D18" s="65">
        <f>VLOOKUP(C18,Country_Data!B:F,5,FALSE)</f>
        <v>568</v>
      </c>
      <c r="E18" s="65">
        <f>D18*Projections_Data!$C$14</f>
        <v>2.5803520726859741</v>
      </c>
      <c r="F18" s="118">
        <f>IFERROR(VLOOKUP(C18,Days_Since_100!C:G,5,FALSE)-1,0)</f>
        <v>0.23215024579899946</v>
      </c>
      <c r="H18" s="73" t="str">
        <f t="shared" si="0"/>
        <v/>
      </c>
      <c r="I18" s="72"/>
      <c r="J18" s="65">
        <f>VLOOKUP(C18,Country_Data!C:K,9,FALSE)</f>
        <v>25499884</v>
      </c>
      <c r="K18" s="64">
        <f>(J18/100000)*I18</f>
        <v>0</v>
      </c>
      <c r="M18" s="63">
        <f t="array" ref="M18">IF(OR(C18=$O$3:$O$21),1,0)</f>
        <v>0</v>
      </c>
    </row>
    <row r="19" spans="2:13" s="63" customFormat="1" ht="13.8" customHeight="1" x14ac:dyDescent="0.3">
      <c r="B19" s="70">
        <f>B18+1</f>
        <v>17</v>
      </c>
      <c r="C19" s="66" t="s">
        <v>35</v>
      </c>
      <c r="D19" s="65">
        <f>VLOOKUP(C19,Country_Data!B:F,5,FALSE)</f>
        <v>212</v>
      </c>
      <c r="E19" s="65">
        <f>D19*Projections_Data!$C$14</f>
        <v>0.96308915388983529</v>
      </c>
      <c r="F19" s="118">
        <f>IFERROR(VLOOKUP(C19,Days_Since_100!C:G,5,FALSE)-1,0)</f>
        <v>0.22973160971716822</v>
      </c>
      <c r="H19" s="73" t="str">
        <f t="shared" si="0"/>
        <v/>
      </c>
      <c r="I19" s="72"/>
      <c r="J19" s="65">
        <f>VLOOKUP(C19,Country_Data!C:K,9,FALSE)</f>
        <v>69799978</v>
      </c>
      <c r="K19" s="64">
        <f>(J19/100000)*I19</f>
        <v>0</v>
      </c>
      <c r="M19" s="63">
        <f t="array" ref="M19">IF(OR(C19=$O$3:$O$21),1,0)</f>
        <v>0</v>
      </c>
    </row>
    <row r="20" spans="2:13" s="63" customFormat="1" ht="13.8" customHeight="1" x14ac:dyDescent="0.3">
      <c r="B20" s="70">
        <f>B19+1</f>
        <v>18</v>
      </c>
      <c r="C20" s="66" t="s">
        <v>60</v>
      </c>
      <c r="D20" s="65">
        <f>VLOOKUP(C20,Country_Data!B:F,5,FALSE)</f>
        <v>13910</v>
      </c>
      <c r="E20" s="65">
        <f>D20*Projections_Data!$C$14</f>
        <v>63.191368540601928</v>
      </c>
      <c r="F20" s="118">
        <f>IFERROR(VLOOKUP(C20,Days_Since_100!C:G,5,FALSE)-1,0)</f>
        <v>0.22959477910668946</v>
      </c>
      <c r="H20" s="73">
        <f t="shared" si="0"/>
        <v>20.676229986124838</v>
      </c>
      <c r="I20" s="72">
        <v>9.6999999999999993</v>
      </c>
      <c r="J20" s="65">
        <f>VLOOKUP(C20,Country_Data!C:K,9,FALSE)</f>
        <v>46754778</v>
      </c>
      <c r="K20" s="64">
        <f>(J20/100000)*I20</f>
        <v>4535.2134659999992</v>
      </c>
      <c r="M20" s="63">
        <f t="array" ref="M20">IF(OR(C20=$O$3:$O$21),1,0)</f>
        <v>1</v>
      </c>
    </row>
    <row r="21" spans="2:13" s="63" customFormat="1" ht="13.8" customHeight="1" x14ac:dyDescent="0.3">
      <c r="B21" s="70">
        <f>B20+1</f>
        <v>19</v>
      </c>
      <c r="C21" s="66" t="s">
        <v>88</v>
      </c>
      <c r="D21" s="65">
        <f>VLOOKUP(C21,Country_Data!B:F,5,FALSE)</f>
        <v>258</v>
      </c>
      <c r="E21" s="65">
        <f>D21*Projections_Data!$C$14</f>
        <v>1.17206132879046</v>
      </c>
      <c r="F21" s="118">
        <f>IFERROR(VLOOKUP(C21,Days_Since_100!C:G,5,FALSE)-1,0)</f>
        <v>0.22385640880375668</v>
      </c>
      <c r="H21" s="73">
        <f t="shared" si="0"/>
        <v>25.283363042285465</v>
      </c>
      <c r="I21" s="72">
        <v>14.6</v>
      </c>
      <c r="J21" s="65">
        <f>VLOOKUP(C21,Country_Data!C:K,9,FALSE)</f>
        <v>1326535</v>
      </c>
      <c r="K21" s="64">
        <f>(J21/100000)*I21</f>
        <v>193.67410999999998</v>
      </c>
      <c r="M21" s="63">
        <f t="array" ref="M21">IF(OR(C21=$O$3:$O$21),1,0)</f>
        <v>0</v>
      </c>
    </row>
    <row r="22" spans="2:13" s="63" customFormat="1" ht="13.8" customHeight="1" x14ac:dyDescent="0.3">
      <c r="B22" s="70">
        <f>B21+1</f>
        <v>20</v>
      </c>
      <c r="C22" s="66" t="s">
        <v>79</v>
      </c>
      <c r="D22" s="65">
        <f>VLOOKUP(C22,Country_Data!B:F,5,FALSE)</f>
        <v>433</v>
      </c>
      <c r="E22" s="65">
        <f>D22*Projections_Data!$C$14</f>
        <v>1.9670641680863146</v>
      </c>
      <c r="F22" s="118">
        <f>IFERROR(VLOOKUP(C22,Days_Since_100!C:G,5,FALSE)-1,0)</f>
        <v>0.21879988357314639</v>
      </c>
      <c r="H22" s="73" t="str">
        <f t="shared" si="0"/>
        <v/>
      </c>
      <c r="I22" s="72"/>
      <c r="J22" s="65">
        <f>VLOOKUP(C22,Country_Data!C:K,9,FALSE)</f>
        <v>8655535</v>
      </c>
      <c r="K22" s="64">
        <f>(J22/100000)*I22</f>
        <v>0</v>
      </c>
      <c r="M22" s="63">
        <f t="array" ref="M22">IF(OR(C22=$O$3:$O$21),1,0)</f>
        <v>0</v>
      </c>
    </row>
    <row r="23" spans="2:13" s="63" customFormat="1" ht="13.8" customHeight="1" x14ac:dyDescent="0.3">
      <c r="B23" s="70">
        <f>B22+1</f>
        <v>21</v>
      </c>
      <c r="C23" s="66" t="s">
        <v>77</v>
      </c>
      <c r="D23" s="65">
        <f>VLOOKUP(C23,Country_Data!B:F,5,FALSE)</f>
        <v>3028</v>
      </c>
      <c r="E23" s="65">
        <f>D23*Projections_Data!$C$14</f>
        <v>13.755820556501988</v>
      </c>
      <c r="F23" s="118">
        <f>IFERROR(VLOOKUP(C23,Days_Since_100!C:G,5,FALSE)-1,0)</f>
        <v>0.21597999292510828</v>
      </c>
      <c r="H23" s="73">
        <f t="shared" si="0"/>
        <v>21.667628107496427</v>
      </c>
      <c r="I23" s="72">
        <v>11</v>
      </c>
      <c r="J23" s="65">
        <f>VLOOKUP(C23,Country_Data!C:K,9,FALSE)</f>
        <v>8654622</v>
      </c>
      <c r="K23" s="64">
        <f>(J23/100000)*I23</f>
        <v>952.00842000000011</v>
      </c>
      <c r="M23" s="63">
        <f t="array" ref="M23">IF(OR(C23=$O$3:$O$21),1,0)</f>
        <v>0</v>
      </c>
    </row>
    <row r="24" spans="2:13" s="63" customFormat="1" ht="13.8" customHeight="1" x14ac:dyDescent="0.3">
      <c r="B24" s="70">
        <f>B23+1</f>
        <v>22</v>
      </c>
      <c r="C24" s="66" t="s">
        <v>63</v>
      </c>
      <c r="D24" s="65">
        <f>VLOOKUP(C24,Country_Data!B:F,5,FALSE)</f>
        <v>1486</v>
      </c>
      <c r="E24" s="65">
        <f>D24*Projections_Data!$C$14</f>
        <v>6.7507098239636569</v>
      </c>
      <c r="F24" s="118">
        <f>IFERROR(VLOOKUP(C24,Days_Since_100!C:G,5,FALSE)-1,0)</f>
        <v>0.21596591220453965</v>
      </c>
      <c r="H24" s="73">
        <f t="shared" si="0"/>
        <v>28.686726596963375</v>
      </c>
      <c r="I24" s="72">
        <v>15.9</v>
      </c>
      <c r="J24" s="65">
        <f>VLOOKUP(C24,Country_Data!C:K,9,FALSE)</f>
        <v>11589623</v>
      </c>
      <c r="K24" s="64">
        <f>(J24/100000)*I24</f>
        <v>1842.7500570000002</v>
      </c>
      <c r="M24" s="63">
        <f t="array" ref="M24">IF(OR(C24=$O$3:$O$21),1,0)</f>
        <v>0</v>
      </c>
    </row>
    <row r="25" spans="2:13" s="63" customFormat="1" ht="13.8" customHeight="1" x14ac:dyDescent="0.3">
      <c r="B25" s="70">
        <f>B24+1</f>
        <v>23</v>
      </c>
      <c r="C25" s="66" t="s">
        <v>89</v>
      </c>
      <c r="D25" s="65">
        <f>VLOOKUP(C25,Country_Data!B:F,5,FALSE)</f>
        <v>2058</v>
      </c>
      <c r="E25" s="65">
        <f>D25*Projections_Data!$C$14</f>
        <v>9.3492333901192506</v>
      </c>
      <c r="F25" s="118">
        <f>IFERROR(VLOOKUP(C25,Days_Since_100!C:G,5,FALSE)-1,0)</f>
        <v>0.20656856682352198</v>
      </c>
      <c r="H25" s="73" t="str">
        <f t="shared" si="0"/>
        <v/>
      </c>
      <c r="I25" s="72"/>
      <c r="J25" s="65">
        <f>VLOOKUP(C25,Country_Data!C:K,9,FALSE)</f>
        <v>17134872</v>
      </c>
      <c r="K25" s="64">
        <f>(J25/100000)*I25</f>
        <v>0</v>
      </c>
      <c r="M25" s="63">
        <f t="array" ref="M25">IF(OR(C25=$O$3:$O$21),1,0)</f>
        <v>0</v>
      </c>
    </row>
    <row r="26" spans="2:13" s="63" customFormat="1" ht="13.8" customHeight="1" x14ac:dyDescent="0.3">
      <c r="B26" s="70">
        <f>B25+1</f>
        <v>24</v>
      </c>
      <c r="C26" s="66" t="s">
        <v>86</v>
      </c>
      <c r="D26" s="65">
        <f>VLOOKUP(C26,Country_Data!B:F,5,FALSE)</f>
        <v>260</v>
      </c>
      <c r="E26" s="65">
        <f>D26*Projections_Data!$C$14</f>
        <v>1.1811470755252698</v>
      </c>
      <c r="F26" s="118">
        <f>IFERROR(VLOOKUP(C26,Days_Since_100!C:G,5,FALSE)-1,0)</f>
        <v>0.20577717663779227</v>
      </c>
      <c r="H26" s="73">
        <f t="shared" si="0"/>
        <v>43.587928206982241</v>
      </c>
      <c r="I26" s="72">
        <v>21.4</v>
      </c>
      <c r="J26" s="65">
        <f>VLOOKUP(C26,Country_Data!C:K,9,FALSE)</f>
        <v>19237691</v>
      </c>
      <c r="K26" s="64">
        <f>(J26/100000)*I26</f>
        <v>4116.8658740000001</v>
      </c>
      <c r="M26" s="63">
        <f t="array" ref="M26">IF(OR(C26=$O$3:$O$21),1,0)</f>
        <v>0</v>
      </c>
    </row>
    <row r="27" spans="2:13" s="63" customFormat="1" ht="13.8" customHeight="1" x14ac:dyDescent="0.3">
      <c r="B27" s="70">
        <f>B26+1</f>
        <v>25</v>
      </c>
      <c r="C27" s="66" t="s">
        <v>81</v>
      </c>
      <c r="D27" s="65">
        <f>VLOOKUP(C27,Country_Data!B:F,5,FALSE)</f>
        <v>372</v>
      </c>
      <c r="E27" s="65">
        <f>D27*Projections_Data!$C$14</f>
        <v>1.6899488926746167</v>
      </c>
      <c r="F27" s="118">
        <f>IFERROR(VLOOKUP(C27,Days_Since_100!C:G,5,FALSE)-1,0)</f>
        <v>0.19760389144987389</v>
      </c>
      <c r="H27" s="73" t="str">
        <f t="shared" si="0"/>
        <v/>
      </c>
      <c r="I27" s="72"/>
      <c r="J27" s="65">
        <f>VLOOKUP(C27,Country_Data!C:K,9,FALSE)</f>
        <v>212559417</v>
      </c>
      <c r="K27" s="64">
        <f>(J27/100000)*I27</f>
        <v>0</v>
      </c>
      <c r="M27" s="63">
        <f t="array" ref="M27">IF(OR(C27=$O$3:$O$21),1,0)</f>
        <v>0</v>
      </c>
    </row>
    <row r="28" spans="2:13" s="63" customFormat="1" ht="13.8" customHeight="1" x14ac:dyDescent="0.3">
      <c r="B28" s="70">
        <f>B27+1</f>
        <v>26</v>
      </c>
      <c r="C28" s="66" t="s">
        <v>41</v>
      </c>
      <c r="D28" s="65">
        <f>VLOOKUP(C28,Country_Data!B:F,5,FALSE)</f>
        <v>9105</v>
      </c>
      <c r="E28" s="65">
        <f>D28*Projections_Data!$C$14</f>
        <v>41.362862010221463</v>
      </c>
      <c r="F28" s="118">
        <f>IFERROR(VLOOKUP(C28,Days_Since_100!C:G,5,FALSE)-1,0)</f>
        <v>0.19632129338185811</v>
      </c>
      <c r="H28" s="73">
        <f t="shared" si="0"/>
        <v>29.064192275503338</v>
      </c>
      <c r="I28" s="72">
        <v>11.6</v>
      </c>
      <c r="J28" s="65">
        <f>VLOOKUP(C28,Country_Data!C:K,9,FALSE)</f>
        <v>65273511</v>
      </c>
      <c r="K28" s="64">
        <f>(J28/100000)*I28</f>
        <v>7571.7272759999996</v>
      </c>
      <c r="M28" s="63">
        <f t="array" ref="M28">IF(OR(C28=$O$3:$O$21),1,0)</f>
        <v>1</v>
      </c>
    </row>
    <row r="29" spans="2:13" s="63" customFormat="1" ht="13.8" customHeight="1" x14ac:dyDescent="0.3">
      <c r="B29" s="70">
        <f>B28+1</f>
        <v>27</v>
      </c>
      <c r="C29" s="66" t="s">
        <v>83</v>
      </c>
      <c r="D29" s="65">
        <f>VLOOKUP(C29,Country_Data!B:F,5,FALSE)</f>
        <v>418</v>
      </c>
      <c r="E29" s="65">
        <f>D29*Projections_Data!$C$14</f>
        <v>1.8989210675752413</v>
      </c>
      <c r="F29" s="118">
        <f>IFERROR(VLOOKUP(C29,Days_Since_100!C:G,5,FALSE)-1,0)</f>
        <v>0.17080491296489231</v>
      </c>
      <c r="H29" s="73">
        <f t="shared" si="0"/>
        <v>36.76215780032323</v>
      </c>
      <c r="I29" s="72">
        <v>6</v>
      </c>
      <c r="J29" s="65">
        <f>VLOOKUP(C29,Country_Data!C:K,9,FALSE)</f>
        <v>10423054</v>
      </c>
      <c r="K29" s="64">
        <f>(J29/100000)*I29</f>
        <v>625.38324</v>
      </c>
      <c r="M29" s="63">
        <f t="array" ref="M29">IF(OR(C29=$O$3:$O$21),1,0)</f>
        <v>0</v>
      </c>
    </row>
    <row r="30" spans="2:13" s="63" customFormat="1" ht="13.8" customHeight="1" x14ac:dyDescent="0.3">
      <c r="B30" s="70">
        <f>B29+1</f>
        <v>28</v>
      </c>
      <c r="C30" s="66" t="s">
        <v>54</v>
      </c>
      <c r="D30" s="65">
        <f>VLOOKUP(C30,Country_Data!B:F,5,FALSE)</f>
        <v>336</v>
      </c>
      <c r="E30" s="65">
        <f>D30*Projections_Data!$C$14</f>
        <v>1.526405451448041</v>
      </c>
      <c r="F30" s="118">
        <f>IFERROR(VLOOKUP(C30,Days_Since_100!C:G,5,FALSE)-1,0)</f>
        <v>0.16735115096036868</v>
      </c>
      <c r="H30" s="73">
        <f t="shared" si="0"/>
        <v>34.898411156508352</v>
      </c>
      <c r="I30" s="72">
        <v>6.1</v>
      </c>
      <c r="J30" s="65">
        <f>VLOOKUP(C30,Country_Data!C:K,9,FALSE)</f>
        <v>5540720</v>
      </c>
      <c r="K30" s="64">
        <f>(J30/100000)*I30</f>
        <v>337.98392000000001</v>
      </c>
      <c r="M30" s="63">
        <f t="array" ref="M30">IF(OR(C30=$O$3:$O$21),1,0)</f>
        <v>0</v>
      </c>
    </row>
    <row r="31" spans="2:13" s="63" customFormat="1" ht="13.8" customHeight="1" x14ac:dyDescent="0.3">
      <c r="B31" s="70">
        <f>B30+1</f>
        <v>29</v>
      </c>
      <c r="C31" s="66" t="s">
        <v>56</v>
      </c>
      <c r="D31" s="65">
        <f>VLOOKUP(C31,Country_Data!B:F,5,FALSE)</f>
        <v>202</v>
      </c>
      <c r="E31" s="65">
        <f>D31*Projections_Data!$C$14</f>
        <v>0.91766042021578653</v>
      </c>
      <c r="F31" s="118">
        <f>IFERROR(VLOOKUP(C31,Days_Since_100!C:G,5,FALSE)-1,0)</f>
        <v>0.16146759552413603</v>
      </c>
      <c r="H31" s="73" t="str">
        <f t="shared" si="0"/>
        <v/>
      </c>
      <c r="I31" s="72"/>
      <c r="J31" s="65">
        <f>VLOOKUP(C31,Country_Data!C:K,9,FALSE)</f>
        <v>109581078</v>
      </c>
      <c r="K31" s="64">
        <f>(J31/100000)*I31</f>
        <v>0</v>
      </c>
      <c r="M31" s="63">
        <f t="array" ref="M31">IF(OR(C31=$O$3:$O$21),1,0)</f>
        <v>0</v>
      </c>
    </row>
    <row r="32" spans="2:13" s="63" customFormat="1" ht="13.8" customHeight="1" x14ac:dyDescent="0.3">
      <c r="B32" s="70">
        <f>B31+1</f>
        <v>30</v>
      </c>
      <c r="C32" s="66" t="s">
        <v>65</v>
      </c>
      <c r="D32" s="65">
        <f>VLOOKUP(C32,Country_Data!B:F,5,FALSE)</f>
        <v>196</v>
      </c>
      <c r="E32" s="65">
        <f>D32*Projections_Data!$C$14</f>
        <v>0.89040318001135721</v>
      </c>
      <c r="F32" s="118">
        <f>IFERROR(VLOOKUP(C32,Days_Since_100!C:G,5,FALSE)-1,0)</f>
        <v>0.15799689088944113</v>
      </c>
      <c r="H32" s="73" t="str">
        <f t="shared" si="0"/>
        <v/>
      </c>
      <c r="I32" s="72"/>
      <c r="J32" s="65">
        <f>VLOOKUP(C32,Country_Data!C:K,9,FALSE)</f>
        <v>102334404</v>
      </c>
      <c r="K32" s="64">
        <f>(J32/100000)*I32</f>
        <v>0</v>
      </c>
      <c r="M32" s="63">
        <f t="array" ref="M32">IF(OR(C32=$O$3:$O$21),1,0)</f>
        <v>0</v>
      </c>
    </row>
    <row r="33" spans="2:13" s="63" customFormat="1" ht="13.8" customHeight="1" x14ac:dyDescent="0.3">
      <c r="B33" s="70">
        <f>B32+1</f>
        <v>31</v>
      </c>
      <c r="C33" s="66" t="s">
        <v>141</v>
      </c>
      <c r="D33" s="65">
        <f>VLOOKUP(C33,Country_Data!B:F,5,FALSE)</f>
        <v>275</v>
      </c>
      <c r="E33" s="65">
        <f>D33*Projections_Data!$C$14</f>
        <v>1.2492901760363431</v>
      </c>
      <c r="F33" s="118">
        <f>IFERROR(VLOOKUP(C33,Days_Since_100!C:G,5,FALSE)-1,0)</f>
        <v>0.1429381158205667</v>
      </c>
      <c r="H33" s="73">
        <f t="shared" si="0"/>
        <v>34.940766621715028</v>
      </c>
      <c r="I33" s="72">
        <v>6.4</v>
      </c>
      <c r="J33" s="65">
        <f>VLOOKUP(C33,Country_Data!C:K,9,FALSE)</f>
        <v>2078938</v>
      </c>
      <c r="K33" s="64">
        <f>(J33/100000)*I33</f>
        <v>133.05203200000003</v>
      </c>
      <c r="M33" s="63">
        <f t="array" ref="M33">IF(OR(C33=$O$3:$O$21),1,0)</f>
        <v>0</v>
      </c>
    </row>
    <row r="34" spans="2:13" s="63" customFormat="1" ht="13.8" customHeight="1" x14ac:dyDescent="0.3">
      <c r="B34" s="70">
        <f>B33+1</f>
        <v>32</v>
      </c>
      <c r="C34" s="66" t="s">
        <v>58</v>
      </c>
      <c r="D34" s="65">
        <f>VLOOKUP(C34,Country_Data!B:F,5,FALSE)</f>
        <v>35713</v>
      </c>
      <c r="E34" s="65">
        <f>D34*Projections_Data!$C$14</f>
        <v>162.23963657013061</v>
      </c>
      <c r="F34" s="118">
        <f>IFERROR(VLOOKUP(C34,Days_Since_100!C:G,5,FALSE)-1,0)</f>
        <v>0.14166863623747172</v>
      </c>
      <c r="H34" s="73">
        <f t="shared" si="0"/>
        <v>28.992566353261815</v>
      </c>
      <c r="I34" s="72">
        <v>12.5</v>
      </c>
      <c r="J34" s="65">
        <f>VLOOKUP(C34,Country_Data!C:K,9,FALSE)</f>
        <v>60461826</v>
      </c>
      <c r="K34" s="64">
        <f>(J34/100000)*I34</f>
        <v>7557.7282499999992</v>
      </c>
      <c r="M34" s="63">
        <f t="array" ref="M34">IF(OR(C34=$O$3:$O$21),1,0)</f>
        <v>1</v>
      </c>
    </row>
    <row r="35" spans="2:13" s="63" customFormat="1" ht="13.8" customHeight="1" x14ac:dyDescent="0.3">
      <c r="B35" s="70">
        <f>B34+1</f>
        <v>33</v>
      </c>
      <c r="C35" s="66" t="s">
        <v>113</v>
      </c>
      <c r="D35" s="65">
        <f>VLOOKUP(C35,Country_Data!B:F,5,FALSE)</f>
        <v>171</v>
      </c>
      <c r="E35" s="65">
        <f>D35*Projections_Data!$C$14</f>
        <v>0.77683134582623514</v>
      </c>
      <c r="F35" s="118">
        <f>IFERROR(VLOOKUP(C35,Days_Since_100!C:G,5,FALSE)-1,0)</f>
        <v>0.13511463072634622</v>
      </c>
      <c r="H35" s="73" t="str">
        <f t="shared" si="0"/>
        <v/>
      </c>
      <c r="I35" s="72"/>
      <c r="J35" s="65">
        <f>VLOOKUP(C35,Country_Data!C:K,9,FALSE)</f>
        <v>34813871</v>
      </c>
      <c r="K35" s="64">
        <f>(J35/100000)*I35</f>
        <v>0</v>
      </c>
      <c r="M35" s="63">
        <f t="array" ref="M35">IF(OR(C35=$O$3:$O$21),1,0)</f>
        <v>0</v>
      </c>
    </row>
    <row r="36" spans="2:13" s="63" customFormat="1" ht="13.8" customHeight="1" x14ac:dyDescent="0.3">
      <c r="B36" s="70">
        <f>B35+1</f>
        <v>34</v>
      </c>
      <c r="C36" s="66" t="s">
        <v>92</v>
      </c>
      <c r="D36" s="65">
        <f>VLOOKUP(C36,Country_Data!B:F,5,FALSE)</f>
        <v>250</v>
      </c>
      <c r="E36" s="65">
        <f>D36*Projections_Data!$C$14</f>
        <v>1.1357183418512209</v>
      </c>
      <c r="F36" s="118">
        <f>IFERROR(VLOOKUP(C36,Days_Since_100!C:G,5,FALSE)-1,0)</f>
        <v>0.13283600053118061</v>
      </c>
      <c r="H36" s="73" t="str">
        <f t="shared" si="0"/>
        <v/>
      </c>
      <c r="I36" s="72"/>
      <c r="J36" s="65">
        <f>VLOOKUP(C36,Country_Data!C:K,9,FALSE)</f>
        <v>341243</v>
      </c>
      <c r="K36" s="64">
        <f>(J36/100000)*I36</f>
        <v>0</v>
      </c>
      <c r="M36" s="63">
        <f t="array" ref="M36">IF(OR(C36=$O$3:$O$21),1,0)</f>
        <v>0</v>
      </c>
    </row>
    <row r="37" spans="2:13" s="63" customFormat="1" ht="13.8" customHeight="1" x14ac:dyDescent="0.2">
      <c r="B37" s="70">
        <f>B36+1</f>
        <v>35</v>
      </c>
      <c r="C37" s="66" t="s">
        <v>92</v>
      </c>
      <c r="D37" s="65">
        <f>VLOOKUP(C37,Country_Data!B:F,5,FALSE)</f>
        <v>250</v>
      </c>
      <c r="E37" s="65">
        <f>D37*Projections_Data!$C$14</f>
        <v>1.1357183418512209</v>
      </c>
      <c r="F37" s="118">
        <f>IFERROR(VLOOKUP(C37,Days_Since_100!C:G,5,FALSE)-1,0)</f>
        <v>0.13283600053118061</v>
      </c>
      <c r="G37" s="62"/>
      <c r="H37" s="73" t="str">
        <f t="shared" si="0"/>
        <v/>
      </c>
      <c r="I37" s="72">
        <v>9.1</v>
      </c>
      <c r="J37" s="65">
        <f>VLOOKUP(C37,Country_Data!C:K,9,FALSE)</f>
        <v>341243</v>
      </c>
      <c r="K37" s="64"/>
      <c r="M37" s="63">
        <f t="array" ref="M37">IF(OR(C37=$O$3:$O$21),1,0)</f>
        <v>0</v>
      </c>
    </row>
    <row r="38" spans="2:13" s="63" customFormat="1" ht="13.8" customHeight="1" x14ac:dyDescent="0.3">
      <c r="B38" s="70">
        <f>B37+1</f>
        <v>36</v>
      </c>
      <c r="C38" s="66" t="s">
        <v>57</v>
      </c>
      <c r="D38" s="65">
        <f>VLOOKUP(C38,Country_Data!B:F,5,FALSE)</f>
        <v>156</v>
      </c>
      <c r="E38" s="65">
        <f>D38*Projections_Data!$C$14</f>
        <v>0.70868824531516184</v>
      </c>
      <c r="F38" s="118">
        <f>IFERROR(VLOOKUP(C38,Days_Since_100!C:G,5,FALSE)-1,0)</f>
        <v>0.11206739220322648</v>
      </c>
      <c r="H38" s="73">
        <f t="shared" si="0"/>
        <v>100.82465847829154</v>
      </c>
      <c r="I38" s="72">
        <v>2.2999999999999998</v>
      </c>
      <c r="J38" s="65">
        <f>VLOOKUP(C38,Country_Data!C:K,9,FALSE)</f>
        <v>1380004385</v>
      </c>
      <c r="K38" s="64">
        <f>(J38/100000)*I38</f>
        <v>31740.100854999997</v>
      </c>
      <c r="M38" s="63">
        <f t="array" ref="M38">IF(OR(C38=$O$3:$O$21),1,0)</f>
        <v>0</v>
      </c>
    </row>
    <row r="39" spans="2:13" s="63" customFormat="1" ht="13.8" customHeight="1" x14ac:dyDescent="0.3">
      <c r="B39" s="70">
        <f>B38+1</f>
        <v>37</v>
      </c>
      <c r="C39" s="66" t="s">
        <v>70</v>
      </c>
      <c r="D39" s="65">
        <f>VLOOKUP(C39,Country_Data!B:F,5,FALSE)</f>
        <v>164</v>
      </c>
      <c r="E39" s="65">
        <f>D39*Projections_Data!$C$14</f>
        <v>0.74503123225440093</v>
      </c>
      <c r="F39" s="118">
        <f>IFERROR(VLOOKUP(C39,Days_Since_100!C:G,5,FALSE)-1,0)</f>
        <v>0.10180438091988142</v>
      </c>
      <c r="H39" s="73" t="str">
        <f t="shared" si="0"/>
        <v/>
      </c>
      <c r="I39" s="72"/>
      <c r="J39" s="65">
        <f>VLOOKUP(C39,Country_Data!C:K,9,FALSE)</f>
        <v>40222493</v>
      </c>
      <c r="K39" s="64">
        <f>(J39/100000)*I39</f>
        <v>0</v>
      </c>
      <c r="M39" s="63">
        <f t="array" ref="M39">IF(OR(C39=$O$3:$O$21),1,0)</f>
        <v>0</v>
      </c>
    </row>
    <row r="40" spans="2:13" s="63" customFormat="1" ht="13.8" customHeight="1" x14ac:dyDescent="0.3">
      <c r="B40" s="70">
        <f>B39+1</f>
        <v>38</v>
      </c>
      <c r="C40" s="66" t="s">
        <v>59</v>
      </c>
      <c r="D40" s="65">
        <f>VLOOKUP(C40,Country_Data!B:F,5,FALSE)</f>
        <v>1279</v>
      </c>
      <c r="E40" s="65">
        <f>D40*Projections_Data!$C$14</f>
        <v>5.8103350369108462</v>
      </c>
      <c r="F40" s="118">
        <f>IFERROR(VLOOKUP(C40,Days_Since_100!C:G,5,FALSE)-1,0)</f>
        <v>9.4584333526559039E-2</v>
      </c>
      <c r="H40" s="73">
        <f t="shared" si="0"/>
        <v>51.046012682979686</v>
      </c>
      <c r="I40" s="72">
        <v>5.8</v>
      </c>
      <c r="J40" s="65">
        <f>VLOOKUP(C40,Country_Data!C:K,9,FALSE)</f>
        <v>10099265</v>
      </c>
      <c r="K40" s="64">
        <f>(J40/100000)*I40</f>
        <v>585.75736999999992</v>
      </c>
      <c r="M40" s="63">
        <f t="array" ref="M40">IF(OR(C40=$O$3:$O$21),1,0)</f>
        <v>0</v>
      </c>
    </row>
    <row r="41" spans="2:13" s="63" customFormat="1" ht="13.8" customHeight="1" x14ac:dyDescent="0.3">
      <c r="B41" s="70">
        <f>B40+1</f>
        <v>39</v>
      </c>
      <c r="C41" s="66" t="s">
        <v>40</v>
      </c>
      <c r="D41" s="65">
        <f>VLOOKUP(C41,Country_Data!B:F,5,FALSE)</f>
        <v>313</v>
      </c>
      <c r="E41" s="65">
        <f>D41*Projections_Data!$C$14</f>
        <v>1.4219193639977286</v>
      </c>
      <c r="F41" s="118">
        <f>IFERROR(VLOOKUP(C41,Days_Since_100!C:G,5,FALSE)-1,0)</f>
        <v>9.3711726101110449E-2</v>
      </c>
      <c r="H41" s="73" t="str">
        <f t="shared" si="0"/>
        <v/>
      </c>
      <c r="I41" s="72"/>
      <c r="J41" s="65">
        <f>VLOOKUP(C41,Country_Data!C:K,9,FALSE)</f>
        <v>5850342</v>
      </c>
      <c r="K41" s="64">
        <f>(J41/100000)*I41</f>
        <v>0</v>
      </c>
      <c r="M41" s="63">
        <f t="array" ref="M41">IF(OR(C41=$O$3:$O$21),1,0)</f>
        <v>0</v>
      </c>
    </row>
    <row r="42" spans="2:13" s="63" customFormat="1" ht="13.8" customHeight="1" x14ac:dyDescent="0.3">
      <c r="B42" s="70">
        <f>B41+1</f>
        <v>40</v>
      </c>
      <c r="C42" s="66" t="s">
        <v>85</v>
      </c>
      <c r="D42" s="65">
        <f>VLOOKUP(C42,Country_Data!B:F,5,FALSE)</f>
        <v>1550</v>
      </c>
      <c r="E42" s="65">
        <f>D42*Projections_Data!$C$14</f>
        <v>7.0414537194775697</v>
      </c>
      <c r="F42" s="118">
        <f>IFERROR(VLOOKUP(C42,Days_Since_100!C:G,5,FALSE)-1,0)</f>
        <v>9.2482457298204368E-2</v>
      </c>
      <c r="H42" s="73">
        <f t="shared" si="0"/>
        <v>46.584692725368292</v>
      </c>
      <c r="I42" s="72">
        <v>8</v>
      </c>
      <c r="J42" s="65">
        <f>VLOOKUP(C42,Country_Data!C:K,9,FALSE)</f>
        <v>5421241</v>
      </c>
      <c r="K42" s="64">
        <f>(J42/100000)*I42</f>
        <v>433.69927999999999</v>
      </c>
      <c r="M42" s="63">
        <f t="array" ref="M42">IF(OR(C42=$O$3:$O$21),1,0)</f>
        <v>0</v>
      </c>
    </row>
    <row r="43" spans="2:13" s="63" customFormat="1" ht="13.8" customHeight="1" x14ac:dyDescent="0.3">
      <c r="B43" s="70">
        <f>B42+1</f>
        <v>41</v>
      </c>
      <c r="C43" s="66" t="s">
        <v>74</v>
      </c>
      <c r="D43" s="65">
        <f>VLOOKUP(C43,Country_Data!B:F,5,FALSE)</f>
        <v>142</v>
      </c>
      <c r="E43" s="65">
        <f>D43*Projections_Data!$C$14</f>
        <v>0.64508801817149353</v>
      </c>
      <c r="F43" s="118">
        <f>IFERROR(VLOOKUP(C43,Days_Since_100!C:G,5,FALSE)-1,0)</f>
        <v>8.0970273944211746E-2</v>
      </c>
      <c r="H43" s="73" t="str">
        <f t="shared" si="0"/>
        <v/>
      </c>
      <c r="I43" s="72"/>
      <c r="J43" s="65">
        <f>VLOOKUP(C43,Country_Data!C:K,9,FALSE)</f>
        <v>4270571</v>
      </c>
      <c r="K43" s="64">
        <f>(J43/100000)*I43</f>
        <v>0</v>
      </c>
      <c r="M43" s="63">
        <f t="array" ref="M43">IF(OR(C43=$O$3:$O$21),1,0)</f>
        <v>0</v>
      </c>
    </row>
    <row r="44" spans="2:13" s="63" customFormat="1" ht="13.8" customHeight="1" x14ac:dyDescent="0.3">
      <c r="B44" s="70">
        <f>B43+1</f>
        <v>42</v>
      </c>
      <c r="C44" s="66" t="s">
        <v>338</v>
      </c>
      <c r="D44" s="65">
        <f>VLOOKUP(C44,Country_Data!B:F,5,FALSE)</f>
        <v>17361</v>
      </c>
      <c r="E44" s="65">
        <f>D44*Projections_Data!$C$14</f>
        <v>78.868824531516182</v>
      </c>
      <c r="F44" s="118">
        <f>IFERROR(VLOOKUP(C44,Days_Since_100!C:G,5,FALSE)-1,0)</f>
        <v>7.655877485529472E-2</v>
      </c>
      <c r="H44" s="73" t="str">
        <f t="shared" si="0"/>
        <v/>
      </c>
      <c r="I44" s="72"/>
      <c r="J44" s="65">
        <f>VLOOKUP(C44,Country_Data!C:K,9,FALSE)</f>
        <v>83992949</v>
      </c>
      <c r="K44" s="64">
        <f>(J44/100000)*I44</f>
        <v>0</v>
      </c>
      <c r="M44" s="63">
        <f t="array" ref="M44">IF(OR(C44=$O$3:$O$21),1,0)</f>
        <v>0</v>
      </c>
    </row>
    <row r="45" spans="2:13" s="63" customFormat="1" ht="13.8" customHeight="1" x14ac:dyDescent="0.3">
      <c r="B45" s="70">
        <f>B44+1</f>
        <v>43</v>
      </c>
      <c r="C45" s="66" t="s">
        <v>101</v>
      </c>
      <c r="D45" s="65">
        <f>VLOOKUP(C45,Country_Data!B:F,5,FALSE)</f>
        <v>452</v>
      </c>
      <c r="E45" s="65">
        <f>D45*Projections_Data!$C$14</f>
        <v>2.0533787620670072</v>
      </c>
      <c r="F45" s="118">
        <f>IFERROR(VLOOKUP(C45,Days_Since_100!C:G,5,FALSE)-1,0)</f>
        <v>7.1513609075268603E-2</v>
      </c>
      <c r="H45" s="73" t="str">
        <f t="shared" si="0"/>
        <v/>
      </c>
      <c r="I45" s="72"/>
      <c r="J45" s="65">
        <f>VLOOKUP(C45,Country_Data!C:K,9,FALSE)</f>
        <v>2881053</v>
      </c>
      <c r="K45" s="64">
        <f>(J45/100000)*I45</f>
        <v>0</v>
      </c>
      <c r="M45" s="63">
        <f t="array" ref="M45">IF(OR(C45=$O$3:$O$21),1,0)</f>
        <v>0</v>
      </c>
    </row>
    <row r="46" spans="2:13" s="63" customFormat="1" ht="13.8" customHeight="1" x14ac:dyDescent="0.3">
      <c r="B46" s="70">
        <f>B45+1</f>
        <v>44</v>
      </c>
      <c r="C46" s="66" t="s">
        <v>87</v>
      </c>
      <c r="D46" s="65">
        <f>VLOOKUP(C46,Country_Data!B:F,5,FALSE)</f>
        <v>1115</v>
      </c>
      <c r="E46" s="65">
        <f>D46*Projections_Data!$C$14</f>
        <v>5.0653038046564456</v>
      </c>
      <c r="F46" s="118">
        <f>IFERROR(VLOOKUP(C46,Days_Since_100!C:G,5,FALSE)-1,0)</f>
        <v>6.7588197101152492E-2</v>
      </c>
      <c r="H46" s="73">
        <f t="shared" si="0"/>
        <v>66.340257637620468</v>
      </c>
      <c r="I46" s="72">
        <v>6.7</v>
      </c>
      <c r="J46" s="65">
        <f>VLOOKUP(C46,Country_Data!C:K,9,FALSE)</f>
        <v>5792202</v>
      </c>
      <c r="K46" s="64">
        <f>(J46/100000)*I46</f>
        <v>388.07753400000001</v>
      </c>
      <c r="M46" s="63">
        <f t="array" ref="M46">IF(OR(C46=$O$3:$O$21),1,0)</f>
        <v>0</v>
      </c>
    </row>
    <row r="47" spans="2:13" s="63" customFormat="1" ht="13.8" customHeight="1" x14ac:dyDescent="0.3">
      <c r="B47" s="70">
        <f>B46+1</f>
        <v>45</v>
      </c>
      <c r="C47" s="66" t="s">
        <v>67</v>
      </c>
      <c r="D47" s="65">
        <f>VLOOKUP(C47,Country_Data!B:F,5,FALSE)</f>
        <v>133</v>
      </c>
      <c r="E47" s="65">
        <f>D47*Projections_Data!$C$14</f>
        <v>0.60420215786484954</v>
      </c>
      <c r="F47" s="118">
        <f>IFERROR(VLOOKUP(C47,Days_Since_100!C:G,5,FALSE)-1,0)</f>
        <v>6.5335302327394595E-2</v>
      </c>
      <c r="H47" s="73" t="str">
        <f t="shared" si="0"/>
        <v/>
      </c>
      <c r="I47" s="72"/>
      <c r="J47" s="65">
        <f>VLOOKUP(C47,Country_Data!C:K,9,FALSE)</f>
        <v>6825445</v>
      </c>
      <c r="K47" s="64">
        <f>(J47/100000)*I47</f>
        <v>0</v>
      </c>
      <c r="M47" s="63">
        <f t="array" ref="M47">IF(OR(C47=$O$3:$O$21),1,0)</f>
        <v>0</v>
      </c>
    </row>
    <row r="48" spans="2:13" s="63" customFormat="1" ht="13.8" customHeight="1" x14ac:dyDescent="0.3">
      <c r="B48" s="70">
        <f>B47+1</f>
        <v>46</v>
      </c>
      <c r="C48" s="66" t="s">
        <v>73</v>
      </c>
      <c r="D48" s="65">
        <f>VLOOKUP(C48,Country_Data!B:F,5,FALSE)</f>
        <v>256</v>
      </c>
      <c r="E48" s="65">
        <f>D48*Projections_Data!$C$14</f>
        <v>1.1629755820556502</v>
      </c>
      <c r="F48" s="118">
        <f>IFERROR(VLOOKUP(C48,Days_Since_100!C:G,5,FALSE)-1,0)</f>
        <v>6.256530757878509E-2</v>
      </c>
      <c r="H48" s="73" t="str">
        <f t="shared" si="0"/>
        <v/>
      </c>
      <c r="I48" s="72"/>
      <c r="J48" s="65">
        <f>VLOOKUP(C48,Country_Data!C:K,9,FALSE)</f>
        <v>1701575</v>
      </c>
      <c r="K48" s="64">
        <f>(J48/100000)*I48</f>
        <v>0</v>
      </c>
      <c r="M48" s="63">
        <f t="array" ref="M48">IF(OR(C48=$O$3:$O$21),1,0)</f>
        <v>0</v>
      </c>
    </row>
    <row r="49" spans="2:13" s="63" customFormat="1" ht="13.8" customHeight="1" x14ac:dyDescent="0.3">
      <c r="B49" s="70">
        <f>B48+1</f>
        <v>47</v>
      </c>
      <c r="C49" s="66" t="s">
        <v>90</v>
      </c>
      <c r="D49" s="65">
        <f>VLOOKUP(C49,Country_Data!B:F,5,FALSE)</f>
        <v>119</v>
      </c>
      <c r="E49" s="65">
        <f>D49*Projections_Data!$C$14</f>
        <v>0.54060193072118112</v>
      </c>
      <c r="F49" s="118">
        <f>IFERROR(VLOOKUP(C49,Days_Since_100!C:G,5,FALSE)-1,0)</f>
        <v>5.6189540995438936E-2</v>
      </c>
      <c r="H49" s="73" t="str">
        <f t="shared" si="0"/>
        <v/>
      </c>
      <c r="I49" s="72"/>
      <c r="J49" s="65">
        <f>VLOOKUP(C49,Country_Data!C:K,9,FALSE)</f>
        <v>33931</v>
      </c>
      <c r="K49" s="64">
        <f>(J49/100000)*I49</f>
        <v>0</v>
      </c>
      <c r="M49" s="63">
        <f t="array" ref="M49">IF(OR(C49=$O$3:$O$21),1,0)</f>
        <v>0</v>
      </c>
    </row>
    <row r="50" spans="2:13" s="63" customFormat="1" ht="13.8" customHeight="1" x14ac:dyDescent="0.3">
      <c r="B50" s="70">
        <f>B49+1</f>
        <v>48</v>
      </c>
      <c r="C50" s="66" t="s">
        <v>36</v>
      </c>
      <c r="D50" s="65">
        <f>VLOOKUP(C50,Country_Data!B:F,5,FALSE)</f>
        <v>889</v>
      </c>
      <c r="E50" s="65">
        <f>D50*Projections_Data!$C$14</f>
        <v>4.038614423622942</v>
      </c>
      <c r="F50" s="118">
        <f>IFERROR(VLOOKUP(C50,Days_Since_100!C:G,5,FALSE)-1,0)</f>
        <v>4.8664940277397983E-2</v>
      </c>
      <c r="H50" s="73">
        <f t="shared" si="0"/>
        <v>162.77274283879797</v>
      </c>
      <c r="I50" s="72">
        <v>7.3</v>
      </c>
      <c r="J50" s="65">
        <f>VLOOKUP(C50,Country_Data!C:K,9,FALSE)</f>
        <v>126476461</v>
      </c>
      <c r="K50" s="64">
        <f>(J50/100000)*I50</f>
        <v>9232.781653</v>
      </c>
      <c r="M50" s="63">
        <f t="array" ref="M50">IF(OR(C50=$O$3:$O$21),1,0)</f>
        <v>0</v>
      </c>
    </row>
    <row r="51" spans="2:13" s="63" customFormat="1" ht="13.8" customHeight="1" x14ac:dyDescent="0.3">
      <c r="B51" s="70">
        <f>B50+1</f>
        <v>49</v>
      </c>
      <c r="C51" s="66" t="s">
        <v>340</v>
      </c>
      <c r="D51" s="65">
        <f>VLOOKUP(C51,Country_Data!B:F,5,FALSE)</f>
        <v>712</v>
      </c>
      <c r="E51" s="65">
        <f>D51*Projections_Data!$C$14</f>
        <v>3.234525837592277</v>
      </c>
      <c r="F51" s="118">
        <f>IFERROR(VLOOKUP(C51,Days_Since_100!C:G,5,FALSE)-1,0)</f>
        <v>4.5559973556712485E-3</v>
      </c>
      <c r="H51" s="73" t="str">
        <f t="shared" si="0"/>
        <v/>
      </c>
      <c r="I51" s="72"/>
      <c r="J51" s="65" t="e">
        <f>VLOOKUP(C51,Country_Data!C:K,9,FALSE)</f>
        <v>#N/A</v>
      </c>
      <c r="K51" s="64" t="e">
        <f>(J51/100000)*I51</f>
        <v>#N/A</v>
      </c>
      <c r="M51" s="63">
        <f t="array" ref="M51">IF(OR(C51=$O$3:$O$21),1,0)</f>
        <v>0</v>
      </c>
    </row>
    <row r="52" spans="2:13" s="63" customFormat="1" ht="13.8" customHeight="1" x14ac:dyDescent="0.3">
      <c r="B52" s="70">
        <f>B51+1</f>
        <v>50</v>
      </c>
      <c r="C52" s="66" t="s">
        <v>337</v>
      </c>
      <c r="D52" s="65">
        <f>VLOOKUP(C52,Country_Data!B:F,5,FALSE)</f>
        <v>81102</v>
      </c>
      <c r="E52" s="65">
        <f>D52*Projections_Data!$C$14</f>
        <v>368.4361158432709</v>
      </c>
      <c r="F52" s="118">
        <f>IFERROR(VLOOKUP(C52,Days_Since_100!C:G,5,FALSE)-1,0)</f>
        <v>3.8761711136059418E-4</v>
      </c>
      <c r="H52" s="73">
        <f t="shared" si="0"/>
        <v>12762.952645741787</v>
      </c>
      <c r="I52" s="72">
        <v>3.6</v>
      </c>
      <c r="J52" s="65">
        <f>VLOOKUP(C52,Country_Data!C:K,9,FALSE)</f>
        <v>1439323776</v>
      </c>
      <c r="K52" s="64">
        <f>(J52/100000)*I52</f>
        <v>51815.655936000003</v>
      </c>
      <c r="M52" s="63">
        <f t="array" ref="M52">IF(OR(C52=$O$3:$O$21),1,0)</f>
        <v>0</v>
      </c>
    </row>
    <row r="53" spans="2:13" s="63" customFormat="1" ht="13.8" customHeight="1" x14ac:dyDescent="0.3">
      <c r="B53" s="70">
        <f>B52+1</f>
        <v>51</v>
      </c>
      <c r="C53" s="66" t="s">
        <v>483</v>
      </c>
      <c r="D53" s="65">
        <f>VLOOKUP(C53,Country_Data!B:F,5,FALSE)</f>
        <v>464</v>
      </c>
      <c r="E53" s="65">
        <f>D53*Projections_Data!$C$14</f>
        <v>2.1078932424758658</v>
      </c>
      <c r="F53" s="118">
        <f>IFERROR(VLOOKUP(C53,Days_Since_100!C:G,5,FALSE)-1,0)</f>
        <v>0</v>
      </c>
      <c r="H53" s="73" t="str">
        <f t="shared" si="0"/>
        <v/>
      </c>
      <c r="I53" s="72">
        <v>11.6</v>
      </c>
      <c r="J53" s="65" t="e">
        <f>VLOOKUP(C53,Country_Data!C:K,9,FALSE)</f>
        <v>#N/A</v>
      </c>
      <c r="K53" s="64" t="e">
        <f>(J53/100000)*I53</f>
        <v>#N/A</v>
      </c>
      <c r="M53" s="63">
        <f t="array" ref="M53">IF(OR(C53=$O$3:$O$21),1,0)</f>
        <v>0</v>
      </c>
    </row>
    <row r="54" spans="2:13" s="63" customFormat="1" ht="13.8" customHeight="1" x14ac:dyDescent="0.3">
      <c r="B54" s="70">
        <f>B53+1</f>
        <v>52</v>
      </c>
      <c r="C54" s="66" t="s">
        <v>103</v>
      </c>
      <c r="D54" s="65">
        <f>VLOOKUP(C54,Country_Data!B:F,5,FALSE)</f>
        <v>111</v>
      </c>
      <c r="E54" s="65">
        <f>D54*Projections_Data!$C$14</f>
        <v>0.50425894378194214</v>
      </c>
      <c r="F54" s="118">
        <f>IFERROR(VLOOKUP(C54,Days_Since_100!C:G,5,FALSE)-1,0)</f>
        <v>0</v>
      </c>
      <c r="H54" s="73" t="str">
        <f t="shared" si="0"/>
        <v/>
      </c>
      <c r="I54" s="72"/>
      <c r="J54" s="65">
        <f>VLOOKUP(C54,Country_Data!C:K,9,FALSE)</f>
        <v>17643054</v>
      </c>
      <c r="K54" s="64"/>
      <c r="M54" s="63">
        <f t="array" ref="M54">IF(OR(C54=$O$3:$O$21),1,0)</f>
        <v>0</v>
      </c>
    </row>
    <row r="55" spans="2:13" s="63" customFormat="1" ht="13.8" customHeight="1" x14ac:dyDescent="0.3">
      <c r="B55" s="70">
        <f>B54+1</f>
        <v>53</v>
      </c>
      <c r="C55" s="66" t="s">
        <v>162</v>
      </c>
      <c r="D55" s="65">
        <f>VLOOKUP(C55,Country_Data!B:F,5,FALSE)</f>
        <v>105</v>
      </c>
      <c r="E55" s="65">
        <f>D55*Projections_Data!$C$14</f>
        <v>0.47700170357751276</v>
      </c>
      <c r="F55" s="118">
        <f>IFERROR(VLOOKUP(C55,Days_Since_100!C:G,5,FALSE)-1,0)</f>
        <v>0</v>
      </c>
      <c r="H55" s="73" t="str">
        <f t="shared" si="0"/>
        <v/>
      </c>
      <c r="I55" s="72">
        <v>9.1999999999999993</v>
      </c>
      <c r="J55" s="65">
        <f>VLOOKUP(C55,Country_Data!C:K,9,FALSE)</f>
        <v>5459642</v>
      </c>
      <c r="K55" s="64"/>
      <c r="M55" s="63">
        <f t="array" ref="M55">IF(OR(C55=$O$3:$O$21),1,0)</f>
        <v>0</v>
      </c>
    </row>
    <row r="56" spans="2:13" s="63" customFormat="1" ht="13.8" customHeight="1" x14ac:dyDescent="0.3">
      <c r="B56" s="70">
        <f>B55+1</f>
        <v>54</v>
      </c>
      <c r="C56" s="66" t="s">
        <v>145</v>
      </c>
      <c r="D56" s="65">
        <f>VLOOKUP(C56,Country_Data!B:F,5,FALSE)</f>
        <v>116</v>
      </c>
      <c r="E56" s="65">
        <f>D56*Projections_Data!$C$14</f>
        <v>0.52697331061896646</v>
      </c>
      <c r="F56" s="118">
        <f>IFERROR(VLOOKUP(C56,Days_Since_100!C:G,5,FALSE)-1,0)</f>
        <v>0</v>
      </c>
      <c r="H56" s="73" t="str">
        <f t="shared" si="0"/>
        <v/>
      </c>
      <c r="I56" s="72"/>
      <c r="J56" s="65">
        <f>VLOOKUP(C56,Country_Data!C:K,9,FALSE)</f>
        <v>59308690</v>
      </c>
      <c r="K56" s="64">
        <f>(J56/100000)*I56</f>
        <v>0</v>
      </c>
      <c r="M56" s="63">
        <f t="array" ref="M56">IF(OR(C56=$O$3:$O$21),1,0)</f>
        <v>0</v>
      </c>
    </row>
    <row r="57" spans="2:13" s="63" customFormat="1" ht="13.8" customHeight="1" x14ac:dyDescent="0.3">
      <c r="B57" s="70">
        <f>B56+1</f>
        <v>55</v>
      </c>
      <c r="C57" s="66" t="s">
        <v>480</v>
      </c>
      <c r="D57" s="65">
        <f>VLOOKUP(C57,Country_Data!B:F,5,FALSE)</f>
        <v>8413</v>
      </c>
      <c r="E57" s="65">
        <f>D57*Projections_Data!$C$14</f>
        <v>38.219193639977284</v>
      </c>
      <c r="F57" s="118">
        <f>IFERROR(VLOOKUP(C57,Days_Since_100!C:G,5,FALSE)-1,0)</f>
        <v>0</v>
      </c>
      <c r="H57" s="73" t="str">
        <f t="shared" si="0"/>
        <v/>
      </c>
      <c r="I57" s="72">
        <v>10.6</v>
      </c>
      <c r="J57" s="65" t="e">
        <f>VLOOKUP(C57,Country_Data!C:K,9,FALSE)</f>
        <v>#N/A</v>
      </c>
      <c r="K57" s="64">
        <v>1500</v>
      </c>
      <c r="M57" s="63">
        <f t="array" ref="M57">IF(OR(C57=$O$3:$O$21),1,0)</f>
        <v>0</v>
      </c>
    </row>
    <row r="58" spans="2:13" s="63" customFormat="1" ht="13.8" customHeight="1" x14ac:dyDescent="0.3">
      <c r="B58" s="70">
        <f>B57+1</f>
        <v>56</v>
      </c>
      <c r="C58" s="66" t="s">
        <v>342</v>
      </c>
      <c r="D58" s="65">
        <f>VLOOKUP(C58,Country_Data!B:F,5,FALSE)</f>
        <v>100</v>
      </c>
      <c r="E58" s="65">
        <f>D58*Projections_Data!$C$14</f>
        <v>0.45428733674048838</v>
      </c>
      <c r="F58" s="118">
        <f>IFERROR(VLOOKUP(C58,Days_Since_100!C:G,5,FALSE)-1,0)</f>
        <v>0</v>
      </c>
      <c r="H58" s="73" t="str">
        <f t="shared" si="0"/>
        <v/>
      </c>
      <c r="I58" s="72"/>
      <c r="J58" s="65">
        <f>VLOOKUP(C58,Country_Data!C:K,9,FALSE)</f>
        <v>23816775</v>
      </c>
      <c r="K58" s="64"/>
      <c r="M58" s="63">
        <f t="array" ref="M58">IF(OR(C58=$O$3:$O$21),1,0)</f>
        <v>0</v>
      </c>
    </row>
    <row r="59" spans="2:13" ht="13.2" customHeight="1" x14ac:dyDescent="0.2">
      <c r="B59" s="70">
        <f t="shared" ref="B59:B65" si="1">B58+1</f>
        <v>57</v>
      </c>
      <c r="C59" s="66" t="s">
        <v>55</v>
      </c>
      <c r="D59" s="65">
        <f>VLOOKUP(C59,Country_Data!B:F,5,FALSE)</f>
        <v>113</v>
      </c>
      <c r="E59" s="65">
        <f>D59*Projections_Data!$C$14</f>
        <v>0.5133446905167518</v>
      </c>
      <c r="F59" s="118">
        <f>IFERROR(VLOOKUP(C59,Days_Since_100!C:G,5,FALSE)-1,0)</f>
        <v>0</v>
      </c>
      <c r="G59" s="63"/>
      <c r="H59" s="73" t="str">
        <f t="shared" si="0"/>
        <v/>
      </c>
      <c r="I59" s="72"/>
      <c r="J59" s="65">
        <f>VLOOKUP(C59,Country_Data!C:K,9,FALSE)</f>
        <v>9890402</v>
      </c>
      <c r="K59" s="64"/>
      <c r="M59" s="63">
        <f t="array" ref="M59">IF(OR(C59=$O$3:$O$21),1,0)</f>
        <v>0</v>
      </c>
    </row>
    <row r="60" spans="2:13" ht="13.2" customHeight="1" x14ac:dyDescent="0.2">
      <c r="B60" s="70">
        <f t="shared" si="1"/>
        <v>58</v>
      </c>
      <c r="C60" s="66" t="s">
        <v>199</v>
      </c>
      <c r="D60" s="65">
        <f>VLOOKUP(C60,Country_Data!B:F,5,FALSE)</f>
        <v>92</v>
      </c>
      <c r="E60" s="65">
        <f>D60*Projections_Data!$C$14</f>
        <v>0.41794434980124928</v>
      </c>
      <c r="F60" s="118">
        <f>IFERROR(VLOOKUP(C60,Days_Since_100!C:G,5,FALSE)-1,0)</f>
        <v>0</v>
      </c>
      <c r="H60" s="73" t="str">
        <f t="shared" si="0"/>
        <v/>
      </c>
      <c r="I60" s="72">
        <v>12.2</v>
      </c>
      <c r="J60" s="65">
        <f>VLOOKUP(C60,Country_Data!C:K,9,FALSE)</f>
        <v>6948445</v>
      </c>
      <c r="K60" s="64"/>
      <c r="M60" s="63">
        <f t="array" ref="M60">IF(OR(C60=$O$3:$O$21),1,0)</f>
        <v>0</v>
      </c>
    </row>
    <row r="61" spans="2:13" ht="13.2" customHeight="1" x14ac:dyDescent="0.2">
      <c r="B61" s="70">
        <f t="shared" si="1"/>
        <v>59</v>
      </c>
      <c r="C61" s="66" t="s">
        <v>231</v>
      </c>
      <c r="D61" s="65">
        <f>VLOOKUP(C61,Country_Data!B:F,5,FALSE)</f>
        <v>49</v>
      </c>
      <c r="E61" s="65">
        <f>D61*Projections_Data!$C$14</f>
        <v>0.2226007950028393</v>
      </c>
      <c r="F61" s="118">
        <f>IFERROR(VLOOKUP(C61,Days_Since_100!C:G,5,FALSE)-1,0)</f>
        <v>0</v>
      </c>
      <c r="H61" s="73" t="str">
        <f t="shared" si="0"/>
        <v/>
      </c>
      <c r="I61" s="72">
        <v>11.4</v>
      </c>
      <c r="J61" s="65">
        <f>VLOOKUP(C61,Country_Data!C:K,9,FALSE)</f>
        <v>1207359</v>
      </c>
      <c r="K61" s="64"/>
      <c r="M61" s="63">
        <f t="array" ref="M61">IF(OR(C61=$O$3:$O$21),1,0)</f>
        <v>0</v>
      </c>
    </row>
    <row r="62" spans="2:13" ht="13.2" customHeight="1" x14ac:dyDescent="0.2">
      <c r="B62" s="70">
        <f t="shared" si="1"/>
        <v>60</v>
      </c>
      <c r="C62" s="66" t="s">
        <v>111</v>
      </c>
      <c r="D62" s="65">
        <f>VLOOKUP(C62,Country_Data!B:F,5,FALSE)</f>
        <v>71</v>
      </c>
      <c r="E62" s="65">
        <f>D62*Projections_Data!$C$14</f>
        <v>0.32254400908574676</v>
      </c>
      <c r="F62" s="118">
        <f>IFERROR(VLOOKUP(C62,Days_Since_100!C:G,5,FALSE)-1,0)</f>
        <v>0</v>
      </c>
      <c r="H62" s="73" t="str">
        <f t="shared" si="0"/>
        <v/>
      </c>
      <c r="I62" s="72">
        <v>9.6999999999999993</v>
      </c>
      <c r="J62" s="65">
        <f>VLOOKUP(C62,Country_Data!C:K,9,FALSE)</f>
        <v>1886198</v>
      </c>
      <c r="K62" s="64"/>
      <c r="M62" s="63">
        <f t="array" ref="M62">IF(OR(C62=$O$3:$O$21),1,0)</f>
        <v>0</v>
      </c>
    </row>
    <row r="63" spans="2:13" ht="13.2" customHeight="1" x14ac:dyDescent="0.2">
      <c r="B63" s="70">
        <f t="shared" si="1"/>
        <v>61</v>
      </c>
      <c r="C63" s="66" t="s">
        <v>76</v>
      </c>
      <c r="D63" s="65"/>
      <c r="E63" s="65"/>
      <c r="F63" s="71"/>
      <c r="H63" s="73" t="str">
        <f t="shared" si="0"/>
        <v/>
      </c>
      <c r="I63" s="72">
        <v>14.7</v>
      </c>
      <c r="J63" s="65">
        <f>VLOOKUP(C63,Country_Data!C:K,9,FALSE)</f>
        <v>4105267</v>
      </c>
      <c r="K63" s="64"/>
      <c r="M63" s="63">
        <f t="array" ref="M63">IF(OR(C63=$O$3:$O$21),1,0)</f>
        <v>0</v>
      </c>
    </row>
    <row r="64" spans="2:13" ht="13.2" customHeight="1" x14ac:dyDescent="0.2">
      <c r="B64" s="70">
        <f t="shared" si="1"/>
        <v>62</v>
      </c>
      <c r="C64" s="66" t="s">
        <v>132</v>
      </c>
      <c r="D64" s="65"/>
      <c r="E64" s="65"/>
      <c r="F64" s="71"/>
      <c r="H64" s="73" t="str">
        <f t="shared" si="0"/>
        <v/>
      </c>
      <c r="I64" s="72">
        <v>13.8</v>
      </c>
      <c r="J64" s="65">
        <f>VLOOKUP(C64,Country_Data!C:K,9,FALSE)</f>
        <v>9660351</v>
      </c>
      <c r="K64" s="64"/>
      <c r="M64" s="63">
        <f t="array" ref="M64">IF(OR(C64=$O$3:$O$21),1,0)</f>
        <v>0</v>
      </c>
    </row>
    <row r="65" spans="2:13" ht="13.2" customHeight="1" x14ac:dyDescent="0.2">
      <c r="B65" s="70">
        <f t="shared" si="1"/>
        <v>63</v>
      </c>
      <c r="C65" s="66" t="s">
        <v>93</v>
      </c>
      <c r="D65" s="65"/>
      <c r="E65" s="65"/>
      <c r="F65" s="71"/>
      <c r="H65" s="73" t="str">
        <f t="shared" si="0"/>
        <v/>
      </c>
      <c r="I65" s="72">
        <v>15.5</v>
      </c>
      <c r="J65" s="65">
        <f>VLOOKUP(C65,Country_Data!C:K,9,FALSE)</f>
        <v>2722289</v>
      </c>
      <c r="K65" s="64"/>
      <c r="M65" s="63">
        <f t="array" ref="M65">IF(OR(C65=$O$3:$O$21),1,0)</f>
        <v>0</v>
      </c>
    </row>
    <row r="66" spans="2:13" ht="13.2" customHeight="1" x14ac:dyDescent="0.2">
      <c r="J66" s="65"/>
    </row>
  </sheetData>
  <conditionalFormatting sqref="B3:F65">
    <cfRule type="expression" dxfId="2" priority="3">
      <formula>ISEVEN(ROW())</formula>
    </cfRule>
  </conditionalFormatting>
  <conditionalFormatting sqref="K37:K65 J37:J66 H3:K36 H37:I65">
    <cfRule type="expression" dxfId="1" priority="2">
      <formula>ISEVEN(ROW())</formula>
    </cfRule>
  </conditionalFormatting>
  <conditionalFormatting sqref="B3:F65">
    <cfRule type="expression" dxfId="0" priority="1">
      <formula>$M3=1</formula>
    </cfRule>
  </conditionalFormatting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/>
  <dimension ref="L4:S29"/>
  <sheetViews>
    <sheetView workbookViewId="0">
      <selection activeCell="V8" sqref="V8"/>
    </sheetView>
  </sheetViews>
  <sheetFormatPr defaultRowHeight="14.4" x14ac:dyDescent="0.3"/>
  <cols>
    <col min="19" max="19" width="11.33203125" bestFit="1" customWidth="1"/>
  </cols>
  <sheetData>
    <row r="4" spans="12:19" x14ac:dyDescent="0.3">
      <c r="R4" t="s">
        <v>426</v>
      </c>
      <c r="S4" s="5">
        <v>0</v>
      </c>
    </row>
    <row r="5" spans="12:19" x14ac:dyDescent="0.3">
      <c r="R5" t="s">
        <v>427</v>
      </c>
      <c r="S5" s="5">
        <v>50000</v>
      </c>
    </row>
    <row r="6" spans="12:19" x14ac:dyDescent="0.3">
      <c r="L6" s="5"/>
    </row>
    <row r="7" spans="12:19" x14ac:dyDescent="0.3">
      <c r="R7" t="s">
        <v>428</v>
      </c>
      <c r="S7" s="5">
        <v>1</v>
      </c>
    </row>
    <row r="8" spans="12:19" x14ac:dyDescent="0.3">
      <c r="R8" t="s">
        <v>429</v>
      </c>
      <c r="S8" s="5">
        <v>30</v>
      </c>
    </row>
    <row r="10" spans="12:19" x14ac:dyDescent="0.3">
      <c r="R10">
        <v>1</v>
      </c>
      <c r="S10" t="s">
        <v>349</v>
      </c>
    </row>
    <row r="11" spans="12:19" x14ac:dyDescent="0.3">
      <c r="R11">
        <v>2</v>
      </c>
      <c r="S11" t="s">
        <v>38</v>
      </c>
    </row>
    <row r="12" spans="12:19" x14ac:dyDescent="0.3">
      <c r="R12">
        <v>3</v>
      </c>
      <c r="S12" s="17" t="s">
        <v>58</v>
      </c>
    </row>
    <row r="13" spans="12:19" x14ac:dyDescent="0.3">
      <c r="R13">
        <v>4</v>
      </c>
      <c r="S13" s="17" t="s">
        <v>337</v>
      </c>
    </row>
    <row r="14" spans="12:19" x14ac:dyDescent="0.3">
      <c r="R14">
        <v>5</v>
      </c>
      <c r="S14" s="17" t="s">
        <v>41</v>
      </c>
    </row>
    <row r="15" spans="12:19" x14ac:dyDescent="0.3">
      <c r="R15">
        <v>6</v>
      </c>
      <c r="S15" s="17" t="s">
        <v>53</v>
      </c>
    </row>
    <row r="16" spans="12:19" x14ac:dyDescent="0.3">
      <c r="R16">
        <v>7</v>
      </c>
      <c r="S16" s="17"/>
    </row>
    <row r="17" spans="18:19" x14ac:dyDescent="0.3">
      <c r="R17">
        <v>8</v>
      </c>
      <c r="S17" s="17" t="s">
        <v>339</v>
      </c>
    </row>
    <row r="18" spans="18:19" x14ac:dyDescent="0.3">
      <c r="R18">
        <v>9</v>
      </c>
      <c r="S18" s="17" t="s">
        <v>36</v>
      </c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/>
  <dimension ref="B2:IN264"/>
  <sheetViews>
    <sheetView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C14" sqref="C14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21875" style="19" bestFit="1" customWidth="1"/>
    <col min="4" max="4" width="10.5546875" style="19" bestFit="1" customWidth="1"/>
    <col min="5" max="5" width="4" style="19" bestFit="1" customWidth="1"/>
    <col min="6" max="6" width="22.33203125" style="19" bestFit="1" customWidth="1"/>
    <col min="7" max="7" width="10.5546875" style="19" bestFit="1" customWidth="1"/>
    <col min="8" max="8" width="14" style="19" bestFit="1" customWidth="1"/>
    <col min="9" max="9" width="10.5546875" style="19" bestFit="1" customWidth="1"/>
    <col min="10" max="10" width="12.109375" style="19" bestFit="1" customWidth="1"/>
    <col min="11" max="11" width="14.44140625" style="19" bestFit="1" customWidth="1"/>
    <col min="12" max="12" width="11.109375" style="19" bestFit="1" customWidth="1"/>
    <col min="13" max="13" width="10.5546875" style="19" bestFit="1" customWidth="1"/>
    <col min="14" max="14" width="13.77734375" style="19" customWidth="1"/>
    <col min="15" max="18" width="10.5546875" style="19" bestFit="1" customWidth="1"/>
    <col min="19" max="19" width="13.44140625" style="19" customWidth="1"/>
    <col min="20" max="20" width="12.33203125" style="19" bestFit="1" customWidth="1"/>
    <col min="21" max="44" width="10.5546875" style="19" bestFit="1" customWidth="1"/>
    <col min="45" max="248" width="11.21875" style="19" bestFit="1" customWidth="1"/>
    <col min="249" max="16384" width="8.77734375" style="19"/>
  </cols>
  <sheetData>
    <row r="2" spans="2:248" x14ac:dyDescent="0.3">
      <c r="B2" s="19" t="str">
        <f>country</f>
        <v>Germany</v>
      </c>
      <c r="C2" s="20">
        <f>MAX(ConfirmedRaw!1:1)</f>
        <v>43908</v>
      </c>
    </row>
    <row r="3" spans="2:248" x14ac:dyDescent="0.3">
      <c r="G3" s="20">
        <f ca="1">VLOOKUP(B2,Country_Data!B:E,4,FALSE)</f>
        <v>43891</v>
      </c>
      <c r="H3" s="20">
        <f ca="1">G3+1</f>
        <v>43892</v>
      </c>
      <c r="I3" s="20">
        <f ca="1">H3+1</f>
        <v>43893</v>
      </c>
      <c r="J3" s="20">
        <f ca="1">I3+1</f>
        <v>43894</v>
      </c>
      <c r="K3" s="20">
        <f ca="1">J3+1</f>
        <v>43895</v>
      </c>
      <c r="L3" s="20">
        <f ca="1">K3+1</f>
        <v>43896</v>
      </c>
      <c r="M3" s="20">
        <f ca="1">L3+1</f>
        <v>43897</v>
      </c>
      <c r="N3" s="20">
        <f ca="1">M3+1</f>
        <v>43898</v>
      </c>
      <c r="O3" s="20">
        <f ca="1">N3+1</f>
        <v>43899</v>
      </c>
      <c r="P3" s="20">
        <f ca="1">O3+1</f>
        <v>43900</v>
      </c>
      <c r="Q3" s="20">
        <f ca="1">P3+1</f>
        <v>43901</v>
      </c>
      <c r="R3" s="20">
        <f ca="1">Q3+1</f>
        <v>43902</v>
      </c>
      <c r="S3" s="20">
        <f ca="1">R3+1</f>
        <v>43903</v>
      </c>
      <c r="T3" s="20">
        <f ca="1">S3+1</f>
        <v>43904</v>
      </c>
      <c r="U3" s="20">
        <f ca="1">T3+1</f>
        <v>43905</v>
      </c>
      <c r="V3" s="20">
        <f ca="1">U3+1</f>
        <v>43906</v>
      </c>
      <c r="W3" s="20">
        <f ca="1">V3+1</f>
        <v>43907</v>
      </c>
      <c r="X3" s="20">
        <f ca="1">W3+1</f>
        <v>43908</v>
      </c>
      <c r="Y3" s="20">
        <f ca="1">X3+1</f>
        <v>43909</v>
      </c>
      <c r="Z3" s="20">
        <f ca="1">Y3+1</f>
        <v>43910</v>
      </c>
      <c r="AA3" s="20">
        <f ca="1">Z3+1</f>
        <v>43911</v>
      </c>
      <c r="AB3" s="20">
        <f ca="1">AA3+1</f>
        <v>43912</v>
      </c>
      <c r="AC3" s="20">
        <f ca="1">AB3+1</f>
        <v>43913</v>
      </c>
      <c r="AD3" s="20">
        <f ca="1">AC3+1</f>
        <v>43914</v>
      </c>
      <c r="AE3" s="20">
        <f ca="1">AD3+1</f>
        <v>43915</v>
      </c>
      <c r="AF3" s="20">
        <f ca="1">AE3+1</f>
        <v>43916</v>
      </c>
      <c r="AG3" s="20">
        <f ca="1">AF3+1</f>
        <v>43917</v>
      </c>
      <c r="AH3" s="20">
        <f ca="1">AG3+1</f>
        <v>43918</v>
      </c>
      <c r="AI3" s="20">
        <f ca="1">AH3+1</f>
        <v>43919</v>
      </c>
      <c r="AJ3" s="20">
        <f ca="1">AI3+1</f>
        <v>43920</v>
      </c>
      <c r="AK3" s="20">
        <f ca="1">AJ3+1</f>
        <v>43921</v>
      </c>
      <c r="AL3" s="20">
        <f ca="1">AK3+1</f>
        <v>43922</v>
      </c>
      <c r="AM3" s="20">
        <f ca="1">AL3+1</f>
        <v>43923</v>
      </c>
      <c r="AN3" s="20">
        <f ca="1">AM3+1</f>
        <v>43924</v>
      </c>
      <c r="AO3" s="20">
        <f ca="1">AN3+1</f>
        <v>43925</v>
      </c>
      <c r="AP3" s="20">
        <f ca="1">AO3+1</f>
        <v>43926</v>
      </c>
      <c r="AQ3" s="20">
        <f ca="1">AP3+1</f>
        <v>43927</v>
      </c>
      <c r="AR3" s="20">
        <f ca="1">AQ3+1</f>
        <v>43928</v>
      </c>
      <c r="AS3" s="20">
        <f ca="1">AR3+1</f>
        <v>43929</v>
      </c>
      <c r="AT3" s="20">
        <f ca="1">AS3+1</f>
        <v>43930</v>
      </c>
      <c r="AU3" s="20">
        <f ca="1">AT3+1</f>
        <v>43931</v>
      </c>
      <c r="AV3" s="20">
        <f ca="1">AU3+1</f>
        <v>43932</v>
      </c>
      <c r="AW3" s="20">
        <f ca="1">AV3+1</f>
        <v>43933</v>
      </c>
      <c r="AX3" s="20">
        <f ca="1">AW3+1</f>
        <v>43934</v>
      </c>
      <c r="AY3" s="20">
        <f ca="1">AX3+1</f>
        <v>43935</v>
      </c>
      <c r="AZ3" s="20">
        <f ca="1">AY3+1</f>
        <v>43936</v>
      </c>
      <c r="BA3" s="20">
        <f ca="1">AZ3+1</f>
        <v>43937</v>
      </c>
      <c r="BB3" s="20">
        <f ca="1">BA3+1</f>
        <v>43938</v>
      </c>
      <c r="BC3" s="20">
        <f ca="1">BB3+1</f>
        <v>43939</v>
      </c>
      <c r="BD3" s="20">
        <f ca="1">BC3+1</f>
        <v>43940</v>
      </c>
      <c r="BE3" s="20">
        <f ca="1">BD3+1</f>
        <v>43941</v>
      </c>
      <c r="BF3" s="20">
        <f ca="1">BE3+1</f>
        <v>43942</v>
      </c>
      <c r="BG3" s="20">
        <f ca="1">BF3+1</f>
        <v>43943</v>
      </c>
      <c r="BH3" s="20">
        <f ca="1">BG3+1</f>
        <v>43944</v>
      </c>
      <c r="BI3" s="20">
        <f ca="1">BH3+1</f>
        <v>43945</v>
      </c>
      <c r="BJ3" s="20">
        <f ca="1">BI3+1</f>
        <v>43946</v>
      </c>
      <c r="BK3" s="20">
        <f ca="1">BJ3+1</f>
        <v>43947</v>
      </c>
      <c r="BL3" s="20">
        <f ca="1">BK3+1</f>
        <v>43948</v>
      </c>
      <c r="BM3" s="20">
        <f ca="1">BL3+1</f>
        <v>43949</v>
      </c>
      <c r="BN3" s="20">
        <f ca="1">BM3+1</f>
        <v>43950</v>
      </c>
      <c r="BO3" s="20">
        <f ca="1">BN3+1</f>
        <v>43951</v>
      </c>
      <c r="BP3" s="20">
        <f ca="1">BO3+1</f>
        <v>43952</v>
      </c>
      <c r="BQ3" s="20">
        <f ca="1">BP3+1</f>
        <v>43953</v>
      </c>
      <c r="BR3" s="20">
        <f ca="1">BQ3+1</f>
        <v>43954</v>
      </c>
      <c r="BS3" s="20">
        <f ca="1">BR3+1</f>
        <v>43955</v>
      </c>
      <c r="BT3" s="20">
        <f ca="1">BS3+1</f>
        <v>43956</v>
      </c>
      <c r="BU3" s="20">
        <f ca="1">BT3+1</f>
        <v>43957</v>
      </c>
      <c r="BV3" s="20">
        <f ca="1">BU3+1</f>
        <v>43958</v>
      </c>
      <c r="BW3" s="20">
        <f ca="1">BV3+1</f>
        <v>43959</v>
      </c>
      <c r="BX3" s="20">
        <f ca="1">BW3+1</f>
        <v>43960</v>
      </c>
      <c r="BY3" s="20">
        <f ca="1">BX3+1</f>
        <v>43961</v>
      </c>
      <c r="BZ3" s="20">
        <f ca="1">BY3+1</f>
        <v>43962</v>
      </c>
      <c r="CA3" s="20">
        <f ca="1">BZ3+1</f>
        <v>43963</v>
      </c>
      <c r="CB3" s="20">
        <f ca="1">CA3+1</f>
        <v>43964</v>
      </c>
      <c r="CC3" s="20">
        <f ca="1">CB3+1</f>
        <v>43965</v>
      </c>
      <c r="CD3" s="20">
        <f ca="1">CC3+1</f>
        <v>43966</v>
      </c>
      <c r="CE3" s="20">
        <f ca="1">CD3+1</f>
        <v>43967</v>
      </c>
      <c r="CF3" s="20">
        <f ca="1">CE3+1</f>
        <v>43968</v>
      </c>
      <c r="CG3" s="20">
        <f ca="1">CF3+1</f>
        <v>43969</v>
      </c>
      <c r="CH3" s="20">
        <f ca="1">CG3+1</f>
        <v>43970</v>
      </c>
      <c r="CI3" s="20">
        <f ca="1">CH3+1</f>
        <v>43971</v>
      </c>
      <c r="CJ3" s="20">
        <f ca="1">CI3+1</f>
        <v>43972</v>
      </c>
      <c r="CK3" s="20">
        <f ca="1">CJ3+1</f>
        <v>43973</v>
      </c>
      <c r="CL3" s="20">
        <f ca="1">CK3+1</f>
        <v>43974</v>
      </c>
      <c r="CM3" s="20">
        <f ca="1">CL3+1</f>
        <v>43975</v>
      </c>
      <c r="CN3" s="20">
        <f ca="1">CM3+1</f>
        <v>43976</v>
      </c>
      <c r="CO3" s="20">
        <f ca="1">CN3+1</f>
        <v>43977</v>
      </c>
      <c r="CP3" s="20">
        <f ca="1">CO3+1</f>
        <v>43978</v>
      </c>
      <c r="CQ3" s="20">
        <f ca="1">CP3+1</f>
        <v>43979</v>
      </c>
      <c r="CR3" s="20">
        <f ca="1">CQ3+1</f>
        <v>43980</v>
      </c>
      <c r="CS3" s="20">
        <f ca="1">CR3+1</f>
        <v>43981</v>
      </c>
      <c r="CT3" s="20">
        <f ca="1">CS3+1</f>
        <v>43982</v>
      </c>
      <c r="CU3" s="20">
        <f ca="1">CT3+1</f>
        <v>43983</v>
      </c>
      <c r="CV3" s="20">
        <f ca="1">CU3+1</f>
        <v>43984</v>
      </c>
      <c r="CW3" s="20">
        <f ca="1">CV3+1</f>
        <v>43985</v>
      </c>
      <c r="CX3" s="20">
        <f ca="1">CW3+1</f>
        <v>43986</v>
      </c>
      <c r="CY3" s="20">
        <f ca="1">CX3+1</f>
        <v>43987</v>
      </c>
      <c r="CZ3" s="20">
        <f ca="1">CY3+1</f>
        <v>43988</v>
      </c>
      <c r="DA3" s="20">
        <f ca="1">CZ3+1</f>
        <v>43989</v>
      </c>
      <c r="DB3" s="20">
        <f ca="1">DA3+1</f>
        <v>43990</v>
      </c>
      <c r="DC3" s="20">
        <f ca="1">DB3+1</f>
        <v>43991</v>
      </c>
      <c r="DD3" s="20">
        <f ca="1">DC3+1</f>
        <v>43992</v>
      </c>
      <c r="DE3" s="20">
        <f ca="1">DD3+1</f>
        <v>43993</v>
      </c>
      <c r="DF3" s="20">
        <f ca="1">DE3+1</f>
        <v>43994</v>
      </c>
      <c r="DG3" s="20">
        <f ca="1">DF3+1</f>
        <v>43995</v>
      </c>
      <c r="DH3" s="20">
        <f ca="1">DG3+1</f>
        <v>43996</v>
      </c>
      <c r="DI3" s="20">
        <f ca="1">DH3+1</f>
        <v>43997</v>
      </c>
      <c r="DJ3" s="20">
        <f ca="1">DI3+1</f>
        <v>43998</v>
      </c>
      <c r="DK3" s="20">
        <f ca="1">DJ3+1</f>
        <v>43999</v>
      </c>
      <c r="DL3" s="20">
        <f ca="1">DK3+1</f>
        <v>44000</v>
      </c>
      <c r="DM3" s="20">
        <f ca="1">DL3+1</f>
        <v>44001</v>
      </c>
      <c r="DN3" s="20">
        <f ca="1">DM3+1</f>
        <v>44002</v>
      </c>
      <c r="DO3" s="20">
        <f ca="1">DN3+1</f>
        <v>44003</v>
      </c>
      <c r="DP3" s="20">
        <f ca="1">DO3+1</f>
        <v>44004</v>
      </c>
      <c r="DQ3" s="20">
        <f ca="1">DP3+1</f>
        <v>44005</v>
      </c>
      <c r="DR3" s="20">
        <f ca="1">DQ3+1</f>
        <v>44006</v>
      </c>
      <c r="DS3" s="20">
        <f ca="1">DR3+1</f>
        <v>44007</v>
      </c>
      <c r="DT3" s="20">
        <f ca="1">DS3+1</f>
        <v>44008</v>
      </c>
      <c r="DU3" s="20">
        <f ca="1">DT3+1</f>
        <v>44009</v>
      </c>
      <c r="DV3" s="20">
        <f ca="1">DU3+1</f>
        <v>44010</v>
      </c>
      <c r="DW3" s="20">
        <f ca="1">DV3+1</f>
        <v>44011</v>
      </c>
      <c r="DX3" s="20">
        <f ca="1">DW3+1</f>
        <v>44012</v>
      </c>
      <c r="DY3" s="20">
        <f ca="1">DX3+1</f>
        <v>44013</v>
      </c>
      <c r="DZ3" s="20">
        <f ca="1">DY3+1</f>
        <v>44014</v>
      </c>
      <c r="EA3" s="20">
        <f ca="1">DZ3+1</f>
        <v>44015</v>
      </c>
      <c r="EB3" s="20">
        <f ca="1">EA3+1</f>
        <v>44016</v>
      </c>
      <c r="EC3" s="20">
        <f ca="1">EB3+1</f>
        <v>44017</v>
      </c>
      <c r="ED3" s="20">
        <f ca="1">EC3+1</f>
        <v>44018</v>
      </c>
      <c r="EE3" s="20">
        <f ca="1">ED3+1</f>
        <v>44019</v>
      </c>
      <c r="EF3" s="20">
        <f ca="1">EE3+1</f>
        <v>44020</v>
      </c>
      <c r="EG3" s="20">
        <f ca="1">EF3+1</f>
        <v>44021</v>
      </c>
      <c r="EH3" s="20">
        <f ca="1">EG3+1</f>
        <v>44022</v>
      </c>
      <c r="EI3" s="20">
        <f ca="1">EH3+1</f>
        <v>44023</v>
      </c>
      <c r="EJ3" s="20">
        <f ca="1">EI3+1</f>
        <v>44024</v>
      </c>
      <c r="EK3" s="20">
        <f ca="1">EJ3+1</f>
        <v>44025</v>
      </c>
      <c r="EL3" s="20">
        <f ca="1">EK3+1</f>
        <v>44026</v>
      </c>
      <c r="EM3" s="20">
        <f ca="1">EL3+1</f>
        <v>44027</v>
      </c>
      <c r="EN3" s="20">
        <f ca="1">EM3+1</f>
        <v>44028</v>
      </c>
      <c r="EO3" s="20">
        <f ca="1">EN3+1</f>
        <v>44029</v>
      </c>
      <c r="EP3" s="20">
        <f ca="1">EO3+1</f>
        <v>44030</v>
      </c>
      <c r="EQ3" s="20">
        <f ca="1">EP3+1</f>
        <v>44031</v>
      </c>
      <c r="ER3" s="20">
        <f ca="1">EQ3+1</f>
        <v>44032</v>
      </c>
      <c r="ES3" s="20">
        <f ca="1">ER3+1</f>
        <v>44033</v>
      </c>
      <c r="ET3" s="20">
        <f ca="1">ES3+1</f>
        <v>44034</v>
      </c>
      <c r="EU3" s="20">
        <f ca="1">ET3+1</f>
        <v>44035</v>
      </c>
      <c r="EV3" s="20">
        <f ca="1">EU3+1</f>
        <v>44036</v>
      </c>
      <c r="EW3" s="20">
        <f ca="1">EV3+1</f>
        <v>44037</v>
      </c>
      <c r="EX3" s="20">
        <f ca="1">EW3+1</f>
        <v>44038</v>
      </c>
      <c r="EY3" s="20">
        <f ca="1">EX3+1</f>
        <v>44039</v>
      </c>
      <c r="EZ3" s="20">
        <f ca="1">EY3+1</f>
        <v>44040</v>
      </c>
      <c r="FA3" s="20">
        <f ca="1">EZ3+1</f>
        <v>44041</v>
      </c>
      <c r="FB3" s="20">
        <f ca="1">FA3+1</f>
        <v>44042</v>
      </c>
      <c r="FC3" s="20">
        <f ca="1">FB3+1</f>
        <v>44043</v>
      </c>
      <c r="FD3" s="20">
        <f ca="1">FC3+1</f>
        <v>44044</v>
      </c>
      <c r="FE3" s="20">
        <f ca="1">FD3+1</f>
        <v>44045</v>
      </c>
      <c r="FF3" s="20">
        <f ca="1">FE3+1</f>
        <v>44046</v>
      </c>
      <c r="FG3" s="20">
        <f ca="1">FF3+1</f>
        <v>44047</v>
      </c>
      <c r="FH3" s="20">
        <f ca="1">FG3+1</f>
        <v>44048</v>
      </c>
      <c r="FI3" s="20">
        <f ca="1">FH3+1</f>
        <v>44049</v>
      </c>
      <c r="FJ3" s="20">
        <f ca="1">FI3+1</f>
        <v>44050</v>
      </c>
      <c r="FK3" s="20">
        <f ca="1">FJ3+1</f>
        <v>44051</v>
      </c>
      <c r="FL3" s="20">
        <f ca="1">FK3+1</f>
        <v>44052</v>
      </c>
      <c r="FM3" s="20">
        <f ca="1">FL3+1</f>
        <v>44053</v>
      </c>
      <c r="FN3" s="20">
        <f ca="1">FM3+1</f>
        <v>44054</v>
      </c>
      <c r="FO3" s="20">
        <f ca="1">FN3+1</f>
        <v>44055</v>
      </c>
      <c r="FP3" s="20">
        <f ca="1">FO3+1</f>
        <v>44056</v>
      </c>
      <c r="FQ3" s="20">
        <f ca="1">FP3+1</f>
        <v>44057</v>
      </c>
      <c r="FR3" s="20">
        <f ca="1">FQ3+1</f>
        <v>44058</v>
      </c>
      <c r="FS3" s="20">
        <f ca="1">FR3+1</f>
        <v>44059</v>
      </c>
      <c r="FT3" s="20">
        <f ca="1">FS3+1</f>
        <v>44060</v>
      </c>
      <c r="FU3" s="20">
        <f ca="1">FT3+1</f>
        <v>44061</v>
      </c>
      <c r="FV3" s="20">
        <f ca="1">FU3+1</f>
        <v>44062</v>
      </c>
      <c r="FW3" s="20">
        <f ca="1">FV3+1</f>
        <v>44063</v>
      </c>
      <c r="FX3" s="20">
        <f ca="1">FW3+1</f>
        <v>44064</v>
      </c>
      <c r="FY3" s="20">
        <f ca="1">FX3+1</f>
        <v>44065</v>
      </c>
      <c r="FZ3" s="20">
        <f ca="1">FY3+1</f>
        <v>44066</v>
      </c>
      <c r="GA3" s="20">
        <f ca="1">FZ3+1</f>
        <v>44067</v>
      </c>
      <c r="GB3" s="20">
        <f ca="1">GA3+1</f>
        <v>44068</v>
      </c>
      <c r="GC3" s="20">
        <f ca="1">GB3+1</f>
        <v>44069</v>
      </c>
      <c r="GD3" s="20">
        <f ca="1">GC3+1</f>
        <v>44070</v>
      </c>
      <c r="GE3" s="20">
        <f ca="1">GD3+1</f>
        <v>44071</v>
      </c>
      <c r="GF3" s="20">
        <f ca="1">GE3+1</f>
        <v>44072</v>
      </c>
      <c r="GG3" s="20">
        <f ca="1">GF3+1</f>
        <v>44073</v>
      </c>
      <c r="GH3" s="20">
        <f ca="1">GG3+1</f>
        <v>44074</v>
      </c>
      <c r="GI3" s="20">
        <f ca="1">GH3+1</f>
        <v>44075</v>
      </c>
      <c r="GJ3" s="20">
        <f ca="1">GI3+1</f>
        <v>44076</v>
      </c>
      <c r="GK3" s="20">
        <f ca="1">GJ3+1</f>
        <v>44077</v>
      </c>
      <c r="GL3" s="20">
        <f ca="1">GK3+1</f>
        <v>44078</v>
      </c>
      <c r="GM3" s="20">
        <f ca="1">GL3+1</f>
        <v>44079</v>
      </c>
      <c r="GN3" s="20">
        <f ca="1">GM3+1</f>
        <v>44080</v>
      </c>
      <c r="GO3" s="20">
        <f ca="1">GN3+1</f>
        <v>44081</v>
      </c>
      <c r="GP3" s="20">
        <f ca="1">GO3+1</f>
        <v>44082</v>
      </c>
      <c r="GQ3" s="20">
        <f ca="1">GP3+1</f>
        <v>44083</v>
      </c>
      <c r="GR3" s="20">
        <f ca="1">GQ3+1</f>
        <v>44084</v>
      </c>
      <c r="GS3" s="20">
        <f ca="1">GR3+1</f>
        <v>44085</v>
      </c>
      <c r="GT3" s="20">
        <f ca="1">GS3+1</f>
        <v>44086</v>
      </c>
      <c r="GU3" s="20">
        <f ca="1">GT3+1</f>
        <v>44087</v>
      </c>
      <c r="GV3" s="20">
        <f ca="1">GU3+1</f>
        <v>44088</v>
      </c>
      <c r="GW3" s="20">
        <f ca="1">GV3+1</f>
        <v>44089</v>
      </c>
      <c r="GX3" s="20">
        <f ca="1">GW3+1</f>
        <v>44090</v>
      </c>
      <c r="GY3" s="20">
        <f ca="1">GX3+1</f>
        <v>44091</v>
      </c>
      <c r="GZ3" s="20">
        <f ca="1">GY3+1</f>
        <v>44092</v>
      </c>
      <c r="HA3" s="20">
        <f ca="1">GZ3+1</f>
        <v>44093</v>
      </c>
      <c r="HB3" s="20">
        <f ca="1">HA3+1</f>
        <v>44094</v>
      </c>
      <c r="HC3" s="20">
        <f ca="1">HB3+1</f>
        <v>44095</v>
      </c>
      <c r="HD3" s="20">
        <f ca="1">HC3+1</f>
        <v>44096</v>
      </c>
      <c r="HE3" s="20">
        <f ca="1">HD3+1</f>
        <v>44097</v>
      </c>
      <c r="HF3" s="20">
        <f ca="1">HE3+1</f>
        <v>44098</v>
      </c>
      <c r="HG3" s="20">
        <f ca="1">HF3+1</f>
        <v>44099</v>
      </c>
      <c r="HH3" s="20">
        <f ca="1">HG3+1</f>
        <v>44100</v>
      </c>
      <c r="HI3" s="20">
        <f ca="1">HH3+1</f>
        <v>44101</v>
      </c>
      <c r="HJ3" s="20">
        <f ca="1">HI3+1</f>
        <v>44102</v>
      </c>
      <c r="HK3" s="20">
        <f ca="1">HJ3+1</f>
        <v>44103</v>
      </c>
      <c r="HL3" s="20">
        <f ca="1">HK3+1</f>
        <v>44104</v>
      </c>
      <c r="HM3" s="20">
        <f ca="1">HL3+1</f>
        <v>44105</v>
      </c>
      <c r="HN3" s="20">
        <f ca="1">HM3+1</f>
        <v>44106</v>
      </c>
      <c r="HO3" s="20">
        <f ca="1">HN3+1</f>
        <v>44107</v>
      </c>
      <c r="HP3" s="20">
        <f ca="1">HO3+1</f>
        <v>44108</v>
      </c>
      <c r="HQ3" s="20">
        <f ca="1">HP3+1</f>
        <v>44109</v>
      </c>
      <c r="HR3" s="20">
        <f ca="1">HQ3+1</f>
        <v>44110</v>
      </c>
      <c r="HS3" s="20">
        <f ca="1">HR3+1</f>
        <v>44111</v>
      </c>
      <c r="HT3" s="20">
        <f ca="1">HS3+1</f>
        <v>44112</v>
      </c>
      <c r="HU3" s="20">
        <f ca="1">HT3+1</f>
        <v>44113</v>
      </c>
      <c r="HV3" s="20">
        <f ca="1">HU3+1</f>
        <v>44114</v>
      </c>
      <c r="HW3" s="20">
        <f ca="1">HV3+1</f>
        <v>44115</v>
      </c>
      <c r="HX3" s="20">
        <f ca="1">HW3+1</f>
        <v>44116</v>
      </c>
      <c r="HY3" s="20">
        <f ca="1">HX3+1</f>
        <v>44117</v>
      </c>
      <c r="HZ3" s="20">
        <f ca="1">HY3+1</f>
        <v>44118</v>
      </c>
      <c r="IA3" s="20">
        <f ca="1">HZ3+1</f>
        <v>44119</v>
      </c>
      <c r="IB3" s="20">
        <f ca="1">IA3+1</f>
        <v>44120</v>
      </c>
      <c r="IC3" s="20">
        <f ca="1">IB3+1</f>
        <v>44121</v>
      </c>
      <c r="ID3" s="20">
        <f ca="1">IC3+1</f>
        <v>44122</v>
      </c>
      <c r="IE3" s="20">
        <f ca="1">ID3+1</f>
        <v>44123</v>
      </c>
      <c r="IF3" s="20">
        <f ca="1">IE3+1</f>
        <v>44124</v>
      </c>
      <c r="IG3" s="20">
        <f ca="1">IF3+1</f>
        <v>44125</v>
      </c>
      <c r="IH3" s="20">
        <f ca="1">IG3+1</f>
        <v>44126</v>
      </c>
      <c r="II3" s="20">
        <f ca="1">IH3+1</f>
        <v>44127</v>
      </c>
      <c r="IJ3" s="20">
        <f ca="1">II3+1</f>
        <v>44128</v>
      </c>
      <c r="IK3" s="20">
        <f ca="1">IJ3+1</f>
        <v>44129</v>
      </c>
      <c r="IL3" s="20">
        <f ca="1">IK3+1</f>
        <v>44130</v>
      </c>
      <c r="IM3" s="20">
        <f ca="1">IL3+1</f>
        <v>44131</v>
      </c>
      <c r="IN3" s="20">
        <f ca="1">IM3+1</f>
        <v>44132</v>
      </c>
    </row>
    <row r="4" spans="2:248" x14ac:dyDescent="0.3">
      <c r="B4" s="19" t="s">
        <v>450</v>
      </c>
      <c r="C4" s="21">
        <f>VLOOKUP(B2,Days_Since_100!C:D,2,FALSE)</f>
        <v>15320</v>
      </c>
      <c r="G4" s="19">
        <v>0</v>
      </c>
      <c r="H4" s="19">
        <f>G4+1</f>
        <v>1</v>
      </c>
      <c r="I4" s="19">
        <f t="shared" ref="I4:BL4" si="0">H4+1</f>
        <v>2</v>
      </c>
      <c r="J4" s="19">
        <f t="shared" si="0"/>
        <v>3</v>
      </c>
      <c r="K4" s="19">
        <f t="shared" si="0"/>
        <v>4</v>
      </c>
      <c r="L4" s="19">
        <f t="shared" si="0"/>
        <v>5</v>
      </c>
      <c r="M4" s="19">
        <f t="shared" si="0"/>
        <v>6</v>
      </c>
      <c r="N4" s="19">
        <f t="shared" si="0"/>
        <v>7</v>
      </c>
      <c r="O4" s="19">
        <f t="shared" si="0"/>
        <v>8</v>
      </c>
      <c r="P4" s="19">
        <f t="shared" si="0"/>
        <v>9</v>
      </c>
      <c r="Q4" s="19">
        <f t="shared" si="0"/>
        <v>10</v>
      </c>
      <c r="R4" s="19">
        <f t="shared" si="0"/>
        <v>11</v>
      </c>
      <c r="S4" s="19">
        <f t="shared" si="0"/>
        <v>12</v>
      </c>
      <c r="T4" s="19">
        <f t="shared" si="0"/>
        <v>13</v>
      </c>
      <c r="U4" s="19">
        <f t="shared" si="0"/>
        <v>14</v>
      </c>
      <c r="V4" s="19">
        <f t="shared" si="0"/>
        <v>15</v>
      </c>
      <c r="W4" s="19">
        <f t="shared" si="0"/>
        <v>16</v>
      </c>
      <c r="X4" s="19">
        <f t="shared" si="0"/>
        <v>17</v>
      </c>
      <c r="Y4" s="19">
        <f t="shared" si="0"/>
        <v>18</v>
      </c>
      <c r="Z4" s="19">
        <f t="shared" si="0"/>
        <v>19</v>
      </c>
      <c r="AA4" s="19">
        <f t="shared" si="0"/>
        <v>20</v>
      </c>
      <c r="AB4" s="19">
        <f t="shared" si="0"/>
        <v>21</v>
      </c>
      <c r="AC4" s="19">
        <f t="shared" si="0"/>
        <v>22</v>
      </c>
      <c r="AD4" s="19">
        <f t="shared" si="0"/>
        <v>23</v>
      </c>
      <c r="AE4" s="19">
        <f t="shared" si="0"/>
        <v>24</v>
      </c>
      <c r="AF4" s="19">
        <f t="shared" si="0"/>
        <v>25</v>
      </c>
      <c r="AG4" s="19">
        <f t="shared" si="0"/>
        <v>26</v>
      </c>
      <c r="AH4" s="19">
        <f t="shared" si="0"/>
        <v>27</v>
      </c>
      <c r="AI4" s="19">
        <f t="shared" si="0"/>
        <v>28</v>
      </c>
      <c r="AJ4" s="19">
        <f t="shared" si="0"/>
        <v>29</v>
      </c>
      <c r="AK4" s="19">
        <f t="shared" si="0"/>
        <v>30</v>
      </c>
      <c r="AL4" s="19">
        <f t="shared" si="0"/>
        <v>31</v>
      </c>
      <c r="AM4" s="19">
        <f t="shared" si="0"/>
        <v>32</v>
      </c>
      <c r="AN4" s="19">
        <f t="shared" si="0"/>
        <v>33</v>
      </c>
      <c r="AO4" s="19">
        <f t="shared" si="0"/>
        <v>34</v>
      </c>
      <c r="AP4" s="19">
        <f t="shared" si="0"/>
        <v>35</v>
      </c>
      <c r="AQ4" s="19">
        <f t="shared" si="0"/>
        <v>36</v>
      </c>
      <c r="AR4" s="19">
        <f t="shared" si="0"/>
        <v>37</v>
      </c>
      <c r="AS4" s="19">
        <f t="shared" si="0"/>
        <v>38</v>
      </c>
      <c r="AT4" s="19">
        <f t="shared" si="0"/>
        <v>39</v>
      </c>
      <c r="AU4" s="19">
        <f t="shared" si="0"/>
        <v>40</v>
      </c>
      <c r="AV4" s="19">
        <f t="shared" si="0"/>
        <v>41</v>
      </c>
      <c r="AW4" s="19">
        <f t="shared" si="0"/>
        <v>42</v>
      </c>
      <c r="AX4" s="19">
        <f t="shared" si="0"/>
        <v>43</v>
      </c>
      <c r="AY4" s="19">
        <f t="shared" si="0"/>
        <v>44</v>
      </c>
      <c r="AZ4" s="19">
        <f t="shared" si="0"/>
        <v>45</v>
      </c>
      <c r="BA4" s="19">
        <f t="shared" si="0"/>
        <v>46</v>
      </c>
      <c r="BB4" s="19">
        <f t="shared" si="0"/>
        <v>47</v>
      </c>
      <c r="BC4" s="19">
        <f t="shared" si="0"/>
        <v>48</v>
      </c>
      <c r="BD4" s="19">
        <f t="shared" si="0"/>
        <v>49</v>
      </c>
      <c r="BE4" s="19">
        <f t="shared" si="0"/>
        <v>50</v>
      </c>
      <c r="BF4" s="19">
        <f t="shared" si="0"/>
        <v>51</v>
      </c>
      <c r="BG4" s="19">
        <f t="shared" si="0"/>
        <v>52</v>
      </c>
      <c r="BH4" s="19">
        <f t="shared" si="0"/>
        <v>53</v>
      </c>
      <c r="BI4" s="19">
        <f t="shared" si="0"/>
        <v>54</v>
      </c>
      <c r="BJ4" s="19">
        <f t="shared" si="0"/>
        <v>55</v>
      </c>
      <c r="BK4" s="19">
        <f t="shared" si="0"/>
        <v>56</v>
      </c>
      <c r="BL4" s="19">
        <f t="shared" si="0"/>
        <v>57</v>
      </c>
      <c r="BM4" s="19">
        <f t="shared" ref="BM3:BO4" si="1">BL4+1</f>
        <v>58</v>
      </c>
      <c r="BN4" s="19">
        <f t="shared" si="1"/>
        <v>59</v>
      </c>
      <c r="BO4" s="19">
        <f t="shared" si="1"/>
        <v>60</v>
      </c>
      <c r="BP4" s="19">
        <f t="shared" ref="BP4:CN4" si="2">BO4+1</f>
        <v>61</v>
      </c>
      <c r="BQ4" s="19">
        <f t="shared" si="2"/>
        <v>62</v>
      </c>
      <c r="BR4" s="19">
        <f t="shared" si="2"/>
        <v>63</v>
      </c>
      <c r="BS4" s="19">
        <f t="shared" si="2"/>
        <v>64</v>
      </c>
      <c r="BT4" s="19">
        <f t="shared" si="2"/>
        <v>65</v>
      </c>
      <c r="BU4" s="19">
        <f t="shared" si="2"/>
        <v>66</v>
      </c>
      <c r="BV4" s="19">
        <f t="shared" si="2"/>
        <v>67</v>
      </c>
      <c r="BW4" s="19">
        <f t="shared" si="2"/>
        <v>68</v>
      </c>
      <c r="BX4" s="19">
        <f t="shared" si="2"/>
        <v>69</v>
      </c>
      <c r="BY4" s="19">
        <f t="shared" si="2"/>
        <v>70</v>
      </c>
      <c r="BZ4" s="19">
        <f t="shared" si="2"/>
        <v>71</v>
      </c>
      <c r="CA4" s="19">
        <f t="shared" si="2"/>
        <v>72</v>
      </c>
      <c r="CB4" s="19">
        <f t="shared" si="2"/>
        <v>73</v>
      </c>
      <c r="CC4" s="19">
        <f t="shared" si="2"/>
        <v>74</v>
      </c>
      <c r="CD4" s="19">
        <f t="shared" si="2"/>
        <v>75</v>
      </c>
      <c r="CE4" s="19">
        <f t="shared" si="2"/>
        <v>76</v>
      </c>
      <c r="CF4" s="19">
        <f t="shared" si="2"/>
        <v>77</v>
      </c>
      <c r="CG4" s="19">
        <f t="shared" si="2"/>
        <v>78</v>
      </c>
      <c r="CH4" s="19">
        <f t="shared" si="2"/>
        <v>79</v>
      </c>
      <c r="CI4" s="19">
        <f t="shared" si="2"/>
        <v>80</v>
      </c>
      <c r="CJ4" s="19">
        <f t="shared" si="2"/>
        <v>81</v>
      </c>
      <c r="CK4" s="19">
        <f t="shared" si="2"/>
        <v>82</v>
      </c>
      <c r="CL4" s="19">
        <f t="shared" si="2"/>
        <v>83</v>
      </c>
      <c r="CM4" s="19">
        <f t="shared" si="2"/>
        <v>84</v>
      </c>
      <c r="CN4" s="19">
        <f t="shared" si="2"/>
        <v>85</v>
      </c>
      <c r="CO4" s="19">
        <f t="shared" ref="CO4:DC4" si="3">CN4+1</f>
        <v>86</v>
      </c>
      <c r="CP4" s="19">
        <f t="shared" si="3"/>
        <v>87</v>
      </c>
      <c r="CQ4" s="19">
        <f t="shared" si="3"/>
        <v>88</v>
      </c>
      <c r="CR4" s="19">
        <f t="shared" si="3"/>
        <v>89</v>
      </c>
      <c r="CS4" s="19">
        <f t="shared" si="3"/>
        <v>90</v>
      </c>
      <c r="CT4" s="19">
        <f t="shared" si="3"/>
        <v>91</v>
      </c>
      <c r="CU4" s="19">
        <f t="shared" si="3"/>
        <v>92</v>
      </c>
      <c r="CV4" s="19">
        <f t="shared" si="3"/>
        <v>93</v>
      </c>
      <c r="CW4" s="19">
        <f t="shared" si="3"/>
        <v>94</v>
      </c>
      <c r="CX4" s="19">
        <f t="shared" si="3"/>
        <v>95</v>
      </c>
      <c r="CY4" s="19">
        <f t="shared" si="3"/>
        <v>96</v>
      </c>
      <c r="CZ4" s="19">
        <f t="shared" si="3"/>
        <v>97</v>
      </c>
      <c r="DA4" s="19">
        <f t="shared" si="3"/>
        <v>98</v>
      </c>
      <c r="DB4" s="19">
        <f t="shared" si="3"/>
        <v>99</v>
      </c>
      <c r="DC4" s="19">
        <f t="shared" si="3"/>
        <v>100</v>
      </c>
      <c r="DD4" s="19">
        <f t="shared" ref="DD4:FJ4" si="4">DC4+1</f>
        <v>101</v>
      </c>
      <c r="DE4" s="19">
        <f t="shared" si="4"/>
        <v>102</v>
      </c>
      <c r="DF4" s="19">
        <f t="shared" si="4"/>
        <v>103</v>
      </c>
      <c r="DG4" s="19">
        <f t="shared" si="4"/>
        <v>104</v>
      </c>
      <c r="DH4" s="19">
        <f t="shared" si="4"/>
        <v>105</v>
      </c>
      <c r="DI4" s="19">
        <f t="shared" si="4"/>
        <v>106</v>
      </c>
      <c r="DJ4" s="19">
        <f t="shared" si="4"/>
        <v>107</v>
      </c>
      <c r="DK4" s="19">
        <f t="shared" si="4"/>
        <v>108</v>
      </c>
      <c r="DL4" s="19">
        <f t="shared" si="4"/>
        <v>109</v>
      </c>
      <c r="DM4" s="19">
        <f t="shared" si="4"/>
        <v>110</v>
      </c>
      <c r="DN4" s="19">
        <f t="shared" si="4"/>
        <v>111</v>
      </c>
      <c r="DO4" s="19">
        <f t="shared" si="4"/>
        <v>112</v>
      </c>
      <c r="DP4" s="19">
        <f t="shared" si="4"/>
        <v>113</v>
      </c>
      <c r="DQ4" s="19">
        <f t="shared" si="4"/>
        <v>114</v>
      </c>
      <c r="DR4" s="19">
        <f t="shared" si="4"/>
        <v>115</v>
      </c>
      <c r="DS4" s="19">
        <f t="shared" si="4"/>
        <v>116</v>
      </c>
      <c r="DT4" s="19">
        <f t="shared" si="4"/>
        <v>117</v>
      </c>
      <c r="DU4" s="19">
        <f t="shared" si="4"/>
        <v>118</v>
      </c>
      <c r="DV4" s="19">
        <f t="shared" si="4"/>
        <v>119</v>
      </c>
      <c r="DW4" s="19">
        <f t="shared" si="4"/>
        <v>120</v>
      </c>
      <c r="DX4" s="19">
        <f t="shared" si="4"/>
        <v>121</v>
      </c>
      <c r="DY4" s="19">
        <f t="shared" si="4"/>
        <v>122</v>
      </c>
      <c r="DZ4" s="19">
        <f t="shared" si="4"/>
        <v>123</v>
      </c>
      <c r="EA4" s="19">
        <f t="shared" si="4"/>
        <v>124</v>
      </c>
      <c r="EB4" s="19">
        <f t="shared" si="4"/>
        <v>125</v>
      </c>
      <c r="EC4" s="19">
        <f t="shared" si="4"/>
        <v>126</v>
      </c>
      <c r="ED4" s="19">
        <f t="shared" si="4"/>
        <v>127</v>
      </c>
      <c r="EE4" s="19">
        <f t="shared" si="4"/>
        <v>128</v>
      </c>
      <c r="EF4" s="19">
        <f t="shared" si="4"/>
        <v>129</v>
      </c>
      <c r="EG4" s="19">
        <f t="shared" si="4"/>
        <v>130</v>
      </c>
      <c r="EH4" s="19">
        <f t="shared" si="4"/>
        <v>131</v>
      </c>
      <c r="EI4" s="19">
        <f t="shared" si="4"/>
        <v>132</v>
      </c>
      <c r="EJ4" s="19">
        <f t="shared" si="4"/>
        <v>133</v>
      </c>
      <c r="EK4" s="19">
        <f t="shared" si="4"/>
        <v>134</v>
      </c>
      <c r="EL4" s="19">
        <f t="shared" si="4"/>
        <v>135</v>
      </c>
      <c r="EM4" s="19">
        <f t="shared" si="4"/>
        <v>136</v>
      </c>
      <c r="EN4" s="19">
        <f t="shared" si="4"/>
        <v>137</v>
      </c>
      <c r="EO4" s="19">
        <f t="shared" si="4"/>
        <v>138</v>
      </c>
      <c r="EP4" s="19">
        <f t="shared" si="4"/>
        <v>139</v>
      </c>
      <c r="EQ4" s="19">
        <f t="shared" si="4"/>
        <v>140</v>
      </c>
      <c r="ER4" s="19">
        <f t="shared" si="4"/>
        <v>141</v>
      </c>
      <c r="ES4" s="19">
        <f t="shared" si="4"/>
        <v>142</v>
      </c>
      <c r="ET4" s="19">
        <f t="shared" si="4"/>
        <v>143</v>
      </c>
      <c r="EU4" s="19">
        <f t="shared" si="4"/>
        <v>144</v>
      </c>
      <c r="EV4" s="19">
        <f t="shared" si="4"/>
        <v>145</v>
      </c>
      <c r="EW4" s="19">
        <f t="shared" si="4"/>
        <v>146</v>
      </c>
      <c r="EX4" s="19">
        <f t="shared" si="4"/>
        <v>147</v>
      </c>
      <c r="EY4" s="19">
        <f t="shared" si="4"/>
        <v>148</v>
      </c>
      <c r="EZ4" s="19">
        <f t="shared" si="4"/>
        <v>149</v>
      </c>
      <c r="FA4" s="19">
        <f t="shared" si="4"/>
        <v>150</v>
      </c>
      <c r="FB4" s="19">
        <f t="shared" si="4"/>
        <v>151</v>
      </c>
      <c r="FC4" s="19">
        <f t="shared" si="4"/>
        <v>152</v>
      </c>
      <c r="FD4" s="19">
        <f t="shared" si="4"/>
        <v>153</v>
      </c>
      <c r="FE4" s="19">
        <f t="shared" si="4"/>
        <v>154</v>
      </c>
      <c r="FF4" s="19">
        <f t="shared" si="4"/>
        <v>155</v>
      </c>
      <c r="FG4" s="19">
        <f t="shared" si="4"/>
        <v>156</v>
      </c>
      <c r="FH4" s="19">
        <f t="shared" si="4"/>
        <v>157</v>
      </c>
      <c r="FI4" s="19">
        <f t="shared" si="4"/>
        <v>158</v>
      </c>
      <c r="FJ4" s="19">
        <f t="shared" si="4"/>
        <v>159</v>
      </c>
      <c r="FK4" s="19">
        <f t="shared" ref="FK4:HV4" si="5">FJ4+1</f>
        <v>160</v>
      </c>
      <c r="FL4" s="19">
        <f t="shared" si="5"/>
        <v>161</v>
      </c>
      <c r="FM4" s="19">
        <f t="shared" si="5"/>
        <v>162</v>
      </c>
      <c r="FN4" s="19">
        <f t="shared" si="5"/>
        <v>163</v>
      </c>
      <c r="FO4" s="19">
        <f t="shared" si="5"/>
        <v>164</v>
      </c>
      <c r="FP4" s="19">
        <f t="shared" si="5"/>
        <v>165</v>
      </c>
      <c r="FQ4" s="19">
        <f t="shared" si="5"/>
        <v>166</v>
      </c>
      <c r="FR4" s="19">
        <f t="shared" si="5"/>
        <v>167</v>
      </c>
      <c r="FS4" s="19">
        <f t="shared" si="5"/>
        <v>168</v>
      </c>
      <c r="FT4" s="19">
        <f t="shared" si="5"/>
        <v>169</v>
      </c>
      <c r="FU4" s="19">
        <f t="shared" si="5"/>
        <v>170</v>
      </c>
      <c r="FV4" s="19">
        <f t="shared" si="5"/>
        <v>171</v>
      </c>
      <c r="FW4" s="19">
        <f t="shared" si="5"/>
        <v>172</v>
      </c>
      <c r="FX4" s="19">
        <f t="shared" si="5"/>
        <v>173</v>
      </c>
      <c r="FY4" s="19">
        <f t="shared" si="5"/>
        <v>174</v>
      </c>
      <c r="FZ4" s="19">
        <f t="shared" si="5"/>
        <v>175</v>
      </c>
      <c r="GA4" s="19">
        <f t="shared" si="5"/>
        <v>176</v>
      </c>
      <c r="GB4" s="19">
        <f t="shared" si="5"/>
        <v>177</v>
      </c>
      <c r="GC4" s="19">
        <f t="shared" si="5"/>
        <v>178</v>
      </c>
      <c r="GD4" s="19">
        <f t="shared" si="5"/>
        <v>179</v>
      </c>
      <c r="GE4" s="19">
        <f t="shared" si="5"/>
        <v>180</v>
      </c>
      <c r="GF4" s="19">
        <f t="shared" si="5"/>
        <v>181</v>
      </c>
      <c r="GG4" s="19">
        <f t="shared" si="5"/>
        <v>182</v>
      </c>
      <c r="GH4" s="19">
        <f t="shared" si="5"/>
        <v>183</v>
      </c>
      <c r="GI4" s="19">
        <f t="shared" si="5"/>
        <v>184</v>
      </c>
      <c r="GJ4" s="19">
        <f t="shared" si="5"/>
        <v>185</v>
      </c>
      <c r="GK4" s="19">
        <f t="shared" si="5"/>
        <v>186</v>
      </c>
      <c r="GL4" s="19">
        <f t="shared" si="5"/>
        <v>187</v>
      </c>
      <c r="GM4" s="19">
        <f t="shared" si="5"/>
        <v>188</v>
      </c>
      <c r="GN4" s="19">
        <f t="shared" si="5"/>
        <v>189</v>
      </c>
      <c r="GO4" s="19">
        <f t="shared" si="5"/>
        <v>190</v>
      </c>
      <c r="GP4" s="19">
        <f t="shared" si="5"/>
        <v>191</v>
      </c>
      <c r="GQ4" s="19">
        <f t="shared" si="5"/>
        <v>192</v>
      </c>
      <c r="GR4" s="19">
        <f t="shared" si="5"/>
        <v>193</v>
      </c>
      <c r="GS4" s="19">
        <f t="shared" si="5"/>
        <v>194</v>
      </c>
      <c r="GT4" s="19">
        <f t="shared" si="5"/>
        <v>195</v>
      </c>
      <c r="GU4" s="19">
        <f t="shared" si="5"/>
        <v>196</v>
      </c>
      <c r="GV4" s="19">
        <f t="shared" si="5"/>
        <v>197</v>
      </c>
      <c r="GW4" s="19">
        <f t="shared" si="5"/>
        <v>198</v>
      </c>
      <c r="GX4" s="19">
        <f t="shared" si="5"/>
        <v>199</v>
      </c>
      <c r="GY4" s="19">
        <f t="shared" si="5"/>
        <v>200</v>
      </c>
      <c r="GZ4" s="19">
        <f t="shared" si="5"/>
        <v>201</v>
      </c>
      <c r="HA4" s="19">
        <f t="shared" si="5"/>
        <v>202</v>
      </c>
      <c r="HB4" s="19">
        <f t="shared" si="5"/>
        <v>203</v>
      </c>
      <c r="HC4" s="19">
        <f t="shared" si="5"/>
        <v>204</v>
      </c>
      <c r="HD4" s="19">
        <f t="shared" si="5"/>
        <v>205</v>
      </c>
      <c r="HE4" s="19">
        <f t="shared" si="5"/>
        <v>206</v>
      </c>
      <c r="HF4" s="19">
        <f t="shared" si="5"/>
        <v>207</v>
      </c>
      <c r="HG4" s="19">
        <f t="shared" si="5"/>
        <v>208</v>
      </c>
      <c r="HH4" s="19">
        <f t="shared" si="5"/>
        <v>209</v>
      </c>
      <c r="HI4" s="19">
        <f t="shared" si="5"/>
        <v>210</v>
      </c>
      <c r="HJ4" s="19">
        <f t="shared" si="5"/>
        <v>211</v>
      </c>
      <c r="HK4" s="19">
        <f t="shared" si="5"/>
        <v>212</v>
      </c>
      <c r="HL4" s="19">
        <f t="shared" si="5"/>
        <v>213</v>
      </c>
      <c r="HM4" s="19">
        <f t="shared" si="5"/>
        <v>214</v>
      </c>
      <c r="HN4" s="19">
        <f t="shared" si="5"/>
        <v>215</v>
      </c>
      <c r="HO4" s="19">
        <f t="shared" si="5"/>
        <v>216</v>
      </c>
      <c r="HP4" s="19">
        <f t="shared" si="5"/>
        <v>217</v>
      </c>
      <c r="HQ4" s="19">
        <f t="shared" si="5"/>
        <v>218</v>
      </c>
      <c r="HR4" s="19">
        <f t="shared" si="5"/>
        <v>219</v>
      </c>
      <c r="HS4" s="19">
        <f t="shared" si="5"/>
        <v>220</v>
      </c>
      <c r="HT4" s="19">
        <f t="shared" si="5"/>
        <v>221</v>
      </c>
      <c r="HU4" s="19">
        <f t="shared" si="5"/>
        <v>222</v>
      </c>
      <c r="HV4" s="19">
        <f t="shared" si="5"/>
        <v>223</v>
      </c>
      <c r="HW4" s="19">
        <f t="shared" ref="HW4:IN4" si="6">HV4+1</f>
        <v>224</v>
      </c>
      <c r="HX4" s="19">
        <f t="shared" si="6"/>
        <v>225</v>
      </c>
      <c r="HY4" s="19">
        <f t="shared" si="6"/>
        <v>226</v>
      </c>
      <c r="HZ4" s="19">
        <f t="shared" si="6"/>
        <v>227</v>
      </c>
      <c r="IA4" s="19">
        <f t="shared" si="6"/>
        <v>228</v>
      </c>
      <c r="IB4" s="19">
        <f t="shared" si="6"/>
        <v>229</v>
      </c>
      <c r="IC4" s="19">
        <f t="shared" si="6"/>
        <v>230</v>
      </c>
      <c r="ID4" s="19">
        <f t="shared" si="6"/>
        <v>231</v>
      </c>
      <c r="IE4" s="19">
        <f t="shared" si="6"/>
        <v>232</v>
      </c>
      <c r="IF4" s="19">
        <f t="shared" si="6"/>
        <v>233</v>
      </c>
      <c r="IG4" s="19">
        <f t="shared" si="6"/>
        <v>234</v>
      </c>
      <c r="IH4" s="19">
        <f t="shared" si="6"/>
        <v>235</v>
      </c>
      <c r="II4" s="19">
        <f t="shared" si="6"/>
        <v>236</v>
      </c>
      <c r="IJ4" s="19">
        <f t="shared" si="6"/>
        <v>237</v>
      </c>
      <c r="IK4" s="19">
        <f t="shared" si="6"/>
        <v>238</v>
      </c>
      <c r="IL4" s="19">
        <f t="shared" si="6"/>
        <v>239</v>
      </c>
      <c r="IM4" s="19">
        <f t="shared" si="6"/>
        <v>240</v>
      </c>
      <c r="IN4" s="19">
        <f t="shared" si="6"/>
        <v>241</v>
      </c>
    </row>
    <row r="5" spans="2:248" x14ac:dyDescent="0.3">
      <c r="B5" s="19" t="s">
        <v>457</v>
      </c>
      <c r="C5" s="21">
        <f>COUNTIF(G5:BL5,"&gt;"&amp;0)</f>
        <v>19</v>
      </c>
      <c r="F5" s="19" t="s">
        <v>454</v>
      </c>
      <c r="G5" s="21">
        <f>IF(VLOOKUP($B$2,Days_Since_100!$H:$DJ,Projections_Data!G$4+2,FALSE)=0,#N/A,VLOOKUP($B$2,Days_Since_100!$H:$DJ,Projections_Data!G$4+2,FALSE))</f>
        <v>130</v>
      </c>
      <c r="H5" s="21">
        <f>IF(VLOOKUP($B$2,Days_Since_100!$H:$DJ,Projections_Data!H$4+2,FALSE)=0,#N/A,VLOOKUP($B$2,Days_Since_100!$H:$DJ,Projections_Data!H$4+2,FALSE))</f>
        <v>159</v>
      </c>
      <c r="I5" s="21">
        <f>IF(VLOOKUP($B$2,Days_Since_100!$H:$DJ,Projections_Data!I$4+2,FALSE)=0,#N/A,VLOOKUP($B$2,Days_Since_100!$H:$DJ,Projections_Data!I$4+2,FALSE))</f>
        <v>196</v>
      </c>
      <c r="J5" s="21">
        <f>IF(VLOOKUP($B$2,Days_Since_100!$H:$DJ,Projections_Data!J$4+2,FALSE)=0,#N/A,VLOOKUP($B$2,Days_Since_100!$H:$DJ,Projections_Data!J$4+2,FALSE))</f>
        <v>262</v>
      </c>
      <c r="K5" s="21">
        <f>IF(VLOOKUP($B$2,Days_Since_100!$H:$DJ,Projections_Data!K$4+2,FALSE)=0,#N/A,VLOOKUP($B$2,Days_Since_100!$H:$DJ,Projections_Data!K$4+2,FALSE))</f>
        <v>482</v>
      </c>
      <c r="L5" s="21">
        <f>IF(VLOOKUP($B$2,Days_Since_100!$H:$DJ,Projections_Data!L$4+2,FALSE)=0,#N/A,VLOOKUP($B$2,Days_Since_100!$H:$DJ,Projections_Data!L$4+2,FALSE))</f>
        <v>670</v>
      </c>
      <c r="M5" s="21">
        <f>IF(VLOOKUP($B$2,Days_Since_100!$H:$DJ,Projections_Data!M$4+2,FALSE)=0,#N/A,VLOOKUP($B$2,Days_Since_100!$H:$DJ,Projections_Data!M$4+2,FALSE))</f>
        <v>799</v>
      </c>
      <c r="N5" s="21">
        <f>IF(VLOOKUP($B$2,Days_Since_100!$H:$DJ,Projections_Data!N$4+2,FALSE)=0,#N/A,VLOOKUP($B$2,Days_Since_100!$H:$DJ,Projections_Data!N$4+2,FALSE))</f>
        <v>1040</v>
      </c>
      <c r="O5" s="21">
        <f>IF(VLOOKUP($B$2,Days_Since_100!$H:$DJ,Projections_Data!O$4+2,FALSE)=0,#N/A,VLOOKUP($B$2,Days_Since_100!$H:$DJ,Projections_Data!O$4+2,FALSE))</f>
        <v>1176</v>
      </c>
      <c r="P5" s="21">
        <f>IF(VLOOKUP($B$2,Days_Since_100!$H:$DJ,Projections_Data!P$4+2,FALSE)=0,#N/A,VLOOKUP($B$2,Days_Since_100!$H:$DJ,Projections_Data!P$4+2,FALSE))</f>
        <v>1457</v>
      </c>
      <c r="Q5" s="21">
        <f>IF(VLOOKUP($B$2,Days_Since_100!$H:$DJ,Projections_Data!Q$4+2,FALSE)=0,#N/A,VLOOKUP($B$2,Days_Since_100!$H:$DJ,Projections_Data!Q$4+2,FALSE))</f>
        <v>1908</v>
      </c>
      <c r="R5" s="21">
        <f>IF(VLOOKUP($B$2,Days_Since_100!$H:$DJ,Projections_Data!R$4+2,FALSE)=0,#N/A,VLOOKUP($B$2,Days_Since_100!$H:$DJ,Projections_Data!R$4+2,FALSE))</f>
        <v>2078</v>
      </c>
      <c r="S5" s="21">
        <f>IF(VLOOKUP($B$2,Days_Since_100!$H:$DJ,Projections_Data!S$4+2,FALSE)=0,#N/A,VLOOKUP($B$2,Days_Since_100!$H:$DJ,Projections_Data!S$4+2,FALSE))</f>
        <v>3675</v>
      </c>
      <c r="T5" s="21">
        <f>IF(VLOOKUP($B$2,Days_Since_100!$H:$DJ,Projections_Data!T$4+2,FALSE)=0,#N/A,VLOOKUP($B$2,Days_Since_100!$H:$DJ,Projections_Data!T$4+2,FALSE))</f>
        <v>4585</v>
      </c>
      <c r="U5" s="21">
        <f>IF(VLOOKUP($B$2,Days_Since_100!$H:$DJ,Projections_Data!U$4+2,FALSE)=0,#N/A,VLOOKUP($B$2,Days_Since_100!$H:$DJ,Projections_Data!U$4+2,FALSE))</f>
        <v>5795</v>
      </c>
      <c r="V5" s="21">
        <f>IF(VLOOKUP($B$2,Days_Since_100!$H:$DJ,Projections_Data!V$4+2,FALSE)=0,#N/A,VLOOKUP($B$2,Days_Since_100!$H:$DJ,Projections_Data!V$4+2,FALSE))</f>
        <v>7272</v>
      </c>
      <c r="W5" s="21">
        <f>IF(VLOOKUP($B$2,Days_Since_100!$H:$DJ,Projections_Data!W$4+2,FALSE)=0,#N/A,VLOOKUP($B$2,Days_Since_100!$H:$DJ,Projections_Data!W$4+2,FALSE))</f>
        <v>9257</v>
      </c>
      <c r="X5" s="21">
        <f>IF(VLOOKUP($B$2,Days_Since_100!$H:$DJ,Projections_Data!X$4+2,FALSE)=0,#N/A,VLOOKUP($B$2,Days_Since_100!$H:$DJ,Projections_Data!X$4+2,FALSE))</f>
        <v>12327</v>
      </c>
      <c r="Y5" s="21">
        <f>IF(VLOOKUP($B$2,Days_Since_100!$H:$DJ,Projections_Data!Y$4+2,FALSE)=0,#N/A,VLOOKUP($B$2,Days_Since_100!$H:$DJ,Projections_Data!Y$4+2,FALSE))</f>
        <v>15320</v>
      </c>
      <c r="Z5" s="21" t="e">
        <f>IF(VLOOKUP($B$2,Days_Since_100!$H:$DJ,Projections_Data!Z$4+2,FALSE)=0,#N/A,VLOOKUP($B$2,Days_Since_100!$H:$DJ,Projections_Data!Z$4+2,FALSE))</f>
        <v>#N/A</v>
      </c>
      <c r="AA5" s="21" t="e">
        <f>IF(VLOOKUP($B$2,Days_Since_100!$H:$DJ,Projections_Data!AA$4+2,FALSE)=0,#N/A,VLOOKUP($B$2,Days_Since_100!$H:$DJ,Projections_Data!AA$4+2,FALSE))</f>
        <v>#N/A</v>
      </c>
      <c r="AB5" s="21" t="e">
        <f>IF(VLOOKUP($B$2,Days_Since_100!$H:$DJ,Projections_Data!AB$4+2,FALSE)=0,#N/A,VLOOKUP($B$2,Days_Since_100!$H:$DJ,Projections_Data!AB$4+2,FALSE))</f>
        <v>#N/A</v>
      </c>
      <c r="AC5" s="21" t="e">
        <f>IF(VLOOKUP($B$2,Days_Since_100!$H:$DJ,Projections_Data!AC$4+2,FALSE)=0,#N/A,VLOOKUP($B$2,Days_Since_100!$H:$DJ,Projections_Data!AC$4+2,FALSE))</f>
        <v>#N/A</v>
      </c>
      <c r="AD5" s="21" t="e">
        <f>IF(VLOOKUP($B$2,Days_Since_100!$H:$DJ,Projections_Data!AD$4+2,FALSE)=0,#N/A,VLOOKUP($B$2,Days_Since_100!$H:$DJ,Projections_Data!AD$4+2,FALSE))</f>
        <v>#N/A</v>
      </c>
      <c r="AE5" s="21" t="e">
        <f>IF(VLOOKUP($B$2,Days_Since_100!$H:$DJ,Projections_Data!AE$4+2,FALSE)=0,#N/A,VLOOKUP($B$2,Days_Since_100!$H:$DJ,Projections_Data!AE$4+2,FALSE))</f>
        <v>#N/A</v>
      </c>
      <c r="AF5" s="21" t="e">
        <f>IF(VLOOKUP($B$2,Days_Since_100!$H:$DJ,Projections_Data!AF$4+2,FALSE)=0,#N/A,VLOOKUP($B$2,Days_Since_100!$H:$DJ,Projections_Data!AF$4+2,FALSE))</f>
        <v>#N/A</v>
      </c>
      <c r="AG5" s="21" t="e">
        <f>IF(VLOOKUP($B$2,Days_Since_100!$H:$DJ,Projections_Data!AG$4+2,FALSE)=0,#N/A,VLOOKUP($B$2,Days_Since_100!$H:$DJ,Projections_Data!AG$4+2,FALSE))</f>
        <v>#N/A</v>
      </c>
      <c r="AH5" s="21" t="e">
        <f>IF(VLOOKUP($B$2,Days_Since_100!$H:$DJ,Projections_Data!AH$4+2,FALSE)=0,#N/A,VLOOKUP($B$2,Days_Since_100!$H:$DJ,Projections_Data!AH$4+2,FALSE))</f>
        <v>#N/A</v>
      </c>
      <c r="AI5" s="21" t="e">
        <f>IF(VLOOKUP($B$2,Days_Since_100!$H:$DJ,Projections_Data!AI$4+2,FALSE)=0,#N/A,VLOOKUP($B$2,Days_Since_100!$H:$DJ,Projections_Data!AI$4+2,FALSE))</f>
        <v>#N/A</v>
      </c>
      <c r="AJ5" s="21" t="e">
        <f>IF(VLOOKUP($B$2,Days_Since_100!$H:$DJ,Projections_Data!AJ$4+2,FALSE)=0,#N/A,VLOOKUP($B$2,Days_Since_100!$H:$DJ,Projections_Data!AJ$4+2,FALSE))</f>
        <v>#N/A</v>
      </c>
      <c r="AK5" s="21" t="e">
        <f>IF(VLOOKUP($B$2,Days_Since_100!$H:$DJ,Projections_Data!AK$4+2,FALSE)=0,#N/A,VLOOKUP($B$2,Days_Since_100!$H:$DJ,Projections_Data!AK$4+2,FALSE))</f>
        <v>#N/A</v>
      </c>
      <c r="AL5" s="21" t="e">
        <f>IF(VLOOKUP($B$2,Days_Since_100!$H:$DJ,Projections_Data!AL$4+2,FALSE)=0,#N/A,VLOOKUP($B$2,Days_Since_100!$H:$DJ,Projections_Data!AL$4+2,FALSE))</f>
        <v>#N/A</v>
      </c>
      <c r="AM5" s="21" t="e">
        <f>IF(VLOOKUP($B$2,Days_Since_100!$H:$DJ,Projections_Data!AM$4+2,FALSE)=0,#N/A,VLOOKUP($B$2,Days_Since_100!$H:$DJ,Projections_Data!AM$4+2,FALSE))</f>
        <v>#N/A</v>
      </c>
      <c r="AN5" s="21" t="e">
        <f>IF(VLOOKUP($B$2,Days_Since_100!$H:$DJ,Projections_Data!AN$4+2,FALSE)=0,#N/A,VLOOKUP($B$2,Days_Since_100!$H:$DJ,Projections_Data!AN$4+2,FALSE))</f>
        <v>#N/A</v>
      </c>
      <c r="AO5" s="21" t="e">
        <f>IF(VLOOKUP($B$2,Days_Since_100!$H:$DJ,Projections_Data!AO$4+2,FALSE)=0,#N/A,VLOOKUP($B$2,Days_Since_100!$H:$DJ,Projections_Data!AO$4+2,FALSE))</f>
        <v>#N/A</v>
      </c>
      <c r="AP5" s="21" t="e">
        <f>IF(VLOOKUP($B$2,Days_Since_100!$H:$DJ,Projections_Data!AP$4+2,FALSE)=0,#N/A,VLOOKUP($B$2,Days_Since_100!$H:$DJ,Projections_Data!AP$4+2,FALSE))</f>
        <v>#N/A</v>
      </c>
      <c r="AQ5" s="21" t="e">
        <f>IF(VLOOKUP($B$2,Days_Since_100!$H:$DJ,Projections_Data!AQ$4+2,FALSE)=0,#N/A,VLOOKUP($B$2,Days_Since_100!$H:$DJ,Projections_Data!AQ$4+2,FALSE))</f>
        <v>#N/A</v>
      </c>
      <c r="AR5" s="21" t="e">
        <f>IF(VLOOKUP($B$2,Days_Since_100!$H:$DJ,Projections_Data!AR$4+2,FALSE)=0,#N/A,VLOOKUP($B$2,Days_Since_100!$H:$DJ,Projections_Data!AR$4+2,FALSE))</f>
        <v>#N/A</v>
      </c>
      <c r="AS5" s="21" t="e">
        <f>IF(VLOOKUP($B$2,Days_Since_100!$H:$DJ,Projections_Data!AS$4+2,FALSE)=0,#N/A,VLOOKUP($B$2,Days_Since_100!$H:$DJ,Projections_Data!AS$4+2,FALSE))</f>
        <v>#N/A</v>
      </c>
      <c r="AT5" s="21" t="e">
        <f>IF(VLOOKUP($B$2,Days_Since_100!$H:$DJ,Projections_Data!AT$4+2,FALSE)=0,#N/A,VLOOKUP($B$2,Days_Since_100!$H:$DJ,Projections_Data!AT$4+2,FALSE))</f>
        <v>#N/A</v>
      </c>
      <c r="AU5" s="21" t="e">
        <f>IF(VLOOKUP($B$2,Days_Since_100!$H:$DJ,Projections_Data!AU$4+2,FALSE)=0,#N/A,VLOOKUP($B$2,Days_Since_100!$H:$DJ,Projections_Data!AU$4+2,FALSE))</f>
        <v>#N/A</v>
      </c>
      <c r="AV5" s="21" t="e">
        <f>IF(VLOOKUP($B$2,Days_Since_100!$H:$DJ,Projections_Data!AV$4+2,FALSE)=0,#N/A,VLOOKUP($B$2,Days_Since_100!$H:$DJ,Projections_Data!AV$4+2,FALSE))</f>
        <v>#N/A</v>
      </c>
      <c r="AW5" s="21" t="e">
        <f>IF(VLOOKUP($B$2,Days_Since_100!$H:$DJ,Projections_Data!AW$4+2,FALSE)=0,#N/A,VLOOKUP($B$2,Days_Since_100!$H:$DJ,Projections_Data!AW$4+2,FALSE))</f>
        <v>#N/A</v>
      </c>
      <c r="AX5" s="21" t="e">
        <f>IF(VLOOKUP($B$2,Days_Since_100!$H:$DJ,Projections_Data!AX$4+2,FALSE)=0,#N/A,VLOOKUP($B$2,Days_Since_100!$H:$DJ,Projections_Data!AX$4+2,FALSE))</f>
        <v>#N/A</v>
      </c>
      <c r="AY5" s="21" t="e">
        <f>IF(VLOOKUP($B$2,Days_Since_100!$H:$DJ,Projections_Data!AY$4+2,FALSE)=0,#N/A,VLOOKUP($B$2,Days_Since_100!$H:$DJ,Projections_Data!AY$4+2,FALSE))</f>
        <v>#N/A</v>
      </c>
      <c r="AZ5" s="21" t="e">
        <f>IF(VLOOKUP($B$2,Days_Since_100!$H:$DJ,Projections_Data!AZ$4+2,FALSE)=0,#N/A,VLOOKUP($B$2,Days_Since_100!$H:$DJ,Projections_Data!AZ$4+2,FALSE))</f>
        <v>#N/A</v>
      </c>
      <c r="BA5" s="21" t="e">
        <f>IF(VLOOKUP($B$2,Days_Since_100!$H:$DJ,Projections_Data!BA$4+2,FALSE)=0,#N/A,VLOOKUP($B$2,Days_Since_100!$H:$DJ,Projections_Data!BA$4+2,FALSE))</f>
        <v>#N/A</v>
      </c>
      <c r="BB5" s="21" t="e">
        <f>IF(VLOOKUP($B$2,Days_Since_100!$H:$DJ,Projections_Data!BB$4+2,FALSE)=0,#N/A,VLOOKUP($B$2,Days_Since_100!$H:$DJ,Projections_Data!BB$4+2,FALSE))</f>
        <v>#N/A</v>
      </c>
      <c r="BC5" s="21" t="e">
        <f>IF(VLOOKUP($B$2,Days_Since_100!$H:$DJ,Projections_Data!BC$4+2,FALSE)=0,#N/A,VLOOKUP($B$2,Days_Since_100!$H:$DJ,Projections_Data!BC$4+2,FALSE))</f>
        <v>#N/A</v>
      </c>
      <c r="BD5" s="21" t="e">
        <f>IF(VLOOKUP($B$2,Days_Since_100!$H:$DJ,Projections_Data!BD$4+2,FALSE)=0,#N/A,VLOOKUP($B$2,Days_Since_100!$H:$DJ,Projections_Data!BD$4+2,FALSE))</f>
        <v>#N/A</v>
      </c>
      <c r="BE5" s="21" t="e">
        <f>IF(VLOOKUP($B$2,Days_Since_100!$H:$DJ,Projections_Data!BE$4+2,FALSE)=0,#N/A,VLOOKUP($B$2,Days_Since_100!$H:$DJ,Projections_Data!BE$4+2,FALSE))</f>
        <v>#N/A</v>
      </c>
      <c r="BF5" s="21" t="e">
        <f>IF(VLOOKUP($B$2,Days_Since_100!$H:$DJ,Projections_Data!BF$4+2,FALSE)=0,#N/A,VLOOKUP($B$2,Days_Since_100!$H:$DJ,Projections_Data!BF$4+2,FALSE))</f>
        <v>#N/A</v>
      </c>
      <c r="BG5" s="21" t="e">
        <f>IF(VLOOKUP($B$2,Days_Since_100!$H:$DJ,Projections_Data!BG$4+2,FALSE)=0,#N/A,VLOOKUP($B$2,Days_Since_100!$H:$DJ,Projections_Data!BG$4+2,FALSE))</f>
        <v>#N/A</v>
      </c>
      <c r="BH5" s="21" t="e">
        <f>IF(VLOOKUP($B$2,Days_Since_100!$H:$DJ,Projections_Data!BH$4+2,FALSE)=0,#N/A,VLOOKUP($B$2,Days_Since_100!$H:$DJ,Projections_Data!BH$4+2,FALSE))</f>
        <v>#N/A</v>
      </c>
      <c r="BI5" s="21" t="e">
        <f>IF(VLOOKUP($B$2,Days_Since_100!$H:$DJ,Projections_Data!BI$4+2,FALSE)=0,#N/A,VLOOKUP($B$2,Days_Since_100!$H:$DJ,Projections_Data!BI$4+2,FALSE))</f>
        <v>#N/A</v>
      </c>
      <c r="BJ5" s="21" t="e">
        <f>IF(VLOOKUP($B$2,Days_Since_100!$H:$DJ,Projections_Data!BJ$4+2,FALSE)=0,#N/A,VLOOKUP($B$2,Days_Since_100!$H:$DJ,Projections_Data!BJ$4+2,FALSE))</f>
        <v>#N/A</v>
      </c>
      <c r="BK5" s="21" t="e">
        <f>IF(VLOOKUP($B$2,Days_Since_100!$H:$DJ,Projections_Data!BK$4+2,FALSE)=0,#N/A,VLOOKUP($B$2,Days_Since_100!$H:$DJ,Projections_Data!BK$4+2,FALSE))</f>
        <v>#N/A</v>
      </c>
      <c r="BL5" s="21" t="e">
        <f>IF(VLOOKUP($B$2,Days_Since_100!$H:$DJ,Projections_Data!BL$4+2,FALSE)=0,#N/A,VLOOKUP($B$2,Days_Since_100!$H:$DJ,Projections_Data!BL$4+2,FALSE))</f>
        <v>#N/A</v>
      </c>
      <c r="BM5" s="21" t="e">
        <f>IF(VLOOKUP($B$2,Days_Since_100!$H:$DJ,Projections_Data!BM$4+2,FALSE)=0,#N/A,VLOOKUP($B$2,Days_Since_100!$H:$DJ,Projections_Data!BM$4+2,FALSE))</f>
        <v>#N/A</v>
      </c>
      <c r="BN5" s="21" t="e">
        <f>IF(VLOOKUP($B$2,Days_Since_100!$H:$DJ,Projections_Data!BN$4+2,FALSE)=0,#N/A,VLOOKUP($B$2,Days_Since_100!$H:$DJ,Projections_Data!BN$4+2,FALSE))</f>
        <v>#N/A</v>
      </c>
      <c r="BO5" s="21" t="e">
        <f>IF(VLOOKUP($B$2,Days_Since_100!$H:$DJ,Projections_Data!BO$4+2,FALSE)=0,#N/A,VLOOKUP($B$2,Days_Since_100!$H:$DJ,Projections_Data!BO$4+2,FALSE))</f>
        <v>#N/A</v>
      </c>
      <c r="BP5" s="21" t="e">
        <f>IF(VLOOKUP($B$2,Days_Since_100!$H:$DJ,Projections_Data!BP$4+2,FALSE)=0,#N/A,VLOOKUP($B$2,Days_Since_100!$H:$DJ,Projections_Data!BP$4+2,FALSE))</f>
        <v>#N/A</v>
      </c>
      <c r="BQ5" s="21" t="e">
        <f>IF(VLOOKUP($B$2,Days_Since_100!$H:$DJ,Projections_Data!BQ$4+2,FALSE)=0,#N/A,VLOOKUP($B$2,Days_Since_100!$H:$DJ,Projections_Data!BQ$4+2,FALSE))</f>
        <v>#N/A</v>
      </c>
      <c r="BR5" s="21" t="e">
        <f>IF(VLOOKUP($B$2,Days_Since_100!$H:$DJ,Projections_Data!BR$4+2,FALSE)=0,#N/A,VLOOKUP($B$2,Days_Since_100!$H:$DJ,Projections_Data!BR$4+2,FALSE))</f>
        <v>#N/A</v>
      </c>
      <c r="BS5" s="21" t="e">
        <f>IF(VLOOKUP($B$2,Days_Since_100!$H:$DJ,Projections_Data!BS$4+2,FALSE)=0,#N/A,VLOOKUP($B$2,Days_Since_100!$H:$DJ,Projections_Data!BS$4+2,FALSE))</f>
        <v>#N/A</v>
      </c>
      <c r="BT5" s="21" t="e">
        <f>IF(VLOOKUP($B$2,Days_Since_100!$H:$DJ,Projections_Data!BT$4+2,FALSE)=0,#N/A,VLOOKUP($B$2,Days_Since_100!$H:$DJ,Projections_Data!BT$4+2,FALSE))</f>
        <v>#N/A</v>
      </c>
      <c r="BU5" s="21" t="e">
        <f>IF(VLOOKUP($B$2,Days_Since_100!$H:$DJ,Projections_Data!BU$4+2,FALSE)=0,#N/A,VLOOKUP($B$2,Days_Since_100!$H:$DJ,Projections_Data!BU$4+2,FALSE))</f>
        <v>#N/A</v>
      </c>
      <c r="BV5" s="21" t="e">
        <f>IF(VLOOKUP($B$2,Days_Since_100!$H:$DJ,Projections_Data!BV$4+2,FALSE)=0,#N/A,VLOOKUP($B$2,Days_Since_100!$H:$DJ,Projections_Data!BV$4+2,FALSE))</f>
        <v>#N/A</v>
      </c>
      <c r="BW5" s="21" t="e">
        <f>IF(VLOOKUP($B$2,Days_Since_100!$H:$DJ,Projections_Data!BW$4+2,FALSE)=0,#N/A,VLOOKUP($B$2,Days_Since_100!$H:$DJ,Projections_Data!BW$4+2,FALSE))</f>
        <v>#N/A</v>
      </c>
      <c r="BX5" s="21" t="e">
        <f>IF(VLOOKUP($B$2,Days_Since_100!$H:$DJ,Projections_Data!BX$4+2,FALSE)=0,#N/A,VLOOKUP($B$2,Days_Since_100!$H:$DJ,Projections_Data!BX$4+2,FALSE))</f>
        <v>#N/A</v>
      </c>
      <c r="BY5" s="21" t="e">
        <f>IF(VLOOKUP($B$2,Days_Since_100!$H:$DJ,Projections_Data!BY$4+2,FALSE)=0,#N/A,VLOOKUP($B$2,Days_Since_100!$H:$DJ,Projections_Data!BY$4+2,FALSE))</f>
        <v>#N/A</v>
      </c>
      <c r="BZ5" s="21" t="e">
        <f>IF(VLOOKUP($B$2,Days_Since_100!$H:$DJ,Projections_Data!BZ$4+2,FALSE)=0,#N/A,VLOOKUP($B$2,Days_Since_100!$H:$DJ,Projections_Data!BZ$4+2,FALSE))</f>
        <v>#N/A</v>
      </c>
      <c r="CA5" s="21" t="e">
        <f>IF(VLOOKUP($B$2,Days_Since_100!$H:$DJ,Projections_Data!CA$4+2,FALSE)=0,#N/A,VLOOKUP($B$2,Days_Since_100!$H:$DJ,Projections_Data!CA$4+2,FALSE))</f>
        <v>#N/A</v>
      </c>
      <c r="CB5" s="21" t="e">
        <f>IF(VLOOKUP($B$2,Days_Since_100!$H:$DJ,Projections_Data!CB$4+2,FALSE)=0,#N/A,VLOOKUP($B$2,Days_Since_100!$H:$DJ,Projections_Data!CB$4+2,FALSE))</f>
        <v>#N/A</v>
      </c>
      <c r="CC5" s="21" t="e">
        <f>IF(VLOOKUP($B$2,Days_Since_100!$H:$DJ,Projections_Data!CC$4+2,FALSE)=0,#N/A,VLOOKUP($B$2,Days_Since_100!$H:$DJ,Projections_Data!CC$4+2,FALSE))</f>
        <v>#N/A</v>
      </c>
      <c r="CD5" s="21" t="e">
        <f>IF(VLOOKUP($B$2,Days_Since_100!$H:$DJ,Projections_Data!CD$4+2,FALSE)=0,#N/A,VLOOKUP($B$2,Days_Since_100!$H:$DJ,Projections_Data!CD$4+2,FALSE))</f>
        <v>#N/A</v>
      </c>
      <c r="CE5" s="21" t="e">
        <f>IF(VLOOKUP($B$2,Days_Since_100!$H:$DJ,Projections_Data!CE$4+2,FALSE)=0,#N/A,VLOOKUP($B$2,Days_Since_100!$H:$DJ,Projections_Data!CE$4+2,FALSE))</f>
        <v>#N/A</v>
      </c>
      <c r="CF5" s="21" t="e">
        <f>IF(VLOOKUP($B$2,Days_Since_100!$H:$DJ,Projections_Data!CF$4+2,FALSE)=0,#N/A,VLOOKUP($B$2,Days_Since_100!$H:$DJ,Projections_Data!CF$4+2,FALSE))</f>
        <v>#N/A</v>
      </c>
      <c r="CG5" s="21" t="e">
        <f>IF(VLOOKUP($B$2,Days_Since_100!$H:$DJ,Projections_Data!CG$4+2,FALSE)=0,#N/A,VLOOKUP($B$2,Days_Since_100!$H:$DJ,Projections_Data!CG$4+2,FALSE))</f>
        <v>#N/A</v>
      </c>
      <c r="CH5" s="21" t="e">
        <f>IF(VLOOKUP($B$2,Days_Since_100!$H:$DJ,Projections_Data!CH$4+2,FALSE)=0,#N/A,VLOOKUP($B$2,Days_Since_100!$H:$DJ,Projections_Data!CH$4+2,FALSE))</f>
        <v>#N/A</v>
      </c>
      <c r="CI5" s="21" t="e">
        <f>IF(VLOOKUP($B$2,Days_Since_100!$H:$DJ,Projections_Data!CI$4+2,FALSE)=0,#N/A,VLOOKUP($B$2,Days_Since_100!$H:$DJ,Projections_Data!CI$4+2,FALSE))</f>
        <v>#N/A</v>
      </c>
      <c r="CJ5" s="21" t="e">
        <f>IF(VLOOKUP($B$2,Days_Since_100!$H:$DJ,Projections_Data!CJ$4+2,FALSE)=0,#N/A,VLOOKUP($B$2,Days_Since_100!$H:$DJ,Projections_Data!CJ$4+2,FALSE))</f>
        <v>#N/A</v>
      </c>
      <c r="CK5" s="21" t="e">
        <f>IF(VLOOKUP($B$2,Days_Since_100!$H:$DJ,Projections_Data!CK$4+2,FALSE)=0,#N/A,VLOOKUP($B$2,Days_Since_100!$H:$DJ,Projections_Data!CK$4+2,FALSE))</f>
        <v>#N/A</v>
      </c>
      <c r="CL5" s="21" t="e">
        <f>IF(VLOOKUP($B$2,Days_Since_100!$H:$DJ,Projections_Data!CL$4+2,FALSE)=0,#N/A,VLOOKUP($B$2,Days_Since_100!$H:$DJ,Projections_Data!CL$4+2,FALSE))</f>
        <v>#N/A</v>
      </c>
      <c r="CM5" s="21" t="e">
        <f>IF(VLOOKUP($B$2,Days_Since_100!$H:$DJ,Projections_Data!CM$4+2,FALSE)=0,#N/A,VLOOKUP($B$2,Days_Since_100!$H:$DJ,Projections_Data!CM$4+2,FALSE))</f>
        <v>#N/A</v>
      </c>
      <c r="CN5" s="21" t="e">
        <f>IF(VLOOKUP($B$2,Days_Since_100!$H:$DJ,Projections_Data!CN$4+2,FALSE)=0,#N/A,VLOOKUP($B$2,Days_Since_100!$H:$DJ,Projections_Data!CN$4+2,FALSE))</f>
        <v>#N/A</v>
      </c>
      <c r="CO5" s="21" t="e">
        <f>IF(VLOOKUP($B$2,Days_Since_100!$H:$DJ,Projections_Data!CO$4+2,FALSE)=0,#N/A,VLOOKUP($B$2,Days_Since_100!$H:$DJ,Projections_Data!CO$4+2,FALSE))</f>
        <v>#N/A</v>
      </c>
      <c r="CP5" s="21" t="e">
        <f>IF(VLOOKUP($B$2,Days_Since_100!$H:$DJ,Projections_Data!CP$4+2,FALSE)=0,#N/A,VLOOKUP($B$2,Days_Since_100!$H:$DJ,Projections_Data!CP$4+2,FALSE))</f>
        <v>#N/A</v>
      </c>
      <c r="CQ5" s="21" t="e">
        <f>IF(VLOOKUP($B$2,Days_Since_100!$H:$DJ,Projections_Data!CQ$4+2,FALSE)=0,#N/A,VLOOKUP($B$2,Days_Since_100!$H:$DJ,Projections_Data!CQ$4+2,FALSE))</f>
        <v>#N/A</v>
      </c>
      <c r="CR5" s="21" t="e">
        <f>IF(VLOOKUP($B$2,Days_Since_100!$H:$DJ,Projections_Data!CR$4+2,FALSE)=0,#N/A,VLOOKUP($B$2,Days_Since_100!$H:$DJ,Projections_Data!CR$4+2,FALSE))</f>
        <v>#N/A</v>
      </c>
      <c r="CS5" s="21" t="e">
        <f>IF(VLOOKUP($B$2,Days_Since_100!$H:$DJ,Projections_Data!CS$4+2,FALSE)=0,#N/A,VLOOKUP($B$2,Days_Since_100!$H:$DJ,Projections_Data!CS$4+2,FALSE))</f>
        <v>#N/A</v>
      </c>
      <c r="CT5" s="21" t="e">
        <f>IF(VLOOKUP($B$2,Days_Since_100!$H:$DJ,Projections_Data!CT$4+2,FALSE)=0,#N/A,VLOOKUP($B$2,Days_Since_100!$H:$DJ,Projections_Data!CT$4+2,FALSE))</f>
        <v>#N/A</v>
      </c>
      <c r="CU5" s="21" t="e">
        <f>IF(VLOOKUP($B$2,Days_Since_100!$H:$KU,Projections_Data!CU$4+2,FALSE)=0,#N/A,VLOOKUP($B$2,Days_Since_100!$H:$KU,Projections_Data!CU$4+2,FALSE))</f>
        <v>#N/A</v>
      </c>
      <c r="CV5" s="21" t="e">
        <f>IF(VLOOKUP($B$2,Days_Since_100!$H:$KU,Projections_Data!CV$4+2,FALSE)=0,#N/A,VLOOKUP($B$2,Days_Since_100!$H:$KU,Projections_Data!CV$4+2,FALSE))</f>
        <v>#N/A</v>
      </c>
      <c r="CW5" s="21" t="e">
        <f>IF(VLOOKUP($B$2,Days_Since_100!$H:$KU,Projections_Data!CW$4+2,FALSE)=0,#N/A,VLOOKUP($B$2,Days_Since_100!$H:$KU,Projections_Data!CW$4+2,FALSE))</f>
        <v>#N/A</v>
      </c>
      <c r="CX5" s="21" t="e">
        <f>IF(VLOOKUP($B$2,Days_Since_100!$H:$KU,Projections_Data!CX$4+2,FALSE)=0,#N/A,VLOOKUP($B$2,Days_Since_100!$H:$KU,Projections_Data!CX$4+2,FALSE))</f>
        <v>#N/A</v>
      </c>
      <c r="CY5" s="21" t="e">
        <f>IF(VLOOKUP($B$2,Days_Since_100!$H:$KU,Projections_Data!CY$4+2,FALSE)=0,#N/A,VLOOKUP($B$2,Days_Since_100!$H:$KU,Projections_Data!CY$4+2,FALSE))</f>
        <v>#N/A</v>
      </c>
      <c r="CZ5" s="21" t="e">
        <f>IF(VLOOKUP($B$2,Days_Since_100!$H:$KU,Projections_Data!CZ$4+2,FALSE)=0,#N/A,VLOOKUP($B$2,Days_Since_100!$H:$KU,Projections_Data!CZ$4+2,FALSE))</f>
        <v>#N/A</v>
      </c>
      <c r="DA5" s="21" t="e">
        <f>IF(VLOOKUP($B$2,Days_Since_100!$H:$KU,Projections_Data!DA$4+2,FALSE)=0,#N/A,VLOOKUP($B$2,Days_Since_100!$H:$KU,Projections_Data!DA$4+2,FALSE))</f>
        <v>#N/A</v>
      </c>
      <c r="DB5" s="21" t="e">
        <f>IF(VLOOKUP($B$2,Days_Since_100!$H:$KU,Projections_Data!DB$4+2,FALSE)=0,#N/A,VLOOKUP($B$2,Days_Since_100!$H:$KU,Projections_Data!DB$4+2,FALSE))</f>
        <v>#N/A</v>
      </c>
      <c r="DC5" s="21" t="e">
        <f>IF(VLOOKUP($B$2,Days_Since_100!$H:$KU,Projections_Data!DC$4+2,FALSE)=0,#N/A,VLOOKUP($B$2,Days_Since_100!$H:$KU,Projections_Data!DC$4+2,FALSE))</f>
        <v>#N/A</v>
      </c>
      <c r="DD5" s="21" t="e">
        <f>IF(VLOOKUP($B$2,Days_Since_100!$H:$KU,Projections_Data!DD$4+2,FALSE)=0,#N/A,VLOOKUP($B$2,Days_Since_100!$H:$KU,Projections_Data!DD$4+2,FALSE))</f>
        <v>#N/A</v>
      </c>
      <c r="DE5" s="21" t="e">
        <f>IF(VLOOKUP($B$2,Days_Since_100!$H:$KU,Projections_Data!DE$4+2,FALSE)=0,#N/A,VLOOKUP($B$2,Days_Since_100!$H:$KU,Projections_Data!DE$4+2,FALSE))</f>
        <v>#N/A</v>
      </c>
      <c r="DF5" s="21" t="e">
        <f>IF(VLOOKUP($B$2,Days_Since_100!$H:$KU,Projections_Data!DF$4+2,FALSE)=0,#N/A,VLOOKUP($B$2,Days_Since_100!$H:$KU,Projections_Data!DF$4+2,FALSE))</f>
        <v>#N/A</v>
      </c>
      <c r="DG5" s="21" t="e">
        <f>IF(VLOOKUP($B$2,Days_Since_100!$H:$KU,Projections_Data!DG$4+2,FALSE)=0,#N/A,VLOOKUP($B$2,Days_Since_100!$H:$KU,Projections_Data!DG$4+2,FALSE))</f>
        <v>#N/A</v>
      </c>
      <c r="DH5" s="21" t="e">
        <f>IF(VLOOKUP($B$2,Days_Since_100!$H:$KU,Projections_Data!DH$4+2,FALSE)=0,#N/A,VLOOKUP($B$2,Days_Since_100!$H:$KU,Projections_Data!DH$4+2,FALSE))</f>
        <v>#N/A</v>
      </c>
      <c r="DI5" s="21" t="e">
        <f>IF(VLOOKUP($B$2,Days_Since_100!$H:$KU,Projections_Data!DI$4+2,FALSE)=0,#N/A,VLOOKUP($B$2,Days_Since_100!$H:$KU,Projections_Data!DI$4+2,FALSE))</f>
        <v>#N/A</v>
      </c>
      <c r="DJ5" s="21" t="e">
        <f>IF(VLOOKUP($B$2,Days_Since_100!$H:$KU,Projections_Data!DJ$4+2,FALSE)=0,#N/A,VLOOKUP($B$2,Days_Since_100!$H:$KU,Projections_Data!DJ$4+2,FALSE))</f>
        <v>#N/A</v>
      </c>
      <c r="DK5" s="21" t="e">
        <f>IF(VLOOKUP($B$2,Days_Since_100!$H:$KU,Projections_Data!DK$4+2,FALSE)=0,#N/A,VLOOKUP($B$2,Days_Since_100!$H:$KU,Projections_Data!DK$4+2,FALSE))</f>
        <v>#N/A</v>
      </c>
      <c r="DL5" s="21" t="e">
        <f>IF(VLOOKUP($B$2,Days_Since_100!$H:$KU,Projections_Data!DL$4+2,FALSE)=0,#N/A,VLOOKUP($B$2,Days_Since_100!$H:$KU,Projections_Data!DL$4+2,FALSE))</f>
        <v>#N/A</v>
      </c>
      <c r="DM5" s="21" t="e">
        <f>IF(VLOOKUP($B$2,Days_Since_100!$H:$KU,Projections_Data!DM$4+2,FALSE)=0,#N/A,VLOOKUP($B$2,Days_Since_100!$H:$KU,Projections_Data!DM$4+2,FALSE))</f>
        <v>#N/A</v>
      </c>
      <c r="DN5" s="21" t="e">
        <f>IF(VLOOKUP($B$2,Days_Since_100!$H:$KU,Projections_Data!DN$4+2,FALSE)=0,#N/A,VLOOKUP($B$2,Days_Since_100!$H:$KU,Projections_Data!DN$4+2,FALSE))</f>
        <v>#N/A</v>
      </c>
      <c r="DO5" s="21" t="e">
        <f>IF(VLOOKUP($B$2,Days_Since_100!$H:$KU,Projections_Data!DO$4+2,FALSE)=0,#N/A,VLOOKUP($B$2,Days_Since_100!$H:$KU,Projections_Data!DO$4+2,FALSE))</f>
        <v>#N/A</v>
      </c>
      <c r="DP5" s="21" t="e">
        <f>IF(VLOOKUP($B$2,Days_Since_100!$H:$KU,Projections_Data!DP$4+2,FALSE)=0,#N/A,VLOOKUP($B$2,Days_Since_100!$H:$KU,Projections_Data!DP$4+2,FALSE))</f>
        <v>#N/A</v>
      </c>
      <c r="DQ5" s="21" t="e">
        <f>IF(VLOOKUP($B$2,Days_Since_100!$H:$KU,Projections_Data!DQ$4+2,FALSE)=0,#N/A,VLOOKUP($B$2,Days_Since_100!$H:$KU,Projections_Data!DQ$4+2,FALSE))</f>
        <v>#N/A</v>
      </c>
      <c r="DR5" s="21" t="e">
        <f>IF(VLOOKUP($B$2,Days_Since_100!$H:$KU,Projections_Data!DR$4+2,FALSE)=0,#N/A,VLOOKUP($B$2,Days_Since_100!$H:$KU,Projections_Data!DR$4+2,FALSE))</f>
        <v>#N/A</v>
      </c>
      <c r="DS5" s="21" t="e">
        <f>IF(VLOOKUP($B$2,Days_Since_100!$H:$KU,Projections_Data!DS$4+2,FALSE)=0,#N/A,VLOOKUP($B$2,Days_Since_100!$H:$KU,Projections_Data!DS$4+2,FALSE))</f>
        <v>#N/A</v>
      </c>
      <c r="DT5" s="21" t="e">
        <f>IF(VLOOKUP($B$2,Days_Since_100!$H:$KU,Projections_Data!DT$4+2,FALSE)=0,#N/A,VLOOKUP($B$2,Days_Since_100!$H:$KU,Projections_Data!DT$4+2,FALSE))</f>
        <v>#N/A</v>
      </c>
      <c r="DU5" s="21" t="e">
        <f>IF(VLOOKUP($B$2,Days_Since_100!$H:$KU,Projections_Data!DU$4+2,FALSE)=0,#N/A,VLOOKUP($B$2,Days_Since_100!$H:$KU,Projections_Data!DU$4+2,FALSE))</f>
        <v>#N/A</v>
      </c>
      <c r="DV5" s="21" t="e">
        <f>IF(VLOOKUP($B$2,Days_Since_100!$H:$KU,Projections_Data!DV$4+2,FALSE)=0,#N/A,VLOOKUP($B$2,Days_Since_100!$H:$KU,Projections_Data!DV$4+2,FALSE))</f>
        <v>#N/A</v>
      </c>
      <c r="DW5" s="21" t="e">
        <f>IF(VLOOKUP($B$2,Days_Since_100!$H:$KU,Projections_Data!DW$4+2,FALSE)=0,#N/A,VLOOKUP($B$2,Days_Since_100!$H:$KU,Projections_Data!DW$4+2,FALSE))</f>
        <v>#N/A</v>
      </c>
      <c r="DX5" s="21" t="e">
        <f>IF(VLOOKUP($B$2,Days_Since_100!$H:$KU,Projections_Data!DX$4+2,FALSE)=0,#N/A,VLOOKUP($B$2,Days_Since_100!$H:$KU,Projections_Data!DX$4+2,FALSE))</f>
        <v>#N/A</v>
      </c>
      <c r="DY5" s="21" t="e">
        <f>IF(VLOOKUP($B$2,Days_Since_100!$H:$KU,Projections_Data!DY$4+2,FALSE)=0,#N/A,VLOOKUP($B$2,Days_Since_100!$H:$KU,Projections_Data!DY$4+2,FALSE))</f>
        <v>#N/A</v>
      </c>
      <c r="DZ5" s="21" t="e">
        <f>IF(VLOOKUP($B$2,Days_Since_100!$H:$KU,Projections_Data!DZ$4+2,FALSE)=0,#N/A,VLOOKUP($B$2,Days_Since_100!$H:$KU,Projections_Data!DZ$4+2,FALSE))</f>
        <v>#N/A</v>
      </c>
      <c r="EA5" s="21" t="e">
        <f>IF(VLOOKUP($B$2,Days_Since_100!$H:$KU,Projections_Data!EA$4+2,FALSE)=0,#N/A,VLOOKUP($B$2,Days_Since_100!$H:$KU,Projections_Data!EA$4+2,FALSE))</f>
        <v>#N/A</v>
      </c>
      <c r="EB5" s="21" t="e">
        <f>IF(VLOOKUP($B$2,Days_Since_100!$H:$KU,Projections_Data!EB$4+2,FALSE)=0,#N/A,VLOOKUP($B$2,Days_Since_100!$H:$KU,Projections_Data!EB$4+2,FALSE))</f>
        <v>#N/A</v>
      </c>
      <c r="EC5" s="21" t="e">
        <f>IF(VLOOKUP($B$2,Days_Since_100!$H:$KU,Projections_Data!EC$4+2,FALSE)=0,#N/A,VLOOKUP($B$2,Days_Since_100!$H:$KU,Projections_Data!EC$4+2,FALSE))</f>
        <v>#N/A</v>
      </c>
      <c r="ED5" s="21" t="e">
        <f>IF(VLOOKUP($B$2,Days_Since_100!$H:$KU,Projections_Data!ED$4+2,FALSE)=0,#N/A,VLOOKUP($B$2,Days_Since_100!$H:$KU,Projections_Data!ED$4+2,FALSE))</f>
        <v>#N/A</v>
      </c>
      <c r="EE5" s="21" t="e">
        <f>IF(VLOOKUP($B$2,Days_Since_100!$H:$KU,Projections_Data!EE$4+2,FALSE)=0,#N/A,VLOOKUP($B$2,Days_Since_100!$H:$KU,Projections_Data!EE$4+2,FALSE))</f>
        <v>#N/A</v>
      </c>
      <c r="EF5" s="21" t="e">
        <f>IF(VLOOKUP($B$2,Days_Since_100!$H:$KU,Projections_Data!EF$4+2,FALSE)=0,#N/A,VLOOKUP($B$2,Days_Since_100!$H:$KU,Projections_Data!EF$4+2,FALSE))</f>
        <v>#N/A</v>
      </c>
      <c r="EG5" s="21" t="e">
        <f>IF(VLOOKUP($B$2,Days_Since_100!$H:$KU,Projections_Data!EG$4+2,FALSE)=0,#N/A,VLOOKUP($B$2,Days_Since_100!$H:$KU,Projections_Data!EG$4+2,FALSE))</f>
        <v>#N/A</v>
      </c>
      <c r="EH5" s="21" t="e">
        <f>IF(VLOOKUP($B$2,Days_Since_100!$H:$KU,Projections_Data!EH$4+2,FALSE)=0,#N/A,VLOOKUP($B$2,Days_Since_100!$H:$KU,Projections_Data!EH$4+2,FALSE))</f>
        <v>#N/A</v>
      </c>
      <c r="EI5" s="21" t="e">
        <f>IF(VLOOKUP($B$2,Days_Since_100!$H:$KU,Projections_Data!EI$4+2,FALSE)=0,#N/A,VLOOKUP($B$2,Days_Since_100!$H:$KU,Projections_Data!EI$4+2,FALSE))</f>
        <v>#N/A</v>
      </c>
      <c r="EJ5" s="21" t="e">
        <f>IF(VLOOKUP($B$2,Days_Since_100!$H:$KU,Projections_Data!EJ$4+2,FALSE)=0,#N/A,VLOOKUP($B$2,Days_Since_100!$H:$KU,Projections_Data!EJ$4+2,FALSE))</f>
        <v>#N/A</v>
      </c>
      <c r="EK5" s="21" t="e">
        <f>IF(VLOOKUP($B$2,Days_Since_100!$H:$KU,Projections_Data!EK$4+2,FALSE)=0,#N/A,VLOOKUP($B$2,Days_Since_100!$H:$KU,Projections_Data!EK$4+2,FALSE))</f>
        <v>#N/A</v>
      </c>
      <c r="EL5" s="21" t="e">
        <f>IF(VLOOKUP($B$2,Days_Since_100!$H:$KU,Projections_Data!EL$4+2,FALSE)=0,#N/A,VLOOKUP($B$2,Days_Since_100!$H:$KU,Projections_Data!EL$4+2,FALSE))</f>
        <v>#N/A</v>
      </c>
      <c r="EM5" s="21" t="e">
        <f>IF(VLOOKUP($B$2,Days_Since_100!$H:$KU,Projections_Data!EM$4+2,FALSE)=0,#N/A,VLOOKUP($B$2,Days_Since_100!$H:$KU,Projections_Data!EM$4+2,FALSE))</f>
        <v>#N/A</v>
      </c>
      <c r="EN5" s="21" t="e">
        <f>IF(VLOOKUP($B$2,Days_Since_100!$H:$KU,Projections_Data!EN$4+2,FALSE)=0,#N/A,VLOOKUP($B$2,Days_Since_100!$H:$KU,Projections_Data!EN$4+2,FALSE))</f>
        <v>#N/A</v>
      </c>
      <c r="EO5" s="21" t="e">
        <f>IF(VLOOKUP($B$2,Days_Since_100!$H:$KU,Projections_Data!EO$4+2,FALSE)=0,#N/A,VLOOKUP($B$2,Days_Since_100!$H:$KU,Projections_Data!EO$4+2,FALSE))</f>
        <v>#N/A</v>
      </c>
      <c r="EP5" s="21" t="e">
        <f>IF(VLOOKUP($B$2,Days_Since_100!$H:$KU,Projections_Data!EP$4+2,FALSE)=0,#N/A,VLOOKUP($B$2,Days_Since_100!$H:$KU,Projections_Data!EP$4+2,FALSE))</f>
        <v>#N/A</v>
      </c>
      <c r="EQ5" s="21" t="e">
        <f>IF(VLOOKUP($B$2,Days_Since_100!$H:$KU,Projections_Data!EQ$4+2,FALSE)=0,#N/A,VLOOKUP($B$2,Days_Since_100!$H:$KU,Projections_Data!EQ$4+2,FALSE))</f>
        <v>#N/A</v>
      </c>
      <c r="ER5" s="21" t="e">
        <f>IF(VLOOKUP($B$2,Days_Since_100!$H:$KU,Projections_Data!ER$4+2,FALSE)=0,#N/A,VLOOKUP($B$2,Days_Since_100!$H:$KU,Projections_Data!ER$4+2,FALSE))</f>
        <v>#N/A</v>
      </c>
      <c r="ES5" s="21" t="e">
        <f>IF(VLOOKUP($B$2,Days_Since_100!$H:$KU,Projections_Data!ES$4+2,FALSE)=0,#N/A,VLOOKUP($B$2,Days_Since_100!$H:$KU,Projections_Data!ES$4+2,FALSE))</f>
        <v>#N/A</v>
      </c>
      <c r="ET5" s="21" t="e">
        <f>IF(VLOOKUP($B$2,Days_Since_100!$H:$KU,Projections_Data!ET$4+2,FALSE)=0,#N/A,VLOOKUP($B$2,Days_Since_100!$H:$KU,Projections_Data!ET$4+2,FALSE))</f>
        <v>#N/A</v>
      </c>
      <c r="EU5" s="21" t="e">
        <f>IF(VLOOKUP($B$2,Days_Since_100!$H:$KU,Projections_Data!EU$4+2,FALSE)=0,#N/A,VLOOKUP($B$2,Days_Since_100!$H:$KU,Projections_Data!EU$4+2,FALSE))</f>
        <v>#N/A</v>
      </c>
      <c r="EV5" s="21" t="e">
        <f>IF(VLOOKUP($B$2,Days_Since_100!$H:$KU,Projections_Data!EV$4+2,FALSE)=0,#N/A,VLOOKUP($B$2,Days_Since_100!$H:$KU,Projections_Data!EV$4+2,FALSE))</f>
        <v>#N/A</v>
      </c>
      <c r="EW5" s="21" t="e">
        <f>IF(VLOOKUP($B$2,Days_Since_100!$H:$KU,Projections_Data!EW$4+2,FALSE)=0,#N/A,VLOOKUP($B$2,Days_Since_100!$H:$KU,Projections_Data!EW$4+2,FALSE))</f>
        <v>#N/A</v>
      </c>
      <c r="EX5" s="21" t="e">
        <f>IF(VLOOKUP($B$2,Days_Since_100!$H:$KU,Projections_Data!EX$4+2,FALSE)=0,#N/A,VLOOKUP($B$2,Days_Since_100!$H:$KU,Projections_Data!EX$4+2,FALSE))</f>
        <v>#N/A</v>
      </c>
      <c r="EY5" s="21" t="e">
        <f>IF(VLOOKUP($B$2,Days_Since_100!$H:$KU,Projections_Data!EY$4+2,FALSE)=0,#N/A,VLOOKUP($B$2,Days_Since_100!$H:$KU,Projections_Data!EY$4+2,FALSE))</f>
        <v>#N/A</v>
      </c>
      <c r="EZ5" s="21" t="e">
        <f>IF(VLOOKUP($B$2,Days_Since_100!$H:$KU,Projections_Data!EZ$4+2,FALSE)=0,#N/A,VLOOKUP($B$2,Days_Since_100!$H:$KU,Projections_Data!EZ$4+2,FALSE))</f>
        <v>#N/A</v>
      </c>
      <c r="FA5" s="21" t="e">
        <f>IF(VLOOKUP($B$2,Days_Since_100!$H:$KU,Projections_Data!FA$4+2,FALSE)=0,#N/A,VLOOKUP($B$2,Days_Since_100!$H:$KU,Projections_Data!FA$4+2,FALSE))</f>
        <v>#N/A</v>
      </c>
      <c r="FB5" s="21" t="e">
        <f>IF(VLOOKUP($B$2,Days_Since_100!$H:$KU,Projections_Data!FB$4+2,FALSE)=0,#N/A,VLOOKUP($B$2,Days_Since_100!$H:$KU,Projections_Data!FB$4+2,FALSE))</f>
        <v>#N/A</v>
      </c>
      <c r="FC5" s="21" t="e">
        <f>IF(VLOOKUP($B$2,Days_Since_100!$H:$KU,Projections_Data!FC$4+2,FALSE)=0,#N/A,VLOOKUP($B$2,Days_Since_100!$H:$KU,Projections_Data!FC$4+2,FALSE))</f>
        <v>#N/A</v>
      </c>
      <c r="FD5" s="21" t="e">
        <f>IF(VLOOKUP($B$2,Days_Since_100!$H:$KU,Projections_Data!FD$4+2,FALSE)=0,#N/A,VLOOKUP($B$2,Days_Since_100!$H:$KU,Projections_Data!FD$4+2,FALSE))</f>
        <v>#N/A</v>
      </c>
      <c r="FE5" s="21" t="e">
        <f>IF(VLOOKUP($B$2,Days_Since_100!$H:$KU,Projections_Data!FE$4+2,FALSE)=0,#N/A,VLOOKUP($B$2,Days_Since_100!$H:$KU,Projections_Data!FE$4+2,FALSE))</f>
        <v>#N/A</v>
      </c>
      <c r="FF5" s="21" t="e">
        <f>IF(VLOOKUP($B$2,Days_Since_100!$H:$KU,Projections_Data!FF$4+2,FALSE)=0,#N/A,VLOOKUP($B$2,Days_Since_100!$H:$KU,Projections_Data!FF$4+2,FALSE))</f>
        <v>#N/A</v>
      </c>
      <c r="FG5" s="21" t="e">
        <f>IF(VLOOKUP($B$2,Days_Since_100!$H:$KU,Projections_Data!FG$4+2,FALSE)=0,#N/A,VLOOKUP($B$2,Days_Since_100!$H:$KU,Projections_Data!FG$4+2,FALSE))</f>
        <v>#N/A</v>
      </c>
      <c r="FH5" s="21" t="e">
        <f>IF(VLOOKUP($B$2,Days_Since_100!$H:$KU,Projections_Data!FH$4+2,FALSE)=0,#N/A,VLOOKUP($B$2,Days_Since_100!$H:$KU,Projections_Data!FH$4+2,FALSE))</f>
        <v>#N/A</v>
      </c>
      <c r="FI5" s="21" t="e">
        <f>IF(VLOOKUP($B$2,Days_Since_100!$H:$KU,Projections_Data!FI$4+2,FALSE)=0,#N/A,VLOOKUP($B$2,Days_Since_100!$H:$KU,Projections_Data!FI$4+2,FALSE))</f>
        <v>#N/A</v>
      </c>
      <c r="FJ5" s="21" t="e">
        <f>IF(VLOOKUP($B$2,Days_Since_100!$H:$KU,Projections_Data!FJ$4+2,FALSE)=0,#N/A,VLOOKUP($B$2,Days_Since_100!$H:$KU,Projections_Data!FJ$4+2,FALSE))</f>
        <v>#N/A</v>
      </c>
      <c r="FK5" s="21" t="e">
        <f>IF(VLOOKUP($B$2,Days_Since_100!$H:$KU,Projections_Data!FK$4+2,FALSE)=0,#N/A,VLOOKUP($B$2,Days_Since_100!$H:$KU,Projections_Data!FK$4+2,FALSE))</f>
        <v>#N/A</v>
      </c>
      <c r="FL5" s="21" t="e">
        <f>IF(VLOOKUP($B$2,Days_Since_100!$H:$KU,Projections_Data!FL$4+2,FALSE)=0,#N/A,VLOOKUP($B$2,Days_Since_100!$H:$KU,Projections_Data!FL$4+2,FALSE))</f>
        <v>#N/A</v>
      </c>
      <c r="FM5" s="21" t="e">
        <f>IF(VLOOKUP($B$2,Days_Since_100!$H:$KU,Projections_Data!FM$4+2,FALSE)=0,#N/A,VLOOKUP($B$2,Days_Since_100!$H:$KU,Projections_Data!FM$4+2,FALSE))</f>
        <v>#N/A</v>
      </c>
      <c r="FN5" s="21" t="e">
        <f>IF(VLOOKUP($B$2,Days_Since_100!$H:$KU,Projections_Data!FN$4+2,FALSE)=0,#N/A,VLOOKUP($B$2,Days_Since_100!$H:$KU,Projections_Data!FN$4+2,FALSE))</f>
        <v>#N/A</v>
      </c>
      <c r="FO5" s="21" t="e">
        <f>IF(VLOOKUP($B$2,Days_Since_100!$H:$KU,Projections_Data!FO$4+2,FALSE)=0,#N/A,VLOOKUP($B$2,Days_Since_100!$H:$KU,Projections_Data!FO$4+2,FALSE))</f>
        <v>#N/A</v>
      </c>
      <c r="FP5" s="21" t="e">
        <f>IF(VLOOKUP($B$2,Days_Since_100!$H:$KU,Projections_Data!FP$4+2,FALSE)=0,#N/A,VLOOKUP($B$2,Days_Since_100!$H:$KU,Projections_Data!FP$4+2,FALSE))</f>
        <v>#N/A</v>
      </c>
      <c r="FQ5" s="21" t="e">
        <f>IF(VLOOKUP($B$2,Days_Since_100!$H:$KU,Projections_Data!FQ$4+2,FALSE)=0,#N/A,VLOOKUP($B$2,Days_Since_100!$H:$KU,Projections_Data!FQ$4+2,FALSE))</f>
        <v>#N/A</v>
      </c>
      <c r="FR5" s="21" t="e">
        <f>IF(VLOOKUP($B$2,Days_Since_100!$H:$KU,Projections_Data!FR$4+2,FALSE)=0,#N/A,VLOOKUP($B$2,Days_Since_100!$H:$KU,Projections_Data!FR$4+2,FALSE))</f>
        <v>#N/A</v>
      </c>
      <c r="FS5" s="21" t="e">
        <f>IF(VLOOKUP($B$2,Days_Since_100!$H:$KU,Projections_Data!FS$4+2,FALSE)=0,#N/A,VLOOKUP($B$2,Days_Since_100!$H:$KU,Projections_Data!FS$4+2,FALSE))</f>
        <v>#N/A</v>
      </c>
      <c r="FT5" s="21" t="e">
        <f>IF(VLOOKUP($B$2,Days_Since_100!$H:$KU,Projections_Data!FT$4+2,FALSE)=0,#N/A,VLOOKUP($B$2,Days_Since_100!$H:$KU,Projections_Data!FT$4+2,FALSE))</f>
        <v>#N/A</v>
      </c>
      <c r="FU5" s="21" t="e">
        <f>IF(VLOOKUP($B$2,Days_Since_100!$H:$KU,Projections_Data!FU$4+2,FALSE)=0,#N/A,VLOOKUP($B$2,Days_Since_100!$H:$KU,Projections_Data!FU$4+2,FALSE))</f>
        <v>#N/A</v>
      </c>
      <c r="FV5" s="21" t="e">
        <f>IF(VLOOKUP($B$2,Days_Since_100!$H:$KU,Projections_Data!FV$4+2,FALSE)=0,#N/A,VLOOKUP($B$2,Days_Since_100!$H:$KU,Projections_Data!FV$4+2,FALSE))</f>
        <v>#N/A</v>
      </c>
      <c r="FW5" s="21" t="e">
        <f>IF(VLOOKUP($B$2,Days_Since_100!$H:$KU,Projections_Data!FW$4+2,FALSE)=0,#N/A,VLOOKUP($B$2,Days_Since_100!$H:$KU,Projections_Data!FW$4+2,FALSE))</f>
        <v>#N/A</v>
      </c>
      <c r="FX5" s="21" t="e">
        <f>IF(VLOOKUP($B$2,Days_Since_100!$H:$KU,Projections_Data!FX$4+2,FALSE)=0,#N/A,VLOOKUP($B$2,Days_Since_100!$H:$KU,Projections_Data!FX$4+2,FALSE))</f>
        <v>#N/A</v>
      </c>
      <c r="FY5" s="21" t="e">
        <f>IF(VLOOKUP($B$2,Days_Since_100!$H:$KU,Projections_Data!FY$4+2,FALSE)=0,#N/A,VLOOKUP($B$2,Days_Since_100!$H:$KU,Projections_Data!FY$4+2,FALSE))</f>
        <v>#N/A</v>
      </c>
      <c r="FZ5" s="21" t="e">
        <f>IF(VLOOKUP($B$2,Days_Since_100!$H:$KU,Projections_Data!FZ$4+2,FALSE)=0,#N/A,VLOOKUP($B$2,Days_Since_100!$H:$KU,Projections_Data!FZ$4+2,FALSE))</f>
        <v>#N/A</v>
      </c>
      <c r="GA5" s="21" t="e">
        <f>IF(VLOOKUP($B$2,Days_Since_100!$H:$KU,Projections_Data!GA$4+2,FALSE)=0,#N/A,VLOOKUP($B$2,Days_Since_100!$H:$KU,Projections_Data!GA$4+2,FALSE))</f>
        <v>#N/A</v>
      </c>
      <c r="GB5" s="21" t="e">
        <f>IF(VLOOKUP($B$2,Days_Since_100!$H:$KU,Projections_Data!GB$4+2,FALSE)=0,#N/A,VLOOKUP($B$2,Days_Since_100!$H:$KU,Projections_Data!GB$4+2,FALSE))</f>
        <v>#N/A</v>
      </c>
      <c r="GC5" s="21" t="e">
        <f>IF(VLOOKUP($B$2,Days_Since_100!$H:$KU,Projections_Data!GC$4+2,FALSE)=0,#N/A,VLOOKUP($B$2,Days_Since_100!$H:$KU,Projections_Data!GC$4+2,FALSE))</f>
        <v>#N/A</v>
      </c>
      <c r="GD5" s="21" t="e">
        <f>IF(VLOOKUP($B$2,Days_Since_100!$H:$KU,Projections_Data!GD$4+2,FALSE)=0,#N/A,VLOOKUP($B$2,Days_Since_100!$H:$KU,Projections_Data!GD$4+2,FALSE))</f>
        <v>#N/A</v>
      </c>
      <c r="GE5" s="21" t="e">
        <f>IF(VLOOKUP($B$2,Days_Since_100!$H:$KU,Projections_Data!GE$4+2,FALSE)=0,#N/A,VLOOKUP($B$2,Days_Since_100!$H:$KU,Projections_Data!GE$4+2,FALSE))</f>
        <v>#N/A</v>
      </c>
      <c r="GF5" s="21" t="e">
        <f>IF(VLOOKUP($B$2,Days_Since_100!$H:$KU,Projections_Data!GF$4+2,FALSE)=0,#N/A,VLOOKUP($B$2,Days_Since_100!$H:$KU,Projections_Data!GF$4+2,FALSE))</f>
        <v>#N/A</v>
      </c>
      <c r="GG5" s="21" t="e">
        <f>IF(VLOOKUP($B$2,Days_Since_100!$H:$KU,Projections_Data!GG$4+2,FALSE)=0,#N/A,VLOOKUP($B$2,Days_Since_100!$H:$KU,Projections_Data!GG$4+2,FALSE))</f>
        <v>#N/A</v>
      </c>
      <c r="GH5" s="21" t="e">
        <f>IF(VLOOKUP($B$2,Days_Since_100!$H:$KU,Projections_Data!GH$4+2,FALSE)=0,#N/A,VLOOKUP($B$2,Days_Since_100!$H:$KU,Projections_Data!GH$4+2,FALSE))</f>
        <v>#N/A</v>
      </c>
      <c r="GI5" s="21" t="e">
        <f>IF(VLOOKUP($B$2,Days_Since_100!$H:$KU,Projections_Data!GI$4+2,FALSE)=0,#N/A,VLOOKUP($B$2,Days_Since_100!$H:$KU,Projections_Data!GI$4+2,FALSE))</f>
        <v>#N/A</v>
      </c>
      <c r="GJ5" s="21" t="e">
        <f>IF(VLOOKUP($B$2,Days_Since_100!$H:$KU,Projections_Data!GJ$4+2,FALSE)=0,#N/A,VLOOKUP($B$2,Days_Since_100!$H:$KU,Projections_Data!GJ$4+2,FALSE))</f>
        <v>#N/A</v>
      </c>
      <c r="GK5" s="21" t="e">
        <f>IF(VLOOKUP($B$2,Days_Since_100!$H:$KU,Projections_Data!GK$4+2,FALSE)=0,#N/A,VLOOKUP($B$2,Days_Since_100!$H:$KU,Projections_Data!GK$4+2,FALSE))</f>
        <v>#N/A</v>
      </c>
      <c r="GL5" s="21" t="e">
        <f>IF(VLOOKUP($B$2,Days_Since_100!$H:$KU,Projections_Data!GL$4+2,FALSE)=0,#N/A,VLOOKUP($B$2,Days_Since_100!$H:$KU,Projections_Data!GL$4+2,FALSE))</f>
        <v>#N/A</v>
      </c>
      <c r="GM5" s="21" t="e">
        <f>IF(VLOOKUP($B$2,Days_Since_100!$H:$KU,Projections_Data!GM$4+2,FALSE)=0,#N/A,VLOOKUP($B$2,Days_Since_100!$H:$KU,Projections_Data!GM$4+2,FALSE))</f>
        <v>#N/A</v>
      </c>
      <c r="GN5" s="21" t="e">
        <f>IF(VLOOKUP($B$2,Days_Since_100!$H:$KU,Projections_Data!GN$4+2,FALSE)=0,#N/A,VLOOKUP($B$2,Days_Since_100!$H:$KU,Projections_Data!GN$4+2,FALSE))</f>
        <v>#N/A</v>
      </c>
      <c r="GO5" s="21" t="e">
        <f>IF(VLOOKUP($B$2,Days_Since_100!$H:$KU,Projections_Data!GO$4+2,FALSE)=0,#N/A,VLOOKUP($B$2,Days_Since_100!$H:$KU,Projections_Data!GO$4+2,FALSE))</f>
        <v>#N/A</v>
      </c>
      <c r="GP5" s="21" t="e">
        <f>IF(VLOOKUP($B$2,Days_Since_100!$H:$KU,Projections_Data!GP$4+2,FALSE)=0,#N/A,VLOOKUP($B$2,Days_Since_100!$H:$KU,Projections_Data!GP$4+2,FALSE))</f>
        <v>#N/A</v>
      </c>
      <c r="GQ5" s="21" t="e">
        <f>IF(VLOOKUP($B$2,Days_Since_100!$H:$KU,Projections_Data!GQ$4+2,FALSE)=0,#N/A,VLOOKUP($B$2,Days_Since_100!$H:$KU,Projections_Data!GQ$4+2,FALSE))</f>
        <v>#N/A</v>
      </c>
      <c r="GR5" s="21" t="e">
        <f>IF(VLOOKUP($B$2,Days_Since_100!$H:$KU,Projections_Data!GR$4+2,FALSE)=0,#N/A,VLOOKUP($B$2,Days_Since_100!$H:$KU,Projections_Data!GR$4+2,FALSE))</f>
        <v>#N/A</v>
      </c>
      <c r="GS5" s="21" t="e">
        <f>IF(VLOOKUP($B$2,Days_Since_100!$H:$KU,Projections_Data!GS$4+2,FALSE)=0,#N/A,VLOOKUP($B$2,Days_Since_100!$H:$KU,Projections_Data!GS$4+2,FALSE))</f>
        <v>#N/A</v>
      </c>
      <c r="GT5" s="21" t="e">
        <f>IF(VLOOKUP($B$2,Days_Since_100!$H:$KU,Projections_Data!GT$4+2,FALSE)=0,#N/A,VLOOKUP($B$2,Days_Since_100!$H:$KU,Projections_Data!GT$4+2,FALSE))</f>
        <v>#N/A</v>
      </c>
      <c r="GU5" s="21" t="e">
        <f>IF(VLOOKUP($B$2,Days_Since_100!$H:$KU,Projections_Data!GU$4+2,FALSE)=0,#N/A,VLOOKUP($B$2,Days_Since_100!$H:$KU,Projections_Data!GU$4+2,FALSE))</f>
        <v>#N/A</v>
      </c>
      <c r="GV5" s="21" t="e">
        <f>IF(VLOOKUP($B$2,Days_Since_100!$H:$KU,Projections_Data!GV$4+2,FALSE)=0,#N/A,VLOOKUP($B$2,Days_Since_100!$H:$KU,Projections_Data!GV$4+2,FALSE))</f>
        <v>#N/A</v>
      </c>
      <c r="GW5" s="21" t="e">
        <f>IF(VLOOKUP($B$2,Days_Since_100!$H:$KU,Projections_Data!GW$4+2,FALSE)=0,#N/A,VLOOKUP($B$2,Days_Since_100!$H:$KU,Projections_Data!GW$4+2,FALSE))</f>
        <v>#N/A</v>
      </c>
      <c r="GX5" s="21" t="e">
        <f>IF(VLOOKUP($B$2,Days_Since_100!$H:$KU,Projections_Data!GX$4+2,FALSE)=0,#N/A,VLOOKUP($B$2,Days_Since_100!$H:$KU,Projections_Data!GX$4+2,FALSE))</f>
        <v>#N/A</v>
      </c>
      <c r="GY5" s="21" t="e">
        <f>IF(VLOOKUP($B$2,Days_Since_100!$H:$KU,Projections_Data!GY$4+2,FALSE)=0,#N/A,VLOOKUP($B$2,Days_Since_100!$H:$KU,Projections_Data!GY$4+2,FALSE))</f>
        <v>#N/A</v>
      </c>
      <c r="GZ5" s="21" t="e">
        <f>IF(VLOOKUP($B$2,Days_Since_100!$H:$KU,Projections_Data!GZ$4+2,FALSE)=0,#N/A,VLOOKUP($B$2,Days_Since_100!$H:$KU,Projections_Data!GZ$4+2,FALSE))</f>
        <v>#N/A</v>
      </c>
      <c r="HA5" s="21" t="e">
        <f>IF(VLOOKUP($B$2,Days_Since_100!$H:$KU,Projections_Data!HA$4+2,FALSE)=0,#N/A,VLOOKUP($B$2,Days_Since_100!$H:$KU,Projections_Data!HA$4+2,FALSE))</f>
        <v>#N/A</v>
      </c>
      <c r="HB5" s="21" t="e">
        <f>IF(VLOOKUP($B$2,Days_Since_100!$H:$KU,Projections_Data!HB$4+2,FALSE)=0,#N/A,VLOOKUP($B$2,Days_Since_100!$H:$KU,Projections_Data!HB$4+2,FALSE))</f>
        <v>#N/A</v>
      </c>
      <c r="HC5" s="21" t="e">
        <f>IF(VLOOKUP($B$2,Days_Since_100!$H:$KU,Projections_Data!HC$4+2,FALSE)=0,#N/A,VLOOKUP($B$2,Days_Since_100!$H:$KU,Projections_Data!HC$4+2,FALSE))</f>
        <v>#N/A</v>
      </c>
      <c r="HD5" s="21" t="e">
        <f>IF(VLOOKUP($B$2,Days_Since_100!$H:$KU,Projections_Data!HD$4+2,FALSE)=0,#N/A,VLOOKUP($B$2,Days_Since_100!$H:$KU,Projections_Data!HD$4+2,FALSE))</f>
        <v>#N/A</v>
      </c>
      <c r="HE5" s="21" t="e">
        <f>IF(VLOOKUP($B$2,Days_Since_100!$H:$KU,Projections_Data!HE$4+2,FALSE)=0,#N/A,VLOOKUP($B$2,Days_Since_100!$H:$KU,Projections_Data!HE$4+2,FALSE))</f>
        <v>#N/A</v>
      </c>
      <c r="HF5" s="21" t="e">
        <f>IF(VLOOKUP($B$2,Days_Since_100!$H:$KU,Projections_Data!HF$4+2,FALSE)=0,#N/A,VLOOKUP($B$2,Days_Since_100!$H:$KU,Projections_Data!HF$4+2,FALSE))</f>
        <v>#N/A</v>
      </c>
      <c r="HG5" s="21" t="e">
        <f>IF(VLOOKUP($B$2,Days_Since_100!$H:$KU,Projections_Data!HG$4+2,FALSE)=0,#N/A,VLOOKUP($B$2,Days_Since_100!$H:$KU,Projections_Data!HG$4+2,FALSE))</f>
        <v>#N/A</v>
      </c>
      <c r="HH5" s="21" t="e">
        <f>IF(VLOOKUP($B$2,Days_Since_100!$H:$KU,Projections_Data!HH$4+2,FALSE)=0,#N/A,VLOOKUP($B$2,Days_Since_100!$H:$KU,Projections_Data!HH$4+2,FALSE))</f>
        <v>#N/A</v>
      </c>
      <c r="HI5" s="21" t="e">
        <f>IF(VLOOKUP($B$2,Days_Since_100!$H:$KU,Projections_Data!HI$4+2,FALSE)=0,#N/A,VLOOKUP($B$2,Days_Since_100!$H:$KU,Projections_Data!HI$4+2,FALSE))</f>
        <v>#N/A</v>
      </c>
      <c r="HJ5" s="21" t="e">
        <f>IF(VLOOKUP($B$2,Days_Since_100!$H:$KU,Projections_Data!HJ$4+2,FALSE)=0,#N/A,VLOOKUP($B$2,Days_Since_100!$H:$KU,Projections_Data!HJ$4+2,FALSE))</f>
        <v>#N/A</v>
      </c>
      <c r="HK5" s="21" t="e">
        <f>IF(VLOOKUP($B$2,Days_Since_100!$H:$KU,Projections_Data!HK$4+2,FALSE)=0,#N/A,VLOOKUP($B$2,Days_Since_100!$H:$KU,Projections_Data!HK$4+2,FALSE))</f>
        <v>#N/A</v>
      </c>
      <c r="HL5" s="21" t="e">
        <f>IF(VLOOKUP($B$2,Days_Since_100!$H:$KU,Projections_Data!HL$4+2,FALSE)=0,#N/A,VLOOKUP($B$2,Days_Since_100!$H:$KU,Projections_Data!HL$4+2,FALSE))</f>
        <v>#N/A</v>
      </c>
      <c r="HM5" s="21" t="e">
        <f>IF(VLOOKUP($B$2,Days_Since_100!$H:$KU,Projections_Data!HM$4+2,FALSE)=0,#N/A,VLOOKUP($B$2,Days_Since_100!$H:$KU,Projections_Data!HM$4+2,FALSE))</f>
        <v>#N/A</v>
      </c>
      <c r="HN5" s="21" t="e">
        <f>IF(VLOOKUP($B$2,Days_Since_100!$H:$KU,Projections_Data!HN$4+2,FALSE)=0,#N/A,VLOOKUP($B$2,Days_Since_100!$H:$KU,Projections_Data!HN$4+2,FALSE))</f>
        <v>#N/A</v>
      </c>
      <c r="HO5" s="21" t="e">
        <f>IF(VLOOKUP($B$2,Days_Since_100!$H:$KU,Projections_Data!HO$4+2,FALSE)=0,#N/A,VLOOKUP($B$2,Days_Since_100!$H:$KU,Projections_Data!HO$4+2,FALSE))</f>
        <v>#N/A</v>
      </c>
      <c r="HP5" s="21" t="e">
        <f>IF(VLOOKUP($B$2,Days_Since_100!$H:$KU,Projections_Data!HP$4+2,FALSE)=0,#N/A,VLOOKUP($B$2,Days_Since_100!$H:$KU,Projections_Data!HP$4+2,FALSE))</f>
        <v>#N/A</v>
      </c>
      <c r="HQ5" s="21" t="e">
        <f>IF(VLOOKUP($B$2,Days_Since_100!$H:$KU,Projections_Data!HQ$4+2,FALSE)=0,#N/A,VLOOKUP($B$2,Days_Since_100!$H:$KU,Projections_Data!HQ$4+2,FALSE))</f>
        <v>#N/A</v>
      </c>
      <c r="HR5" s="21" t="e">
        <f>IF(VLOOKUP($B$2,Days_Since_100!$H:$KU,Projections_Data!HR$4+2,FALSE)=0,#N/A,VLOOKUP($B$2,Days_Since_100!$H:$KU,Projections_Data!HR$4+2,FALSE))</f>
        <v>#N/A</v>
      </c>
      <c r="HS5" s="21" t="e">
        <f>IF(VLOOKUP($B$2,Days_Since_100!$H:$KU,Projections_Data!HS$4+2,FALSE)=0,#N/A,VLOOKUP($B$2,Days_Since_100!$H:$KU,Projections_Data!HS$4+2,FALSE))</f>
        <v>#N/A</v>
      </c>
      <c r="HT5" s="21" t="e">
        <f>IF(VLOOKUP($B$2,Days_Since_100!$H:$KU,Projections_Data!HT$4+2,FALSE)=0,#N/A,VLOOKUP($B$2,Days_Since_100!$H:$KU,Projections_Data!HT$4+2,FALSE))</f>
        <v>#N/A</v>
      </c>
      <c r="HU5" s="21" t="e">
        <f>IF(VLOOKUP($B$2,Days_Since_100!$H:$KU,Projections_Data!HU$4+2,FALSE)=0,#N/A,VLOOKUP($B$2,Days_Since_100!$H:$KU,Projections_Data!HU$4+2,FALSE))</f>
        <v>#N/A</v>
      </c>
      <c r="HV5" s="21" t="e">
        <f>IF(VLOOKUP($B$2,Days_Since_100!$H:$KU,Projections_Data!HV$4+2,FALSE)=0,#N/A,VLOOKUP($B$2,Days_Since_100!$H:$KU,Projections_Data!HV$4+2,FALSE))</f>
        <v>#N/A</v>
      </c>
      <c r="HW5" s="21" t="e">
        <f>IF(VLOOKUP($B$2,Days_Since_100!$H:$KU,Projections_Data!HW$4+2,FALSE)=0,#N/A,VLOOKUP($B$2,Days_Since_100!$H:$KU,Projections_Data!HW$4+2,FALSE))</f>
        <v>#N/A</v>
      </c>
      <c r="HX5" s="21" t="e">
        <f>IF(VLOOKUP($B$2,Days_Since_100!$H:$KU,Projections_Data!HX$4+2,FALSE)=0,#N/A,VLOOKUP($B$2,Days_Since_100!$H:$KU,Projections_Data!HX$4+2,FALSE))</f>
        <v>#N/A</v>
      </c>
      <c r="HY5" s="21" t="e">
        <f>IF(VLOOKUP($B$2,Days_Since_100!$H:$KU,Projections_Data!HY$4+2,FALSE)=0,#N/A,VLOOKUP($B$2,Days_Since_100!$H:$KU,Projections_Data!HY$4+2,FALSE))</f>
        <v>#N/A</v>
      </c>
      <c r="HZ5" s="21" t="e">
        <f>IF(VLOOKUP($B$2,Days_Since_100!$H:$KU,Projections_Data!HZ$4+2,FALSE)=0,#N/A,VLOOKUP($B$2,Days_Since_100!$H:$KU,Projections_Data!HZ$4+2,FALSE))</f>
        <v>#N/A</v>
      </c>
      <c r="IA5" s="21" t="e">
        <f>IF(VLOOKUP($B$2,Days_Since_100!$H:$KU,Projections_Data!IA$4+2,FALSE)=0,#N/A,VLOOKUP($B$2,Days_Since_100!$H:$KU,Projections_Data!IA$4+2,FALSE))</f>
        <v>#N/A</v>
      </c>
      <c r="IB5" s="21" t="e">
        <f>IF(VLOOKUP($B$2,Days_Since_100!$H:$KU,Projections_Data!IB$4+2,FALSE)=0,#N/A,VLOOKUP($B$2,Days_Since_100!$H:$KU,Projections_Data!IB$4+2,FALSE))</f>
        <v>#N/A</v>
      </c>
      <c r="IC5" s="21" t="e">
        <f>IF(VLOOKUP($B$2,Days_Since_100!$H:$KU,Projections_Data!IC$4+2,FALSE)=0,#N/A,VLOOKUP($B$2,Days_Since_100!$H:$KU,Projections_Data!IC$4+2,FALSE))</f>
        <v>#N/A</v>
      </c>
      <c r="ID5" s="21" t="e">
        <f>IF(VLOOKUP($B$2,Days_Since_100!$H:$KU,Projections_Data!ID$4+2,FALSE)=0,#N/A,VLOOKUP($B$2,Days_Since_100!$H:$KU,Projections_Data!ID$4+2,FALSE))</f>
        <v>#N/A</v>
      </c>
      <c r="IE5" s="21" t="e">
        <f>IF(VLOOKUP($B$2,Days_Since_100!$H:$KU,Projections_Data!IE$4+2,FALSE)=0,#N/A,VLOOKUP($B$2,Days_Since_100!$H:$KU,Projections_Data!IE$4+2,FALSE))</f>
        <v>#N/A</v>
      </c>
      <c r="IF5" s="21" t="e">
        <f>IF(VLOOKUP($B$2,Days_Since_100!$H:$KU,Projections_Data!IF$4+2,FALSE)=0,#N/A,VLOOKUP($B$2,Days_Since_100!$H:$KU,Projections_Data!IF$4+2,FALSE))</f>
        <v>#N/A</v>
      </c>
      <c r="IG5" s="21" t="e">
        <f>IF(VLOOKUP($B$2,Days_Since_100!$H:$KU,Projections_Data!IG$4+2,FALSE)=0,#N/A,VLOOKUP($B$2,Days_Since_100!$H:$KU,Projections_Data!IG$4+2,FALSE))</f>
        <v>#N/A</v>
      </c>
      <c r="IH5" s="21" t="e">
        <f>IF(VLOOKUP($B$2,Days_Since_100!$H:$KU,Projections_Data!IH$4+2,FALSE)=0,#N/A,VLOOKUP($B$2,Days_Since_100!$H:$KU,Projections_Data!IH$4+2,FALSE))</f>
        <v>#N/A</v>
      </c>
      <c r="II5" s="21" t="e">
        <f>IF(VLOOKUP($B$2,Days_Since_100!$H:$KU,Projections_Data!II$4+2,FALSE)=0,#N/A,VLOOKUP($B$2,Days_Since_100!$H:$KU,Projections_Data!II$4+2,FALSE))</f>
        <v>#N/A</v>
      </c>
      <c r="IJ5" s="21" t="e">
        <f>IF(VLOOKUP($B$2,Days_Since_100!$H:$KU,Projections_Data!IJ$4+2,FALSE)=0,#N/A,VLOOKUP($B$2,Days_Since_100!$H:$KU,Projections_Data!IJ$4+2,FALSE))</f>
        <v>#N/A</v>
      </c>
      <c r="IK5" s="21" t="e">
        <f>IF(VLOOKUP($B$2,Days_Since_100!$H:$KU,Projections_Data!IK$4+2,FALSE)=0,#N/A,VLOOKUP($B$2,Days_Since_100!$H:$KU,Projections_Data!IK$4+2,FALSE))</f>
        <v>#N/A</v>
      </c>
      <c r="IL5" s="21" t="e">
        <f>IF(VLOOKUP($B$2,Days_Since_100!$H:$KU,Projections_Data!IL$4+2,FALSE)=0,#N/A,VLOOKUP($B$2,Days_Since_100!$H:$KU,Projections_Data!IL$4+2,FALSE))</f>
        <v>#N/A</v>
      </c>
      <c r="IM5" s="21" t="e">
        <f>IF(VLOOKUP($B$2,Days_Since_100!$H:$KU,Projections_Data!IM$4+2,FALSE)=0,#N/A,VLOOKUP($B$2,Days_Since_100!$H:$KU,Projections_Data!IM$4+2,FALSE))</f>
        <v>#N/A</v>
      </c>
      <c r="IN5" s="21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517</v>
      </c>
      <c r="C6" s="21">
        <f>C4-C7-C8</f>
        <v>15187</v>
      </c>
      <c r="D6" s="19">
        <f>HLOOKUP(C5-1,G4:IN7,4,FALSE)</f>
        <v>14521</v>
      </c>
      <c r="F6" s="19" t="str">
        <f>"Current Avg ("&amp;TEXT(C11,"0%")&amp;")"</f>
        <v>Current Avg (27%)</v>
      </c>
      <c r="G6" s="21">
        <f t="shared" ref="G6:BR6" si="7">IF(IF(AND(ISNA(G$5),ISNA(F$5)),F6*(1+$C$11),IF(AND(F$5&gt;0,ISNA(G$5)),F6*(1+$C$11),G$5))&gt;$C$20,$C$20,IF(AND(ISNA(G$5),ISNA(F$5)),F6*(1+$C$11),IF(AND(F$5&gt;0,ISNA(G$5)),F6*(1+$C$11),G$5)))</f>
        <v>130</v>
      </c>
      <c r="H6" s="21">
        <f t="shared" si="7"/>
        <v>159</v>
      </c>
      <c r="I6" s="21">
        <f t="shared" si="7"/>
        <v>196</v>
      </c>
      <c r="J6" s="21">
        <f t="shared" si="7"/>
        <v>262</v>
      </c>
      <c r="K6" s="21">
        <f t="shared" si="7"/>
        <v>482</v>
      </c>
      <c r="L6" s="21">
        <f t="shared" si="7"/>
        <v>670</v>
      </c>
      <c r="M6" s="21">
        <f t="shared" si="7"/>
        <v>799</v>
      </c>
      <c r="N6" s="21">
        <f t="shared" si="7"/>
        <v>1040</v>
      </c>
      <c r="O6" s="21">
        <f t="shared" si="7"/>
        <v>1176</v>
      </c>
      <c r="P6" s="21">
        <f t="shared" si="7"/>
        <v>1457</v>
      </c>
      <c r="Q6" s="21">
        <f t="shared" si="7"/>
        <v>1908</v>
      </c>
      <c r="R6" s="21">
        <f t="shared" si="7"/>
        <v>2078</v>
      </c>
      <c r="S6" s="21">
        <f t="shared" si="7"/>
        <v>3675</v>
      </c>
      <c r="T6" s="21">
        <f t="shared" si="7"/>
        <v>4585</v>
      </c>
      <c r="U6" s="21">
        <f t="shared" si="7"/>
        <v>5795</v>
      </c>
      <c r="V6" s="21">
        <f t="shared" si="7"/>
        <v>7272</v>
      </c>
      <c r="W6" s="21">
        <f t="shared" si="7"/>
        <v>9257</v>
      </c>
      <c r="X6" s="21">
        <f t="shared" si="7"/>
        <v>12327</v>
      </c>
      <c r="Y6" s="21">
        <f t="shared" si="7"/>
        <v>15320</v>
      </c>
      <c r="Z6" s="21">
        <f t="shared" si="7"/>
        <v>19500.360957379911</v>
      </c>
      <c r="AA6" s="21">
        <f t="shared" si="7"/>
        <v>24821.41497833595</v>
      </c>
      <c r="AB6" s="21">
        <f t="shared" si="7"/>
        <v>31594.422424965225</v>
      </c>
      <c r="AC6" s="21">
        <f t="shared" si="7"/>
        <v>40215.577123156669</v>
      </c>
      <c r="AD6" s="21">
        <f t="shared" si="7"/>
        <v>51189.182115594318</v>
      </c>
      <c r="AE6" s="21">
        <f t="shared" si="7"/>
        <v>65157.14937122359</v>
      </c>
      <c r="AF6" s="21">
        <f t="shared" si="7"/>
        <v>82936.549066108317</v>
      </c>
      <c r="AG6" s="21">
        <f t="shared" si="7"/>
        <v>105567.40491831343</v>
      </c>
      <c r="AH6" s="21">
        <f t="shared" si="7"/>
        <v>134373.5314125976</v>
      </c>
      <c r="AI6" s="21">
        <f t="shared" si="7"/>
        <v>171039.97164905228</v>
      </c>
      <c r="AJ6" s="21">
        <f t="shared" si="7"/>
        <v>217711.56561987897</v>
      </c>
      <c r="AK6" s="21">
        <f t="shared" si="7"/>
        <v>277118.41476396489</v>
      </c>
      <c r="AL6" s="21">
        <f t="shared" si="7"/>
        <v>352735.58197351394</v>
      </c>
      <c r="AM6" s="21">
        <f t="shared" si="7"/>
        <v>448986.36886390287</v>
      </c>
      <c r="AN6" s="21">
        <f t="shared" si="7"/>
        <v>571501.06121340906</v>
      </c>
      <c r="AO6" s="21">
        <f t="shared" si="7"/>
        <v>727446.2781453752</v>
      </c>
      <c r="AP6" s="21">
        <f t="shared" si="7"/>
        <v>925944.19066171022</v>
      </c>
      <c r="AQ6" s="21">
        <f t="shared" si="7"/>
        <v>1178606.1321339656</v>
      </c>
      <c r="AR6" s="21">
        <f t="shared" si="7"/>
        <v>1500211.814829878</v>
      </c>
      <c r="AS6" s="21">
        <f t="shared" si="7"/>
        <v>1909573.8839235387</v>
      </c>
      <c r="AT6" s="21">
        <f t="shared" si="7"/>
        <v>2430638.3819383089</v>
      </c>
      <c r="AU6" s="21">
        <f t="shared" si="7"/>
        <v>3093885.4963876554</v>
      </c>
      <c r="AV6" s="21">
        <f t="shared" si="7"/>
        <v>3938112.5287442426</v>
      </c>
      <c r="AW6" s="21">
        <f t="shared" si="7"/>
        <v>5012703.3812854374</v>
      </c>
      <c r="AX6" s="21">
        <f t="shared" si="7"/>
        <v>6380517.3177118022</v>
      </c>
      <c r="AY6" s="21">
        <f t="shared" si="7"/>
        <v>8121565.9784721686</v>
      </c>
      <c r="AZ6" s="21">
        <f t="shared" si="7"/>
        <v>10337693.741474127</v>
      </c>
      <c r="BA6" s="21">
        <f t="shared" si="7"/>
        <v>13158535.210547827</v>
      </c>
      <c r="BB6" s="21">
        <f t="shared" si="7"/>
        <v>16749098.320892669</v>
      </c>
      <c r="BC6" s="21">
        <f t="shared" si="7"/>
        <v>21319416.64282329</v>
      </c>
      <c r="BD6" s="21">
        <f t="shared" si="7"/>
        <v>27136835.504949529</v>
      </c>
      <c r="BE6" s="21">
        <f t="shared" si="7"/>
        <v>33513576.800000001</v>
      </c>
      <c r="BF6" s="21">
        <f t="shared" si="7"/>
        <v>33513576.800000001</v>
      </c>
      <c r="BG6" s="21">
        <f t="shared" si="7"/>
        <v>33513576.800000001</v>
      </c>
      <c r="BH6" s="21">
        <f t="shared" si="7"/>
        <v>33513576.800000001</v>
      </c>
      <c r="BI6" s="21">
        <f t="shared" si="7"/>
        <v>33513576.800000001</v>
      </c>
      <c r="BJ6" s="21">
        <f t="shared" si="7"/>
        <v>33513576.800000001</v>
      </c>
      <c r="BK6" s="21">
        <f t="shared" si="7"/>
        <v>33513576.800000001</v>
      </c>
      <c r="BL6" s="21">
        <f t="shared" si="7"/>
        <v>33513576.800000001</v>
      </c>
      <c r="BM6" s="21">
        <f t="shared" si="7"/>
        <v>33513576.800000001</v>
      </c>
      <c r="BN6" s="21">
        <f t="shared" si="7"/>
        <v>33513576.800000001</v>
      </c>
      <c r="BO6" s="21">
        <f t="shared" si="7"/>
        <v>33513576.800000001</v>
      </c>
      <c r="BP6" s="21">
        <f t="shared" si="7"/>
        <v>33513576.800000001</v>
      </c>
      <c r="BQ6" s="21">
        <f t="shared" si="7"/>
        <v>33513576.800000001</v>
      </c>
      <c r="BR6" s="21">
        <f t="shared" si="7"/>
        <v>33513576.800000001</v>
      </c>
      <c r="BS6" s="21">
        <f t="shared" ref="BS6:ED6" si="8">IF(IF(AND(ISNA(BS$5),ISNA(BR$5)),BR6*(1+$C$11),IF(AND(BR$5&gt;0,ISNA(BS$5)),BR6*(1+$C$11),BS$5))&gt;$C$20,$C$20,IF(AND(ISNA(BS$5),ISNA(BR$5)),BR6*(1+$C$11),IF(AND(BR$5&gt;0,ISNA(BS$5)),BR6*(1+$C$11),BS$5)))</f>
        <v>33513576.800000001</v>
      </c>
      <c r="BT6" s="21">
        <f t="shared" si="8"/>
        <v>33513576.800000001</v>
      </c>
      <c r="BU6" s="21">
        <f t="shared" si="8"/>
        <v>33513576.800000001</v>
      </c>
      <c r="BV6" s="21">
        <f t="shared" si="8"/>
        <v>33513576.800000001</v>
      </c>
      <c r="BW6" s="21">
        <f t="shared" si="8"/>
        <v>33513576.800000001</v>
      </c>
      <c r="BX6" s="21">
        <f t="shared" si="8"/>
        <v>33513576.800000001</v>
      </c>
      <c r="BY6" s="21">
        <f t="shared" si="8"/>
        <v>33513576.800000001</v>
      </c>
      <c r="BZ6" s="21">
        <f t="shared" si="8"/>
        <v>33513576.800000001</v>
      </c>
      <c r="CA6" s="21">
        <f t="shared" si="8"/>
        <v>33513576.800000001</v>
      </c>
      <c r="CB6" s="21">
        <f t="shared" si="8"/>
        <v>33513576.800000001</v>
      </c>
      <c r="CC6" s="21">
        <f t="shared" si="8"/>
        <v>33513576.800000001</v>
      </c>
      <c r="CD6" s="21">
        <f t="shared" si="8"/>
        <v>33513576.800000001</v>
      </c>
      <c r="CE6" s="21">
        <f t="shared" si="8"/>
        <v>33513576.800000001</v>
      </c>
      <c r="CF6" s="21">
        <f t="shared" si="8"/>
        <v>33513576.800000001</v>
      </c>
      <c r="CG6" s="21">
        <f t="shared" si="8"/>
        <v>33513576.800000001</v>
      </c>
      <c r="CH6" s="21">
        <f t="shared" si="8"/>
        <v>33513576.800000001</v>
      </c>
      <c r="CI6" s="21">
        <f t="shared" si="8"/>
        <v>33513576.800000001</v>
      </c>
      <c r="CJ6" s="21">
        <f t="shared" si="8"/>
        <v>33513576.800000001</v>
      </c>
      <c r="CK6" s="21">
        <f t="shared" si="8"/>
        <v>33513576.800000001</v>
      </c>
      <c r="CL6" s="21">
        <f t="shared" si="8"/>
        <v>33513576.800000001</v>
      </c>
      <c r="CM6" s="21">
        <f t="shared" si="8"/>
        <v>33513576.800000001</v>
      </c>
      <c r="CN6" s="21">
        <f t="shared" si="8"/>
        <v>33513576.800000001</v>
      </c>
      <c r="CO6" s="21">
        <f t="shared" si="8"/>
        <v>33513576.800000001</v>
      </c>
      <c r="CP6" s="21">
        <f t="shared" si="8"/>
        <v>33513576.800000001</v>
      </c>
      <c r="CQ6" s="21">
        <f t="shared" si="8"/>
        <v>33513576.800000001</v>
      </c>
      <c r="CR6" s="21">
        <f t="shared" si="8"/>
        <v>33513576.800000001</v>
      </c>
      <c r="CS6" s="21">
        <f t="shared" si="8"/>
        <v>33513576.800000001</v>
      </c>
      <c r="CT6" s="21">
        <f t="shared" si="8"/>
        <v>33513576.800000001</v>
      </c>
      <c r="CU6" s="21">
        <f t="shared" si="8"/>
        <v>33513576.800000001</v>
      </c>
      <c r="CV6" s="21">
        <f t="shared" si="8"/>
        <v>33513576.800000001</v>
      </c>
      <c r="CW6" s="21">
        <f t="shared" si="8"/>
        <v>33513576.800000001</v>
      </c>
      <c r="CX6" s="21">
        <f t="shared" si="8"/>
        <v>33513576.800000001</v>
      </c>
      <c r="CY6" s="21">
        <f t="shared" si="8"/>
        <v>33513576.800000001</v>
      </c>
      <c r="CZ6" s="21">
        <f t="shared" si="8"/>
        <v>33513576.800000001</v>
      </c>
      <c r="DA6" s="21">
        <f t="shared" si="8"/>
        <v>33513576.800000001</v>
      </c>
      <c r="DB6" s="21">
        <f t="shared" si="8"/>
        <v>33513576.800000001</v>
      </c>
      <c r="DC6" s="21">
        <f t="shared" si="8"/>
        <v>33513576.800000001</v>
      </c>
      <c r="DD6" s="21">
        <f t="shared" si="8"/>
        <v>33513576.800000001</v>
      </c>
      <c r="DE6" s="21">
        <f t="shared" si="8"/>
        <v>33513576.800000001</v>
      </c>
      <c r="DF6" s="21">
        <f t="shared" si="8"/>
        <v>33513576.800000001</v>
      </c>
      <c r="DG6" s="21">
        <f t="shared" si="8"/>
        <v>33513576.800000001</v>
      </c>
      <c r="DH6" s="21">
        <f t="shared" si="8"/>
        <v>33513576.800000001</v>
      </c>
      <c r="DI6" s="21">
        <f t="shared" si="8"/>
        <v>33513576.800000001</v>
      </c>
      <c r="DJ6" s="21">
        <f t="shared" si="8"/>
        <v>33513576.800000001</v>
      </c>
      <c r="DK6" s="21">
        <f t="shared" si="8"/>
        <v>33513576.800000001</v>
      </c>
      <c r="DL6" s="21">
        <f t="shared" si="8"/>
        <v>33513576.800000001</v>
      </c>
      <c r="DM6" s="21">
        <f t="shared" si="8"/>
        <v>33513576.800000001</v>
      </c>
      <c r="DN6" s="21">
        <f t="shared" si="8"/>
        <v>33513576.800000001</v>
      </c>
      <c r="DO6" s="21">
        <f t="shared" si="8"/>
        <v>33513576.800000001</v>
      </c>
      <c r="DP6" s="21">
        <f t="shared" si="8"/>
        <v>33513576.800000001</v>
      </c>
      <c r="DQ6" s="21">
        <f t="shared" si="8"/>
        <v>33513576.800000001</v>
      </c>
      <c r="DR6" s="21">
        <f t="shared" si="8"/>
        <v>33513576.800000001</v>
      </c>
      <c r="DS6" s="21">
        <f t="shared" si="8"/>
        <v>33513576.800000001</v>
      </c>
      <c r="DT6" s="21">
        <f t="shared" si="8"/>
        <v>33513576.800000001</v>
      </c>
      <c r="DU6" s="21">
        <f t="shared" si="8"/>
        <v>33513576.800000001</v>
      </c>
      <c r="DV6" s="21">
        <f t="shared" si="8"/>
        <v>33513576.800000001</v>
      </c>
      <c r="DW6" s="21">
        <f t="shared" si="8"/>
        <v>33513576.800000001</v>
      </c>
      <c r="DX6" s="21">
        <f t="shared" si="8"/>
        <v>33513576.800000001</v>
      </c>
      <c r="DY6" s="21">
        <f t="shared" si="8"/>
        <v>33513576.800000001</v>
      </c>
      <c r="DZ6" s="21">
        <f t="shared" si="8"/>
        <v>33513576.800000001</v>
      </c>
      <c r="EA6" s="21">
        <f t="shared" si="8"/>
        <v>33513576.800000001</v>
      </c>
      <c r="EB6" s="21">
        <f t="shared" si="8"/>
        <v>33513576.800000001</v>
      </c>
      <c r="EC6" s="21">
        <f t="shared" si="8"/>
        <v>33513576.800000001</v>
      </c>
      <c r="ED6" s="21">
        <f t="shared" si="8"/>
        <v>33513576.800000001</v>
      </c>
      <c r="EE6" s="21">
        <f t="shared" ref="EE6:GP6" si="9">IF(IF(AND(ISNA(EE$5),ISNA(ED$5)),ED6*(1+$C$11),IF(AND(ED$5&gt;0,ISNA(EE$5)),ED6*(1+$C$11),EE$5))&gt;$C$20,$C$20,IF(AND(ISNA(EE$5),ISNA(ED$5)),ED6*(1+$C$11),IF(AND(ED$5&gt;0,ISNA(EE$5)),ED6*(1+$C$11),EE$5)))</f>
        <v>33513576.800000001</v>
      </c>
      <c r="EF6" s="21">
        <f t="shared" si="9"/>
        <v>33513576.800000001</v>
      </c>
      <c r="EG6" s="21">
        <f t="shared" si="9"/>
        <v>33513576.800000001</v>
      </c>
      <c r="EH6" s="21">
        <f t="shared" si="9"/>
        <v>33513576.800000001</v>
      </c>
      <c r="EI6" s="21">
        <f t="shared" si="9"/>
        <v>33513576.800000001</v>
      </c>
      <c r="EJ6" s="21">
        <f t="shared" si="9"/>
        <v>33513576.800000001</v>
      </c>
      <c r="EK6" s="21">
        <f t="shared" si="9"/>
        <v>33513576.800000001</v>
      </c>
      <c r="EL6" s="21">
        <f t="shared" si="9"/>
        <v>33513576.800000001</v>
      </c>
      <c r="EM6" s="21">
        <f t="shared" si="9"/>
        <v>33513576.800000001</v>
      </c>
      <c r="EN6" s="21">
        <f t="shared" si="9"/>
        <v>33513576.800000001</v>
      </c>
      <c r="EO6" s="21">
        <f t="shared" si="9"/>
        <v>33513576.800000001</v>
      </c>
      <c r="EP6" s="21">
        <f t="shared" si="9"/>
        <v>33513576.800000001</v>
      </c>
      <c r="EQ6" s="21">
        <f t="shared" si="9"/>
        <v>33513576.800000001</v>
      </c>
      <c r="ER6" s="21">
        <f t="shared" si="9"/>
        <v>33513576.800000001</v>
      </c>
      <c r="ES6" s="21">
        <f t="shared" si="9"/>
        <v>33513576.800000001</v>
      </c>
      <c r="ET6" s="21">
        <f t="shared" si="9"/>
        <v>33513576.800000001</v>
      </c>
      <c r="EU6" s="21">
        <f t="shared" si="9"/>
        <v>33513576.800000001</v>
      </c>
      <c r="EV6" s="21">
        <f t="shared" si="9"/>
        <v>33513576.800000001</v>
      </c>
      <c r="EW6" s="21">
        <f t="shared" si="9"/>
        <v>33513576.800000001</v>
      </c>
      <c r="EX6" s="21">
        <f t="shared" si="9"/>
        <v>33513576.800000001</v>
      </c>
      <c r="EY6" s="21">
        <f t="shared" si="9"/>
        <v>33513576.800000001</v>
      </c>
      <c r="EZ6" s="21">
        <f t="shared" si="9"/>
        <v>33513576.800000001</v>
      </c>
      <c r="FA6" s="21">
        <f t="shared" si="9"/>
        <v>33513576.800000001</v>
      </c>
      <c r="FB6" s="21">
        <f t="shared" si="9"/>
        <v>33513576.800000001</v>
      </c>
      <c r="FC6" s="21">
        <f t="shared" si="9"/>
        <v>33513576.800000001</v>
      </c>
      <c r="FD6" s="21">
        <f t="shared" si="9"/>
        <v>33513576.800000001</v>
      </c>
      <c r="FE6" s="21">
        <f t="shared" si="9"/>
        <v>33513576.800000001</v>
      </c>
      <c r="FF6" s="21">
        <f t="shared" si="9"/>
        <v>33513576.800000001</v>
      </c>
      <c r="FG6" s="21">
        <f t="shared" si="9"/>
        <v>33513576.800000001</v>
      </c>
      <c r="FH6" s="21">
        <f t="shared" si="9"/>
        <v>33513576.800000001</v>
      </c>
      <c r="FI6" s="21">
        <f t="shared" si="9"/>
        <v>33513576.800000001</v>
      </c>
      <c r="FJ6" s="21">
        <f t="shared" si="9"/>
        <v>33513576.800000001</v>
      </c>
      <c r="FK6" s="21">
        <f t="shared" si="9"/>
        <v>33513576.800000001</v>
      </c>
      <c r="FL6" s="21">
        <f t="shared" si="9"/>
        <v>33513576.800000001</v>
      </c>
      <c r="FM6" s="21">
        <f t="shared" si="9"/>
        <v>33513576.800000001</v>
      </c>
      <c r="FN6" s="21">
        <f t="shared" si="9"/>
        <v>33513576.800000001</v>
      </c>
      <c r="FO6" s="21">
        <f t="shared" si="9"/>
        <v>33513576.800000001</v>
      </c>
      <c r="FP6" s="21">
        <f t="shared" si="9"/>
        <v>33513576.800000001</v>
      </c>
      <c r="FQ6" s="21">
        <f t="shared" si="9"/>
        <v>33513576.800000001</v>
      </c>
      <c r="FR6" s="21">
        <f t="shared" si="9"/>
        <v>33513576.800000001</v>
      </c>
      <c r="FS6" s="21">
        <f t="shared" si="9"/>
        <v>33513576.800000001</v>
      </c>
      <c r="FT6" s="21">
        <f t="shared" si="9"/>
        <v>33513576.800000001</v>
      </c>
      <c r="FU6" s="21">
        <f t="shared" si="9"/>
        <v>33513576.800000001</v>
      </c>
      <c r="FV6" s="21">
        <f t="shared" si="9"/>
        <v>33513576.800000001</v>
      </c>
      <c r="FW6" s="21">
        <f t="shared" si="9"/>
        <v>33513576.800000001</v>
      </c>
      <c r="FX6" s="21">
        <f t="shared" si="9"/>
        <v>33513576.800000001</v>
      </c>
      <c r="FY6" s="21">
        <f t="shared" si="9"/>
        <v>33513576.800000001</v>
      </c>
      <c r="FZ6" s="21">
        <f t="shared" si="9"/>
        <v>33513576.800000001</v>
      </c>
      <c r="GA6" s="21">
        <f t="shared" si="9"/>
        <v>33513576.800000001</v>
      </c>
      <c r="GB6" s="21">
        <f t="shared" si="9"/>
        <v>33513576.800000001</v>
      </c>
      <c r="GC6" s="21">
        <f t="shared" si="9"/>
        <v>33513576.800000001</v>
      </c>
      <c r="GD6" s="21">
        <f t="shared" si="9"/>
        <v>33513576.800000001</v>
      </c>
      <c r="GE6" s="21">
        <f t="shared" si="9"/>
        <v>33513576.800000001</v>
      </c>
      <c r="GF6" s="21">
        <f t="shared" si="9"/>
        <v>33513576.800000001</v>
      </c>
      <c r="GG6" s="21">
        <f t="shared" si="9"/>
        <v>33513576.800000001</v>
      </c>
      <c r="GH6" s="21">
        <f t="shared" si="9"/>
        <v>33513576.800000001</v>
      </c>
      <c r="GI6" s="21">
        <f t="shared" si="9"/>
        <v>33513576.800000001</v>
      </c>
      <c r="GJ6" s="21">
        <f t="shared" si="9"/>
        <v>33513576.800000001</v>
      </c>
      <c r="GK6" s="21">
        <f t="shared" si="9"/>
        <v>33513576.800000001</v>
      </c>
      <c r="GL6" s="21">
        <f t="shared" si="9"/>
        <v>33513576.800000001</v>
      </c>
      <c r="GM6" s="21">
        <f t="shared" si="9"/>
        <v>33513576.800000001</v>
      </c>
      <c r="GN6" s="21">
        <f t="shared" si="9"/>
        <v>33513576.800000001</v>
      </c>
      <c r="GO6" s="21">
        <f t="shared" si="9"/>
        <v>33513576.800000001</v>
      </c>
      <c r="GP6" s="21">
        <f t="shared" si="9"/>
        <v>33513576.800000001</v>
      </c>
      <c r="GQ6" s="21">
        <f t="shared" ref="GQ6:IN6" si="10">IF(IF(AND(ISNA(GQ$5),ISNA(GP$5)),GP6*(1+$C$11),IF(AND(GP$5&gt;0,ISNA(GQ$5)),GP6*(1+$C$11),GQ$5))&gt;$C$20,$C$20,IF(AND(ISNA(GQ$5),ISNA(GP$5)),GP6*(1+$C$11),IF(AND(GP$5&gt;0,ISNA(GQ$5)),GP6*(1+$C$11),GQ$5)))</f>
        <v>33513576.800000001</v>
      </c>
      <c r="GR6" s="21">
        <f t="shared" si="10"/>
        <v>33513576.800000001</v>
      </c>
      <c r="GS6" s="21">
        <f t="shared" si="10"/>
        <v>33513576.800000001</v>
      </c>
      <c r="GT6" s="21">
        <f t="shared" si="10"/>
        <v>33513576.800000001</v>
      </c>
      <c r="GU6" s="21">
        <f t="shared" si="10"/>
        <v>33513576.800000001</v>
      </c>
      <c r="GV6" s="21">
        <f t="shared" si="10"/>
        <v>33513576.800000001</v>
      </c>
      <c r="GW6" s="21">
        <f t="shared" si="10"/>
        <v>33513576.800000001</v>
      </c>
      <c r="GX6" s="21">
        <f t="shared" si="10"/>
        <v>33513576.800000001</v>
      </c>
      <c r="GY6" s="21">
        <f t="shared" si="10"/>
        <v>33513576.800000001</v>
      </c>
      <c r="GZ6" s="21">
        <f t="shared" si="10"/>
        <v>33513576.800000001</v>
      </c>
      <c r="HA6" s="21">
        <f t="shared" si="10"/>
        <v>33513576.800000001</v>
      </c>
      <c r="HB6" s="21">
        <f t="shared" si="10"/>
        <v>33513576.800000001</v>
      </c>
      <c r="HC6" s="21">
        <f t="shared" si="10"/>
        <v>33513576.800000001</v>
      </c>
      <c r="HD6" s="21">
        <f t="shared" si="10"/>
        <v>33513576.800000001</v>
      </c>
      <c r="HE6" s="21">
        <f t="shared" si="10"/>
        <v>33513576.800000001</v>
      </c>
      <c r="HF6" s="21">
        <f t="shared" si="10"/>
        <v>33513576.800000001</v>
      </c>
      <c r="HG6" s="21">
        <f t="shared" si="10"/>
        <v>33513576.800000001</v>
      </c>
      <c r="HH6" s="21">
        <f t="shared" si="10"/>
        <v>33513576.800000001</v>
      </c>
      <c r="HI6" s="21">
        <f t="shared" si="10"/>
        <v>33513576.800000001</v>
      </c>
      <c r="HJ6" s="21">
        <f t="shared" si="10"/>
        <v>33513576.800000001</v>
      </c>
      <c r="HK6" s="21">
        <f t="shared" si="10"/>
        <v>33513576.800000001</v>
      </c>
      <c r="HL6" s="21">
        <f t="shared" si="10"/>
        <v>33513576.800000001</v>
      </c>
      <c r="HM6" s="21">
        <f t="shared" si="10"/>
        <v>33513576.800000001</v>
      </c>
      <c r="HN6" s="21">
        <f t="shared" si="10"/>
        <v>33513576.800000001</v>
      </c>
      <c r="HO6" s="21">
        <f t="shared" si="10"/>
        <v>33513576.800000001</v>
      </c>
      <c r="HP6" s="21">
        <f t="shared" si="10"/>
        <v>33513576.800000001</v>
      </c>
      <c r="HQ6" s="21">
        <f t="shared" si="10"/>
        <v>33513576.800000001</v>
      </c>
      <c r="HR6" s="21">
        <f t="shared" si="10"/>
        <v>33513576.800000001</v>
      </c>
      <c r="HS6" s="21">
        <f t="shared" si="10"/>
        <v>33513576.800000001</v>
      </c>
      <c r="HT6" s="21">
        <f t="shared" si="10"/>
        <v>33513576.800000001</v>
      </c>
      <c r="HU6" s="21">
        <f t="shared" si="10"/>
        <v>33513576.800000001</v>
      </c>
      <c r="HV6" s="21">
        <f t="shared" si="10"/>
        <v>33513576.800000001</v>
      </c>
      <c r="HW6" s="21">
        <f t="shared" si="10"/>
        <v>33513576.800000001</v>
      </c>
      <c r="HX6" s="21">
        <f t="shared" si="10"/>
        <v>33513576.800000001</v>
      </c>
      <c r="HY6" s="21">
        <f t="shared" si="10"/>
        <v>33513576.800000001</v>
      </c>
      <c r="HZ6" s="21">
        <f t="shared" si="10"/>
        <v>33513576.800000001</v>
      </c>
      <c r="IA6" s="21">
        <f t="shared" si="10"/>
        <v>33513576.800000001</v>
      </c>
      <c r="IB6" s="21">
        <f t="shared" si="10"/>
        <v>33513576.800000001</v>
      </c>
      <c r="IC6" s="21">
        <f t="shared" si="10"/>
        <v>33513576.800000001</v>
      </c>
      <c r="ID6" s="21">
        <f t="shared" si="10"/>
        <v>33513576.800000001</v>
      </c>
      <c r="IE6" s="21">
        <f t="shared" si="10"/>
        <v>33513576.800000001</v>
      </c>
      <c r="IF6" s="21">
        <f t="shared" si="10"/>
        <v>33513576.800000001</v>
      </c>
      <c r="IG6" s="21">
        <f t="shared" si="10"/>
        <v>33513576.800000001</v>
      </c>
      <c r="IH6" s="21">
        <f t="shared" si="10"/>
        <v>33513576.800000001</v>
      </c>
      <c r="II6" s="21">
        <f t="shared" si="10"/>
        <v>33513576.800000001</v>
      </c>
      <c r="IJ6" s="21">
        <f t="shared" si="10"/>
        <v>33513576.800000001</v>
      </c>
      <c r="IK6" s="21">
        <f t="shared" si="10"/>
        <v>33513576.800000001</v>
      </c>
      <c r="IL6" s="21">
        <f t="shared" si="10"/>
        <v>33513576.800000001</v>
      </c>
      <c r="IM6" s="21">
        <f t="shared" si="10"/>
        <v>33513576.800000001</v>
      </c>
      <c r="IN6" s="21">
        <f t="shared" si="10"/>
        <v>33513576.800000001</v>
      </c>
    </row>
    <row r="7" spans="2:248" x14ac:dyDescent="0.3">
      <c r="B7" s="19" t="s">
        <v>519</v>
      </c>
      <c r="C7" s="21">
        <f>VLOOKUP(B2,Country_Data!C:G,5,FALSE)</f>
        <v>105</v>
      </c>
      <c r="F7" s="19" t="s">
        <v>497</v>
      </c>
      <c r="G7" s="21">
        <f t="shared" ref="G7:R7" si="11">G6</f>
        <v>130</v>
      </c>
      <c r="H7" s="21">
        <f t="shared" si="11"/>
        <v>159</v>
      </c>
      <c r="I7" s="21">
        <f t="shared" si="11"/>
        <v>196</v>
      </c>
      <c r="J7" s="21">
        <f t="shared" si="11"/>
        <v>262</v>
      </c>
      <c r="K7" s="21">
        <f t="shared" si="11"/>
        <v>482</v>
      </c>
      <c r="L7" s="21">
        <f t="shared" si="11"/>
        <v>670</v>
      </c>
      <c r="M7" s="21">
        <f t="shared" si="11"/>
        <v>799</v>
      </c>
      <c r="N7" s="21">
        <f t="shared" si="11"/>
        <v>1040</v>
      </c>
      <c r="O7" s="21">
        <f t="shared" si="11"/>
        <v>1176</v>
      </c>
      <c r="P7" s="21">
        <f t="shared" si="11"/>
        <v>1457</v>
      </c>
      <c r="Q7" s="21">
        <f t="shared" si="11"/>
        <v>1908</v>
      </c>
      <c r="R7" s="21">
        <f t="shared" si="11"/>
        <v>2078</v>
      </c>
      <c r="S7" s="21">
        <f>S6-G6</f>
        <v>3545</v>
      </c>
      <c r="T7" s="21">
        <f t="shared" ref="T7:CE7" si="12">T6-H6</f>
        <v>4426</v>
      </c>
      <c r="U7" s="21">
        <f t="shared" si="12"/>
        <v>5599</v>
      </c>
      <c r="V7" s="21">
        <f t="shared" si="12"/>
        <v>7010</v>
      </c>
      <c r="W7" s="21">
        <f t="shared" si="12"/>
        <v>8775</v>
      </c>
      <c r="X7" s="21">
        <f t="shared" si="12"/>
        <v>11657</v>
      </c>
      <c r="Y7" s="21">
        <f t="shared" si="12"/>
        <v>14521</v>
      </c>
      <c r="Z7" s="21">
        <f t="shared" si="12"/>
        <v>18460.360957379911</v>
      </c>
      <c r="AA7" s="21">
        <f t="shared" si="12"/>
        <v>23645.41497833595</v>
      </c>
      <c r="AB7" s="21">
        <f t="shared" si="12"/>
        <v>30137.422424965225</v>
      </c>
      <c r="AC7" s="21">
        <f t="shared" si="12"/>
        <v>38307.577123156669</v>
      </c>
      <c r="AD7" s="21">
        <f t="shared" si="12"/>
        <v>49111.182115594318</v>
      </c>
      <c r="AE7" s="21">
        <f t="shared" si="12"/>
        <v>61482.14937122359</v>
      </c>
      <c r="AF7" s="21">
        <f t="shared" si="12"/>
        <v>78351.549066108317</v>
      </c>
      <c r="AG7" s="21">
        <f t="shared" si="12"/>
        <v>99772.404918313434</v>
      </c>
      <c r="AH7" s="21">
        <f t="shared" si="12"/>
        <v>127101.5314125976</v>
      </c>
      <c r="AI7" s="21">
        <f t="shared" si="12"/>
        <v>161782.97164905228</v>
      </c>
      <c r="AJ7" s="21">
        <f t="shared" si="12"/>
        <v>205384.56561987897</v>
      </c>
      <c r="AK7" s="21">
        <f t="shared" si="12"/>
        <v>261798.41476396489</v>
      </c>
      <c r="AL7" s="21">
        <f t="shared" si="12"/>
        <v>333235.22101613402</v>
      </c>
      <c r="AM7" s="21">
        <f t="shared" si="12"/>
        <v>424164.95388556691</v>
      </c>
      <c r="AN7" s="21">
        <f t="shared" si="12"/>
        <v>539906.63878844387</v>
      </c>
      <c r="AO7" s="21">
        <f t="shared" si="12"/>
        <v>687230.70102221856</v>
      </c>
      <c r="AP7" s="21">
        <f t="shared" si="12"/>
        <v>874755.00854611595</v>
      </c>
      <c r="AQ7" s="21">
        <f t="shared" si="12"/>
        <v>1113448.9827627421</v>
      </c>
      <c r="AR7" s="21">
        <f t="shared" si="12"/>
        <v>1417275.2657637696</v>
      </c>
      <c r="AS7" s="21">
        <f t="shared" si="12"/>
        <v>1804006.4790052252</v>
      </c>
      <c r="AT7" s="21">
        <f t="shared" si="12"/>
        <v>2296264.8505257112</v>
      </c>
      <c r="AU7" s="21">
        <f t="shared" si="12"/>
        <v>2922845.5247386033</v>
      </c>
      <c r="AV7" s="21">
        <f t="shared" si="12"/>
        <v>3720400.9631243637</v>
      </c>
      <c r="AW7" s="21">
        <f t="shared" si="12"/>
        <v>4735584.9665214727</v>
      </c>
      <c r="AX7" s="21">
        <f t="shared" si="12"/>
        <v>6027781.7357382886</v>
      </c>
      <c r="AY7" s="21">
        <f t="shared" si="12"/>
        <v>7672579.6096082656</v>
      </c>
      <c r="AZ7" s="21">
        <f t="shared" si="12"/>
        <v>9766192.6802607179</v>
      </c>
      <c r="BA7" s="21">
        <f t="shared" si="12"/>
        <v>12431088.932402452</v>
      </c>
      <c r="BB7" s="21">
        <f t="shared" si="12"/>
        <v>15823154.13023096</v>
      </c>
      <c r="BC7" s="21">
        <f t="shared" si="12"/>
        <v>20140810.510689326</v>
      </c>
      <c r="BD7" s="21">
        <f t="shared" si="12"/>
        <v>25636623.69011965</v>
      </c>
      <c r="BE7" s="21">
        <f t="shared" si="12"/>
        <v>31604002.916076463</v>
      </c>
      <c r="BF7" s="21">
        <f t="shared" si="12"/>
        <v>31082938.418061692</v>
      </c>
      <c r="BG7" s="21">
        <f t="shared" si="12"/>
        <v>30419691.303612344</v>
      </c>
      <c r="BH7" s="21">
        <f t="shared" si="12"/>
        <v>29575464.271255758</v>
      </c>
      <c r="BI7" s="21">
        <f t="shared" si="12"/>
        <v>28500873.418714564</v>
      </c>
      <c r="BJ7" s="21">
        <f t="shared" si="12"/>
        <v>27133059.482288197</v>
      </c>
      <c r="BK7" s="21">
        <f t="shared" si="12"/>
        <v>25392010.821527831</v>
      </c>
      <c r="BL7" s="21">
        <f t="shared" si="12"/>
        <v>23175883.058525875</v>
      </c>
      <c r="BM7" s="21">
        <f t="shared" si="12"/>
        <v>20355041.589452174</v>
      </c>
      <c r="BN7" s="21">
        <f t="shared" si="12"/>
        <v>16764478.479107331</v>
      </c>
      <c r="BO7" s="21">
        <f t="shared" si="12"/>
        <v>12194160.157176711</v>
      </c>
      <c r="BP7" s="21">
        <f t="shared" si="12"/>
        <v>6376741.295050472</v>
      </c>
      <c r="BQ7" s="21">
        <f t="shared" si="12"/>
        <v>0</v>
      </c>
      <c r="BR7" s="21">
        <f t="shared" si="12"/>
        <v>0</v>
      </c>
      <c r="BS7" s="21">
        <f t="shared" si="12"/>
        <v>0</v>
      </c>
      <c r="BT7" s="21">
        <f t="shared" si="12"/>
        <v>0</v>
      </c>
      <c r="BU7" s="21">
        <f t="shared" si="12"/>
        <v>0</v>
      </c>
      <c r="BV7" s="21">
        <f t="shared" si="12"/>
        <v>0</v>
      </c>
      <c r="BW7" s="21">
        <f t="shared" si="12"/>
        <v>0</v>
      </c>
      <c r="BX7" s="21">
        <f t="shared" si="12"/>
        <v>0</v>
      </c>
      <c r="BY7" s="21">
        <f t="shared" si="12"/>
        <v>0</v>
      </c>
      <c r="BZ7" s="21">
        <f t="shared" si="12"/>
        <v>0</v>
      </c>
      <c r="CA7" s="21">
        <f t="shared" si="12"/>
        <v>0</v>
      </c>
      <c r="CB7" s="21">
        <f t="shared" si="12"/>
        <v>0</v>
      </c>
      <c r="CC7" s="21">
        <f t="shared" si="12"/>
        <v>0</v>
      </c>
      <c r="CD7" s="21">
        <f t="shared" si="12"/>
        <v>0</v>
      </c>
      <c r="CE7" s="21">
        <f t="shared" si="12"/>
        <v>0</v>
      </c>
      <c r="CF7" s="21">
        <f t="shared" ref="CF7:EQ7" si="13">CF6-BT6</f>
        <v>0</v>
      </c>
      <c r="CG7" s="21">
        <f t="shared" si="13"/>
        <v>0</v>
      </c>
      <c r="CH7" s="21">
        <f t="shared" si="13"/>
        <v>0</v>
      </c>
      <c r="CI7" s="21">
        <f t="shared" si="13"/>
        <v>0</v>
      </c>
      <c r="CJ7" s="21">
        <f t="shared" si="13"/>
        <v>0</v>
      </c>
      <c r="CK7" s="21">
        <f t="shared" si="13"/>
        <v>0</v>
      </c>
      <c r="CL7" s="21">
        <f t="shared" si="13"/>
        <v>0</v>
      </c>
      <c r="CM7" s="21">
        <f t="shared" si="13"/>
        <v>0</v>
      </c>
      <c r="CN7" s="21">
        <f t="shared" si="13"/>
        <v>0</v>
      </c>
      <c r="CO7" s="21">
        <f t="shared" si="13"/>
        <v>0</v>
      </c>
      <c r="CP7" s="21">
        <f t="shared" si="13"/>
        <v>0</v>
      </c>
      <c r="CQ7" s="21">
        <f t="shared" si="13"/>
        <v>0</v>
      </c>
      <c r="CR7" s="21">
        <f t="shared" si="13"/>
        <v>0</v>
      </c>
      <c r="CS7" s="21">
        <f t="shared" si="13"/>
        <v>0</v>
      </c>
      <c r="CT7" s="21">
        <f t="shared" si="13"/>
        <v>0</v>
      </c>
      <c r="CU7" s="21">
        <f t="shared" si="13"/>
        <v>0</v>
      </c>
      <c r="CV7" s="21">
        <f t="shared" si="13"/>
        <v>0</v>
      </c>
      <c r="CW7" s="21">
        <f t="shared" si="13"/>
        <v>0</v>
      </c>
      <c r="CX7" s="21">
        <f t="shared" si="13"/>
        <v>0</v>
      </c>
      <c r="CY7" s="21">
        <f t="shared" si="13"/>
        <v>0</v>
      </c>
      <c r="CZ7" s="21">
        <f t="shared" si="13"/>
        <v>0</v>
      </c>
      <c r="DA7" s="21">
        <f t="shared" si="13"/>
        <v>0</v>
      </c>
      <c r="DB7" s="21">
        <f t="shared" si="13"/>
        <v>0</v>
      </c>
      <c r="DC7" s="21">
        <f t="shared" si="13"/>
        <v>0</v>
      </c>
      <c r="DD7" s="21">
        <f t="shared" si="13"/>
        <v>0</v>
      </c>
      <c r="DE7" s="21">
        <f t="shared" si="13"/>
        <v>0</v>
      </c>
      <c r="DF7" s="21">
        <f t="shared" si="13"/>
        <v>0</v>
      </c>
      <c r="DG7" s="21">
        <f t="shared" si="13"/>
        <v>0</v>
      </c>
      <c r="DH7" s="21">
        <f t="shared" si="13"/>
        <v>0</v>
      </c>
      <c r="DI7" s="21">
        <f t="shared" si="13"/>
        <v>0</v>
      </c>
      <c r="DJ7" s="21">
        <f t="shared" si="13"/>
        <v>0</v>
      </c>
      <c r="DK7" s="21">
        <f t="shared" si="13"/>
        <v>0</v>
      </c>
      <c r="DL7" s="21">
        <f t="shared" si="13"/>
        <v>0</v>
      </c>
      <c r="DM7" s="21">
        <f t="shared" si="13"/>
        <v>0</v>
      </c>
      <c r="DN7" s="21">
        <f t="shared" si="13"/>
        <v>0</v>
      </c>
      <c r="DO7" s="21">
        <f t="shared" si="13"/>
        <v>0</v>
      </c>
      <c r="DP7" s="21">
        <f t="shared" si="13"/>
        <v>0</v>
      </c>
      <c r="DQ7" s="21">
        <f t="shared" si="13"/>
        <v>0</v>
      </c>
      <c r="DR7" s="21">
        <f t="shared" si="13"/>
        <v>0</v>
      </c>
      <c r="DS7" s="21">
        <f t="shared" si="13"/>
        <v>0</v>
      </c>
      <c r="DT7" s="21">
        <f t="shared" si="13"/>
        <v>0</v>
      </c>
      <c r="DU7" s="21">
        <f t="shared" si="13"/>
        <v>0</v>
      </c>
      <c r="DV7" s="21">
        <f t="shared" si="13"/>
        <v>0</v>
      </c>
      <c r="DW7" s="21">
        <f t="shared" si="13"/>
        <v>0</v>
      </c>
      <c r="DX7" s="21">
        <f t="shared" si="13"/>
        <v>0</v>
      </c>
      <c r="DY7" s="21">
        <f t="shared" si="13"/>
        <v>0</v>
      </c>
      <c r="DZ7" s="21">
        <f t="shared" si="13"/>
        <v>0</v>
      </c>
      <c r="EA7" s="21">
        <f t="shared" si="13"/>
        <v>0</v>
      </c>
      <c r="EB7" s="21">
        <f t="shared" si="13"/>
        <v>0</v>
      </c>
      <c r="EC7" s="21">
        <f t="shared" si="13"/>
        <v>0</v>
      </c>
      <c r="ED7" s="21">
        <f t="shared" si="13"/>
        <v>0</v>
      </c>
      <c r="EE7" s="21">
        <f t="shared" si="13"/>
        <v>0</v>
      </c>
      <c r="EF7" s="21">
        <f t="shared" si="13"/>
        <v>0</v>
      </c>
      <c r="EG7" s="21">
        <f t="shared" si="13"/>
        <v>0</v>
      </c>
      <c r="EH7" s="21">
        <f t="shared" si="13"/>
        <v>0</v>
      </c>
      <c r="EI7" s="21">
        <f t="shared" si="13"/>
        <v>0</v>
      </c>
      <c r="EJ7" s="21">
        <f t="shared" si="13"/>
        <v>0</v>
      </c>
      <c r="EK7" s="21">
        <f t="shared" si="13"/>
        <v>0</v>
      </c>
      <c r="EL7" s="21">
        <f t="shared" si="13"/>
        <v>0</v>
      </c>
      <c r="EM7" s="21">
        <f t="shared" si="13"/>
        <v>0</v>
      </c>
      <c r="EN7" s="21">
        <f t="shared" si="13"/>
        <v>0</v>
      </c>
      <c r="EO7" s="21">
        <f t="shared" si="13"/>
        <v>0</v>
      </c>
      <c r="EP7" s="21">
        <f t="shared" si="13"/>
        <v>0</v>
      </c>
      <c r="EQ7" s="21">
        <f t="shared" si="13"/>
        <v>0</v>
      </c>
      <c r="ER7" s="21">
        <f t="shared" ref="ER7:HC7" si="14">ER6-EF6</f>
        <v>0</v>
      </c>
      <c r="ES7" s="21">
        <f t="shared" si="14"/>
        <v>0</v>
      </c>
      <c r="ET7" s="21">
        <f t="shared" si="14"/>
        <v>0</v>
      </c>
      <c r="EU7" s="21">
        <f t="shared" si="14"/>
        <v>0</v>
      </c>
      <c r="EV7" s="21">
        <f t="shared" si="14"/>
        <v>0</v>
      </c>
      <c r="EW7" s="21">
        <f t="shared" si="14"/>
        <v>0</v>
      </c>
      <c r="EX7" s="21">
        <f t="shared" si="14"/>
        <v>0</v>
      </c>
      <c r="EY7" s="21">
        <f t="shared" si="14"/>
        <v>0</v>
      </c>
      <c r="EZ7" s="21">
        <f t="shared" si="14"/>
        <v>0</v>
      </c>
      <c r="FA7" s="21">
        <f t="shared" si="14"/>
        <v>0</v>
      </c>
      <c r="FB7" s="21">
        <f t="shared" si="14"/>
        <v>0</v>
      </c>
      <c r="FC7" s="21">
        <f t="shared" si="14"/>
        <v>0</v>
      </c>
      <c r="FD7" s="21">
        <f t="shared" si="14"/>
        <v>0</v>
      </c>
      <c r="FE7" s="21">
        <f t="shared" si="14"/>
        <v>0</v>
      </c>
      <c r="FF7" s="21">
        <f t="shared" si="14"/>
        <v>0</v>
      </c>
      <c r="FG7" s="21">
        <f t="shared" si="14"/>
        <v>0</v>
      </c>
      <c r="FH7" s="21">
        <f t="shared" si="14"/>
        <v>0</v>
      </c>
      <c r="FI7" s="21">
        <f t="shared" si="14"/>
        <v>0</v>
      </c>
      <c r="FJ7" s="21">
        <f t="shared" si="14"/>
        <v>0</v>
      </c>
      <c r="FK7" s="21">
        <f t="shared" si="14"/>
        <v>0</v>
      </c>
      <c r="FL7" s="21">
        <f t="shared" si="14"/>
        <v>0</v>
      </c>
      <c r="FM7" s="21">
        <f t="shared" si="14"/>
        <v>0</v>
      </c>
      <c r="FN7" s="21">
        <f t="shared" si="14"/>
        <v>0</v>
      </c>
      <c r="FO7" s="21">
        <f t="shared" si="14"/>
        <v>0</v>
      </c>
      <c r="FP7" s="21">
        <f t="shared" si="14"/>
        <v>0</v>
      </c>
      <c r="FQ7" s="21">
        <f t="shared" si="14"/>
        <v>0</v>
      </c>
      <c r="FR7" s="21">
        <f t="shared" si="14"/>
        <v>0</v>
      </c>
      <c r="FS7" s="21">
        <f t="shared" si="14"/>
        <v>0</v>
      </c>
      <c r="FT7" s="21">
        <f t="shared" si="14"/>
        <v>0</v>
      </c>
      <c r="FU7" s="21">
        <f t="shared" si="14"/>
        <v>0</v>
      </c>
      <c r="FV7" s="21">
        <f t="shared" si="14"/>
        <v>0</v>
      </c>
      <c r="FW7" s="21">
        <f t="shared" si="14"/>
        <v>0</v>
      </c>
      <c r="FX7" s="21">
        <f t="shared" si="14"/>
        <v>0</v>
      </c>
      <c r="FY7" s="21">
        <f t="shared" si="14"/>
        <v>0</v>
      </c>
      <c r="FZ7" s="21">
        <f t="shared" si="14"/>
        <v>0</v>
      </c>
      <c r="GA7" s="21">
        <f t="shared" si="14"/>
        <v>0</v>
      </c>
      <c r="GB7" s="21">
        <f t="shared" si="14"/>
        <v>0</v>
      </c>
      <c r="GC7" s="21">
        <f t="shared" si="14"/>
        <v>0</v>
      </c>
      <c r="GD7" s="21">
        <f t="shared" si="14"/>
        <v>0</v>
      </c>
      <c r="GE7" s="21">
        <f t="shared" si="14"/>
        <v>0</v>
      </c>
      <c r="GF7" s="21">
        <f t="shared" si="14"/>
        <v>0</v>
      </c>
      <c r="GG7" s="21">
        <f t="shared" si="14"/>
        <v>0</v>
      </c>
      <c r="GH7" s="21">
        <f t="shared" si="14"/>
        <v>0</v>
      </c>
      <c r="GI7" s="21">
        <f t="shared" si="14"/>
        <v>0</v>
      </c>
      <c r="GJ7" s="21">
        <f t="shared" si="14"/>
        <v>0</v>
      </c>
      <c r="GK7" s="21">
        <f t="shared" si="14"/>
        <v>0</v>
      </c>
      <c r="GL7" s="21">
        <f t="shared" si="14"/>
        <v>0</v>
      </c>
      <c r="GM7" s="21">
        <f t="shared" si="14"/>
        <v>0</v>
      </c>
      <c r="GN7" s="21">
        <f t="shared" si="14"/>
        <v>0</v>
      </c>
      <c r="GO7" s="21">
        <f t="shared" si="14"/>
        <v>0</v>
      </c>
      <c r="GP7" s="21">
        <f t="shared" si="14"/>
        <v>0</v>
      </c>
      <c r="GQ7" s="21">
        <f t="shared" si="14"/>
        <v>0</v>
      </c>
      <c r="GR7" s="21">
        <f t="shared" si="14"/>
        <v>0</v>
      </c>
      <c r="GS7" s="21">
        <f t="shared" si="14"/>
        <v>0</v>
      </c>
      <c r="GT7" s="21">
        <f t="shared" si="14"/>
        <v>0</v>
      </c>
      <c r="GU7" s="21">
        <f t="shared" si="14"/>
        <v>0</v>
      </c>
      <c r="GV7" s="21">
        <f t="shared" si="14"/>
        <v>0</v>
      </c>
      <c r="GW7" s="21">
        <f t="shared" si="14"/>
        <v>0</v>
      </c>
      <c r="GX7" s="21">
        <f t="shared" si="14"/>
        <v>0</v>
      </c>
      <c r="GY7" s="21">
        <f t="shared" si="14"/>
        <v>0</v>
      </c>
      <c r="GZ7" s="21">
        <f t="shared" si="14"/>
        <v>0</v>
      </c>
      <c r="HA7" s="21">
        <f t="shared" si="14"/>
        <v>0</v>
      </c>
      <c r="HB7" s="21">
        <f t="shared" si="14"/>
        <v>0</v>
      </c>
      <c r="HC7" s="21">
        <f t="shared" si="14"/>
        <v>0</v>
      </c>
      <c r="HD7" s="21">
        <f t="shared" ref="HD7:IN7" si="15">HD6-GR6</f>
        <v>0</v>
      </c>
      <c r="HE7" s="21">
        <f t="shared" si="15"/>
        <v>0</v>
      </c>
      <c r="HF7" s="21">
        <f t="shared" si="15"/>
        <v>0</v>
      </c>
      <c r="HG7" s="21">
        <f t="shared" si="15"/>
        <v>0</v>
      </c>
      <c r="HH7" s="21">
        <f t="shared" si="15"/>
        <v>0</v>
      </c>
      <c r="HI7" s="21">
        <f t="shared" si="15"/>
        <v>0</v>
      </c>
      <c r="HJ7" s="21">
        <f t="shared" si="15"/>
        <v>0</v>
      </c>
      <c r="HK7" s="21">
        <f t="shared" si="15"/>
        <v>0</v>
      </c>
      <c r="HL7" s="21">
        <f t="shared" si="15"/>
        <v>0</v>
      </c>
      <c r="HM7" s="21">
        <f t="shared" si="15"/>
        <v>0</v>
      </c>
      <c r="HN7" s="21">
        <f t="shared" si="15"/>
        <v>0</v>
      </c>
      <c r="HO7" s="21">
        <f t="shared" si="15"/>
        <v>0</v>
      </c>
      <c r="HP7" s="21">
        <f t="shared" si="15"/>
        <v>0</v>
      </c>
      <c r="HQ7" s="21">
        <f t="shared" si="15"/>
        <v>0</v>
      </c>
      <c r="HR7" s="21">
        <f t="shared" si="15"/>
        <v>0</v>
      </c>
      <c r="HS7" s="21">
        <f t="shared" si="15"/>
        <v>0</v>
      </c>
      <c r="HT7" s="21">
        <f t="shared" si="15"/>
        <v>0</v>
      </c>
      <c r="HU7" s="21">
        <f t="shared" si="15"/>
        <v>0</v>
      </c>
      <c r="HV7" s="21">
        <f t="shared" si="15"/>
        <v>0</v>
      </c>
      <c r="HW7" s="21">
        <f t="shared" si="15"/>
        <v>0</v>
      </c>
      <c r="HX7" s="21">
        <f t="shared" si="15"/>
        <v>0</v>
      </c>
      <c r="HY7" s="21">
        <f t="shared" si="15"/>
        <v>0</v>
      </c>
      <c r="HZ7" s="21">
        <f t="shared" si="15"/>
        <v>0</v>
      </c>
      <c r="IA7" s="21">
        <f t="shared" si="15"/>
        <v>0</v>
      </c>
      <c r="IB7" s="21">
        <f t="shared" si="15"/>
        <v>0</v>
      </c>
      <c r="IC7" s="21">
        <f t="shared" si="15"/>
        <v>0</v>
      </c>
      <c r="ID7" s="21">
        <f t="shared" si="15"/>
        <v>0</v>
      </c>
      <c r="IE7" s="21">
        <f t="shared" si="15"/>
        <v>0</v>
      </c>
      <c r="IF7" s="21">
        <f t="shared" si="15"/>
        <v>0</v>
      </c>
      <c r="IG7" s="21">
        <f t="shared" si="15"/>
        <v>0</v>
      </c>
      <c r="IH7" s="21">
        <f t="shared" si="15"/>
        <v>0</v>
      </c>
      <c r="II7" s="21">
        <f t="shared" si="15"/>
        <v>0</v>
      </c>
      <c r="IJ7" s="21">
        <f t="shared" si="15"/>
        <v>0</v>
      </c>
      <c r="IK7" s="21">
        <f t="shared" si="15"/>
        <v>0</v>
      </c>
      <c r="IL7" s="21">
        <f t="shared" si="15"/>
        <v>0</v>
      </c>
      <c r="IM7" s="21">
        <f t="shared" si="15"/>
        <v>0</v>
      </c>
      <c r="IN7" s="21">
        <f t="shared" si="15"/>
        <v>0</v>
      </c>
    </row>
    <row r="8" spans="2:248" x14ac:dyDescent="0.3">
      <c r="B8" s="19" t="s">
        <v>520</v>
      </c>
      <c r="C8" s="21">
        <f>VLOOKUP(B2,Country_Data!C:H,6,FALSE)</f>
        <v>28</v>
      </c>
      <c r="G8" s="21">
        <f>IF(G5="#N/A","#N/A",G7)</f>
        <v>130</v>
      </c>
      <c r="H8" s="21">
        <f t="shared" ref="H8:BS8" si="16">IF(H5="#N/A","#N/A",H7)</f>
        <v>159</v>
      </c>
      <c r="I8" s="21">
        <f t="shared" si="16"/>
        <v>196</v>
      </c>
      <c r="J8" s="21">
        <f t="shared" si="16"/>
        <v>262</v>
      </c>
      <c r="K8" s="21">
        <f t="shared" si="16"/>
        <v>482</v>
      </c>
      <c r="L8" s="21">
        <f t="shared" si="16"/>
        <v>670</v>
      </c>
      <c r="M8" s="21">
        <f t="shared" si="16"/>
        <v>799</v>
      </c>
      <c r="N8" s="21">
        <f t="shared" si="16"/>
        <v>1040</v>
      </c>
      <c r="O8" s="21">
        <f t="shared" si="16"/>
        <v>1176</v>
      </c>
      <c r="P8" s="21">
        <f t="shared" si="16"/>
        <v>1457</v>
      </c>
      <c r="Q8" s="21">
        <f t="shared" si="16"/>
        <v>1908</v>
      </c>
      <c r="R8" s="21">
        <f t="shared" si="16"/>
        <v>2078</v>
      </c>
      <c r="S8" s="21">
        <f t="shared" si="16"/>
        <v>3545</v>
      </c>
      <c r="T8" s="21">
        <f t="shared" si="16"/>
        <v>4426</v>
      </c>
      <c r="U8" s="21">
        <f t="shared" si="16"/>
        <v>5599</v>
      </c>
      <c r="V8" s="21">
        <f t="shared" si="16"/>
        <v>7010</v>
      </c>
      <c r="W8" s="21">
        <f t="shared" si="16"/>
        <v>8775</v>
      </c>
      <c r="X8" s="21">
        <f t="shared" si="16"/>
        <v>11657</v>
      </c>
      <c r="Y8" s="21">
        <f t="shared" si="16"/>
        <v>14521</v>
      </c>
      <c r="Z8" s="21" t="e">
        <f t="shared" si="16"/>
        <v>#N/A</v>
      </c>
      <c r="AA8" s="21" t="e">
        <f t="shared" si="16"/>
        <v>#N/A</v>
      </c>
      <c r="AB8" s="21" t="e">
        <f t="shared" si="16"/>
        <v>#N/A</v>
      </c>
      <c r="AC8" s="21" t="e">
        <f t="shared" si="16"/>
        <v>#N/A</v>
      </c>
      <c r="AD8" s="21" t="e">
        <f t="shared" si="16"/>
        <v>#N/A</v>
      </c>
      <c r="AE8" s="21" t="e">
        <f t="shared" si="16"/>
        <v>#N/A</v>
      </c>
      <c r="AF8" s="21" t="e">
        <f t="shared" si="16"/>
        <v>#N/A</v>
      </c>
      <c r="AG8" s="21" t="e">
        <f t="shared" si="16"/>
        <v>#N/A</v>
      </c>
      <c r="AH8" s="21" t="e">
        <f t="shared" si="16"/>
        <v>#N/A</v>
      </c>
      <c r="AI8" s="21" t="e">
        <f t="shared" si="16"/>
        <v>#N/A</v>
      </c>
      <c r="AJ8" s="21" t="e">
        <f t="shared" si="16"/>
        <v>#N/A</v>
      </c>
      <c r="AK8" s="21" t="e">
        <f t="shared" si="16"/>
        <v>#N/A</v>
      </c>
      <c r="AL8" s="21" t="e">
        <f t="shared" si="16"/>
        <v>#N/A</v>
      </c>
      <c r="AM8" s="21" t="e">
        <f t="shared" si="16"/>
        <v>#N/A</v>
      </c>
      <c r="AN8" s="21" t="e">
        <f t="shared" si="16"/>
        <v>#N/A</v>
      </c>
      <c r="AO8" s="21" t="e">
        <f t="shared" si="16"/>
        <v>#N/A</v>
      </c>
      <c r="AP8" s="21" t="e">
        <f t="shared" si="16"/>
        <v>#N/A</v>
      </c>
      <c r="AQ8" s="21" t="e">
        <f t="shared" si="16"/>
        <v>#N/A</v>
      </c>
      <c r="AR8" s="21" t="e">
        <f t="shared" si="16"/>
        <v>#N/A</v>
      </c>
      <c r="AS8" s="21" t="e">
        <f t="shared" si="16"/>
        <v>#N/A</v>
      </c>
      <c r="AT8" s="21" t="e">
        <f t="shared" si="16"/>
        <v>#N/A</v>
      </c>
      <c r="AU8" s="21" t="e">
        <f t="shared" si="16"/>
        <v>#N/A</v>
      </c>
      <c r="AV8" s="21" t="e">
        <f t="shared" si="16"/>
        <v>#N/A</v>
      </c>
      <c r="AW8" s="21" t="e">
        <f t="shared" si="16"/>
        <v>#N/A</v>
      </c>
      <c r="AX8" s="21" t="e">
        <f t="shared" si="16"/>
        <v>#N/A</v>
      </c>
      <c r="AY8" s="21" t="e">
        <f t="shared" si="16"/>
        <v>#N/A</v>
      </c>
      <c r="AZ8" s="21" t="e">
        <f t="shared" si="16"/>
        <v>#N/A</v>
      </c>
      <c r="BA8" s="21" t="e">
        <f t="shared" si="16"/>
        <v>#N/A</v>
      </c>
      <c r="BB8" s="21" t="e">
        <f t="shared" si="16"/>
        <v>#N/A</v>
      </c>
      <c r="BC8" s="21" t="e">
        <f t="shared" si="16"/>
        <v>#N/A</v>
      </c>
      <c r="BD8" s="21" t="e">
        <f t="shared" si="16"/>
        <v>#N/A</v>
      </c>
      <c r="BE8" s="21" t="e">
        <f t="shared" si="16"/>
        <v>#N/A</v>
      </c>
      <c r="BF8" s="21" t="e">
        <f t="shared" si="16"/>
        <v>#N/A</v>
      </c>
      <c r="BG8" s="21" t="e">
        <f t="shared" si="16"/>
        <v>#N/A</v>
      </c>
      <c r="BH8" s="21" t="e">
        <f t="shared" si="16"/>
        <v>#N/A</v>
      </c>
      <c r="BI8" s="21" t="e">
        <f t="shared" si="16"/>
        <v>#N/A</v>
      </c>
      <c r="BJ8" s="21" t="e">
        <f t="shared" si="16"/>
        <v>#N/A</v>
      </c>
      <c r="BK8" s="21" t="e">
        <f t="shared" si="16"/>
        <v>#N/A</v>
      </c>
      <c r="BL8" s="21" t="e">
        <f t="shared" si="16"/>
        <v>#N/A</v>
      </c>
      <c r="BM8" s="21" t="e">
        <f t="shared" si="16"/>
        <v>#N/A</v>
      </c>
      <c r="BN8" s="21" t="e">
        <f t="shared" si="16"/>
        <v>#N/A</v>
      </c>
      <c r="BO8" s="21" t="e">
        <f t="shared" si="16"/>
        <v>#N/A</v>
      </c>
      <c r="BP8" s="21" t="e">
        <f t="shared" si="16"/>
        <v>#N/A</v>
      </c>
      <c r="BQ8" s="21" t="e">
        <f t="shared" si="16"/>
        <v>#N/A</v>
      </c>
      <c r="BR8" s="21" t="e">
        <f t="shared" si="16"/>
        <v>#N/A</v>
      </c>
      <c r="BS8" s="21" t="e">
        <f t="shared" si="16"/>
        <v>#N/A</v>
      </c>
      <c r="BT8" s="21" t="e">
        <f t="shared" ref="BT8:DC8" si="17">IF(BT5="#N/A","#N/A",BT7)</f>
        <v>#N/A</v>
      </c>
      <c r="BU8" s="21" t="e">
        <f t="shared" si="17"/>
        <v>#N/A</v>
      </c>
      <c r="BV8" s="21" t="e">
        <f t="shared" si="17"/>
        <v>#N/A</v>
      </c>
      <c r="BW8" s="21" t="e">
        <f t="shared" si="17"/>
        <v>#N/A</v>
      </c>
      <c r="BX8" s="21" t="e">
        <f t="shared" si="17"/>
        <v>#N/A</v>
      </c>
      <c r="BY8" s="21" t="e">
        <f t="shared" si="17"/>
        <v>#N/A</v>
      </c>
      <c r="BZ8" s="21" t="e">
        <f t="shared" si="17"/>
        <v>#N/A</v>
      </c>
      <c r="CA8" s="21" t="e">
        <f t="shared" si="17"/>
        <v>#N/A</v>
      </c>
      <c r="CB8" s="21" t="e">
        <f t="shared" si="17"/>
        <v>#N/A</v>
      </c>
      <c r="CC8" s="21" t="e">
        <f t="shared" si="17"/>
        <v>#N/A</v>
      </c>
      <c r="CD8" s="21" t="e">
        <f t="shared" si="17"/>
        <v>#N/A</v>
      </c>
      <c r="CE8" s="21" t="e">
        <f t="shared" si="17"/>
        <v>#N/A</v>
      </c>
      <c r="CF8" s="21" t="e">
        <f t="shared" si="17"/>
        <v>#N/A</v>
      </c>
      <c r="CG8" s="21" t="e">
        <f t="shared" si="17"/>
        <v>#N/A</v>
      </c>
      <c r="CH8" s="21" t="e">
        <f t="shared" si="17"/>
        <v>#N/A</v>
      </c>
      <c r="CI8" s="21" t="e">
        <f t="shared" si="17"/>
        <v>#N/A</v>
      </c>
      <c r="CJ8" s="21" t="e">
        <f t="shared" si="17"/>
        <v>#N/A</v>
      </c>
      <c r="CK8" s="21" t="e">
        <f t="shared" si="17"/>
        <v>#N/A</v>
      </c>
      <c r="CL8" s="21" t="e">
        <f t="shared" si="17"/>
        <v>#N/A</v>
      </c>
      <c r="CM8" s="21" t="e">
        <f t="shared" si="17"/>
        <v>#N/A</v>
      </c>
      <c r="CN8" s="21" t="e">
        <f t="shared" si="17"/>
        <v>#N/A</v>
      </c>
      <c r="CO8" s="21" t="e">
        <f t="shared" si="17"/>
        <v>#N/A</v>
      </c>
      <c r="CP8" s="21" t="e">
        <f t="shared" si="17"/>
        <v>#N/A</v>
      </c>
      <c r="CQ8" s="21" t="e">
        <f t="shared" si="17"/>
        <v>#N/A</v>
      </c>
      <c r="CR8" s="21" t="e">
        <f t="shared" si="17"/>
        <v>#N/A</v>
      </c>
      <c r="CS8" s="21" t="e">
        <f t="shared" si="17"/>
        <v>#N/A</v>
      </c>
      <c r="CT8" s="21" t="e">
        <f t="shared" si="17"/>
        <v>#N/A</v>
      </c>
      <c r="CU8" s="21" t="e">
        <f t="shared" si="17"/>
        <v>#N/A</v>
      </c>
      <c r="CV8" s="21" t="e">
        <f t="shared" si="17"/>
        <v>#N/A</v>
      </c>
      <c r="CW8" s="21" t="e">
        <f t="shared" si="17"/>
        <v>#N/A</v>
      </c>
      <c r="CX8" s="21" t="e">
        <f t="shared" si="17"/>
        <v>#N/A</v>
      </c>
      <c r="CY8" s="21" t="e">
        <f t="shared" si="17"/>
        <v>#N/A</v>
      </c>
      <c r="CZ8" s="21" t="e">
        <f t="shared" si="17"/>
        <v>#N/A</v>
      </c>
      <c r="DA8" s="21" t="e">
        <f t="shared" si="17"/>
        <v>#N/A</v>
      </c>
      <c r="DB8" s="21" t="e">
        <f t="shared" si="17"/>
        <v>#N/A</v>
      </c>
      <c r="DC8" s="21" t="e">
        <f t="shared" si="17"/>
        <v>#N/A</v>
      </c>
      <c r="DD8" s="21" t="e">
        <f t="shared" ref="DD8:EI8" si="18">IF(DD5="#N/A","#N/A",DD7)</f>
        <v>#N/A</v>
      </c>
      <c r="DE8" s="21" t="e">
        <f t="shared" si="18"/>
        <v>#N/A</v>
      </c>
      <c r="DF8" s="21" t="e">
        <f t="shared" si="18"/>
        <v>#N/A</v>
      </c>
      <c r="DG8" s="21" t="e">
        <f t="shared" si="18"/>
        <v>#N/A</v>
      </c>
      <c r="DH8" s="21" t="e">
        <f t="shared" si="18"/>
        <v>#N/A</v>
      </c>
      <c r="DI8" s="21" t="e">
        <f t="shared" si="18"/>
        <v>#N/A</v>
      </c>
      <c r="DJ8" s="21" t="e">
        <f t="shared" si="18"/>
        <v>#N/A</v>
      </c>
      <c r="DK8" s="21" t="e">
        <f t="shared" si="18"/>
        <v>#N/A</v>
      </c>
      <c r="DL8" s="21" t="e">
        <f t="shared" si="18"/>
        <v>#N/A</v>
      </c>
      <c r="DM8" s="21" t="e">
        <f t="shared" si="18"/>
        <v>#N/A</v>
      </c>
      <c r="DN8" s="21" t="e">
        <f t="shared" si="18"/>
        <v>#N/A</v>
      </c>
      <c r="DO8" s="21" t="e">
        <f t="shared" si="18"/>
        <v>#N/A</v>
      </c>
      <c r="DP8" s="21" t="e">
        <f t="shared" si="18"/>
        <v>#N/A</v>
      </c>
      <c r="DQ8" s="21" t="e">
        <f t="shared" si="18"/>
        <v>#N/A</v>
      </c>
      <c r="DR8" s="21" t="e">
        <f t="shared" si="18"/>
        <v>#N/A</v>
      </c>
      <c r="DS8" s="21" t="e">
        <f t="shared" si="18"/>
        <v>#N/A</v>
      </c>
      <c r="DT8" s="21" t="e">
        <f t="shared" si="18"/>
        <v>#N/A</v>
      </c>
      <c r="DU8" s="21" t="e">
        <f t="shared" si="18"/>
        <v>#N/A</v>
      </c>
      <c r="DV8" s="21" t="e">
        <f t="shared" si="18"/>
        <v>#N/A</v>
      </c>
      <c r="DW8" s="21" t="e">
        <f t="shared" si="18"/>
        <v>#N/A</v>
      </c>
      <c r="DX8" s="21" t="e">
        <f t="shared" si="18"/>
        <v>#N/A</v>
      </c>
      <c r="DY8" s="21" t="e">
        <f t="shared" si="18"/>
        <v>#N/A</v>
      </c>
      <c r="DZ8" s="21" t="e">
        <f t="shared" si="18"/>
        <v>#N/A</v>
      </c>
      <c r="EA8" s="21" t="e">
        <f t="shared" si="18"/>
        <v>#N/A</v>
      </c>
      <c r="EB8" s="21" t="e">
        <f t="shared" si="18"/>
        <v>#N/A</v>
      </c>
      <c r="EC8" s="21" t="e">
        <f t="shared" si="18"/>
        <v>#N/A</v>
      </c>
      <c r="ED8" s="21" t="e">
        <f t="shared" si="18"/>
        <v>#N/A</v>
      </c>
      <c r="EE8" s="21" t="e">
        <f t="shared" si="18"/>
        <v>#N/A</v>
      </c>
      <c r="EF8" s="21" t="e">
        <f t="shared" si="18"/>
        <v>#N/A</v>
      </c>
      <c r="EG8" s="21" t="e">
        <f t="shared" si="18"/>
        <v>#N/A</v>
      </c>
      <c r="EH8" s="21" t="e">
        <f t="shared" si="18"/>
        <v>#N/A</v>
      </c>
      <c r="EI8" s="21" t="e">
        <f t="shared" si="18"/>
        <v>#N/A</v>
      </c>
      <c r="EJ8" s="21" t="e">
        <f t="shared" ref="EJ8:FO8" si="19">IF(EJ5="#N/A","#N/A",EJ7)</f>
        <v>#N/A</v>
      </c>
      <c r="EK8" s="21" t="e">
        <f t="shared" si="19"/>
        <v>#N/A</v>
      </c>
      <c r="EL8" s="21" t="e">
        <f t="shared" si="19"/>
        <v>#N/A</v>
      </c>
      <c r="EM8" s="21" t="e">
        <f t="shared" si="19"/>
        <v>#N/A</v>
      </c>
      <c r="EN8" s="21" t="e">
        <f t="shared" si="19"/>
        <v>#N/A</v>
      </c>
      <c r="EO8" s="21" t="e">
        <f t="shared" si="19"/>
        <v>#N/A</v>
      </c>
      <c r="EP8" s="21" t="e">
        <f t="shared" si="19"/>
        <v>#N/A</v>
      </c>
      <c r="EQ8" s="21" t="e">
        <f t="shared" si="19"/>
        <v>#N/A</v>
      </c>
      <c r="ER8" s="21" t="e">
        <f t="shared" si="19"/>
        <v>#N/A</v>
      </c>
      <c r="ES8" s="21" t="e">
        <f t="shared" si="19"/>
        <v>#N/A</v>
      </c>
      <c r="ET8" s="21" t="e">
        <f t="shared" si="19"/>
        <v>#N/A</v>
      </c>
      <c r="EU8" s="21" t="e">
        <f t="shared" si="19"/>
        <v>#N/A</v>
      </c>
      <c r="EV8" s="21" t="e">
        <f t="shared" si="19"/>
        <v>#N/A</v>
      </c>
      <c r="EW8" s="21" t="e">
        <f t="shared" si="19"/>
        <v>#N/A</v>
      </c>
      <c r="EX8" s="21" t="e">
        <f t="shared" si="19"/>
        <v>#N/A</v>
      </c>
      <c r="EY8" s="21" t="e">
        <f t="shared" si="19"/>
        <v>#N/A</v>
      </c>
      <c r="EZ8" s="21" t="e">
        <f t="shared" si="19"/>
        <v>#N/A</v>
      </c>
      <c r="FA8" s="21" t="e">
        <f t="shared" si="19"/>
        <v>#N/A</v>
      </c>
      <c r="FB8" s="21" t="e">
        <f t="shared" si="19"/>
        <v>#N/A</v>
      </c>
      <c r="FC8" s="21" t="e">
        <f t="shared" si="19"/>
        <v>#N/A</v>
      </c>
      <c r="FD8" s="21" t="e">
        <f t="shared" si="19"/>
        <v>#N/A</v>
      </c>
      <c r="FE8" s="21" t="e">
        <f t="shared" si="19"/>
        <v>#N/A</v>
      </c>
      <c r="FF8" s="21" t="e">
        <f t="shared" si="19"/>
        <v>#N/A</v>
      </c>
      <c r="FG8" s="21" t="e">
        <f t="shared" si="19"/>
        <v>#N/A</v>
      </c>
      <c r="FH8" s="21" t="e">
        <f t="shared" si="19"/>
        <v>#N/A</v>
      </c>
      <c r="FI8" s="21" t="e">
        <f t="shared" si="19"/>
        <v>#N/A</v>
      </c>
      <c r="FJ8" s="21" t="e">
        <f t="shared" si="19"/>
        <v>#N/A</v>
      </c>
      <c r="FK8" s="21" t="e">
        <f t="shared" si="19"/>
        <v>#N/A</v>
      </c>
      <c r="FL8" s="21" t="e">
        <f t="shared" si="19"/>
        <v>#N/A</v>
      </c>
      <c r="FM8" s="21" t="e">
        <f t="shared" si="19"/>
        <v>#N/A</v>
      </c>
      <c r="FN8" s="21" t="e">
        <f t="shared" si="19"/>
        <v>#N/A</v>
      </c>
      <c r="FO8" s="21" t="e">
        <f t="shared" si="19"/>
        <v>#N/A</v>
      </c>
      <c r="FP8" s="21" t="e">
        <f t="shared" ref="FP8:GU8" si="20">IF(FP5="#N/A","#N/A",FP7)</f>
        <v>#N/A</v>
      </c>
      <c r="FQ8" s="21" t="e">
        <f t="shared" si="20"/>
        <v>#N/A</v>
      </c>
      <c r="FR8" s="21" t="e">
        <f t="shared" si="20"/>
        <v>#N/A</v>
      </c>
      <c r="FS8" s="21" t="e">
        <f t="shared" si="20"/>
        <v>#N/A</v>
      </c>
      <c r="FT8" s="21" t="e">
        <f t="shared" si="20"/>
        <v>#N/A</v>
      </c>
      <c r="FU8" s="21" t="e">
        <f t="shared" si="20"/>
        <v>#N/A</v>
      </c>
      <c r="FV8" s="21" t="e">
        <f t="shared" si="20"/>
        <v>#N/A</v>
      </c>
      <c r="FW8" s="21" t="e">
        <f t="shared" si="20"/>
        <v>#N/A</v>
      </c>
      <c r="FX8" s="21" t="e">
        <f t="shared" si="20"/>
        <v>#N/A</v>
      </c>
      <c r="FY8" s="21" t="e">
        <f t="shared" si="20"/>
        <v>#N/A</v>
      </c>
      <c r="FZ8" s="21" t="e">
        <f t="shared" si="20"/>
        <v>#N/A</v>
      </c>
      <c r="GA8" s="21" t="e">
        <f t="shared" si="20"/>
        <v>#N/A</v>
      </c>
      <c r="GB8" s="21" t="e">
        <f t="shared" si="20"/>
        <v>#N/A</v>
      </c>
      <c r="GC8" s="21" t="e">
        <f t="shared" si="20"/>
        <v>#N/A</v>
      </c>
      <c r="GD8" s="21" t="e">
        <f t="shared" si="20"/>
        <v>#N/A</v>
      </c>
      <c r="GE8" s="21" t="e">
        <f t="shared" si="20"/>
        <v>#N/A</v>
      </c>
      <c r="GF8" s="21" t="e">
        <f t="shared" si="20"/>
        <v>#N/A</v>
      </c>
      <c r="GG8" s="21" t="e">
        <f t="shared" si="20"/>
        <v>#N/A</v>
      </c>
      <c r="GH8" s="21" t="e">
        <f t="shared" si="20"/>
        <v>#N/A</v>
      </c>
      <c r="GI8" s="21" t="e">
        <f t="shared" si="20"/>
        <v>#N/A</v>
      </c>
      <c r="GJ8" s="21" t="e">
        <f t="shared" si="20"/>
        <v>#N/A</v>
      </c>
      <c r="GK8" s="21" t="e">
        <f t="shared" si="20"/>
        <v>#N/A</v>
      </c>
      <c r="GL8" s="21" t="e">
        <f t="shared" si="20"/>
        <v>#N/A</v>
      </c>
      <c r="GM8" s="21" t="e">
        <f t="shared" si="20"/>
        <v>#N/A</v>
      </c>
      <c r="GN8" s="21" t="e">
        <f t="shared" si="20"/>
        <v>#N/A</v>
      </c>
      <c r="GO8" s="21" t="e">
        <f t="shared" si="20"/>
        <v>#N/A</v>
      </c>
      <c r="GP8" s="21" t="e">
        <f t="shared" si="20"/>
        <v>#N/A</v>
      </c>
      <c r="GQ8" s="21" t="e">
        <f t="shared" si="20"/>
        <v>#N/A</v>
      </c>
      <c r="GR8" s="21" t="e">
        <f t="shared" si="20"/>
        <v>#N/A</v>
      </c>
      <c r="GS8" s="21" t="e">
        <f t="shared" si="20"/>
        <v>#N/A</v>
      </c>
      <c r="GT8" s="21" t="e">
        <f t="shared" si="20"/>
        <v>#N/A</v>
      </c>
      <c r="GU8" s="21" t="e">
        <f t="shared" si="20"/>
        <v>#N/A</v>
      </c>
      <c r="GV8" s="21" t="e">
        <f t="shared" ref="GV8:IA8" si="21">IF(GV5="#N/A","#N/A",GV7)</f>
        <v>#N/A</v>
      </c>
      <c r="GW8" s="21" t="e">
        <f t="shared" si="21"/>
        <v>#N/A</v>
      </c>
      <c r="GX8" s="21" t="e">
        <f t="shared" si="21"/>
        <v>#N/A</v>
      </c>
      <c r="GY8" s="21" t="e">
        <f t="shared" si="21"/>
        <v>#N/A</v>
      </c>
      <c r="GZ8" s="21" t="e">
        <f t="shared" si="21"/>
        <v>#N/A</v>
      </c>
      <c r="HA8" s="21" t="e">
        <f t="shared" si="21"/>
        <v>#N/A</v>
      </c>
      <c r="HB8" s="21" t="e">
        <f t="shared" si="21"/>
        <v>#N/A</v>
      </c>
      <c r="HC8" s="21" t="e">
        <f t="shared" si="21"/>
        <v>#N/A</v>
      </c>
      <c r="HD8" s="21" t="e">
        <f t="shared" si="21"/>
        <v>#N/A</v>
      </c>
      <c r="HE8" s="21" t="e">
        <f t="shared" si="21"/>
        <v>#N/A</v>
      </c>
      <c r="HF8" s="21" t="e">
        <f t="shared" si="21"/>
        <v>#N/A</v>
      </c>
      <c r="HG8" s="21" t="e">
        <f t="shared" si="21"/>
        <v>#N/A</v>
      </c>
      <c r="HH8" s="21" t="e">
        <f t="shared" si="21"/>
        <v>#N/A</v>
      </c>
      <c r="HI8" s="21" t="e">
        <f t="shared" si="21"/>
        <v>#N/A</v>
      </c>
      <c r="HJ8" s="21" t="e">
        <f t="shared" si="21"/>
        <v>#N/A</v>
      </c>
      <c r="HK8" s="21" t="e">
        <f t="shared" si="21"/>
        <v>#N/A</v>
      </c>
      <c r="HL8" s="21" t="e">
        <f t="shared" si="21"/>
        <v>#N/A</v>
      </c>
      <c r="HM8" s="21" t="e">
        <f t="shared" si="21"/>
        <v>#N/A</v>
      </c>
      <c r="HN8" s="21" t="e">
        <f t="shared" si="21"/>
        <v>#N/A</v>
      </c>
      <c r="HO8" s="21" t="e">
        <f t="shared" si="21"/>
        <v>#N/A</v>
      </c>
      <c r="HP8" s="21" t="e">
        <f t="shared" si="21"/>
        <v>#N/A</v>
      </c>
      <c r="HQ8" s="21" t="e">
        <f t="shared" si="21"/>
        <v>#N/A</v>
      </c>
      <c r="HR8" s="21" t="e">
        <f t="shared" si="21"/>
        <v>#N/A</v>
      </c>
      <c r="HS8" s="21" t="e">
        <f t="shared" si="21"/>
        <v>#N/A</v>
      </c>
      <c r="HT8" s="21" t="e">
        <f t="shared" si="21"/>
        <v>#N/A</v>
      </c>
      <c r="HU8" s="21" t="e">
        <f t="shared" si="21"/>
        <v>#N/A</v>
      </c>
      <c r="HV8" s="21" t="e">
        <f t="shared" si="21"/>
        <v>#N/A</v>
      </c>
      <c r="HW8" s="21" t="e">
        <f t="shared" si="21"/>
        <v>#N/A</v>
      </c>
      <c r="HX8" s="21" t="e">
        <f t="shared" si="21"/>
        <v>#N/A</v>
      </c>
      <c r="HY8" s="21" t="e">
        <f t="shared" si="21"/>
        <v>#N/A</v>
      </c>
      <c r="HZ8" s="21" t="e">
        <f t="shared" si="21"/>
        <v>#N/A</v>
      </c>
      <c r="IA8" s="21" t="e">
        <f t="shared" si="21"/>
        <v>#N/A</v>
      </c>
      <c r="IB8" s="21" t="e">
        <f t="shared" ref="IB8:IN8" si="22">IF(IB5="#N/A","#N/A",IB7)</f>
        <v>#N/A</v>
      </c>
      <c r="IC8" s="21" t="e">
        <f t="shared" si="22"/>
        <v>#N/A</v>
      </c>
      <c r="ID8" s="21" t="e">
        <f t="shared" si="22"/>
        <v>#N/A</v>
      </c>
      <c r="IE8" s="21" t="e">
        <f t="shared" si="22"/>
        <v>#N/A</v>
      </c>
      <c r="IF8" s="21" t="e">
        <f t="shared" si="22"/>
        <v>#N/A</v>
      </c>
      <c r="IG8" s="21" t="e">
        <f t="shared" si="22"/>
        <v>#N/A</v>
      </c>
      <c r="IH8" s="21" t="e">
        <f t="shared" si="22"/>
        <v>#N/A</v>
      </c>
      <c r="II8" s="21" t="e">
        <f t="shared" si="22"/>
        <v>#N/A</v>
      </c>
      <c r="IJ8" s="21" t="e">
        <f t="shared" si="22"/>
        <v>#N/A</v>
      </c>
      <c r="IK8" s="21" t="e">
        <f t="shared" si="22"/>
        <v>#N/A</v>
      </c>
      <c r="IL8" s="21" t="e">
        <f t="shared" si="22"/>
        <v>#N/A</v>
      </c>
      <c r="IM8" s="21" t="e">
        <f t="shared" si="22"/>
        <v>#N/A</v>
      </c>
      <c r="IN8" s="21" t="e">
        <f t="shared" si="22"/>
        <v>#N/A</v>
      </c>
    </row>
    <row r="9" spans="2:248" x14ac:dyDescent="0.3">
      <c r="E9" s="19">
        <v>0.1</v>
      </c>
      <c r="F9" s="22" t="s">
        <v>500</v>
      </c>
      <c r="G9" s="21">
        <f t="shared" ref="G9:BR9" si="23">IF(IF(AND(ISNA(G$5),ISNA(F$5)),F9*(1+$E9),IF(AND(F$5&gt;0,ISNA(G$5)),F9*(1+$E9),G$5))&gt;$C$20,$C$20,IF(AND(ISNA(G$5),ISNA(F$5)),F9*(1+$E9),IF(AND(F$5&gt;0,ISNA(G$5)),F9*(1+$E9),G$5)))</f>
        <v>130</v>
      </c>
      <c r="H9" s="21">
        <f t="shared" si="23"/>
        <v>159</v>
      </c>
      <c r="I9" s="21">
        <f t="shared" si="23"/>
        <v>196</v>
      </c>
      <c r="J9" s="21">
        <f t="shared" si="23"/>
        <v>262</v>
      </c>
      <c r="K9" s="21">
        <f t="shared" si="23"/>
        <v>482</v>
      </c>
      <c r="L9" s="21">
        <f t="shared" si="23"/>
        <v>670</v>
      </c>
      <c r="M9" s="21">
        <f t="shared" si="23"/>
        <v>799</v>
      </c>
      <c r="N9" s="21">
        <f t="shared" si="23"/>
        <v>1040</v>
      </c>
      <c r="O9" s="21">
        <f t="shared" si="23"/>
        <v>1176</v>
      </c>
      <c r="P9" s="21">
        <f t="shared" si="23"/>
        <v>1457</v>
      </c>
      <c r="Q9" s="21">
        <f t="shared" si="23"/>
        <v>1908</v>
      </c>
      <c r="R9" s="21">
        <f t="shared" si="23"/>
        <v>2078</v>
      </c>
      <c r="S9" s="21">
        <f t="shared" si="23"/>
        <v>3675</v>
      </c>
      <c r="T9" s="21">
        <f t="shared" si="23"/>
        <v>4585</v>
      </c>
      <c r="U9" s="21">
        <f t="shared" si="23"/>
        <v>5795</v>
      </c>
      <c r="V9" s="21">
        <f t="shared" si="23"/>
        <v>7272</v>
      </c>
      <c r="W9" s="21">
        <f t="shared" si="23"/>
        <v>9257</v>
      </c>
      <c r="X9" s="21">
        <f t="shared" si="23"/>
        <v>12327</v>
      </c>
      <c r="Y9" s="21">
        <f t="shared" si="23"/>
        <v>15320</v>
      </c>
      <c r="Z9" s="21">
        <f t="shared" si="23"/>
        <v>16852</v>
      </c>
      <c r="AA9" s="21">
        <f t="shared" si="23"/>
        <v>18537.2</v>
      </c>
      <c r="AB9" s="21">
        <f t="shared" si="23"/>
        <v>20390.920000000002</v>
      </c>
      <c r="AC9" s="21">
        <f t="shared" si="23"/>
        <v>22430.012000000002</v>
      </c>
      <c r="AD9" s="21">
        <f t="shared" si="23"/>
        <v>24673.013200000005</v>
      </c>
      <c r="AE9" s="21">
        <f t="shared" si="23"/>
        <v>27140.314520000007</v>
      </c>
      <c r="AF9" s="21">
        <f t="shared" si="23"/>
        <v>29854.34597200001</v>
      </c>
      <c r="AG9" s="21">
        <f t="shared" si="23"/>
        <v>32839.780569200011</v>
      </c>
      <c r="AH9" s="21">
        <f t="shared" si="23"/>
        <v>36123.758626120012</v>
      </c>
      <c r="AI9" s="21">
        <f t="shared" si="23"/>
        <v>39736.134488732016</v>
      </c>
      <c r="AJ9" s="21">
        <f t="shared" si="23"/>
        <v>43709.747937605222</v>
      </c>
      <c r="AK9" s="21">
        <f t="shared" si="23"/>
        <v>48080.722731365749</v>
      </c>
      <c r="AL9" s="21">
        <f t="shared" si="23"/>
        <v>52888.795004502332</v>
      </c>
      <c r="AM9" s="21">
        <f t="shared" si="23"/>
        <v>58177.674504952571</v>
      </c>
      <c r="AN9" s="21">
        <f t="shared" si="23"/>
        <v>63995.44195544783</v>
      </c>
      <c r="AO9" s="21">
        <f t="shared" si="23"/>
        <v>70394.986150992612</v>
      </c>
      <c r="AP9" s="21">
        <f t="shared" si="23"/>
        <v>77434.484766091875</v>
      </c>
      <c r="AQ9" s="21">
        <f t="shared" si="23"/>
        <v>85177.933242701067</v>
      </c>
      <c r="AR9" s="21">
        <f t="shared" si="23"/>
        <v>93695.726566971178</v>
      </c>
      <c r="AS9" s="21">
        <f t="shared" si="23"/>
        <v>103065.29922366831</v>
      </c>
      <c r="AT9" s="21">
        <f t="shared" si="23"/>
        <v>113371.82914603515</v>
      </c>
      <c r="AU9" s="21">
        <f t="shared" si="23"/>
        <v>124709.01206063868</v>
      </c>
      <c r="AV9" s="21">
        <f t="shared" si="23"/>
        <v>137179.91326670256</v>
      </c>
      <c r="AW9" s="21">
        <f t="shared" si="23"/>
        <v>150897.90459337283</v>
      </c>
      <c r="AX9" s="21">
        <f t="shared" si="23"/>
        <v>165987.69505271013</v>
      </c>
      <c r="AY9" s="21">
        <f t="shared" si="23"/>
        <v>182586.46455798115</v>
      </c>
      <c r="AZ9" s="21">
        <f t="shared" si="23"/>
        <v>200845.11101377927</v>
      </c>
      <c r="BA9" s="21">
        <f t="shared" si="23"/>
        <v>220929.62211515722</v>
      </c>
      <c r="BB9" s="21">
        <f t="shared" si="23"/>
        <v>243022.58432667298</v>
      </c>
      <c r="BC9" s="21">
        <f t="shared" si="23"/>
        <v>267324.8427593403</v>
      </c>
      <c r="BD9" s="21">
        <f t="shared" si="23"/>
        <v>294057.32703527436</v>
      </c>
      <c r="BE9" s="21">
        <f t="shared" si="23"/>
        <v>323463.05973880179</v>
      </c>
      <c r="BF9" s="21">
        <f t="shared" si="23"/>
        <v>355809.36571268202</v>
      </c>
      <c r="BG9" s="21">
        <f t="shared" si="23"/>
        <v>391390.30228395027</v>
      </c>
      <c r="BH9" s="21">
        <f t="shared" si="23"/>
        <v>430529.33251234534</v>
      </c>
      <c r="BI9" s="21">
        <f t="shared" si="23"/>
        <v>473582.26576357993</v>
      </c>
      <c r="BJ9" s="21">
        <f t="shared" si="23"/>
        <v>520940.49233993795</v>
      </c>
      <c r="BK9" s="21">
        <f t="shared" si="23"/>
        <v>573034.54157393181</v>
      </c>
      <c r="BL9" s="21">
        <f t="shared" si="23"/>
        <v>630337.99573132501</v>
      </c>
      <c r="BM9" s="21">
        <f t="shared" si="23"/>
        <v>693371.79530445754</v>
      </c>
      <c r="BN9" s="21">
        <f t="shared" si="23"/>
        <v>762708.97483490338</v>
      </c>
      <c r="BO9" s="21">
        <f t="shared" si="23"/>
        <v>838979.87231839378</v>
      </c>
      <c r="BP9" s="21">
        <f t="shared" si="23"/>
        <v>922877.85955023323</v>
      </c>
      <c r="BQ9" s="21">
        <f t="shared" si="23"/>
        <v>1015165.6455052566</v>
      </c>
      <c r="BR9" s="21">
        <f t="shared" si="23"/>
        <v>1116682.2100557825</v>
      </c>
      <c r="BS9" s="21">
        <f t="shared" ref="BS9:ED9" si="24">IF(IF(AND(ISNA(BS$5),ISNA(BR$5)),BR9*(1+$E9),IF(AND(BR$5&gt;0,ISNA(BS$5)),BR9*(1+$E9),BS$5))&gt;$C$20,$C$20,IF(AND(ISNA(BS$5),ISNA(BR$5)),BR9*(1+$E9),IF(AND(BR$5&gt;0,ISNA(BS$5)),BR9*(1+$E9),BS$5)))</f>
        <v>1228350.4310613608</v>
      </c>
      <c r="BT9" s="21">
        <f t="shared" si="24"/>
        <v>1351185.4741674969</v>
      </c>
      <c r="BU9" s="21">
        <f t="shared" si="24"/>
        <v>1486304.0215842468</v>
      </c>
      <c r="BV9" s="21">
        <f t="shared" si="24"/>
        <v>1634934.4237426715</v>
      </c>
      <c r="BW9" s="21">
        <f t="shared" si="24"/>
        <v>1798427.8661169389</v>
      </c>
      <c r="BX9" s="21">
        <f t="shared" si="24"/>
        <v>1978270.652728633</v>
      </c>
      <c r="BY9" s="21">
        <f t="shared" si="24"/>
        <v>2176097.7180014965</v>
      </c>
      <c r="BZ9" s="21">
        <f t="shared" si="24"/>
        <v>2393707.4898016462</v>
      </c>
      <c r="CA9" s="21">
        <f t="shared" si="24"/>
        <v>2633078.2387818112</v>
      </c>
      <c r="CB9" s="21">
        <f t="shared" si="24"/>
        <v>2896386.0626599924</v>
      </c>
      <c r="CC9" s="21">
        <f t="shared" si="24"/>
        <v>3186024.6689259917</v>
      </c>
      <c r="CD9" s="21">
        <f t="shared" si="24"/>
        <v>3504627.1358185913</v>
      </c>
      <c r="CE9" s="21">
        <f t="shared" si="24"/>
        <v>3855089.8494004509</v>
      </c>
      <c r="CF9" s="21">
        <f t="shared" si="24"/>
        <v>4240598.834340496</v>
      </c>
      <c r="CG9" s="21">
        <f t="shared" si="24"/>
        <v>4664658.7177745458</v>
      </c>
      <c r="CH9" s="21">
        <f t="shared" si="24"/>
        <v>5131124.5895520011</v>
      </c>
      <c r="CI9" s="21">
        <f t="shared" si="24"/>
        <v>5644237.0485072015</v>
      </c>
      <c r="CJ9" s="21">
        <f t="shared" si="24"/>
        <v>6208660.7533579217</v>
      </c>
      <c r="CK9" s="21">
        <f t="shared" si="24"/>
        <v>6829526.828693714</v>
      </c>
      <c r="CL9" s="21">
        <f t="shared" si="24"/>
        <v>7512479.511563086</v>
      </c>
      <c r="CM9" s="21">
        <f t="shared" si="24"/>
        <v>8263727.4627193948</v>
      </c>
      <c r="CN9" s="21">
        <f t="shared" si="24"/>
        <v>9090100.2089913357</v>
      </c>
      <c r="CO9" s="21">
        <f t="shared" si="24"/>
        <v>9999110.2298904695</v>
      </c>
      <c r="CP9" s="21">
        <f t="shared" si="24"/>
        <v>10999021.252879517</v>
      </c>
      <c r="CQ9" s="21">
        <f t="shared" si="24"/>
        <v>12098923.378167469</v>
      </c>
      <c r="CR9" s="21">
        <f t="shared" si="24"/>
        <v>13308815.715984218</v>
      </c>
      <c r="CS9" s="21">
        <f t="shared" si="24"/>
        <v>14639697.287582641</v>
      </c>
      <c r="CT9" s="21">
        <f t="shared" si="24"/>
        <v>16103667.016340908</v>
      </c>
      <c r="CU9" s="21">
        <f t="shared" si="24"/>
        <v>17714033.717974998</v>
      </c>
      <c r="CV9" s="21">
        <f t="shared" si="24"/>
        <v>19485437.0897725</v>
      </c>
      <c r="CW9" s="21">
        <f t="shared" si="24"/>
        <v>21433980.798749752</v>
      </c>
      <c r="CX9" s="21">
        <f t="shared" si="24"/>
        <v>23577378.87862473</v>
      </c>
      <c r="CY9" s="21">
        <f t="shared" si="24"/>
        <v>25935116.766487204</v>
      </c>
      <c r="CZ9" s="21">
        <f t="shared" si="24"/>
        <v>28528628.443135925</v>
      </c>
      <c r="DA9" s="21">
        <f t="shared" si="24"/>
        <v>31381491.28744952</v>
      </c>
      <c r="DB9" s="21">
        <f t="shared" si="24"/>
        <v>33513576.800000001</v>
      </c>
      <c r="DC9" s="21">
        <f t="shared" si="24"/>
        <v>33513576.800000001</v>
      </c>
      <c r="DD9" s="21">
        <f t="shared" si="24"/>
        <v>33513576.800000001</v>
      </c>
      <c r="DE9" s="21">
        <f t="shared" si="24"/>
        <v>33513576.800000001</v>
      </c>
      <c r="DF9" s="21">
        <f t="shared" si="24"/>
        <v>33513576.800000001</v>
      </c>
      <c r="DG9" s="21">
        <f t="shared" si="24"/>
        <v>33513576.800000001</v>
      </c>
      <c r="DH9" s="21">
        <f t="shared" si="24"/>
        <v>33513576.800000001</v>
      </c>
      <c r="DI9" s="21">
        <f t="shared" si="24"/>
        <v>33513576.800000001</v>
      </c>
      <c r="DJ9" s="21">
        <f t="shared" si="24"/>
        <v>33513576.800000001</v>
      </c>
      <c r="DK9" s="21">
        <f t="shared" si="24"/>
        <v>33513576.800000001</v>
      </c>
      <c r="DL9" s="21">
        <f t="shared" si="24"/>
        <v>33513576.800000001</v>
      </c>
      <c r="DM9" s="21">
        <f t="shared" si="24"/>
        <v>33513576.800000001</v>
      </c>
      <c r="DN9" s="21">
        <f t="shared" si="24"/>
        <v>33513576.800000001</v>
      </c>
      <c r="DO9" s="21">
        <f t="shared" si="24"/>
        <v>33513576.800000001</v>
      </c>
      <c r="DP9" s="21">
        <f t="shared" si="24"/>
        <v>33513576.800000001</v>
      </c>
      <c r="DQ9" s="21">
        <f t="shared" si="24"/>
        <v>33513576.800000001</v>
      </c>
      <c r="DR9" s="21">
        <f t="shared" si="24"/>
        <v>33513576.800000001</v>
      </c>
      <c r="DS9" s="21">
        <f t="shared" si="24"/>
        <v>33513576.800000001</v>
      </c>
      <c r="DT9" s="21">
        <f t="shared" si="24"/>
        <v>33513576.800000001</v>
      </c>
      <c r="DU9" s="21">
        <f t="shared" si="24"/>
        <v>33513576.800000001</v>
      </c>
      <c r="DV9" s="21">
        <f t="shared" si="24"/>
        <v>33513576.800000001</v>
      </c>
      <c r="DW9" s="21">
        <f t="shared" si="24"/>
        <v>33513576.800000001</v>
      </c>
      <c r="DX9" s="21">
        <f t="shared" si="24"/>
        <v>33513576.800000001</v>
      </c>
      <c r="DY9" s="21">
        <f t="shared" si="24"/>
        <v>33513576.800000001</v>
      </c>
      <c r="DZ9" s="21">
        <f t="shared" si="24"/>
        <v>33513576.800000001</v>
      </c>
      <c r="EA9" s="21">
        <f t="shared" si="24"/>
        <v>33513576.800000001</v>
      </c>
      <c r="EB9" s="21">
        <f t="shared" si="24"/>
        <v>33513576.800000001</v>
      </c>
      <c r="EC9" s="21">
        <f t="shared" si="24"/>
        <v>33513576.800000001</v>
      </c>
      <c r="ED9" s="21">
        <f t="shared" si="24"/>
        <v>33513576.800000001</v>
      </c>
      <c r="EE9" s="21">
        <f t="shared" ref="EE9:GP9" si="25">IF(IF(AND(ISNA(EE$5),ISNA(ED$5)),ED9*(1+$E9),IF(AND(ED$5&gt;0,ISNA(EE$5)),ED9*(1+$E9),EE$5))&gt;$C$20,$C$20,IF(AND(ISNA(EE$5),ISNA(ED$5)),ED9*(1+$E9),IF(AND(ED$5&gt;0,ISNA(EE$5)),ED9*(1+$E9),EE$5)))</f>
        <v>33513576.800000001</v>
      </c>
      <c r="EF9" s="21">
        <f t="shared" si="25"/>
        <v>33513576.800000001</v>
      </c>
      <c r="EG9" s="21">
        <f t="shared" si="25"/>
        <v>33513576.800000001</v>
      </c>
      <c r="EH9" s="21">
        <f t="shared" si="25"/>
        <v>33513576.800000001</v>
      </c>
      <c r="EI9" s="21">
        <f t="shared" si="25"/>
        <v>33513576.800000001</v>
      </c>
      <c r="EJ9" s="21">
        <f t="shared" si="25"/>
        <v>33513576.800000001</v>
      </c>
      <c r="EK9" s="21">
        <f t="shared" si="25"/>
        <v>33513576.800000001</v>
      </c>
      <c r="EL9" s="21">
        <f t="shared" si="25"/>
        <v>33513576.800000001</v>
      </c>
      <c r="EM9" s="21">
        <f t="shared" si="25"/>
        <v>33513576.800000001</v>
      </c>
      <c r="EN9" s="21">
        <f t="shared" si="25"/>
        <v>33513576.800000001</v>
      </c>
      <c r="EO9" s="21">
        <f t="shared" si="25"/>
        <v>33513576.800000001</v>
      </c>
      <c r="EP9" s="21">
        <f t="shared" si="25"/>
        <v>33513576.800000001</v>
      </c>
      <c r="EQ9" s="21">
        <f t="shared" si="25"/>
        <v>33513576.800000001</v>
      </c>
      <c r="ER9" s="21">
        <f t="shared" si="25"/>
        <v>33513576.800000001</v>
      </c>
      <c r="ES9" s="21">
        <f t="shared" si="25"/>
        <v>33513576.800000001</v>
      </c>
      <c r="ET9" s="21">
        <f t="shared" si="25"/>
        <v>33513576.800000001</v>
      </c>
      <c r="EU9" s="21">
        <f t="shared" si="25"/>
        <v>33513576.800000001</v>
      </c>
      <c r="EV9" s="21">
        <f t="shared" si="25"/>
        <v>33513576.800000001</v>
      </c>
      <c r="EW9" s="21">
        <f t="shared" si="25"/>
        <v>33513576.800000001</v>
      </c>
      <c r="EX9" s="21">
        <f t="shared" si="25"/>
        <v>33513576.800000001</v>
      </c>
      <c r="EY9" s="21">
        <f t="shared" si="25"/>
        <v>33513576.800000001</v>
      </c>
      <c r="EZ9" s="21">
        <f t="shared" si="25"/>
        <v>33513576.800000001</v>
      </c>
      <c r="FA9" s="21">
        <f t="shared" si="25"/>
        <v>33513576.800000001</v>
      </c>
      <c r="FB9" s="21">
        <f t="shared" si="25"/>
        <v>33513576.800000001</v>
      </c>
      <c r="FC9" s="21">
        <f t="shared" si="25"/>
        <v>33513576.800000001</v>
      </c>
      <c r="FD9" s="21">
        <f t="shared" si="25"/>
        <v>33513576.800000001</v>
      </c>
      <c r="FE9" s="21">
        <f t="shared" si="25"/>
        <v>33513576.800000001</v>
      </c>
      <c r="FF9" s="21">
        <f t="shared" si="25"/>
        <v>33513576.800000001</v>
      </c>
      <c r="FG9" s="21">
        <f t="shared" si="25"/>
        <v>33513576.800000001</v>
      </c>
      <c r="FH9" s="21">
        <f t="shared" si="25"/>
        <v>33513576.800000001</v>
      </c>
      <c r="FI9" s="21">
        <f t="shared" si="25"/>
        <v>33513576.800000001</v>
      </c>
      <c r="FJ9" s="21">
        <f t="shared" si="25"/>
        <v>33513576.800000001</v>
      </c>
      <c r="FK9" s="21">
        <f t="shared" si="25"/>
        <v>33513576.800000001</v>
      </c>
      <c r="FL9" s="21">
        <f t="shared" si="25"/>
        <v>33513576.800000001</v>
      </c>
      <c r="FM9" s="21">
        <f t="shared" si="25"/>
        <v>33513576.800000001</v>
      </c>
      <c r="FN9" s="21">
        <f t="shared" si="25"/>
        <v>33513576.800000001</v>
      </c>
      <c r="FO9" s="21">
        <f t="shared" si="25"/>
        <v>33513576.800000001</v>
      </c>
      <c r="FP9" s="21">
        <f t="shared" si="25"/>
        <v>33513576.800000001</v>
      </c>
      <c r="FQ9" s="21">
        <f t="shared" si="25"/>
        <v>33513576.800000001</v>
      </c>
      <c r="FR9" s="21">
        <f t="shared" si="25"/>
        <v>33513576.800000001</v>
      </c>
      <c r="FS9" s="21">
        <f t="shared" si="25"/>
        <v>33513576.800000001</v>
      </c>
      <c r="FT9" s="21">
        <f t="shared" si="25"/>
        <v>33513576.800000001</v>
      </c>
      <c r="FU9" s="21">
        <f t="shared" si="25"/>
        <v>33513576.800000001</v>
      </c>
      <c r="FV9" s="21">
        <f t="shared" si="25"/>
        <v>33513576.800000001</v>
      </c>
      <c r="FW9" s="21">
        <f t="shared" si="25"/>
        <v>33513576.800000001</v>
      </c>
      <c r="FX9" s="21">
        <f t="shared" si="25"/>
        <v>33513576.800000001</v>
      </c>
      <c r="FY9" s="21">
        <f t="shared" si="25"/>
        <v>33513576.800000001</v>
      </c>
      <c r="FZ9" s="21">
        <f t="shared" si="25"/>
        <v>33513576.800000001</v>
      </c>
      <c r="GA9" s="21">
        <f t="shared" si="25"/>
        <v>33513576.800000001</v>
      </c>
      <c r="GB9" s="21">
        <f t="shared" si="25"/>
        <v>33513576.800000001</v>
      </c>
      <c r="GC9" s="21">
        <f t="shared" si="25"/>
        <v>33513576.800000001</v>
      </c>
      <c r="GD9" s="21">
        <f t="shared" si="25"/>
        <v>33513576.800000001</v>
      </c>
      <c r="GE9" s="21">
        <f t="shared" si="25"/>
        <v>33513576.800000001</v>
      </c>
      <c r="GF9" s="21">
        <f t="shared" si="25"/>
        <v>33513576.800000001</v>
      </c>
      <c r="GG9" s="21">
        <f t="shared" si="25"/>
        <v>33513576.800000001</v>
      </c>
      <c r="GH9" s="21">
        <f t="shared" si="25"/>
        <v>33513576.800000001</v>
      </c>
      <c r="GI9" s="21">
        <f t="shared" si="25"/>
        <v>33513576.800000001</v>
      </c>
      <c r="GJ9" s="21">
        <f t="shared" si="25"/>
        <v>33513576.800000001</v>
      </c>
      <c r="GK9" s="21">
        <f t="shared" si="25"/>
        <v>33513576.800000001</v>
      </c>
      <c r="GL9" s="21">
        <f t="shared" si="25"/>
        <v>33513576.800000001</v>
      </c>
      <c r="GM9" s="21">
        <f t="shared" si="25"/>
        <v>33513576.800000001</v>
      </c>
      <c r="GN9" s="21">
        <f t="shared" si="25"/>
        <v>33513576.800000001</v>
      </c>
      <c r="GO9" s="21">
        <f t="shared" si="25"/>
        <v>33513576.800000001</v>
      </c>
      <c r="GP9" s="21">
        <f t="shared" si="25"/>
        <v>33513576.800000001</v>
      </c>
      <c r="GQ9" s="21">
        <f t="shared" ref="GQ9:IN9" si="26">IF(IF(AND(ISNA(GQ$5),ISNA(GP$5)),GP9*(1+$E9),IF(AND(GP$5&gt;0,ISNA(GQ$5)),GP9*(1+$E9),GQ$5))&gt;$C$20,$C$20,IF(AND(ISNA(GQ$5),ISNA(GP$5)),GP9*(1+$E9),IF(AND(GP$5&gt;0,ISNA(GQ$5)),GP9*(1+$E9),GQ$5)))</f>
        <v>33513576.800000001</v>
      </c>
      <c r="GR9" s="21">
        <f t="shared" si="26"/>
        <v>33513576.800000001</v>
      </c>
      <c r="GS9" s="21">
        <f t="shared" si="26"/>
        <v>33513576.800000001</v>
      </c>
      <c r="GT9" s="21">
        <f t="shared" si="26"/>
        <v>33513576.800000001</v>
      </c>
      <c r="GU9" s="21">
        <f t="shared" si="26"/>
        <v>33513576.800000001</v>
      </c>
      <c r="GV9" s="21">
        <f t="shared" si="26"/>
        <v>33513576.800000001</v>
      </c>
      <c r="GW9" s="21">
        <f t="shared" si="26"/>
        <v>33513576.800000001</v>
      </c>
      <c r="GX9" s="21">
        <f t="shared" si="26"/>
        <v>33513576.800000001</v>
      </c>
      <c r="GY9" s="21">
        <f t="shared" si="26"/>
        <v>33513576.800000001</v>
      </c>
      <c r="GZ9" s="21">
        <f t="shared" si="26"/>
        <v>33513576.800000001</v>
      </c>
      <c r="HA9" s="21">
        <f t="shared" si="26"/>
        <v>33513576.800000001</v>
      </c>
      <c r="HB9" s="21">
        <f t="shared" si="26"/>
        <v>33513576.800000001</v>
      </c>
      <c r="HC9" s="21">
        <f t="shared" si="26"/>
        <v>33513576.800000001</v>
      </c>
      <c r="HD9" s="21">
        <f t="shared" si="26"/>
        <v>33513576.800000001</v>
      </c>
      <c r="HE9" s="21">
        <f t="shared" si="26"/>
        <v>33513576.800000001</v>
      </c>
      <c r="HF9" s="21">
        <f t="shared" si="26"/>
        <v>33513576.800000001</v>
      </c>
      <c r="HG9" s="21">
        <f t="shared" si="26"/>
        <v>33513576.800000001</v>
      </c>
      <c r="HH9" s="21">
        <f t="shared" si="26"/>
        <v>33513576.800000001</v>
      </c>
      <c r="HI9" s="21">
        <f t="shared" si="26"/>
        <v>33513576.800000001</v>
      </c>
      <c r="HJ9" s="21">
        <f t="shared" si="26"/>
        <v>33513576.800000001</v>
      </c>
      <c r="HK9" s="21">
        <f t="shared" si="26"/>
        <v>33513576.800000001</v>
      </c>
      <c r="HL9" s="21">
        <f t="shared" si="26"/>
        <v>33513576.800000001</v>
      </c>
      <c r="HM9" s="21">
        <f t="shared" si="26"/>
        <v>33513576.800000001</v>
      </c>
      <c r="HN9" s="21">
        <f t="shared" si="26"/>
        <v>33513576.800000001</v>
      </c>
      <c r="HO9" s="21">
        <f t="shared" si="26"/>
        <v>33513576.800000001</v>
      </c>
      <c r="HP9" s="21">
        <f t="shared" si="26"/>
        <v>33513576.800000001</v>
      </c>
      <c r="HQ9" s="21">
        <f t="shared" si="26"/>
        <v>33513576.800000001</v>
      </c>
      <c r="HR9" s="21">
        <f t="shared" si="26"/>
        <v>33513576.800000001</v>
      </c>
      <c r="HS9" s="21">
        <f t="shared" si="26"/>
        <v>33513576.800000001</v>
      </c>
      <c r="HT9" s="21">
        <f t="shared" si="26"/>
        <v>33513576.800000001</v>
      </c>
      <c r="HU9" s="21">
        <f t="shared" si="26"/>
        <v>33513576.800000001</v>
      </c>
      <c r="HV9" s="21">
        <f t="shared" si="26"/>
        <v>33513576.800000001</v>
      </c>
      <c r="HW9" s="21">
        <f t="shared" si="26"/>
        <v>33513576.800000001</v>
      </c>
      <c r="HX9" s="21">
        <f t="shared" si="26"/>
        <v>33513576.800000001</v>
      </c>
      <c r="HY9" s="21">
        <f t="shared" si="26"/>
        <v>33513576.800000001</v>
      </c>
      <c r="HZ9" s="21">
        <f t="shared" si="26"/>
        <v>33513576.800000001</v>
      </c>
      <c r="IA9" s="21">
        <f t="shared" si="26"/>
        <v>33513576.800000001</v>
      </c>
      <c r="IB9" s="21">
        <f t="shared" si="26"/>
        <v>33513576.800000001</v>
      </c>
      <c r="IC9" s="21">
        <f t="shared" si="26"/>
        <v>33513576.800000001</v>
      </c>
      <c r="ID9" s="21">
        <f t="shared" si="26"/>
        <v>33513576.800000001</v>
      </c>
      <c r="IE9" s="21">
        <f t="shared" si="26"/>
        <v>33513576.800000001</v>
      </c>
      <c r="IF9" s="21">
        <f t="shared" si="26"/>
        <v>33513576.800000001</v>
      </c>
      <c r="IG9" s="21">
        <f t="shared" si="26"/>
        <v>33513576.800000001</v>
      </c>
      <c r="IH9" s="21">
        <f t="shared" si="26"/>
        <v>33513576.800000001</v>
      </c>
      <c r="II9" s="21">
        <f t="shared" si="26"/>
        <v>33513576.800000001</v>
      </c>
      <c r="IJ9" s="21">
        <f t="shared" si="26"/>
        <v>33513576.800000001</v>
      </c>
      <c r="IK9" s="21">
        <f t="shared" si="26"/>
        <v>33513576.800000001</v>
      </c>
      <c r="IL9" s="21">
        <f t="shared" si="26"/>
        <v>33513576.800000001</v>
      </c>
      <c r="IM9" s="21">
        <f t="shared" si="26"/>
        <v>33513576.800000001</v>
      </c>
      <c r="IN9" s="21">
        <f t="shared" si="26"/>
        <v>33513576.800000001</v>
      </c>
    </row>
    <row r="10" spans="2:248" x14ac:dyDescent="0.3">
      <c r="B10" s="19" t="s">
        <v>452</v>
      </c>
      <c r="C10" s="19">
        <v>5</v>
      </c>
      <c r="F10" s="19" t="s">
        <v>497</v>
      </c>
      <c r="G10" s="21">
        <f t="shared" ref="G10:R10" si="27">G9</f>
        <v>130</v>
      </c>
      <c r="H10" s="21">
        <f t="shared" si="27"/>
        <v>159</v>
      </c>
      <c r="I10" s="21">
        <f t="shared" si="27"/>
        <v>196</v>
      </c>
      <c r="J10" s="21">
        <f t="shared" si="27"/>
        <v>262</v>
      </c>
      <c r="K10" s="21">
        <f t="shared" si="27"/>
        <v>482</v>
      </c>
      <c r="L10" s="21">
        <f t="shared" si="27"/>
        <v>670</v>
      </c>
      <c r="M10" s="21">
        <f t="shared" si="27"/>
        <v>799</v>
      </c>
      <c r="N10" s="21">
        <f t="shared" si="27"/>
        <v>1040</v>
      </c>
      <c r="O10" s="21">
        <f t="shared" si="27"/>
        <v>1176</v>
      </c>
      <c r="P10" s="21">
        <f t="shared" si="27"/>
        <v>1457</v>
      </c>
      <c r="Q10" s="21">
        <f t="shared" si="27"/>
        <v>1908</v>
      </c>
      <c r="R10" s="21">
        <f t="shared" si="27"/>
        <v>2078</v>
      </c>
      <c r="S10" s="21">
        <f>S9-G9</f>
        <v>3545</v>
      </c>
      <c r="T10" s="21">
        <f t="shared" ref="T10" si="28">T9-H9</f>
        <v>4426</v>
      </c>
      <c r="U10" s="21">
        <f t="shared" ref="U10" si="29">U9-I9</f>
        <v>5599</v>
      </c>
      <c r="V10" s="21">
        <f t="shared" ref="V10" si="30">V9-J9</f>
        <v>7010</v>
      </c>
      <c r="W10" s="21">
        <f t="shared" ref="W10" si="31">W9-K9</f>
        <v>8775</v>
      </c>
      <c r="X10" s="21">
        <f t="shared" ref="X10" si="32">X9-L9</f>
        <v>11657</v>
      </c>
      <c r="Y10" s="21">
        <f t="shared" ref="Y10" si="33">Y9-M9</f>
        <v>14521</v>
      </c>
      <c r="Z10" s="21">
        <f t="shared" ref="Z10" si="34">Z9-N9</f>
        <v>15812</v>
      </c>
      <c r="AA10" s="21">
        <f t="shared" ref="AA10" si="35">AA9-O9</f>
        <v>17361.2</v>
      </c>
      <c r="AB10" s="21">
        <f t="shared" ref="AB10" si="36">AB9-P9</f>
        <v>18933.920000000002</v>
      </c>
      <c r="AC10" s="21">
        <f t="shared" ref="AC10" si="37">AC9-Q9</f>
        <v>20522.012000000002</v>
      </c>
      <c r="AD10" s="21">
        <f t="shared" ref="AD10" si="38">AD9-R9</f>
        <v>22595.013200000005</v>
      </c>
      <c r="AE10" s="21">
        <f t="shared" ref="AE10" si="39">AE9-S9</f>
        <v>23465.314520000007</v>
      </c>
      <c r="AF10" s="21">
        <f t="shared" ref="AF10" si="40">AF9-T9</f>
        <v>25269.34597200001</v>
      </c>
      <c r="AG10" s="21">
        <f t="shared" ref="AG10" si="41">AG9-U9</f>
        <v>27044.780569200011</v>
      </c>
      <c r="AH10" s="21">
        <f t="shared" ref="AH10" si="42">AH9-V9</f>
        <v>28851.758626120012</v>
      </c>
      <c r="AI10" s="21">
        <f t="shared" ref="AI10" si="43">AI9-W9</f>
        <v>30479.134488732016</v>
      </c>
      <c r="AJ10" s="21">
        <f t="shared" ref="AJ10" si="44">AJ9-X9</f>
        <v>31382.747937605222</v>
      </c>
      <c r="AK10" s="21">
        <f t="shared" ref="AK10" si="45">AK9-Y9</f>
        <v>32760.722731365749</v>
      </c>
      <c r="AL10" s="21">
        <f t="shared" ref="AL10" si="46">AL9-Z9</f>
        <v>36036.795004502332</v>
      </c>
      <c r="AM10" s="21">
        <f t="shared" ref="AM10" si="47">AM9-AA9</f>
        <v>39640.474504952566</v>
      </c>
      <c r="AN10" s="21">
        <f t="shared" ref="AN10" si="48">AN9-AB9</f>
        <v>43604.521955447824</v>
      </c>
      <c r="AO10" s="21">
        <f t="shared" ref="AO10" si="49">AO9-AC9</f>
        <v>47964.97415099261</v>
      </c>
      <c r="AP10" s="21">
        <f t="shared" ref="AP10" si="50">AP9-AD9</f>
        <v>52761.471566091874</v>
      </c>
      <c r="AQ10" s="21">
        <f t="shared" ref="AQ10" si="51">AQ9-AE9</f>
        <v>58037.61872270106</v>
      </c>
      <c r="AR10" s="21">
        <f t="shared" ref="AR10" si="52">AR9-AF9</f>
        <v>63841.380594971168</v>
      </c>
      <c r="AS10" s="21">
        <f t="shared" ref="AS10" si="53">AS9-AG9</f>
        <v>70225.518654468295</v>
      </c>
      <c r="AT10" s="21">
        <f t="shared" ref="AT10" si="54">AT9-AH9</f>
        <v>77248.070519915142</v>
      </c>
      <c r="AU10" s="21">
        <f t="shared" ref="AU10" si="55">AU9-AI9</f>
        <v>84972.877571906662</v>
      </c>
      <c r="AV10" s="21">
        <f t="shared" ref="AV10" si="56">AV9-AJ9</f>
        <v>93470.165329097334</v>
      </c>
      <c r="AW10" s="21">
        <f t="shared" ref="AW10" si="57">AW9-AK9</f>
        <v>102817.18186200708</v>
      </c>
      <c r="AX10" s="21">
        <f t="shared" ref="AX10" si="58">AX9-AL9</f>
        <v>113098.9000482078</v>
      </c>
      <c r="AY10" s="21">
        <f t="shared" ref="AY10" si="59">AY9-AM9</f>
        <v>124408.79005302858</v>
      </c>
      <c r="AZ10" s="21">
        <f t="shared" ref="AZ10" si="60">AZ9-AN9</f>
        <v>136849.66905833143</v>
      </c>
      <c r="BA10" s="21">
        <f t="shared" ref="BA10" si="61">BA9-AO9</f>
        <v>150534.63596416463</v>
      </c>
      <c r="BB10" s="21">
        <f t="shared" ref="BB10" si="62">BB9-AP9</f>
        <v>165588.09956058109</v>
      </c>
      <c r="BC10" s="21">
        <f t="shared" ref="BC10" si="63">BC9-AQ9</f>
        <v>182146.90951663925</v>
      </c>
      <c r="BD10" s="21">
        <f t="shared" ref="BD10" si="64">BD9-AR9</f>
        <v>200361.60046830319</v>
      </c>
      <c r="BE10" s="21">
        <f t="shared" ref="BE10" si="65">BE9-AS9</f>
        <v>220397.7605151335</v>
      </c>
      <c r="BF10" s="21">
        <f t="shared" ref="BF10" si="66">BF9-AT9</f>
        <v>242437.53656664689</v>
      </c>
      <c r="BG10" s="21">
        <f t="shared" ref="BG10" si="67">BG9-AU9</f>
        <v>266681.29022331157</v>
      </c>
      <c r="BH10" s="21">
        <f t="shared" ref="BH10" si="68">BH9-AV9</f>
        <v>293349.41924564278</v>
      </c>
      <c r="BI10" s="21">
        <f t="shared" ref="BI10" si="69">BI9-AW9</f>
        <v>322684.36117020709</v>
      </c>
      <c r="BJ10" s="21">
        <f t="shared" ref="BJ10" si="70">BJ9-AX9</f>
        <v>354952.79728722782</v>
      </c>
      <c r="BK10" s="21">
        <f t="shared" ref="BK10" si="71">BK9-AY9</f>
        <v>390448.07701595069</v>
      </c>
      <c r="BL10" s="21">
        <f t="shared" ref="BL10" si="72">BL9-AZ9</f>
        <v>429492.8847175457</v>
      </c>
      <c r="BM10" s="21">
        <f t="shared" ref="BM10" si="73">BM9-BA9</f>
        <v>472442.17318930035</v>
      </c>
      <c r="BN10" s="21">
        <f t="shared" ref="BN10" si="74">BN9-BB9</f>
        <v>519686.39050823043</v>
      </c>
      <c r="BO10" s="21">
        <f t="shared" ref="BO10" si="75">BO9-BC9</f>
        <v>571655.02955905348</v>
      </c>
      <c r="BP10" s="21">
        <f t="shared" ref="BP10" si="76">BP9-BD9</f>
        <v>628820.53251495888</v>
      </c>
      <c r="BQ10" s="21">
        <f t="shared" ref="BQ10" si="77">BQ9-BE9</f>
        <v>691702.58576645481</v>
      </c>
      <c r="BR10" s="21">
        <f t="shared" ref="BR10" si="78">BR9-BF9</f>
        <v>760872.84434310044</v>
      </c>
      <c r="BS10" s="21">
        <f t="shared" ref="BS10" si="79">BS9-BG9</f>
        <v>836960.12877741049</v>
      </c>
      <c r="BT10" s="21">
        <f t="shared" ref="BT10" si="80">BT9-BH9</f>
        <v>920656.1416551515</v>
      </c>
      <c r="BU10" s="21">
        <f t="shared" ref="BU10" si="81">BU9-BI9</f>
        <v>1012721.7558206669</v>
      </c>
      <c r="BV10" s="21">
        <f t="shared" ref="BV10" si="82">BV9-BJ9</f>
        <v>1113993.9314027335</v>
      </c>
      <c r="BW10" s="21">
        <f t="shared" ref="BW10" si="83">BW9-BK9</f>
        <v>1225393.3245430072</v>
      </c>
      <c r="BX10" s="21">
        <f t="shared" ref="BX10" si="84">BX9-BL9</f>
        <v>1347932.6569973081</v>
      </c>
      <c r="BY10" s="21">
        <f t="shared" ref="BY10" si="85">BY9-BM9</f>
        <v>1482725.9226970389</v>
      </c>
      <c r="BZ10" s="21">
        <f t="shared" ref="BZ10" si="86">BZ9-BN9</f>
        <v>1630998.5149667428</v>
      </c>
      <c r="CA10" s="21">
        <f t="shared" ref="CA10" si="87">CA9-BO9</f>
        <v>1794098.3664634174</v>
      </c>
      <c r="CB10" s="21">
        <f t="shared" ref="CB10" si="88">CB9-BP9</f>
        <v>1973508.2031097591</v>
      </c>
      <c r="CC10" s="21">
        <f t="shared" ref="CC10" si="89">CC9-BQ9</f>
        <v>2170859.0234207353</v>
      </c>
      <c r="CD10" s="21">
        <f t="shared" ref="CD10" si="90">CD9-BR9</f>
        <v>2387944.9257628089</v>
      </c>
      <c r="CE10" s="21">
        <f t="shared" ref="CE10" si="91">CE9-BS9</f>
        <v>2626739.4183390904</v>
      </c>
      <c r="CF10" s="21">
        <f t="shared" ref="CF10" si="92">CF9-BT9</f>
        <v>2889413.3601729991</v>
      </c>
      <c r="CG10" s="21">
        <f t="shared" ref="CG10" si="93">CG9-BU9</f>
        <v>3178354.696190299</v>
      </c>
      <c r="CH10" s="21">
        <f t="shared" ref="CH10" si="94">CH9-BV9</f>
        <v>3496190.1658093296</v>
      </c>
      <c r="CI10" s="21">
        <f t="shared" ref="CI10" si="95">CI9-BW9</f>
        <v>3845809.1823902624</v>
      </c>
      <c r="CJ10" s="21">
        <f t="shared" ref="CJ10" si="96">CJ9-BX9</f>
        <v>4230390.1006292887</v>
      </c>
      <c r="CK10" s="21">
        <f t="shared" ref="CK10" si="97">CK9-BY9</f>
        <v>4653429.1106922179</v>
      </c>
      <c r="CL10" s="21">
        <f t="shared" ref="CL10" si="98">CL9-BZ9</f>
        <v>5118772.0217614397</v>
      </c>
      <c r="CM10" s="21">
        <f t="shared" ref="CM10" si="99">CM9-CA9</f>
        <v>5630649.2239375841</v>
      </c>
      <c r="CN10" s="21">
        <f t="shared" ref="CN10" si="100">CN9-CB9</f>
        <v>6193714.1463313438</v>
      </c>
      <c r="CO10" s="21">
        <f t="shared" ref="CO10" si="101">CO9-CC9</f>
        <v>6813085.5609644782</v>
      </c>
      <c r="CP10" s="21">
        <f t="shared" ref="CP10" si="102">CP9-CD9</f>
        <v>7494394.1170609258</v>
      </c>
      <c r="CQ10" s="21">
        <f t="shared" ref="CQ10" si="103">CQ9-CE9</f>
        <v>8243833.5287670176</v>
      </c>
      <c r="CR10" s="21">
        <f t="shared" ref="CR10" si="104">CR9-CF9</f>
        <v>9068216.8816437218</v>
      </c>
      <c r="CS10" s="21">
        <f t="shared" ref="CS10" si="105">CS9-CG9</f>
        <v>9975038.5698080957</v>
      </c>
      <c r="CT10" s="21">
        <f t="shared" ref="CT10" si="106">CT9-CH9</f>
        <v>10972542.426788907</v>
      </c>
      <c r="CU10" s="21">
        <f t="shared" ref="CU10" si="107">CU9-CI9</f>
        <v>12069796.669467796</v>
      </c>
      <c r="CV10" s="21">
        <f t="shared" ref="CV10" si="108">CV9-CJ9</f>
        <v>13276776.336414579</v>
      </c>
      <c r="CW10" s="21">
        <f t="shared" ref="CW10" si="109">CW9-CK9</f>
        <v>14604453.970056038</v>
      </c>
      <c r="CX10" s="21">
        <f t="shared" ref="CX10" si="110">CX9-CL9</f>
        <v>16064899.367061645</v>
      </c>
      <c r="CY10" s="21">
        <f t="shared" ref="CY10" si="111">CY9-CM9</f>
        <v>17671389.303767808</v>
      </c>
      <c r="CZ10" s="21">
        <f t="shared" ref="CZ10" si="112">CZ9-CN9</f>
        <v>19438528.234144591</v>
      </c>
      <c r="DA10" s="21">
        <f t="shared" ref="DA10" si="113">DA9-CO9</f>
        <v>21382381.057559051</v>
      </c>
      <c r="DB10" s="21">
        <f t="shared" ref="DB10" si="114">DB9-CP9</f>
        <v>22514555.547120482</v>
      </c>
      <c r="DC10" s="21">
        <f t="shared" ref="DC10" si="115">DC9-CQ9</f>
        <v>21414653.421832532</v>
      </c>
      <c r="DD10" s="21">
        <f t="shared" ref="DD10" si="116">DD9-CR9</f>
        <v>20204761.084015783</v>
      </c>
      <c r="DE10" s="21">
        <f t="shared" ref="DE10" si="117">DE9-CS9</f>
        <v>18873879.512417361</v>
      </c>
      <c r="DF10" s="21">
        <f t="shared" ref="DF10" si="118">DF9-CT9</f>
        <v>17409909.783659093</v>
      </c>
      <c r="DG10" s="21">
        <f t="shared" ref="DG10" si="119">DG9-CU9</f>
        <v>15799543.082025003</v>
      </c>
      <c r="DH10" s="21">
        <f t="shared" ref="DH10" si="120">DH9-CV9</f>
        <v>14028139.710227501</v>
      </c>
      <c r="DI10" s="21">
        <f t="shared" ref="DI10" si="121">DI9-CW9</f>
        <v>12079596.001250248</v>
      </c>
      <c r="DJ10" s="21">
        <f t="shared" ref="DJ10" si="122">DJ9-CX9</f>
        <v>9936197.9213752709</v>
      </c>
      <c r="DK10" s="21">
        <f t="shared" ref="DK10" si="123">DK9-CY9</f>
        <v>7578460.0335127972</v>
      </c>
      <c r="DL10" s="21">
        <f t="shared" ref="DL10" si="124">DL9-CZ9</f>
        <v>4984948.3568640761</v>
      </c>
      <c r="DM10" s="21">
        <f t="shared" ref="DM10" si="125">DM9-DA9</f>
        <v>2132085.5125504807</v>
      </c>
      <c r="DN10" s="21">
        <f t="shared" ref="DN10" si="126">DN9-DB9</f>
        <v>0</v>
      </c>
      <c r="DO10" s="21">
        <f t="shared" ref="DO10" si="127">DO9-DC9</f>
        <v>0</v>
      </c>
      <c r="DP10" s="21">
        <f t="shared" ref="DP10" si="128">DP9-DD9</f>
        <v>0</v>
      </c>
      <c r="DQ10" s="21">
        <f t="shared" ref="DQ10" si="129">DQ9-DE9</f>
        <v>0</v>
      </c>
      <c r="DR10" s="21">
        <f t="shared" ref="DR10" si="130">DR9-DF9</f>
        <v>0</v>
      </c>
      <c r="DS10" s="21">
        <f t="shared" ref="DS10" si="131">DS9-DG9</f>
        <v>0</v>
      </c>
      <c r="DT10" s="21">
        <f t="shared" ref="DT10" si="132">DT9-DH9</f>
        <v>0</v>
      </c>
      <c r="DU10" s="21">
        <f t="shared" ref="DU10" si="133">DU9-DI9</f>
        <v>0</v>
      </c>
      <c r="DV10" s="21">
        <f t="shared" ref="DV10" si="134">DV9-DJ9</f>
        <v>0</v>
      </c>
      <c r="DW10" s="21">
        <f t="shared" ref="DW10" si="135">DW9-DK9</f>
        <v>0</v>
      </c>
      <c r="DX10" s="21">
        <f t="shared" ref="DX10" si="136">DX9-DL9</f>
        <v>0</v>
      </c>
      <c r="DY10" s="21">
        <f t="shared" ref="DY10" si="137">DY9-DM9</f>
        <v>0</v>
      </c>
      <c r="DZ10" s="21">
        <f t="shared" ref="DZ10" si="138">DZ9-DN9</f>
        <v>0</v>
      </c>
      <c r="EA10" s="21">
        <f t="shared" ref="EA10" si="139">EA9-DO9</f>
        <v>0</v>
      </c>
      <c r="EB10" s="21">
        <f t="shared" ref="EB10" si="140">EB9-DP9</f>
        <v>0</v>
      </c>
      <c r="EC10" s="21">
        <f t="shared" ref="EC10" si="141">EC9-DQ9</f>
        <v>0</v>
      </c>
      <c r="ED10" s="21">
        <f t="shared" ref="ED10" si="142">ED9-DR9</f>
        <v>0</v>
      </c>
      <c r="EE10" s="21">
        <f t="shared" ref="EE10" si="143">EE9-DS9</f>
        <v>0</v>
      </c>
      <c r="EF10" s="21">
        <f t="shared" ref="EF10" si="144">EF9-DT9</f>
        <v>0</v>
      </c>
      <c r="EG10" s="21">
        <f t="shared" ref="EG10" si="145">EG9-DU9</f>
        <v>0</v>
      </c>
      <c r="EH10" s="21">
        <f t="shared" ref="EH10" si="146">EH9-DV9</f>
        <v>0</v>
      </c>
      <c r="EI10" s="21">
        <f t="shared" ref="EI10" si="147">EI9-DW9</f>
        <v>0</v>
      </c>
      <c r="EJ10" s="21">
        <f t="shared" ref="EJ10" si="148">EJ9-DX9</f>
        <v>0</v>
      </c>
      <c r="EK10" s="21">
        <f t="shared" ref="EK10" si="149">EK9-DY9</f>
        <v>0</v>
      </c>
      <c r="EL10" s="21">
        <f t="shared" ref="EL10" si="150">EL9-DZ9</f>
        <v>0</v>
      </c>
      <c r="EM10" s="21">
        <f t="shared" ref="EM10" si="151">EM9-EA9</f>
        <v>0</v>
      </c>
      <c r="EN10" s="21">
        <f t="shared" ref="EN10" si="152">EN9-EB9</f>
        <v>0</v>
      </c>
      <c r="EO10" s="21">
        <f t="shared" ref="EO10" si="153">EO9-EC9</f>
        <v>0</v>
      </c>
      <c r="EP10" s="21">
        <f t="shared" ref="EP10" si="154">EP9-ED9</f>
        <v>0</v>
      </c>
      <c r="EQ10" s="21">
        <f t="shared" ref="EQ10" si="155">EQ9-EE9</f>
        <v>0</v>
      </c>
      <c r="ER10" s="21">
        <f t="shared" ref="ER10" si="156">ER9-EF9</f>
        <v>0</v>
      </c>
      <c r="ES10" s="21">
        <f t="shared" ref="ES10" si="157">ES9-EG9</f>
        <v>0</v>
      </c>
      <c r="ET10" s="21">
        <f t="shared" ref="ET10" si="158">ET9-EH9</f>
        <v>0</v>
      </c>
      <c r="EU10" s="21">
        <f t="shared" ref="EU10" si="159">EU9-EI9</f>
        <v>0</v>
      </c>
      <c r="EV10" s="21">
        <f t="shared" ref="EV10" si="160">EV9-EJ9</f>
        <v>0</v>
      </c>
      <c r="EW10" s="21">
        <f t="shared" ref="EW10" si="161">EW9-EK9</f>
        <v>0</v>
      </c>
      <c r="EX10" s="21">
        <f t="shared" ref="EX10" si="162">EX9-EL9</f>
        <v>0</v>
      </c>
      <c r="EY10" s="21">
        <f t="shared" ref="EY10" si="163">EY9-EM9</f>
        <v>0</v>
      </c>
      <c r="EZ10" s="21">
        <f t="shared" ref="EZ10" si="164">EZ9-EN9</f>
        <v>0</v>
      </c>
      <c r="FA10" s="21">
        <f t="shared" ref="FA10" si="165">FA9-EO9</f>
        <v>0</v>
      </c>
      <c r="FB10" s="21">
        <f t="shared" ref="FB10" si="166">FB9-EP9</f>
        <v>0</v>
      </c>
      <c r="FC10" s="21">
        <f t="shared" ref="FC10" si="167">FC9-EQ9</f>
        <v>0</v>
      </c>
      <c r="FD10" s="21">
        <f t="shared" ref="FD10" si="168">FD9-ER9</f>
        <v>0</v>
      </c>
      <c r="FE10" s="21">
        <f t="shared" ref="FE10" si="169">FE9-ES9</f>
        <v>0</v>
      </c>
      <c r="FF10" s="21">
        <f t="shared" ref="FF10" si="170">FF9-ET9</f>
        <v>0</v>
      </c>
      <c r="FG10" s="21">
        <f t="shared" ref="FG10" si="171">FG9-EU9</f>
        <v>0</v>
      </c>
      <c r="FH10" s="21">
        <f t="shared" ref="FH10" si="172">FH9-EV9</f>
        <v>0</v>
      </c>
      <c r="FI10" s="21">
        <f t="shared" ref="FI10" si="173">FI9-EW9</f>
        <v>0</v>
      </c>
      <c r="FJ10" s="21">
        <f t="shared" ref="FJ10" si="174">FJ9-EX9</f>
        <v>0</v>
      </c>
      <c r="FK10" s="21">
        <f t="shared" ref="FK10" si="175">FK9-EY9</f>
        <v>0</v>
      </c>
      <c r="FL10" s="21">
        <f t="shared" ref="FL10" si="176">FL9-EZ9</f>
        <v>0</v>
      </c>
      <c r="FM10" s="21">
        <f t="shared" ref="FM10" si="177">FM9-FA9</f>
        <v>0</v>
      </c>
      <c r="FN10" s="21">
        <f t="shared" ref="FN10" si="178">FN9-FB9</f>
        <v>0</v>
      </c>
      <c r="FO10" s="21">
        <f t="shared" ref="FO10" si="179">FO9-FC9</f>
        <v>0</v>
      </c>
      <c r="FP10" s="21">
        <f t="shared" ref="FP10" si="180">FP9-FD9</f>
        <v>0</v>
      </c>
      <c r="FQ10" s="21">
        <f t="shared" ref="FQ10" si="181">FQ9-FE9</f>
        <v>0</v>
      </c>
      <c r="FR10" s="21">
        <f t="shared" ref="FR10" si="182">FR9-FF9</f>
        <v>0</v>
      </c>
      <c r="FS10" s="21">
        <f t="shared" ref="FS10" si="183">FS9-FG9</f>
        <v>0</v>
      </c>
      <c r="FT10" s="21">
        <f t="shared" ref="FT10" si="184">FT9-FH9</f>
        <v>0</v>
      </c>
      <c r="FU10" s="21">
        <f t="shared" ref="FU10" si="185">FU9-FI9</f>
        <v>0</v>
      </c>
      <c r="FV10" s="21">
        <f t="shared" ref="FV10" si="186">FV9-FJ9</f>
        <v>0</v>
      </c>
      <c r="FW10" s="21">
        <f t="shared" ref="FW10" si="187">FW9-FK9</f>
        <v>0</v>
      </c>
      <c r="FX10" s="21">
        <f t="shared" ref="FX10" si="188">FX9-FL9</f>
        <v>0</v>
      </c>
      <c r="FY10" s="21">
        <f t="shared" ref="FY10" si="189">FY9-FM9</f>
        <v>0</v>
      </c>
      <c r="FZ10" s="21">
        <f t="shared" ref="FZ10" si="190">FZ9-FN9</f>
        <v>0</v>
      </c>
      <c r="GA10" s="21">
        <f t="shared" ref="GA10" si="191">GA9-FO9</f>
        <v>0</v>
      </c>
      <c r="GB10" s="21">
        <f t="shared" ref="GB10" si="192">GB9-FP9</f>
        <v>0</v>
      </c>
      <c r="GC10" s="21">
        <f t="shared" ref="GC10" si="193">GC9-FQ9</f>
        <v>0</v>
      </c>
      <c r="GD10" s="21">
        <f t="shared" ref="GD10" si="194">GD9-FR9</f>
        <v>0</v>
      </c>
      <c r="GE10" s="21">
        <f t="shared" ref="GE10" si="195">GE9-FS9</f>
        <v>0</v>
      </c>
      <c r="GF10" s="21">
        <f t="shared" ref="GF10" si="196">GF9-FT9</f>
        <v>0</v>
      </c>
      <c r="GG10" s="21">
        <f t="shared" ref="GG10" si="197">GG9-FU9</f>
        <v>0</v>
      </c>
      <c r="GH10" s="21">
        <f t="shared" ref="GH10" si="198">GH9-FV9</f>
        <v>0</v>
      </c>
      <c r="GI10" s="21">
        <f t="shared" ref="GI10" si="199">GI9-FW9</f>
        <v>0</v>
      </c>
      <c r="GJ10" s="21">
        <f t="shared" ref="GJ10" si="200">GJ9-FX9</f>
        <v>0</v>
      </c>
      <c r="GK10" s="21">
        <f t="shared" ref="GK10" si="201">GK9-FY9</f>
        <v>0</v>
      </c>
      <c r="GL10" s="21">
        <f t="shared" ref="GL10" si="202">GL9-FZ9</f>
        <v>0</v>
      </c>
      <c r="GM10" s="21">
        <f t="shared" ref="GM10" si="203">GM9-GA9</f>
        <v>0</v>
      </c>
      <c r="GN10" s="21">
        <f t="shared" ref="GN10" si="204">GN9-GB9</f>
        <v>0</v>
      </c>
      <c r="GO10" s="21">
        <f t="shared" ref="GO10" si="205">GO9-GC9</f>
        <v>0</v>
      </c>
      <c r="GP10" s="21">
        <f t="shared" ref="GP10" si="206">GP9-GD9</f>
        <v>0</v>
      </c>
      <c r="GQ10" s="21">
        <f t="shared" ref="GQ10" si="207">GQ9-GE9</f>
        <v>0</v>
      </c>
      <c r="GR10" s="21">
        <f t="shared" ref="GR10" si="208">GR9-GF9</f>
        <v>0</v>
      </c>
      <c r="GS10" s="21">
        <f t="shared" ref="GS10" si="209">GS9-GG9</f>
        <v>0</v>
      </c>
      <c r="GT10" s="21">
        <f t="shared" ref="GT10" si="210">GT9-GH9</f>
        <v>0</v>
      </c>
      <c r="GU10" s="21">
        <f t="shared" ref="GU10" si="211">GU9-GI9</f>
        <v>0</v>
      </c>
      <c r="GV10" s="21">
        <f t="shared" ref="GV10" si="212">GV9-GJ9</f>
        <v>0</v>
      </c>
      <c r="GW10" s="21">
        <f t="shared" ref="GW10" si="213">GW9-GK9</f>
        <v>0</v>
      </c>
      <c r="GX10" s="21">
        <f t="shared" ref="GX10" si="214">GX9-GL9</f>
        <v>0</v>
      </c>
      <c r="GY10" s="21">
        <f t="shared" ref="GY10" si="215">GY9-GM9</f>
        <v>0</v>
      </c>
      <c r="GZ10" s="21">
        <f t="shared" ref="GZ10" si="216">GZ9-GN9</f>
        <v>0</v>
      </c>
      <c r="HA10" s="21">
        <f t="shared" ref="HA10" si="217">HA9-GO9</f>
        <v>0</v>
      </c>
      <c r="HB10" s="21">
        <f t="shared" ref="HB10" si="218">HB9-GP9</f>
        <v>0</v>
      </c>
      <c r="HC10" s="21">
        <f t="shared" ref="HC10" si="219">HC9-GQ9</f>
        <v>0</v>
      </c>
      <c r="HD10" s="21">
        <f t="shared" ref="HD10" si="220">HD9-GR9</f>
        <v>0</v>
      </c>
      <c r="HE10" s="21">
        <f t="shared" ref="HE10" si="221">HE9-GS9</f>
        <v>0</v>
      </c>
      <c r="HF10" s="21">
        <f t="shared" ref="HF10" si="222">HF9-GT9</f>
        <v>0</v>
      </c>
      <c r="HG10" s="21">
        <f t="shared" ref="HG10" si="223">HG9-GU9</f>
        <v>0</v>
      </c>
      <c r="HH10" s="21">
        <f t="shared" ref="HH10" si="224">HH9-GV9</f>
        <v>0</v>
      </c>
      <c r="HI10" s="21">
        <f t="shared" ref="HI10" si="225">HI9-GW9</f>
        <v>0</v>
      </c>
      <c r="HJ10" s="21">
        <f t="shared" ref="HJ10" si="226">HJ9-GX9</f>
        <v>0</v>
      </c>
      <c r="HK10" s="21">
        <f t="shared" ref="HK10" si="227">HK9-GY9</f>
        <v>0</v>
      </c>
      <c r="HL10" s="21">
        <f t="shared" ref="HL10" si="228">HL9-GZ9</f>
        <v>0</v>
      </c>
      <c r="HM10" s="21">
        <f t="shared" ref="HM10" si="229">HM9-HA9</f>
        <v>0</v>
      </c>
      <c r="HN10" s="21">
        <f t="shared" ref="HN10" si="230">HN9-HB9</f>
        <v>0</v>
      </c>
      <c r="HO10" s="21">
        <f t="shared" ref="HO10" si="231">HO9-HC9</f>
        <v>0</v>
      </c>
      <c r="HP10" s="21">
        <f t="shared" ref="HP10" si="232">HP9-HD9</f>
        <v>0</v>
      </c>
      <c r="HQ10" s="21">
        <f t="shared" ref="HQ10" si="233">HQ9-HE9</f>
        <v>0</v>
      </c>
      <c r="HR10" s="21">
        <f t="shared" ref="HR10" si="234">HR9-HF9</f>
        <v>0</v>
      </c>
      <c r="HS10" s="21">
        <f t="shared" ref="HS10" si="235">HS9-HG9</f>
        <v>0</v>
      </c>
      <c r="HT10" s="21">
        <f t="shared" ref="HT10" si="236">HT9-HH9</f>
        <v>0</v>
      </c>
      <c r="HU10" s="21">
        <f t="shared" ref="HU10" si="237">HU9-HI9</f>
        <v>0</v>
      </c>
      <c r="HV10" s="21">
        <f t="shared" ref="HV10" si="238">HV9-HJ9</f>
        <v>0</v>
      </c>
      <c r="HW10" s="21">
        <f t="shared" ref="HW10" si="239">HW9-HK9</f>
        <v>0</v>
      </c>
      <c r="HX10" s="21">
        <f t="shared" ref="HX10" si="240">HX9-HL9</f>
        <v>0</v>
      </c>
      <c r="HY10" s="21">
        <f t="shared" ref="HY10" si="241">HY9-HM9</f>
        <v>0</v>
      </c>
      <c r="HZ10" s="21">
        <f t="shared" ref="HZ10" si="242">HZ9-HN9</f>
        <v>0</v>
      </c>
      <c r="IA10" s="21">
        <f t="shared" ref="IA10" si="243">IA9-HO9</f>
        <v>0</v>
      </c>
      <c r="IB10" s="21">
        <f t="shared" ref="IB10" si="244">IB9-HP9</f>
        <v>0</v>
      </c>
      <c r="IC10" s="21">
        <f t="shared" ref="IC10" si="245">IC9-HQ9</f>
        <v>0</v>
      </c>
      <c r="ID10" s="21">
        <f t="shared" ref="ID10" si="246">ID9-HR9</f>
        <v>0</v>
      </c>
      <c r="IE10" s="21">
        <f t="shared" ref="IE10" si="247">IE9-HS9</f>
        <v>0</v>
      </c>
      <c r="IF10" s="21">
        <f t="shared" ref="IF10" si="248">IF9-HT9</f>
        <v>0</v>
      </c>
      <c r="IG10" s="21">
        <f t="shared" ref="IG10" si="249">IG9-HU9</f>
        <v>0</v>
      </c>
      <c r="IH10" s="21">
        <f t="shared" ref="IH10" si="250">IH9-HV9</f>
        <v>0</v>
      </c>
      <c r="II10" s="21">
        <f t="shared" ref="II10" si="251">II9-HW9</f>
        <v>0</v>
      </c>
      <c r="IJ10" s="21">
        <f t="shared" ref="IJ10" si="252">IJ9-HX9</f>
        <v>0</v>
      </c>
      <c r="IK10" s="21">
        <f t="shared" ref="IK10" si="253">IK9-HY9</f>
        <v>0</v>
      </c>
      <c r="IL10" s="21">
        <f t="shared" ref="IL10" si="254">IL9-HZ9</f>
        <v>0</v>
      </c>
      <c r="IM10" s="21">
        <f t="shared" ref="IM10" si="255">IM9-IA9</f>
        <v>0</v>
      </c>
      <c r="IN10" s="21">
        <f t="shared" ref="IN10" si="256">IN9-IB9</f>
        <v>0</v>
      </c>
    </row>
    <row r="11" spans="2:248" x14ac:dyDescent="0.3">
      <c r="B11" s="19" t="s">
        <v>451</v>
      </c>
      <c r="C11" s="23">
        <f>VLOOKUP(B2,Days_Since_100!C:G,5,FALSE)-1</f>
        <v>0.27286951418928918</v>
      </c>
      <c r="E11" s="19">
        <v>0.25</v>
      </c>
      <c r="F11" s="22" t="s">
        <v>504</v>
      </c>
      <c r="G11" s="21">
        <f t="shared" ref="G11:BR11" si="257">IF(IF(AND(ISNA(G$5),ISNA(F$5)),F11*(1+$E11),IF(AND(F$5&gt;0,ISNA(G$5)),F11*(1+$E11),G$5))&gt;$C$20,$C$20,IF(AND(ISNA(G$5),ISNA(F$5)),F11*(1+$E11),IF(AND(F$5&gt;0,ISNA(G$5)),F11*(1+$E11),G$5)))</f>
        <v>130</v>
      </c>
      <c r="H11" s="21">
        <f t="shared" si="257"/>
        <v>159</v>
      </c>
      <c r="I11" s="21">
        <f t="shared" si="257"/>
        <v>196</v>
      </c>
      <c r="J11" s="21">
        <f t="shared" si="257"/>
        <v>262</v>
      </c>
      <c r="K11" s="21">
        <f t="shared" si="257"/>
        <v>482</v>
      </c>
      <c r="L11" s="21">
        <f t="shared" si="257"/>
        <v>670</v>
      </c>
      <c r="M11" s="21">
        <f t="shared" si="257"/>
        <v>799</v>
      </c>
      <c r="N11" s="21">
        <f t="shared" si="257"/>
        <v>1040</v>
      </c>
      <c r="O11" s="21">
        <f t="shared" si="257"/>
        <v>1176</v>
      </c>
      <c r="P11" s="21">
        <f t="shared" si="257"/>
        <v>1457</v>
      </c>
      <c r="Q11" s="21">
        <f t="shared" si="257"/>
        <v>1908</v>
      </c>
      <c r="R11" s="21">
        <f t="shared" si="257"/>
        <v>2078</v>
      </c>
      <c r="S11" s="21">
        <f t="shared" si="257"/>
        <v>3675</v>
      </c>
      <c r="T11" s="21">
        <f t="shared" si="257"/>
        <v>4585</v>
      </c>
      <c r="U11" s="21">
        <f t="shared" si="257"/>
        <v>5795</v>
      </c>
      <c r="V11" s="21">
        <f t="shared" si="257"/>
        <v>7272</v>
      </c>
      <c r="W11" s="21">
        <f t="shared" si="257"/>
        <v>9257</v>
      </c>
      <c r="X11" s="21">
        <f t="shared" si="257"/>
        <v>12327</v>
      </c>
      <c r="Y11" s="21">
        <f t="shared" si="257"/>
        <v>15320</v>
      </c>
      <c r="Z11" s="21">
        <f t="shared" si="257"/>
        <v>19150</v>
      </c>
      <c r="AA11" s="21">
        <f t="shared" si="257"/>
        <v>23937.5</v>
      </c>
      <c r="AB11" s="21">
        <f t="shared" si="257"/>
        <v>29921.875</v>
      </c>
      <c r="AC11" s="21">
        <f t="shared" si="257"/>
        <v>37402.34375</v>
      </c>
      <c r="AD11" s="21">
        <f t="shared" si="257"/>
        <v>46752.9296875</v>
      </c>
      <c r="AE11" s="21">
        <f t="shared" si="257"/>
        <v>58441.162109375</v>
      </c>
      <c r="AF11" s="21">
        <f t="shared" si="257"/>
        <v>73051.45263671875</v>
      </c>
      <c r="AG11" s="21">
        <f t="shared" si="257"/>
        <v>91314.315795898438</v>
      </c>
      <c r="AH11" s="21">
        <f t="shared" si="257"/>
        <v>114142.89474487305</v>
      </c>
      <c r="AI11" s="21">
        <f t="shared" si="257"/>
        <v>142678.61843109131</v>
      </c>
      <c r="AJ11" s="21">
        <f t="shared" si="257"/>
        <v>178348.27303886414</v>
      </c>
      <c r="AK11" s="21">
        <f t="shared" si="257"/>
        <v>222935.34129858017</v>
      </c>
      <c r="AL11" s="21">
        <f t="shared" si="257"/>
        <v>278669.17662322521</v>
      </c>
      <c r="AM11" s="21">
        <f t="shared" si="257"/>
        <v>348336.47077903152</v>
      </c>
      <c r="AN11" s="21">
        <f t="shared" si="257"/>
        <v>435420.58847378939</v>
      </c>
      <c r="AO11" s="21">
        <f t="shared" si="257"/>
        <v>544275.73559223674</v>
      </c>
      <c r="AP11" s="21">
        <f t="shared" si="257"/>
        <v>680344.66949029593</v>
      </c>
      <c r="AQ11" s="21">
        <f t="shared" si="257"/>
        <v>850430.83686286991</v>
      </c>
      <c r="AR11" s="21">
        <f t="shared" si="257"/>
        <v>1063038.5460785874</v>
      </c>
      <c r="AS11" s="21">
        <f t="shared" si="257"/>
        <v>1328798.1825982342</v>
      </c>
      <c r="AT11" s="21">
        <f t="shared" si="257"/>
        <v>1660997.7282477927</v>
      </c>
      <c r="AU11" s="21">
        <f t="shared" si="257"/>
        <v>2076247.1603097408</v>
      </c>
      <c r="AV11" s="21">
        <f t="shared" si="257"/>
        <v>2595308.9503871761</v>
      </c>
      <c r="AW11" s="21">
        <f t="shared" si="257"/>
        <v>3244136.1879839702</v>
      </c>
      <c r="AX11" s="21">
        <f t="shared" si="257"/>
        <v>4055170.2349799629</v>
      </c>
      <c r="AY11" s="21">
        <f t="shared" si="257"/>
        <v>5068962.7937249541</v>
      </c>
      <c r="AZ11" s="21">
        <f t="shared" si="257"/>
        <v>6336203.4921561927</v>
      </c>
      <c r="BA11" s="21">
        <f t="shared" si="257"/>
        <v>7920254.3651952408</v>
      </c>
      <c r="BB11" s="21">
        <f t="shared" si="257"/>
        <v>9900317.956494052</v>
      </c>
      <c r="BC11" s="21">
        <f t="shared" si="257"/>
        <v>12375397.445617564</v>
      </c>
      <c r="BD11" s="21">
        <f t="shared" si="257"/>
        <v>15469246.807021955</v>
      </c>
      <c r="BE11" s="21">
        <f t="shared" si="257"/>
        <v>19336558.508777443</v>
      </c>
      <c r="BF11" s="21">
        <f t="shared" si="257"/>
        <v>24170698.135971803</v>
      </c>
      <c r="BG11" s="21">
        <f t="shared" si="257"/>
        <v>30213372.669964753</v>
      </c>
      <c r="BH11" s="21">
        <f t="shared" si="257"/>
        <v>33513576.800000001</v>
      </c>
      <c r="BI11" s="21">
        <f t="shared" si="257"/>
        <v>33513576.800000001</v>
      </c>
      <c r="BJ11" s="21">
        <f t="shared" si="257"/>
        <v>33513576.800000001</v>
      </c>
      <c r="BK11" s="21">
        <f t="shared" si="257"/>
        <v>33513576.800000001</v>
      </c>
      <c r="BL11" s="21">
        <f t="shared" si="257"/>
        <v>33513576.800000001</v>
      </c>
      <c r="BM11" s="21">
        <f t="shared" si="257"/>
        <v>33513576.800000001</v>
      </c>
      <c r="BN11" s="21">
        <f t="shared" si="257"/>
        <v>33513576.800000001</v>
      </c>
      <c r="BO11" s="21">
        <f t="shared" si="257"/>
        <v>33513576.800000001</v>
      </c>
      <c r="BP11" s="21">
        <f t="shared" si="257"/>
        <v>33513576.800000001</v>
      </c>
      <c r="BQ11" s="21">
        <f t="shared" si="257"/>
        <v>33513576.800000001</v>
      </c>
      <c r="BR11" s="21">
        <f t="shared" si="257"/>
        <v>33513576.800000001</v>
      </c>
      <c r="BS11" s="21">
        <f t="shared" ref="BS11:ED11" si="258">IF(IF(AND(ISNA(BS$5),ISNA(BR$5)),BR11*(1+$E11),IF(AND(BR$5&gt;0,ISNA(BS$5)),BR11*(1+$E11),BS$5))&gt;$C$20,$C$20,IF(AND(ISNA(BS$5),ISNA(BR$5)),BR11*(1+$E11),IF(AND(BR$5&gt;0,ISNA(BS$5)),BR11*(1+$E11),BS$5)))</f>
        <v>33513576.800000001</v>
      </c>
      <c r="BT11" s="21">
        <f t="shared" si="258"/>
        <v>33513576.800000001</v>
      </c>
      <c r="BU11" s="21">
        <f t="shared" si="258"/>
        <v>33513576.800000001</v>
      </c>
      <c r="BV11" s="21">
        <f t="shared" si="258"/>
        <v>33513576.800000001</v>
      </c>
      <c r="BW11" s="21">
        <f t="shared" si="258"/>
        <v>33513576.800000001</v>
      </c>
      <c r="BX11" s="21">
        <f t="shared" si="258"/>
        <v>33513576.800000001</v>
      </c>
      <c r="BY11" s="21">
        <f t="shared" si="258"/>
        <v>33513576.800000001</v>
      </c>
      <c r="BZ11" s="21">
        <f t="shared" si="258"/>
        <v>33513576.800000001</v>
      </c>
      <c r="CA11" s="21">
        <f t="shared" si="258"/>
        <v>33513576.800000001</v>
      </c>
      <c r="CB11" s="21">
        <f t="shared" si="258"/>
        <v>33513576.800000001</v>
      </c>
      <c r="CC11" s="21">
        <f t="shared" si="258"/>
        <v>33513576.800000001</v>
      </c>
      <c r="CD11" s="21">
        <f t="shared" si="258"/>
        <v>33513576.800000001</v>
      </c>
      <c r="CE11" s="21">
        <f t="shared" si="258"/>
        <v>33513576.800000001</v>
      </c>
      <c r="CF11" s="21">
        <f t="shared" si="258"/>
        <v>33513576.800000001</v>
      </c>
      <c r="CG11" s="21">
        <f t="shared" si="258"/>
        <v>33513576.800000001</v>
      </c>
      <c r="CH11" s="21">
        <f t="shared" si="258"/>
        <v>33513576.800000001</v>
      </c>
      <c r="CI11" s="21">
        <f t="shared" si="258"/>
        <v>33513576.800000001</v>
      </c>
      <c r="CJ11" s="21">
        <f t="shared" si="258"/>
        <v>33513576.800000001</v>
      </c>
      <c r="CK11" s="21">
        <f t="shared" si="258"/>
        <v>33513576.800000001</v>
      </c>
      <c r="CL11" s="21">
        <f t="shared" si="258"/>
        <v>33513576.800000001</v>
      </c>
      <c r="CM11" s="21">
        <f t="shared" si="258"/>
        <v>33513576.800000001</v>
      </c>
      <c r="CN11" s="21">
        <f t="shared" si="258"/>
        <v>33513576.800000001</v>
      </c>
      <c r="CO11" s="21">
        <f t="shared" si="258"/>
        <v>33513576.800000001</v>
      </c>
      <c r="CP11" s="21">
        <f t="shared" si="258"/>
        <v>33513576.800000001</v>
      </c>
      <c r="CQ11" s="21">
        <f t="shared" si="258"/>
        <v>33513576.800000001</v>
      </c>
      <c r="CR11" s="21">
        <f t="shared" si="258"/>
        <v>33513576.800000001</v>
      </c>
      <c r="CS11" s="21">
        <f t="shared" si="258"/>
        <v>33513576.800000001</v>
      </c>
      <c r="CT11" s="21">
        <f t="shared" si="258"/>
        <v>33513576.800000001</v>
      </c>
      <c r="CU11" s="21">
        <f t="shared" si="258"/>
        <v>33513576.800000001</v>
      </c>
      <c r="CV11" s="21">
        <f t="shared" si="258"/>
        <v>33513576.800000001</v>
      </c>
      <c r="CW11" s="21">
        <f t="shared" si="258"/>
        <v>33513576.800000001</v>
      </c>
      <c r="CX11" s="21">
        <f t="shared" si="258"/>
        <v>33513576.800000001</v>
      </c>
      <c r="CY11" s="21">
        <f t="shared" si="258"/>
        <v>33513576.800000001</v>
      </c>
      <c r="CZ11" s="21">
        <f t="shared" si="258"/>
        <v>33513576.800000001</v>
      </c>
      <c r="DA11" s="21">
        <f t="shared" si="258"/>
        <v>33513576.800000001</v>
      </c>
      <c r="DB11" s="21">
        <f t="shared" si="258"/>
        <v>33513576.800000001</v>
      </c>
      <c r="DC11" s="21">
        <f t="shared" si="258"/>
        <v>33513576.800000001</v>
      </c>
      <c r="DD11" s="21">
        <f t="shared" si="258"/>
        <v>33513576.800000001</v>
      </c>
      <c r="DE11" s="21">
        <f t="shared" si="258"/>
        <v>33513576.800000001</v>
      </c>
      <c r="DF11" s="21">
        <f t="shared" si="258"/>
        <v>33513576.800000001</v>
      </c>
      <c r="DG11" s="21">
        <f t="shared" si="258"/>
        <v>33513576.800000001</v>
      </c>
      <c r="DH11" s="21">
        <f t="shared" si="258"/>
        <v>33513576.800000001</v>
      </c>
      <c r="DI11" s="21">
        <f t="shared" si="258"/>
        <v>33513576.800000001</v>
      </c>
      <c r="DJ11" s="21">
        <f t="shared" si="258"/>
        <v>33513576.800000001</v>
      </c>
      <c r="DK11" s="21">
        <f t="shared" si="258"/>
        <v>33513576.800000001</v>
      </c>
      <c r="DL11" s="21">
        <f t="shared" si="258"/>
        <v>33513576.800000001</v>
      </c>
      <c r="DM11" s="21">
        <f t="shared" si="258"/>
        <v>33513576.800000001</v>
      </c>
      <c r="DN11" s="21">
        <f t="shared" si="258"/>
        <v>33513576.800000001</v>
      </c>
      <c r="DO11" s="21">
        <f t="shared" si="258"/>
        <v>33513576.800000001</v>
      </c>
      <c r="DP11" s="21">
        <f t="shared" si="258"/>
        <v>33513576.800000001</v>
      </c>
      <c r="DQ11" s="21">
        <f t="shared" si="258"/>
        <v>33513576.800000001</v>
      </c>
      <c r="DR11" s="21">
        <f t="shared" si="258"/>
        <v>33513576.800000001</v>
      </c>
      <c r="DS11" s="21">
        <f t="shared" si="258"/>
        <v>33513576.800000001</v>
      </c>
      <c r="DT11" s="21">
        <f t="shared" si="258"/>
        <v>33513576.800000001</v>
      </c>
      <c r="DU11" s="21">
        <f t="shared" si="258"/>
        <v>33513576.800000001</v>
      </c>
      <c r="DV11" s="21">
        <f t="shared" si="258"/>
        <v>33513576.800000001</v>
      </c>
      <c r="DW11" s="21">
        <f t="shared" si="258"/>
        <v>33513576.800000001</v>
      </c>
      <c r="DX11" s="21">
        <f t="shared" si="258"/>
        <v>33513576.800000001</v>
      </c>
      <c r="DY11" s="21">
        <f t="shared" si="258"/>
        <v>33513576.800000001</v>
      </c>
      <c r="DZ11" s="21">
        <f t="shared" si="258"/>
        <v>33513576.800000001</v>
      </c>
      <c r="EA11" s="21">
        <f t="shared" si="258"/>
        <v>33513576.800000001</v>
      </c>
      <c r="EB11" s="21">
        <f t="shared" si="258"/>
        <v>33513576.800000001</v>
      </c>
      <c r="EC11" s="21">
        <f t="shared" si="258"/>
        <v>33513576.800000001</v>
      </c>
      <c r="ED11" s="21">
        <f t="shared" si="258"/>
        <v>33513576.800000001</v>
      </c>
      <c r="EE11" s="21">
        <f t="shared" ref="EE11:GP11" si="259">IF(IF(AND(ISNA(EE$5),ISNA(ED$5)),ED11*(1+$E11),IF(AND(ED$5&gt;0,ISNA(EE$5)),ED11*(1+$E11),EE$5))&gt;$C$20,$C$20,IF(AND(ISNA(EE$5),ISNA(ED$5)),ED11*(1+$E11),IF(AND(ED$5&gt;0,ISNA(EE$5)),ED11*(1+$E11),EE$5)))</f>
        <v>33513576.800000001</v>
      </c>
      <c r="EF11" s="21">
        <f t="shared" si="259"/>
        <v>33513576.800000001</v>
      </c>
      <c r="EG11" s="21">
        <f t="shared" si="259"/>
        <v>33513576.800000001</v>
      </c>
      <c r="EH11" s="21">
        <f t="shared" si="259"/>
        <v>33513576.800000001</v>
      </c>
      <c r="EI11" s="21">
        <f t="shared" si="259"/>
        <v>33513576.800000001</v>
      </c>
      <c r="EJ11" s="21">
        <f t="shared" si="259"/>
        <v>33513576.800000001</v>
      </c>
      <c r="EK11" s="21">
        <f t="shared" si="259"/>
        <v>33513576.800000001</v>
      </c>
      <c r="EL11" s="21">
        <f t="shared" si="259"/>
        <v>33513576.800000001</v>
      </c>
      <c r="EM11" s="21">
        <f t="shared" si="259"/>
        <v>33513576.800000001</v>
      </c>
      <c r="EN11" s="21">
        <f t="shared" si="259"/>
        <v>33513576.800000001</v>
      </c>
      <c r="EO11" s="21">
        <f t="shared" si="259"/>
        <v>33513576.800000001</v>
      </c>
      <c r="EP11" s="21">
        <f t="shared" si="259"/>
        <v>33513576.800000001</v>
      </c>
      <c r="EQ11" s="21">
        <f t="shared" si="259"/>
        <v>33513576.800000001</v>
      </c>
      <c r="ER11" s="21">
        <f t="shared" si="259"/>
        <v>33513576.800000001</v>
      </c>
      <c r="ES11" s="21">
        <f t="shared" si="259"/>
        <v>33513576.800000001</v>
      </c>
      <c r="ET11" s="21">
        <f t="shared" si="259"/>
        <v>33513576.800000001</v>
      </c>
      <c r="EU11" s="21">
        <f t="shared" si="259"/>
        <v>33513576.800000001</v>
      </c>
      <c r="EV11" s="21">
        <f t="shared" si="259"/>
        <v>33513576.800000001</v>
      </c>
      <c r="EW11" s="21">
        <f t="shared" si="259"/>
        <v>33513576.800000001</v>
      </c>
      <c r="EX11" s="21">
        <f t="shared" si="259"/>
        <v>33513576.800000001</v>
      </c>
      <c r="EY11" s="21">
        <f t="shared" si="259"/>
        <v>33513576.800000001</v>
      </c>
      <c r="EZ11" s="21">
        <f t="shared" si="259"/>
        <v>33513576.800000001</v>
      </c>
      <c r="FA11" s="21">
        <f t="shared" si="259"/>
        <v>33513576.800000001</v>
      </c>
      <c r="FB11" s="21">
        <f t="shared" si="259"/>
        <v>33513576.800000001</v>
      </c>
      <c r="FC11" s="21">
        <f t="shared" si="259"/>
        <v>33513576.800000001</v>
      </c>
      <c r="FD11" s="21">
        <f t="shared" si="259"/>
        <v>33513576.800000001</v>
      </c>
      <c r="FE11" s="21">
        <f t="shared" si="259"/>
        <v>33513576.800000001</v>
      </c>
      <c r="FF11" s="21">
        <f t="shared" si="259"/>
        <v>33513576.800000001</v>
      </c>
      <c r="FG11" s="21">
        <f t="shared" si="259"/>
        <v>33513576.800000001</v>
      </c>
      <c r="FH11" s="21">
        <f t="shared" si="259"/>
        <v>33513576.800000001</v>
      </c>
      <c r="FI11" s="21">
        <f t="shared" si="259"/>
        <v>33513576.800000001</v>
      </c>
      <c r="FJ11" s="21">
        <f t="shared" si="259"/>
        <v>33513576.800000001</v>
      </c>
      <c r="FK11" s="21">
        <f t="shared" si="259"/>
        <v>33513576.800000001</v>
      </c>
      <c r="FL11" s="21">
        <f t="shared" si="259"/>
        <v>33513576.800000001</v>
      </c>
      <c r="FM11" s="21">
        <f t="shared" si="259"/>
        <v>33513576.800000001</v>
      </c>
      <c r="FN11" s="21">
        <f t="shared" si="259"/>
        <v>33513576.800000001</v>
      </c>
      <c r="FO11" s="21">
        <f t="shared" si="259"/>
        <v>33513576.800000001</v>
      </c>
      <c r="FP11" s="21">
        <f t="shared" si="259"/>
        <v>33513576.800000001</v>
      </c>
      <c r="FQ11" s="21">
        <f t="shared" si="259"/>
        <v>33513576.800000001</v>
      </c>
      <c r="FR11" s="21">
        <f t="shared" si="259"/>
        <v>33513576.800000001</v>
      </c>
      <c r="FS11" s="21">
        <f t="shared" si="259"/>
        <v>33513576.800000001</v>
      </c>
      <c r="FT11" s="21">
        <f t="shared" si="259"/>
        <v>33513576.800000001</v>
      </c>
      <c r="FU11" s="21">
        <f t="shared" si="259"/>
        <v>33513576.800000001</v>
      </c>
      <c r="FV11" s="21">
        <f t="shared" si="259"/>
        <v>33513576.800000001</v>
      </c>
      <c r="FW11" s="21">
        <f t="shared" si="259"/>
        <v>33513576.800000001</v>
      </c>
      <c r="FX11" s="21">
        <f t="shared" si="259"/>
        <v>33513576.800000001</v>
      </c>
      <c r="FY11" s="21">
        <f t="shared" si="259"/>
        <v>33513576.800000001</v>
      </c>
      <c r="FZ11" s="21">
        <f t="shared" si="259"/>
        <v>33513576.800000001</v>
      </c>
      <c r="GA11" s="21">
        <f t="shared" si="259"/>
        <v>33513576.800000001</v>
      </c>
      <c r="GB11" s="21">
        <f t="shared" si="259"/>
        <v>33513576.800000001</v>
      </c>
      <c r="GC11" s="21">
        <f t="shared" si="259"/>
        <v>33513576.800000001</v>
      </c>
      <c r="GD11" s="21">
        <f t="shared" si="259"/>
        <v>33513576.800000001</v>
      </c>
      <c r="GE11" s="21">
        <f t="shared" si="259"/>
        <v>33513576.800000001</v>
      </c>
      <c r="GF11" s="21">
        <f t="shared" si="259"/>
        <v>33513576.800000001</v>
      </c>
      <c r="GG11" s="21">
        <f t="shared" si="259"/>
        <v>33513576.800000001</v>
      </c>
      <c r="GH11" s="21">
        <f t="shared" si="259"/>
        <v>33513576.800000001</v>
      </c>
      <c r="GI11" s="21">
        <f t="shared" si="259"/>
        <v>33513576.800000001</v>
      </c>
      <c r="GJ11" s="21">
        <f t="shared" si="259"/>
        <v>33513576.800000001</v>
      </c>
      <c r="GK11" s="21">
        <f t="shared" si="259"/>
        <v>33513576.800000001</v>
      </c>
      <c r="GL11" s="21">
        <f t="shared" si="259"/>
        <v>33513576.800000001</v>
      </c>
      <c r="GM11" s="21">
        <f t="shared" si="259"/>
        <v>33513576.800000001</v>
      </c>
      <c r="GN11" s="21">
        <f t="shared" si="259"/>
        <v>33513576.800000001</v>
      </c>
      <c r="GO11" s="21">
        <f t="shared" si="259"/>
        <v>33513576.800000001</v>
      </c>
      <c r="GP11" s="21">
        <f t="shared" si="259"/>
        <v>33513576.800000001</v>
      </c>
      <c r="GQ11" s="21">
        <f t="shared" ref="GQ11:IN11" si="260">IF(IF(AND(ISNA(GQ$5),ISNA(GP$5)),GP11*(1+$E11),IF(AND(GP$5&gt;0,ISNA(GQ$5)),GP11*(1+$E11),GQ$5))&gt;$C$20,$C$20,IF(AND(ISNA(GQ$5),ISNA(GP$5)),GP11*(1+$E11),IF(AND(GP$5&gt;0,ISNA(GQ$5)),GP11*(1+$E11),GQ$5)))</f>
        <v>33513576.800000001</v>
      </c>
      <c r="GR11" s="21">
        <f t="shared" si="260"/>
        <v>33513576.800000001</v>
      </c>
      <c r="GS11" s="21">
        <f t="shared" si="260"/>
        <v>33513576.800000001</v>
      </c>
      <c r="GT11" s="21">
        <f t="shared" si="260"/>
        <v>33513576.800000001</v>
      </c>
      <c r="GU11" s="21">
        <f t="shared" si="260"/>
        <v>33513576.800000001</v>
      </c>
      <c r="GV11" s="21">
        <f t="shared" si="260"/>
        <v>33513576.800000001</v>
      </c>
      <c r="GW11" s="21">
        <f t="shared" si="260"/>
        <v>33513576.800000001</v>
      </c>
      <c r="GX11" s="21">
        <f t="shared" si="260"/>
        <v>33513576.800000001</v>
      </c>
      <c r="GY11" s="21">
        <f t="shared" si="260"/>
        <v>33513576.800000001</v>
      </c>
      <c r="GZ11" s="21">
        <f t="shared" si="260"/>
        <v>33513576.800000001</v>
      </c>
      <c r="HA11" s="21">
        <f t="shared" si="260"/>
        <v>33513576.800000001</v>
      </c>
      <c r="HB11" s="21">
        <f t="shared" si="260"/>
        <v>33513576.800000001</v>
      </c>
      <c r="HC11" s="21">
        <f t="shared" si="260"/>
        <v>33513576.800000001</v>
      </c>
      <c r="HD11" s="21">
        <f t="shared" si="260"/>
        <v>33513576.800000001</v>
      </c>
      <c r="HE11" s="21">
        <f t="shared" si="260"/>
        <v>33513576.800000001</v>
      </c>
      <c r="HF11" s="21">
        <f t="shared" si="260"/>
        <v>33513576.800000001</v>
      </c>
      <c r="HG11" s="21">
        <f t="shared" si="260"/>
        <v>33513576.800000001</v>
      </c>
      <c r="HH11" s="21">
        <f t="shared" si="260"/>
        <v>33513576.800000001</v>
      </c>
      <c r="HI11" s="21">
        <f t="shared" si="260"/>
        <v>33513576.800000001</v>
      </c>
      <c r="HJ11" s="21">
        <f t="shared" si="260"/>
        <v>33513576.800000001</v>
      </c>
      <c r="HK11" s="21">
        <f t="shared" si="260"/>
        <v>33513576.800000001</v>
      </c>
      <c r="HL11" s="21">
        <f t="shared" si="260"/>
        <v>33513576.800000001</v>
      </c>
      <c r="HM11" s="21">
        <f t="shared" si="260"/>
        <v>33513576.800000001</v>
      </c>
      <c r="HN11" s="21">
        <f t="shared" si="260"/>
        <v>33513576.800000001</v>
      </c>
      <c r="HO11" s="21">
        <f t="shared" si="260"/>
        <v>33513576.800000001</v>
      </c>
      <c r="HP11" s="21">
        <f t="shared" si="260"/>
        <v>33513576.800000001</v>
      </c>
      <c r="HQ11" s="21">
        <f t="shared" si="260"/>
        <v>33513576.800000001</v>
      </c>
      <c r="HR11" s="21">
        <f t="shared" si="260"/>
        <v>33513576.800000001</v>
      </c>
      <c r="HS11" s="21">
        <f t="shared" si="260"/>
        <v>33513576.800000001</v>
      </c>
      <c r="HT11" s="21">
        <f t="shared" si="260"/>
        <v>33513576.800000001</v>
      </c>
      <c r="HU11" s="21">
        <f t="shared" si="260"/>
        <v>33513576.800000001</v>
      </c>
      <c r="HV11" s="21">
        <f t="shared" si="260"/>
        <v>33513576.800000001</v>
      </c>
      <c r="HW11" s="21">
        <f t="shared" si="260"/>
        <v>33513576.800000001</v>
      </c>
      <c r="HX11" s="21">
        <f t="shared" si="260"/>
        <v>33513576.800000001</v>
      </c>
      <c r="HY11" s="21">
        <f t="shared" si="260"/>
        <v>33513576.800000001</v>
      </c>
      <c r="HZ11" s="21">
        <f t="shared" si="260"/>
        <v>33513576.800000001</v>
      </c>
      <c r="IA11" s="21">
        <f t="shared" si="260"/>
        <v>33513576.800000001</v>
      </c>
      <c r="IB11" s="21">
        <f t="shared" si="260"/>
        <v>33513576.800000001</v>
      </c>
      <c r="IC11" s="21">
        <f t="shared" si="260"/>
        <v>33513576.800000001</v>
      </c>
      <c r="ID11" s="21">
        <f t="shared" si="260"/>
        <v>33513576.800000001</v>
      </c>
      <c r="IE11" s="21">
        <f t="shared" si="260"/>
        <v>33513576.800000001</v>
      </c>
      <c r="IF11" s="21">
        <f t="shared" si="260"/>
        <v>33513576.800000001</v>
      </c>
      <c r="IG11" s="21">
        <f t="shared" si="260"/>
        <v>33513576.800000001</v>
      </c>
      <c r="IH11" s="21">
        <f t="shared" si="260"/>
        <v>33513576.800000001</v>
      </c>
      <c r="II11" s="21">
        <f t="shared" si="260"/>
        <v>33513576.800000001</v>
      </c>
      <c r="IJ11" s="21">
        <f t="shared" si="260"/>
        <v>33513576.800000001</v>
      </c>
      <c r="IK11" s="21">
        <f t="shared" si="260"/>
        <v>33513576.800000001</v>
      </c>
      <c r="IL11" s="21">
        <f t="shared" si="260"/>
        <v>33513576.800000001</v>
      </c>
      <c r="IM11" s="21">
        <f t="shared" si="260"/>
        <v>33513576.800000001</v>
      </c>
      <c r="IN11" s="21">
        <f t="shared" si="260"/>
        <v>33513576.800000001</v>
      </c>
    </row>
    <row r="12" spans="2:248" x14ac:dyDescent="0.3">
      <c r="F12" s="19" t="s">
        <v>497</v>
      </c>
      <c r="G12" s="21">
        <f t="shared" ref="G12:R12" si="261">G11</f>
        <v>130</v>
      </c>
      <c r="H12" s="21">
        <f t="shared" si="261"/>
        <v>159</v>
      </c>
      <c r="I12" s="21">
        <f t="shared" si="261"/>
        <v>196</v>
      </c>
      <c r="J12" s="21">
        <f t="shared" si="261"/>
        <v>262</v>
      </c>
      <c r="K12" s="21">
        <f t="shared" si="261"/>
        <v>482</v>
      </c>
      <c r="L12" s="21">
        <f t="shared" si="261"/>
        <v>670</v>
      </c>
      <c r="M12" s="21">
        <f t="shared" si="261"/>
        <v>799</v>
      </c>
      <c r="N12" s="21">
        <f t="shared" si="261"/>
        <v>1040</v>
      </c>
      <c r="O12" s="21">
        <f t="shared" si="261"/>
        <v>1176</v>
      </c>
      <c r="P12" s="21">
        <f t="shared" si="261"/>
        <v>1457</v>
      </c>
      <c r="Q12" s="21">
        <f t="shared" si="261"/>
        <v>1908</v>
      </c>
      <c r="R12" s="21">
        <f t="shared" si="261"/>
        <v>2078</v>
      </c>
      <c r="S12" s="21">
        <f>S11-G11</f>
        <v>3545</v>
      </c>
      <c r="T12" s="21">
        <f t="shared" ref="T12" si="262">T11-H11</f>
        <v>4426</v>
      </c>
      <c r="U12" s="21">
        <f t="shared" ref="U12" si="263">U11-I11</f>
        <v>5599</v>
      </c>
      <c r="V12" s="21">
        <f t="shared" ref="V12" si="264">V11-J11</f>
        <v>7010</v>
      </c>
      <c r="W12" s="21">
        <f t="shared" ref="W12" si="265">W11-K11</f>
        <v>8775</v>
      </c>
      <c r="X12" s="21">
        <f t="shared" ref="X12" si="266">X11-L11</f>
        <v>11657</v>
      </c>
      <c r="Y12" s="21">
        <f t="shared" ref="Y12" si="267">Y11-M11</f>
        <v>14521</v>
      </c>
      <c r="Z12" s="21">
        <f t="shared" ref="Z12" si="268">Z11-N11</f>
        <v>18110</v>
      </c>
      <c r="AA12" s="21">
        <f t="shared" ref="AA12" si="269">AA11-O11</f>
        <v>22761.5</v>
      </c>
      <c r="AB12" s="21">
        <f t="shared" ref="AB12" si="270">AB11-P11</f>
        <v>28464.875</v>
      </c>
      <c r="AC12" s="21">
        <f t="shared" ref="AC12" si="271">AC11-Q11</f>
        <v>35494.34375</v>
      </c>
      <c r="AD12" s="21">
        <f t="shared" ref="AD12" si="272">AD11-R11</f>
        <v>44674.9296875</v>
      </c>
      <c r="AE12" s="21">
        <f t="shared" ref="AE12" si="273">AE11-S11</f>
        <v>54766.162109375</v>
      </c>
      <c r="AF12" s="21">
        <f t="shared" ref="AF12" si="274">AF11-T11</f>
        <v>68466.45263671875</v>
      </c>
      <c r="AG12" s="21">
        <f t="shared" ref="AG12" si="275">AG11-U11</f>
        <v>85519.315795898438</v>
      </c>
      <c r="AH12" s="21">
        <f t="shared" ref="AH12" si="276">AH11-V11</f>
        <v>106870.89474487305</v>
      </c>
      <c r="AI12" s="21">
        <f t="shared" ref="AI12" si="277">AI11-W11</f>
        <v>133421.61843109131</v>
      </c>
      <c r="AJ12" s="21">
        <f t="shared" ref="AJ12" si="278">AJ11-X11</f>
        <v>166021.27303886414</v>
      </c>
      <c r="AK12" s="21">
        <f t="shared" ref="AK12" si="279">AK11-Y11</f>
        <v>207615.34129858017</v>
      </c>
      <c r="AL12" s="21">
        <f t="shared" ref="AL12" si="280">AL11-Z11</f>
        <v>259519.17662322521</v>
      </c>
      <c r="AM12" s="21">
        <f t="shared" ref="AM12" si="281">AM11-AA11</f>
        <v>324398.97077903152</v>
      </c>
      <c r="AN12" s="21">
        <f t="shared" ref="AN12" si="282">AN11-AB11</f>
        <v>405498.71347378939</v>
      </c>
      <c r="AO12" s="21">
        <f t="shared" ref="AO12" si="283">AO11-AC11</f>
        <v>506873.39184223674</v>
      </c>
      <c r="AP12" s="21">
        <f t="shared" ref="AP12" si="284">AP11-AD11</f>
        <v>633591.73980279593</v>
      </c>
      <c r="AQ12" s="21">
        <f t="shared" ref="AQ12" si="285">AQ11-AE11</f>
        <v>791989.67475349491</v>
      </c>
      <c r="AR12" s="21">
        <f t="shared" ref="AR12" si="286">AR11-AF11</f>
        <v>989987.09344186867</v>
      </c>
      <c r="AS12" s="21">
        <f t="shared" ref="AS12" si="287">AS11-AG11</f>
        <v>1237483.8668023357</v>
      </c>
      <c r="AT12" s="21">
        <f t="shared" ref="AT12" si="288">AT11-AH11</f>
        <v>1546854.8335029196</v>
      </c>
      <c r="AU12" s="21">
        <f t="shared" ref="AU12" si="289">AU11-AI11</f>
        <v>1933568.5418786495</v>
      </c>
      <c r="AV12" s="21">
        <f t="shared" ref="AV12" si="290">AV11-AJ11</f>
        <v>2416960.677348312</v>
      </c>
      <c r="AW12" s="21">
        <f t="shared" ref="AW12" si="291">AW11-AK11</f>
        <v>3021200.84668539</v>
      </c>
      <c r="AX12" s="21">
        <f t="shared" ref="AX12" si="292">AX11-AL11</f>
        <v>3776501.0583567377</v>
      </c>
      <c r="AY12" s="21">
        <f t="shared" ref="AY12" si="293">AY11-AM11</f>
        <v>4720626.3229459226</v>
      </c>
      <c r="AZ12" s="21">
        <f t="shared" ref="AZ12" si="294">AZ11-AN11</f>
        <v>5900782.9036824033</v>
      </c>
      <c r="BA12" s="21">
        <f t="shared" ref="BA12" si="295">BA11-AO11</f>
        <v>7375978.6296030041</v>
      </c>
      <c r="BB12" s="21">
        <f t="shared" ref="BB12" si="296">BB11-AP11</f>
        <v>9219973.2870037556</v>
      </c>
      <c r="BC12" s="21">
        <f t="shared" ref="BC12" si="297">BC11-AQ11</f>
        <v>11524966.608754694</v>
      </c>
      <c r="BD12" s="21">
        <f t="shared" ref="BD12" si="298">BD11-AR11</f>
        <v>14406208.260943368</v>
      </c>
      <c r="BE12" s="21">
        <f t="shared" ref="BE12" si="299">BE11-AS11</f>
        <v>18007760.32617921</v>
      </c>
      <c r="BF12" s="21">
        <f t="shared" ref="BF12" si="300">BF11-AT11</f>
        <v>22509700.407724012</v>
      </c>
      <c r="BG12" s="21">
        <f t="shared" ref="BG12" si="301">BG11-AU11</f>
        <v>28137125.509655014</v>
      </c>
      <c r="BH12" s="21">
        <f t="shared" ref="BH12" si="302">BH11-AV11</f>
        <v>30918267.849612825</v>
      </c>
      <c r="BI12" s="21">
        <f t="shared" ref="BI12" si="303">BI11-AW11</f>
        <v>30269440.61201603</v>
      </c>
      <c r="BJ12" s="21">
        <f t="shared" ref="BJ12" si="304">BJ11-AX11</f>
        <v>29458406.56502004</v>
      </c>
      <c r="BK12" s="21">
        <f t="shared" ref="BK12" si="305">BK11-AY11</f>
        <v>28444614.006275047</v>
      </c>
      <c r="BL12" s="21">
        <f t="shared" ref="BL12" si="306">BL11-AZ11</f>
        <v>27177373.307843808</v>
      </c>
      <c r="BM12" s="21">
        <f t="shared" ref="BM12" si="307">BM11-BA11</f>
        <v>25593322.43480476</v>
      </c>
      <c r="BN12" s="21">
        <f t="shared" ref="BN12" si="308">BN11-BB11</f>
        <v>23613258.843505949</v>
      </c>
      <c r="BO12" s="21">
        <f t="shared" ref="BO12" si="309">BO11-BC11</f>
        <v>21138179.354382437</v>
      </c>
      <c r="BP12" s="21">
        <f t="shared" ref="BP12" si="310">BP11-BD11</f>
        <v>18044329.992978044</v>
      </c>
      <c r="BQ12" s="21">
        <f t="shared" ref="BQ12" si="311">BQ11-BE11</f>
        <v>14177018.291222557</v>
      </c>
      <c r="BR12" s="21">
        <f t="shared" ref="BR12" si="312">BR11-BF11</f>
        <v>9342878.6640281975</v>
      </c>
      <c r="BS12" s="21">
        <f t="shared" ref="BS12" si="313">BS11-BG11</f>
        <v>3300204.1300352477</v>
      </c>
      <c r="BT12" s="21">
        <f t="shared" ref="BT12" si="314">BT11-BH11</f>
        <v>0</v>
      </c>
      <c r="BU12" s="21">
        <f t="shared" ref="BU12" si="315">BU11-BI11</f>
        <v>0</v>
      </c>
      <c r="BV12" s="21">
        <f t="shared" ref="BV12" si="316">BV11-BJ11</f>
        <v>0</v>
      </c>
      <c r="BW12" s="21">
        <f t="shared" ref="BW12" si="317">BW11-BK11</f>
        <v>0</v>
      </c>
      <c r="BX12" s="21">
        <f t="shared" ref="BX12" si="318">BX11-BL11</f>
        <v>0</v>
      </c>
      <c r="BY12" s="21">
        <f t="shared" ref="BY12" si="319">BY11-BM11</f>
        <v>0</v>
      </c>
      <c r="BZ12" s="21">
        <f t="shared" ref="BZ12" si="320">BZ11-BN11</f>
        <v>0</v>
      </c>
      <c r="CA12" s="21">
        <f t="shared" ref="CA12" si="321">CA11-BO11</f>
        <v>0</v>
      </c>
      <c r="CB12" s="21">
        <f t="shared" ref="CB12" si="322">CB11-BP11</f>
        <v>0</v>
      </c>
      <c r="CC12" s="21">
        <f t="shared" ref="CC12" si="323">CC11-BQ11</f>
        <v>0</v>
      </c>
      <c r="CD12" s="21">
        <f t="shared" ref="CD12" si="324">CD11-BR11</f>
        <v>0</v>
      </c>
      <c r="CE12" s="21">
        <f t="shared" ref="CE12" si="325">CE11-BS11</f>
        <v>0</v>
      </c>
      <c r="CF12" s="21">
        <f t="shared" ref="CF12" si="326">CF11-BT11</f>
        <v>0</v>
      </c>
      <c r="CG12" s="21">
        <f t="shared" ref="CG12" si="327">CG11-BU11</f>
        <v>0</v>
      </c>
      <c r="CH12" s="21">
        <f t="shared" ref="CH12" si="328">CH11-BV11</f>
        <v>0</v>
      </c>
      <c r="CI12" s="21">
        <f t="shared" ref="CI12" si="329">CI11-BW11</f>
        <v>0</v>
      </c>
      <c r="CJ12" s="21">
        <f t="shared" ref="CJ12" si="330">CJ11-BX11</f>
        <v>0</v>
      </c>
      <c r="CK12" s="21">
        <f t="shared" ref="CK12" si="331">CK11-BY11</f>
        <v>0</v>
      </c>
      <c r="CL12" s="21">
        <f t="shared" ref="CL12" si="332">CL11-BZ11</f>
        <v>0</v>
      </c>
      <c r="CM12" s="21">
        <f t="shared" ref="CM12" si="333">CM11-CA11</f>
        <v>0</v>
      </c>
      <c r="CN12" s="21">
        <f t="shared" ref="CN12" si="334">CN11-CB11</f>
        <v>0</v>
      </c>
      <c r="CO12" s="21">
        <f t="shared" ref="CO12" si="335">CO11-CC11</f>
        <v>0</v>
      </c>
      <c r="CP12" s="21">
        <f t="shared" ref="CP12" si="336">CP11-CD11</f>
        <v>0</v>
      </c>
      <c r="CQ12" s="21">
        <f t="shared" ref="CQ12" si="337">CQ11-CE11</f>
        <v>0</v>
      </c>
      <c r="CR12" s="21">
        <f t="shared" ref="CR12" si="338">CR11-CF11</f>
        <v>0</v>
      </c>
      <c r="CS12" s="21">
        <f t="shared" ref="CS12" si="339">CS11-CG11</f>
        <v>0</v>
      </c>
      <c r="CT12" s="21">
        <f t="shared" ref="CT12" si="340">CT11-CH11</f>
        <v>0</v>
      </c>
      <c r="CU12" s="21">
        <f t="shared" ref="CU12" si="341">CU11-CI11</f>
        <v>0</v>
      </c>
      <c r="CV12" s="21">
        <f t="shared" ref="CV12" si="342">CV11-CJ11</f>
        <v>0</v>
      </c>
      <c r="CW12" s="21">
        <f t="shared" ref="CW12" si="343">CW11-CK11</f>
        <v>0</v>
      </c>
      <c r="CX12" s="21">
        <f t="shared" ref="CX12" si="344">CX11-CL11</f>
        <v>0</v>
      </c>
      <c r="CY12" s="21">
        <f t="shared" ref="CY12" si="345">CY11-CM11</f>
        <v>0</v>
      </c>
      <c r="CZ12" s="21">
        <f t="shared" ref="CZ12" si="346">CZ11-CN11</f>
        <v>0</v>
      </c>
      <c r="DA12" s="21">
        <f t="shared" ref="DA12" si="347">DA11-CO11</f>
        <v>0</v>
      </c>
      <c r="DB12" s="21">
        <f t="shared" ref="DB12" si="348">DB11-CP11</f>
        <v>0</v>
      </c>
      <c r="DC12" s="21">
        <f t="shared" ref="DC12" si="349">DC11-CQ11</f>
        <v>0</v>
      </c>
      <c r="DD12" s="21">
        <f t="shared" ref="DD12" si="350">DD11-CR11</f>
        <v>0</v>
      </c>
      <c r="DE12" s="21">
        <f t="shared" ref="DE12" si="351">DE11-CS11</f>
        <v>0</v>
      </c>
      <c r="DF12" s="21">
        <f t="shared" ref="DF12" si="352">DF11-CT11</f>
        <v>0</v>
      </c>
      <c r="DG12" s="21">
        <f t="shared" ref="DG12" si="353">DG11-CU11</f>
        <v>0</v>
      </c>
      <c r="DH12" s="21">
        <f t="shared" ref="DH12" si="354">DH11-CV11</f>
        <v>0</v>
      </c>
      <c r="DI12" s="21">
        <f t="shared" ref="DI12" si="355">DI11-CW11</f>
        <v>0</v>
      </c>
      <c r="DJ12" s="21">
        <f t="shared" ref="DJ12" si="356">DJ11-CX11</f>
        <v>0</v>
      </c>
      <c r="DK12" s="21">
        <f t="shared" ref="DK12" si="357">DK11-CY11</f>
        <v>0</v>
      </c>
      <c r="DL12" s="21">
        <f t="shared" ref="DL12" si="358">DL11-CZ11</f>
        <v>0</v>
      </c>
      <c r="DM12" s="21">
        <f t="shared" ref="DM12" si="359">DM11-DA11</f>
        <v>0</v>
      </c>
      <c r="DN12" s="21">
        <f t="shared" ref="DN12" si="360">DN11-DB11</f>
        <v>0</v>
      </c>
      <c r="DO12" s="21">
        <f t="shared" ref="DO12" si="361">DO11-DC11</f>
        <v>0</v>
      </c>
      <c r="DP12" s="21">
        <f t="shared" ref="DP12" si="362">DP11-DD11</f>
        <v>0</v>
      </c>
      <c r="DQ12" s="21">
        <f t="shared" ref="DQ12" si="363">DQ11-DE11</f>
        <v>0</v>
      </c>
      <c r="DR12" s="21">
        <f t="shared" ref="DR12" si="364">DR11-DF11</f>
        <v>0</v>
      </c>
      <c r="DS12" s="21">
        <f t="shared" ref="DS12" si="365">DS11-DG11</f>
        <v>0</v>
      </c>
      <c r="DT12" s="21">
        <f t="shared" ref="DT12" si="366">DT11-DH11</f>
        <v>0</v>
      </c>
      <c r="DU12" s="21">
        <f t="shared" ref="DU12" si="367">DU11-DI11</f>
        <v>0</v>
      </c>
      <c r="DV12" s="21">
        <f t="shared" ref="DV12" si="368">DV11-DJ11</f>
        <v>0</v>
      </c>
      <c r="DW12" s="21">
        <f t="shared" ref="DW12" si="369">DW11-DK11</f>
        <v>0</v>
      </c>
      <c r="DX12" s="21">
        <f t="shared" ref="DX12" si="370">DX11-DL11</f>
        <v>0</v>
      </c>
      <c r="DY12" s="21">
        <f t="shared" ref="DY12" si="371">DY11-DM11</f>
        <v>0</v>
      </c>
      <c r="DZ12" s="21">
        <f t="shared" ref="DZ12" si="372">DZ11-DN11</f>
        <v>0</v>
      </c>
      <c r="EA12" s="21">
        <f t="shared" ref="EA12" si="373">EA11-DO11</f>
        <v>0</v>
      </c>
      <c r="EB12" s="21">
        <f t="shared" ref="EB12" si="374">EB11-DP11</f>
        <v>0</v>
      </c>
      <c r="EC12" s="21">
        <f t="shared" ref="EC12" si="375">EC11-DQ11</f>
        <v>0</v>
      </c>
      <c r="ED12" s="21">
        <f t="shared" ref="ED12" si="376">ED11-DR11</f>
        <v>0</v>
      </c>
      <c r="EE12" s="21">
        <f t="shared" ref="EE12" si="377">EE11-DS11</f>
        <v>0</v>
      </c>
      <c r="EF12" s="21">
        <f t="shared" ref="EF12" si="378">EF11-DT11</f>
        <v>0</v>
      </c>
      <c r="EG12" s="21">
        <f t="shared" ref="EG12" si="379">EG11-DU11</f>
        <v>0</v>
      </c>
      <c r="EH12" s="21">
        <f t="shared" ref="EH12" si="380">EH11-DV11</f>
        <v>0</v>
      </c>
      <c r="EI12" s="21">
        <f t="shared" ref="EI12" si="381">EI11-DW11</f>
        <v>0</v>
      </c>
      <c r="EJ12" s="21">
        <f t="shared" ref="EJ12" si="382">EJ11-DX11</f>
        <v>0</v>
      </c>
      <c r="EK12" s="21">
        <f t="shared" ref="EK12" si="383">EK11-DY11</f>
        <v>0</v>
      </c>
      <c r="EL12" s="21">
        <f t="shared" ref="EL12" si="384">EL11-DZ11</f>
        <v>0</v>
      </c>
      <c r="EM12" s="21">
        <f t="shared" ref="EM12" si="385">EM11-EA11</f>
        <v>0</v>
      </c>
      <c r="EN12" s="21">
        <f t="shared" ref="EN12" si="386">EN11-EB11</f>
        <v>0</v>
      </c>
      <c r="EO12" s="21">
        <f t="shared" ref="EO12" si="387">EO11-EC11</f>
        <v>0</v>
      </c>
      <c r="EP12" s="21">
        <f t="shared" ref="EP12" si="388">EP11-ED11</f>
        <v>0</v>
      </c>
      <c r="EQ12" s="21">
        <f t="shared" ref="EQ12" si="389">EQ11-EE11</f>
        <v>0</v>
      </c>
      <c r="ER12" s="21">
        <f t="shared" ref="ER12" si="390">ER11-EF11</f>
        <v>0</v>
      </c>
      <c r="ES12" s="21">
        <f t="shared" ref="ES12" si="391">ES11-EG11</f>
        <v>0</v>
      </c>
      <c r="ET12" s="21">
        <f t="shared" ref="ET12" si="392">ET11-EH11</f>
        <v>0</v>
      </c>
      <c r="EU12" s="21">
        <f t="shared" ref="EU12" si="393">EU11-EI11</f>
        <v>0</v>
      </c>
      <c r="EV12" s="21">
        <f t="shared" ref="EV12" si="394">EV11-EJ11</f>
        <v>0</v>
      </c>
      <c r="EW12" s="21">
        <f t="shared" ref="EW12" si="395">EW11-EK11</f>
        <v>0</v>
      </c>
      <c r="EX12" s="21">
        <f t="shared" ref="EX12" si="396">EX11-EL11</f>
        <v>0</v>
      </c>
      <c r="EY12" s="21">
        <f t="shared" ref="EY12" si="397">EY11-EM11</f>
        <v>0</v>
      </c>
      <c r="EZ12" s="21">
        <f t="shared" ref="EZ12" si="398">EZ11-EN11</f>
        <v>0</v>
      </c>
      <c r="FA12" s="21">
        <f t="shared" ref="FA12" si="399">FA11-EO11</f>
        <v>0</v>
      </c>
      <c r="FB12" s="21">
        <f t="shared" ref="FB12" si="400">FB11-EP11</f>
        <v>0</v>
      </c>
      <c r="FC12" s="21">
        <f t="shared" ref="FC12" si="401">FC11-EQ11</f>
        <v>0</v>
      </c>
      <c r="FD12" s="21">
        <f t="shared" ref="FD12" si="402">FD11-ER11</f>
        <v>0</v>
      </c>
      <c r="FE12" s="21">
        <f t="shared" ref="FE12" si="403">FE11-ES11</f>
        <v>0</v>
      </c>
      <c r="FF12" s="21">
        <f t="shared" ref="FF12" si="404">FF11-ET11</f>
        <v>0</v>
      </c>
      <c r="FG12" s="21">
        <f t="shared" ref="FG12" si="405">FG11-EU11</f>
        <v>0</v>
      </c>
      <c r="FH12" s="21">
        <f t="shared" ref="FH12" si="406">FH11-EV11</f>
        <v>0</v>
      </c>
      <c r="FI12" s="21">
        <f t="shared" ref="FI12" si="407">FI11-EW11</f>
        <v>0</v>
      </c>
      <c r="FJ12" s="21">
        <f t="shared" ref="FJ12" si="408">FJ11-EX11</f>
        <v>0</v>
      </c>
      <c r="FK12" s="21">
        <f t="shared" ref="FK12" si="409">FK11-EY11</f>
        <v>0</v>
      </c>
      <c r="FL12" s="21">
        <f t="shared" ref="FL12" si="410">FL11-EZ11</f>
        <v>0</v>
      </c>
      <c r="FM12" s="21">
        <f t="shared" ref="FM12" si="411">FM11-FA11</f>
        <v>0</v>
      </c>
      <c r="FN12" s="21">
        <f t="shared" ref="FN12" si="412">FN11-FB11</f>
        <v>0</v>
      </c>
      <c r="FO12" s="21">
        <f t="shared" ref="FO12" si="413">FO11-FC11</f>
        <v>0</v>
      </c>
      <c r="FP12" s="21">
        <f t="shared" ref="FP12" si="414">FP11-FD11</f>
        <v>0</v>
      </c>
      <c r="FQ12" s="21">
        <f t="shared" ref="FQ12" si="415">FQ11-FE11</f>
        <v>0</v>
      </c>
      <c r="FR12" s="21">
        <f t="shared" ref="FR12" si="416">FR11-FF11</f>
        <v>0</v>
      </c>
      <c r="FS12" s="21">
        <f t="shared" ref="FS12" si="417">FS11-FG11</f>
        <v>0</v>
      </c>
      <c r="FT12" s="21">
        <f t="shared" ref="FT12" si="418">FT11-FH11</f>
        <v>0</v>
      </c>
      <c r="FU12" s="21">
        <f t="shared" ref="FU12" si="419">FU11-FI11</f>
        <v>0</v>
      </c>
      <c r="FV12" s="21">
        <f t="shared" ref="FV12" si="420">FV11-FJ11</f>
        <v>0</v>
      </c>
      <c r="FW12" s="21">
        <f t="shared" ref="FW12" si="421">FW11-FK11</f>
        <v>0</v>
      </c>
      <c r="FX12" s="21">
        <f t="shared" ref="FX12" si="422">FX11-FL11</f>
        <v>0</v>
      </c>
      <c r="FY12" s="21">
        <f t="shared" ref="FY12" si="423">FY11-FM11</f>
        <v>0</v>
      </c>
      <c r="FZ12" s="21">
        <f t="shared" ref="FZ12" si="424">FZ11-FN11</f>
        <v>0</v>
      </c>
      <c r="GA12" s="21">
        <f t="shared" ref="GA12" si="425">GA11-FO11</f>
        <v>0</v>
      </c>
      <c r="GB12" s="21">
        <f t="shared" ref="GB12" si="426">GB11-FP11</f>
        <v>0</v>
      </c>
      <c r="GC12" s="21">
        <f t="shared" ref="GC12" si="427">GC11-FQ11</f>
        <v>0</v>
      </c>
      <c r="GD12" s="21">
        <f t="shared" ref="GD12" si="428">GD11-FR11</f>
        <v>0</v>
      </c>
      <c r="GE12" s="21">
        <f t="shared" ref="GE12" si="429">GE11-FS11</f>
        <v>0</v>
      </c>
      <c r="GF12" s="21">
        <f t="shared" ref="GF12" si="430">GF11-FT11</f>
        <v>0</v>
      </c>
      <c r="GG12" s="21">
        <f t="shared" ref="GG12" si="431">GG11-FU11</f>
        <v>0</v>
      </c>
      <c r="GH12" s="21">
        <f t="shared" ref="GH12" si="432">GH11-FV11</f>
        <v>0</v>
      </c>
      <c r="GI12" s="21">
        <f t="shared" ref="GI12" si="433">GI11-FW11</f>
        <v>0</v>
      </c>
      <c r="GJ12" s="21">
        <f t="shared" ref="GJ12" si="434">GJ11-FX11</f>
        <v>0</v>
      </c>
      <c r="GK12" s="21">
        <f t="shared" ref="GK12" si="435">GK11-FY11</f>
        <v>0</v>
      </c>
      <c r="GL12" s="21">
        <f t="shared" ref="GL12" si="436">GL11-FZ11</f>
        <v>0</v>
      </c>
      <c r="GM12" s="21">
        <f t="shared" ref="GM12" si="437">GM11-GA11</f>
        <v>0</v>
      </c>
      <c r="GN12" s="21">
        <f t="shared" ref="GN12" si="438">GN11-GB11</f>
        <v>0</v>
      </c>
      <c r="GO12" s="21">
        <f t="shared" ref="GO12" si="439">GO11-GC11</f>
        <v>0</v>
      </c>
      <c r="GP12" s="21">
        <f t="shared" ref="GP12" si="440">GP11-GD11</f>
        <v>0</v>
      </c>
      <c r="GQ12" s="21">
        <f t="shared" ref="GQ12" si="441">GQ11-GE11</f>
        <v>0</v>
      </c>
      <c r="GR12" s="21">
        <f t="shared" ref="GR12" si="442">GR11-GF11</f>
        <v>0</v>
      </c>
      <c r="GS12" s="21">
        <f t="shared" ref="GS12" si="443">GS11-GG11</f>
        <v>0</v>
      </c>
      <c r="GT12" s="21">
        <f t="shared" ref="GT12" si="444">GT11-GH11</f>
        <v>0</v>
      </c>
      <c r="GU12" s="21">
        <f t="shared" ref="GU12" si="445">GU11-GI11</f>
        <v>0</v>
      </c>
      <c r="GV12" s="21">
        <f t="shared" ref="GV12" si="446">GV11-GJ11</f>
        <v>0</v>
      </c>
      <c r="GW12" s="21">
        <f t="shared" ref="GW12" si="447">GW11-GK11</f>
        <v>0</v>
      </c>
      <c r="GX12" s="21">
        <f t="shared" ref="GX12" si="448">GX11-GL11</f>
        <v>0</v>
      </c>
      <c r="GY12" s="21">
        <f t="shared" ref="GY12" si="449">GY11-GM11</f>
        <v>0</v>
      </c>
      <c r="GZ12" s="21">
        <f t="shared" ref="GZ12" si="450">GZ11-GN11</f>
        <v>0</v>
      </c>
      <c r="HA12" s="21">
        <f t="shared" ref="HA12" si="451">HA11-GO11</f>
        <v>0</v>
      </c>
      <c r="HB12" s="21">
        <f t="shared" ref="HB12" si="452">HB11-GP11</f>
        <v>0</v>
      </c>
      <c r="HC12" s="21">
        <f t="shared" ref="HC12" si="453">HC11-GQ11</f>
        <v>0</v>
      </c>
      <c r="HD12" s="21">
        <f t="shared" ref="HD12" si="454">HD11-GR11</f>
        <v>0</v>
      </c>
      <c r="HE12" s="21">
        <f t="shared" ref="HE12" si="455">HE11-GS11</f>
        <v>0</v>
      </c>
      <c r="HF12" s="21">
        <f t="shared" ref="HF12" si="456">HF11-GT11</f>
        <v>0</v>
      </c>
      <c r="HG12" s="21">
        <f t="shared" ref="HG12" si="457">HG11-GU11</f>
        <v>0</v>
      </c>
      <c r="HH12" s="21">
        <f t="shared" ref="HH12" si="458">HH11-GV11</f>
        <v>0</v>
      </c>
      <c r="HI12" s="21">
        <f t="shared" ref="HI12" si="459">HI11-GW11</f>
        <v>0</v>
      </c>
      <c r="HJ12" s="21">
        <f t="shared" ref="HJ12" si="460">HJ11-GX11</f>
        <v>0</v>
      </c>
      <c r="HK12" s="21">
        <f t="shared" ref="HK12" si="461">HK11-GY11</f>
        <v>0</v>
      </c>
      <c r="HL12" s="21">
        <f t="shared" ref="HL12" si="462">HL11-GZ11</f>
        <v>0</v>
      </c>
      <c r="HM12" s="21">
        <f t="shared" ref="HM12" si="463">HM11-HA11</f>
        <v>0</v>
      </c>
      <c r="HN12" s="21">
        <f t="shared" ref="HN12" si="464">HN11-HB11</f>
        <v>0</v>
      </c>
      <c r="HO12" s="21">
        <f t="shared" ref="HO12" si="465">HO11-HC11</f>
        <v>0</v>
      </c>
      <c r="HP12" s="21">
        <f t="shared" ref="HP12" si="466">HP11-HD11</f>
        <v>0</v>
      </c>
      <c r="HQ12" s="21">
        <f t="shared" ref="HQ12" si="467">HQ11-HE11</f>
        <v>0</v>
      </c>
      <c r="HR12" s="21">
        <f t="shared" ref="HR12" si="468">HR11-HF11</f>
        <v>0</v>
      </c>
      <c r="HS12" s="21">
        <f t="shared" ref="HS12" si="469">HS11-HG11</f>
        <v>0</v>
      </c>
      <c r="HT12" s="21">
        <f t="shared" ref="HT12" si="470">HT11-HH11</f>
        <v>0</v>
      </c>
      <c r="HU12" s="21">
        <f t="shared" ref="HU12" si="471">HU11-HI11</f>
        <v>0</v>
      </c>
      <c r="HV12" s="21">
        <f t="shared" ref="HV12" si="472">HV11-HJ11</f>
        <v>0</v>
      </c>
      <c r="HW12" s="21">
        <f t="shared" ref="HW12" si="473">HW11-HK11</f>
        <v>0</v>
      </c>
      <c r="HX12" s="21">
        <f t="shared" ref="HX12" si="474">HX11-HL11</f>
        <v>0</v>
      </c>
      <c r="HY12" s="21">
        <f t="shared" ref="HY12" si="475">HY11-HM11</f>
        <v>0</v>
      </c>
      <c r="HZ12" s="21">
        <f t="shared" ref="HZ12" si="476">HZ11-HN11</f>
        <v>0</v>
      </c>
      <c r="IA12" s="21">
        <f t="shared" ref="IA12" si="477">IA11-HO11</f>
        <v>0</v>
      </c>
      <c r="IB12" s="21">
        <f t="shared" ref="IB12" si="478">IB11-HP11</f>
        <v>0</v>
      </c>
      <c r="IC12" s="21">
        <f t="shared" ref="IC12" si="479">IC11-HQ11</f>
        <v>0</v>
      </c>
      <c r="ID12" s="21">
        <f t="shared" ref="ID12" si="480">ID11-HR11</f>
        <v>0</v>
      </c>
      <c r="IE12" s="21">
        <f t="shared" ref="IE12" si="481">IE11-HS11</f>
        <v>0</v>
      </c>
      <c r="IF12" s="21">
        <f t="shared" ref="IF12" si="482">IF11-HT11</f>
        <v>0</v>
      </c>
      <c r="IG12" s="21">
        <f t="shared" ref="IG12" si="483">IG11-HU11</f>
        <v>0</v>
      </c>
      <c r="IH12" s="21">
        <f t="shared" ref="IH12" si="484">IH11-HV11</f>
        <v>0</v>
      </c>
      <c r="II12" s="21">
        <f t="shared" ref="II12" si="485">II11-HW11</f>
        <v>0</v>
      </c>
      <c r="IJ12" s="21">
        <f t="shared" ref="IJ12" si="486">IJ11-HX11</f>
        <v>0</v>
      </c>
      <c r="IK12" s="21">
        <f t="shared" ref="IK12" si="487">IK11-HY11</f>
        <v>0</v>
      </c>
      <c r="IL12" s="21">
        <f t="shared" ref="IL12" si="488">IL11-HZ11</f>
        <v>0</v>
      </c>
      <c r="IM12" s="21">
        <f t="shared" ref="IM12" si="489">IM11-IA11</f>
        <v>0</v>
      </c>
      <c r="IN12" s="21">
        <f t="shared" ref="IN12" si="490">IN11-IB11</f>
        <v>0</v>
      </c>
    </row>
    <row r="13" spans="2:248" x14ac:dyDescent="0.3">
      <c r="B13" s="19" t="s">
        <v>453</v>
      </c>
      <c r="C13" s="21">
        <f>C4*(1+C11)</f>
        <v>19500.360957379911</v>
      </c>
      <c r="E13" s="19">
        <v>0.3</v>
      </c>
      <c r="F13" s="22" t="s">
        <v>455</v>
      </c>
      <c r="G13" s="21">
        <f t="shared" ref="G13:BR13" si="491">IF(IF(AND(ISNA(G$5),ISNA(F$5)),F13*(1+$E13),IF(AND(F$5&gt;0,ISNA(G$5)),F13*(1+$E13),G$5))&gt;$C$20,$C$20,IF(AND(ISNA(G$5),ISNA(F$5)),F13*(1+$E13),IF(AND(F$5&gt;0,ISNA(G$5)),F13*(1+$E13),G$5)))</f>
        <v>130</v>
      </c>
      <c r="H13" s="21">
        <f t="shared" si="491"/>
        <v>159</v>
      </c>
      <c r="I13" s="21">
        <f t="shared" si="491"/>
        <v>196</v>
      </c>
      <c r="J13" s="21">
        <f t="shared" si="491"/>
        <v>262</v>
      </c>
      <c r="K13" s="21">
        <f t="shared" si="491"/>
        <v>482</v>
      </c>
      <c r="L13" s="21">
        <f t="shared" si="491"/>
        <v>670</v>
      </c>
      <c r="M13" s="21">
        <f t="shared" si="491"/>
        <v>799</v>
      </c>
      <c r="N13" s="21">
        <f t="shared" si="491"/>
        <v>1040</v>
      </c>
      <c r="O13" s="21">
        <f t="shared" si="491"/>
        <v>1176</v>
      </c>
      <c r="P13" s="21">
        <f t="shared" si="491"/>
        <v>1457</v>
      </c>
      <c r="Q13" s="21">
        <f t="shared" si="491"/>
        <v>1908</v>
      </c>
      <c r="R13" s="21">
        <f t="shared" si="491"/>
        <v>2078</v>
      </c>
      <c r="S13" s="21">
        <f t="shared" si="491"/>
        <v>3675</v>
      </c>
      <c r="T13" s="21">
        <f t="shared" si="491"/>
        <v>4585</v>
      </c>
      <c r="U13" s="21">
        <f t="shared" si="491"/>
        <v>5795</v>
      </c>
      <c r="V13" s="21">
        <f t="shared" si="491"/>
        <v>7272</v>
      </c>
      <c r="W13" s="21">
        <f t="shared" si="491"/>
        <v>9257</v>
      </c>
      <c r="X13" s="21">
        <f t="shared" si="491"/>
        <v>12327</v>
      </c>
      <c r="Y13" s="21">
        <f t="shared" si="491"/>
        <v>15320</v>
      </c>
      <c r="Z13" s="21">
        <f t="shared" si="491"/>
        <v>19916</v>
      </c>
      <c r="AA13" s="21">
        <f t="shared" si="491"/>
        <v>25890.799999999999</v>
      </c>
      <c r="AB13" s="21">
        <f t="shared" si="491"/>
        <v>33658.04</v>
      </c>
      <c r="AC13" s="21">
        <f t="shared" si="491"/>
        <v>43755.452000000005</v>
      </c>
      <c r="AD13" s="21">
        <f t="shared" si="491"/>
        <v>56882.087600000006</v>
      </c>
      <c r="AE13" s="21">
        <f t="shared" si="491"/>
        <v>73946.71388000001</v>
      </c>
      <c r="AF13" s="21">
        <f t="shared" si="491"/>
        <v>96130.728044000018</v>
      </c>
      <c r="AG13" s="21">
        <f t="shared" si="491"/>
        <v>124969.94645720003</v>
      </c>
      <c r="AH13" s="21">
        <f t="shared" si="491"/>
        <v>162460.93039436004</v>
      </c>
      <c r="AI13" s="21">
        <f t="shared" si="491"/>
        <v>211199.20951266805</v>
      </c>
      <c r="AJ13" s="21">
        <f t="shared" si="491"/>
        <v>274558.97236646846</v>
      </c>
      <c r="AK13" s="21">
        <f t="shared" si="491"/>
        <v>356926.66407640901</v>
      </c>
      <c r="AL13" s="21">
        <f t="shared" si="491"/>
        <v>464004.66329933173</v>
      </c>
      <c r="AM13" s="21">
        <f t="shared" si="491"/>
        <v>603206.06228913122</v>
      </c>
      <c r="AN13" s="21">
        <f t="shared" si="491"/>
        <v>784167.88097587065</v>
      </c>
      <c r="AO13" s="21">
        <f t="shared" si="491"/>
        <v>1019418.2452686318</v>
      </c>
      <c r="AP13" s="21">
        <f t="shared" si="491"/>
        <v>1325243.7188492215</v>
      </c>
      <c r="AQ13" s="21">
        <f t="shared" si="491"/>
        <v>1722816.834503988</v>
      </c>
      <c r="AR13" s="21">
        <f t="shared" si="491"/>
        <v>2239661.8848551847</v>
      </c>
      <c r="AS13" s="21">
        <f t="shared" si="491"/>
        <v>2911560.4503117404</v>
      </c>
      <c r="AT13" s="21">
        <f t="shared" si="491"/>
        <v>3785028.5854052627</v>
      </c>
      <c r="AU13" s="21">
        <f t="shared" si="491"/>
        <v>4920537.161026842</v>
      </c>
      <c r="AV13" s="21">
        <f t="shared" si="491"/>
        <v>6396698.3093348946</v>
      </c>
      <c r="AW13" s="21">
        <f t="shared" si="491"/>
        <v>8315707.8021353632</v>
      </c>
      <c r="AX13" s="21">
        <f t="shared" si="491"/>
        <v>10810420.142775973</v>
      </c>
      <c r="AY13" s="21">
        <f t="shared" si="491"/>
        <v>14053546.185608765</v>
      </c>
      <c r="AZ13" s="21">
        <f t="shared" si="491"/>
        <v>18269610.041291397</v>
      </c>
      <c r="BA13" s="21">
        <f t="shared" si="491"/>
        <v>23750493.053678818</v>
      </c>
      <c r="BB13" s="21">
        <f t="shared" si="491"/>
        <v>30875640.969782464</v>
      </c>
      <c r="BC13" s="21">
        <f t="shared" si="491"/>
        <v>33513576.800000001</v>
      </c>
      <c r="BD13" s="21">
        <f t="shared" si="491"/>
        <v>33513576.800000001</v>
      </c>
      <c r="BE13" s="21">
        <f t="shared" si="491"/>
        <v>33513576.800000001</v>
      </c>
      <c r="BF13" s="21">
        <f t="shared" si="491"/>
        <v>33513576.800000001</v>
      </c>
      <c r="BG13" s="21">
        <f t="shared" si="491"/>
        <v>33513576.800000001</v>
      </c>
      <c r="BH13" s="21">
        <f t="shared" si="491"/>
        <v>33513576.800000001</v>
      </c>
      <c r="BI13" s="21">
        <f t="shared" si="491"/>
        <v>33513576.800000001</v>
      </c>
      <c r="BJ13" s="21">
        <f t="shared" si="491"/>
        <v>33513576.800000001</v>
      </c>
      <c r="BK13" s="21">
        <f t="shared" si="491"/>
        <v>33513576.800000001</v>
      </c>
      <c r="BL13" s="21">
        <f t="shared" si="491"/>
        <v>33513576.800000001</v>
      </c>
      <c r="BM13" s="21">
        <f t="shared" si="491"/>
        <v>33513576.800000001</v>
      </c>
      <c r="BN13" s="21">
        <f t="shared" si="491"/>
        <v>33513576.800000001</v>
      </c>
      <c r="BO13" s="21">
        <f t="shared" si="491"/>
        <v>33513576.800000001</v>
      </c>
      <c r="BP13" s="21">
        <f t="shared" si="491"/>
        <v>33513576.800000001</v>
      </c>
      <c r="BQ13" s="21">
        <f t="shared" si="491"/>
        <v>33513576.800000001</v>
      </c>
      <c r="BR13" s="21">
        <f t="shared" si="491"/>
        <v>33513576.800000001</v>
      </c>
      <c r="BS13" s="21">
        <f t="shared" ref="BS13:ED13" si="492">IF(IF(AND(ISNA(BS$5),ISNA(BR$5)),BR13*(1+$E13),IF(AND(BR$5&gt;0,ISNA(BS$5)),BR13*(1+$E13),BS$5))&gt;$C$20,$C$20,IF(AND(ISNA(BS$5),ISNA(BR$5)),BR13*(1+$E13),IF(AND(BR$5&gt;0,ISNA(BS$5)),BR13*(1+$E13),BS$5)))</f>
        <v>33513576.800000001</v>
      </c>
      <c r="BT13" s="21">
        <f t="shared" si="492"/>
        <v>33513576.800000001</v>
      </c>
      <c r="BU13" s="21">
        <f t="shared" si="492"/>
        <v>33513576.800000001</v>
      </c>
      <c r="BV13" s="21">
        <f t="shared" si="492"/>
        <v>33513576.800000001</v>
      </c>
      <c r="BW13" s="21">
        <f t="shared" si="492"/>
        <v>33513576.800000001</v>
      </c>
      <c r="BX13" s="21">
        <f t="shared" si="492"/>
        <v>33513576.800000001</v>
      </c>
      <c r="BY13" s="21">
        <f t="shared" si="492"/>
        <v>33513576.800000001</v>
      </c>
      <c r="BZ13" s="21">
        <f t="shared" si="492"/>
        <v>33513576.800000001</v>
      </c>
      <c r="CA13" s="21">
        <f t="shared" si="492"/>
        <v>33513576.800000001</v>
      </c>
      <c r="CB13" s="21">
        <f t="shared" si="492"/>
        <v>33513576.800000001</v>
      </c>
      <c r="CC13" s="21">
        <f t="shared" si="492"/>
        <v>33513576.800000001</v>
      </c>
      <c r="CD13" s="21">
        <f t="shared" si="492"/>
        <v>33513576.800000001</v>
      </c>
      <c r="CE13" s="21">
        <f t="shared" si="492"/>
        <v>33513576.800000001</v>
      </c>
      <c r="CF13" s="21">
        <f t="shared" si="492"/>
        <v>33513576.800000001</v>
      </c>
      <c r="CG13" s="21">
        <f t="shared" si="492"/>
        <v>33513576.800000001</v>
      </c>
      <c r="CH13" s="21">
        <f t="shared" si="492"/>
        <v>33513576.800000001</v>
      </c>
      <c r="CI13" s="21">
        <f t="shared" si="492"/>
        <v>33513576.800000001</v>
      </c>
      <c r="CJ13" s="21">
        <f t="shared" si="492"/>
        <v>33513576.800000001</v>
      </c>
      <c r="CK13" s="21">
        <f t="shared" si="492"/>
        <v>33513576.800000001</v>
      </c>
      <c r="CL13" s="21">
        <f t="shared" si="492"/>
        <v>33513576.800000001</v>
      </c>
      <c r="CM13" s="21">
        <f t="shared" si="492"/>
        <v>33513576.800000001</v>
      </c>
      <c r="CN13" s="21">
        <f t="shared" si="492"/>
        <v>33513576.800000001</v>
      </c>
      <c r="CO13" s="21">
        <f t="shared" si="492"/>
        <v>33513576.800000001</v>
      </c>
      <c r="CP13" s="21">
        <f t="shared" si="492"/>
        <v>33513576.800000001</v>
      </c>
      <c r="CQ13" s="21">
        <f t="shared" si="492"/>
        <v>33513576.800000001</v>
      </c>
      <c r="CR13" s="21">
        <f t="shared" si="492"/>
        <v>33513576.800000001</v>
      </c>
      <c r="CS13" s="21">
        <f t="shared" si="492"/>
        <v>33513576.800000001</v>
      </c>
      <c r="CT13" s="21">
        <f t="shared" si="492"/>
        <v>33513576.800000001</v>
      </c>
      <c r="CU13" s="21">
        <f t="shared" si="492"/>
        <v>33513576.800000001</v>
      </c>
      <c r="CV13" s="21">
        <f t="shared" si="492"/>
        <v>33513576.800000001</v>
      </c>
      <c r="CW13" s="21">
        <f t="shared" si="492"/>
        <v>33513576.800000001</v>
      </c>
      <c r="CX13" s="21">
        <f t="shared" si="492"/>
        <v>33513576.800000001</v>
      </c>
      <c r="CY13" s="21">
        <f t="shared" si="492"/>
        <v>33513576.800000001</v>
      </c>
      <c r="CZ13" s="21">
        <f t="shared" si="492"/>
        <v>33513576.800000001</v>
      </c>
      <c r="DA13" s="21">
        <f t="shared" si="492"/>
        <v>33513576.800000001</v>
      </c>
      <c r="DB13" s="21">
        <f t="shared" si="492"/>
        <v>33513576.800000001</v>
      </c>
      <c r="DC13" s="21">
        <f t="shared" si="492"/>
        <v>33513576.800000001</v>
      </c>
      <c r="DD13" s="21">
        <f t="shared" si="492"/>
        <v>33513576.800000001</v>
      </c>
      <c r="DE13" s="21">
        <f t="shared" si="492"/>
        <v>33513576.800000001</v>
      </c>
      <c r="DF13" s="21">
        <f t="shared" si="492"/>
        <v>33513576.800000001</v>
      </c>
      <c r="DG13" s="21">
        <f t="shared" si="492"/>
        <v>33513576.800000001</v>
      </c>
      <c r="DH13" s="21">
        <f t="shared" si="492"/>
        <v>33513576.800000001</v>
      </c>
      <c r="DI13" s="21">
        <f t="shared" si="492"/>
        <v>33513576.800000001</v>
      </c>
      <c r="DJ13" s="21">
        <f t="shared" si="492"/>
        <v>33513576.800000001</v>
      </c>
      <c r="DK13" s="21">
        <f t="shared" si="492"/>
        <v>33513576.800000001</v>
      </c>
      <c r="DL13" s="21">
        <f t="shared" si="492"/>
        <v>33513576.800000001</v>
      </c>
      <c r="DM13" s="21">
        <f t="shared" si="492"/>
        <v>33513576.800000001</v>
      </c>
      <c r="DN13" s="21">
        <f t="shared" si="492"/>
        <v>33513576.800000001</v>
      </c>
      <c r="DO13" s="21">
        <f t="shared" si="492"/>
        <v>33513576.800000001</v>
      </c>
      <c r="DP13" s="21">
        <f t="shared" si="492"/>
        <v>33513576.800000001</v>
      </c>
      <c r="DQ13" s="21">
        <f t="shared" si="492"/>
        <v>33513576.800000001</v>
      </c>
      <c r="DR13" s="21">
        <f t="shared" si="492"/>
        <v>33513576.800000001</v>
      </c>
      <c r="DS13" s="21">
        <f t="shared" si="492"/>
        <v>33513576.800000001</v>
      </c>
      <c r="DT13" s="21">
        <f t="shared" si="492"/>
        <v>33513576.800000001</v>
      </c>
      <c r="DU13" s="21">
        <f t="shared" si="492"/>
        <v>33513576.800000001</v>
      </c>
      <c r="DV13" s="21">
        <f t="shared" si="492"/>
        <v>33513576.800000001</v>
      </c>
      <c r="DW13" s="21">
        <f t="shared" si="492"/>
        <v>33513576.800000001</v>
      </c>
      <c r="DX13" s="21">
        <f t="shared" si="492"/>
        <v>33513576.800000001</v>
      </c>
      <c r="DY13" s="21">
        <f t="shared" si="492"/>
        <v>33513576.800000001</v>
      </c>
      <c r="DZ13" s="21">
        <f t="shared" si="492"/>
        <v>33513576.800000001</v>
      </c>
      <c r="EA13" s="21">
        <f t="shared" si="492"/>
        <v>33513576.800000001</v>
      </c>
      <c r="EB13" s="21">
        <f t="shared" si="492"/>
        <v>33513576.800000001</v>
      </c>
      <c r="EC13" s="21">
        <f t="shared" si="492"/>
        <v>33513576.800000001</v>
      </c>
      <c r="ED13" s="21">
        <f t="shared" si="492"/>
        <v>33513576.800000001</v>
      </c>
      <c r="EE13" s="21">
        <f t="shared" ref="EE13:GP13" si="493">IF(IF(AND(ISNA(EE$5),ISNA(ED$5)),ED13*(1+$E13),IF(AND(ED$5&gt;0,ISNA(EE$5)),ED13*(1+$E13),EE$5))&gt;$C$20,$C$20,IF(AND(ISNA(EE$5),ISNA(ED$5)),ED13*(1+$E13),IF(AND(ED$5&gt;0,ISNA(EE$5)),ED13*(1+$E13),EE$5)))</f>
        <v>33513576.800000001</v>
      </c>
      <c r="EF13" s="21">
        <f t="shared" si="493"/>
        <v>33513576.800000001</v>
      </c>
      <c r="EG13" s="21">
        <f t="shared" si="493"/>
        <v>33513576.800000001</v>
      </c>
      <c r="EH13" s="21">
        <f t="shared" si="493"/>
        <v>33513576.800000001</v>
      </c>
      <c r="EI13" s="21">
        <f t="shared" si="493"/>
        <v>33513576.800000001</v>
      </c>
      <c r="EJ13" s="21">
        <f t="shared" si="493"/>
        <v>33513576.800000001</v>
      </c>
      <c r="EK13" s="21">
        <f t="shared" si="493"/>
        <v>33513576.800000001</v>
      </c>
      <c r="EL13" s="21">
        <f t="shared" si="493"/>
        <v>33513576.800000001</v>
      </c>
      <c r="EM13" s="21">
        <f t="shared" si="493"/>
        <v>33513576.800000001</v>
      </c>
      <c r="EN13" s="21">
        <f t="shared" si="493"/>
        <v>33513576.800000001</v>
      </c>
      <c r="EO13" s="21">
        <f t="shared" si="493"/>
        <v>33513576.800000001</v>
      </c>
      <c r="EP13" s="21">
        <f t="shared" si="493"/>
        <v>33513576.800000001</v>
      </c>
      <c r="EQ13" s="21">
        <f t="shared" si="493"/>
        <v>33513576.800000001</v>
      </c>
      <c r="ER13" s="21">
        <f t="shared" si="493"/>
        <v>33513576.800000001</v>
      </c>
      <c r="ES13" s="21">
        <f t="shared" si="493"/>
        <v>33513576.800000001</v>
      </c>
      <c r="ET13" s="21">
        <f t="shared" si="493"/>
        <v>33513576.800000001</v>
      </c>
      <c r="EU13" s="21">
        <f t="shared" si="493"/>
        <v>33513576.800000001</v>
      </c>
      <c r="EV13" s="21">
        <f t="shared" si="493"/>
        <v>33513576.800000001</v>
      </c>
      <c r="EW13" s="21">
        <f t="shared" si="493"/>
        <v>33513576.800000001</v>
      </c>
      <c r="EX13" s="21">
        <f t="shared" si="493"/>
        <v>33513576.800000001</v>
      </c>
      <c r="EY13" s="21">
        <f t="shared" si="493"/>
        <v>33513576.800000001</v>
      </c>
      <c r="EZ13" s="21">
        <f t="shared" si="493"/>
        <v>33513576.800000001</v>
      </c>
      <c r="FA13" s="21">
        <f t="shared" si="493"/>
        <v>33513576.800000001</v>
      </c>
      <c r="FB13" s="21">
        <f t="shared" si="493"/>
        <v>33513576.800000001</v>
      </c>
      <c r="FC13" s="21">
        <f t="shared" si="493"/>
        <v>33513576.800000001</v>
      </c>
      <c r="FD13" s="21">
        <f t="shared" si="493"/>
        <v>33513576.800000001</v>
      </c>
      <c r="FE13" s="21">
        <f t="shared" si="493"/>
        <v>33513576.800000001</v>
      </c>
      <c r="FF13" s="21">
        <f t="shared" si="493"/>
        <v>33513576.800000001</v>
      </c>
      <c r="FG13" s="21">
        <f t="shared" si="493"/>
        <v>33513576.800000001</v>
      </c>
      <c r="FH13" s="21">
        <f t="shared" si="493"/>
        <v>33513576.800000001</v>
      </c>
      <c r="FI13" s="21">
        <f t="shared" si="493"/>
        <v>33513576.800000001</v>
      </c>
      <c r="FJ13" s="21">
        <f t="shared" si="493"/>
        <v>33513576.800000001</v>
      </c>
      <c r="FK13" s="21">
        <f t="shared" si="493"/>
        <v>33513576.800000001</v>
      </c>
      <c r="FL13" s="21">
        <f t="shared" si="493"/>
        <v>33513576.800000001</v>
      </c>
      <c r="FM13" s="21">
        <f t="shared" si="493"/>
        <v>33513576.800000001</v>
      </c>
      <c r="FN13" s="21">
        <f t="shared" si="493"/>
        <v>33513576.800000001</v>
      </c>
      <c r="FO13" s="21">
        <f t="shared" si="493"/>
        <v>33513576.800000001</v>
      </c>
      <c r="FP13" s="21">
        <f t="shared" si="493"/>
        <v>33513576.800000001</v>
      </c>
      <c r="FQ13" s="21">
        <f t="shared" si="493"/>
        <v>33513576.800000001</v>
      </c>
      <c r="FR13" s="21">
        <f t="shared" si="493"/>
        <v>33513576.800000001</v>
      </c>
      <c r="FS13" s="21">
        <f t="shared" si="493"/>
        <v>33513576.800000001</v>
      </c>
      <c r="FT13" s="21">
        <f t="shared" si="493"/>
        <v>33513576.800000001</v>
      </c>
      <c r="FU13" s="21">
        <f t="shared" si="493"/>
        <v>33513576.800000001</v>
      </c>
      <c r="FV13" s="21">
        <f t="shared" si="493"/>
        <v>33513576.800000001</v>
      </c>
      <c r="FW13" s="21">
        <f t="shared" si="493"/>
        <v>33513576.800000001</v>
      </c>
      <c r="FX13" s="21">
        <f t="shared" si="493"/>
        <v>33513576.800000001</v>
      </c>
      <c r="FY13" s="21">
        <f t="shared" si="493"/>
        <v>33513576.800000001</v>
      </c>
      <c r="FZ13" s="21">
        <f t="shared" si="493"/>
        <v>33513576.800000001</v>
      </c>
      <c r="GA13" s="21">
        <f t="shared" si="493"/>
        <v>33513576.800000001</v>
      </c>
      <c r="GB13" s="21">
        <f t="shared" si="493"/>
        <v>33513576.800000001</v>
      </c>
      <c r="GC13" s="21">
        <f t="shared" si="493"/>
        <v>33513576.800000001</v>
      </c>
      <c r="GD13" s="21">
        <f t="shared" si="493"/>
        <v>33513576.800000001</v>
      </c>
      <c r="GE13" s="21">
        <f t="shared" si="493"/>
        <v>33513576.800000001</v>
      </c>
      <c r="GF13" s="21">
        <f t="shared" si="493"/>
        <v>33513576.800000001</v>
      </c>
      <c r="GG13" s="21">
        <f t="shared" si="493"/>
        <v>33513576.800000001</v>
      </c>
      <c r="GH13" s="21">
        <f t="shared" si="493"/>
        <v>33513576.800000001</v>
      </c>
      <c r="GI13" s="21">
        <f t="shared" si="493"/>
        <v>33513576.800000001</v>
      </c>
      <c r="GJ13" s="21">
        <f t="shared" si="493"/>
        <v>33513576.800000001</v>
      </c>
      <c r="GK13" s="21">
        <f t="shared" si="493"/>
        <v>33513576.800000001</v>
      </c>
      <c r="GL13" s="21">
        <f t="shared" si="493"/>
        <v>33513576.800000001</v>
      </c>
      <c r="GM13" s="21">
        <f t="shared" si="493"/>
        <v>33513576.800000001</v>
      </c>
      <c r="GN13" s="21">
        <f t="shared" si="493"/>
        <v>33513576.800000001</v>
      </c>
      <c r="GO13" s="21">
        <f t="shared" si="493"/>
        <v>33513576.800000001</v>
      </c>
      <c r="GP13" s="21">
        <f t="shared" si="493"/>
        <v>33513576.800000001</v>
      </c>
      <c r="GQ13" s="21">
        <f t="shared" ref="GQ13:IN13" si="494">IF(IF(AND(ISNA(GQ$5),ISNA(GP$5)),GP13*(1+$E13),IF(AND(GP$5&gt;0,ISNA(GQ$5)),GP13*(1+$E13),GQ$5))&gt;$C$20,$C$20,IF(AND(ISNA(GQ$5),ISNA(GP$5)),GP13*(1+$E13),IF(AND(GP$5&gt;0,ISNA(GQ$5)),GP13*(1+$E13),GQ$5)))</f>
        <v>33513576.800000001</v>
      </c>
      <c r="GR13" s="21">
        <f t="shared" si="494"/>
        <v>33513576.800000001</v>
      </c>
      <c r="GS13" s="21">
        <f t="shared" si="494"/>
        <v>33513576.800000001</v>
      </c>
      <c r="GT13" s="21">
        <f t="shared" si="494"/>
        <v>33513576.800000001</v>
      </c>
      <c r="GU13" s="21">
        <f t="shared" si="494"/>
        <v>33513576.800000001</v>
      </c>
      <c r="GV13" s="21">
        <f t="shared" si="494"/>
        <v>33513576.800000001</v>
      </c>
      <c r="GW13" s="21">
        <f t="shared" si="494"/>
        <v>33513576.800000001</v>
      </c>
      <c r="GX13" s="21">
        <f t="shared" si="494"/>
        <v>33513576.800000001</v>
      </c>
      <c r="GY13" s="21">
        <f t="shared" si="494"/>
        <v>33513576.800000001</v>
      </c>
      <c r="GZ13" s="21">
        <f t="shared" si="494"/>
        <v>33513576.800000001</v>
      </c>
      <c r="HA13" s="21">
        <f t="shared" si="494"/>
        <v>33513576.800000001</v>
      </c>
      <c r="HB13" s="21">
        <f t="shared" si="494"/>
        <v>33513576.800000001</v>
      </c>
      <c r="HC13" s="21">
        <f t="shared" si="494"/>
        <v>33513576.800000001</v>
      </c>
      <c r="HD13" s="21">
        <f t="shared" si="494"/>
        <v>33513576.800000001</v>
      </c>
      <c r="HE13" s="21">
        <f t="shared" si="494"/>
        <v>33513576.800000001</v>
      </c>
      <c r="HF13" s="21">
        <f t="shared" si="494"/>
        <v>33513576.800000001</v>
      </c>
      <c r="HG13" s="21">
        <f t="shared" si="494"/>
        <v>33513576.800000001</v>
      </c>
      <c r="HH13" s="21">
        <f t="shared" si="494"/>
        <v>33513576.800000001</v>
      </c>
      <c r="HI13" s="21">
        <f t="shared" si="494"/>
        <v>33513576.800000001</v>
      </c>
      <c r="HJ13" s="21">
        <f t="shared" si="494"/>
        <v>33513576.800000001</v>
      </c>
      <c r="HK13" s="21">
        <f t="shared" si="494"/>
        <v>33513576.800000001</v>
      </c>
      <c r="HL13" s="21">
        <f t="shared" si="494"/>
        <v>33513576.800000001</v>
      </c>
      <c r="HM13" s="21">
        <f t="shared" si="494"/>
        <v>33513576.800000001</v>
      </c>
      <c r="HN13" s="21">
        <f t="shared" si="494"/>
        <v>33513576.800000001</v>
      </c>
      <c r="HO13" s="21">
        <f t="shared" si="494"/>
        <v>33513576.800000001</v>
      </c>
      <c r="HP13" s="21">
        <f t="shared" si="494"/>
        <v>33513576.800000001</v>
      </c>
      <c r="HQ13" s="21">
        <f t="shared" si="494"/>
        <v>33513576.800000001</v>
      </c>
      <c r="HR13" s="21">
        <f t="shared" si="494"/>
        <v>33513576.800000001</v>
      </c>
      <c r="HS13" s="21">
        <f t="shared" si="494"/>
        <v>33513576.800000001</v>
      </c>
      <c r="HT13" s="21">
        <f t="shared" si="494"/>
        <v>33513576.800000001</v>
      </c>
      <c r="HU13" s="21">
        <f t="shared" si="494"/>
        <v>33513576.800000001</v>
      </c>
      <c r="HV13" s="21">
        <f t="shared" si="494"/>
        <v>33513576.800000001</v>
      </c>
      <c r="HW13" s="21">
        <f t="shared" si="494"/>
        <v>33513576.800000001</v>
      </c>
      <c r="HX13" s="21">
        <f t="shared" si="494"/>
        <v>33513576.800000001</v>
      </c>
      <c r="HY13" s="21">
        <f t="shared" si="494"/>
        <v>33513576.800000001</v>
      </c>
      <c r="HZ13" s="21">
        <f t="shared" si="494"/>
        <v>33513576.800000001</v>
      </c>
      <c r="IA13" s="21">
        <f t="shared" si="494"/>
        <v>33513576.800000001</v>
      </c>
      <c r="IB13" s="21">
        <f t="shared" si="494"/>
        <v>33513576.800000001</v>
      </c>
      <c r="IC13" s="21">
        <f t="shared" si="494"/>
        <v>33513576.800000001</v>
      </c>
      <c r="ID13" s="21">
        <f t="shared" si="494"/>
        <v>33513576.800000001</v>
      </c>
      <c r="IE13" s="21">
        <f t="shared" si="494"/>
        <v>33513576.800000001</v>
      </c>
      <c r="IF13" s="21">
        <f t="shared" si="494"/>
        <v>33513576.800000001</v>
      </c>
      <c r="IG13" s="21">
        <f t="shared" si="494"/>
        <v>33513576.800000001</v>
      </c>
      <c r="IH13" s="21">
        <f t="shared" si="494"/>
        <v>33513576.800000001</v>
      </c>
      <c r="II13" s="21">
        <f t="shared" si="494"/>
        <v>33513576.800000001</v>
      </c>
      <c r="IJ13" s="21">
        <f t="shared" si="494"/>
        <v>33513576.800000001</v>
      </c>
      <c r="IK13" s="21">
        <f t="shared" si="494"/>
        <v>33513576.800000001</v>
      </c>
      <c r="IL13" s="21">
        <f t="shared" si="494"/>
        <v>33513576.800000001</v>
      </c>
      <c r="IM13" s="21">
        <f t="shared" si="494"/>
        <v>33513576.800000001</v>
      </c>
      <c r="IN13" s="21">
        <f t="shared" si="494"/>
        <v>33513576.800000001</v>
      </c>
    </row>
    <row r="14" spans="2:248" x14ac:dyDescent="0.3">
      <c r="B14" s="19" t="s">
        <v>469</v>
      </c>
      <c r="C14" s="25">
        <f>VLOOKUP(B2,Country_Data!C:N,12,FALSE)*2</f>
        <v>4.5428733674048836E-3</v>
      </c>
      <c r="F14" s="19" t="s">
        <v>497</v>
      </c>
      <c r="G14" s="21">
        <f t="shared" ref="G14:R14" si="495">G13</f>
        <v>130</v>
      </c>
      <c r="H14" s="21">
        <f t="shared" si="495"/>
        <v>159</v>
      </c>
      <c r="I14" s="21">
        <f t="shared" si="495"/>
        <v>196</v>
      </c>
      <c r="J14" s="21">
        <f t="shared" si="495"/>
        <v>262</v>
      </c>
      <c r="K14" s="21">
        <f t="shared" si="495"/>
        <v>482</v>
      </c>
      <c r="L14" s="21">
        <f t="shared" si="495"/>
        <v>670</v>
      </c>
      <c r="M14" s="21">
        <f t="shared" si="495"/>
        <v>799</v>
      </c>
      <c r="N14" s="21">
        <f t="shared" si="495"/>
        <v>1040</v>
      </c>
      <c r="O14" s="21">
        <f t="shared" si="495"/>
        <v>1176</v>
      </c>
      <c r="P14" s="21">
        <f t="shared" si="495"/>
        <v>1457</v>
      </c>
      <c r="Q14" s="21">
        <f t="shared" si="495"/>
        <v>1908</v>
      </c>
      <c r="R14" s="21">
        <f t="shared" si="495"/>
        <v>2078</v>
      </c>
      <c r="S14" s="21">
        <f>S13-G13</f>
        <v>3545</v>
      </c>
      <c r="T14" s="21">
        <f t="shared" ref="T14" si="496">T13-H13</f>
        <v>4426</v>
      </c>
      <c r="U14" s="21">
        <f t="shared" ref="U14" si="497">U13-I13</f>
        <v>5599</v>
      </c>
      <c r="V14" s="21">
        <f t="shared" ref="V14" si="498">V13-J13</f>
        <v>7010</v>
      </c>
      <c r="W14" s="21">
        <f t="shared" ref="W14" si="499">W13-K13</f>
        <v>8775</v>
      </c>
      <c r="X14" s="21">
        <f t="shared" ref="X14" si="500">X13-L13</f>
        <v>11657</v>
      </c>
      <c r="Y14" s="21">
        <f t="shared" ref="Y14" si="501">Y13-M13</f>
        <v>14521</v>
      </c>
      <c r="Z14" s="21">
        <f t="shared" ref="Z14" si="502">Z13-N13</f>
        <v>18876</v>
      </c>
      <c r="AA14" s="21">
        <f t="shared" ref="AA14" si="503">AA13-O13</f>
        <v>24714.799999999999</v>
      </c>
      <c r="AB14" s="21">
        <f t="shared" ref="AB14" si="504">AB13-P13</f>
        <v>32201.040000000001</v>
      </c>
      <c r="AC14" s="21">
        <f t="shared" ref="AC14" si="505">AC13-Q13</f>
        <v>41847.452000000005</v>
      </c>
      <c r="AD14" s="21">
        <f t="shared" ref="AD14" si="506">AD13-R13</f>
        <v>54804.087600000006</v>
      </c>
      <c r="AE14" s="21">
        <f t="shared" ref="AE14" si="507">AE13-S13</f>
        <v>70271.71388000001</v>
      </c>
      <c r="AF14" s="21">
        <f t="shared" ref="AF14" si="508">AF13-T13</f>
        <v>91545.728044000018</v>
      </c>
      <c r="AG14" s="21">
        <f t="shared" ref="AG14" si="509">AG13-U13</f>
        <v>119174.94645720003</v>
      </c>
      <c r="AH14" s="21">
        <f t="shared" ref="AH14" si="510">AH13-V13</f>
        <v>155188.93039436004</v>
      </c>
      <c r="AI14" s="21">
        <f t="shared" ref="AI14" si="511">AI13-W13</f>
        <v>201942.20951266805</v>
      </c>
      <c r="AJ14" s="21">
        <f t="shared" ref="AJ14" si="512">AJ13-X13</f>
        <v>262231.97236646846</v>
      </c>
      <c r="AK14" s="21">
        <f t="shared" ref="AK14" si="513">AK13-Y13</f>
        <v>341606.66407640901</v>
      </c>
      <c r="AL14" s="21">
        <f t="shared" ref="AL14" si="514">AL13-Z13</f>
        <v>444088.66329933173</v>
      </c>
      <c r="AM14" s="21">
        <f t="shared" ref="AM14" si="515">AM13-AA13</f>
        <v>577315.26228913118</v>
      </c>
      <c r="AN14" s="21">
        <f t="shared" ref="AN14" si="516">AN13-AB13</f>
        <v>750509.84097587061</v>
      </c>
      <c r="AO14" s="21">
        <f t="shared" ref="AO14" si="517">AO13-AC13</f>
        <v>975662.79326863179</v>
      </c>
      <c r="AP14" s="21">
        <f t="shared" ref="AP14" si="518">AP13-AD13</f>
        <v>1268361.6312492215</v>
      </c>
      <c r="AQ14" s="21">
        <f t="shared" ref="AQ14" si="519">AQ13-AE13</f>
        <v>1648870.1206239881</v>
      </c>
      <c r="AR14" s="21">
        <f t="shared" ref="AR14" si="520">AR13-AF13</f>
        <v>2143531.1568111847</v>
      </c>
      <c r="AS14" s="21">
        <f t="shared" ref="AS14" si="521">AS13-AG13</f>
        <v>2786590.5038545402</v>
      </c>
      <c r="AT14" s="21">
        <f t="shared" ref="AT14" si="522">AT13-AH13</f>
        <v>3622567.6550109028</v>
      </c>
      <c r="AU14" s="21">
        <f t="shared" ref="AU14" si="523">AU13-AI13</f>
        <v>4709337.9515141742</v>
      </c>
      <c r="AV14" s="21">
        <f t="shared" ref="AV14" si="524">AV13-AJ13</f>
        <v>6122139.3369684266</v>
      </c>
      <c r="AW14" s="21">
        <f t="shared" ref="AW14" si="525">AW13-AK13</f>
        <v>7958781.1380589539</v>
      </c>
      <c r="AX14" s="21">
        <f t="shared" ref="AX14" si="526">AX13-AL13</f>
        <v>10346415.479476642</v>
      </c>
      <c r="AY14" s="21">
        <f t="shared" ref="AY14" si="527">AY13-AM13</f>
        <v>13450340.123319633</v>
      </c>
      <c r="AZ14" s="21">
        <f t="shared" ref="AZ14" si="528">AZ13-AN13</f>
        <v>17485442.160315525</v>
      </c>
      <c r="BA14" s="21">
        <f t="shared" ref="BA14" si="529">BA13-AO13</f>
        <v>22731074.808410186</v>
      </c>
      <c r="BB14" s="21">
        <f t="shared" ref="BB14" si="530">BB13-AP13</f>
        <v>29550397.250933241</v>
      </c>
      <c r="BC14" s="21">
        <f t="shared" ref="BC14" si="531">BC13-AQ13</f>
        <v>31790759.965496011</v>
      </c>
      <c r="BD14" s="21">
        <f t="shared" ref="BD14" si="532">BD13-AR13</f>
        <v>31273914.915144816</v>
      </c>
      <c r="BE14" s="21">
        <f t="shared" ref="BE14" si="533">BE13-AS13</f>
        <v>30602016.349688262</v>
      </c>
      <c r="BF14" s="21">
        <f t="shared" ref="BF14" si="534">BF13-AT13</f>
        <v>29728548.214594737</v>
      </c>
      <c r="BG14" s="21">
        <f t="shared" ref="BG14" si="535">BG13-AU13</f>
        <v>28593039.638973158</v>
      </c>
      <c r="BH14" s="21">
        <f t="shared" ref="BH14" si="536">BH13-AV13</f>
        <v>27116878.490665108</v>
      </c>
      <c r="BI14" s="21">
        <f t="shared" ref="BI14" si="537">BI13-AW13</f>
        <v>25197868.997864638</v>
      </c>
      <c r="BJ14" s="21">
        <f t="shared" ref="BJ14" si="538">BJ13-AX13</f>
        <v>22703156.657224029</v>
      </c>
      <c r="BK14" s="21">
        <f t="shared" ref="BK14" si="539">BK13-AY13</f>
        <v>19460030.614391237</v>
      </c>
      <c r="BL14" s="21">
        <f t="shared" ref="BL14" si="540">BL13-AZ13</f>
        <v>15243966.758708604</v>
      </c>
      <c r="BM14" s="21">
        <f t="shared" ref="BM14" si="541">BM13-BA13</f>
        <v>9763083.7463211827</v>
      </c>
      <c r="BN14" s="21">
        <f t="shared" ref="BN14" si="542">BN13-BB13</f>
        <v>2637935.8302175365</v>
      </c>
      <c r="BO14" s="21">
        <f t="shared" ref="BO14" si="543">BO13-BC13</f>
        <v>0</v>
      </c>
      <c r="BP14" s="21">
        <f t="shared" ref="BP14" si="544">BP13-BD13</f>
        <v>0</v>
      </c>
      <c r="BQ14" s="21">
        <f t="shared" ref="BQ14" si="545">BQ13-BE13</f>
        <v>0</v>
      </c>
      <c r="BR14" s="21">
        <f t="shared" ref="BR14" si="546">BR13-BF13</f>
        <v>0</v>
      </c>
      <c r="BS14" s="21">
        <f t="shared" ref="BS14" si="547">BS13-BG13</f>
        <v>0</v>
      </c>
      <c r="BT14" s="21">
        <f t="shared" ref="BT14" si="548">BT13-BH13</f>
        <v>0</v>
      </c>
      <c r="BU14" s="21">
        <f t="shared" ref="BU14" si="549">BU13-BI13</f>
        <v>0</v>
      </c>
      <c r="BV14" s="21">
        <f t="shared" ref="BV14" si="550">BV13-BJ13</f>
        <v>0</v>
      </c>
      <c r="BW14" s="21">
        <f t="shared" ref="BW14" si="551">BW13-BK13</f>
        <v>0</v>
      </c>
      <c r="BX14" s="21">
        <f t="shared" ref="BX14" si="552">BX13-BL13</f>
        <v>0</v>
      </c>
      <c r="BY14" s="21">
        <f t="shared" ref="BY14" si="553">BY13-BM13</f>
        <v>0</v>
      </c>
      <c r="BZ14" s="21">
        <f t="shared" ref="BZ14" si="554">BZ13-BN13</f>
        <v>0</v>
      </c>
      <c r="CA14" s="21">
        <f t="shared" ref="CA14" si="555">CA13-BO13</f>
        <v>0</v>
      </c>
      <c r="CB14" s="21">
        <f t="shared" ref="CB14" si="556">CB13-BP13</f>
        <v>0</v>
      </c>
      <c r="CC14" s="21">
        <f t="shared" ref="CC14" si="557">CC13-BQ13</f>
        <v>0</v>
      </c>
      <c r="CD14" s="21">
        <f t="shared" ref="CD14" si="558">CD13-BR13</f>
        <v>0</v>
      </c>
      <c r="CE14" s="21">
        <f t="shared" ref="CE14" si="559">CE13-BS13</f>
        <v>0</v>
      </c>
      <c r="CF14" s="21">
        <f t="shared" ref="CF14" si="560">CF13-BT13</f>
        <v>0</v>
      </c>
      <c r="CG14" s="21">
        <f t="shared" ref="CG14" si="561">CG13-BU13</f>
        <v>0</v>
      </c>
      <c r="CH14" s="21">
        <f t="shared" ref="CH14" si="562">CH13-BV13</f>
        <v>0</v>
      </c>
      <c r="CI14" s="21">
        <f t="shared" ref="CI14" si="563">CI13-BW13</f>
        <v>0</v>
      </c>
      <c r="CJ14" s="21">
        <f t="shared" ref="CJ14" si="564">CJ13-BX13</f>
        <v>0</v>
      </c>
      <c r="CK14" s="21">
        <f t="shared" ref="CK14" si="565">CK13-BY13</f>
        <v>0</v>
      </c>
      <c r="CL14" s="21">
        <f t="shared" ref="CL14" si="566">CL13-BZ13</f>
        <v>0</v>
      </c>
      <c r="CM14" s="21">
        <f t="shared" ref="CM14" si="567">CM13-CA13</f>
        <v>0</v>
      </c>
      <c r="CN14" s="21">
        <f t="shared" ref="CN14" si="568">CN13-CB13</f>
        <v>0</v>
      </c>
      <c r="CO14" s="21">
        <f t="shared" ref="CO14" si="569">CO13-CC13</f>
        <v>0</v>
      </c>
      <c r="CP14" s="21">
        <f t="shared" ref="CP14" si="570">CP13-CD13</f>
        <v>0</v>
      </c>
      <c r="CQ14" s="21">
        <f t="shared" ref="CQ14" si="571">CQ13-CE13</f>
        <v>0</v>
      </c>
      <c r="CR14" s="21">
        <f t="shared" ref="CR14" si="572">CR13-CF13</f>
        <v>0</v>
      </c>
      <c r="CS14" s="21">
        <f t="shared" ref="CS14" si="573">CS13-CG13</f>
        <v>0</v>
      </c>
      <c r="CT14" s="21">
        <f t="shared" ref="CT14" si="574">CT13-CH13</f>
        <v>0</v>
      </c>
      <c r="CU14" s="21">
        <f t="shared" ref="CU14" si="575">CU13-CI13</f>
        <v>0</v>
      </c>
      <c r="CV14" s="21">
        <f t="shared" ref="CV14" si="576">CV13-CJ13</f>
        <v>0</v>
      </c>
      <c r="CW14" s="21">
        <f t="shared" ref="CW14" si="577">CW13-CK13</f>
        <v>0</v>
      </c>
      <c r="CX14" s="21">
        <f t="shared" ref="CX14" si="578">CX13-CL13</f>
        <v>0</v>
      </c>
      <c r="CY14" s="21">
        <f t="shared" ref="CY14" si="579">CY13-CM13</f>
        <v>0</v>
      </c>
      <c r="CZ14" s="21">
        <f t="shared" ref="CZ14" si="580">CZ13-CN13</f>
        <v>0</v>
      </c>
      <c r="DA14" s="21">
        <f t="shared" ref="DA14" si="581">DA13-CO13</f>
        <v>0</v>
      </c>
      <c r="DB14" s="21">
        <f t="shared" ref="DB14" si="582">DB13-CP13</f>
        <v>0</v>
      </c>
      <c r="DC14" s="21">
        <f t="shared" ref="DC14" si="583">DC13-CQ13</f>
        <v>0</v>
      </c>
      <c r="DD14" s="21">
        <f t="shared" ref="DD14" si="584">DD13-CR13</f>
        <v>0</v>
      </c>
      <c r="DE14" s="21">
        <f t="shared" ref="DE14" si="585">DE13-CS13</f>
        <v>0</v>
      </c>
      <c r="DF14" s="21">
        <f t="shared" ref="DF14" si="586">DF13-CT13</f>
        <v>0</v>
      </c>
      <c r="DG14" s="21">
        <f t="shared" ref="DG14" si="587">DG13-CU13</f>
        <v>0</v>
      </c>
      <c r="DH14" s="21">
        <f t="shared" ref="DH14" si="588">DH13-CV13</f>
        <v>0</v>
      </c>
      <c r="DI14" s="21">
        <f t="shared" ref="DI14" si="589">DI13-CW13</f>
        <v>0</v>
      </c>
      <c r="DJ14" s="21">
        <f t="shared" ref="DJ14" si="590">DJ13-CX13</f>
        <v>0</v>
      </c>
      <c r="DK14" s="21">
        <f t="shared" ref="DK14" si="591">DK13-CY13</f>
        <v>0</v>
      </c>
      <c r="DL14" s="21">
        <f t="shared" ref="DL14" si="592">DL13-CZ13</f>
        <v>0</v>
      </c>
      <c r="DM14" s="21">
        <f t="shared" ref="DM14" si="593">DM13-DA13</f>
        <v>0</v>
      </c>
      <c r="DN14" s="21">
        <f t="shared" ref="DN14" si="594">DN13-DB13</f>
        <v>0</v>
      </c>
      <c r="DO14" s="21">
        <f t="shared" ref="DO14" si="595">DO13-DC13</f>
        <v>0</v>
      </c>
      <c r="DP14" s="21">
        <f t="shared" ref="DP14" si="596">DP13-DD13</f>
        <v>0</v>
      </c>
      <c r="DQ14" s="21">
        <f t="shared" ref="DQ14" si="597">DQ13-DE13</f>
        <v>0</v>
      </c>
      <c r="DR14" s="21">
        <f t="shared" ref="DR14" si="598">DR13-DF13</f>
        <v>0</v>
      </c>
      <c r="DS14" s="21">
        <f t="shared" ref="DS14" si="599">DS13-DG13</f>
        <v>0</v>
      </c>
      <c r="DT14" s="21">
        <f t="shared" ref="DT14" si="600">DT13-DH13</f>
        <v>0</v>
      </c>
      <c r="DU14" s="21">
        <f t="shared" ref="DU14" si="601">DU13-DI13</f>
        <v>0</v>
      </c>
      <c r="DV14" s="21">
        <f t="shared" ref="DV14" si="602">DV13-DJ13</f>
        <v>0</v>
      </c>
      <c r="DW14" s="21">
        <f t="shared" ref="DW14" si="603">DW13-DK13</f>
        <v>0</v>
      </c>
      <c r="DX14" s="21">
        <f t="shared" ref="DX14" si="604">DX13-DL13</f>
        <v>0</v>
      </c>
      <c r="DY14" s="21">
        <f t="shared" ref="DY14" si="605">DY13-DM13</f>
        <v>0</v>
      </c>
      <c r="DZ14" s="21">
        <f t="shared" ref="DZ14" si="606">DZ13-DN13</f>
        <v>0</v>
      </c>
      <c r="EA14" s="21">
        <f t="shared" ref="EA14" si="607">EA13-DO13</f>
        <v>0</v>
      </c>
      <c r="EB14" s="21">
        <f t="shared" ref="EB14" si="608">EB13-DP13</f>
        <v>0</v>
      </c>
      <c r="EC14" s="21">
        <f t="shared" ref="EC14" si="609">EC13-DQ13</f>
        <v>0</v>
      </c>
      <c r="ED14" s="21">
        <f t="shared" ref="ED14" si="610">ED13-DR13</f>
        <v>0</v>
      </c>
      <c r="EE14" s="21">
        <f t="shared" ref="EE14" si="611">EE13-DS13</f>
        <v>0</v>
      </c>
      <c r="EF14" s="21">
        <f t="shared" ref="EF14" si="612">EF13-DT13</f>
        <v>0</v>
      </c>
      <c r="EG14" s="21">
        <f t="shared" ref="EG14" si="613">EG13-DU13</f>
        <v>0</v>
      </c>
      <c r="EH14" s="21">
        <f t="shared" ref="EH14" si="614">EH13-DV13</f>
        <v>0</v>
      </c>
      <c r="EI14" s="21">
        <f t="shared" ref="EI14" si="615">EI13-DW13</f>
        <v>0</v>
      </c>
      <c r="EJ14" s="21">
        <f t="shared" ref="EJ14" si="616">EJ13-DX13</f>
        <v>0</v>
      </c>
      <c r="EK14" s="21">
        <f t="shared" ref="EK14" si="617">EK13-DY13</f>
        <v>0</v>
      </c>
      <c r="EL14" s="21">
        <f t="shared" ref="EL14" si="618">EL13-DZ13</f>
        <v>0</v>
      </c>
      <c r="EM14" s="21">
        <f t="shared" ref="EM14" si="619">EM13-EA13</f>
        <v>0</v>
      </c>
      <c r="EN14" s="21">
        <f t="shared" ref="EN14" si="620">EN13-EB13</f>
        <v>0</v>
      </c>
      <c r="EO14" s="21">
        <f t="shared" ref="EO14" si="621">EO13-EC13</f>
        <v>0</v>
      </c>
      <c r="EP14" s="21">
        <f t="shared" ref="EP14" si="622">EP13-ED13</f>
        <v>0</v>
      </c>
      <c r="EQ14" s="21">
        <f t="shared" ref="EQ14" si="623">EQ13-EE13</f>
        <v>0</v>
      </c>
      <c r="ER14" s="21">
        <f t="shared" ref="ER14" si="624">ER13-EF13</f>
        <v>0</v>
      </c>
      <c r="ES14" s="21">
        <f t="shared" ref="ES14" si="625">ES13-EG13</f>
        <v>0</v>
      </c>
      <c r="ET14" s="21">
        <f t="shared" ref="ET14" si="626">ET13-EH13</f>
        <v>0</v>
      </c>
      <c r="EU14" s="21">
        <f t="shared" ref="EU14" si="627">EU13-EI13</f>
        <v>0</v>
      </c>
      <c r="EV14" s="21">
        <f t="shared" ref="EV14" si="628">EV13-EJ13</f>
        <v>0</v>
      </c>
      <c r="EW14" s="21">
        <f t="shared" ref="EW14" si="629">EW13-EK13</f>
        <v>0</v>
      </c>
      <c r="EX14" s="21">
        <f t="shared" ref="EX14" si="630">EX13-EL13</f>
        <v>0</v>
      </c>
      <c r="EY14" s="21">
        <f t="shared" ref="EY14" si="631">EY13-EM13</f>
        <v>0</v>
      </c>
      <c r="EZ14" s="21">
        <f t="shared" ref="EZ14" si="632">EZ13-EN13</f>
        <v>0</v>
      </c>
      <c r="FA14" s="21">
        <f t="shared" ref="FA14" si="633">FA13-EO13</f>
        <v>0</v>
      </c>
      <c r="FB14" s="21">
        <f t="shared" ref="FB14" si="634">FB13-EP13</f>
        <v>0</v>
      </c>
      <c r="FC14" s="21">
        <f t="shared" ref="FC14" si="635">FC13-EQ13</f>
        <v>0</v>
      </c>
      <c r="FD14" s="21">
        <f t="shared" ref="FD14" si="636">FD13-ER13</f>
        <v>0</v>
      </c>
      <c r="FE14" s="21">
        <f t="shared" ref="FE14" si="637">FE13-ES13</f>
        <v>0</v>
      </c>
      <c r="FF14" s="21">
        <f t="shared" ref="FF14" si="638">FF13-ET13</f>
        <v>0</v>
      </c>
      <c r="FG14" s="21">
        <f t="shared" ref="FG14" si="639">FG13-EU13</f>
        <v>0</v>
      </c>
      <c r="FH14" s="21">
        <f t="shared" ref="FH14" si="640">FH13-EV13</f>
        <v>0</v>
      </c>
      <c r="FI14" s="21">
        <f t="shared" ref="FI14" si="641">FI13-EW13</f>
        <v>0</v>
      </c>
      <c r="FJ14" s="21">
        <f t="shared" ref="FJ14" si="642">FJ13-EX13</f>
        <v>0</v>
      </c>
      <c r="FK14" s="21">
        <f t="shared" ref="FK14" si="643">FK13-EY13</f>
        <v>0</v>
      </c>
      <c r="FL14" s="21">
        <f t="shared" ref="FL14" si="644">FL13-EZ13</f>
        <v>0</v>
      </c>
      <c r="FM14" s="21">
        <f t="shared" ref="FM14" si="645">FM13-FA13</f>
        <v>0</v>
      </c>
      <c r="FN14" s="21">
        <f t="shared" ref="FN14" si="646">FN13-FB13</f>
        <v>0</v>
      </c>
      <c r="FO14" s="21">
        <f t="shared" ref="FO14" si="647">FO13-FC13</f>
        <v>0</v>
      </c>
      <c r="FP14" s="21">
        <f t="shared" ref="FP14" si="648">FP13-FD13</f>
        <v>0</v>
      </c>
      <c r="FQ14" s="21">
        <f t="shared" ref="FQ14" si="649">FQ13-FE13</f>
        <v>0</v>
      </c>
      <c r="FR14" s="21">
        <f t="shared" ref="FR14" si="650">FR13-FF13</f>
        <v>0</v>
      </c>
      <c r="FS14" s="21">
        <f t="shared" ref="FS14" si="651">FS13-FG13</f>
        <v>0</v>
      </c>
      <c r="FT14" s="21">
        <f t="shared" ref="FT14" si="652">FT13-FH13</f>
        <v>0</v>
      </c>
      <c r="FU14" s="21">
        <f t="shared" ref="FU14" si="653">FU13-FI13</f>
        <v>0</v>
      </c>
      <c r="FV14" s="21">
        <f t="shared" ref="FV14" si="654">FV13-FJ13</f>
        <v>0</v>
      </c>
      <c r="FW14" s="21">
        <f t="shared" ref="FW14" si="655">FW13-FK13</f>
        <v>0</v>
      </c>
      <c r="FX14" s="21">
        <f t="shared" ref="FX14" si="656">FX13-FL13</f>
        <v>0</v>
      </c>
      <c r="FY14" s="21">
        <f t="shared" ref="FY14" si="657">FY13-FM13</f>
        <v>0</v>
      </c>
      <c r="FZ14" s="21">
        <f t="shared" ref="FZ14" si="658">FZ13-FN13</f>
        <v>0</v>
      </c>
      <c r="GA14" s="21">
        <f t="shared" ref="GA14" si="659">GA13-FO13</f>
        <v>0</v>
      </c>
      <c r="GB14" s="21">
        <f t="shared" ref="GB14" si="660">GB13-FP13</f>
        <v>0</v>
      </c>
      <c r="GC14" s="21">
        <f t="shared" ref="GC14" si="661">GC13-FQ13</f>
        <v>0</v>
      </c>
      <c r="GD14" s="21">
        <f t="shared" ref="GD14" si="662">GD13-FR13</f>
        <v>0</v>
      </c>
      <c r="GE14" s="21">
        <f t="shared" ref="GE14" si="663">GE13-FS13</f>
        <v>0</v>
      </c>
      <c r="GF14" s="21">
        <f t="shared" ref="GF14" si="664">GF13-FT13</f>
        <v>0</v>
      </c>
      <c r="GG14" s="21">
        <f t="shared" ref="GG14" si="665">GG13-FU13</f>
        <v>0</v>
      </c>
      <c r="GH14" s="21">
        <f t="shared" ref="GH14" si="666">GH13-FV13</f>
        <v>0</v>
      </c>
      <c r="GI14" s="21">
        <f t="shared" ref="GI14" si="667">GI13-FW13</f>
        <v>0</v>
      </c>
      <c r="GJ14" s="21">
        <f t="shared" ref="GJ14" si="668">GJ13-FX13</f>
        <v>0</v>
      </c>
      <c r="GK14" s="21">
        <f t="shared" ref="GK14" si="669">GK13-FY13</f>
        <v>0</v>
      </c>
      <c r="GL14" s="21">
        <f t="shared" ref="GL14" si="670">GL13-FZ13</f>
        <v>0</v>
      </c>
      <c r="GM14" s="21">
        <f t="shared" ref="GM14" si="671">GM13-GA13</f>
        <v>0</v>
      </c>
      <c r="GN14" s="21">
        <f t="shared" ref="GN14" si="672">GN13-GB13</f>
        <v>0</v>
      </c>
      <c r="GO14" s="21">
        <f t="shared" ref="GO14" si="673">GO13-GC13</f>
        <v>0</v>
      </c>
      <c r="GP14" s="21">
        <f t="shared" ref="GP14" si="674">GP13-GD13</f>
        <v>0</v>
      </c>
      <c r="GQ14" s="21">
        <f t="shared" ref="GQ14" si="675">GQ13-GE13</f>
        <v>0</v>
      </c>
      <c r="GR14" s="21">
        <f t="shared" ref="GR14" si="676">GR13-GF13</f>
        <v>0</v>
      </c>
      <c r="GS14" s="21">
        <f t="shared" ref="GS14" si="677">GS13-GG13</f>
        <v>0</v>
      </c>
      <c r="GT14" s="21">
        <f t="shared" ref="GT14" si="678">GT13-GH13</f>
        <v>0</v>
      </c>
      <c r="GU14" s="21">
        <f t="shared" ref="GU14" si="679">GU13-GI13</f>
        <v>0</v>
      </c>
      <c r="GV14" s="21">
        <f t="shared" ref="GV14" si="680">GV13-GJ13</f>
        <v>0</v>
      </c>
      <c r="GW14" s="21">
        <f t="shared" ref="GW14" si="681">GW13-GK13</f>
        <v>0</v>
      </c>
      <c r="GX14" s="21">
        <f t="shared" ref="GX14" si="682">GX13-GL13</f>
        <v>0</v>
      </c>
      <c r="GY14" s="21">
        <f t="shared" ref="GY14" si="683">GY13-GM13</f>
        <v>0</v>
      </c>
      <c r="GZ14" s="21">
        <f t="shared" ref="GZ14" si="684">GZ13-GN13</f>
        <v>0</v>
      </c>
      <c r="HA14" s="21">
        <f t="shared" ref="HA14" si="685">HA13-GO13</f>
        <v>0</v>
      </c>
      <c r="HB14" s="21">
        <f t="shared" ref="HB14" si="686">HB13-GP13</f>
        <v>0</v>
      </c>
      <c r="HC14" s="21">
        <f t="shared" ref="HC14" si="687">HC13-GQ13</f>
        <v>0</v>
      </c>
      <c r="HD14" s="21">
        <f t="shared" ref="HD14" si="688">HD13-GR13</f>
        <v>0</v>
      </c>
      <c r="HE14" s="21">
        <f t="shared" ref="HE14" si="689">HE13-GS13</f>
        <v>0</v>
      </c>
      <c r="HF14" s="21">
        <f t="shared" ref="HF14" si="690">HF13-GT13</f>
        <v>0</v>
      </c>
      <c r="HG14" s="21">
        <f t="shared" ref="HG14" si="691">HG13-GU13</f>
        <v>0</v>
      </c>
      <c r="HH14" s="21">
        <f t="shared" ref="HH14" si="692">HH13-GV13</f>
        <v>0</v>
      </c>
      <c r="HI14" s="21">
        <f t="shared" ref="HI14" si="693">HI13-GW13</f>
        <v>0</v>
      </c>
      <c r="HJ14" s="21">
        <f t="shared" ref="HJ14" si="694">HJ13-GX13</f>
        <v>0</v>
      </c>
      <c r="HK14" s="21">
        <f t="shared" ref="HK14" si="695">HK13-GY13</f>
        <v>0</v>
      </c>
      <c r="HL14" s="21">
        <f t="shared" ref="HL14" si="696">HL13-GZ13</f>
        <v>0</v>
      </c>
      <c r="HM14" s="21">
        <f t="shared" ref="HM14" si="697">HM13-HA13</f>
        <v>0</v>
      </c>
      <c r="HN14" s="21">
        <f t="shared" ref="HN14" si="698">HN13-HB13</f>
        <v>0</v>
      </c>
      <c r="HO14" s="21">
        <f t="shared" ref="HO14" si="699">HO13-HC13</f>
        <v>0</v>
      </c>
      <c r="HP14" s="21">
        <f t="shared" ref="HP14" si="700">HP13-HD13</f>
        <v>0</v>
      </c>
      <c r="HQ14" s="21">
        <f t="shared" ref="HQ14" si="701">HQ13-HE13</f>
        <v>0</v>
      </c>
      <c r="HR14" s="21">
        <f t="shared" ref="HR14" si="702">HR13-HF13</f>
        <v>0</v>
      </c>
      <c r="HS14" s="21">
        <f t="shared" ref="HS14" si="703">HS13-HG13</f>
        <v>0</v>
      </c>
      <c r="HT14" s="21">
        <f t="shared" ref="HT14" si="704">HT13-HH13</f>
        <v>0</v>
      </c>
      <c r="HU14" s="21">
        <f t="shared" ref="HU14" si="705">HU13-HI13</f>
        <v>0</v>
      </c>
      <c r="HV14" s="21">
        <f t="shared" ref="HV14" si="706">HV13-HJ13</f>
        <v>0</v>
      </c>
      <c r="HW14" s="21">
        <f t="shared" ref="HW14" si="707">HW13-HK13</f>
        <v>0</v>
      </c>
      <c r="HX14" s="21">
        <f t="shared" ref="HX14" si="708">HX13-HL13</f>
        <v>0</v>
      </c>
      <c r="HY14" s="21">
        <f t="shared" ref="HY14" si="709">HY13-HM13</f>
        <v>0</v>
      </c>
      <c r="HZ14" s="21">
        <f t="shared" ref="HZ14" si="710">HZ13-HN13</f>
        <v>0</v>
      </c>
      <c r="IA14" s="21">
        <f t="shared" ref="IA14" si="711">IA13-HO13</f>
        <v>0</v>
      </c>
      <c r="IB14" s="21">
        <f t="shared" ref="IB14" si="712">IB13-HP13</f>
        <v>0</v>
      </c>
      <c r="IC14" s="21">
        <f t="shared" ref="IC14" si="713">IC13-HQ13</f>
        <v>0</v>
      </c>
      <c r="ID14" s="21">
        <f t="shared" ref="ID14" si="714">ID13-HR13</f>
        <v>0</v>
      </c>
      <c r="IE14" s="21">
        <f t="shared" ref="IE14" si="715">IE13-HS13</f>
        <v>0</v>
      </c>
      <c r="IF14" s="21">
        <f t="shared" ref="IF14" si="716">IF13-HT13</f>
        <v>0</v>
      </c>
      <c r="IG14" s="21">
        <f t="shared" ref="IG14" si="717">IG13-HU13</f>
        <v>0</v>
      </c>
      <c r="IH14" s="21">
        <f t="shared" ref="IH14" si="718">IH13-HV13</f>
        <v>0</v>
      </c>
      <c r="II14" s="21">
        <f t="shared" ref="II14" si="719">II13-HW13</f>
        <v>0</v>
      </c>
      <c r="IJ14" s="21">
        <f t="shared" ref="IJ14" si="720">IJ13-HX13</f>
        <v>0</v>
      </c>
      <c r="IK14" s="21">
        <f t="shared" ref="IK14" si="721">IK13-HY13</f>
        <v>0</v>
      </c>
      <c r="IL14" s="21">
        <f t="shared" ref="IL14" si="722">IL13-HZ13</f>
        <v>0</v>
      </c>
      <c r="IM14" s="21">
        <f t="shared" ref="IM14" si="723">IM13-IA13</f>
        <v>0</v>
      </c>
      <c r="IN14" s="21">
        <f t="shared" ref="IN14" si="724">IN13-IB13</f>
        <v>0</v>
      </c>
    </row>
    <row r="15" spans="2:248" x14ac:dyDescent="0.3">
      <c r="B15" s="19" t="s">
        <v>468</v>
      </c>
      <c r="C15" s="21">
        <f>VLOOKUP(B2,Country_Data!C:M,11,FALSE)</f>
        <v>24464.911064</v>
      </c>
      <c r="E15" s="19">
        <v>0.4</v>
      </c>
      <c r="F15" s="22" t="s">
        <v>456</v>
      </c>
      <c r="G15" s="21">
        <f t="shared" ref="G15:BR15" si="725">IF(IF(AND(ISNA(G$5),ISNA(F$5)),F15*(1+$E15),IF(AND(F$5&gt;0,ISNA(G$5)),F15*(1+$E15),G$5))&gt;$C$20,$C$20,IF(AND(ISNA(G$5),ISNA(F$5)),F15*(1+$E15),IF(AND(F$5&gt;0,ISNA(G$5)),F15*(1+$E15),G$5)))</f>
        <v>130</v>
      </c>
      <c r="H15" s="21">
        <f t="shared" si="725"/>
        <v>159</v>
      </c>
      <c r="I15" s="21">
        <f t="shared" si="725"/>
        <v>196</v>
      </c>
      <c r="J15" s="21">
        <f t="shared" si="725"/>
        <v>262</v>
      </c>
      <c r="K15" s="21">
        <f t="shared" si="725"/>
        <v>482</v>
      </c>
      <c r="L15" s="21">
        <f t="shared" si="725"/>
        <v>670</v>
      </c>
      <c r="M15" s="21">
        <f t="shared" si="725"/>
        <v>799</v>
      </c>
      <c r="N15" s="21">
        <f t="shared" si="725"/>
        <v>1040</v>
      </c>
      <c r="O15" s="21">
        <f t="shared" si="725"/>
        <v>1176</v>
      </c>
      <c r="P15" s="21">
        <f t="shared" si="725"/>
        <v>1457</v>
      </c>
      <c r="Q15" s="21">
        <f t="shared" si="725"/>
        <v>1908</v>
      </c>
      <c r="R15" s="21">
        <f t="shared" si="725"/>
        <v>2078</v>
      </c>
      <c r="S15" s="21">
        <f t="shared" si="725"/>
        <v>3675</v>
      </c>
      <c r="T15" s="21">
        <f t="shared" si="725"/>
        <v>4585</v>
      </c>
      <c r="U15" s="21">
        <f t="shared" si="725"/>
        <v>5795</v>
      </c>
      <c r="V15" s="21">
        <f t="shared" si="725"/>
        <v>7272</v>
      </c>
      <c r="W15" s="21">
        <f t="shared" si="725"/>
        <v>9257</v>
      </c>
      <c r="X15" s="21">
        <f t="shared" si="725"/>
        <v>12327</v>
      </c>
      <c r="Y15" s="21">
        <f t="shared" si="725"/>
        <v>15320</v>
      </c>
      <c r="Z15" s="21">
        <f t="shared" si="725"/>
        <v>21448</v>
      </c>
      <c r="AA15" s="21">
        <f t="shared" si="725"/>
        <v>30027.199999999997</v>
      </c>
      <c r="AB15" s="21">
        <f t="shared" si="725"/>
        <v>42038.079999999994</v>
      </c>
      <c r="AC15" s="21">
        <f t="shared" si="725"/>
        <v>58853.311999999991</v>
      </c>
      <c r="AD15" s="21">
        <f t="shared" si="725"/>
        <v>82394.636799999978</v>
      </c>
      <c r="AE15" s="21">
        <f t="shared" si="725"/>
        <v>115352.49151999997</v>
      </c>
      <c r="AF15" s="21">
        <f t="shared" si="725"/>
        <v>161493.48812799994</v>
      </c>
      <c r="AG15" s="21">
        <f t="shared" si="725"/>
        <v>226090.88337919989</v>
      </c>
      <c r="AH15" s="21">
        <f t="shared" si="725"/>
        <v>316527.23673087981</v>
      </c>
      <c r="AI15" s="21">
        <f t="shared" si="725"/>
        <v>443138.13142323174</v>
      </c>
      <c r="AJ15" s="21">
        <f t="shared" si="725"/>
        <v>620393.38399252435</v>
      </c>
      <c r="AK15" s="21">
        <f t="shared" si="725"/>
        <v>868550.73758953402</v>
      </c>
      <c r="AL15" s="21">
        <f t="shared" si="725"/>
        <v>1215971.0326253476</v>
      </c>
      <c r="AM15" s="21">
        <f t="shared" si="725"/>
        <v>1702359.4456754865</v>
      </c>
      <c r="AN15" s="21">
        <f t="shared" si="725"/>
        <v>2383303.223945681</v>
      </c>
      <c r="AO15" s="21">
        <f t="shared" si="725"/>
        <v>3336624.513523953</v>
      </c>
      <c r="AP15" s="21">
        <f t="shared" si="725"/>
        <v>4671274.3189335335</v>
      </c>
      <c r="AQ15" s="21">
        <f t="shared" si="725"/>
        <v>6539784.0465069469</v>
      </c>
      <c r="AR15" s="21">
        <f t="shared" si="725"/>
        <v>9155697.6651097257</v>
      </c>
      <c r="AS15" s="21">
        <f t="shared" si="725"/>
        <v>12817976.731153615</v>
      </c>
      <c r="AT15" s="21">
        <f t="shared" si="725"/>
        <v>17945167.423615061</v>
      </c>
      <c r="AU15" s="21">
        <f t="shared" si="725"/>
        <v>25123234.393061083</v>
      </c>
      <c r="AV15" s="21">
        <f t="shared" si="725"/>
        <v>33513576.800000001</v>
      </c>
      <c r="AW15" s="21">
        <f t="shared" si="725"/>
        <v>33513576.800000001</v>
      </c>
      <c r="AX15" s="21">
        <f t="shared" si="725"/>
        <v>33513576.800000001</v>
      </c>
      <c r="AY15" s="21">
        <f t="shared" si="725"/>
        <v>33513576.800000001</v>
      </c>
      <c r="AZ15" s="21">
        <f t="shared" si="725"/>
        <v>33513576.800000001</v>
      </c>
      <c r="BA15" s="21">
        <f t="shared" si="725"/>
        <v>33513576.800000001</v>
      </c>
      <c r="BB15" s="21">
        <f t="shared" si="725"/>
        <v>33513576.800000001</v>
      </c>
      <c r="BC15" s="21">
        <f t="shared" si="725"/>
        <v>33513576.800000001</v>
      </c>
      <c r="BD15" s="21">
        <f t="shared" si="725"/>
        <v>33513576.800000001</v>
      </c>
      <c r="BE15" s="21">
        <f t="shared" si="725"/>
        <v>33513576.800000001</v>
      </c>
      <c r="BF15" s="21">
        <f t="shared" si="725"/>
        <v>33513576.800000001</v>
      </c>
      <c r="BG15" s="21">
        <f t="shared" si="725"/>
        <v>33513576.800000001</v>
      </c>
      <c r="BH15" s="21">
        <f t="shared" si="725"/>
        <v>33513576.800000001</v>
      </c>
      <c r="BI15" s="21">
        <f t="shared" si="725"/>
        <v>33513576.800000001</v>
      </c>
      <c r="BJ15" s="21">
        <f t="shared" si="725"/>
        <v>33513576.800000001</v>
      </c>
      <c r="BK15" s="21">
        <f t="shared" si="725"/>
        <v>33513576.800000001</v>
      </c>
      <c r="BL15" s="21">
        <f t="shared" si="725"/>
        <v>33513576.800000001</v>
      </c>
      <c r="BM15" s="21">
        <f t="shared" si="725"/>
        <v>33513576.800000001</v>
      </c>
      <c r="BN15" s="21">
        <f t="shared" si="725"/>
        <v>33513576.800000001</v>
      </c>
      <c r="BO15" s="21">
        <f t="shared" si="725"/>
        <v>33513576.800000001</v>
      </c>
      <c r="BP15" s="21">
        <f t="shared" si="725"/>
        <v>33513576.800000001</v>
      </c>
      <c r="BQ15" s="21">
        <f t="shared" si="725"/>
        <v>33513576.800000001</v>
      </c>
      <c r="BR15" s="21">
        <f t="shared" si="725"/>
        <v>33513576.800000001</v>
      </c>
      <c r="BS15" s="21">
        <f t="shared" ref="BS15:ED15" si="726">IF(IF(AND(ISNA(BS$5),ISNA(BR$5)),BR15*(1+$E15),IF(AND(BR$5&gt;0,ISNA(BS$5)),BR15*(1+$E15),BS$5))&gt;$C$20,$C$20,IF(AND(ISNA(BS$5),ISNA(BR$5)),BR15*(1+$E15),IF(AND(BR$5&gt;0,ISNA(BS$5)),BR15*(1+$E15),BS$5)))</f>
        <v>33513576.800000001</v>
      </c>
      <c r="BT15" s="21">
        <f t="shared" si="726"/>
        <v>33513576.800000001</v>
      </c>
      <c r="BU15" s="21">
        <f t="shared" si="726"/>
        <v>33513576.800000001</v>
      </c>
      <c r="BV15" s="21">
        <f t="shared" si="726"/>
        <v>33513576.800000001</v>
      </c>
      <c r="BW15" s="21">
        <f t="shared" si="726"/>
        <v>33513576.800000001</v>
      </c>
      <c r="BX15" s="21">
        <f t="shared" si="726"/>
        <v>33513576.800000001</v>
      </c>
      <c r="BY15" s="21">
        <f t="shared" si="726"/>
        <v>33513576.800000001</v>
      </c>
      <c r="BZ15" s="21">
        <f t="shared" si="726"/>
        <v>33513576.800000001</v>
      </c>
      <c r="CA15" s="21">
        <f t="shared" si="726"/>
        <v>33513576.800000001</v>
      </c>
      <c r="CB15" s="21">
        <f t="shared" si="726"/>
        <v>33513576.800000001</v>
      </c>
      <c r="CC15" s="21">
        <f t="shared" si="726"/>
        <v>33513576.800000001</v>
      </c>
      <c r="CD15" s="21">
        <f t="shared" si="726"/>
        <v>33513576.800000001</v>
      </c>
      <c r="CE15" s="21">
        <f t="shared" si="726"/>
        <v>33513576.800000001</v>
      </c>
      <c r="CF15" s="21">
        <f t="shared" si="726"/>
        <v>33513576.800000001</v>
      </c>
      <c r="CG15" s="21">
        <f t="shared" si="726"/>
        <v>33513576.800000001</v>
      </c>
      <c r="CH15" s="21">
        <f t="shared" si="726"/>
        <v>33513576.800000001</v>
      </c>
      <c r="CI15" s="21">
        <f t="shared" si="726"/>
        <v>33513576.800000001</v>
      </c>
      <c r="CJ15" s="21">
        <f t="shared" si="726"/>
        <v>33513576.800000001</v>
      </c>
      <c r="CK15" s="21">
        <f t="shared" si="726"/>
        <v>33513576.800000001</v>
      </c>
      <c r="CL15" s="21">
        <f t="shared" si="726"/>
        <v>33513576.800000001</v>
      </c>
      <c r="CM15" s="21">
        <f t="shared" si="726"/>
        <v>33513576.800000001</v>
      </c>
      <c r="CN15" s="21">
        <f t="shared" si="726"/>
        <v>33513576.800000001</v>
      </c>
      <c r="CO15" s="21">
        <f t="shared" si="726"/>
        <v>33513576.800000001</v>
      </c>
      <c r="CP15" s="21">
        <f t="shared" si="726"/>
        <v>33513576.800000001</v>
      </c>
      <c r="CQ15" s="21">
        <f t="shared" si="726"/>
        <v>33513576.800000001</v>
      </c>
      <c r="CR15" s="21">
        <f t="shared" si="726"/>
        <v>33513576.800000001</v>
      </c>
      <c r="CS15" s="21">
        <f t="shared" si="726"/>
        <v>33513576.800000001</v>
      </c>
      <c r="CT15" s="21">
        <f t="shared" si="726"/>
        <v>33513576.800000001</v>
      </c>
      <c r="CU15" s="21">
        <f t="shared" si="726"/>
        <v>33513576.800000001</v>
      </c>
      <c r="CV15" s="21">
        <f t="shared" si="726"/>
        <v>33513576.800000001</v>
      </c>
      <c r="CW15" s="21">
        <f t="shared" si="726"/>
        <v>33513576.800000001</v>
      </c>
      <c r="CX15" s="21">
        <f t="shared" si="726"/>
        <v>33513576.800000001</v>
      </c>
      <c r="CY15" s="21">
        <f t="shared" si="726"/>
        <v>33513576.800000001</v>
      </c>
      <c r="CZ15" s="21">
        <f t="shared" si="726"/>
        <v>33513576.800000001</v>
      </c>
      <c r="DA15" s="21">
        <f t="shared" si="726"/>
        <v>33513576.800000001</v>
      </c>
      <c r="DB15" s="21">
        <f t="shared" si="726"/>
        <v>33513576.800000001</v>
      </c>
      <c r="DC15" s="21">
        <f t="shared" si="726"/>
        <v>33513576.800000001</v>
      </c>
      <c r="DD15" s="21">
        <f t="shared" si="726"/>
        <v>33513576.800000001</v>
      </c>
      <c r="DE15" s="21">
        <f t="shared" si="726"/>
        <v>33513576.800000001</v>
      </c>
      <c r="DF15" s="21">
        <f t="shared" si="726"/>
        <v>33513576.800000001</v>
      </c>
      <c r="DG15" s="21">
        <f t="shared" si="726"/>
        <v>33513576.800000001</v>
      </c>
      <c r="DH15" s="21">
        <f t="shared" si="726"/>
        <v>33513576.800000001</v>
      </c>
      <c r="DI15" s="21">
        <f t="shared" si="726"/>
        <v>33513576.800000001</v>
      </c>
      <c r="DJ15" s="21">
        <f t="shared" si="726"/>
        <v>33513576.800000001</v>
      </c>
      <c r="DK15" s="21">
        <f t="shared" si="726"/>
        <v>33513576.800000001</v>
      </c>
      <c r="DL15" s="21">
        <f t="shared" si="726"/>
        <v>33513576.800000001</v>
      </c>
      <c r="DM15" s="21">
        <f t="shared" si="726"/>
        <v>33513576.800000001</v>
      </c>
      <c r="DN15" s="21">
        <f t="shared" si="726"/>
        <v>33513576.800000001</v>
      </c>
      <c r="DO15" s="21">
        <f t="shared" si="726"/>
        <v>33513576.800000001</v>
      </c>
      <c r="DP15" s="21">
        <f t="shared" si="726"/>
        <v>33513576.800000001</v>
      </c>
      <c r="DQ15" s="21">
        <f t="shared" si="726"/>
        <v>33513576.800000001</v>
      </c>
      <c r="DR15" s="21">
        <f t="shared" si="726"/>
        <v>33513576.800000001</v>
      </c>
      <c r="DS15" s="21">
        <f t="shared" si="726"/>
        <v>33513576.800000001</v>
      </c>
      <c r="DT15" s="21">
        <f t="shared" si="726"/>
        <v>33513576.800000001</v>
      </c>
      <c r="DU15" s="21">
        <f t="shared" si="726"/>
        <v>33513576.800000001</v>
      </c>
      <c r="DV15" s="21">
        <f t="shared" si="726"/>
        <v>33513576.800000001</v>
      </c>
      <c r="DW15" s="21">
        <f t="shared" si="726"/>
        <v>33513576.800000001</v>
      </c>
      <c r="DX15" s="21">
        <f t="shared" si="726"/>
        <v>33513576.800000001</v>
      </c>
      <c r="DY15" s="21">
        <f t="shared" si="726"/>
        <v>33513576.800000001</v>
      </c>
      <c r="DZ15" s="21">
        <f t="shared" si="726"/>
        <v>33513576.800000001</v>
      </c>
      <c r="EA15" s="21">
        <f t="shared" si="726"/>
        <v>33513576.800000001</v>
      </c>
      <c r="EB15" s="21">
        <f t="shared" si="726"/>
        <v>33513576.800000001</v>
      </c>
      <c r="EC15" s="21">
        <f t="shared" si="726"/>
        <v>33513576.800000001</v>
      </c>
      <c r="ED15" s="21">
        <f t="shared" si="726"/>
        <v>33513576.800000001</v>
      </c>
      <c r="EE15" s="21">
        <f t="shared" ref="EE15:GP15" si="727">IF(IF(AND(ISNA(EE$5),ISNA(ED$5)),ED15*(1+$E15),IF(AND(ED$5&gt;0,ISNA(EE$5)),ED15*(1+$E15),EE$5))&gt;$C$20,$C$20,IF(AND(ISNA(EE$5),ISNA(ED$5)),ED15*(1+$E15),IF(AND(ED$5&gt;0,ISNA(EE$5)),ED15*(1+$E15),EE$5)))</f>
        <v>33513576.800000001</v>
      </c>
      <c r="EF15" s="21">
        <f t="shared" si="727"/>
        <v>33513576.800000001</v>
      </c>
      <c r="EG15" s="21">
        <f t="shared" si="727"/>
        <v>33513576.800000001</v>
      </c>
      <c r="EH15" s="21">
        <f t="shared" si="727"/>
        <v>33513576.800000001</v>
      </c>
      <c r="EI15" s="21">
        <f t="shared" si="727"/>
        <v>33513576.800000001</v>
      </c>
      <c r="EJ15" s="21">
        <f t="shared" si="727"/>
        <v>33513576.800000001</v>
      </c>
      <c r="EK15" s="21">
        <f t="shared" si="727"/>
        <v>33513576.800000001</v>
      </c>
      <c r="EL15" s="21">
        <f t="shared" si="727"/>
        <v>33513576.800000001</v>
      </c>
      <c r="EM15" s="21">
        <f t="shared" si="727"/>
        <v>33513576.800000001</v>
      </c>
      <c r="EN15" s="21">
        <f t="shared" si="727"/>
        <v>33513576.800000001</v>
      </c>
      <c r="EO15" s="21">
        <f t="shared" si="727"/>
        <v>33513576.800000001</v>
      </c>
      <c r="EP15" s="21">
        <f t="shared" si="727"/>
        <v>33513576.800000001</v>
      </c>
      <c r="EQ15" s="21">
        <f t="shared" si="727"/>
        <v>33513576.800000001</v>
      </c>
      <c r="ER15" s="21">
        <f t="shared" si="727"/>
        <v>33513576.800000001</v>
      </c>
      <c r="ES15" s="21">
        <f t="shared" si="727"/>
        <v>33513576.800000001</v>
      </c>
      <c r="ET15" s="21">
        <f t="shared" si="727"/>
        <v>33513576.800000001</v>
      </c>
      <c r="EU15" s="21">
        <f t="shared" si="727"/>
        <v>33513576.800000001</v>
      </c>
      <c r="EV15" s="21">
        <f t="shared" si="727"/>
        <v>33513576.800000001</v>
      </c>
      <c r="EW15" s="21">
        <f t="shared" si="727"/>
        <v>33513576.800000001</v>
      </c>
      <c r="EX15" s="21">
        <f t="shared" si="727"/>
        <v>33513576.800000001</v>
      </c>
      <c r="EY15" s="21">
        <f t="shared" si="727"/>
        <v>33513576.800000001</v>
      </c>
      <c r="EZ15" s="21">
        <f t="shared" si="727"/>
        <v>33513576.800000001</v>
      </c>
      <c r="FA15" s="21">
        <f t="shared" si="727"/>
        <v>33513576.800000001</v>
      </c>
      <c r="FB15" s="21">
        <f t="shared" si="727"/>
        <v>33513576.800000001</v>
      </c>
      <c r="FC15" s="21">
        <f t="shared" si="727"/>
        <v>33513576.800000001</v>
      </c>
      <c r="FD15" s="21">
        <f t="shared" si="727"/>
        <v>33513576.800000001</v>
      </c>
      <c r="FE15" s="21">
        <f t="shared" si="727"/>
        <v>33513576.800000001</v>
      </c>
      <c r="FF15" s="21">
        <f t="shared" si="727"/>
        <v>33513576.800000001</v>
      </c>
      <c r="FG15" s="21">
        <f t="shared" si="727"/>
        <v>33513576.800000001</v>
      </c>
      <c r="FH15" s="21">
        <f t="shared" si="727"/>
        <v>33513576.800000001</v>
      </c>
      <c r="FI15" s="21">
        <f t="shared" si="727"/>
        <v>33513576.800000001</v>
      </c>
      <c r="FJ15" s="21">
        <f t="shared" si="727"/>
        <v>33513576.800000001</v>
      </c>
      <c r="FK15" s="21">
        <f t="shared" si="727"/>
        <v>33513576.800000001</v>
      </c>
      <c r="FL15" s="21">
        <f t="shared" si="727"/>
        <v>33513576.800000001</v>
      </c>
      <c r="FM15" s="21">
        <f t="shared" si="727"/>
        <v>33513576.800000001</v>
      </c>
      <c r="FN15" s="21">
        <f t="shared" si="727"/>
        <v>33513576.800000001</v>
      </c>
      <c r="FO15" s="21">
        <f t="shared" si="727"/>
        <v>33513576.800000001</v>
      </c>
      <c r="FP15" s="21">
        <f t="shared" si="727"/>
        <v>33513576.800000001</v>
      </c>
      <c r="FQ15" s="21">
        <f t="shared" si="727"/>
        <v>33513576.800000001</v>
      </c>
      <c r="FR15" s="21">
        <f t="shared" si="727"/>
        <v>33513576.800000001</v>
      </c>
      <c r="FS15" s="21">
        <f t="shared" si="727"/>
        <v>33513576.800000001</v>
      </c>
      <c r="FT15" s="21">
        <f t="shared" si="727"/>
        <v>33513576.800000001</v>
      </c>
      <c r="FU15" s="21">
        <f t="shared" si="727"/>
        <v>33513576.800000001</v>
      </c>
      <c r="FV15" s="21">
        <f t="shared" si="727"/>
        <v>33513576.800000001</v>
      </c>
      <c r="FW15" s="21">
        <f t="shared" si="727"/>
        <v>33513576.800000001</v>
      </c>
      <c r="FX15" s="21">
        <f t="shared" si="727"/>
        <v>33513576.800000001</v>
      </c>
      <c r="FY15" s="21">
        <f t="shared" si="727"/>
        <v>33513576.800000001</v>
      </c>
      <c r="FZ15" s="21">
        <f t="shared" si="727"/>
        <v>33513576.800000001</v>
      </c>
      <c r="GA15" s="21">
        <f t="shared" si="727"/>
        <v>33513576.800000001</v>
      </c>
      <c r="GB15" s="21">
        <f t="shared" si="727"/>
        <v>33513576.800000001</v>
      </c>
      <c r="GC15" s="21">
        <f t="shared" si="727"/>
        <v>33513576.800000001</v>
      </c>
      <c r="GD15" s="21">
        <f t="shared" si="727"/>
        <v>33513576.800000001</v>
      </c>
      <c r="GE15" s="21">
        <f t="shared" si="727"/>
        <v>33513576.800000001</v>
      </c>
      <c r="GF15" s="21">
        <f t="shared" si="727"/>
        <v>33513576.800000001</v>
      </c>
      <c r="GG15" s="21">
        <f t="shared" si="727"/>
        <v>33513576.800000001</v>
      </c>
      <c r="GH15" s="21">
        <f t="shared" si="727"/>
        <v>33513576.800000001</v>
      </c>
      <c r="GI15" s="21">
        <f t="shared" si="727"/>
        <v>33513576.800000001</v>
      </c>
      <c r="GJ15" s="21">
        <f t="shared" si="727"/>
        <v>33513576.800000001</v>
      </c>
      <c r="GK15" s="21">
        <f t="shared" si="727"/>
        <v>33513576.800000001</v>
      </c>
      <c r="GL15" s="21">
        <f t="shared" si="727"/>
        <v>33513576.800000001</v>
      </c>
      <c r="GM15" s="21">
        <f t="shared" si="727"/>
        <v>33513576.800000001</v>
      </c>
      <c r="GN15" s="21">
        <f t="shared" si="727"/>
        <v>33513576.800000001</v>
      </c>
      <c r="GO15" s="21">
        <f t="shared" si="727"/>
        <v>33513576.800000001</v>
      </c>
      <c r="GP15" s="21">
        <f t="shared" si="727"/>
        <v>33513576.800000001</v>
      </c>
      <c r="GQ15" s="21">
        <f t="shared" ref="GQ15:IN15" si="728">IF(IF(AND(ISNA(GQ$5),ISNA(GP$5)),GP15*(1+$E15),IF(AND(GP$5&gt;0,ISNA(GQ$5)),GP15*(1+$E15),GQ$5))&gt;$C$20,$C$20,IF(AND(ISNA(GQ$5),ISNA(GP$5)),GP15*(1+$E15),IF(AND(GP$5&gt;0,ISNA(GQ$5)),GP15*(1+$E15),GQ$5)))</f>
        <v>33513576.800000001</v>
      </c>
      <c r="GR15" s="21">
        <f t="shared" si="728"/>
        <v>33513576.800000001</v>
      </c>
      <c r="GS15" s="21">
        <f t="shared" si="728"/>
        <v>33513576.800000001</v>
      </c>
      <c r="GT15" s="21">
        <f t="shared" si="728"/>
        <v>33513576.800000001</v>
      </c>
      <c r="GU15" s="21">
        <f t="shared" si="728"/>
        <v>33513576.800000001</v>
      </c>
      <c r="GV15" s="21">
        <f t="shared" si="728"/>
        <v>33513576.800000001</v>
      </c>
      <c r="GW15" s="21">
        <f t="shared" si="728"/>
        <v>33513576.800000001</v>
      </c>
      <c r="GX15" s="21">
        <f t="shared" si="728"/>
        <v>33513576.800000001</v>
      </c>
      <c r="GY15" s="21">
        <f t="shared" si="728"/>
        <v>33513576.800000001</v>
      </c>
      <c r="GZ15" s="21">
        <f t="shared" si="728"/>
        <v>33513576.800000001</v>
      </c>
      <c r="HA15" s="21">
        <f t="shared" si="728"/>
        <v>33513576.800000001</v>
      </c>
      <c r="HB15" s="21">
        <f t="shared" si="728"/>
        <v>33513576.800000001</v>
      </c>
      <c r="HC15" s="21">
        <f t="shared" si="728"/>
        <v>33513576.800000001</v>
      </c>
      <c r="HD15" s="21">
        <f t="shared" si="728"/>
        <v>33513576.800000001</v>
      </c>
      <c r="HE15" s="21">
        <f t="shared" si="728"/>
        <v>33513576.800000001</v>
      </c>
      <c r="HF15" s="21">
        <f t="shared" si="728"/>
        <v>33513576.800000001</v>
      </c>
      <c r="HG15" s="21">
        <f t="shared" si="728"/>
        <v>33513576.800000001</v>
      </c>
      <c r="HH15" s="21">
        <f t="shared" si="728"/>
        <v>33513576.800000001</v>
      </c>
      <c r="HI15" s="21">
        <f t="shared" si="728"/>
        <v>33513576.800000001</v>
      </c>
      <c r="HJ15" s="21">
        <f t="shared" si="728"/>
        <v>33513576.800000001</v>
      </c>
      <c r="HK15" s="21">
        <f t="shared" si="728"/>
        <v>33513576.800000001</v>
      </c>
      <c r="HL15" s="21">
        <f t="shared" si="728"/>
        <v>33513576.800000001</v>
      </c>
      <c r="HM15" s="21">
        <f t="shared" si="728"/>
        <v>33513576.800000001</v>
      </c>
      <c r="HN15" s="21">
        <f t="shared" si="728"/>
        <v>33513576.800000001</v>
      </c>
      <c r="HO15" s="21">
        <f t="shared" si="728"/>
        <v>33513576.800000001</v>
      </c>
      <c r="HP15" s="21">
        <f t="shared" si="728"/>
        <v>33513576.800000001</v>
      </c>
      <c r="HQ15" s="21">
        <f t="shared" si="728"/>
        <v>33513576.800000001</v>
      </c>
      <c r="HR15" s="21">
        <f t="shared" si="728"/>
        <v>33513576.800000001</v>
      </c>
      <c r="HS15" s="21">
        <f t="shared" si="728"/>
        <v>33513576.800000001</v>
      </c>
      <c r="HT15" s="21">
        <f t="shared" si="728"/>
        <v>33513576.800000001</v>
      </c>
      <c r="HU15" s="21">
        <f t="shared" si="728"/>
        <v>33513576.800000001</v>
      </c>
      <c r="HV15" s="21">
        <f t="shared" si="728"/>
        <v>33513576.800000001</v>
      </c>
      <c r="HW15" s="21">
        <f t="shared" si="728"/>
        <v>33513576.800000001</v>
      </c>
      <c r="HX15" s="21">
        <f t="shared" si="728"/>
        <v>33513576.800000001</v>
      </c>
      <c r="HY15" s="21">
        <f t="shared" si="728"/>
        <v>33513576.800000001</v>
      </c>
      <c r="HZ15" s="21">
        <f t="shared" si="728"/>
        <v>33513576.800000001</v>
      </c>
      <c r="IA15" s="21">
        <f t="shared" si="728"/>
        <v>33513576.800000001</v>
      </c>
      <c r="IB15" s="21">
        <f t="shared" si="728"/>
        <v>33513576.800000001</v>
      </c>
      <c r="IC15" s="21">
        <f t="shared" si="728"/>
        <v>33513576.800000001</v>
      </c>
      <c r="ID15" s="21">
        <f t="shared" si="728"/>
        <v>33513576.800000001</v>
      </c>
      <c r="IE15" s="21">
        <f t="shared" si="728"/>
        <v>33513576.800000001</v>
      </c>
      <c r="IF15" s="21">
        <f t="shared" si="728"/>
        <v>33513576.800000001</v>
      </c>
      <c r="IG15" s="21">
        <f t="shared" si="728"/>
        <v>33513576.800000001</v>
      </c>
      <c r="IH15" s="21">
        <f t="shared" si="728"/>
        <v>33513576.800000001</v>
      </c>
      <c r="II15" s="21">
        <f t="shared" si="728"/>
        <v>33513576.800000001</v>
      </c>
      <c r="IJ15" s="21">
        <f t="shared" si="728"/>
        <v>33513576.800000001</v>
      </c>
      <c r="IK15" s="21">
        <f t="shared" si="728"/>
        <v>33513576.800000001</v>
      </c>
      <c r="IL15" s="21">
        <f t="shared" si="728"/>
        <v>33513576.800000001</v>
      </c>
      <c r="IM15" s="21">
        <f t="shared" si="728"/>
        <v>33513576.800000001</v>
      </c>
      <c r="IN15" s="21">
        <f t="shared" si="728"/>
        <v>33513576.800000001</v>
      </c>
    </row>
    <row r="16" spans="2:248" x14ac:dyDescent="0.3">
      <c r="B16" s="19" t="s">
        <v>506</v>
      </c>
      <c r="C16" s="23">
        <v>2.5000000000000001E-2</v>
      </c>
      <c r="F16" s="19" t="s">
        <v>497</v>
      </c>
      <c r="G16" s="21">
        <f t="shared" ref="G16:R16" si="729">G15</f>
        <v>130</v>
      </c>
      <c r="H16" s="21">
        <f t="shared" si="729"/>
        <v>159</v>
      </c>
      <c r="I16" s="21">
        <f t="shared" si="729"/>
        <v>196</v>
      </c>
      <c r="J16" s="21">
        <f t="shared" si="729"/>
        <v>262</v>
      </c>
      <c r="K16" s="21">
        <f t="shared" si="729"/>
        <v>482</v>
      </c>
      <c r="L16" s="21">
        <f t="shared" si="729"/>
        <v>670</v>
      </c>
      <c r="M16" s="21">
        <f t="shared" si="729"/>
        <v>799</v>
      </c>
      <c r="N16" s="21">
        <f t="shared" si="729"/>
        <v>1040</v>
      </c>
      <c r="O16" s="21">
        <f t="shared" si="729"/>
        <v>1176</v>
      </c>
      <c r="P16" s="21">
        <f t="shared" si="729"/>
        <v>1457</v>
      </c>
      <c r="Q16" s="21">
        <f t="shared" si="729"/>
        <v>1908</v>
      </c>
      <c r="R16" s="21">
        <f t="shared" si="729"/>
        <v>2078</v>
      </c>
      <c r="S16" s="21">
        <f>S15-G15</f>
        <v>3545</v>
      </c>
      <c r="T16" s="21">
        <f t="shared" ref="T16" si="730">T15-H15</f>
        <v>4426</v>
      </c>
      <c r="U16" s="21">
        <f t="shared" ref="U16" si="731">U15-I15</f>
        <v>5599</v>
      </c>
      <c r="V16" s="21">
        <f t="shared" ref="V16" si="732">V15-J15</f>
        <v>7010</v>
      </c>
      <c r="W16" s="21">
        <f t="shared" ref="W16" si="733">W15-K15</f>
        <v>8775</v>
      </c>
      <c r="X16" s="21">
        <f t="shared" ref="X16" si="734">X15-L15</f>
        <v>11657</v>
      </c>
      <c r="Y16" s="21">
        <f t="shared" ref="Y16" si="735">Y15-M15</f>
        <v>14521</v>
      </c>
      <c r="Z16" s="21">
        <f t="shared" ref="Z16" si="736">Z15-N15</f>
        <v>20408</v>
      </c>
      <c r="AA16" s="21">
        <f t="shared" ref="AA16" si="737">AA15-O15</f>
        <v>28851.199999999997</v>
      </c>
      <c r="AB16" s="21">
        <f t="shared" ref="AB16" si="738">AB15-P15</f>
        <v>40581.079999999994</v>
      </c>
      <c r="AC16" s="21">
        <f t="shared" ref="AC16" si="739">AC15-Q15</f>
        <v>56945.311999999991</v>
      </c>
      <c r="AD16" s="21">
        <f t="shared" ref="AD16" si="740">AD15-R15</f>
        <v>80316.636799999978</v>
      </c>
      <c r="AE16" s="21">
        <f t="shared" ref="AE16" si="741">AE15-S15</f>
        <v>111677.49151999997</v>
      </c>
      <c r="AF16" s="21">
        <f t="shared" ref="AF16" si="742">AF15-T15</f>
        <v>156908.48812799994</v>
      </c>
      <c r="AG16" s="21">
        <f t="shared" ref="AG16" si="743">AG15-U15</f>
        <v>220295.88337919989</v>
      </c>
      <c r="AH16" s="21">
        <f t="shared" ref="AH16" si="744">AH15-V15</f>
        <v>309255.23673087981</v>
      </c>
      <c r="AI16" s="21">
        <f t="shared" ref="AI16" si="745">AI15-W15</f>
        <v>433881.13142323174</v>
      </c>
      <c r="AJ16" s="21">
        <f t="shared" ref="AJ16" si="746">AJ15-X15</f>
        <v>608066.38399252435</v>
      </c>
      <c r="AK16" s="21">
        <f t="shared" ref="AK16" si="747">AK15-Y15</f>
        <v>853230.73758953402</v>
      </c>
      <c r="AL16" s="21">
        <f t="shared" ref="AL16" si="748">AL15-Z15</f>
        <v>1194523.0326253476</v>
      </c>
      <c r="AM16" s="21">
        <f t="shared" ref="AM16" si="749">AM15-AA15</f>
        <v>1672332.2456754865</v>
      </c>
      <c r="AN16" s="21">
        <f t="shared" ref="AN16" si="750">AN15-AB15</f>
        <v>2341265.1439456809</v>
      </c>
      <c r="AO16" s="21">
        <f t="shared" ref="AO16" si="751">AO15-AC15</f>
        <v>3277771.2015239531</v>
      </c>
      <c r="AP16" s="21">
        <f t="shared" ref="AP16" si="752">AP15-AD15</f>
        <v>4588879.6821335331</v>
      </c>
      <c r="AQ16" s="21">
        <f t="shared" ref="AQ16" si="753">AQ15-AE15</f>
        <v>6424431.5549869472</v>
      </c>
      <c r="AR16" s="21">
        <f t="shared" ref="AR16" si="754">AR15-AF15</f>
        <v>8994204.1769817248</v>
      </c>
      <c r="AS16" s="21">
        <f t="shared" ref="AS16" si="755">AS15-AG15</f>
        <v>12591885.847774414</v>
      </c>
      <c r="AT16" s="21">
        <f t="shared" ref="AT16" si="756">AT15-AH15</f>
        <v>17628640.18688418</v>
      </c>
      <c r="AU16" s="21">
        <f t="shared" ref="AU16" si="757">AU15-AI15</f>
        <v>24680096.261637852</v>
      </c>
      <c r="AV16" s="21">
        <f t="shared" ref="AV16" si="758">AV15-AJ15</f>
        <v>32893183.416007478</v>
      </c>
      <c r="AW16" s="21">
        <f t="shared" ref="AW16" si="759">AW15-AK15</f>
        <v>32645026.062410466</v>
      </c>
      <c r="AX16" s="21">
        <f t="shared" ref="AX16" si="760">AX15-AL15</f>
        <v>32297605.767374653</v>
      </c>
      <c r="AY16" s="21">
        <f t="shared" ref="AY16" si="761">AY15-AM15</f>
        <v>31811217.354324516</v>
      </c>
      <c r="AZ16" s="21">
        <f t="shared" ref="AZ16" si="762">AZ15-AN15</f>
        <v>31130273.57605432</v>
      </c>
      <c r="BA16" s="21">
        <f t="shared" ref="BA16" si="763">BA15-AO15</f>
        <v>30176952.286476046</v>
      </c>
      <c r="BB16" s="21">
        <f t="shared" ref="BB16" si="764">BB15-AP15</f>
        <v>28842302.481066465</v>
      </c>
      <c r="BC16" s="21">
        <f t="shared" ref="BC16" si="765">BC15-AQ15</f>
        <v>26973792.753493056</v>
      </c>
      <c r="BD16" s="21">
        <f t="shared" ref="BD16" si="766">BD15-AR15</f>
        <v>24357879.134890273</v>
      </c>
      <c r="BE16" s="21">
        <f t="shared" ref="BE16" si="767">BE15-AS15</f>
        <v>20695600.068846386</v>
      </c>
      <c r="BF16" s="21">
        <f t="shared" ref="BF16" si="768">BF15-AT15</f>
        <v>15568409.37638494</v>
      </c>
      <c r="BG16" s="21">
        <f t="shared" ref="BG16" si="769">BG15-AU15</f>
        <v>8390342.4069389179</v>
      </c>
      <c r="BH16" s="21">
        <f t="shared" ref="BH16" si="770">BH15-AV15</f>
        <v>0</v>
      </c>
      <c r="BI16" s="21">
        <f t="shared" ref="BI16" si="771">BI15-AW15</f>
        <v>0</v>
      </c>
      <c r="BJ16" s="21">
        <f t="shared" ref="BJ16" si="772">BJ15-AX15</f>
        <v>0</v>
      </c>
      <c r="BK16" s="21">
        <f t="shared" ref="BK16" si="773">BK15-AY15</f>
        <v>0</v>
      </c>
      <c r="BL16" s="21">
        <f t="shared" ref="BL16" si="774">BL15-AZ15</f>
        <v>0</v>
      </c>
      <c r="BM16" s="21">
        <f t="shared" ref="BM16" si="775">BM15-BA15</f>
        <v>0</v>
      </c>
      <c r="BN16" s="21">
        <f t="shared" ref="BN16" si="776">BN15-BB15</f>
        <v>0</v>
      </c>
      <c r="BO16" s="21">
        <f t="shared" ref="BO16" si="777">BO15-BC15</f>
        <v>0</v>
      </c>
      <c r="BP16" s="21">
        <f t="shared" ref="BP16" si="778">BP15-BD15</f>
        <v>0</v>
      </c>
      <c r="BQ16" s="21">
        <f t="shared" ref="BQ16" si="779">BQ15-BE15</f>
        <v>0</v>
      </c>
      <c r="BR16" s="21">
        <f t="shared" ref="BR16" si="780">BR15-BF15</f>
        <v>0</v>
      </c>
      <c r="BS16" s="21">
        <f t="shared" ref="BS16" si="781">BS15-BG15</f>
        <v>0</v>
      </c>
      <c r="BT16" s="21">
        <f t="shared" ref="BT16" si="782">BT15-BH15</f>
        <v>0</v>
      </c>
      <c r="BU16" s="21">
        <f t="shared" ref="BU16" si="783">BU15-BI15</f>
        <v>0</v>
      </c>
      <c r="BV16" s="21">
        <f t="shared" ref="BV16" si="784">BV15-BJ15</f>
        <v>0</v>
      </c>
      <c r="BW16" s="21">
        <f t="shared" ref="BW16" si="785">BW15-BK15</f>
        <v>0</v>
      </c>
      <c r="BX16" s="21">
        <f t="shared" ref="BX16" si="786">BX15-BL15</f>
        <v>0</v>
      </c>
      <c r="BY16" s="21">
        <f t="shared" ref="BY16" si="787">BY15-BM15</f>
        <v>0</v>
      </c>
      <c r="BZ16" s="21">
        <f t="shared" ref="BZ16" si="788">BZ15-BN15</f>
        <v>0</v>
      </c>
      <c r="CA16" s="21">
        <f t="shared" ref="CA16" si="789">CA15-BO15</f>
        <v>0</v>
      </c>
      <c r="CB16" s="21">
        <f t="shared" ref="CB16" si="790">CB15-BP15</f>
        <v>0</v>
      </c>
      <c r="CC16" s="21">
        <f t="shared" ref="CC16" si="791">CC15-BQ15</f>
        <v>0</v>
      </c>
      <c r="CD16" s="21">
        <f t="shared" ref="CD16" si="792">CD15-BR15</f>
        <v>0</v>
      </c>
      <c r="CE16" s="21">
        <f t="shared" ref="CE16" si="793">CE15-BS15</f>
        <v>0</v>
      </c>
      <c r="CF16" s="21">
        <f t="shared" ref="CF16" si="794">CF15-BT15</f>
        <v>0</v>
      </c>
      <c r="CG16" s="21">
        <f t="shared" ref="CG16" si="795">CG15-BU15</f>
        <v>0</v>
      </c>
      <c r="CH16" s="21">
        <f t="shared" ref="CH16" si="796">CH15-BV15</f>
        <v>0</v>
      </c>
      <c r="CI16" s="21">
        <f t="shared" ref="CI16" si="797">CI15-BW15</f>
        <v>0</v>
      </c>
      <c r="CJ16" s="21">
        <f t="shared" ref="CJ16" si="798">CJ15-BX15</f>
        <v>0</v>
      </c>
      <c r="CK16" s="21">
        <f t="shared" ref="CK16" si="799">CK15-BY15</f>
        <v>0</v>
      </c>
      <c r="CL16" s="21">
        <f t="shared" ref="CL16" si="800">CL15-BZ15</f>
        <v>0</v>
      </c>
      <c r="CM16" s="21">
        <f t="shared" ref="CM16" si="801">CM15-CA15</f>
        <v>0</v>
      </c>
      <c r="CN16" s="21">
        <f t="shared" ref="CN16" si="802">CN15-CB15</f>
        <v>0</v>
      </c>
      <c r="CO16" s="21">
        <f t="shared" ref="CO16" si="803">CO15-CC15</f>
        <v>0</v>
      </c>
      <c r="CP16" s="21">
        <f t="shared" ref="CP16" si="804">CP15-CD15</f>
        <v>0</v>
      </c>
      <c r="CQ16" s="21">
        <f t="shared" ref="CQ16" si="805">CQ15-CE15</f>
        <v>0</v>
      </c>
      <c r="CR16" s="21">
        <f t="shared" ref="CR16" si="806">CR15-CF15</f>
        <v>0</v>
      </c>
      <c r="CS16" s="21">
        <f t="shared" ref="CS16" si="807">CS15-CG15</f>
        <v>0</v>
      </c>
      <c r="CT16" s="21">
        <f t="shared" ref="CT16" si="808">CT15-CH15</f>
        <v>0</v>
      </c>
      <c r="CU16" s="21">
        <f t="shared" ref="CU16" si="809">CU15-CI15</f>
        <v>0</v>
      </c>
      <c r="CV16" s="21">
        <f t="shared" ref="CV16" si="810">CV15-CJ15</f>
        <v>0</v>
      </c>
      <c r="CW16" s="21">
        <f t="shared" ref="CW16" si="811">CW15-CK15</f>
        <v>0</v>
      </c>
      <c r="CX16" s="21">
        <f t="shared" ref="CX16" si="812">CX15-CL15</f>
        <v>0</v>
      </c>
      <c r="CY16" s="21">
        <f t="shared" ref="CY16" si="813">CY15-CM15</f>
        <v>0</v>
      </c>
      <c r="CZ16" s="21">
        <f t="shared" ref="CZ16" si="814">CZ15-CN15</f>
        <v>0</v>
      </c>
      <c r="DA16" s="21">
        <f t="shared" ref="DA16" si="815">DA15-CO15</f>
        <v>0</v>
      </c>
      <c r="DB16" s="21">
        <f t="shared" ref="DB16" si="816">DB15-CP15</f>
        <v>0</v>
      </c>
      <c r="DC16" s="21">
        <f t="shared" ref="DC16" si="817">DC15-CQ15</f>
        <v>0</v>
      </c>
      <c r="DD16" s="21">
        <f t="shared" ref="DD16" si="818">DD15-CR15</f>
        <v>0</v>
      </c>
      <c r="DE16" s="21">
        <f t="shared" ref="DE16" si="819">DE15-CS15</f>
        <v>0</v>
      </c>
      <c r="DF16" s="21">
        <f t="shared" ref="DF16" si="820">DF15-CT15</f>
        <v>0</v>
      </c>
      <c r="DG16" s="21">
        <f t="shared" ref="DG16" si="821">DG15-CU15</f>
        <v>0</v>
      </c>
      <c r="DH16" s="21">
        <f t="shared" ref="DH16" si="822">DH15-CV15</f>
        <v>0</v>
      </c>
      <c r="DI16" s="21">
        <f t="shared" ref="DI16" si="823">DI15-CW15</f>
        <v>0</v>
      </c>
      <c r="DJ16" s="21">
        <f t="shared" ref="DJ16" si="824">DJ15-CX15</f>
        <v>0</v>
      </c>
      <c r="DK16" s="21">
        <f t="shared" ref="DK16" si="825">DK15-CY15</f>
        <v>0</v>
      </c>
      <c r="DL16" s="21">
        <f t="shared" ref="DL16" si="826">DL15-CZ15</f>
        <v>0</v>
      </c>
      <c r="DM16" s="21">
        <f t="shared" ref="DM16" si="827">DM15-DA15</f>
        <v>0</v>
      </c>
      <c r="DN16" s="21">
        <f t="shared" ref="DN16" si="828">DN15-DB15</f>
        <v>0</v>
      </c>
      <c r="DO16" s="21">
        <f t="shared" ref="DO16" si="829">DO15-DC15</f>
        <v>0</v>
      </c>
      <c r="DP16" s="21">
        <f t="shared" ref="DP16" si="830">DP15-DD15</f>
        <v>0</v>
      </c>
      <c r="DQ16" s="21">
        <f t="shared" ref="DQ16" si="831">DQ15-DE15</f>
        <v>0</v>
      </c>
      <c r="DR16" s="21">
        <f t="shared" ref="DR16" si="832">DR15-DF15</f>
        <v>0</v>
      </c>
      <c r="DS16" s="21">
        <f t="shared" ref="DS16" si="833">DS15-DG15</f>
        <v>0</v>
      </c>
      <c r="DT16" s="21">
        <f t="shared" ref="DT16" si="834">DT15-DH15</f>
        <v>0</v>
      </c>
      <c r="DU16" s="21">
        <f t="shared" ref="DU16" si="835">DU15-DI15</f>
        <v>0</v>
      </c>
      <c r="DV16" s="21">
        <f t="shared" ref="DV16" si="836">DV15-DJ15</f>
        <v>0</v>
      </c>
      <c r="DW16" s="21">
        <f t="shared" ref="DW16" si="837">DW15-DK15</f>
        <v>0</v>
      </c>
      <c r="DX16" s="21">
        <f t="shared" ref="DX16" si="838">DX15-DL15</f>
        <v>0</v>
      </c>
      <c r="DY16" s="21">
        <f t="shared" ref="DY16" si="839">DY15-DM15</f>
        <v>0</v>
      </c>
      <c r="DZ16" s="21">
        <f t="shared" ref="DZ16" si="840">DZ15-DN15</f>
        <v>0</v>
      </c>
      <c r="EA16" s="21">
        <f t="shared" ref="EA16" si="841">EA15-DO15</f>
        <v>0</v>
      </c>
      <c r="EB16" s="21">
        <f t="shared" ref="EB16" si="842">EB15-DP15</f>
        <v>0</v>
      </c>
      <c r="EC16" s="21">
        <f t="shared" ref="EC16" si="843">EC15-DQ15</f>
        <v>0</v>
      </c>
      <c r="ED16" s="21">
        <f t="shared" ref="ED16" si="844">ED15-DR15</f>
        <v>0</v>
      </c>
      <c r="EE16" s="21">
        <f t="shared" ref="EE16" si="845">EE15-DS15</f>
        <v>0</v>
      </c>
      <c r="EF16" s="21">
        <f t="shared" ref="EF16" si="846">EF15-DT15</f>
        <v>0</v>
      </c>
      <c r="EG16" s="21">
        <f t="shared" ref="EG16" si="847">EG15-DU15</f>
        <v>0</v>
      </c>
      <c r="EH16" s="21">
        <f t="shared" ref="EH16" si="848">EH15-DV15</f>
        <v>0</v>
      </c>
      <c r="EI16" s="21">
        <f t="shared" ref="EI16" si="849">EI15-DW15</f>
        <v>0</v>
      </c>
      <c r="EJ16" s="21">
        <f t="shared" ref="EJ16" si="850">EJ15-DX15</f>
        <v>0</v>
      </c>
      <c r="EK16" s="21">
        <f t="shared" ref="EK16" si="851">EK15-DY15</f>
        <v>0</v>
      </c>
      <c r="EL16" s="21">
        <f t="shared" ref="EL16" si="852">EL15-DZ15</f>
        <v>0</v>
      </c>
      <c r="EM16" s="21">
        <f t="shared" ref="EM16" si="853">EM15-EA15</f>
        <v>0</v>
      </c>
      <c r="EN16" s="21">
        <f t="shared" ref="EN16" si="854">EN15-EB15</f>
        <v>0</v>
      </c>
      <c r="EO16" s="21">
        <f t="shared" ref="EO16" si="855">EO15-EC15</f>
        <v>0</v>
      </c>
      <c r="EP16" s="21">
        <f t="shared" ref="EP16" si="856">EP15-ED15</f>
        <v>0</v>
      </c>
      <c r="EQ16" s="21">
        <f t="shared" ref="EQ16" si="857">EQ15-EE15</f>
        <v>0</v>
      </c>
      <c r="ER16" s="21">
        <f t="shared" ref="ER16" si="858">ER15-EF15</f>
        <v>0</v>
      </c>
      <c r="ES16" s="21">
        <f t="shared" ref="ES16" si="859">ES15-EG15</f>
        <v>0</v>
      </c>
      <c r="ET16" s="21">
        <f t="shared" ref="ET16" si="860">ET15-EH15</f>
        <v>0</v>
      </c>
      <c r="EU16" s="21">
        <f t="shared" ref="EU16" si="861">EU15-EI15</f>
        <v>0</v>
      </c>
      <c r="EV16" s="21">
        <f t="shared" ref="EV16" si="862">EV15-EJ15</f>
        <v>0</v>
      </c>
      <c r="EW16" s="21">
        <f t="shared" ref="EW16" si="863">EW15-EK15</f>
        <v>0</v>
      </c>
      <c r="EX16" s="21">
        <f t="shared" ref="EX16" si="864">EX15-EL15</f>
        <v>0</v>
      </c>
      <c r="EY16" s="21">
        <f t="shared" ref="EY16" si="865">EY15-EM15</f>
        <v>0</v>
      </c>
      <c r="EZ16" s="21">
        <f t="shared" ref="EZ16" si="866">EZ15-EN15</f>
        <v>0</v>
      </c>
      <c r="FA16" s="21">
        <f t="shared" ref="FA16" si="867">FA15-EO15</f>
        <v>0</v>
      </c>
      <c r="FB16" s="21">
        <f t="shared" ref="FB16" si="868">FB15-EP15</f>
        <v>0</v>
      </c>
      <c r="FC16" s="21">
        <f t="shared" ref="FC16" si="869">FC15-EQ15</f>
        <v>0</v>
      </c>
      <c r="FD16" s="21">
        <f t="shared" ref="FD16" si="870">FD15-ER15</f>
        <v>0</v>
      </c>
      <c r="FE16" s="21">
        <f t="shared" ref="FE16" si="871">FE15-ES15</f>
        <v>0</v>
      </c>
      <c r="FF16" s="21">
        <f t="shared" ref="FF16" si="872">FF15-ET15</f>
        <v>0</v>
      </c>
      <c r="FG16" s="21">
        <f t="shared" ref="FG16" si="873">FG15-EU15</f>
        <v>0</v>
      </c>
      <c r="FH16" s="21">
        <f t="shared" ref="FH16" si="874">FH15-EV15</f>
        <v>0</v>
      </c>
      <c r="FI16" s="21">
        <f t="shared" ref="FI16" si="875">FI15-EW15</f>
        <v>0</v>
      </c>
      <c r="FJ16" s="21">
        <f t="shared" ref="FJ16" si="876">FJ15-EX15</f>
        <v>0</v>
      </c>
      <c r="FK16" s="21">
        <f t="shared" ref="FK16" si="877">FK15-EY15</f>
        <v>0</v>
      </c>
      <c r="FL16" s="21">
        <f t="shared" ref="FL16" si="878">FL15-EZ15</f>
        <v>0</v>
      </c>
      <c r="FM16" s="21">
        <f t="shared" ref="FM16" si="879">FM15-FA15</f>
        <v>0</v>
      </c>
      <c r="FN16" s="21">
        <f t="shared" ref="FN16" si="880">FN15-FB15</f>
        <v>0</v>
      </c>
      <c r="FO16" s="21">
        <f t="shared" ref="FO16" si="881">FO15-FC15</f>
        <v>0</v>
      </c>
      <c r="FP16" s="21">
        <f t="shared" ref="FP16" si="882">FP15-FD15</f>
        <v>0</v>
      </c>
      <c r="FQ16" s="21">
        <f t="shared" ref="FQ16" si="883">FQ15-FE15</f>
        <v>0</v>
      </c>
      <c r="FR16" s="21">
        <f t="shared" ref="FR16" si="884">FR15-FF15</f>
        <v>0</v>
      </c>
      <c r="FS16" s="21">
        <f t="shared" ref="FS16" si="885">FS15-FG15</f>
        <v>0</v>
      </c>
      <c r="FT16" s="21">
        <f t="shared" ref="FT16" si="886">FT15-FH15</f>
        <v>0</v>
      </c>
      <c r="FU16" s="21">
        <f t="shared" ref="FU16" si="887">FU15-FI15</f>
        <v>0</v>
      </c>
      <c r="FV16" s="21">
        <f t="shared" ref="FV16" si="888">FV15-FJ15</f>
        <v>0</v>
      </c>
      <c r="FW16" s="21">
        <f t="shared" ref="FW16" si="889">FW15-FK15</f>
        <v>0</v>
      </c>
      <c r="FX16" s="21">
        <f t="shared" ref="FX16" si="890">FX15-FL15</f>
        <v>0</v>
      </c>
      <c r="FY16" s="21">
        <f t="shared" ref="FY16" si="891">FY15-FM15</f>
        <v>0</v>
      </c>
      <c r="FZ16" s="21">
        <f t="shared" ref="FZ16" si="892">FZ15-FN15</f>
        <v>0</v>
      </c>
      <c r="GA16" s="21">
        <f t="shared" ref="GA16" si="893">GA15-FO15</f>
        <v>0</v>
      </c>
      <c r="GB16" s="21">
        <f t="shared" ref="GB16" si="894">GB15-FP15</f>
        <v>0</v>
      </c>
      <c r="GC16" s="21">
        <f t="shared" ref="GC16" si="895">GC15-FQ15</f>
        <v>0</v>
      </c>
      <c r="GD16" s="21">
        <f t="shared" ref="GD16" si="896">GD15-FR15</f>
        <v>0</v>
      </c>
      <c r="GE16" s="21">
        <f t="shared" ref="GE16" si="897">GE15-FS15</f>
        <v>0</v>
      </c>
      <c r="GF16" s="21">
        <f t="shared" ref="GF16" si="898">GF15-FT15</f>
        <v>0</v>
      </c>
      <c r="GG16" s="21">
        <f t="shared" ref="GG16" si="899">GG15-FU15</f>
        <v>0</v>
      </c>
      <c r="GH16" s="21">
        <f t="shared" ref="GH16" si="900">GH15-FV15</f>
        <v>0</v>
      </c>
      <c r="GI16" s="21">
        <f t="shared" ref="GI16" si="901">GI15-FW15</f>
        <v>0</v>
      </c>
      <c r="GJ16" s="21">
        <f t="shared" ref="GJ16" si="902">GJ15-FX15</f>
        <v>0</v>
      </c>
      <c r="GK16" s="21">
        <f t="shared" ref="GK16" si="903">GK15-FY15</f>
        <v>0</v>
      </c>
      <c r="GL16" s="21">
        <f t="shared" ref="GL16" si="904">GL15-FZ15</f>
        <v>0</v>
      </c>
      <c r="GM16" s="21">
        <f t="shared" ref="GM16" si="905">GM15-GA15</f>
        <v>0</v>
      </c>
      <c r="GN16" s="21">
        <f t="shared" ref="GN16" si="906">GN15-GB15</f>
        <v>0</v>
      </c>
      <c r="GO16" s="21">
        <f t="shared" ref="GO16" si="907">GO15-GC15</f>
        <v>0</v>
      </c>
      <c r="GP16" s="21">
        <f t="shared" ref="GP16" si="908">GP15-GD15</f>
        <v>0</v>
      </c>
      <c r="GQ16" s="21">
        <f t="shared" ref="GQ16" si="909">GQ15-GE15</f>
        <v>0</v>
      </c>
      <c r="GR16" s="21">
        <f t="shared" ref="GR16" si="910">GR15-GF15</f>
        <v>0</v>
      </c>
      <c r="GS16" s="21">
        <f t="shared" ref="GS16" si="911">GS15-GG15</f>
        <v>0</v>
      </c>
      <c r="GT16" s="21">
        <f t="shared" ref="GT16" si="912">GT15-GH15</f>
        <v>0</v>
      </c>
      <c r="GU16" s="21">
        <f t="shared" ref="GU16" si="913">GU15-GI15</f>
        <v>0</v>
      </c>
      <c r="GV16" s="21">
        <f t="shared" ref="GV16" si="914">GV15-GJ15</f>
        <v>0</v>
      </c>
      <c r="GW16" s="21">
        <f t="shared" ref="GW16" si="915">GW15-GK15</f>
        <v>0</v>
      </c>
      <c r="GX16" s="21">
        <f t="shared" ref="GX16" si="916">GX15-GL15</f>
        <v>0</v>
      </c>
      <c r="GY16" s="21">
        <f t="shared" ref="GY16" si="917">GY15-GM15</f>
        <v>0</v>
      </c>
      <c r="GZ16" s="21">
        <f t="shared" ref="GZ16" si="918">GZ15-GN15</f>
        <v>0</v>
      </c>
      <c r="HA16" s="21">
        <f t="shared" ref="HA16" si="919">HA15-GO15</f>
        <v>0</v>
      </c>
      <c r="HB16" s="21">
        <f t="shared" ref="HB16" si="920">HB15-GP15</f>
        <v>0</v>
      </c>
      <c r="HC16" s="21">
        <f t="shared" ref="HC16" si="921">HC15-GQ15</f>
        <v>0</v>
      </c>
      <c r="HD16" s="21">
        <f t="shared" ref="HD16" si="922">HD15-GR15</f>
        <v>0</v>
      </c>
      <c r="HE16" s="21">
        <f t="shared" ref="HE16" si="923">HE15-GS15</f>
        <v>0</v>
      </c>
      <c r="HF16" s="21">
        <f t="shared" ref="HF16" si="924">HF15-GT15</f>
        <v>0</v>
      </c>
      <c r="HG16" s="21">
        <f t="shared" ref="HG16" si="925">HG15-GU15</f>
        <v>0</v>
      </c>
      <c r="HH16" s="21">
        <f t="shared" ref="HH16" si="926">HH15-GV15</f>
        <v>0</v>
      </c>
      <c r="HI16" s="21">
        <f t="shared" ref="HI16" si="927">HI15-GW15</f>
        <v>0</v>
      </c>
      <c r="HJ16" s="21">
        <f t="shared" ref="HJ16" si="928">HJ15-GX15</f>
        <v>0</v>
      </c>
      <c r="HK16" s="21">
        <f t="shared" ref="HK16" si="929">HK15-GY15</f>
        <v>0</v>
      </c>
      <c r="HL16" s="21">
        <f t="shared" ref="HL16" si="930">HL15-GZ15</f>
        <v>0</v>
      </c>
      <c r="HM16" s="21">
        <f t="shared" ref="HM16" si="931">HM15-HA15</f>
        <v>0</v>
      </c>
      <c r="HN16" s="21">
        <f t="shared" ref="HN16" si="932">HN15-HB15</f>
        <v>0</v>
      </c>
      <c r="HO16" s="21">
        <f t="shared" ref="HO16" si="933">HO15-HC15</f>
        <v>0</v>
      </c>
      <c r="HP16" s="21">
        <f t="shared" ref="HP16" si="934">HP15-HD15</f>
        <v>0</v>
      </c>
      <c r="HQ16" s="21">
        <f t="shared" ref="HQ16" si="935">HQ15-HE15</f>
        <v>0</v>
      </c>
      <c r="HR16" s="21">
        <f t="shared" ref="HR16" si="936">HR15-HF15</f>
        <v>0</v>
      </c>
      <c r="HS16" s="21">
        <f t="shared" ref="HS16" si="937">HS15-HG15</f>
        <v>0</v>
      </c>
      <c r="HT16" s="21">
        <f t="shared" ref="HT16" si="938">HT15-HH15</f>
        <v>0</v>
      </c>
      <c r="HU16" s="21">
        <f t="shared" ref="HU16" si="939">HU15-HI15</f>
        <v>0</v>
      </c>
      <c r="HV16" s="21">
        <f t="shared" ref="HV16" si="940">HV15-HJ15</f>
        <v>0</v>
      </c>
      <c r="HW16" s="21">
        <f t="shared" ref="HW16" si="941">HW15-HK15</f>
        <v>0</v>
      </c>
      <c r="HX16" s="21">
        <f t="shared" ref="HX16" si="942">HX15-HL15</f>
        <v>0</v>
      </c>
      <c r="HY16" s="21">
        <f t="shared" ref="HY16" si="943">HY15-HM15</f>
        <v>0</v>
      </c>
      <c r="HZ16" s="21">
        <f t="shared" ref="HZ16" si="944">HZ15-HN15</f>
        <v>0</v>
      </c>
      <c r="IA16" s="21">
        <f t="shared" ref="IA16" si="945">IA15-HO15</f>
        <v>0</v>
      </c>
      <c r="IB16" s="21">
        <f t="shared" ref="IB16" si="946">IB15-HP15</f>
        <v>0</v>
      </c>
      <c r="IC16" s="21">
        <f t="shared" ref="IC16" si="947">IC15-HQ15</f>
        <v>0</v>
      </c>
      <c r="ID16" s="21">
        <f t="shared" ref="ID16" si="948">ID15-HR15</f>
        <v>0</v>
      </c>
      <c r="IE16" s="21">
        <f t="shared" ref="IE16" si="949">IE15-HS15</f>
        <v>0</v>
      </c>
      <c r="IF16" s="21">
        <f t="shared" ref="IF16" si="950">IF15-HT15</f>
        <v>0</v>
      </c>
      <c r="IG16" s="21">
        <f t="shared" ref="IG16" si="951">IG15-HU15</f>
        <v>0</v>
      </c>
      <c r="IH16" s="21">
        <f t="shared" ref="IH16" si="952">IH15-HV15</f>
        <v>0</v>
      </c>
      <c r="II16" s="21">
        <f t="shared" ref="II16" si="953">II15-HW15</f>
        <v>0</v>
      </c>
      <c r="IJ16" s="21">
        <f t="shared" ref="IJ16" si="954">IJ15-HX15</f>
        <v>0</v>
      </c>
      <c r="IK16" s="21">
        <f t="shared" ref="IK16" si="955">IK15-HY15</f>
        <v>0</v>
      </c>
      <c r="IL16" s="21">
        <f t="shared" ref="IL16" si="956">IL15-HZ15</f>
        <v>0</v>
      </c>
      <c r="IM16" s="21">
        <f t="shared" ref="IM16" si="957">IM15-IA15</f>
        <v>0</v>
      </c>
      <c r="IN16" s="21">
        <f t="shared" ref="IN16" si="958">IN15-IB15</f>
        <v>0</v>
      </c>
    </row>
    <row r="17" spans="2:248" x14ac:dyDescent="0.3">
      <c r="F17" s="22" t="s">
        <v>468</v>
      </c>
      <c r="G17" s="24">
        <f t="shared" ref="G17:BR17" si="959">$C$15</f>
        <v>24464.911064</v>
      </c>
      <c r="H17" s="24">
        <f t="shared" si="959"/>
        <v>24464.911064</v>
      </c>
      <c r="I17" s="24">
        <f t="shared" si="959"/>
        <v>24464.911064</v>
      </c>
      <c r="J17" s="24">
        <f t="shared" si="959"/>
        <v>24464.911064</v>
      </c>
      <c r="K17" s="24">
        <f t="shared" si="959"/>
        <v>24464.911064</v>
      </c>
      <c r="L17" s="24">
        <f t="shared" si="959"/>
        <v>24464.911064</v>
      </c>
      <c r="M17" s="24">
        <f t="shared" si="959"/>
        <v>24464.911064</v>
      </c>
      <c r="N17" s="24">
        <f t="shared" si="959"/>
        <v>24464.911064</v>
      </c>
      <c r="O17" s="24">
        <f t="shared" si="959"/>
        <v>24464.911064</v>
      </c>
      <c r="P17" s="24">
        <f t="shared" si="959"/>
        <v>24464.911064</v>
      </c>
      <c r="Q17" s="24">
        <f t="shared" si="959"/>
        <v>24464.911064</v>
      </c>
      <c r="R17" s="24">
        <f t="shared" si="959"/>
        <v>24464.911064</v>
      </c>
      <c r="S17" s="24">
        <f t="shared" si="959"/>
        <v>24464.911064</v>
      </c>
      <c r="T17" s="24">
        <f t="shared" si="959"/>
        <v>24464.911064</v>
      </c>
      <c r="U17" s="24">
        <f t="shared" si="959"/>
        <v>24464.911064</v>
      </c>
      <c r="V17" s="24">
        <f t="shared" si="959"/>
        <v>24464.911064</v>
      </c>
      <c r="W17" s="24">
        <f t="shared" si="959"/>
        <v>24464.911064</v>
      </c>
      <c r="X17" s="24">
        <f t="shared" si="959"/>
        <v>24464.911064</v>
      </c>
      <c r="Y17" s="24">
        <f t="shared" si="959"/>
        <v>24464.911064</v>
      </c>
      <c r="Z17" s="24">
        <f t="shared" si="959"/>
        <v>24464.911064</v>
      </c>
      <c r="AA17" s="24">
        <f t="shared" si="959"/>
        <v>24464.911064</v>
      </c>
      <c r="AB17" s="24">
        <f t="shared" si="959"/>
        <v>24464.911064</v>
      </c>
      <c r="AC17" s="24">
        <f t="shared" si="959"/>
        <v>24464.911064</v>
      </c>
      <c r="AD17" s="24">
        <f t="shared" si="959"/>
        <v>24464.911064</v>
      </c>
      <c r="AE17" s="24">
        <f t="shared" si="959"/>
        <v>24464.911064</v>
      </c>
      <c r="AF17" s="24">
        <f t="shared" si="959"/>
        <v>24464.911064</v>
      </c>
      <c r="AG17" s="24">
        <f t="shared" si="959"/>
        <v>24464.911064</v>
      </c>
      <c r="AH17" s="24">
        <f t="shared" si="959"/>
        <v>24464.911064</v>
      </c>
      <c r="AI17" s="24">
        <f t="shared" si="959"/>
        <v>24464.911064</v>
      </c>
      <c r="AJ17" s="24">
        <f t="shared" si="959"/>
        <v>24464.911064</v>
      </c>
      <c r="AK17" s="24">
        <f t="shared" si="959"/>
        <v>24464.911064</v>
      </c>
      <c r="AL17" s="24">
        <f t="shared" si="959"/>
        <v>24464.911064</v>
      </c>
      <c r="AM17" s="24">
        <f t="shared" si="959"/>
        <v>24464.911064</v>
      </c>
      <c r="AN17" s="24">
        <f t="shared" si="959"/>
        <v>24464.911064</v>
      </c>
      <c r="AO17" s="24">
        <f t="shared" si="959"/>
        <v>24464.911064</v>
      </c>
      <c r="AP17" s="24">
        <f t="shared" si="959"/>
        <v>24464.911064</v>
      </c>
      <c r="AQ17" s="24">
        <f t="shared" si="959"/>
        <v>24464.911064</v>
      </c>
      <c r="AR17" s="24">
        <f t="shared" si="959"/>
        <v>24464.911064</v>
      </c>
      <c r="AS17" s="24">
        <f t="shared" si="959"/>
        <v>24464.911064</v>
      </c>
      <c r="AT17" s="24">
        <f t="shared" si="959"/>
        <v>24464.911064</v>
      </c>
      <c r="AU17" s="24">
        <f t="shared" si="959"/>
        <v>24464.911064</v>
      </c>
      <c r="AV17" s="24">
        <f t="shared" si="959"/>
        <v>24464.911064</v>
      </c>
      <c r="AW17" s="24">
        <f t="shared" si="959"/>
        <v>24464.911064</v>
      </c>
      <c r="AX17" s="24">
        <f t="shared" si="959"/>
        <v>24464.911064</v>
      </c>
      <c r="AY17" s="24">
        <f t="shared" si="959"/>
        <v>24464.911064</v>
      </c>
      <c r="AZ17" s="24">
        <f t="shared" si="959"/>
        <v>24464.911064</v>
      </c>
      <c r="BA17" s="24">
        <f t="shared" si="959"/>
        <v>24464.911064</v>
      </c>
      <c r="BB17" s="24">
        <f t="shared" si="959"/>
        <v>24464.911064</v>
      </c>
      <c r="BC17" s="24">
        <f t="shared" si="959"/>
        <v>24464.911064</v>
      </c>
      <c r="BD17" s="24">
        <f t="shared" si="959"/>
        <v>24464.911064</v>
      </c>
      <c r="BE17" s="24">
        <f t="shared" si="959"/>
        <v>24464.911064</v>
      </c>
      <c r="BF17" s="24">
        <f t="shared" si="959"/>
        <v>24464.911064</v>
      </c>
      <c r="BG17" s="24">
        <f t="shared" si="959"/>
        <v>24464.911064</v>
      </c>
      <c r="BH17" s="24">
        <f t="shared" si="959"/>
        <v>24464.911064</v>
      </c>
      <c r="BI17" s="24">
        <f t="shared" si="959"/>
        <v>24464.911064</v>
      </c>
      <c r="BJ17" s="24">
        <f t="shared" si="959"/>
        <v>24464.911064</v>
      </c>
      <c r="BK17" s="24">
        <f t="shared" si="959"/>
        <v>24464.911064</v>
      </c>
      <c r="BL17" s="24">
        <f t="shared" si="959"/>
        <v>24464.911064</v>
      </c>
      <c r="BM17" s="24">
        <f t="shared" si="959"/>
        <v>24464.911064</v>
      </c>
      <c r="BN17" s="24">
        <f t="shared" si="959"/>
        <v>24464.911064</v>
      </c>
      <c r="BO17" s="24">
        <f t="shared" si="959"/>
        <v>24464.911064</v>
      </c>
      <c r="BP17" s="24">
        <f t="shared" si="959"/>
        <v>24464.911064</v>
      </c>
      <c r="BQ17" s="24">
        <f t="shared" si="959"/>
        <v>24464.911064</v>
      </c>
      <c r="BR17" s="24">
        <f t="shared" si="959"/>
        <v>24464.911064</v>
      </c>
      <c r="BS17" s="24">
        <f t="shared" ref="BS17:ED17" si="960">$C$15</f>
        <v>24464.911064</v>
      </c>
      <c r="BT17" s="24">
        <f t="shared" si="960"/>
        <v>24464.911064</v>
      </c>
      <c r="BU17" s="24">
        <f t="shared" si="960"/>
        <v>24464.911064</v>
      </c>
      <c r="BV17" s="24">
        <f t="shared" si="960"/>
        <v>24464.911064</v>
      </c>
      <c r="BW17" s="24">
        <f t="shared" si="960"/>
        <v>24464.911064</v>
      </c>
      <c r="BX17" s="24">
        <f t="shared" si="960"/>
        <v>24464.911064</v>
      </c>
      <c r="BY17" s="24">
        <f t="shared" si="960"/>
        <v>24464.911064</v>
      </c>
      <c r="BZ17" s="24">
        <f t="shared" si="960"/>
        <v>24464.911064</v>
      </c>
      <c r="CA17" s="24">
        <f t="shared" si="960"/>
        <v>24464.911064</v>
      </c>
      <c r="CB17" s="24">
        <f t="shared" si="960"/>
        <v>24464.911064</v>
      </c>
      <c r="CC17" s="24">
        <f t="shared" si="960"/>
        <v>24464.911064</v>
      </c>
      <c r="CD17" s="24">
        <f t="shared" si="960"/>
        <v>24464.911064</v>
      </c>
      <c r="CE17" s="24">
        <f t="shared" si="960"/>
        <v>24464.911064</v>
      </c>
      <c r="CF17" s="24">
        <f t="shared" si="960"/>
        <v>24464.911064</v>
      </c>
      <c r="CG17" s="24">
        <f t="shared" si="960"/>
        <v>24464.911064</v>
      </c>
      <c r="CH17" s="24">
        <f t="shared" si="960"/>
        <v>24464.911064</v>
      </c>
      <c r="CI17" s="24">
        <f t="shared" si="960"/>
        <v>24464.911064</v>
      </c>
      <c r="CJ17" s="24">
        <f t="shared" si="960"/>
        <v>24464.911064</v>
      </c>
      <c r="CK17" s="24">
        <f t="shared" si="960"/>
        <v>24464.911064</v>
      </c>
      <c r="CL17" s="24">
        <f t="shared" si="960"/>
        <v>24464.911064</v>
      </c>
      <c r="CM17" s="24">
        <f t="shared" si="960"/>
        <v>24464.911064</v>
      </c>
      <c r="CN17" s="24">
        <f t="shared" si="960"/>
        <v>24464.911064</v>
      </c>
      <c r="CO17" s="24">
        <f t="shared" si="960"/>
        <v>24464.911064</v>
      </c>
      <c r="CP17" s="24">
        <f t="shared" si="960"/>
        <v>24464.911064</v>
      </c>
      <c r="CQ17" s="24">
        <f t="shared" si="960"/>
        <v>24464.911064</v>
      </c>
      <c r="CR17" s="24">
        <f t="shared" si="960"/>
        <v>24464.911064</v>
      </c>
      <c r="CS17" s="24">
        <f t="shared" si="960"/>
        <v>24464.911064</v>
      </c>
      <c r="CT17" s="24">
        <f t="shared" si="960"/>
        <v>24464.911064</v>
      </c>
      <c r="CU17" s="24">
        <f t="shared" si="960"/>
        <v>24464.911064</v>
      </c>
      <c r="CV17" s="24">
        <f t="shared" si="960"/>
        <v>24464.911064</v>
      </c>
      <c r="CW17" s="24">
        <f t="shared" si="960"/>
        <v>24464.911064</v>
      </c>
      <c r="CX17" s="24">
        <f t="shared" si="960"/>
        <v>24464.911064</v>
      </c>
      <c r="CY17" s="24">
        <f t="shared" si="960"/>
        <v>24464.911064</v>
      </c>
      <c r="CZ17" s="24">
        <f t="shared" si="960"/>
        <v>24464.911064</v>
      </c>
      <c r="DA17" s="24">
        <f t="shared" si="960"/>
        <v>24464.911064</v>
      </c>
      <c r="DB17" s="24">
        <f t="shared" si="960"/>
        <v>24464.911064</v>
      </c>
      <c r="DC17" s="24">
        <f t="shared" si="960"/>
        <v>24464.911064</v>
      </c>
      <c r="DD17" s="24">
        <f t="shared" si="960"/>
        <v>24464.911064</v>
      </c>
      <c r="DE17" s="24">
        <f t="shared" si="960"/>
        <v>24464.911064</v>
      </c>
      <c r="DF17" s="24">
        <f t="shared" si="960"/>
        <v>24464.911064</v>
      </c>
      <c r="DG17" s="24">
        <f t="shared" si="960"/>
        <v>24464.911064</v>
      </c>
      <c r="DH17" s="24">
        <f t="shared" si="960"/>
        <v>24464.911064</v>
      </c>
      <c r="DI17" s="24">
        <f t="shared" si="960"/>
        <v>24464.911064</v>
      </c>
      <c r="DJ17" s="24">
        <f t="shared" si="960"/>
        <v>24464.911064</v>
      </c>
      <c r="DK17" s="24">
        <f t="shared" si="960"/>
        <v>24464.911064</v>
      </c>
      <c r="DL17" s="24">
        <f t="shared" si="960"/>
        <v>24464.911064</v>
      </c>
      <c r="DM17" s="24">
        <f t="shared" si="960"/>
        <v>24464.911064</v>
      </c>
      <c r="DN17" s="24">
        <f t="shared" si="960"/>
        <v>24464.911064</v>
      </c>
      <c r="DO17" s="24">
        <f t="shared" si="960"/>
        <v>24464.911064</v>
      </c>
      <c r="DP17" s="24">
        <f t="shared" si="960"/>
        <v>24464.911064</v>
      </c>
      <c r="DQ17" s="24">
        <f t="shared" si="960"/>
        <v>24464.911064</v>
      </c>
      <c r="DR17" s="24">
        <f t="shared" si="960"/>
        <v>24464.911064</v>
      </c>
      <c r="DS17" s="24">
        <f t="shared" si="960"/>
        <v>24464.911064</v>
      </c>
      <c r="DT17" s="24">
        <f t="shared" si="960"/>
        <v>24464.911064</v>
      </c>
      <c r="DU17" s="24">
        <f t="shared" si="960"/>
        <v>24464.911064</v>
      </c>
      <c r="DV17" s="24">
        <f t="shared" si="960"/>
        <v>24464.911064</v>
      </c>
      <c r="DW17" s="24">
        <f t="shared" si="960"/>
        <v>24464.911064</v>
      </c>
      <c r="DX17" s="24">
        <f t="shared" si="960"/>
        <v>24464.911064</v>
      </c>
      <c r="DY17" s="24">
        <f t="shared" si="960"/>
        <v>24464.911064</v>
      </c>
      <c r="DZ17" s="24">
        <f t="shared" si="960"/>
        <v>24464.911064</v>
      </c>
      <c r="EA17" s="24">
        <f t="shared" si="960"/>
        <v>24464.911064</v>
      </c>
      <c r="EB17" s="24">
        <f t="shared" si="960"/>
        <v>24464.911064</v>
      </c>
      <c r="EC17" s="24">
        <f t="shared" si="960"/>
        <v>24464.911064</v>
      </c>
      <c r="ED17" s="24">
        <f t="shared" si="960"/>
        <v>24464.911064</v>
      </c>
      <c r="EE17" s="24">
        <f t="shared" ref="EE17:GP17" si="961">$C$15</f>
        <v>24464.911064</v>
      </c>
      <c r="EF17" s="24">
        <f t="shared" si="961"/>
        <v>24464.911064</v>
      </c>
      <c r="EG17" s="24">
        <f t="shared" si="961"/>
        <v>24464.911064</v>
      </c>
      <c r="EH17" s="24">
        <f t="shared" si="961"/>
        <v>24464.911064</v>
      </c>
      <c r="EI17" s="24">
        <f t="shared" si="961"/>
        <v>24464.911064</v>
      </c>
      <c r="EJ17" s="24">
        <f t="shared" si="961"/>
        <v>24464.911064</v>
      </c>
      <c r="EK17" s="24">
        <f t="shared" si="961"/>
        <v>24464.911064</v>
      </c>
      <c r="EL17" s="24">
        <f t="shared" si="961"/>
        <v>24464.911064</v>
      </c>
      <c r="EM17" s="24">
        <f t="shared" si="961"/>
        <v>24464.911064</v>
      </c>
      <c r="EN17" s="24">
        <f t="shared" si="961"/>
        <v>24464.911064</v>
      </c>
      <c r="EO17" s="24">
        <f t="shared" si="961"/>
        <v>24464.911064</v>
      </c>
      <c r="EP17" s="24">
        <f t="shared" si="961"/>
        <v>24464.911064</v>
      </c>
      <c r="EQ17" s="24">
        <f t="shared" si="961"/>
        <v>24464.911064</v>
      </c>
      <c r="ER17" s="24">
        <f t="shared" si="961"/>
        <v>24464.911064</v>
      </c>
      <c r="ES17" s="24">
        <f t="shared" si="961"/>
        <v>24464.911064</v>
      </c>
      <c r="ET17" s="24">
        <f t="shared" si="961"/>
        <v>24464.911064</v>
      </c>
      <c r="EU17" s="24">
        <f t="shared" si="961"/>
        <v>24464.911064</v>
      </c>
      <c r="EV17" s="24">
        <f t="shared" si="961"/>
        <v>24464.911064</v>
      </c>
      <c r="EW17" s="24">
        <f t="shared" si="961"/>
        <v>24464.911064</v>
      </c>
      <c r="EX17" s="24">
        <f t="shared" si="961"/>
        <v>24464.911064</v>
      </c>
      <c r="EY17" s="24">
        <f t="shared" si="961"/>
        <v>24464.911064</v>
      </c>
      <c r="EZ17" s="24">
        <f t="shared" si="961"/>
        <v>24464.911064</v>
      </c>
      <c r="FA17" s="24">
        <f t="shared" si="961"/>
        <v>24464.911064</v>
      </c>
      <c r="FB17" s="24">
        <f t="shared" si="961"/>
        <v>24464.911064</v>
      </c>
      <c r="FC17" s="24">
        <f t="shared" si="961"/>
        <v>24464.911064</v>
      </c>
      <c r="FD17" s="24">
        <f t="shared" si="961"/>
        <v>24464.911064</v>
      </c>
      <c r="FE17" s="24">
        <f t="shared" si="961"/>
        <v>24464.911064</v>
      </c>
      <c r="FF17" s="24">
        <f t="shared" si="961"/>
        <v>24464.911064</v>
      </c>
      <c r="FG17" s="24">
        <f t="shared" si="961"/>
        <v>24464.911064</v>
      </c>
      <c r="FH17" s="24">
        <f t="shared" si="961"/>
        <v>24464.911064</v>
      </c>
      <c r="FI17" s="24">
        <f t="shared" si="961"/>
        <v>24464.911064</v>
      </c>
      <c r="FJ17" s="24">
        <f t="shared" si="961"/>
        <v>24464.911064</v>
      </c>
      <c r="FK17" s="24">
        <f t="shared" si="961"/>
        <v>24464.911064</v>
      </c>
      <c r="FL17" s="24">
        <f t="shared" si="961"/>
        <v>24464.911064</v>
      </c>
      <c r="FM17" s="24">
        <f t="shared" si="961"/>
        <v>24464.911064</v>
      </c>
      <c r="FN17" s="24">
        <f t="shared" si="961"/>
        <v>24464.911064</v>
      </c>
      <c r="FO17" s="24">
        <f t="shared" si="961"/>
        <v>24464.911064</v>
      </c>
      <c r="FP17" s="24">
        <f t="shared" si="961"/>
        <v>24464.911064</v>
      </c>
      <c r="FQ17" s="24">
        <f t="shared" si="961"/>
        <v>24464.911064</v>
      </c>
      <c r="FR17" s="24">
        <f t="shared" si="961"/>
        <v>24464.911064</v>
      </c>
      <c r="FS17" s="24">
        <f t="shared" si="961"/>
        <v>24464.911064</v>
      </c>
      <c r="FT17" s="24">
        <f t="shared" si="961"/>
        <v>24464.911064</v>
      </c>
      <c r="FU17" s="24">
        <f t="shared" si="961"/>
        <v>24464.911064</v>
      </c>
      <c r="FV17" s="24">
        <f t="shared" si="961"/>
        <v>24464.911064</v>
      </c>
      <c r="FW17" s="24">
        <f t="shared" si="961"/>
        <v>24464.911064</v>
      </c>
      <c r="FX17" s="24">
        <f t="shared" si="961"/>
        <v>24464.911064</v>
      </c>
      <c r="FY17" s="24">
        <f t="shared" si="961"/>
        <v>24464.911064</v>
      </c>
      <c r="FZ17" s="24">
        <f t="shared" si="961"/>
        <v>24464.911064</v>
      </c>
      <c r="GA17" s="24">
        <f t="shared" si="961"/>
        <v>24464.911064</v>
      </c>
      <c r="GB17" s="24">
        <f t="shared" si="961"/>
        <v>24464.911064</v>
      </c>
      <c r="GC17" s="24">
        <f t="shared" si="961"/>
        <v>24464.911064</v>
      </c>
      <c r="GD17" s="24">
        <f t="shared" si="961"/>
        <v>24464.911064</v>
      </c>
      <c r="GE17" s="24">
        <f t="shared" si="961"/>
        <v>24464.911064</v>
      </c>
      <c r="GF17" s="24">
        <f t="shared" si="961"/>
        <v>24464.911064</v>
      </c>
      <c r="GG17" s="24">
        <f t="shared" si="961"/>
        <v>24464.911064</v>
      </c>
      <c r="GH17" s="24">
        <f t="shared" si="961"/>
        <v>24464.911064</v>
      </c>
      <c r="GI17" s="24">
        <f t="shared" si="961"/>
        <v>24464.911064</v>
      </c>
      <c r="GJ17" s="24">
        <f t="shared" si="961"/>
        <v>24464.911064</v>
      </c>
      <c r="GK17" s="24">
        <f t="shared" si="961"/>
        <v>24464.911064</v>
      </c>
      <c r="GL17" s="24">
        <f t="shared" si="961"/>
        <v>24464.911064</v>
      </c>
      <c r="GM17" s="24">
        <f t="shared" si="961"/>
        <v>24464.911064</v>
      </c>
      <c r="GN17" s="24">
        <f t="shared" si="961"/>
        <v>24464.911064</v>
      </c>
      <c r="GO17" s="24">
        <f t="shared" si="961"/>
        <v>24464.911064</v>
      </c>
      <c r="GP17" s="24">
        <f t="shared" si="961"/>
        <v>24464.911064</v>
      </c>
      <c r="GQ17" s="24">
        <f t="shared" ref="GQ17:IN17" si="962">$C$15</f>
        <v>24464.911064</v>
      </c>
      <c r="GR17" s="24">
        <f t="shared" si="962"/>
        <v>24464.911064</v>
      </c>
      <c r="GS17" s="24">
        <f t="shared" si="962"/>
        <v>24464.911064</v>
      </c>
      <c r="GT17" s="24">
        <f t="shared" si="962"/>
        <v>24464.911064</v>
      </c>
      <c r="GU17" s="24">
        <f t="shared" si="962"/>
        <v>24464.911064</v>
      </c>
      <c r="GV17" s="24">
        <f t="shared" si="962"/>
        <v>24464.911064</v>
      </c>
      <c r="GW17" s="24">
        <f t="shared" si="962"/>
        <v>24464.911064</v>
      </c>
      <c r="GX17" s="24">
        <f t="shared" si="962"/>
        <v>24464.911064</v>
      </c>
      <c r="GY17" s="24">
        <f t="shared" si="962"/>
        <v>24464.911064</v>
      </c>
      <c r="GZ17" s="24">
        <f t="shared" si="962"/>
        <v>24464.911064</v>
      </c>
      <c r="HA17" s="24">
        <f t="shared" si="962"/>
        <v>24464.911064</v>
      </c>
      <c r="HB17" s="24">
        <f t="shared" si="962"/>
        <v>24464.911064</v>
      </c>
      <c r="HC17" s="24">
        <f t="shared" si="962"/>
        <v>24464.911064</v>
      </c>
      <c r="HD17" s="24">
        <f t="shared" si="962"/>
        <v>24464.911064</v>
      </c>
      <c r="HE17" s="24">
        <f t="shared" si="962"/>
        <v>24464.911064</v>
      </c>
      <c r="HF17" s="24">
        <f t="shared" si="962"/>
        <v>24464.911064</v>
      </c>
      <c r="HG17" s="24">
        <f t="shared" si="962"/>
        <v>24464.911064</v>
      </c>
      <c r="HH17" s="24">
        <f t="shared" si="962"/>
        <v>24464.911064</v>
      </c>
      <c r="HI17" s="24">
        <f t="shared" si="962"/>
        <v>24464.911064</v>
      </c>
      <c r="HJ17" s="24">
        <f t="shared" si="962"/>
        <v>24464.911064</v>
      </c>
      <c r="HK17" s="24">
        <f t="shared" si="962"/>
        <v>24464.911064</v>
      </c>
      <c r="HL17" s="24">
        <f t="shared" si="962"/>
        <v>24464.911064</v>
      </c>
      <c r="HM17" s="24">
        <f t="shared" si="962"/>
        <v>24464.911064</v>
      </c>
      <c r="HN17" s="24">
        <f t="shared" si="962"/>
        <v>24464.911064</v>
      </c>
      <c r="HO17" s="24">
        <f t="shared" si="962"/>
        <v>24464.911064</v>
      </c>
      <c r="HP17" s="24">
        <f t="shared" si="962"/>
        <v>24464.911064</v>
      </c>
      <c r="HQ17" s="24">
        <f t="shared" si="962"/>
        <v>24464.911064</v>
      </c>
      <c r="HR17" s="24">
        <f t="shared" si="962"/>
        <v>24464.911064</v>
      </c>
      <c r="HS17" s="24">
        <f t="shared" si="962"/>
        <v>24464.911064</v>
      </c>
      <c r="HT17" s="24">
        <f t="shared" si="962"/>
        <v>24464.911064</v>
      </c>
      <c r="HU17" s="24">
        <f t="shared" si="962"/>
        <v>24464.911064</v>
      </c>
      <c r="HV17" s="24">
        <f t="shared" si="962"/>
        <v>24464.911064</v>
      </c>
      <c r="HW17" s="24">
        <f t="shared" si="962"/>
        <v>24464.911064</v>
      </c>
      <c r="HX17" s="24">
        <f t="shared" si="962"/>
        <v>24464.911064</v>
      </c>
      <c r="HY17" s="24">
        <f t="shared" si="962"/>
        <v>24464.911064</v>
      </c>
      <c r="HZ17" s="24">
        <f t="shared" si="962"/>
        <v>24464.911064</v>
      </c>
      <c r="IA17" s="24">
        <f t="shared" si="962"/>
        <v>24464.911064</v>
      </c>
      <c r="IB17" s="24">
        <f t="shared" si="962"/>
        <v>24464.911064</v>
      </c>
      <c r="IC17" s="24">
        <f t="shared" si="962"/>
        <v>24464.911064</v>
      </c>
      <c r="ID17" s="24">
        <f t="shared" si="962"/>
        <v>24464.911064</v>
      </c>
      <c r="IE17" s="24">
        <f t="shared" si="962"/>
        <v>24464.911064</v>
      </c>
      <c r="IF17" s="24">
        <f t="shared" si="962"/>
        <v>24464.911064</v>
      </c>
      <c r="IG17" s="24">
        <f t="shared" si="962"/>
        <v>24464.911064</v>
      </c>
      <c r="IH17" s="24">
        <f t="shared" si="962"/>
        <v>24464.911064</v>
      </c>
      <c r="II17" s="24">
        <f t="shared" si="962"/>
        <v>24464.911064</v>
      </c>
      <c r="IJ17" s="24">
        <f t="shared" si="962"/>
        <v>24464.911064</v>
      </c>
      <c r="IK17" s="24">
        <f t="shared" si="962"/>
        <v>24464.911064</v>
      </c>
      <c r="IL17" s="24">
        <f t="shared" si="962"/>
        <v>24464.911064</v>
      </c>
      <c r="IM17" s="24">
        <f t="shared" si="962"/>
        <v>24464.911064</v>
      </c>
      <c r="IN17" s="24">
        <f t="shared" si="962"/>
        <v>24464.911064</v>
      </c>
    </row>
    <row r="18" spans="2:248" x14ac:dyDescent="0.3">
      <c r="B18" s="19" t="s">
        <v>482</v>
      </c>
      <c r="C18" s="42">
        <f>VLOOKUP(B2,Country_Data!B:K,10,FALSE)</f>
        <v>83783942</v>
      </c>
      <c r="F18" s="22" t="str">
        <f>"Critically Ill ("&amp;TEXT(C11,"0%")&amp;" - current rate)"</f>
        <v>Critically Ill (27% - current rate)</v>
      </c>
      <c r="G18" s="24">
        <f t="shared" ref="G18:BR18" si="963">G7*$C$14</f>
        <v>0.59057353776263488</v>
      </c>
      <c r="H18" s="24">
        <f t="shared" si="963"/>
        <v>0.7223168654173765</v>
      </c>
      <c r="I18" s="24">
        <f t="shared" si="963"/>
        <v>0.89040318001135721</v>
      </c>
      <c r="J18" s="24">
        <f t="shared" si="963"/>
        <v>1.1902328222600795</v>
      </c>
      <c r="K18" s="24">
        <f t="shared" si="963"/>
        <v>2.1896649630891538</v>
      </c>
      <c r="L18" s="24">
        <f t="shared" si="963"/>
        <v>3.0437251561612721</v>
      </c>
      <c r="M18" s="24">
        <f t="shared" si="963"/>
        <v>3.6297558205565021</v>
      </c>
      <c r="N18" s="24">
        <f t="shared" si="963"/>
        <v>4.7245883021010791</v>
      </c>
      <c r="O18" s="24">
        <f t="shared" si="963"/>
        <v>5.3424190800681428</v>
      </c>
      <c r="P18" s="24">
        <f t="shared" si="963"/>
        <v>6.6189664963089152</v>
      </c>
      <c r="Q18" s="24">
        <f t="shared" si="963"/>
        <v>8.6678023850085175</v>
      </c>
      <c r="R18" s="24">
        <f t="shared" si="963"/>
        <v>9.4400908574673483</v>
      </c>
      <c r="S18" s="24">
        <f t="shared" si="963"/>
        <v>16.104486087450312</v>
      </c>
      <c r="T18" s="24">
        <f t="shared" si="963"/>
        <v>20.106757524134014</v>
      </c>
      <c r="U18" s="24">
        <f t="shared" si="963"/>
        <v>25.435547984099944</v>
      </c>
      <c r="V18" s="24">
        <f t="shared" si="963"/>
        <v>31.845542305508236</v>
      </c>
      <c r="W18" s="24">
        <f t="shared" si="963"/>
        <v>39.863713798977855</v>
      </c>
      <c r="X18" s="24">
        <f t="shared" si="963"/>
        <v>52.956274843838727</v>
      </c>
      <c r="Y18" s="24">
        <f t="shared" si="963"/>
        <v>65.96706416808631</v>
      </c>
      <c r="Z18" s="24">
        <f t="shared" si="963"/>
        <v>83.863082145962125</v>
      </c>
      <c r="AA18" s="24">
        <f t="shared" si="963"/>
        <v>107.41812596631891</v>
      </c>
      <c r="AB18" s="24">
        <f t="shared" si="963"/>
        <v>136.91049369660522</v>
      </c>
      <c r="AC18" s="24">
        <f t="shared" si="963"/>
        <v>174.02647188259701</v>
      </c>
      <c r="AD18" s="24">
        <f t="shared" si="963"/>
        <v>223.10588127470444</v>
      </c>
      <c r="AE18" s="24">
        <f t="shared" si="963"/>
        <v>279.30561894934056</v>
      </c>
      <c r="AF18" s="24">
        <f t="shared" si="963"/>
        <v>355.94116554734046</v>
      </c>
      <c r="AG18" s="24">
        <f t="shared" si="963"/>
        <v>453.25340110534211</v>
      </c>
      <c r="AH18" s="24">
        <f t="shared" si="963"/>
        <v>577.40616201066484</v>
      </c>
      <c r="AI18" s="24">
        <f t="shared" si="963"/>
        <v>734.95955320409894</v>
      </c>
      <c r="AJ18" s="24">
        <f t="shared" si="963"/>
        <v>933.03607323056883</v>
      </c>
      <c r="AK18" s="24">
        <f t="shared" si="963"/>
        <v>1189.3170460600336</v>
      </c>
      <c r="AL18" s="24">
        <f t="shared" si="963"/>
        <v>1513.8454106354754</v>
      </c>
      <c r="AM18" s="24">
        <f t="shared" si="963"/>
        <v>1926.9276723932626</v>
      </c>
      <c r="AN18" s="24">
        <f t="shared" si="963"/>
        <v>2452.72749023711</v>
      </c>
      <c r="AO18" s="24">
        <f t="shared" si="963"/>
        <v>3122.0020489368248</v>
      </c>
      <c r="AP18" s="24">
        <f t="shared" si="963"/>
        <v>3973.9012313281814</v>
      </c>
      <c r="AQ18" s="24">
        <f t="shared" si="963"/>
        <v>5058.2577297569205</v>
      </c>
      <c r="AR18" s="24">
        <f t="shared" si="963"/>
        <v>6438.5020591199072</v>
      </c>
      <c r="AS18" s="24">
        <f t="shared" si="963"/>
        <v>8195.3729880986957</v>
      </c>
      <c r="AT18" s="24">
        <f t="shared" si="963"/>
        <v>10431.640433961209</v>
      </c>
      <c r="AU18" s="24">
        <f t="shared" si="963"/>
        <v>13278.117091373553</v>
      </c>
      <c r="AV18" s="24">
        <f t="shared" si="963"/>
        <v>16901.310451445152</v>
      </c>
      <c r="AW18" s="24">
        <f t="shared" si="963"/>
        <v>21513.162823493345</v>
      </c>
      <c r="AX18" s="24">
        <f t="shared" si="963"/>
        <v>27383.449111815054</v>
      </c>
      <c r="AY18" s="24">
        <f t="shared" si="963"/>
        <v>34855.557567783151</v>
      </c>
      <c r="AZ18" s="24">
        <f t="shared" si="963"/>
        <v>44366.576628100935</v>
      </c>
      <c r="BA18" s="24">
        <f t="shared" si="963"/>
        <v>56472.862838852707</v>
      </c>
      <c r="BB18" s="24">
        <f t="shared" si="963"/>
        <v>71882.585486568816</v>
      </c>
      <c r="BC18" s="24">
        <f t="shared" si="963"/>
        <v>91497.151666958889</v>
      </c>
      <c r="BD18" s="24">
        <f t="shared" si="963"/>
        <v>116463.93499202566</v>
      </c>
      <c r="BE18" s="24">
        <f t="shared" si="963"/>
        <v>143572.98315083006</v>
      </c>
      <c r="BF18" s="24">
        <f t="shared" si="963"/>
        <v>141205.85312009856</v>
      </c>
      <c r="BG18" s="24">
        <f t="shared" si="963"/>
        <v>138192.80546785847</v>
      </c>
      <c r="BH18" s="24">
        <f t="shared" si="963"/>
        <v>134357.58896652245</v>
      </c>
      <c r="BI18" s="24">
        <f t="shared" si="963"/>
        <v>129475.85880165617</v>
      </c>
      <c r="BJ18" s="24">
        <f t="shared" si="963"/>
        <v>123262.05329829959</v>
      </c>
      <c r="BK18" s="24">
        <f t="shared" si="963"/>
        <v>115352.68970597538</v>
      </c>
      <c r="BL18" s="24">
        <f t="shared" si="963"/>
        <v>105285.10191266723</v>
      </c>
      <c r="BM18" s="24">
        <f t="shared" si="963"/>
        <v>92470.376329141058</v>
      </c>
      <c r="BN18" s="24">
        <f t="shared" si="963"/>
        <v>76158.902801169024</v>
      </c>
      <c r="BO18" s="24">
        <f t="shared" si="963"/>
        <v>55396.525415907832</v>
      </c>
      <c r="BP18" s="24">
        <f t="shared" si="963"/>
        <v>28968.728200115718</v>
      </c>
      <c r="BQ18" s="24">
        <f t="shared" si="963"/>
        <v>0</v>
      </c>
      <c r="BR18" s="24">
        <f t="shared" si="963"/>
        <v>0</v>
      </c>
      <c r="BS18" s="24">
        <f t="shared" ref="BS18:ED18" si="964">BS7*$C$14</f>
        <v>0</v>
      </c>
      <c r="BT18" s="24">
        <f t="shared" si="964"/>
        <v>0</v>
      </c>
      <c r="BU18" s="24">
        <f t="shared" si="964"/>
        <v>0</v>
      </c>
      <c r="BV18" s="24">
        <f t="shared" si="964"/>
        <v>0</v>
      </c>
      <c r="BW18" s="24">
        <f t="shared" si="964"/>
        <v>0</v>
      </c>
      <c r="BX18" s="24">
        <f t="shared" si="964"/>
        <v>0</v>
      </c>
      <c r="BY18" s="24">
        <f t="shared" si="964"/>
        <v>0</v>
      </c>
      <c r="BZ18" s="24">
        <f t="shared" si="964"/>
        <v>0</v>
      </c>
      <c r="CA18" s="24">
        <f t="shared" si="964"/>
        <v>0</v>
      </c>
      <c r="CB18" s="24">
        <f t="shared" si="964"/>
        <v>0</v>
      </c>
      <c r="CC18" s="24">
        <f t="shared" si="964"/>
        <v>0</v>
      </c>
      <c r="CD18" s="24">
        <f t="shared" si="964"/>
        <v>0</v>
      </c>
      <c r="CE18" s="24">
        <f t="shared" si="964"/>
        <v>0</v>
      </c>
      <c r="CF18" s="24">
        <f t="shared" si="964"/>
        <v>0</v>
      </c>
      <c r="CG18" s="24">
        <f t="shared" si="964"/>
        <v>0</v>
      </c>
      <c r="CH18" s="24">
        <f t="shared" si="964"/>
        <v>0</v>
      </c>
      <c r="CI18" s="24">
        <f t="shared" si="964"/>
        <v>0</v>
      </c>
      <c r="CJ18" s="24">
        <f t="shared" si="964"/>
        <v>0</v>
      </c>
      <c r="CK18" s="24">
        <f t="shared" si="964"/>
        <v>0</v>
      </c>
      <c r="CL18" s="24">
        <f t="shared" si="964"/>
        <v>0</v>
      </c>
      <c r="CM18" s="24">
        <f t="shared" si="964"/>
        <v>0</v>
      </c>
      <c r="CN18" s="24">
        <f t="shared" si="964"/>
        <v>0</v>
      </c>
      <c r="CO18" s="24">
        <f t="shared" si="964"/>
        <v>0</v>
      </c>
      <c r="CP18" s="24">
        <f t="shared" si="964"/>
        <v>0</v>
      </c>
      <c r="CQ18" s="24">
        <f t="shared" si="964"/>
        <v>0</v>
      </c>
      <c r="CR18" s="24">
        <f t="shared" si="964"/>
        <v>0</v>
      </c>
      <c r="CS18" s="24">
        <f t="shared" si="964"/>
        <v>0</v>
      </c>
      <c r="CT18" s="24">
        <f t="shared" si="964"/>
        <v>0</v>
      </c>
      <c r="CU18" s="24">
        <f t="shared" si="964"/>
        <v>0</v>
      </c>
      <c r="CV18" s="24">
        <f t="shared" si="964"/>
        <v>0</v>
      </c>
      <c r="CW18" s="24">
        <f t="shared" si="964"/>
        <v>0</v>
      </c>
      <c r="CX18" s="24">
        <f t="shared" si="964"/>
        <v>0</v>
      </c>
      <c r="CY18" s="24">
        <f t="shared" si="964"/>
        <v>0</v>
      </c>
      <c r="CZ18" s="24">
        <f t="shared" si="964"/>
        <v>0</v>
      </c>
      <c r="DA18" s="24">
        <f t="shared" si="964"/>
        <v>0</v>
      </c>
      <c r="DB18" s="24">
        <f t="shared" si="964"/>
        <v>0</v>
      </c>
      <c r="DC18" s="24">
        <f t="shared" si="964"/>
        <v>0</v>
      </c>
      <c r="DD18" s="24">
        <f t="shared" si="964"/>
        <v>0</v>
      </c>
      <c r="DE18" s="24">
        <f t="shared" si="964"/>
        <v>0</v>
      </c>
      <c r="DF18" s="24">
        <f t="shared" si="964"/>
        <v>0</v>
      </c>
      <c r="DG18" s="24">
        <f t="shared" si="964"/>
        <v>0</v>
      </c>
      <c r="DH18" s="24">
        <f t="shared" si="964"/>
        <v>0</v>
      </c>
      <c r="DI18" s="24">
        <f t="shared" si="964"/>
        <v>0</v>
      </c>
      <c r="DJ18" s="24">
        <f t="shared" si="964"/>
        <v>0</v>
      </c>
      <c r="DK18" s="24">
        <f t="shared" si="964"/>
        <v>0</v>
      </c>
      <c r="DL18" s="24">
        <f t="shared" si="964"/>
        <v>0</v>
      </c>
      <c r="DM18" s="24">
        <f t="shared" si="964"/>
        <v>0</v>
      </c>
      <c r="DN18" s="24">
        <f t="shared" si="964"/>
        <v>0</v>
      </c>
      <c r="DO18" s="24">
        <f t="shared" si="964"/>
        <v>0</v>
      </c>
      <c r="DP18" s="24">
        <f t="shared" si="964"/>
        <v>0</v>
      </c>
      <c r="DQ18" s="24">
        <f t="shared" si="964"/>
        <v>0</v>
      </c>
      <c r="DR18" s="24">
        <f t="shared" si="964"/>
        <v>0</v>
      </c>
      <c r="DS18" s="24">
        <f t="shared" si="964"/>
        <v>0</v>
      </c>
      <c r="DT18" s="24">
        <f t="shared" si="964"/>
        <v>0</v>
      </c>
      <c r="DU18" s="24">
        <f t="shared" si="964"/>
        <v>0</v>
      </c>
      <c r="DV18" s="24">
        <f t="shared" si="964"/>
        <v>0</v>
      </c>
      <c r="DW18" s="24">
        <f t="shared" si="964"/>
        <v>0</v>
      </c>
      <c r="DX18" s="24">
        <f t="shared" si="964"/>
        <v>0</v>
      </c>
      <c r="DY18" s="24">
        <f t="shared" si="964"/>
        <v>0</v>
      </c>
      <c r="DZ18" s="24">
        <f t="shared" si="964"/>
        <v>0</v>
      </c>
      <c r="EA18" s="24">
        <f t="shared" si="964"/>
        <v>0</v>
      </c>
      <c r="EB18" s="24">
        <f t="shared" si="964"/>
        <v>0</v>
      </c>
      <c r="EC18" s="24">
        <f t="shared" si="964"/>
        <v>0</v>
      </c>
      <c r="ED18" s="24">
        <f t="shared" si="964"/>
        <v>0</v>
      </c>
      <c r="EE18" s="24">
        <f t="shared" ref="EE18:GP18" si="965">EE7*$C$14</f>
        <v>0</v>
      </c>
      <c r="EF18" s="24">
        <f t="shared" si="965"/>
        <v>0</v>
      </c>
      <c r="EG18" s="24">
        <f t="shared" si="965"/>
        <v>0</v>
      </c>
      <c r="EH18" s="24">
        <f t="shared" si="965"/>
        <v>0</v>
      </c>
      <c r="EI18" s="24">
        <f t="shared" si="965"/>
        <v>0</v>
      </c>
      <c r="EJ18" s="24">
        <f t="shared" si="965"/>
        <v>0</v>
      </c>
      <c r="EK18" s="24">
        <f t="shared" si="965"/>
        <v>0</v>
      </c>
      <c r="EL18" s="24">
        <f t="shared" si="965"/>
        <v>0</v>
      </c>
      <c r="EM18" s="24">
        <f t="shared" si="965"/>
        <v>0</v>
      </c>
      <c r="EN18" s="24">
        <f t="shared" si="965"/>
        <v>0</v>
      </c>
      <c r="EO18" s="24">
        <f t="shared" si="965"/>
        <v>0</v>
      </c>
      <c r="EP18" s="24">
        <f t="shared" si="965"/>
        <v>0</v>
      </c>
      <c r="EQ18" s="24">
        <f t="shared" si="965"/>
        <v>0</v>
      </c>
      <c r="ER18" s="24">
        <f t="shared" si="965"/>
        <v>0</v>
      </c>
      <c r="ES18" s="24">
        <f t="shared" si="965"/>
        <v>0</v>
      </c>
      <c r="ET18" s="24">
        <f t="shared" si="965"/>
        <v>0</v>
      </c>
      <c r="EU18" s="24">
        <f t="shared" si="965"/>
        <v>0</v>
      </c>
      <c r="EV18" s="24">
        <f t="shared" si="965"/>
        <v>0</v>
      </c>
      <c r="EW18" s="24">
        <f t="shared" si="965"/>
        <v>0</v>
      </c>
      <c r="EX18" s="24">
        <f t="shared" si="965"/>
        <v>0</v>
      </c>
      <c r="EY18" s="24">
        <f t="shared" si="965"/>
        <v>0</v>
      </c>
      <c r="EZ18" s="24">
        <f t="shared" si="965"/>
        <v>0</v>
      </c>
      <c r="FA18" s="24">
        <f t="shared" si="965"/>
        <v>0</v>
      </c>
      <c r="FB18" s="24">
        <f t="shared" si="965"/>
        <v>0</v>
      </c>
      <c r="FC18" s="24">
        <f t="shared" si="965"/>
        <v>0</v>
      </c>
      <c r="FD18" s="24">
        <f t="shared" si="965"/>
        <v>0</v>
      </c>
      <c r="FE18" s="24">
        <f t="shared" si="965"/>
        <v>0</v>
      </c>
      <c r="FF18" s="24">
        <f t="shared" si="965"/>
        <v>0</v>
      </c>
      <c r="FG18" s="24">
        <f t="shared" si="965"/>
        <v>0</v>
      </c>
      <c r="FH18" s="24">
        <f t="shared" si="965"/>
        <v>0</v>
      </c>
      <c r="FI18" s="24">
        <f t="shared" si="965"/>
        <v>0</v>
      </c>
      <c r="FJ18" s="24">
        <f t="shared" si="965"/>
        <v>0</v>
      </c>
      <c r="FK18" s="24">
        <f t="shared" si="965"/>
        <v>0</v>
      </c>
      <c r="FL18" s="24">
        <f t="shared" si="965"/>
        <v>0</v>
      </c>
      <c r="FM18" s="24">
        <f t="shared" si="965"/>
        <v>0</v>
      </c>
      <c r="FN18" s="24">
        <f t="shared" si="965"/>
        <v>0</v>
      </c>
      <c r="FO18" s="24">
        <f t="shared" si="965"/>
        <v>0</v>
      </c>
      <c r="FP18" s="24">
        <f t="shared" si="965"/>
        <v>0</v>
      </c>
      <c r="FQ18" s="24">
        <f t="shared" si="965"/>
        <v>0</v>
      </c>
      <c r="FR18" s="24">
        <f t="shared" si="965"/>
        <v>0</v>
      </c>
      <c r="FS18" s="24">
        <f t="shared" si="965"/>
        <v>0</v>
      </c>
      <c r="FT18" s="24">
        <f t="shared" si="965"/>
        <v>0</v>
      </c>
      <c r="FU18" s="24">
        <f t="shared" si="965"/>
        <v>0</v>
      </c>
      <c r="FV18" s="24">
        <f t="shared" si="965"/>
        <v>0</v>
      </c>
      <c r="FW18" s="24">
        <f t="shared" si="965"/>
        <v>0</v>
      </c>
      <c r="FX18" s="24">
        <f t="shared" si="965"/>
        <v>0</v>
      </c>
      <c r="FY18" s="24">
        <f t="shared" si="965"/>
        <v>0</v>
      </c>
      <c r="FZ18" s="24">
        <f t="shared" si="965"/>
        <v>0</v>
      </c>
      <c r="GA18" s="24">
        <f t="shared" si="965"/>
        <v>0</v>
      </c>
      <c r="GB18" s="24">
        <f t="shared" si="965"/>
        <v>0</v>
      </c>
      <c r="GC18" s="24">
        <f t="shared" si="965"/>
        <v>0</v>
      </c>
      <c r="GD18" s="24">
        <f t="shared" si="965"/>
        <v>0</v>
      </c>
      <c r="GE18" s="24">
        <f t="shared" si="965"/>
        <v>0</v>
      </c>
      <c r="GF18" s="24">
        <f t="shared" si="965"/>
        <v>0</v>
      </c>
      <c r="GG18" s="24">
        <f t="shared" si="965"/>
        <v>0</v>
      </c>
      <c r="GH18" s="24">
        <f t="shared" si="965"/>
        <v>0</v>
      </c>
      <c r="GI18" s="24">
        <f t="shared" si="965"/>
        <v>0</v>
      </c>
      <c r="GJ18" s="24">
        <f t="shared" si="965"/>
        <v>0</v>
      </c>
      <c r="GK18" s="24">
        <f t="shared" si="965"/>
        <v>0</v>
      </c>
      <c r="GL18" s="24">
        <f t="shared" si="965"/>
        <v>0</v>
      </c>
      <c r="GM18" s="24">
        <f t="shared" si="965"/>
        <v>0</v>
      </c>
      <c r="GN18" s="24">
        <f t="shared" si="965"/>
        <v>0</v>
      </c>
      <c r="GO18" s="24">
        <f t="shared" si="965"/>
        <v>0</v>
      </c>
      <c r="GP18" s="24">
        <f t="shared" si="965"/>
        <v>0</v>
      </c>
      <c r="GQ18" s="24">
        <f t="shared" ref="GQ18:IN18" si="966">GQ7*$C$14</f>
        <v>0</v>
      </c>
      <c r="GR18" s="24">
        <f t="shared" si="966"/>
        <v>0</v>
      </c>
      <c r="GS18" s="24">
        <f t="shared" si="966"/>
        <v>0</v>
      </c>
      <c r="GT18" s="24">
        <f t="shared" si="966"/>
        <v>0</v>
      </c>
      <c r="GU18" s="24">
        <f t="shared" si="966"/>
        <v>0</v>
      </c>
      <c r="GV18" s="24">
        <f t="shared" si="966"/>
        <v>0</v>
      </c>
      <c r="GW18" s="24">
        <f t="shared" si="966"/>
        <v>0</v>
      </c>
      <c r="GX18" s="24">
        <f t="shared" si="966"/>
        <v>0</v>
      </c>
      <c r="GY18" s="24">
        <f t="shared" si="966"/>
        <v>0</v>
      </c>
      <c r="GZ18" s="24">
        <f t="shared" si="966"/>
        <v>0</v>
      </c>
      <c r="HA18" s="24">
        <f t="shared" si="966"/>
        <v>0</v>
      </c>
      <c r="HB18" s="24">
        <f t="shared" si="966"/>
        <v>0</v>
      </c>
      <c r="HC18" s="24">
        <f t="shared" si="966"/>
        <v>0</v>
      </c>
      <c r="HD18" s="24">
        <f t="shared" si="966"/>
        <v>0</v>
      </c>
      <c r="HE18" s="24">
        <f t="shared" si="966"/>
        <v>0</v>
      </c>
      <c r="HF18" s="24">
        <f t="shared" si="966"/>
        <v>0</v>
      </c>
      <c r="HG18" s="24">
        <f t="shared" si="966"/>
        <v>0</v>
      </c>
      <c r="HH18" s="24">
        <f t="shared" si="966"/>
        <v>0</v>
      </c>
      <c r="HI18" s="24">
        <f t="shared" si="966"/>
        <v>0</v>
      </c>
      <c r="HJ18" s="24">
        <f t="shared" si="966"/>
        <v>0</v>
      </c>
      <c r="HK18" s="24">
        <f t="shared" si="966"/>
        <v>0</v>
      </c>
      <c r="HL18" s="24">
        <f t="shared" si="966"/>
        <v>0</v>
      </c>
      <c r="HM18" s="24">
        <f t="shared" si="966"/>
        <v>0</v>
      </c>
      <c r="HN18" s="24">
        <f t="shared" si="966"/>
        <v>0</v>
      </c>
      <c r="HO18" s="24">
        <f t="shared" si="966"/>
        <v>0</v>
      </c>
      <c r="HP18" s="24">
        <f t="shared" si="966"/>
        <v>0</v>
      </c>
      <c r="HQ18" s="24">
        <f t="shared" si="966"/>
        <v>0</v>
      </c>
      <c r="HR18" s="24">
        <f t="shared" si="966"/>
        <v>0</v>
      </c>
      <c r="HS18" s="24">
        <f t="shared" si="966"/>
        <v>0</v>
      </c>
      <c r="HT18" s="24">
        <f t="shared" si="966"/>
        <v>0</v>
      </c>
      <c r="HU18" s="24">
        <f t="shared" si="966"/>
        <v>0</v>
      </c>
      <c r="HV18" s="24">
        <f t="shared" si="966"/>
        <v>0</v>
      </c>
      <c r="HW18" s="24">
        <f t="shared" si="966"/>
        <v>0</v>
      </c>
      <c r="HX18" s="24">
        <f t="shared" si="966"/>
        <v>0</v>
      </c>
      <c r="HY18" s="24">
        <f t="shared" si="966"/>
        <v>0</v>
      </c>
      <c r="HZ18" s="24">
        <f t="shared" si="966"/>
        <v>0</v>
      </c>
      <c r="IA18" s="24">
        <f t="shared" si="966"/>
        <v>0</v>
      </c>
      <c r="IB18" s="24">
        <f t="shared" si="966"/>
        <v>0</v>
      </c>
      <c r="IC18" s="24">
        <f t="shared" si="966"/>
        <v>0</v>
      </c>
      <c r="ID18" s="24">
        <f t="shared" si="966"/>
        <v>0</v>
      </c>
      <c r="IE18" s="24">
        <f t="shared" si="966"/>
        <v>0</v>
      </c>
      <c r="IF18" s="24">
        <f t="shared" si="966"/>
        <v>0</v>
      </c>
      <c r="IG18" s="24">
        <f t="shared" si="966"/>
        <v>0</v>
      </c>
      <c r="IH18" s="24">
        <f t="shared" si="966"/>
        <v>0</v>
      </c>
      <c r="II18" s="24">
        <f t="shared" si="966"/>
        <v>0</v>
      </c>
      <c r="IJ18" s="24">
        <f t="shared" si="966"/>
        <v>0</v>
      </c>
      <c r="IK18" s="24">
        <f t="shared" si="966"/>
        <v>0</v>
      </c>
      <c r="IL18" s="24">
        <f t="shared" si="966"/>
        <v>0</v>
      </c>
      <c r="IM18" s="24">
        <f t="shared" si="966"/>
        <v>0</v>
      </c>
      <c r="IN18" s="24">
        <f t="shared" si="966"/>
        <v>0</v>
      </c>
    </row>
    <row r="19" spans="2:248" x14ac:dyDescent="0.3">
      <c r="B19" s="19" t="s">
        <v>496</v>
      </c>
      <c r="C19" s="44">
        <v>0.4</v>
      </c>
      <c r="F19" s="22" t="s">
        <v>501</v>
      </c>
      <c r="G19" s="24">
        <f t="shared" ref="G19:BR19" si="967">G10*$C$14</f>
        <v>0.59057353776263488</v>
      </c>
      <c r="H19" s="24">
        <f t="shared" si="967"/>
        <v>0.7223168654173765</v>
      </c>
      <c r="I19" s="24">
        <f t="shared" si="967"/>
        <v>0.89040318001135721</v>
      </c>
      <c r="J19" s="24">
        <f t="shared" si="967"/>
        <v>1.1902328222600795</v>
      </c>
      <c r="K19" s="24">
        <f t="shared" si="967"/>
        <v>2.1896649630891538</v>
      </c>
      <c r="L19" s="24">
        <f t="shared" si="967"/>
        <v>3.0437251561612721</v>
      </c>
      <c r="M19" s="24">
        <f t="shared" si="967"/>
        <v>3.6297558205565021</v>
      </c>
      <c r="N19" s="24">
        <f t="shared" si="967"/>
        <v>4.7245883021010791</v>
      </c>
      <c r="O19" s="24">
        <f t="shared" si="967"/>
        <v>5.3424190800681428</v>
      </c>
      <c r="P19" s="24">
        <f t="shared" si="967"/>
        <v>6.6189664963089152</v>
      </c>
      <c r="Q19" s="24">
        <f t="shared" si="967"/>
        <v>8.6678023850085175</v>
      </c>
      <c r="R19" s="24">
        <f t="shared" si="967"/>
        <v>9.4400908574673483</v>
      </c>
      <c r="S19" s="24">
        <f t="shared" si="967"/>
        <v>16.104486087450312</v>
      </c>
      <c r="T19" s="24">
        <f t="shared" si="967"/>
        <v>20.106757524134014</v>
      </c>
      <c r="U19" s="24">
        <f t="shared" si="967"/>
        <v>25.435547984099944</v>
      </c>
      <c r="V19" s="24">
        <f t="shared" si="967"/>
        <v>31.845542305508236</v>
      </c>
      <c r="W19" s="24">
        <f t="shared" si="967"/>
        <v>39.863713798977855</v>
      </c>
      <c r="X19" s="24">
        <f t="shared" si="967"/>
        <v>52.956274843838727</v>
      </c>
      <c r="Y19" s="24">
        <f t="shared" si="967"/>
        <v>65.96706416808631</v>
      </c>
      <c r="Z19" s="24">
        <f t="shared" si="967"/>
        <v>71.831913685406022</v>
      </c>
      <c r="AA19" s="24">
        <f t="shared" si="967"/>
        <v>78.86973310618967</v>
      </c>
      <c r="AB19" s="24">
        <f t="shared" si="967"/>
        <v>86.014400908574686</v>
      </c>
      <c r="AC19" s="24">
        <f t="shared" si="967"/>
        <v>93.228901760363442</v>
      </c>
      <c r="AD19" s="24">
        <f t="shared" si="967"/>
        <v>102.64628370244182</v>
      </c>
      <c r="AE19" s="24">
        <f t="shared" si="967"/>
        <v>106.59995239068715</v>
      </c>
      <c r="AF19" s="24">
        <f t="shared" si="967"/>
        <v>114.79543882793872</v>
      </c>
      <c r="AG19" s="24">
        <f t="shared" si="967"/>
        <v>122.86101337512783</v>
      </c>
      <c r="AH19" s="24">
        <f t="shared" si="967"/>
        <v>131.06988586539472</v>
      </c>
      <c r="AI19" s="24">
        <f t="shared" si="967"/>
        <v>138.46284833041233</v>
      </c>
      <c r="AJ19" s="24">
        <f t="shared" si="967"/>
        <v>142.56784980172731</v>
      </c>
      <c r="AK19" s="24">
        <f t="shared" si="967"/>
        <v>148.82781479325723</v>
      </c>
      <c r="AL19" s="24">
        <f t="shared" si="967"/>
        <v>163.71059627258299</v>
      </c>
      <c r="AM19" s="24">
        <f t="shared" si="967"/>
        <v>180.08165589984131</v>
      </c>
      <c r="AN19" s="24">
        <f t="shared" si="967"/>
        <v>198.08982148982545</v>
      </c>
      <c r="AO19" s="24">
        <f t="shared" si="967"/>
        <v>217.898803638808</v>
      </c>
      <c r="AP19" s="24">
        <f t="shared" si="967"/>
        <v>239.6886840026888</v>
      </c>
      <c r="AQ19" s="24">
        <f t="shared" si="967"/>
        <v>263.65755240295766</v>
      </c>
      <c r="AR19" s="24">
        <f t="shared" si="967"/>
        <v>290.02330764325347</v>
      </c>
      <c r="AS19" s="24">
        <f t="shared" si="967"/>
        <v>319.02563840757887</v>
      </c>
      <c r="AT19" s="24">
        <f t="shared" si="967"/>
        <v>350.92820224833685</v>
      </c>
      <c r="AU19" s="24">
        <f t="shared" si="967"/>
        <v>386.02102247317055</v>
      </c>
      <c r="AV19" s="24">
        <f t="shared" si="967"/>
        <v>424.62312472048762</v>
      </c>
      <c r="AW19" s="24">
        <f t="shared" si="967"/>
        <v>467.08543719253646</v>
      </c>
      <c r="AX19" s="24">
        <f t="shared" si="967"/>
        <v>513.79398091179007</v>
      </c>
      <c r="AY19" s="24">
        <f t="shared" si="967"/>
        <v>565.17337900296911</v>
      </c>
      <c r="AZ19" s="24">
        <f t="shared" si="967"/>
        <v>621.69071690326598</v>
      </c>
      <c r="BA19" s="24">
        <f t="shared" si="967"/>
        <v>683.85978859359284</v>
      </c>
      <c r="BB19" s="24">
        <f t="shared" si="967"/>
        <v>752.24576745295212</v>
      </c>
      <c r="BC19" s="24">
        <f t="shared" si="967"/>
        <v>827.47034419824763</v>
      </c>
      <c r="BD19" s="24">
        <f t="shared" si="967"/>
        <v>910.21737861807242</v>
      </c>
      <c r="BE19" s="24">
        <f t="shared" si="967"/>
        <v>1001.2391164798796</v>
      </c>
      <c r="BF19" s="24">
        <f t="shared" si="967"/>
        <v>1101.3630281278677</v>
      </c>
      <c r="BG19" s="24">
        <f t="shared" si="967"/>
        <v>1211.4993309406545</v>
      </c>
      <c r="BH19" s="24">
        <f t="shared" si="967"/>
        <v>1332.6492640347203</v>
      </c>
      <c r="BI19" s="24">
        <f t="shared" si="967"/>
        <v>1465.9141904381925</v>
      </c>
      <c r="BJ19" s="24">
        <f t="shared" si="967"/>
        <v>1612.5056094820118</v>
      </c>
      <c r="BK19" s="24">
        <f t="shared" si="967"/>
        <v>1773.7561704302134</v>
      </c>
      <c r="BL19" s="24">
        <f t="shared" si="967"/>
        <v>1951.1317874732345</v>
      </c>
      <c r="BM19" s="24">
        <f t="shared" si="967"/>
        <v>2146.2449662205581</v>
      </c>
      <c r="BN19" s="24">
        <f t="shared" si="967"/>
        <v>2360.8694628426142</v>
      </c>
      <c r="BO19" s="24">
        <f t="shared" si="967"/>
        <v>2596.9564091268758</v>
      </c>
      <c r="BP19" s="24">
        <f t="shared" si="967"/>
        <v>2856.6520500395632</v>
      </c>
      <c r="BQ19" s="24">
        <f t="shared" si="967"/>
        <v>3142.3172550435197</v>
      </c>
      <c r="BR19" s="24">
        <f t="shared" si="967"/>
        <v>3456.5489805478724</v>
      </c>
      <c r="BS19" s="24">
        <f t="shared" ref="BS19:ED19" si="968">BS10*$C$14</f>
        <v>3802.2038786026596</v>
      </c>
      <c r="BT19" s="24">
        <f t="shared" si="968"/>
        <v>4182.4242664629255</v>
      </c>
      <c r="BU19" s="24">
        <f t="shared" si="968"/>
        <v>4600.6666931092195</v>
      </c>
      <c r="BV19" s="24">
        <f t="shared" si="968"/>
        <v>5060.733362420141</v>
      </c>
      <c r="BW19" s="24">
        <f t="shared" si="968"/>
        <v>5566.8066986621561</v>
      </c>
      <c r="BX19" s="24">
        <f t="shared" si="968"/>
        <v>6123.4873685283728</v>
      </c>
      <c r="BY19" s="24">
        <f t="shared" si="968"/>
        <v>6735.8361053812105</v>
      </c>
      <c r="BZ19" s="24">
        <f t="shared" si="968"/>
        <v>7409.4197159193318</v>
      </c>
      <c r="CA19" s="24">
        <f t="shared" si="968"/>
        <v>8150.3616875112657</v>
      </c>
      <c r="CB19" s="24">
        <f t="shared" si="968"/>
        <v>8965.3978562623925</v>
      </c>
      <c r="CC19" s="24">
        <f t="shared" si="968"/>
        <v>9861.9376418886332</v>
      </c>
      <c r="CD19" s="24">
        <f t="shared" si="968"/>
        <v>10848.131406077497</v>
      </c>
      <c r="CE19" s="24">
        <f t="shared" si="968"/>
        <v>11932.944546685248</v>
      </c>
      <c r="CF19" s="24">
        <f t="shared" si="968"/>
        <v>13126.239001353772</v>
      </c>
      <c r="CG19" s="24">
        <f t="shared" si="968"/>
        <v>14438.86290148915</v>
      </c>
      <c r="CH19" s="24">
        <f t="shared" si="968"/>
        <v>15882.749191638068</v>
      </c>
      <c r="CI19" s="24">
        <f t="shared" si="968"/>
        <v>17471.024110801874</v>
      </c>
      <c r="CJ19" s="24">
        <f t="shared" si="968"/>
        <v>19218.126521882063</v>
      </c>
      <c r="CK19" s="24">
        <f t="shared" si="968"/>
        <v>21139.93917407027</v>
      </c>
      <c r="CL19" s="24">
        <f t="shared" si="968"/>
        <v>23253.933091477295</v>
      </c>
      <c r="CM19" s="24">
        <f t="shared" si="968"/>
        <v>25579.326400625028</v>
      </c>
      <c r="CN19" s="24">
        <f t="shared" si="968"/>
        <v>28137.259040687535</v>
      </c>
      <c r="CO19" s="24">
        <f t="shared" si="968"/>
        <v>30950.984944756288</v>
      </c>
      <c r="CP19" s="24">
        <f t="shared" si="968"/>
        <v>34046.083439231916</v>
      </c>
      <c r="CQ19" s="24">
        <f t="shared" si="968"/>
        <v>37450.691783155104</v>
      </c>
      <c r="CR19" s="24">
        <f t="shared" si="968"/>
        <v>41195.760961470631</v>
      </c>
      <c r="CS19" s="24">
        <f t="shared" si="968"/>
        <v>45315.337057617697</v>
      </c>
      <c r="CT19" s="24">
        <f t="shared" si="968"/>
        <v>49846.870763379477</v>
      </c>
      <c r="CU19" s="24">
        <f t="shared" si="968"/>
        <v>54831.557839717418</v>
      </c>
      <c r="CV19" s="24">
        <f t="shared" si="968"/>
        <v>60314.713623689175</v>
      </c>
      <c r="CW19" s="24">
        <f t="shared" si="968"/>
        <v>66346.184986058099</v>
      </c>
      <c r="CX19" s="24">
        <f t="shared" si="968"/>
        <v>72980.80348466392</v>
      </c>
      <c r="CY19" s="24">
        <f t="shared" si="968"/>
        <v>80278.883833130298</v>
      </c>
      <c r="CZ19" s="24">
        <f t="shared" si="968"/>
        <v>88306.772216443351</v>
      </c>
      <c r="DA19" s="24">
        <f t="shared" si="968"/>
        <v>97137.449438087686</v>
      </c>
      <c r="DB19" s="24">
        <f t="shared" si="968"/>
        <v>102280.77477397153</v>
      </c>
      <c r="DC19" s="24">
        <f t="shared" si="968"/>
        <v>97284.058702248862</v>
      </c>
      <c r="DD19" s="24">
        <f t="shared" si="968"/>
        <v>91787.671023353934</v>
      </c>
      <c r="DE19" s="24">
        <f t="shared" si="968"/>
        <v>85741.644576569495</v>
      </c>
      <c r="DF19" s="24">
        <f t="shared" si="968"/>
        <v>79091.015485106618</v>
      </c>
      <c r="DG19" s="24">
        <f t="shared" si="968"/>
        <v>71775.323484497465</v>
      </c>
      <c r="DH19" s="24">
        <f t="shared" si="968"/>
        <v>63728.062283827378</v>
      </c>
      <c r="DI19" s="24">
        <f t="shared" si="968"/>
        <v>54876.074963090286</v>
      </c>
      <c r="DJ19" s="24">
        <f t="shared" si="968"/>
        <v>45138.888910279486</v>
      </c>
      <c r="DK19" s="24">
        <f t="shared" si="968"/>
        <v>34427.984252187605</v>
      </c>
      <c r="DL19" s="24">
        <f t="shared" si="968"/>
        <v>22645.989128286546</v>
      </c>
      <c r="DM19" s="24">
        <f t="shared" si="968"/>
        <v>9685.7944919953698</v>
      </c>
      <c r="DN19" s="24">
        <f t="shared" si="968"/>
        <v>0</v>
      </c>
      <c r="DO19" s="24">
        <f t="shared" si="968"/>
        <v>0</v>
      </c>
      <c r="DP19" s="24">
        <f t="shared" si="968"/>
        <v>0</v>
      </c>
      <c r="DQ19" s="24">
        <f t="shared" si="968"/>
        <v>0</v>
      </c>
      <c r="DR19" s="24">
        <f t="shared" si="968"/>
        <v>0</v>
      </c>
      <c r="DS19" s="24">
        <f t="shared" si="968"/>
        <v>0</v>
      </c>
      <c r="DT19" s="24">
        <f t="shared" si="968"/>
        <v>0</v>
      </c>
      <c r="DU19" s="24">
        <f t="shared" si="968"/>
        <v>0</v>
      </c>
      <c r="DV19" s="24">
        <f t="shared" si="968"/>
        <v>0</v>
      </c>
      <c r="DW19" s="24">
        <f t="shared" si="968"/>
        <v>0</v>
      </c>
      <c r="DX19" s="24">
        <f t="shared" si="968"/>
        <v>0</v>
      </c>
      <c r="DY19" s="24">
        <f t="shared" si="968"/>
        <v>0</v>
      </c>
      <c r="DZ19" s="24">
        <f t="shared" si="968"/>
        <v>0</v>
      </c>
      <c r="EA19" s="24">
        <f t="shared" si="968"/>
        <v>0</v>
      </c>
      <c r="EB19" s="24">
        <f t="shared" si="968"/>
        <v>0</v>
      </c>
      <c r="EC19" s="24">
        <f t="shared" si="968"/>
        <v>0</v>
      </c>
      <c r="ED19" s="24">
        <f t="shared" si="968"/>
        <v>0</v>
      </c>
      <c r="EE19" s="24">
        <f t="shared" ref="EE19:GP19" si="969">EE10*$C$14</f>
        <v>0</v>
      </c>
      <c r="EF19" s="24">
        <f t="shared" si="969"/>
        <v>0</v>
      </c>
      <c r="EG19" s="24">
        <f t="shared" si="969"/>
        <v>0</v>
      </c>
      <c r="EH19" s="24">
        <f t="shared" si="969"/>
        <v>0</v>
      </c>
      <c r="EI19" s="24">
        <f t="shared" si="969"/>
        <v>0</v>
      </c>
      <c r="EJ19" s="24">
        <f t="shared" si="969"/>
        <v>0</v>
      </c>
      <c r="EK19" s="24">
        <f t="shared" si="969"/>
        <v>0</v>
      </c>
      <c r="EL19" s="24">
        <f t="shared" si="969"/>
        <v>0</v>
      </c>
      <c r="EM19" s="24">
        <f t="shared" si="969"/>
        <v>0</v>
      </c>
      <c r="EN19" s="24">
        <f t="shared" si="969"/>
        <v>0</v>
      </c>
      <c r="EO19" s="24">
        <f t="shared" si="969"/>
        <v>0</v>
      </c>
      <c r="EP19" s="24">
        <f t="shared" si="969"/>
        <v>0</v>
      </c>
      <c r="EQ19" s="24">
        <f t="shared" si="969"/>
        <v>0</v>
      </c>
      <c r="ER19" s="24">
        <f t="shared" si="969"/>
        <v>0</v>
      </c>
      <c r="ES19" s="24">
        <f t="shared" si="969"/>
        <v>0</v>
      </c>
      <c r="ET19" s="24">
        <f t="shared" si="969"/>
        <v>0</v>
      </c>
      <c r="EU19" s="24">
        <f t="shared" si="969"/>
        <v>0</v>
      </c>
      <c r="EV19" s="24">
        <f t="shared" si="969"/>
        <v>0</v>
      </c>
      <c r="EW19" s="24">
        <f t="shared" si="969"/>
        <v>0</v>
      </c>
      <c r="EX19" s="24">
        <f t="shared" si="969"/>
        <v>0</v>
      </c>
      <c r="EY19" s="24">
        <f t="shared" si="969"/>
        <v>0</v>
      </c>
      <c r="EZ19" s="24">
        <f t="shared" si="969"/>
        <v>0</v>
      </c>
      <c r="FA19" s="24">
        <f t="shared" si="969"/>
        <v>0</v>
      </c>
      <c r="FB19" s="24">
        <f t="shared" si="969"/>
        <v>0</v>
      </c>
      <c r="FC19" s="24">
        <f t="shared" si="969"/>
        <v>0</v>
      </c>
      <c r="FD19" s="24">
        <f t="shared" si="969"/>
        <v>0</v>
      </c>
      <c r="FE19" s="24">
        <f t="shared" si="969"/>
        <v>0</v>
      </c>
      <c r="FF19" s="24">
        <f t="shared" si="969"/>
        <v>0</v>
      </c>
      <c r="FG19" s="24">
        <f t="shared" si="969"/>
        <v>0</v>
      </c>
      <c r="FH19" s="24">
        <f t="shared" si="969"/>
        <v>0</v>
      </c>
      <c r="FI19" s="24">
        <f t="shared" si="969"/>
        <v>0</v>
      </c>
      <c r="FJ19" s="24">
        <f t="shared" si="969"/>
        <v>0</v>
      </c>
      <c r="FK19" s="24">
        <f t="shared" si="969"/>
        <v>0</v>
      </c>
      <c r="FL19" s="24">
        <f t="shared" si="969"/>
        <v>0</v>
      </c>
      <c r="FM19" s="24">
        <f t="shared" si="969"/>
        <v>0</v>
      </c>
      <c r="FN19" s="24">
        <f t="shared" si="969"/>
        <v>0</v>
      </c>
      <c r="FO19" s="24">
        <f t="shared" si="969"/>
        <v>0</v>
      </c>
      <c r="FP19" s="24">
        <f t="shared" si="969"/>
        <v>0</v>
      </c>
      <c r="FQ19" s="24">
        <f t="shared" si="969"/>
        <v>0</v>
      </c>
      <c r="FR19" s="24">
        <f t="shared" si="969"/>
        <v>0</v>
      </c>
      <c r="FS19" s="24">
        <f t="shared" si="969"/>
        <v>0</v>
      </c>
      <c r="FT19" s="24">
        <f t="shared" si="969"/>
        <v>0</v>
      </c>
      <c r="FU19" s="24">
        <f t="shared" si="969"/>
        <v>0</v>
      </c>
      <c r="FV19" s="24">
        <f t="shared" si="969"/>
        <v>0</v>
      </c>
      <c r="FW19" s="24">
        <f t="shared" si="969"/>
        <v>0</v>
      </c>
      <c r="FX19" s="24">
        <f t="shared" si="969"/>
        <v>0</v>
      </c>
      <c r="FY19" s="24">
        <f t="shared" si="969"/>
        <v>0</v>
      </c>
      <c r="FZ19" s="24">
        <f t="shared" si="969"/>
        <v>0</v>
      </c>
      <c r="GA19" s="24">
        <f t="shared" si="969"/>
        <v>0</v>
      </c>
      <c r="GB19" s="24">
        <f t="shared" si="969"/>
        <v>0</v>
      </c>
      <c r="GC19" s="24">
        <f t="shared" si="969"/>
        <v>0</v>
      </c>
      <c r="GD19" s="24">
        <f t="shared" si="969"/>
        <v>0</v>
      </c>
      <c r="GE19" s="24">
        <f t="shared" si="969"/>
        <v>0</v>
      </c>
      <c r="GF19" s="24">
        <f t="shared" si="969"/>
        <v>0</v>
      </c>
      <c r="GG19" s="24">
        <f t="shared" si="969"/>
        <v>0</v>
      </c>
      <c r="GH19" s="24">
        <f t="shared" si="969"/>
        <v>0</v>
      </c>
      <c r="GI19" s="24">
        <f t="shared" si="969"/>
        <v>0</v>
      </c>
      <c r="GJ19" s="24">
        <f t="shared" si="969"/>
        <v>0</v>
      </c>
      <c r="GK19" s="24">
        <f t="shared" si="969"/>
        <v>0</v>
      </c>
      <c r="GL19" s="24">
        <f t="shared" si="969"/>
        <v>0</v>
      </c>
      <c r="GM19" s="24">
        <f t="shared" si="969"/>
        <v>0</v>
      </c>
      <c r="GN19" s="24">
        <f t="shared" si="969"/>
        <v>0</v>
      </c>
      <c r="GO19" s="24">
        <f t="shared" si="969"/>
        <v>0</v>
      </c>
      <c r="GP19" s="24">
        <f t="shared" si="969"/>
        <v>0</v>
      </c>
      <c r="GQ19" s="24">
        <f t="shared" ref="GQ19:IN19" si="970">GQ10*$C$14</f>
        <v>0</v>
      </c>
      <c r="GR19" s="24">
        <f t="shared" si="970"/>
        <v>0</v>
      </c>
      <c r="GS19" s="24">
        <f t="shared" si="970"/>
        <v>0</v>
      </c>
      <c r="GT19" s="24">
        <f t="shared" si="970"/>
        <v>0</v>
      </c>
      <c r="GU19" s="24">
        <f t="shared" si="970"/>
        <v>0</v>
      </c>
      <c r="GV19" s="24">
        <f t="shared" si="970"/>
        <v>0</v>
      </c>
      <c r="GW19" s="24">
        <f t="shared" si="970"/>
        <v>0</v>
      </c>
      <c r="GX19" s="24">
        <f t="shared" si="970"/>
        <v>0</v>
      </c>
      <c r="GY19" s="24">
        <f t="shared" si="970"/>
        <v>0</v>
      </c>
      <c r="GZ19" s="24">
        <f t="shared" si="970"/>
        <v>0</v>
      </c>
      <c r="HA19" s="24">
        <f t="shared" si="970"/>
        <v>0</v>
      </c>
      <c r="HB19" s="24">
        <f t="shared" si="970"/>
        <v>0</v>
      </c>
      <c r="HC19" s="24">
        <f t="shared" si="970"/>
        <v>0</v>
      </c>
      <c r="HD19" s="24">
        <f t="shared" si="970"/>
        <v>0</v>
      </c>
      <c r="HE19" s="24">
        <f t="shared" si="970"/>
        <v>0</v>
      </c>
      <c r="HF19" s="24">
        <f t="shared" si="970"/>
        <v>0</v>
      </c>
      <c r="HG19" s="24">
        <f t="shared" si="970"/>
        <v>0</v>
      </c>
      <c r="HH19" s="24">
        <f t="shared" si="970"/>
        <v>0</v>
      </c>
      <c r="HI19" s="24">
        <f t="shared" si="970"/>
        <v>0</v>
      </c>
      <c r="HJ19" s="24">
        <f t="shared" si="970"/>
        <v>0</v>
      </c>
      <c r="HK19" s="24">
        <f t="shared" si="970"/>
        <v>0</v>
      </c>
      <c r="HL19" s="24">
        <f t="shared" si="970"/>
        <v>0</v>
      </c>
      <c r="HM19" s="24">
        <f t="shared" si="970"/>
        <v>0</v>
      </c>
      <c r="HN19" s="24">
        <f t="shared" si="970"/>
        <v>0</v>
      </c>
      <c r="HO19" s="24">
        <f t="shared" si="970"/>
        <v>0</v>
      </c>
      <c r="HP19" s="24">
        <f t="shared" si="970"/>
        <v>0</v>
      </c>
      <c r="HQ19" s="24">
        <f t="shared" si="970"/>
        <v>0</v>
      </c>
      <c r="HR19" s="24">
        <f t="shared" si="970"/>
        <v>0</v>
      </c>
      <c r="HS19" s="24">
        <f t="shared" si="970"/>
        <v>0</v>
      </c>
      <c r="HT19" s="24">
        <f t="shared" si="970"/>
        <v>0</v>
      </c>
      <c r="HU19" s="24">
        <f t="shared" si="970"/>
        <v>0</v>
      </c>
      <c r="HV19" s="24">
        <f t="shared" si="970"/>
        <v>0</v>
      </c>
      <c r="HW19" s="24">
        <f t="shared" si="970"/>
        <v>0</v>
      </c>
      <c r="HX19" s="24">
        <f t="shared" si="970"/>
        <v>0</v>
      </c>
      <c r="HY19" s="24">
        <f t="shared" si="970"/>
        <v>0</v>
      </c>
      <c r="HZ19" s="24">
        <f t="shared" si="970"/>
        <v>0</v>
      </c>
      <c r="IA19" s="24">
        <f t="shared" si="970"/>
        <v>0</v>
      </c>
      <c r="IB19" s="24">
        <f t="shared" si="970"/>
        <v>0</v>
      </c>
      <c r="IC19" s="24">
        <f t="shared" si="970"/>
        <v>0</v>
      </c>
      <c r="ID19" s="24">
        <f t="shared" si="970"/>
        <v>0</v>
      </c>
      <c r="IE19" s="24">
        <f t="shared" si="970"/>
        <v>0</v>
      </c>
      <c r="IF19" s="24">
        <f t="shared" si="970"/>
        <v>0</v>
      </c>
      <c r="IG19" s="24">
        <f t="shared" si="970"/>
        <v>0</v>
      </c>
      <c r="IH19" s="24">
        <f t="shared" si="970"/>
        <v>0</v>
      </c>
      <c r="II19" s="24">
        <f t="shared" si="970"/>
        <v>0</v>
      </c>
      <c r="IJ19" s="24">
        <f t="shared" si="970"/>
        <v>0</v>
      </c>
      <c r="IK19" s="24">
        <f t="shared" si="970"/>
        <v>0</v>
      </c>
      <c r="IL19" s="24">
        <f t="shared" si="970"/>
        <v>0</v>
      </c>
      <c r="IM19" s="24">
        <f t="shared" si="970"/>
        <v>0</v>
      </c>
      <c r="IN19" s="24">
        <f t="shared" si="970"/>
        <v>0</v>
      </c>
    </row>
    <row r="20" spans="2:248" x14ac:dyDescent="0.3">
      <c r="B20" s="19" t="s">
        <v>498</v>
      </c>
      <c r="C20" s="42">
        <f>C19*C18</f>
        <v>33513576.800000001</v>
      </c>
      <c r="F20" s="22" t="s">
        <v>505</v>
      </c>
      <c r="G20" s="24">
        <f t="shared" ref="G20:BR20" si="971">G12*$C$14</f>
        <v>0.59057353776263488</v>
      </c>
      <c r="H20" s="24">
        <f t="shared" si="971"/>
        <v>0.7223168654173765</v>
      </c>
      <c r="I20" s="24">
        <f t="shared" si="971"/>
        <v>0.89040318001135721</v>
      </c>
      <c r="J20" s="24">
        <f t="shared" si="971"/>
        <v>1.1902328222600795</v>
      </c>
      <c r="K20" s="24">
        <f t="shared" si="971"/>
        <v>2.1896649630891538</v>
      </c>
      <c r="L20" s="24">
        <f t="shared" si="971"/>
        <v>3.0437251561612721</v>
      </c>
      <c r="M20" s="24">
        <f t="shared" si="971"/>
        <v>3.6297558205565021</v>
      </c>
      <c r="N20" s="24">
        <f t="shared" si="971"/>
        <v>4.7245883021010791</v>
      </c>
      <c r="O20" s="24">
        <f t="shared" si="971"/>
        <v>5.3424190800681428</v>
      </c>
      <c r="P20" s="24">
        <f t="shared" si="971"/>
        <v>6.6189664963089152</v>
      </c>
      <c r="Q20" s="24">
        <f t="shared" si="971"/>
        <v>8.6678023850085175</v>
      </c>
      <c r="R20" s="24">
        <f t="shared" si="971"/>
        <v>9.4400908574673483</v>
      </c>
      <c r="S20" s="24">
        <f t="shared" si="971"/>
        <v>16.104486087450312</v>
      </c>
      <c r="T20" s="24">
        <f t="shared" si="971"/>
        <v>20.106757524134014</v>
      </c>
      <c r="U20" s="24">
        <f t="shared" si="971"/>
        <v>25.435547984099944</v>
      </c>
      <c r="V20" s="24">
        <f t="shared" si="971"/>
        <v>31.845542305508236</v>
      </c>
      <c r="W20" s="24">
        <f t="shared" si="971"/>
        <v>39.863713798977855</v>
      </c>
      <c r="X20" s="24">
        <f t="shared" si="971"/>
        <v>52.956274843838727</v>
      </c>
      <c r="Y20" s="24">
        <f t="shared" si="971"/>
        <v>65.96706416808631</v>
      </c>
      <c r="Z20" s="24">
        <f t="shared" si="971"/>
        <v>82.271436683702447</v>
      </c>
      <c r="AA20" s="24">
        <f t="shared" si="971"/>
        <v>103.40261215218626</v>
      </c>
      <c r="AB20" s="24">
        <f t="shared" si="971"/>
        <v>129.31232254400908</v>
      </c>
      <c r="AC20" s="24">
        <f t="shared" si="971"/>
        <v>161.24630891538899</v>
      </c>
      <c r="AD20" s="24">
        <f t="shared" si="971"/>
        <v>202.95254826802955</v>
      </c>
      <c r="AE20" s="24">
        <f t="shared" si="971"/>
        <v>248.79573928165814</v>
      </c>
      <c r="AF20" s="24">
        <f t="shared" si="971"/>
        <v>311.0344242440375</v>
      </c>
      <c r="AG20" s="24">
        <f t="shared" si="971"/>
        <v>388.50342212787479</v>
      </c>
      <c r="AH20" s="24">
        <f t="shared" si="971"/>
        <v>485.50094148721428</v>
      </c>
      <c r="AI20" s="24">
        <f t="shared" si="971"/>
        <v>606.11751700666127</v>
      </c>
      <c r="AJ20" s="24">
        <f t="shared" si="971"/>
        <v>754.21361971091039</v>
      </c>
      <c r="AK20" s="24">
        <f t="shared" si="971"/>
        <v>943.17020464999507</v>
      </c>
      <c r="AL20" s="24">
        <f t="shared" si="971"/>
        <v>1178.9627558124939</v>
      </c>
      <c r="AM20" s="24">
        <f t="shared" si="971"/>
        <v>1473.7034447656174</v>
      </c>
      <c r="AN20" s="24">
        <f t="shared" si="971"/>
        <v>1842.1293059570216</v>
      </c>
      <c r="AO20" s="24">
        <f t="shared" si="971"/>
        <v>2302.6616324462771</v>
      </c>
      <c r="AP20" s="24">
        <f t="shared" si="971"/>
        <v>2878.3270405578464</v>
      </c>
      <c r="AQ20" s="24">
        <f t="shared" si="971"/>
        <v>3597.9088006973079</v>
      </c>
      <c r="AR20" s="24">
        <f t="shared" si="971"/>
        <v>4497.3860008716347</v>
      </c>
      <c r="AS20" s="24">
        <f t="shared" si="971"/>
        <v>5621.7325010895438</v>
      </c>
      <c r="AT20" s="24">
        <f t="shared" si="971"/>
        <v>7027.1656263619288</v>
      </c>
      <c r="AU20" s="24">
        <f t="shared" si="971"/>
        <v>8783.9570329524104</v>
      </c>
      <c r="AV20" s="24">
        <f t="shared" si="971"/>
        <v>10979.946291190514</v>
      </c>
      <c r="AW20" s="24">
        <f t="shared" si="971"/>
        <v>13724.932863988142</v>
      </c>
      <c r="AX20" s="24">
        <f t="shared" si="971"/>
        <v>17156.166079985182</v>
      </c>
      <c r="AY20" s="24">
        <f t="shared" si="971"/>
        <v>21445.207599981477</v>
      </c>
      <c r="AZ20" s="24">
        <f t="shared" si="971"/>
        <v>26806.509499976848</v>
      </c>
      <c r="BA20" s="24">
        <f t="shared" si="971"/>
        <v>33508.13687497106</v>
      </c>
      <c r="BB20" s="24">
        <f t="shared" si="971"/>
        <v>41885.171093713827</v>
      </c>
      <c r="BC20" s="24">
        <f t="shared" si="971"/>
        <v>52356.46386714228</v>
      </c>
      <c r="BD20" s="24">
        <f t="shared" si="971"/>
        <v>65445.579833927848</v>
      </c>
      <c r="BE20" s="24">
        <f t="shared" si="971"/>
        <v>81806.974792409819</v>
      </c>
      <c r="BF20" s="24">
        <f t="shared" si="971"/>
        <v>102258.71849051227</v>
      </c>
      <c r="BG20" s="24">
        <f t="shared" si="971"/>
        <v>127823.39811314033</v>
      </c>
      <c r="BH20" s="24">
        <f t="shared" si="971"/>
        <v>140457.77558029676</v>
      </c>
      <c r="BI20" s="24">
        <f t="shared" si="971"/>
        <v>137510.2356025714</v>
      </c>
      <c r="BJ20" s="24">
        <f t="shared" si="971"/>
        <v>133825.81063041472</v>
      </c>
      <c r="BK20" s="24">
        <f t="shared" si="971"/>
        <v>129220.27941521884</v>
      </c>
      <c r="BL20" s="24">
        <f t="shared" si="971"/>
        <v>123463.36539622401</v>
      </c>
      <c r="BM20" s="24">
        <f t="shared" si="971"/>
        <v>116267.22287248046</v>
      </c>
      <c r="BN20" s="24">
        <f t="shared" si="971"/>
        <v>107272.04471780102</v>
      </c>
      <c r="BO20" s="24">
        <f t="shared" si="971"/>
        <v>96028.072024451729</v>
      </c>
      <c r="BP20" s="24">
        <f t="shared" si="971"/>
        <v>81973.106157765113</v>
      </c>
      <c r="BQ20" s="24">
        <f t="shared" si="971"/>
        <v>64404.398824406846</v>
      </c>
      <c r="BR20" s="24">
        <f t="shared" si="971"/>
        <v>42443.51465770902</v>
      </c>
      <c r="BS20" s="24">
        <f t="shared" ref="BS20:ED20" si="972">BS12*$C$14</f>
        <v>14992.40944933673</v>
      </c>
      <c r="BT20" s="24">
        <f t="shared" si="972"/>
        <v>0</v>
      </c>
      <c r="BU20" s="24">
        <f t="shared" si="972"/>
        <v>0</v>
      </c>
      <c r="BV20" s="24">
        <f t="shared" si="972"/>
        <v>0</v>
      </c>
      <c r="BW20" s="24">
        <f t="shared" si="972"/>
        <v>0</v>
      </c>
      <c r="BX20" s="24">
        <f t="shared" si="972"/>
        <v>0</v>
      </c>
      <c r="BY20" s="24">
        <f t="shared" si="972"/>
        <v>0</v>
      </c>
      <c r="BZ20" s="24">
        <f t="shared" si="972"/>
        <v>0</v>
      </c>
      <c r="CA20" s="24">
        <f t="shared" si="972"/>
        <v>0</v>
      </c>
      <c r="CB20" s="24">
        <f t="shared" si="972"/>
        <v>0</v>
      </c>
      <c r="CC20" s="24">
        <f t="shared" si="972"/>
        <v>0</v>
      </c>
      <c r="CD20" s="24">
        <f t="shared" si="972"/>
        <v>0</v>
      </c>
      <c r="CE20" s="24">
        <f t="shared" si="972"/>
        <v>0</v>
      </c>
      <c r="CF20" s="24">
        <f t="shared" si="972"/>
        <v>0</v>
      </c>
      <c r="CG20" s="24">
        <f t="shared" si="972"/>
        <v>0</v>
      </c>
      <c r="CH20" s="24">
        <f t="shared" si="972"/>
        <v>0</v>
      </c>
      <c r="CI20" s="24">
        <f t="shared" si="972"/>
        <v>0</v>
      </c>
      <c r="CJ20" s="24">
        <f t="shared" si="972"/>
        <v>0</v>
      </c>
      <c r="CK20" s="24">
        <f t="shared" si="972"/>
        <v>0</v>
      </c>
      <c r="CL20" s="24">
        <f t="shared" si="972"/>
        <v>0</v>
      </c>
      <c r="CM20" s="24">
        <f t="shared" si="972"/>
        <v>0</v>
      </c>
      <c r="CN20" s="24">
        <f t="shared" si="972"/>
        <v>0</v>
      </c>
      <c r="CO20" s="24">
        <f t="shared" si="972"/>
        <v>0</v>
      </c>
      <c r="CP20" s="24">
        <f t="shared" si="972"/>
        <v>0</v>
      </c>
      <c r="CQ20" s="24">
        <f t="shared" si="972"/>
        <v>0</v>
      </c>
      <c r="CR20" s="24">
        <f t="shared" si="972"/>
        <v>0</v>
      </c>
      <c r="CS20" s="24">
        <f t="shared" si="972"/>
        <v>0</v>
      </c>
      <c r="CT20" s="24">
        <f t="shared" si="972"/>
        <v>0</v>
      </c>
      <c r="CU20" s="24">
        <f t="shared" si="972"/>
        <v>0</v>
      </c>
      <c r="CV20" s="24">
        <f t="shared" si="972"/>
        <v>0</v>
      </c>
      <c r="CW20" s="24">
        <f t="shared" si="972"/>
        <v>0</v>
      </c>
      <c r="CX20" s="24">
        <f t="shared" si="972"/>
        <v>0</v>
      </c>
      <c r="CY20" s="24">
        <f t="shared" si="972"/>
        <v>0</v>
      </c>
      <c r="CZ20" s="24">
        <f t="shared" si="972"/>
        <v>0</v>
      </c>
      <c r="DA20" s="24">
        <f t="shared" si="972"/>
        <v>0</v>
      </c>
      <c r="DB20" s="24">
        <f t="shared" si="972"/>
        <v>0</v>
      </c>
      <c r="DC20" s="24">
        <f t="shared" si="972"/>
        <v>0</v>
      </c>
      <c r="DD20" s="24">
        <f t="shared" si="972"/>
        <v>0</v>
      </c>
      <c r="DE20" s="24">
        <f t="shared" si="972"/>
        <v>0</v>
      </c>
      <c r="DF20" s="24">
        <f t="shared" si="972"/>
        <v>0</v>
      </c>
      <c r="DG20" s="24">
        <f t="shared" si="972"/>
        <v>0</v>
      </c>
      <c r="DH20" s="24">
        <f t="shared" si="972"/>
        <v>0</v>
      </c>
      <c r="DI20" s="24">
        <f t="shared" si="972"/>
        <v>0</v>
      </c>
      <c r="DJ20" s="24">
        <f t="shared" si="972"/>
        <v>0</v>
      </c>
      <c r="DK20" s="24">
        <f t="shared" si="972"/>
        <v>0</v>
      </c>
      <c r="DL20" s="24">
        <f t="shared" si="972"/>
        <v>0</v>
      </c>
      <c r="DM20" s="24">
        <f t="shared" si="972"/>
        <v>0</v>
      </c>
      <c r="DN20" s="24">
        <f t="shared" si="972"/>
        <v>0</v>
      </c>
      <c r="DO20" s="24">
        <f t="shared" si="972"/>
        <v>0</v>
      </c>
      <c r="DP20" s="24">
        <f t="shared" si="972"/>
        <v>0</v>
      </c>
      <c r="DQ20" s="24">
        <f t="shared" si="972"/>
        <v>0</v>
      </c>
      <c r="DR20" s="24">
        <f t="shared" si="972"/>
        <v>0</v>
      </c>
      <c r="DS20" s="24">
        <f t="shared" si="972"/>
        <v>0</v>
      </c>
      <c r="DT20" s="24">
        <f t="shared" si="972"/>
        <v>0</v>
      </c>
      <c r="DU20" s="24">
        <f t="shared" si="972"/>
        <v>0</v>
      </c>
      <c r="DV20" s="24">
        <f t="shared" si="972"/>
        <v>0</v>
      </c>
      <c r="DW20" s="24">
        <f t="shared" si="972"/>
        <v>0</v>
      </c>
      <c r="DX20" s="24">
        <f t="shared" si="972"/>
        <v>0</v>
      </c>
      <c r="DY20" s="24">
        <f t="shared" si="972"/>
        <v>0</v>
      </c>
      <c r="DZ20" s="24">
        <f t="shared" si="972"/>
        <v>0</v>
      </c>
      <c r="EA20" s="24">
        <f t="shared" si="972"/>
        <v>0</v>
      </c>
      <c r="EB20" s="24">
        <f t="shared" si="972"/>
        <v>0</v>
      </c>
      <c r="EC20" s="24">
        <f t="shared" si="972"/>
        <v>0</v>
      </c>
      <c r="ED20" s="24">
        <f t="shared" si="972"/>
        <v>0</v>
      </c>
      <c r="EE20" s="24">
        <f t="shared" ref="EE20:GP20" si="973">EE12*$C$14</f>
        <v>0</v>
      </c>
      <c r="EF20" s="24">
        <f t="shared" si="973"/>
        <v>0</v>
      </c>
      <c r="EG20" s="24">
        <f t="shared" si="973"/>
        <v>0</v>
      </c>
      <c r="EH20" s="24">
        <f t="shared" si="973"/>
        <v>0</v>
      </c>
      <c r="EI20" s="24">
        <f t="shared" si="973"/>
        <v>0</v>
      </c>
      <c r="EJ20" s="24">
        <f t="shared" si="973"/>
        <v>0</v>
      </c>
      <c r="EK20" s="24">
        <f t="shared" si="973"/>
        <v>0</v>
      </c>
      <c r="EL20" s="24">
        <f t="shared" si="973"/>
        <v>0</v>
      </c>
      <c r="EM20" s="24">
        <f t="shared" si="973"/>
        <v>0</v>
      </c>
      <c r="EN20" s="24">
        <f t="shared" si="973"/>
        <v>0</v>
      </c>
      <c r="EO20" s="24">
        <f t="shared" si="973"/>
        <v>0</v>
      </c>
      <c r="EP20" s="24">
        <f t="shared" si="973"/>
        <v>0</v>
      </c>
      <c r="EQ20" s="24">
        <f t="shared" si="973"/>
        <v>0</v>
      </c>
      <c r="ER20" s="24">
        <f t="shared" si="973"/>
        <v>0</v>
      </c>
      <c r="ES20" s="24">
        <f t="shared" si="973"/>
        <v>0</v>
      </c>
      <c r="ET20" s="24">
        <f t="shared" si="973"/>
        <v>0</v>
      </c>
      <c r="EU20" s="24">
        <f t="shared" si="973"/>
        <v>0</v>
      </c>
      <c r="EV20" s="24">
        <f t="shared" si="973"/>
        <v>0</v>
      </c>
      <c r="EW20" s="24">
        <f t="shared" si="973"/>
        <v>0</v>
      </c>
      <c r="EX20" s="24">
        <f t="shared" si="973"/>
        <v>0</v>
      </c>
      <c r="EY20" s="24">
        <f t="shared" si="973"/>
        <v>0</v>
      </c>
      <c r="EZ20" s="24">
        <f t="shared" si="973"/>
        <v>0</v>
      </c>
      <c r="FA20" s="24">
        <f t="shared" si="973"/>
        <v>0</v>
      </c>
      <c r="FB20" s="24">
        <f t="shared" si="973"/>
        <v>0</v>
      </c>
      <c r="FC20" s="24">
        <f t="shared" si="973"/>
        <v>0</v>
      </c>
      <c r="FD20" s="24">
        <f t="shared" si="973"/>
        <v>0</v>
      </c>
      <c r="FE20" s="24">
        <f t="shared" si="973"/>
        <v>0</v>
      </c>
      <c r="FF20" s="24">
        <f t="shared" si="973"/>
        <v>0</v>
      </c>
      <c r="FG20" s="24">
        <f t="shared" si="973"/>
        <v>0</v>
      </c>
      <c r="FH20" s="24">
        <f t="shared" si="973"/>
        <v>0</v>
      </c>
      <c r="FI20" s="24">
        <f t="shared" si="973"/>
        <v>0</v>
      </c>
      <c r="FJ20" s="24">
        <f t="shared" si="973"/>
        <v>0</v>
      </c>
      <c r="FK20" s="24">
        <f t="shared" si="973"/>
        <v>0</v>
      </c>
      <c r="FL20" s="24">
        <f t="shared" si="973"/>
        <v>0</v>
      </c>
      <c r="FM20" s="24">
        <f t="shared" si="973"/>
        <v>0</v>
      </c>
      <c r="FN20" s="24">
        <f t="shared" si="973"/>
        <v>0</v>
      </c>
      <c r="FO20" s="24">
        <f t="shared" si="973"/>
        <v>0</v>
      </c>
      <c r="FP20" s="24">
        <f t="shared" si="973"/>
        <v>0</v>
      </c>
      <c r="FQ20" s="24">
        <f t="shared" si="973"/>
        <v>0</v>
      </c>
      <c r="FR20" s="24">
        <f t="shared" si="973"/>
        <v>0</v>
      </c>
      <c r="FS20" s="24">
        <f t="shared" si="973"/>
        <v>0</v>
      </c>
      <c r="FT20" s="24">
        <f t="shared" si="973"/>
        <v>0</v>
      </c>
      <c r="FU20" s="24">
        <f t="shared" si="973"/>
        <v>0</v>
      </c>
      <c r="FV20" s="24">
        <f t="shared" si="973"/>
        <v>0</v>
      </c>
      <c r="FW20" s="24">
        <f t="shared" si="973"/>
        <v>0</v>
      </c>
      <c r="FX20" s="24">
        <f t="shared" si="973"/>
        <v>0</v>
      </c>
      <c r="FY20" s="24">
        <f t="shared" si="973"/>
        <v>0</v>
      </c>
      <c r="FZ20" s="24">
        <f t="shared" si="973"/>
        <v>0</v>
      </c>
      <c r="GA20" s="24">
        <f t="shared" si="973"/>
        <v>0</v>
      </c>
      <c r="GB20" s="24">
        <f t="shared" si="973"/>
        <v>0</v>
      </c>
      <c r="GC20" s="24">
        <f t="shared" si="973"/>
        <v>0</v>
      </c>
      <c r="GD20" s="24">
        <f t="shared" si="973"/>
        <v>0</v>
      </c>
      <c r="GE20" s="24">
        <f t="shared" si="973"/>
        <v>0</v>
      </c>
      <c r="GF20" s="24">
        <f t="shared" si="973"/>
        <v>0</v>
      </c>
      <c r="GG20" s="24">
        <f t="shared" si="973"/>
        <v>0</v>
      </c>
      <c r="GH20" s="24">
        <f t="shared" si="973"/>
        <v>0</v>
      </c>
      <c r="GI20" s="24">
        <f t="shared" si="973"/>
        <v>0</v>
      </c>
      <c r="GJ20" s="24">
        <f t="shared" si="973"/>
        <v>0</v>
      </c>
      <c r="GK20" s="24">
        <f t="shared" si="973"/>
        <v>0</v>
      </c>
      <c r="GL20" s="24">
        <f t="shared" si="973"/>
        <v>0</v>
      </c>
      <c r="GM20" s="24">
        <f t="shared" si="973"/>
        <v>0</v>
      </c>
      <c r="GN20" s="24">
        <f t="shared" si="973"/>
        <v>0</v>
      </c>
      <c r="GO20" s="24">
        <f t="shared" si="973"/>
        <v>0</v>
      </c>
      <c r="GP20" s="24">
        <f t="shared" si="973"/>
        <v>0</v>
      </c>
      <c r="GQ20" s="24">
        <f t="shared" ref="GQ20:IN20" si="974">GQ12*$C$14</f>
        <v>0</v>
      </c>
      <c r="GR20" s="24">
        <f t="shared" si="974"/>
        <v>0</v>
      </c>
      <c r="GS20" s="24">
        <f t="shared" si="974"/>
        <v>0</v>
      </c>
      <c r="GT20" s="24">
        <f t="shared" si="974"/>
        <v>0</v>
      </c>
      <c r="GU20" s="24">
        <f t="shared" si="974"/>
        <v>0</v>
      </c>
      <c r="GV20" s="24">
        <f t="shared" si="974"/>
        <v>0</v>
      </c>
      <c r="GW20" s="24">
        <f t="shared" si="974"/>
        <v>0</v>
      </c>
      <c r="GX20" s="24">
        <f t="shared" si="974"/>
        <v>0</v>
      </c>
      <c r="GY20" s="24">
        <f t="shared" si="974"/>
        <v>0</v>
      </c>
      <c r="GZ20" s="24">
        <f t="shared" si="974"/>
        <v>0</v>
      </c>
      <c r="HA20" s="24">
        <f t="shared" si="974"/>
        <v>0</v>
      </c>
      <c r="HB20" s="24">
        <f t="shared" si="974"/>
        <v>0</v>
      </c>
      <c r="HC20" s="24">
        <f t="shared" si="974"/>
        <v>0</v>
      </c>
      <c r="HD20" s="24">
        <f t="shared" si="974"/>
        <v>0</v>
      </c>
      <c r="HE20" s="24">
        <f t="shared" si="974"/>
        <v>0</v>
      </c>
      <c r="HF20" s="24">
        <f t="shared" si="974"/>
        <v>0</v>
      </c>
      <c r="HG20" s="24">
        <f t="shared" si="974"/>
        <v>0</v>
      </c>
      <c r="HH20" s="24">
        <f t="shared" si="974"/>
        <v>0</v>
      </c>
      <c r="HI20" s="24">
        <f t="shared" si="974"/>
        <v>0</v>
      </c>
      <c r="HJ20" s="24">
        <f t="shared" si="974"/>
        <v>0</v>
      </c>
      <c r="HK20" s="24">
        <f t="shared" si="974"/>
        <v>0</v>
      </c>
      <c r="HL20" s="24">
        <f t="shared" si="974"/>
        <v>0</v>
      </c>
      <c r="HM20" s="24">
        <f t="shared" si="974"/>
        <v>0</v>
      </c>
      <c r="HN20" s="24">
        <f t="shared" si="974"/>
        <v>0</v>
      </c>
      <c r="HO20" s="24">
        <f t="shared" si="974"/>
        <v>0</v>
      </c>
      <c r="HP20" s="24">
        <f t="shared" si="974"/>
        <v>0</v>
      </c>
      <c r="HQ20" s="24">
        <f t="shared" si="974"/>
        <v>0</v>
      </c>
      <c r="HR20" s="24">
        <f t="shared" si="974"/>
        <v>0</v>
      </c>
      <c r="HS20" s="24">
        <f t="shared" si="974"/>
        <v>0</v>
      </c>
      <c r="HT20" s="24">
        <f t="shared" si="974"/>
        <v>0</v>
      </c>
      <c r="HU20" s="24">
        <f t="shared" si="974"/>
        <v>0</v>
      </c>
      <c r="HV20" s="24">
        <f t="shared" si="974"/>
        <v>0</v>
      </c>
      <c r="HW20" s="24">
        <f t="shared" si="974"/>
        <v>0</v>
      </c>
      <c r="HX20" s="24">
        <f t="shared" si="974"/>
        <v>0</v>
      </c>
      <c r="HY20" s="24">
        <f t="shared" si="974"/>
        <v>0</v>
      </c>
      <c r="HZ20" s="24">
        <f t="shared" si="974"/>
        <v>0</v>
      </c>
      <c r="IA20" s="24">
        <f t="shared" si="974"/>
        <v>0</v>
      </c>
      <c r="IB20" s="24">
        <f t="shared" si="974"/>
        <v>0</v>
      </c>
      <c r="IC20" s="24">
        <f t="shared" si="974"/>
        <v>0</v>
      </c>
      <c r="ID20" s="24">
        <f t="shared" si="974"/>
        <v>0</v>
      </c>
      <c r="IE20" s="24">
        <f t="shared" si="974"/>
        <v>0</v>
      </c>
      <c r="IF20" s="24">
        <f t="shared" si="974"/>
        <v>0</v>
      </c>
      <c r="IG20" s="24">
        <f t="shared" si="974"/>
        <v>0</v>
      </c>
      <c r="IH20" s="24">
        <f t="shared" si="974"/>
        <v>0</v>
      </c>
      <c r="II20" s="24">
        <f t="shared" si="974"/>
        <v>0</v>
      </c>
      <c r="IJ20" s="24">
        <f t="shared" si="974"/>
        <v>0</v>
      </c>
      <c r="IK20" s="24">
        <f t="shared" si="974"/>
        <v>0</v>
      </c>
      <c r="IL20" s="24">
        <f t="shared" si="974"/>
        <v>0</v>
      </c>
      <c r="IM20" s="24">
        <f t="shared" si="974"/>
        <v>0</v>
      </c>
      <c r="IN20" s="24">
        <f t="shared" si="974"/>
        <v>0</v>
      </c>
    </row>
    <row r="21" spans="2:248" x14ac:dyDescent="0.3">
      <c r="C21" s="42"/>
      <c r="F21" s="22" t="s">
        <v>502</v>
      </c>
      <c r="G21" s="24">
        <f t="shared" ref="G21:BR21" si="975">G14*$C$14</f>
        <v>0.59057353776263488</v>
      </c>
      <c r="H21" s="24">
        <f t="shared" si="975"/>
        <v>0.7223168654173765</v>
      </c>
      <c r="I21" s="24">
        <f t="shared" si="975"/>
        <v>0.89040318001135721</v>
      </c>
      <c r="J21" s="24">
        <f t="shared" si="975"/>
        <v>1.1902328222600795</v>
      </c>
      <c r="K21" s="24">
        <f t="shared" si="975"/>
        <v>2.1896649630891538</v>
      </c>
      <c r="L21" s="24">
        <f t="shared" si="975"/>
        <v>3.0437251561612721</v>
      </c>
      <c r="M21" s="24">
        <f t="shared" si="975"/>
        <v>3.6297558205565021</v>
      </c>
      <c r="N21" s="24">
        <f t="shared" si="975"/>
        <v>4.7245883021010791</v>
      </c>
      <c r="O21" s="24">
        <f t="shared" si="975"/>
        <v>5.3424190800681428</v>
      </c>
      <c r="P21" s="24">
        <f t="shared" si="975"/>
        <v>6.6189664963089152</v>
      </c>
      <c r="Q21" s="24">
        <f t="shared" si="975"/>
        <v>8.6678023850085175</v>
      </c>
      <c r="R21" s="24">
        <f t="shared" si="975"/>
        <v>9.4400908574673483</v>
      </c>
      <c r="S21" s="24">
        <f t="shared" si="975"/>
        <v>16.104486087450312</v>
      </c>
      <c r="T21" s="24">
        <f t="shared" si="975"/>
        <v>20.106757524134014</v>
      </c>
      <c r="U21" s="24">
        <f t="shared" si="975"/>
        <v>25.435547984099944</v>
      </c>
      <c r="V21" s="24">
        <f t="shared" si="975"/>
        <v>31.845542305508236</v>
      </c>
      <c r="W21" s="24">
        <f t="shared" si="975"/>
        <v>39.863713798977855</v>
      </c>
      <c r="X21" s="24">
        <f t="shared" si="975"/>
        <v>52.956274843838727</v>
      </c>
      <c r="Y21" s="24">
        <f t="shared" si="975"/>
        <v>65.96706416808631</v>
      </c>
      <c r="Z21" s="24">
        <f t="shared" si="975"/>
        <v>85.751277683134589</v>
      </c>
      <c r="AA21" s="24">
        <f t="shared" si="975"/>
        <v>112.27620670073821</v>
      </c>
      <c r="AB21" s="24">
        <f t="shared" si="975"/>
        <v>146.28524701873937</v>
      </c>
      <c r="AC21" s="24">
        <f t="shared" si="975"/>
        <v>190.10767518455427</v>
      </c>
      <c r="AD21" s="24">
        <f t="shared" si="975"/>
        <v>248.96802998296425</v>
      </c>
      <c r="AE21" s="24">
        <f t="shared" si="975"/>
        <v>319.23549746734813</v>
      </c>
      <c r="AF21" s="24">
        <f t="shared" si="975"/>
        <v>415.88064983077805</v>
      </c>
      <c r="AG21" s="24">
        <f t="shared" si="975"/>
        <v>541.396690322317</v>
      </c>
      <c r="AH21" s="24">
        <f t="shared" si="975"/>
        <v>705.00365880458844</v>
      </c>
      <c r="AI21" s="24">
        <f t="shared" si="975"/>
        <v>917.39788534999684</v>
      </c>
      <c r="AJ21" s="24">
        <f t="shared" si="975"/>
        <v>1191.2866433456829</v>
      </c>
      <c r="AK21" s="24">
        <f t="shared" si="975"/>
        <v>1551.8758163607451</v>
      </c>
      <c r="AL21" s="24">
        <f t="shared" si="975"/>
        <v>2017.4385612689687</v>
      </c>
      <c r="AM21" s="24">
        <f t="shared" si="975"/>
        <v>2622.670129649659</v>
      </c>
      <c r="AN21" s="24">
        <f t="shared" si="975"/>
        <v>3409.4711685445573</v>
      </c>
      <c r="AO21" s="24">
        <f t="shared" si="975"/>
        <v>4432.3125191079243</v>
      </c>
      <c r="AP21" s="24">
        <f t="shared" si="975"/>
        <v>5762.0062748403025</v>
      </c>
      <c r="AQ21" s="24">
        <f t="shared" si="975"/>
        <v>7490.6081572923931</v>
      </c>
      <c r="AR21" s="24">
        <f t="shared" si="975"/>
        <v>9737.790604480113</v>
      </c>
      <c r="AS21" s="24">
        <f t="shared" si="975"/>
        <v>12659.127785824146</v>
      </c>
      <c r="AT21" s="24">
        <f t="shared" si="975"/>
        <v>16456.866121571391</v>
      </c>
      <c r="AU21" s="24">
        <f t="shared" si="975"/>
        <v>21393.925958042815</v>
      </c>
      <c r="AV21" s="24">
        <f t="shared" si="975"/>
        <v>27812.103745455657</v>
      </c>
      <c r="AW21" s="24">
        <f t="shared" si="975"/>
        <v>36155.734869092354</v>
      </c>
      <c r="AX21" s="24">
        <f t="shared" si="975"/>
        <v>47002.455329820063</v>
      </c>
      <c r="AY21" s="24">
        <f t="shared" si="975"/>
        <v>61103.191928766078</v>
      </c>
      <c r="AZ21" s="24">
        <f t="shared" si="975"/>
        <v>79434.149507395909</v>
      </c>
      <c r="BA21" s="24">
        <f t="shared" si="975"/>
        <v>103264.3943596147</v>
      </c>
      <c r="BB21" s="24">
        <f t="shared" si="975"/>
        <v>134243.71266749912</v>
      </c>
      <c r="BC21" s="24">
        <f t="shared" si="975"/>
        <v>144421.39677681323</v>
      </c>
      <c r="BD21" s="24">
        <f t="shared" si="975"/>
        <v>142073.43516249774</v>
      </c>
      <c r="BE21" s="24">
        <f t="shared" si="975"/>
        <v>139021.08506388761</v>
      </c>
      <c r="BF21" s="24">
        <f t="shared" si="975"/>
        <v>135053.02993569445</v>
      </c>
      <c r="BG21" s="24">
        <f t="shared" si="975"/>
        <v>129894.55826904331</v>
      </c>
      <c r="BH21" s="24">
        <f t="shared" si="975"/>
        <v>123188.54510239686</v>
      </c>
      <c r="BI21" s="24">
        <f t="shared" si="975"/>
        <v>114470.72798575644</v>
      </c>
      <c r="BJ21" s="24">
        <f t="shared" si="975"/>
        <v>103137.56573412393</v>
      </c>
      <c r="BK21" s="24">
        <f t="shared" si="975"/>
        <v>88404.454807001646</v>
      </c>
      <c r="BL21" s="24">
        <f t="shared" si="975"/>
        <v>69251.410601742667</v>
      </c>
      <c r="BM21" s="24">
        <f t="shared" si="975"/>
        <v>44352.453134905998</v>
      </c>
      <c r="BN21" s="24">
        <f t="shared" si="975"/>
        <v>11983.808428018338</v>
      </c>
      <c r="BO21" s="24">
        <f t="shared" si="975"/>
        <v>0</v>
      </c>
      <c r="BP21" s="24">
        <f t="shared" si="975"/>
        <v>0</v>
      </c>
      <c r="BQ21" s="24">
        <f t="shared" si="975"/>
        <v>0</v>
      </c>
      <c r="BR21" s="24">
        <f t="shared" si="975"/>
        <v>0</v>
      </c>
      <c r="BS21" s="24">
        <f t="shared" ref="BS21:ED21" si="976">BS14*$C$14</f>
        <v>0</v>
      </c>
      <c r="BT21" s="24">
        <f t="shared" si="976"/>
        <v>0</v>
      </c>
      <c r="BU21" s="24">
        <f t="shared" si="976"/>
        <v>0</v>
      </c>
      <c r="BV21" s="24">
        <f t="shared" si="976"/>
        <v>0</v>
      </c>
      <c r="BW21" s="24">
        <f t="shared" si="976"/>
        <v>0</v>
      </c>
      <c r="BX21" s="24">
        <f t="shared" si="976"/>
        <v>0</v>
      </c>
      <c r="BY21" s="24">
        <f t="shared" si="976"/>
        <v>0</v>
      </c>
      <c r="BZ21" s="24">
        <f t="shared" si="976"/>
        <v>0</v>
      </c>
      <c r="CA21" s="24">
        <f t="shared" si="976"/>
        <v>0</v>
      </c>
      <c r="CB21" s="24">
        <f t="shared" si="976"/>
        <v>0</v>
      </c>
      <c r="CC21" s="24">
        <f t="shared" si="976"/>
        <v>0</v>
      </c>
      <c r="CD21" s="24">
        <f t="shared" si="976"/>
        <v>0</v>
      </c>
      <c r="CE21" s="24">
        <f t="shared" si="976"/>
        <v>0</v>
      </c>
      <c r="CF21" s="24">
        <f t="shared" si="976"/>
        <v>0</v>
      </c>
      <c r="CG21" s="24">
        <f t="shared" si="976"/>
        <v>0</v>
      </c>
      <c r="CH21" s="24">
        <f t="shared" si="976"/>
        <v>0</v>
      </c>
      <c r="CI21" s="24">
        <f t="shared" si="976"/>
        <v>0</v>
      </c>
      <c r="CJ21" s="24">
        <f t="shared" si="976"/>
        <v>0</v>
      </c>
      <c r="CK21" s="24">
        <f t="shared" si="976"/>
        <v>0</v>
      </c>
      <c r="CL21" s="24">
        <f t="shared" si="976"/>
        <v>0</v>
      </c>
      <c r="CM21" s="24">
        <f t="shared" si="976"/>
        <v>0</v>
      </c>
      <c r="CN21" s="24">
        <f t="shared" si="976"/>
        <v>0</v>
      </c>
      <c r="CO21" s="24">
        <f t="shared" si="976"/>
        <v>0</v>
      </c>
      <c r="CP21" s="24">
        <f t="shared" si="976"/>
        <v>0</v>
      </c>
      <c r="CQ21" s="24">
        <f t="shared" si="976"/>
        <v>0</v>
      </c>
      <c r="CR21" s="24">
        <f t="shared" si="976"/>
        <v>0</v>
      </c>
      <c r="CS21" s="24">
        <f t="shared" si="976"/>
        <v>0</v>
      </c>
      <c r="CT21" s="24">
        <f t="shared" si="976"/>
        <v>0</v>
      </c>
      <c r="CU21" s="24">
        <f t="shared" si="976"/>
        <v>0</v>
      </c>
      <c r="CV21" s="24">
        <f t="shared" si="976"/>
        <v>0</v>
      </c>
      <c r="CW21" s="24">
        <f t="shared" si="976"/>
        <v>0</v>
      </c>
      <c r="CX21" s="24">
        <f t="shared" si="976"/>
        <v>0</v>
      </c>
      <c r="CY21" s="24">
        <f t="shared" si="976"/>
        <v>0</v>
      </c>
      <c r="CZ21" s="24">
        <f t="shared" si="976"/>
        <v>0</v>
      </c>
      <c r="DA21" s="24">
        <f t="shared" si="976"/>
        <v>0</v>
      </c>
      <c r="DB21" s="24">
        <f t="shared" si="976"/>
        <v>0</v>
      </c>
      <c r="DC21" s="24">
        <f t="shared" si="976"/>
        <v>0</v>
      </c>
      <c r="DD21" s="24">
        <f t="shared" si="976"/>
        <v>0</v>
      </c>
      <c r="DE21" s="24">
        <f t="shared" si="976"/>
        <v>0</v>
      </c>
      <c r="DF21" s="24">
        <f t="shared" si="976"/>
        <v>0</v>
      </c>
      <c r="DG21" s="24">
        <f t="shared" si="976"/>
        <v>0</v>
      </c>
      <c r="DH21" s="24">
        <f t="shared" si="976"/>
        <v>0</v>
      </c>
      <c r="DI21" s="24">
        <f t="shared" si="976"/>
        <v>0</v>
      </c>
      <c r="DJ21" s="24">
        <f t="shared" si="976"/>
        <v>0</v>
      </c>
      <c r="DK21" s="24">
        <f t="shared" si="976"/>
        <v>0</v>
      </c>
      <c r="DL21" s="24">
        <f t="shared" si="976"/>
        <v>0</v>
      </c>
      <c r="DM21" s="24">
        <f t="shared" si="976"/>
        <v>0</v>
      </c>
      <c r="DN21" s="24">
        <f t="shared" si="976"/>
        <v>0</v>
      </c>
      <c r="DO21" s="24">
        <f t="shared" si="976"/>
        <v>0</v>
      </c>
      <c r="DP21" s="24">
        <f t="shared" si="976"/>
        <v>0</v>
      </c>
      <c r="DQ21" s="24">
        <f t="shared" si="976"/>
        <v>0</v>
      </c>
      <c r="DR21" s="24">
        <f t="shared" si="976"/>
        <v>0</v>
      </c>
      <c r="DS21" s="24">
        <f t="shared" si="976"/>
        <v>0</v>
      </c>
      <c r="DT21" s="24">
        <f t="shared" si="976"/>
        <v>0</v>
      </c>
      <c r="DU21" s="24">
        <f t="shared" si="976"/>
        <v>0</v>
      </c>
      <c r="DV21" s="24">
        <f t="shared" si="976"/>
        <v>0</v>
      </c>
      <c r="DW21" s="24">
        <f t="shared" si="976"/>
        <v>0</v>
      </c>
      <c r="DX21" s="24">
        <f t="shared" si="976"/>
        <v>0</v>
      </c>
      <c r="DY21" s="24">
        <f t="shared" si="976"/>
        <v>0</v>
      </c>
      <c r="DZ21" s="24">
        <f t="shared" si="976"/>
        <v>0</v>
      </c>
      <c r="EA21" s="24">
        <f t="shared" si="976"/>
        <v>0</v>
      </c>
      <c r="EB21" s="24">
        <f t="shared" si="976"/>
        <v>0</v>
      </c>
      <c r="EC21" s="24">
        <f t="shared" si="976"/>
        <v>0</v>
      </c>
      <c r="ED21" s="24">
        <f t="shared" si="976"/>
        <v>0</v>
      </c>
      <c r="EE21" s="24">
        <f t="shared" ref="EE21:GP21" si="977">EE14*$C$14</f>
        <v>0</v>
      </c>
      <c r="EF21" s="24">
        <f t="shared" si="977"/>
        <v>0</v>
      </c>
      <c r="EG21" s="24">
        <f t="shared" si="977"/>
        <v>0</v>
      </c>
      <c r="EH21" s="24">
        <f t="shared" si="977"/>
        <v>0</v>
      </c>
      <c r="EI21" s="24">
        <f t="shared" si="977"/>
        <v>0</v>
      </c>
      <c r="EJ21" s="24">
        <f t="shared" si="977"/>
        <v>0</v>
      </c>
      <c r="EK21" s="24">
        <f t="shared" si="977"/>
        <v>0</v>
      </c>
      <c r="EL21" s="24">
        <f t="shared" si="977"/>
        <v>0</v>
      </c>
      <c r="EM21" s="24">
        <f t="shared" si="977"/>
        <v>0</v>
      </c>
      <c r="EN21" s="24">
        <f t="shared" si="977"/>
        <v>0</v>
      </c>
      <c r="EO21" s="24">
        <f t="shared" si="977"/>
        <v>0</v>
      </c>
      <c r="EP21" s="24">
        <f t="shared" si="977"/>
        <v>0</v>
      </c>
      <c r="EQ21" s="24">
        <f t="shared" si="977"/>
        <v>0</v>
      </c>
      <c r="ER21" s="24">
        <f t="shared" si="977"/>
        <v>0</v>
      </c>
      <c r="ES21" s="24">
        <f t="shared" si="977"/>
        <v>0</v>
      </c>
      <c r="ET21" s="24">
        <f t="shared" si="977"/>
        <v>0</v>
      </c>
      <c r="EU21" s="24">
        <f t="shared" si="977"/>
        <v>0</v>
      </c>
      <c r="EV21" s="24">
        <f t="shared" si="977"/>
        <v>0</v>
      </c>
      <c r="EW21" s="24">
        <f t="shared" si="977"/>
        <v>0</v>
      </c>
      <c r="EX21" s="24">
        <f t="shared" si="977"/>
        <v>0</v>
      </c>
      <c r="EY21" s="24">
        <f t="shared" si="977"/>
        <v>0</v>
      </c>
      <c r="EZ21" s="24">
        <f t="shared" si="977"/>
        <v>0</v>
      </c>
      <c r="FA21" s="24">
        <f t="shared" si="977"/>
        <v>0</v>
      </c>
      <c r="FB21" s="24">
        <f t="shared" si="977"/>
        <v>0</v>
      </c>
      <c r="FC21" s="24">
        <f t="shared" si="977"/>
        <v>0</v>
      </c>
      <c r="FD21" s="24">
        <f t="shared" si="977"/>
        <v>0</v>
      </c>
      <c r="FE21" s="24">
        <f t="shared" si="977"/>
        <v>0</v>
      </c>
      <c r="FF21" s="24">
        <f t="shared" si="977"/>
        <v>0</v>
      </c>
      <c r="FG21" s="24">
        <f t="shared" si="977"/>
        <v>0</v>
      </c>
      <c r="FH21" s="24">
        <f t="shared" si="977"/>
        <v>0</v>
      </c>
      <c r="FI21" s="24">
        <f t="shared" si="977"/>
        <v>0</v>
      </c>
      <c r="FJ21" s="24">
        <f t="shared" si="977"/>
        <v>0</v>
      </c>
      <c r="FK21" s="24">
        <f t="shared" si="977"/>
        <v>0</v>
      </c>
      <c r="FL21" s="24">
        <f t="shared" si="977"/>
        <v>0</v>
      </c>
      <c r="FM21" s="24">
        <f t="shared" si="977"/>
        <v>0</v>
      </c>
      <c r="FN21" s="24">
        <f t="shared" si="977"/>
        <v>0</v>
      </c>
      <c r="FO21" s="24">
        <f t="shared" si="977"/>
        <v>0</v>
      </c>
      <c r="FP21" s="24">
        <f t="shared" si="977"/>
        <v>0</v>
      </c>
      <c r="FQ21" s="24">
        <f t="shared" si="977"/>
        <v>0</v>
      </c>
      <c r="FR21" s="24">
        <f t="shared" si="977"/>
        <v>0</v>
      </c>
      <c r="FS21" s="24">
        <f t="shared" si="977"/>
        <v>0</v>
      </c>
      <c r="FT21" s="24">
        <f t="shared" si="977"/>
        <v>0</v>
      </c>
      <c r="FU21" s="24">
        <f t="shared" si="977"/>
        <v>0</v>
      </c>
      <c r="FV21" s="24">
        <f t="shared" si="977"/>
        <v>0</v>
      </c>
      <c r="FW21" s="24">
        <f t="shared" si="977"/>
        <v>0</v>
      </c>
      <c r="FX21" s="24">
        <f t="shared" si="977"/>
        <v>0</v>
      </c>
      <c r="FY21" s="24">
        <f t="shared" si="977"/>
        <v>0</v>
      </c>
      <c r="FZ21" s="24">
        <f t="shared" si="977"/>
        <v>0</v>
      </c>
      <c r="GA21" s="24">
        <f t="shared" si="977"/>
        <v>0</v>
      </c>
      <c r="GB21" s="24">
        <f t="shared" si="977"/>
        <v>0</v>
      </c>
      <c r="GC21" s="24">
        <f t="shared" si="977"/>
        <v>0</v>
      </c>
      <c r="GD21" s="24">
        <f t="shared" si="977"/>
        <v>0</v>
      </c>
      <c r="GE21" s="24">
        <f t="shared" si="977"/>
        <v>0</v>
      </c>
      <c r="GF21" s="24">
        <f t="shared" si="977"/>
        <v>0</v>
      </c>
      <c r="GG21" s="24">
        <f t="shared" si="977"/>
        <v>0</v>
      </c>
      <c r="GH21" s="24">
        <f t="shared" si="977"/>
        <v>0</v>
      </c>
      <c r="GI21" s="24">
        <f t="shared" si="977"/>
        <v>0</v>
      </c>
      <c r="GJ21" s="24">
        <f t="shared" si="977"/>
        <v>0</v>
      </c>
      <c r="GK21" s="24">
        <f t="shared" si="977"/>
        <v>0</v>
      </c>
      <c r="GL21" s="24">
        <f t="shared" si="977"/>
        <v>0</v>
      </c>
      <c r="GM21" s="24">
        <f t="shared" si="977"/>
        <v>0</v>
      </c>
      <c r="GN21" s="24">
        <f t="shared" si="977"/>
        <v>0</v>
      </c>
      <c r="GO21" s="24">
        <f t="shared" si="977"/>
        <v>0</v>
      </c>
      <c r="GP21" s="24">
        <f t="shared" si="977"/>
        <v>0</v>
      </c>
      <c r="GQ21" s="24">
        <f t="shared" ref="GQ21:IN21" si="978">GQ14*$C$14</f>
        <v>0</v>
      </c>
      <c r="GR21" s="24">
        <f t="shared" si="978"/>
        <v>0</v>
      </c>
      <c r="GS21" s="24">
        <f t="shared" si="978"/>
        <v>0</v>
      </c>
      <c r="GT21" s="24">
        <f t="shared" si="978"/>
        <v>0</v>
      </c>
      <c r="GU21" s="24">
        <f t="shared" si="978"/>
        <v>0</v>
      </c>
      <c r="GV21" s="24">
        <f t="shared" si="978"/>
        <v>0</v>
      </c>
      <c r="GW21" s="24">
        <f t="shared" si="978"/>
        <v>0</v>
      </c>
      <c r="GX21" s="24">
        <f t="shared" si="978"/>
        <v>0</v>
      </c>
      <c r="GY21" s="24">
        <f t="shared" si="978"/>
        <v>0</v>
      </c>
      <c r="GZ21" s="24">
        <f t="shared" si="978"/>
        <v>0</v>
      </c>
      <c r="HA21" s="24">
        <f t="shared" si="978"/>
        <v>0</v>
      </c>
      <c r="HB21" s="24">
        <f t="shared" si="978"/>
        <v>0</v>
      </c>
      <c r="HC21" s="24">
        <f t="shared" si="978"/>
        <v>0</v>
      </c>
      <c r="HD21" s="24">
        <f t="shared" si="978"/>
        <v>0</v>
      </c>
      <c r="HE21" s="24">
        <f t="shared" si="978"/>
        <v>0</v>
      </c>
      <c r="HF21" s="24">
        <f t="shared" si="978"/>
        <v>0</v>
      </c>
      <c r="HG21" s="24">
        <f t="shared" si="978"/>
        <v>0</v>
      </c>
      <c r="HH21" s="24">
        <f t="shared" si="978"/>
        <v>0</v>
      </c>
      <c r="HI21" s="24">
        <f t="shared" si="978"/>
        <v>0</v>
      </c>
      <c r="HJ21" s="24">
        <f t="shared" si="978"/>
        <v>0</v>
      </c>
      <c r="HK21" s="24">
        <f t="shared" si="978"/>
        <v>0</v>
      </c>
      <c r="HL21" s="24">
        <f t="shared" si="978"/>
        <v>0</v>
      </c>
      <c r="HM21" s="24">
        <f t="shared" si="978"/>
        <v>0</v>
      </c>
      <c r="HN21" s="24">
        <f t="shared" si="978"/>
        <v>0</v>
      </c>
      <c r="HO21" s="24">
        <f t="shared" si="978"/>
        <v>0</v>
      </c>
      <c r="HP21" s="24">
        <f t="shared" si="978"/>
        <v>0</v>
      </c>
      <c r="HQ21" s="24">
        <f t="shared" si="978"/>
        <v>0</v>
      </c>
      <c r="HR21" s="24">
        <f t="shared" si="978"/>
        <v>0</v>
      </c>
      <c r="HS21" s="24">
        <f t="shared" si="978"/>
        <v>0</v>
      </c>
      <c r="HT21" s="24">
        <f t="shared" si="978"/>
        <v>0</v>
      </c>
      <c r="HU21" s="24">
        <f t="shared" si="978"/>
        <v>0</v>
      </c>
      <c r="HV21" s="24">
        <f t="shared" si="978"/>
        <v>0</v>
      </c>
      <c r="HW21" s="24">
        <f t="shared" si="978"/>
        <v>0</v>
      </c>
      <c r="HX21" s="24">
        <f t="shared" si="978"/>
        <v>0</v>
      </c>
      <c r="HY21" s="24">
        <f t="shared" si="978"/>
        <v>0</v>
      </c>
      <c r="HZ21" s="24">
        <f t="shared" si="978"/>
        <v>0</v>
      </c>
      <c r="IA21" s="24">
        <f t="shared" si="978"/>
        <v>0</v>
      </c>
      <c r="IB21" s="24">
        <f t="shared" si="978"/>
        <v>0</v>
      </c>
      <c r="IC21" s="24">
        <f t="shared" si="978"/>
        <v>0</v>
      </c>
      <c r="ID21" s="24">
        <f t="shared" si="978"/>
        <v>0</v>
      </c>
      <c r="IE21" s="24">
        <f t="shared" si="978"/>
        <v>0</v>
      </c>
      <c r="IF21" s="24">
        <f t="shared" si="978"/>
        <v>0</v>
      </c>
      <c r="IG21" s="24">
        <f t="shared" si="978"/>
        <v>0</v>
      </c>
      <c r="IH21" s="24">
        <f t="shared" si="978"/>
        <v>0</v>
      </c>
      <c r="II21" s="24">
        <f t="shared" si="978"/>
        <v>0</v>
      </c>
      <c r="IJ21" s="24">
        <f t="shared" si="978"/>
        <v>0</v>
      </c>
      <c r="IK21" s="24">
        <f t="shared" si="978"/>
        <v>0</v>
      </c>
      <c r="IL21" s="24">
        <f t="shared" si="978"/>
        <v>0</v>
      </c>
      <c r="IM21" s="24">
        <f t="shared" si="978"/>
        <v>0</v>
      </c>
      <c r="IN21" s="24">
        <f t="shared" si="978"/>
        <v>0</v>
      </c>
    </row>
    <row r="22" spans="2:248" x14ac:dyDescent="0.3">
      <c r="B22" s="19" t="s">
        <v>509</v>
      </c>
      <c r="C22" s="56">
        <f>IF(VLOOKUP(B2,Country_Data!C:J,8,FALSE)="","Not initiated",VLOOKUP(B2,Country_Data!C:J,8,FALSE))</f>
        <v>43900</v>
      </c>
      <c r="F22" s="22" t="s">
        <v>503</v>
      </c>
      <c r="G22" s="24">
        <f t="shared" ref="G22:BR22" si="979">G16*$C$14</f>
        <v>0.59057353776263488</v>
      </c>
      <c r="H22" s="24">
        <f t="shared" si="979"/>
        <v>0.7223168654173765</v>
      </c>
      <c r="I22" s="24">
        <f t="shared" si="979"/>
        <v>0.89040318001135721</v>
      </c>
      <c r="J22" s="24">
        <f t="shared" si="979"/>
        <v>1.1902328222600795</v>
      </c>
      <c r="K22" s="24">
        <f t="shared" si="979"/>
        <v>2.1896649630891538</v>
      </c>
      <c r="L22" s="24">
        <f t="shared" si="979"/>
        <v>3.0437251561612721</v>
      </c>
      <c r="M22" s="24">
        <f t="shared" si="979"/>
        <v>3.6297558205565021</v>
      </c>
      <c r="N22" s="24">
        <f t="shared" si="979"/>
        <v>4.7245883021010791</v>
      </c>
      <c r="O22" s="24">
        <f t="shared" si="979"/>
        <v>5.3424190800681428</v>
      </c>
      <c r="P22" s="24">
        <f t="shared" si="979"/>
        <v>6.6189664963089152</v>
      </c>
      <c r="Q22" s="24">
        <f t="shared" si="979"/>
        <v>8.6678023850085175</v>
      </c>
      <c r="R22" s="24">
        <f t="shared" si="979"/>
        <v>9.4400908574673483</v>
      </c>
      <c r="S22" s="24">
        <f t="shared" si="979"/>
        <v>16.104486087450312</v>
      </c>
      <c r="T22" s="24">
        <f t="shared" si="979"/>
        <v>20.106757524134014</v>
      </c>
      <c r="U22" s="24">
        <f t="shared" si="979"/>
        <v>25.435547984099944</v>
      </c>
      <c r="V22" s="24">
        <f t="shared" si="979"/>
        <v>31.845542305508236</v>
      </c>
      <c r="W22" s="24">
        <f t="shared" si="979"/>
        <v>39.863713798977855</v>
      </c>
      <c r="X22" s="24">
        <f t="shared" si="979"/>
        <v>52.956274843838727</v>
      </c>
      <c r="Y22" s="24">
        <f t="shared" si="979"/>
        <v>65.96706416808631</v>
      </c>
      <c r="Z22" s="24">
        <f t="shared" si="979"/>
        <v>92.710959681998872</v>
      </c>
      <c r="AA22" s="24">
        <f t="shared" si="979"/>
        <v>131.06734809767175</v>
      </c>
      <c r="AB22" s="24">
        <f t="shared" si="979"/>
        <v>184.35470755252695</v>
      </c>
      <c r="AC22" s="24">
        <f t="shared" si="979"/>
        <v>258.6953412833617</v>
      </c>
      <c r="AD22" s="24">
        <f t="shared" si="979"/>
        <v>364.86831027825087</v>
      </c>
      <c r="AE22" s="24">
        <f t="shared" si="979"/>
        <v>507.33670196479261</v>
      </c>
      <c r="AF22" s="24">
        <f t="shared" si="979"/>
        <v>712.81539183645634</v>
      </c>
      <c r="AG22" s="24">
        <f t="shared" si="979"/>
        <v>1000.7763015522994</v>
      </c>
      <c r="AH22" s="24">
        <f t="shared" si="979"/>
        <v>1404.9073786752065</v>
      </c>
      <c r="AI22" s="24">
        <f t="shared" si="979"/>
        <v>1971.0670365620977</v>
      </c>
      <c r="AJ22" s="24">
        <f t="shared" si="979"/>
        <v>2762.3685814538303</v>
      </c>
      <c r="AK22" s="24">
        <f t="shared" si="979"/>
        <v>3876.1191940467193</v>
      </c>
      <c r="AL22" s="24">
        <f t="shared" si="979"/>
        <v>5426.5668716654063</v>
      </c>
      <c r="AM22" s="24">
        <f t="shared" si="979"/>
        <v>7597.193620331569</v>
      </c>
      <c r="AN22" s="24">
        <f t="shared" si="979"/>
        <v>10636.071068464194</v>
      </c>
      <c r="AO22" s="24">
        <f t="shared" si="979"/>
        <v>14890.499495849872</v>
      </c>
      <c r="AP22" s="24">
        <f t="shared" si="979"/>
        <v>20846.699294189817</v>
      </c>
      <c r="AQ22" s="24">
        <f t="shared" si="979"/>
        <v>29185.379011865745</v>
      </c>
      <c r="AR22" s="24">
        <f t="shared" si="979"/>
        <v>40859.530616612035</v>
      </c>
      <c r="AS22" s="24">
        <f t="shared" si="979"/>
        <v>57203.342863256854</v>
      </c>
      <c r="AT22" s="24">
        <f t="shared" si="979"/>
        <v>80084.68000855959</v>
      </c>
      <c r="AU22" s="24">
        <f t="shared" si="979"/>
        <v>112118.55201198343</v>
      </c>
      <c r="AV22" s="24">
        <f t="shared" si="979"/>
        <v>149429.56690974438</v>
      </c>
      <c r="AW22" s="24">
        <f t="shared" si="979"/>
        <v>148302.21947716281</v>
      </c>
      <c r="AX22" s="24">
        <f t="shared" si="979"/>
        <v>146723.93307154867</v>
      </c>
      <c r="AY22" s="24">
        <f t="shared" si="979"/>
        <v>144514.33210368888</v>
      </c>
      <c r="AZ22" s="24">
        <f t="shared" si="979"/>
        <v>141420.89074868517</v>
      </c>
      <c r="BA22" s="24">
        <f t="shared" si="979"/>
        <v>137090.07285167993</v>
      </c>
      <c r="BB22" s="24">
        <f t="shared" si="979"/>
        <v>131026.92779587265</v>
      </c>
      <c r="BC22" s="24">
        <f t="shared" si="979"/>
        <v>122538.52471774245</v>
      </c>
      <c r="BD22" s="24">
        <f t="shared" si="979"/>
        <v>110654.76040836013</v>
      </c>
      <c r="BE22" s="24">
        <f t="shared" si="979"/>
        <v>94017.490375224923</v>
      </c>
      <c r="BF22" s="24">
        <f t="shared" si="979"/>
        <v>70725.312328835615</v>
      </c>
      <c r="BG22" s="24">
        <f t="shared" si="979"/>
        <v>38116.263063890598</v>
      </c>
      <c r="BH22" s="24">
        <f t="shared" si="979"/>
        <v>0</v>
      </c>
      <c r="BI22" s="24">
        <f t="shared" si="979"/>
        <v>0</v>
      </c>
      <c r="BJ22" s="24">
        <f t="shared" si="979"/>
        <v>0</v>
      </c>
      <c r="BK22" s="24">
        <f t="shared" si="979"/>
        <v>0</v>
      </c>
      <c r="BL22" s="24">
        <f t="shared" si="979"/>
        <v>0</v>
      </c>
      <c r="BM22" s="24">
        <f t="shared" si="979"/>
        <v>0</v>
      </c>
      <c r="BN22" s="24">
        <f t="shared" si="979"/>
        <v>0</v>
      </c>
      <c r="BO22" s="24">
        <f t="shared" si="979"/>
        <v>0</v>
      </c>
      <c r="BP22" s="24">
        <f t="shared" si="979"/>
        <v>0</v>
      </c>
      <c r="BQ22" s="24">
        <f t="shared" si="979"/>
        <v>0</v>
      </c>
      <c r="BR22" s="24">
        <f t="shared" si="979"/>
        <v>0</v>
      </c>
      <c r="BS22" s="24">
        <f t="shared" ref="BS22:ED22" si="980">BS16*$C$14</f>
        <v>0</v>
      </c>
      <c r="BT22" s="24">
        <f t="shared" si="980"/>
        <v>0</v>
      </c>
      <c r="BU22" s="24">
        <f t="shared" si="980"/>
        <v>0</v>
      </c>
      <c r="BV22" s="24">
        <f t="shared" si="980"/>
        <v>0</v>
      </c>
      <c r="BW22" s="24">
        <f t="shared" si="980"/>
        <v>0</v>
      </c>
      <c r="BX22" s="24">
        <f t="shared" si="980"/>
        <v>0</v>
      </c>
      <c r="BY22" s="24">
        <f t="shared" si="980"/>
        <v>0</v>
      </c>
      <c r="BZ22" s="24">
        <f t="shared" si="980"/>
        <v>0</v>
      </c>
      <c r="CA22" s="24">
        <f t="shared" si="980"/>
        <v>0</v>
      </c>
      <c r="CB22" s="24">
        <f t="shared" si="980"/>
        <v>0</v>
      </c>
      <c r="CC22" s="24">
        <f t="shared" si="980"/>
        <v>0</v>
      </c>
      <c r="CD22" s="24">
        <f t="shared" si="980"/>
        <v>0</v>
      </c>
      <c r="CE22" s="24">
        <f t="shared" si="980"/>
        <v>0</v>
      </c>
      <c r="CF22" s="24">
        <f t="shared" si="980"/>
        <v>0</v>
      </c>
      <c r="CG22" s="24">
        <f t="shared" si="980"/>
        <v>0</v>
      </c>
      <c r="CH22" s="24">
        <f t="shared" si="980"/>
        <v>0</v>
      </c>
      <c r="CI22" s="24">
        <f t="shared" si="980"/>
        <v>0</v>
      </c>
      <c r="CJ22" s="24">
        <f t="shared" si="980"/>
        <v>0</v>
      </c>
      <c r="CK22" s="24">
        <f t="shared" si="980"/>
        <v>0</v>
      </c>
      <c r="CL22" s="24">
        <f t="shared" si="980"/>
        <v>0</v>
      </c>
      <c r="CM22" s="24">
        <f t="shared" si="980"/>
        <v>0</v>
      </c>
      <c r="CN22" s="24">
        <f t="shared" si="980"/>
        <v>0</v>
      </c>
      <c r="CO22" s="24">
        <f t="shared" si="980"/>
        <v>0</v>
      </c>
      <c r="CP22" s="24">
        <f t="shared" si="980"/>
        <v>0</v>
      </c>
      <c r="CQ22" s="24">
        <f t="shared" si="980"/>
        <v>0</v>
      </c>
      <c r="CR22" s="24">
        <f t="shared" si="980"/>
        <v>0</v>
      </c>
      <c r="CS22" s="24">
        <f t="shared" si="980"/>
        <v>0</v>
      </c>
      <c r="CT22" s="24">
        <f t="shared" si="980"/>
        <v>0</v>
      </c>
      <c r="CU22" s="24">
        <f t="shared" si="980"/>
        <v>0</v>
      </c>
      <c r="CV22" s="24">
        <f t="shared" si="980"/>
        <v>0</v>
      </c>
      <c r="CW22" s="24">
        <f t="shared" si="980"/>
        <v>0</v>
      </c>
      <c r="CX22" s="24">
        <f t="shared" si="980"/>
        <v>0</v>
      </c>
      <c r="CY22" s="24">
        <f t="shared" si="980"/>
        <v>0</v>
      </c>
      <c r="CZ22" s="24">
        <f t="shared" si="980"/>
        <v>0</v>
      </c>
      <c r="DA22" s="24">
        <f t="shared" si="980"/>
        <v>0</v>
      </c>
      <c r="DB22" s="24">
        <f t="shared" si="980"/>
        <v>0</v>
      </c>
      <c r="DC22" s="24">
        <f t="shared" si="980"/>
        <v>0</v>
      </c>
      <c r="DD22" s="24">
        <f t="shared" si="980"/>
        <v>0</v>
      </c>
      <c r="DE22" s="24">
        <f t="shared" si="980"/>
        <v>0</v>
      </c>
      <c r="DF22" s="24">
        <f t="shared" si="980"/>
        <v>0</v>
      </c>
      <c r="DG22" s="24">
        <f t="shared" si="980"/>
        <v>0</v>
      </c>
      <c r="DH22" s="24">
        <f t="shared" si="980"/>
        <v>0</v>
      </c>
      <c r="DI22" s="24">
        <f t="shared" si="980"/>
        <v>0</v>
      </c>
      <c r="DJ22" s="24">
        <f t="shared" si="980"/>
        <v>0</v>
      </c>
      <c r="DK22" s="24">
        <f t="shared" si="980"/>
        <v>0</v>
      </c>
      <c r="DL22" s="24">
        <f t="shared" si="980"/>
        <v>0</v>
      </c>
      <c r="DM22" s="24">
        <f t="shared" si="980"/>
        <v>0</v>
      </c>
      <c r="DN22" s="24">
        <f t="shared" si="980"/>
        <v>0</v>
      </c>
      <c r="DO22" s="24">
        <f t="shared" si="980"/>
        <v>0</v>
      </c>
      <c r="DP22" s="24">
        <f t="shared" si="980"/>
        <v>0</v>
      </c>
      <c r="DQ22" s="24">
        <f t="shared" si="980"/>
        <v>0</v>
      </c>
      <c r="DR22" s="24">
        <f t="shared" si="980"/>
        <v>0</v>
      </c>
      <c r="DS22" s="24">
        <f t="shared" si="980"/>
        <v>0</v>
      </c>
      <c r="DT22" s="24">
        <f t="shared" si="980"/>
        <v>0</v>
      </c>
      <c r="DU22" s="24">
        <f t="shared" si="980"/>
        <v>0</v>
      </c>
      <c r="DV22" s="24">
        <f t="shared" si="980"/>
        <v>0</v>
      </c>
      <c r="DW22" s="24">
        <f t="shared" si="980"/>
        <v>0</v>
      </c>
      <c r="DX22" s="24">
        <f t="shared" si="980"/>
        <v>0</v>
      </c>
      <c r="DY22" s="24">
        <f t="shared" si="980"/>
        <v>0</v>
      </c>
      <c r="DZ22" s="24">
        <f t="shared" si="980"/>
        <v>0</v>
      </c>
      <c r="EA22" s="24">
        <f t="shared" si="980"/>
        <v>0</v>
      </c>
      <c r="EB22" s="24">
        <f t="shared" si="980"/>
        <v>0</v>
      </c>
      <c r="EC22" s="24">
        <f t="shared" si="980"/>
        <v>0</v>
      </c>
      <c r="ED22" s="24">
        <f t="shared" si="980"/>
        <v>0</v>
      </c>
      <c r="EE22" s="24">
        <f t="shared" ref="EE22:GP22" si="981">EE16*$C$14</f>
        <v>0</v>
      </c>
      <c r="EF22" s="24">
        <f t="shared" si="981"/>
        <v>0</v>
      </c>
      <c r="EG22" s="24">
        <f t="shared" si="981"/>
        <v>0</v>
      </c>
      <c r="EH22" s="24">
        <f t="shared" si="981"/>
        <v>0</v>
      </c>
      <c r="EI22" s="24">
        <f t="shared" si="981"/>
        <v>0</v>
      </c>
      <c r="EJ22" s="24">
        <f t="shared" si="981"/>
        <v>0</v>
      </c>
      <c r="EK22" s="24">
        <f t="shared" si="981"/>
        <v>0</v>
      </c>
      <c r="EL22" s="24">
        <f t="shared" si="981"/>
        <v>0</v>
      </c>
      <c r="EM22" s="24">
        <f t="shared" si="981"/>
        <v>0</v>
      </c>
      <c r="EN22" s="24">
        <f t="shared" si="981"/>
        <v>0</v>
      </c>
      <c r="EO22" s="24">
        <f t="shared" si="981"/>
        <v>0</v>
      </c>
      <c r="EP22" s="24">
        <f t="shared" si="981"/>
        <v>0</v>
      </c>
      <c r="EQ22" s="24">
        <f t="shared" si="981"/>
        <v>0</v>
      </c>
      <c r="ER22" s="24">
        <f t="shared" si="981"/>
        <v>0</v>
      </c>
      <c r="ES22" s="24">
        <f t="shared" si="981"/>
        <v>0</v>
      </c>
      <c r="ET22" s="24">
        <f t="shared" si="981"/>
        <v>0</v>
      </c>
      <c r="EU22" s="24">
        <f t="shared" si="981"/>
        <v>0</v>
      </c>
      <c r="EV22" s="24">
        <f t="shared" si="981"/>
        <v>0</v>
      </c>
      <c r="EW22" s="24">
        <f t="shared" si="981"/>
        <v>0</v>
      </c>
      <c r="EX22" s="24">
        <f t="shared" si="981"/>
        <v>0</v>
      </c>
      <c r="EY22" s="24">
        <f t="shared" si="981"/>
        <v>0</v>
      </c>
      <c r="EZ22" s="24">
        <f t="shared" si="981"/>
        <v>0</v>
      </c>
      <c r="FA22" s="24">
        <f t="shared" si="981"/>
        <v>0</v>
      </c>
      <c r="FB22" s="24">
        <f t="shared" si="981"/>
        <v>0</v>
      </c>
      <c r="FC22" s="24">
        <f t="shared" si="981"/>
        <v>0</v>
      </c>
      <c r="FD22" s="24">
        <f t="shared" si="981"/>
        <v>0</v>
      </c>
      <c r="FE22" s="24">
        <f t="shared" si="981"/>
        <v>0</v>
      </c>
      <c r="FF22" s="24">
        <f t="shared" si="981"/>
        <v>0</v>
      </c>
      <c r="FG22" s="24">
        <f t="shared" si="981"/>
        <v>0</v>
      </c>
      <c r="FH22" s="24">
        <f t="shared" si="981"/>
        <v>0</v>
      </c>
      <c r="FI22" s="24">
        <f t="shared" si="981"/>
        <v>0</v>
      </c>
      <c r="FJ22" s="24">
        <f t="shared" si="981"/>
        <v>0</v>
      </c>
      <c r="FK22" s="24">
        <f t="shared" si="981"/>
        <v>0</v>
      </c>
      <c r="FL22" s="24">
        <f t="shared" si="981"/>
        <v>0</v>
      </c>
      <c r="FM22" s="24">
        <f t="shared" si="981"/>
        <v>0</v>
      </c>
      <c r="FN22" s="24">
        <f t="shared" si="981"/>
        <v>0</v>
      </c>
      <c r="FO22" s="24">
        <f t="shared" si="981"/>
        <v>0</v>
      </c>
      <c r="FP22" s="24">
        <f t="shared" si="981"/>
        <v>0</v>
      </c>
      <c r="FQ22" s="24">
        <f t="shared" si="981"/>
        <v>0</v>
      </c>
      <c r="FR22" s="24">
        <f t="shared" si="981"/>
        <v>0</v>
      </c>
      <c r="FS22" s="24">
        <f t="shared" si="981"/>
        <v>0</v>
      </c>
      <c r="FT22" s="24">
        <f t="shared" si="981"/>
        <v>0</v>
      </c>
      <c r="FU22" s="24">
        <f t="shared" si="981"/>
        <v>0</v>
      </c>
      <c r="FV22" s="24">
        <f t="shared" si="981"/>
        <v>0</v>
      </c>
      <c r="FW22" s="24">
        <f t="shared" si="981"/>
        <v>0</v>
      </c>
      <c r="FX22" s="24">
        <f t="shared" si="981"/>
        <v>0</v>
      </c>
      <c r="FY22" s="24">
        <f t="shared" si="981"/>
        <v>0</v>
      </c>
      <c r="FZ22" s="24">
        <f t="shared" si="981"/>
        <v>0</v>
      </c>
      <c r="GA22" s="24">
        <f t="shared" si="981"/>
        <v>0</v>
      </c>
      <c r="GB22" s="24">
        <f t="shared" si="981"/>
        <v>0</v>
      </c>
      <c r="GC22" s="24">
        <f t="shared" si="981"/>
        <v>0</v>
      </c>
      <c r="GD22" s="24">
        <f t="shared" si="981"/>
        <v>0</v>
      </c>
      <c r="GE22" s="24">
        <f t="shared" si="981"/>
        <v>0</v>
      </c>
      <c r="GF22" s="24">
        <f t="shared" si="981"/>
        <v>0</v>
      </c>
      <c r="GG22" s="24">
        <f t="shared" si="981"/>
        <v>0</v>
      </c>
      <c r="GH22" s="24">
        <f t="shared" si="981"/>
        <v>0</v>
      </c>
      <c r="GI22" s="24">
        <f t="shared" si="981"/>
        <v>0</v>
      </c>
      <c r="GJ22" s="24">
        <f t="shared" si="981"/>
        <v>0</v>
      </c>
      <c r="GK22" s="24">
        <f t="shared" si="981"/>
        <v>0</v>
      </c>
      <c r="GL22" s="24">
        <f t="shared" si="981"/>
        <v>0</v>
      </c>
      <c r="GM22" s="24">
        <f t="shared" si="981"/>
        <v>0</v>
      </c>
      <c r="GN22" s="24">
        <f t="shared" si="981"/>
        <v>0</v>
      </c>
      <c r="GO22" s="24">
        <f t="shared" si="981"/>
        <v>0</v>
      </c>
      <c r="GP22" s="24">
        <f t="shared" si="981"/>
        <v>0</v>
      </c>
      <c r="GQ22" s="24">
        <f t="shared" ref="GQ22:IN22" si="982">GQ16*$C$14</f>
        <v>0</v>
      </c>
      <c r="GR22" s="24">
        <f t="shared" si="982"/>
        <v>0</v>
      </c>
      <c r="GS22" s="24">
        <f t="shared" si="982"/>
        <v>0</v>
      </c>
      <c r="GT22" s="24">
        <f t="shared" si="982"/>
        <v>0</v>
      </c>
      <c r="GU22" s="24">
        <f t="shared" si="982"/>
        <v>0</v>
      </c>
      <c r="GV22" s="24">
        <f t="shared" si="982"/>
        <v>0</v>
      </c>
      <c r="GW22" s="24">
        <f t="shared" si="982"/>
        <v>0</v>
      </c>
      <c r="GX22" s="24">
        <f t="shared" si="982"/>
        <v>0</v>
      </c>
      <c r="GY22" s="24">
        <f t="shared" si="982"/>
        <v>0</v>
      </c>
      <c r="GZ22" s="24">
        <f t="shared" si="982"/>
        <v>0</v>
      </c>
      <c r="HA22" s="24">
        <f t="shared" si="982"/>
        <v>0</v>
      </c>
      <c r="HB22" s="24">
        <f t="shared" si="982"/>
        <v>0</v>
      </c>
      <c r="HC22" s="24">
        <f t="shared" si="982"/>
        <v>0</v>
      </c>
      <c r="HD22" s="24">
        <f t="shared" si="982"/>
        <v>0</v>
      </c>
      <c r="HE22" s="24">
        <f t="shared" si="982"/>
        <v>0</v>
      </c>
      <c r="HF22" s="24">
        <f t="shared" si="982"/>
        <v>0</v>
      </c>
      <c r="HG22" s="24">
        <f t="shared" si="982"/>
        <v>0</v>
      </c>
      <c r="HH22" s="24">
        <f t="shared" si="982"/>
        <v>0</v>
      </c>
      <c r="HI22" s="24">
        <f t="shared" si="982"/>
        <v>0</v>
      </c>
      <c r="HJ22" s="24">
        <f t="shared" si="982"/>
        <v>0</v>
      </c>
      <c r="HK22" s="24">
        <f t="shared" si="982"/>
        <v>0</v>
      </c>
      <c r="HL22" s="24">
        <f t="shared" si="982"/>
        <v>0</v>
      </c>
      <c r="HM22" s="24">
        <f t="shared" si="982"/>
        <v>0</v>
      </c>
      <c r="HN22" s="24">
        <f t="shared" si="982"/>
        <v>0</v>
      </c>
      <c r="HO22" s="24">
        <f t="shared" si="982"/>
        <v>0</v>
      </c>
      <c r="HP22" s="24">
        <f t="shared" si="982"/>
        <v>0</v>
      </c>
      <c r="HQ22" s="24">
        <f t="shared" si="982"/>
        <v>0</v>
      </c>
      <c r="HR22" s="24">
        <f t="shared" si="982"/>
        <v>0</v>
      </c>
      <c r="HS22" s="24">
        <f t="shared" si="982"/>
        <v>0</v>
      </c>
      <c r="HT22" s="24">
        <f t="shared" si="982"/>
        <v>0</v>
      </c>
      <c r="HU22" s="24">
        <f t="shared" si="982"/>
        <v>0</v>
      </c>
      <c r="HV22" s="24">
        <f t="shared" si="982"/>
        <v>0</v>
      </c>
      <c r="HW22" s="24">
        <f t="shared" si="982"/>
        <v>0</v>
      </c>
      <c r="HX22" s="24">
        <f t="shared" si="982"/>
        <v>0</v>
      </c>
      <c r="HY22" s="24">
        <f t="shared" si="982"/>
        <v>0</v>
      </c>
      <c r="HZ22" s="24">
        <f t="shared" si="982"/>
        <v>0</v>
      </c>
      <c r="IA22" s="24">
        <f t="shared" si="982"/>
        <v>0</v>
      </c>
      <c r="IB22" s="24">
        <f t="shared" si="982"/>
        <v>0</v>
      </c>
      <c r="IC22" s="24">
        <f t="shared" si="982"/>
        <v>0</v>
      </c>
      <c r="ID22" s="24">
        <f t="shared" si="982"/>
        <v>0</v>
      </c>
      <c r="IE22" s="24">
        <f t="shared" si="982"/>
        <v>0</v>
      </c>
      <c r="IF22" s="24">
        <f t="shared" si="982"/>
        <v>0</v>
      </c>
      <c r="IG22" s="24">
        <f t="shared" si="982"/>
        <v>0</v>
      </c>
      <c r="IH22" s="24">
        <f t="shared" si="982"/>
        <v>0</v>
      </c>
      <c r="II22" s="24">
        <f t="shared" si="982"/>
        <v>0</v>
      </c>
      <c r="IJ22" s="24">
        <f t="shared" si="982"/>
        <v>0</v>
      </c>
      <c r="IK22" s="24">
        <f t="shared" si="982"/>
        <v>0</v>
      </c>
      <c r="IL22" s="24">
        <f t="shared" si="982"/>
        <v>0</v>
      </c>
      <c r="IM22" s="24">
        <f t="shared" si="982"/>
        <v>0</v>
      </c>
      <c r="IN22" s="24">
        <f t="shared" si="982"/>
        <v>0</v>
      </c>
    </row>
    <row r="23" spans="2:248" x14ac:dyDescent="0.3">
      <c r="B23" s="19" t="s">
        <v>508</v>
      </c>
      <c r="C23" s="56">
        <f>IF(VLOOKUP(B2,Country_Data!C:I,7,FALSE)="","Not initiated",VLOOKUP(B2,Country_Data!C:I,7,FALSE))</f>
        <v>43907</v>
      </c>
      <c r="F23" s="22" t="s">
        <v>478</v>
      </c>
      <c r="G23" s="27">
        <f t="shared" ref="G23:AF23" ca="1" si="983">IF(G3=TODAY(),1,-1000)</f>
        <v>-1000</v>
      </c>
      <c r="H23" s="27">
        <f t="shared" ca="1" si="983"/>
        <v>-1000</v>
      </c>
      <c r="I23" s="27">
        <f t="shared" ca="1" si="983"/>
        <v>-1000</v>
      </c>
      <c r="J23" s="27">
        <f t="shared" ca="1" si="983"/>
        <v>-1000</v>
      </c>
      <c r="K23" s="27">
        <f t="shared" ca="1" si="983"/>
        <v>-1000</v>
      </c>
      <c r="L23" s="27">
        <f t="shared" ca="1" si="983"/>
        <v>-1000</v>
      </c>
      <c r="M23" s="27">
        <f t="shared" ca="1" si="983"/>
        <v>-1000</v>
      </c>
      <c r="N23" s="27">
        <f t="shared" ca="1" si="983"/>
        <v>-1000</v>
      </c>
      <c r="O23" s="27">
        <f t="shared" ca="1" si="983"/>
        <v>-1000</v>
      </c>
      <c r="P23" s="27">
        <f t="shared" ca="1" si="983"/>
        <v>-1000</v>
      </c>
      <c r="Q23" s="27">
        <f t="shared" ca="1" si="983"/>
        <v>-1000</v>
      </c>
      <c r="R23" s="27">
        <f t="shared" ca="1" si="983"/>
        <v>-1000</v>
      </c>
      <c r="S23" s="27">
        <f t="shared" ca="1" si="983"/>
        <v>-1000</v>
      </c>
      <c r="T23" s="27">
        <f t="shared" ca="1" si="983"/>
        <v>-1000</v>
      </c>
      <c r="U23" s="27">
        <f t="shared" ca="1" si="983"/>
        <v>-1000</v>
      </c>
      <c r="V23" s="27">
        <f t="shared" ca="1" si="983"/>
        <v>-1000</v>
      </c>
      <c r="W23" s="27">
        <f t="shared" ca="1" si="983"/>
        <v>-1000</v>
      </c>
      <c r="X23" s="27">
        <f t="shared" ca="1" si="983"/>
        <v>-1000</v>
      </c>
      <c r="Y23" s="27">
        <f t="shared" ca="1" si="983"/>
        <v>1</v>
      </c>
      <c r="Z23" s="27">
        <f t="shared" ca="1" si="983"/>
        <v>-1000</v>
      </c>
      <c r="AA23" s="27">
        <f t="shared" ca="1" si="983"/>
        <v>-1000</v>
      </c>
      <c r="AB23" s="27">
        <f t="shared" ca="1" si="983"/>
        <v>-1000</v>
      </c>
      <c r="AC23" s="27">
        <f t="shared" ca="1" si="983"/>
        <v>-1000</v>
      </c>
      <c r="AD23" s="27">
        <f t="shared" ca="1" si="983"/>
        <v>-1000</v>
      </c>
      <c r="AE23" s="27">
        <f t="shared" ca="1" si="983"/>
        <v>-1000</v>
      </c>
      <c r="AF23" s="27">
        <f ca="1">IF(AF3=TODAY(),1,-1000)</f>
        <v>-1000</v>
      </c>
      <c r="AG23" s="27">
        <f t="shared" ref="AG23:CR23" ca="1" si="984">IF(AG3=TODAY(),1,-1000)</f>
        <v>-1000</v>
      </c>
      <c r="AH23" s="27">
        <f t="shared" ca="1" si="984"/>
        <v>-1000</v>
      </c>
      <c r="AI23" s="27">
        <f t="shared" ca="1" si="984"/>
        <v>-1000</v>
      </c>
      <c r="AJ23" s="27">
        <f t="shared" ca="1" si="984"/>
        <v>-1000</v>
      </c>
      <c r="AK23" s="27">
        <f t="shared" ca="1" si="984"/>
        <v>-1000</v>
      </c>
      <c r="AL23" s="27">
        <f t="shared" ca="1" si="984"/>
        <v>-1000</v>
      </c>
      <c r="AM23" s="27">
        <f t="shared" ca="1" si="984"/>
        <v>-1000</v>
      </c>
      <c r="AN23" s="27">
        <f t="shared" ca="1" si="984"/>
        <v>-1000</v>
      </c>
      <c r="AO23" s="27">
        <f t="shared" ca="1" si="984"/>
        <v>-1000</v>
      </c>
      <c r="AP23" s="27">
        <f t="shared" ca="1" si="984"/>
        <v>-1000</v>
      </c>
      <c r="AQ23" s="27">
        <f t="shared" ca="1" si="984"/>
        <v>-1000</v>
      </c>
      <c r="AR23" s="27">
        <f t="shared" ca="1" si="984"/>
        <v>-1000</v>
      </c>
      <c r="AS23" s="27">
        <f t="shared" ca="1" si="984"/>
        <v>-1000</v>
      </c>
      <c r="AT23" s="27">
        <f t="shared" ca="1" si="984"/>
        <v>-1000</v>
      </c>
      <c r="AU23" s="27">
        <f t="shared" ca="1" si="984"/>
        <v>-1000</v>
      </c>
      <c r="AV23" s="27">
        <f t="shared" ca="1" si="984"/>
        <v>-1000</v>
      </c>
      <c r="AW23" s="27">
        <f t="shared" ca="1" si="984"/>
        <v>-1000</v>
      </c>
      <c r="AX23" s="27">
        <f t="shared" ca="1" si="984"/>
        <v>-1000</v>
      </c>
      <c r="AY23" s="27">
        <f t="shared" ca="1" si="984"/>
        <v>-1000</v>
      </c>
      <c r="AZ23" s="27">
        <f t="shared" ca="1" si="984"/>
        <v>-1000</v>
      </c>
      <c r="BA23" s="27">
        <f t="shared" ca="1" si="984"/>
        <v>-1000</v>
      </c>
      <c r="BB23" s="27">
        <f t="shared" ca="1" si="984"/>
        <v>-1000</v>
      </c>
      <c r="BC23" s="27">
        <f t="shared" ca="1" si="984"/>
        <v>-1000</v>
      </c>
      <c r="BD23" s="27">
        <f t="shared" ca="1" si="984"/>
        <v>-1000</v>
      </c>
      <c r="BE23" s="27">
        <f t="shared" ca="1" si="984"/>
        <v>-1000</v>
      </c>
      <c r="BF23" s="27">
        <f t="shared" ca="1" si="984"/>
        <v>-1000</v>
      </c>
      <c r="BG23" s="27">
        <f t="shared" ca="1" si="984"/>
        <v>-1000</v>
      </c>
      <c r="BH23" s="27">
        <f t="shared" ca="1" si="984"/>
        <v>-1000</v>
      </c>
      <c r="BI23" s="27">
        <f t="shared" ca="1" si="984"/>
        <v>-1000</v>
      </c>
      <c r="BJ23" s="27">
        <f t="shared" ca="1" si="984"/>
        <v>-1000</v>
      </c>
      <c r="BK23" s="27">
        <f t="shared" ca="1" si="984"/>
        <v>-1000</v>
      </c>
      <c r="BL23" s="27">
        <f t="shared" ca="1" si="984"/>
        <v>-1000</v>
      </c>
      <c r="BM23" s="27">
        <f t="shared" ca="1" si="984"/>
        <v>-1000</v>
      </c>
      <c r="BN23" s="27">
        <f t="shared" ca="1" si="984"/>
        <v>-1000</v>
      </c>
      <c r="BO23" s="27">
        <f t="shared" ca="1" si="984"/>
        <v>-1000</v>
      </c>
      <c r="BP23" s="27">
        <f t="shared" ca="1" si="984"/>
        <v>-1000</v>
      </c>
      <c r="BQ23" s="27">
        <f t="shared" ca="1" si="984"/>
        <v>-1000</v>
      </c>
      <c r="BR23" s="27">
        <f t="shared" ca="1" si="984"/>
        <v>-1000</v>
      </c>
      <c r="BS23" s="27">
        <f t="shared" ca="1" si="984"/>
        <v>-1000</v>
      </c>
      <c r="BT23" s="27">
        <f t="shared" ca="1" si="984"/>
        <v>-1000</v>
      </c>
      <c r="BU23" s="27">
        <f t="shared" ca="1" si="984"/>
        <v>-1000</v>
      </c>
      <c r="BV23" s="27">
        <f t="shared" ca="1" si="984"/>
        <v>-1000</v>
      </c>
      <c r="BW23" s="27">
        <f t="shared" ca="1" si="984"/>
        <v>-1000</v>
      </c>
      <c r="BX23" s="27">
        <f t="shared" ca="1" si="984"/>
        <v>-1000</v>
      </c>
      <c r="BY23" s="27">
        <f t="shared" ca="1" si="984"/>
        <v>-1000</v>
      </c>
      <c r="BZ23" s="27">
        <f t="shared" ca="1" si="984"/>
        <v>-1000</v>
      </c>
      <c r="CA23" s="27">
        <f t="shared" ca="1" si="984"/>
        <v>-1000</v>
      </c>
      <c r="CB23" s="27">
        <f t="shared" ca="1" si="984"/>
        <v>-1000</v>
      </c>
      <c r="CC23" s="27">
        <f t="shared" ca="1" si="984"/>
        <v>-1000</v>
      </c>
      <c r="CD23" s="27">
        <f t="shared" ca="1" si="984"/>
        <v>-1000</v>
      </c>
      <c r="CE23" s="27">
        <f t="shared" ca="1" si="984"/>
        <v>-1000</v>
      </c>
      <c r="CF23" s="27">
        <f t="shared" ca="1" si="984"/>
        <v>-1000</v>
      </c>
      <c r="CG23" s="27">
        <f t="shared" ca="1" si="984"/>
        <v>-1000</v>
      </c>
      <c r="CH23" s="27">
        <f t="shared" ca="1" si="984"/>
        <v>-1000</v>
      </c>
      <c r="CI23" s="27">
        <f t="shared" ca="1" si="984"/>
        <v>-1000</v>
      </c>
      <c r="CJ23" s="27">
        <f t="shared" ca="1" si="984"/>
        <v>-1000</v>
      </c>
      <c r="CK23" s="27">
        <f t="shared" ca="1" si="984"/>
        <v>-1000</v>
      </c>
      <c r="CL23" s="27">
        <f t="shared" ca="1" si="984"/>
        <v>-1000</v>
      </c>
      <c r="CM23" s="27">
        <f t="shared" ca="1" si="984"/>
        <v>-1000</v>
      </c>
      <c r="CN23" s="27">
        <f t="shared" ca="1" si="984"/>
        <v>-1000</v>
      </c>
      <c r="CO23" s="27">
        <f t="shared" ca="1" si="984"/>
        <v>-1000</v>
      </c>
      <c r="CP23" s="27">
        <f t="shared" ca="1" si="984"/>
        <v>-1000</v>
      </c>
      <c r="CQ23" s="27">
        <f t="shared" ca="1" si="984"/>
        <v>-1000</v>
      </c>
      <c r="CR23" s="27">
        <f t="shared" ca="1" si="984"/>
        <v>-1000</v>
      </c>
      <c r="CS23" s="27">
        <f t="shared" ref="CS23:FD23" ca="1" si="985">IF(CS3=TODAY(),1,-1000)</f>
        <v>-1000</v>
      </c>
      <c r="CT23" s="27">
        <f t="shared" ca="1" si="985"/>
        <v>-1000</v>
      </c>
      <c r="CU23" s="27">
        <f t="shared" ca="1" si="985"/>
        <v>-1000</v>
      </c>
      <c r="CV23" s="27">
        <f t="shared" ca="1" si="985"/>
        <v>-1000</v>
      </c>
      <c r="CW23" s="27">
        <f t="shared" ca="1" si="985"/>
        <v>-1000</v>
      </c>
      <c r="CX23" s="27">
        <f t="shared" ca="1" si="985"/>
        <v>-1000</v>
      </c>
      <c r="CY23" s="27">
        <f t="shared" ca="1" si="985"/>
        <v>-1000</v>
      </c>
      <c r="CZ23" s="27">
        <f t="shared" ca="1" si="985"/>
        <v>-1000</v>
      </c>
      <c r="DA23" s="27">
        <f t="shared" ca="1" si="985"/>
        <v>-1000</v>
      </c>
      <c r="DB23" s="27">
        <f t="shared" ca="1" si="985"/>
        <v>-1000</v>
      </c>
      <c r="DC23" s="27">
        <f t="shared" ca="1" si="985"/>
        <v>-1000</v>
      </c>
      <c r="DD23" s="27">
        <f t="shared" ca="1" si="985"/>
        <v>-1000</v>
      </c>
      <c r="DE23" s="27">
        <f t="shared" ca="1" si="985"/>
        <v>-1000</v>
      </c>
      <c r="DF23" s="27">
        <f t="shared" ca="1" si="985"/>
        <v>-1000</v>
      </c>
      <c r="DG23" s="27">
        <f t="shared" ca="1" si="985"/>
        <v>-1000</v>
      </c>
      <c r="DH23" s="27">
        <f t="shared" ca="1" si="985"/>
        <v>-1000</v>
      </c>
      <c r="DI23" s="27">
        <f t="shared" ca="1" si="985"/>
        <v>-1000</v>
      </c>
      <c r="DJ23" s="27">
        <f t="shared" ca="1" si="985"/>
        <v>-1000</v>
      </c>
      <c r="DK23" s="27">
        <f t="shared" ca="1" si="985"/>
        <v>-1000</v>
      </c>
      <c r="DL23" s="27">
        <f t="shared" ca="1" si="985"/>
        <v>-1000</v>
      </c>
      <c r="DM23" s="27">
        <f t="shared" ca="1" si="985"/>
        <v>-1000</v>
      </c>
      <c r="DN23" s="27">
        <f t="shared" ca="1" si="985"/>
        <v>-1000</v>
      </c>
      <c r="DO23" s="27">
        <f t="shared" ca="1" si="985"/>
        <v>-1000</v>
      </c>
      <c r="DP23" s="27">
        <f t="shared" ca="1" si="985"/>
        <v>-1000</v>
      </c>
      <c r="DQ23" s="27">
        <f t="shared" ca="1" si="985"/>
        <v>-1000</v>
      </c>
      <c r="DR23" s="27">
        <f t="shared" ca="1" si="985"/>
        <v>-1000</v>
      </c>
      <c r="DS23" s="27">
        <f t="shared" ca="1" si="985"/>
        <v>-1000</v>
      </c>
      <c r="DT23" s="27">
        <f t="shared" ca="1" si="985"/>
        <v>-1000</v>
      </c>
      <c r="DU23" s="27">
        <f t="shared" ca="1" si="985"/>
        <v>-1000</v>
      </c>
      <c r="DV23" s="27">
        <f t="shared" ca="1" si="985"/>
        <v>-1000</v>
      </c>
      <c r="DW23" s="27">
        <f t="shared" ca="1" si="985"/>
        <v>-1000</v>
      </c>
      <c r="DX23" s="27">
        <f t="shared" ca="1" si="985"/>
        <v>-1000</v>
      </c>
      <c r="DY23" s="27">
        <f t="shared" ca="1" si="985"/>
        <v>-1000</v>
      </c>
      <c r="DZ23" s="27">
        <f t="shared" ca="1" si="985"/>
        <v>-1000</v>
      </c>
      <c r="EA23" s="27">
        <f t="shared" ca="1" si="985"/>
        <v>-1000</v>
      </c>
      <c r="EB23" s="27">
        <f t="shared" ca="1" si="985"/>
        <v>-1000</v>
      </c>
      <c r="EC23" s="27">
        <f t="shared" ca="1" si="985"/>
        <v>-1000</v>
      </c>
      <c r="ED23" s="27">
        <f t="shared" ca="1" si="985"/>
        <v>-1000</v>
      </c>
      <c r="EE23" s="27">
        <f t="shared" ca="1" si="985"/>
        <v>-1000</v>
      </c>
      <c r="EF23" s="27">
        <f t="shared" ca="1" si="985"/>
        <v>-1000</v>
      </c>
      <c r="EG23" s="27">
        <f t="shared" ca="1" si="985"/>
        <v>-1000</v>
      </c>
      <c r="EH23" s="27">
        <f t="shared" ca="1" si="985"/>
        <v>-1000</v>
      </c>
      <c r="EI23" s="27">
        <f t="shared" ca="1" si="985"/>
        <v>-1000</v>
      </c>
      <c r="EJ23" s="27">
        <f t="shared" ca="1" si="985"/>
        <v>-1000</v>
      </c>
      <c r="EK23" s="27">
        <f t="shared" ca="1" si="985"/>
        <v>-1000</v>
      </c>
      <c r="EL23" s="27">
        <f t="shared" ca="1" si="985"/>
        <v>-1000</v>
      </c>
      <c r="EM23" s="27">
        <f t="shared" ca="1" si="985"/>
        <v>-1000</v>
      </c>
      <c r="EN23" s="27">
        <f t="shared" ca="1" si="985"/>
        <v>-1000</v>
      </c>
      <c r="EO23" s="27">
        <f t="shared" ca="1" si="985"/>
        <v>-1000</v>
      </c>
      <c r="EP23" s="27">
        <f t="shared" ca="1" si="985"/>
        <v>-1000</v>
      </c>
      <c r="EQ23" s="27">
        <f t="shared" ca="1" si="985"/>
        <v>-1000</v>
      </c>
      <c r="ER23" s="27">
        <f t="shared" ca="1" si="985"/>
        <v>-1000</v>
      </c>
      <c r="ES23" s="27">
        <f t="shared" ca="1" si="985"/>
        <v>-1000</v>
      </c>
      <c r="ET23" s="27">
        <f t="shared" ca="1" si="985"/>
        <v>-1000</v>
      </c>
      <c r="EU23" s="27">
        <f t="shared" ca="1" si="985"/>
        <v>-1000</v>
      </c>
      <c r="EV23" s="27">
        <f t="shared" ca="1" si="985"/>
        <v>-1000</v>
      </c>
      <c r="EW23" s="27">
        <f t="shared" ca="1" si="985"/>
        <v>-1000</v>
      </c>
      <c r="EX23" s="27">
        <f t="shared" ca="1" si="985"/>
        <v>-1000</v>
      </c>
      <c r="EY23" s="27">
        <f t="shared" ca="1" si="985"/>
        <v>-1000</v>
      </c>
      <c r="EZ23" s="27">
        <f t="shared" ca="1" si="985"/>
        <v>-1000</v>
      </c>
      <c r="FA23" s="27">
        <f t="shared" ca="1" si="985"/>
        <v>-1000</v>
      </c>
      <c r="FB23" s="27">
        <f t="shared" ca="1" si="985"/>
        <v>-1000</v>
      </c>
      <c r="FC23" s="27">
        <f t="shared" ca="1" si="985"/>
        <v>-1000</v>
      </c>
      <c r="FD23" s="27">
        <f t="shared" ca="1" si="985"/>
        <v>-1000</v>
      </c>
      <c r="FE23" s="27">
        <f t="shared" ref="FE23:HP23" ca="1" si="986">IF(FE3=TODAY(),1,-1000)</f>
        <v>-1000</v>
      </c>
      <c r="FF23" s="27">
        <f t="shared" ca="1" si="986"/>
        <v>-1000</v>
      </c>
      <c r="FG23" s="27">
        <f t="shared" ca="1" si="986"/>
        <v>-1000</v>
      </c>
      <c r="FH23" s="27">
        <f t="shared" ca="1" si="986"/>
        <v>-1000</v>
      </c>
      <c r="FI23" s="27">
        <f t="shared" ca="1" si="986"/>
        <v>-1000</v>
      </c>
      <c r="FJ23" s="27">
        <f t="shared" ca="1" si="986"/>
        <v>-1000</v>
      </c>
      <c r="FK23" s="27">
        <f t="shared" ca="1" si="986"/>
        <v>-1000</v>
      </c>
      <c r="FL23" s="27">
        <f t="shared" ca="1" si="986"/>
        <v>-1000</v>
      </c>
      <c r="FM23" s="27">
        <f t="shared" ca="1" si="986"/>
        <v>-1000</v>
      </c>
      <c r="FN23" s="27">
        <f t="shared" ca="1" si="986"/>
        <v>-1000</v>
      </c>
      <c r="FO23" s="27">
        <f t="shared" ca="1" si="986"/>
        <v>-1000</v>
      </c>
      <c r="FP23" s="27">
        <f t="shared" ca="1" si="986"/>
        <v>-1000</v>
      </c>
      <c r="FQ23" s="27">
        <f t="shared" ca="1" si="986"/>
        <v>-1000</v>
      </c>
      <c r="FR23" s="27">
        <f t="shared" ca="1" si="986"/>
        <v>-1000</v>
      </c>
      <c r="FS23" s="27">
        <f t="shared" ca="1" si="986"/>
        <v>-1000</v>
      </c>
      <c r="FT23" s="27">
        <f t="shared" ca="1" si="986"/>
        <v>-1000</v>
      </c>
      <c r="FU23" s="27">
        <f t="shared" ca="1" si="986"/>
        <v>-1000</v>
      </c>
      <c r="FV23" s="27">
        <f t="shared" ca="1" si="986"/>
        <v>-1000</v>
      </c>
      <c r="FW23" s="27">
        <f t="shared" ca="1" si="986"/>
        <v>-1000</v>
      </c>
      <c r="FX23" s="27">
        <f t="shared" ca="1" si="986"/>
        <v>-1000</v>
      </c>
      <c r="FY23" s="27">
        <f t="shared" ca="1" si="986"/>
        <v>-1000</v>
      </c>
      <c r="FZ23" s="27">
        <f t="shared" ca="1" si="986"/>
        <v>-1000</v>
      </c>
      <c r="GA23" s="27">
        <f t="shared" ca="1" si="986"/>
        <v>-1000</v>
      </c>
      <c r="GB23" s="27">
        <f t="shared" ca="1" si="986"/>
        <v>-1000</v>
      </c>
      <c r="GC23" s="27">
        <f t="shared" ca="1" si="986"/>
        <v>-1000</v>
      </c>
      <c r="GD23" s="27">
        <f t="shared" ca="1" si="986"/>
        <v>-1000</v>
      </c>
      <c r="GE23" s="27">
        <f t="shared" ca="1" si="986"/>
        <v>-1000</v>
      </c>
      <c r="GF23" s="27">
        <f t="shared" ca="1" si="986"/>
        <v>-1000</v>
      </c>
      <c r="GG23" s="27">
        <f t="shared" ca="1" si="986"/>
        <v>-1000</v>
      </c>
      <c r="GH23" s="27">
        <f t="shared" ca="1" si="986"/>
        <v>-1000</v>
      </c>
      <c r="GI23" s="27">
        <f t="shared" ca="1" si="986"/>
        <v>-1000</v>
      </c>
      <c r="GJ23" s="27">
        <f t="shared" ca="1" si="986"/>
        <v>-1000</v>
      </c>
      <c r="GK23" s="27">
        <f t="shared" ca="1" si="986"/>
        <v>-1000</v>
      </c>
      <c r="GL23" s="27">
        <f t="shared" ca="1" si="986"/>
        <v>-1000</v>
      </c>
      <c r="GM23" s="27">
        <f t="shared" ca="1" si="986"/>
        <v>-1000</v>
      </c>
      <c r="GN23" s="27">
        <f t="shared" ca="1" si="986"/>
        <v>-1000</v>
      </c>
      <c r="GO23" s="27">
        <f t="shared" ca="1" si="986"/>
        <v>-1000</v>
      </c>
      <c r="GP23" s="27">
        <f t="shared" ca="1" si="986"/>
        <v>-1000</v>
      </c>
      <c r="GQ23" s="27">
        <f t="shared" ca="1" si="986"/>
        <v>-1000</v>
      </c>
      <c r="GR23" s="27">
        <f t="shared" ca="1" si="986"/>
        <v>-1000</v>
      </c>
      <c r="GS23" s="27">
        <f t="shared" ca="1" si="986"/>
        <v>-1000</v>
      </c>
      <c r="GT23" s="27">
        <f t="shared" ca="1" si="986"/>
        <v>-1000</v>
      </c>
      <c r="GU23" s="27">
        <f t="shared" ca="1" si="986"/>
        <v>-1000</v>
      </c>
      <c r="GV23" s="27">
        <f t="shared" ca="1" si="986"/>
        <v>-1000</v>
      </c>
      <c r="GW23" s="27">
        <f t="shared" ca="1" si="986"/>
        <v>-1000</v>
      </c>
      <c r="GX23" s="27">
        <f t="shared" ca="1" si="986"/>
        <v>-1000</v>
      </c>
      <c r="GY23" s="27">
        <f t="shared" ca="1" si="986"/>
        <v>-1000</v>
      </c>
      <c r="GZ23" s="27">
        <f t="shared" ca="1" si="986"/>
        <v>-1000</v>
      </c>
      <c r="HA23" s="27">
        <f t="shared" ca="1" si="986"/>
        <v>-1000</v>
      </c>
      <c r="HB23" s="27">
        <f t="shared" ca="1" si="986"/>
        <v>-1000</v>
      </c>
      <c r="HC23" s="27">
        <f t="shared" ca="1" si="986"/>
        <v>-1000</v>
      </c>
      <c r="HD23" s="27">
        <f t="shared" ca="1" si="986"/>
        <v>-1000</v>
      </c>
      <c r="HE23" s="27">
        <f t="shared" ca="1" si="986"/>
        <v>-1000</v>
      </c>
      <c r="HF23" s="27">
        <f t="shared" ca="1" si="986"/>
        <v>-1000</v>
      </c>
      <c r="HG23" s="27">
        <f t="shared" ca="1" si="986"/>
        <v>-1000</v>
      </c>
      <c r="HH23" s="27">
        <f t="shared" ca="1" si="986"/>
        <v>-1000</v>
      </c>
      <c r="HI23" s="27">
        <f t="shared" ca="1" si="986"/>
        <v>-1000</v>
      </c>
      <c r="HJ23" s="27">
        <f t="shared" ca="1" si="986"/>
        <v>-1000</v>
      </c>
      <c r="HK23" s="27">
        <f t="shared" ca="1" si="986"/>
        <v>-1000</v>
      </c>
      <c r="HL23" s="27">
        <f t="shared" ca="1" si="986"/>
        <v>-1000</v>
      </c>
      <c r="HM23" s="27">
        <f t="shared" ca="1" si="986"/>
        <v>-1000</v>
      </c>
      <c r="HN23" s="27">
        <f t="shared" ca="1" si="986"/>
        <v>-1000</v>
      </c>
      <c r="HO23" s="27">
        <f t="shared" ca="1" si="986"/>
        <v>-1000</v>
      </c>
      <c r="HP23" s="27">
        <f t="shared" ca="1" si="986"/>
        <v>-1000</v>
      </c>
      <c r="HQ23" s="27">
        <f t="shared" ref="HQ23:IN23" ca="1" si="987">IF(HQ3=TODAY(),1,-1000)</f>
        <v>-1000</v>
      </c>
      <c r="HR23" s="27">
        <f t="shared" ca="1" si="987"/>
        <v>-1000</v>
      </c>
      <c r="HS23" s="27">
        <f t="shared" ca="1" si="987"/>
        <v>-1000</v>
      </c>
      <c r="HT23" s="27">
        <f t="shared" ca="1" si="987"/>
        <v>-1000</v>
      </c>
      <c r="HU23" s="27">
        <f t="shared" ca="1" si="987"/>
        <v>-1000</v>
      </c>
      <c r="HV23" s="27">
        <f t="shared" ca="1" si="987"/>
        <v>-1000</v>
      </c>
      <c r="HW23" s="27">
        <f t="shared" ca="1" si="987"/>
        <v>-1000</v>
      </c>
      <c r="HX23" s="27">
        <f t="shared" ca="1" si="987"/>
        <v>-1000</v>
      </c>
      <c r="HY23" s="27">
        <f t="shared" ca="1" si="987"/>
        <v>-1000</v>
      </c>
      <c r="HZ23" s="27">
        <f t="shared" ca="1" si="987"/>
        <v>-1000</v>
      </c>
      <c r="IA23" s="27">
        <f t="shared" ca="1" si="987"/>
        <v>-1000</v>
      </c>
      <c r="IB23" s="27">
        <f t="shared" ca="1" si="987"/>
        <v>-1000</v>
      </c>
      <c r="IC23" s="27">
        <f t="shared" ca="1" si="987"/>
        <v>-1000</v>
      </c>
      <c r="ID23" s="27">
        <f t="shared" ca="1" si="987"/>
        <v>-1000</v>
      </c>
      <c r="IE23" s="27">
        <f t="shared" ca="1" si="987"/>
        <v>-1000</v>
      </c>
      <c r="IF23" s="27">
        <f t="shared" ca="1" si="987"/>
        <v>-1000</v>
      </c>
      <c r="IG23" s="27">
        <f t="shared" ca="1" si="987"/>
        <v>-1000</v>
      </c>
      <c r="IH23" s="27">
        <f t="shared" ca="1" si="987"/>
        <v>-1000</v>
      </c>
      <c r="II23" s="27">
        <f t="shared" ca="1" si="987"/>
        <v>-1000</v>
      </c>
      <c r="IJ23" s="27">
        <f t="shared" ca="1" si="987"/>
        <v>-1000</v>
      </c>
      <c r="IK23" s="27">
        <f t="shared" ca="1" si="987"/>
        <v>-1000</v>
      </c>
      <c r="IL23" s="27">
        <f t="shared" ca="1" si="987"/>
        <v>-1000</v>
      </c>
      <c r="IM23" s="27">
        <f t="shared" ca="1" si="987"/>
        <v>-1000</v>
      </c>
      <c r="IN23" s="27">
        <f t="shared" ca="1" si="987"/>
        <v>-1000</v>
      </c>
    </row>
    <row r="24" spans="2:248" x14ac:dyDescent="0.3">
      <c r="F24" s="22" t="s">
        <v>479</v>
      </c>
      <c r="G24" s="26">
        <f>IF(AND(G18&gt;G17,F18&lt;F17),1,0)</f>
        <v>0</v>
      </c>
      <c r="H24" s="26">
        <f>IF(AND(H18&gt;H17,G18&lt;G17),1,0)</f>
        <v>0</v>
      </c>
      <c r="I24" s="26">
        <f t="shared" ref="I24:BS24" si="988">IF(AND(I18&gt;I17,H18&lt;H17),1,0)</f>
        <v>0</v>
      </c>
      <c r="J24" s="26">
        <f t="shared" si="988"/>
        <v>0</v>
      </c>
      <c r="K24" s="26">
        <f t="shared" si="988"/>
        <v>0</v>
      </c>
      <c r="L24" s="26">
        <f t="shared" si="988"/>
        <v>0</v>
      </c>
      <c r="M24" s="26">
        <f t="shared" si="988"/>
        <v>0</v>
      </c>
      <c r="N24" s="26">
        <f t="shared" si="988"/>
        <v>0</v>
      </c>
      <c r="O24" s="26">
        <f t="shared" si="988"/>
        <v>0</v>
      </c>
      <c r="P24" s="26">
        <f t="shared" si="988"/>
        <v>0</v>
      </c>
      <c r="Q24" s="26">
        <f t="shared" si="988"/>
        <v>0</v>
      </c>
      <c r="R24" s="26">
        <f t="shared" si="988"/>
        <v>0</v>
      </c>
      <c r="S24" s="26">
        <f t="shared" si="988"/>
        <v>0</v>
      </c>
      <c r="T24" s="26">
        <f t="shared" si="988"/>
        <v>0</v>
      </c>
      <c r="U24" s="26">
        <f t="shared" si="988"/>
        <v>0</v>
      </c>
      <c r="V24" s="26">
        <f t="shared" si="988"/>
        <v>0</v>
      </c>
      <c r="W24" s="26">
        <f t="shared" si="988"/>
        <v>0</v>
      </c>
      <c r="X24" s="26">
        <f t="shared" si="988"/>
        <v>0</v>
      </c>
      <c r="Y24" s="26">
        <f t="shared" si="988"/>
        <v>0</v>
      </c>
      <c r="Z24" s="26">
        <f t="shared" si="988"/>
        <v>0</v>
      </c>
      <c r="AA24" s="26">
        <f t="shared" si="988"/>
        <v>0</v>
      </c>
      <c r="AB24" s="26">
        <f t="shared" si="988"/>
        <v>0</v>
      </c>
      <c r="AC24" s="26">
        <f t="shared" si="988"/>
        <v>0</v>
      </c>
      <c r="AD24" s="26">
        <f t="shared" si="988"/>
        <v>0</v>
      </c>
      <c r="AE24" s="26">
        <f t="shared" si="988"/>
        <v>0</v>
      </c>
      <c r="AF24" s="26">
        <f t="shared" si="988"/>
        <v>0</v>
      </c>
      <c r="AG24" s="26">
        <f t="shared" si="988"/>
        <v>0</v>
      </c>
      <c r="AH24" s="26">
        <f t="shared" si="988"/>
        <v>0</v>
      </c>
      <c r="AI24" s="26">
        <f t="shared" si="988"/>
        <v>0</v>
      </c>
      <c r="AJ24" s="26">
        <f>IF(AND(AJ18&gt;AJ17,AI18&lt;AI17),1,0)</f>
        <v>0</v>
      </c>
      <c r="AK24" s="26">
        <f t="shared" si="988"/>
        <v>0</v>
      </c>
      <c r="AL24" s="26">
        <f t="shared" si="988"/>
        <v>0</v>
      </c>
      <c r="AM24" s="26">
        <f t="shared" si="988"/>
        <v>0</v>
      </c>
      <c r="AN24" s="26">
        <f t="shared" si="988"/>
        <v>0</v>
      </c>
      <c r="AO24" s="26">
        <f t="shared" si="988"/>
        <v>0</v>
      </c>
      <c r="AP24" s="26">
        <f t="shared" si="988"/>
        <v>0</v>
      </c>
      <c r="AQ24" s="26">
        <f t="shared" si="988"/>
        <v>0</v>
      </c>
      <c r="AR24" s="26">
        <f t="shared" si="988"/>
        <v>0</v>
      </c>
      <c r="AS24" s="26">
        <f t="shared" si="988"/>
        <v>0</v>
      </c>
      <c r="AT24" s="26">
        <f t="shared" si="988"/>
        <v>0</v>
      </c>
      <c r="AU24" s="26">
        <f t="shared" si="988"/>
        <v>0</v>
      </c>
      <c r="AV24" s="26">
        <f t="shared" si="988"/>
        <v>0</v>
      </c>
      <c r="AW24" s="26">
        <f t="shared" si="988"/>
        <v>0</v>
      </c>
      <c r="AX24" s="26">
        <f t="shared" si="988"/>
        <v>1</v>
      </c>
      <c r="AY24" s="26">
        <f t="shared" si="988"/>
        <v>0</v>
      </c>
      <c r="AZ24" s="26">
        <f t="shared" si="988"/>
        <v>0</v>
      </c>
      <c r="BA24" s="26">
        <f t="shared" si="988"/>
        <v>0</v>
      </c>
      <c r="BB24" s="26">
        <f t="shared" si="988"/>
        <v>0</v>
      </c>
      <c r="BC24" s="26">
        <f t="shared" si="988"/>
        <v>0</v>
      </c>
      <c r="BD24" s="26">
        <f t="shared" si="988"/>
        <v>0</v>
      </c>
      <c r="BE24" s="26">
        <f t="shared" si="988"/>
        <v>0</v>
      </c>
      <c r="BF24" s="26">
        <f t="shared" si="988"/>
        <v>0</v>
      </c>
      <c r="BG24" s="26">
        <f t="shared" si="988"/>
        <v>0</v>
      </c>
      <c r="BH24" s="26">
        <f t="shared" si="988"/>
        <v>0</v>
      </c>
      <c r="BI24" s="26">
        <f t="shared" si="988"/>
        <v>0</v>
      </c>
      <c r="BJ24" s="26">
        <f t="shared" si="988"/>
        <v>0</v>
      </c>
      <c r="BK24" s="26">
        <f t="shared" si="988"/>
        <v>0</v>
      </c>
      <c r="BL24" s="26">
        <f t="shared" si="988"/>
        <v>0</v>
      </c>
      <c r="BM24" s="26">
        <f t="shared" si="988"/>
        <v>0</v>
      </c>
      <c r="BN24" s="26">
        <f t="shared" si="988"/>
        <v>0</v>
      </c>
      <c r="BO24" s="26">
        <f t="shared" si="988"/>
        <v>0</v>
      </c>
      <c r="BP24" s="26">
        <f t="shared" si="988"/>
        <v>0</v>
      </c>
      <c r="BQ24" s="26">
        <f t="shared" si="988"/>
        <v>0</v>
      </c>
      <c r="BR24" s="26">
        <f t="shared" si="988"/>
        <v>0</v>
      </c>
      <c r="BS24" s="26">
        <f t="shared" si="988"/>
        <v>0</v>
      </c>
      <c r="BT24" s="26">
        <f t="shared" ref="BT24:EE24" si="989">IF(AND(BT18&gt;BT17,BS18&lt;BS17),1,0)</f>
        <v>0</v>
      </c>
      <c r="BU24" s="26">
        <f t="shared" si="989"/>
        <v>0</v>
      </c>
      <c r="BV24" s="26">
        <f t="shared" si="989"/>
        <v>0</v>
      </c>
      <c r="BW24" s="26">
        <f t="shared" si="989"/>
        <v>0</v>
      </c>
      <c r="BX24" s="26">
        <f t="shared" si="989"/>
        <v>0</v>
      </c>
      <c r="BY24" s="26">
        <f t="shared" si="989"/>
        <v>0</v>
      </c>
      <c r="BZ24" s="26">
        <f t="shared" si="989"/>
        <v>0</v>
      </c>
      <c r="CA24" s="26">
        <f t="shared" si="989"/>
        <v>0</v>
      </c>
      <c r="CB24" s="26">
        <f t="shared" si="989"/>
        <v>0</v>
      </c>
      <c r="CC24" s="26">
        <f t="shared" si="989"/>
        <v>0</v>
      </c>
      <c r="CD24" s="26">
        <f t="shared" si="989"/>
        <v>0</v>
      </c>
      <c r="CE24" s="26">
        <f t="shared" si="989"/>
        <v>0</v>
      </c>
      <c r="CF24" s="26">
        <f t="shared" si="989"/>
        <v>0</v>
      </c>
      <c r="CG24" s="26">
        <f t="shared" si="989"/>
        <v>0</v>
      </c>
      <c r="CH24" s="26">
        <f t="shared" si="989"/>
        <v>0</v>
      </c>
      <c r="CI24" s="26">
        <f t="shared" si="989"/>
        <v>0</v>
      </c>
      <c r="CJ24" s="26">
        <f t="shared" si="989"/>
        <v>0</v>
      </c>
      <c r="CK24" s="26">
        <f t="shared" si="989"/>
        <v>0</v>
      </c>
      <c r="CL24" s="26">
        <f t="shared" si="989"/>
        <v>0</v>
      </c>
      <c r="CM24" s="26">
        <f t="shared" si="989"/>
        <v>0</v>
      </c>
      <c r="CN24" s="26">
        <f t="shared" si="989"/>
        <v>0</v>
      </c>
      <c r="CO24" s="26">
        <f t="shared" si="989"/>
        <v>0</v>
      </c>
      <c r="CP24" s="26">
        <f t="shared" si="989"/>
        <v>0</v>
      </c>
      <c r="CQ24" s="26">
        <f t="shared" si="989"/>
        <v>0</v>
      </c>
      <c r="CR24" s="26">
        <f t="shared" si="989"/>
        <v>0</v>
      </c>
      <c r="CS24" s="26">
        <f t="shared" si="989"/>
        <v>0</v>
      </c>
      <c r="CT24" s="26">
        <f t="shared" si="989"/>
        <v>0</v>
      </c>
      <c r="CU24" s="26">
        <f t="shared" si="989"/>
        <v>0</v>
      </c>
      <c r="CV24" s="26">
        <f t="shared" si="989"/>
        <v>0</v>
      </c>
      <c r="CW24" s="26">
        <f t="shared" si="989"/>
        <v>0</v>
      </c>
      <c r="CX24" s="26">
        <f t="shared" si="989"/>
        <v>0</v>
      </c>
      <c r="CY24" s="26">
        <f t="shared" si="989"/>
        <v>0</v>
      </c>
      <c r="CZ24" s="26">
        <f t="shared" si="989"/>
        <v>0</v>
      </c>
      <c r="DA24" s="26">
        <f t="shared" si="989"/>
        <v>0</v>
      </c>
      <c r="DB24" s="26">
        <f t="shared" si="989"/>
        <v>0</v>
      </c>
      <c r="DC24" s="26">
        <f t="shared" si="989"/>
        <v>0</v>
      </c>
      <c r="DD24" s="26">
        <f t="shared" si="989"/>
        <v>0</v>
      </c>
      <c r="DE24" s="26">
        <f t="shared" si="989"/>
        <v>0</v>
      </c>
      <c r="DF24" s="26">
        <f t="shared" si="989"/>
        <v>0</v>
      </c>
      <c r="DG24" s="26">
        <f t="shared" si="989"/>
        <v>0</v>
      </c>
      <c r="DH24" s="26">
        <f t="shared" si="989"/>
        <v>0</v>
      </c>
      <c r="DI24" s="26">
        <f t="shared" si="989"/>
        <v>0</v>
      </c>
      <c r="DJ24" s="26">
        <f t="shared" si="989"/>
        <v>0</v>
      </c>
      <c r="DK24" s="26">
        <f t="shared" si="989"/>
        <v>0</v>
      </c>
      <c r="DL24" s="26">
        <f t="shared" si="989"/>
        <v>0</v>
      </c>
      <c r="DM24" s="26">
        <f t="shared" si="989"/>
        <v>0</v>
      </c>
      <c r="DN24" s="26">
        <f t="shared" si="989"/>
        <v>0</v>
      </c>
      <c r="DO24" s="26">
        <f t="shared" si="989"/>
        <v>0</v>
      </c>
      <c r="DP24" s="26">
        <f t="shared" si="989"/>
        <v>0</v>
      </c>
      <c r="DQ24" s="26">
        <f t="shared" si="989"/>
        <v>0</v>
      </c>
      <c r="DR24" s="26">
        <f t="shared" si="989"/>
        <v>0</v>
      </c>
      <c r="DS24" s="26">
        <f t="shared" si="989"/>
        <v>0</v>
      </c>
      <c r="DT24" s="26">
        <f t="shared" si="989"/>
        <v>0</v>
      </c>
      <c r="DU24" s="26">
        <f t="shared" si="989"/>
        <v>0</v>
      </c>
      <c r="DV24" s="26">
        <f t="shared" si="989"/>
        <v>0</v>
      </c>
      <c r="DW24" s="26">
        <f t="shared" si="989"/>
        <v>0</v>
      </c>
      <c r="DX24" s="26">
        <f t="shared" si="989"/>
        <v>0</v>
      </c>
      <c r="DY24" s="26">
        <f t="shared" si="989"/>
        <v>0</v>
      </c>
      <c r="DZ24" s="26">
        <f t="shared" si="989"/>
        <v>0</v>
      </c>
      <c r="EA24" s="26">
        <f t="shared" si="989"/>
        <v>0</v>
      </c>
      <c r="EB24" s="26">
        <f t="shared" si="989"/>
        <v>0</v>
      </c>
      <c r="EC24" s="26">
        <f t="shared" si="989"/>
        <v>0</v>
      </c>
      <c r="ED24" s="26">
        <f t="shared" si="989"/>
        <v>0</v>
      </c>
      <c r="EE24" s="26">
        <f t="shared" si="989"/>
        <v>0</v>
      </c>
      <c r="EF24" s="26">
        <f t="shared" ref="EF24:GQ24" si="990">IF(AND(EF18&gt;EF17,EE18&lt;EE17),1,0)</f>
        <v>0</v>
      </c>
      <c r="EG24" s="26">
        <f t="shared" si="990"/>
        <v>0</v>
      </c>
      <c r="EH24" s="26">
        <f t="shared" si="990"/>
        <v>0</v>
      </c>
      <c r="EI24" s="26">
        <f t="shared" si="990"/>
        <v>0</v>
      </c>
      <c r="EJ24" s="26">
        <f t="shared" si="990"/>
        <v>0</v>
      </c>
      <c r="EK24" s="26">
        <f t="shared" si="990"/>
        <v>0</v>
      </c>
      <c r="EL24" s="26">
        <f t="shared" si="990"/>
        <v>0</v>
      </c>
      <c r="EM24" s="26">
        <f t="shared" si="990"/>
        <v>0</v>
      </c>
      <c r="EN24" s="26">
        <f t="shared" si="990"/>
        <v>0</v>
      </c>
      <c r="EO24" s="26">
        <f t="shared" si="990"/>
        <v>0</v>
      </c>
      <c r="EP24" s="26">
        <f t="shared" si="990"/>
        <v>0</v>
      </c>
      <c r="EQ24" s="26">
        <f t="shared" si="990"/>
        <v>0</v>
      </c>
      <c r="ER24" s="26">
        <f t="shared" si="990"/>
        <v>0</v>
      </c>
      <c r="ES24" s="26">
        <f t="shared" si="990"/>
        <v>0</v>
      </c>
      <c r="ET24" s="26">
        <f t="shared" si="990"/>
        <v>0</v>
      </c>
      <c r="EU24" s="26">
        <f t="shared" si="990"/>
        <v>0</v>
      </c>
      <c r="EV24" s="26">
        <f t="shared" si="990"/>
        <v>0</v>
      </c>
      <c r="EW24" s="26">
        <f t="shared" si="990"/>
        <v>0</v>
      </c>
      <c r="EX24" s="26">
        <f t="shared" si="990"/>
        <v>0</v>
      </c>
      <c r="EY24" s="26">
        <f t="shared" si="990"/>
        <v>0</v>
      </c>
      <c r="EZ24" s="26">
        <f t="shared" si="990"/>
        <v>0</v>
      </c>
      <c r="FA24" s="26">
        <f t="shared" si="990"/>
        <v>0</v>
      </c>
      <c r="FB24" s="26">
        <f t="shared" si="990"/>
        <v>0</v>
      </c>
      <c r="FC24" s="26">
        <f t="shared" si="990"/>
        <v>0</v>
      </c>
      <c r="FD24" s="26">
        <f t="shared" si="990"/>
        <v>0</v>
      </c>
      <c r="FE24" s="26">
        <f t="shared" si="990"/>
        <v>0</v>
      </c>
      <c r="FF24" s="26">
        <f t="shared" si="990"/>
        <v>0</v>
      </c>
      <c r="FG24" s="26">
        <f t="shared" si="990"/>
        <v>0</v>
      </c>
      <c r="FH24" s="26">
        <f t="shared" si="990"/>
        <v>0</v>
      </c>
      <c r="FI24" s="26">
        <f t="shared" si="990"/>
        <v>0</v>
      </c>
      <c r="FJ24" s="26">
        <f t="shared" si="990"/>
        <v>0</v>
      </c>
      <c r="FK24" s="26">
        <f t="shared" si="990"/>
        <v>0</v>
      </c>
      <c r="FL24" s="26">
        <f t="shared" si="990"/>
        <v>0</v>
      </c>
      <c r="FM24" s="26">
        <f t="shared" si="990"/>
        <v>0</v>
      </c>
      <c r="FN24" s="26">
        <f t="shared" si="990"/>
        <v>0</v>
      </c>
      <c r="FO24" s="26">
        <f t="shared" si="990"/>
        <v>0</v>
      </c>
      <c r="FP24" s="26">
        <f t="shared" si="990"/>
        <v>0</v>
      </c>
      <c r="FQ24" s="26">
        <f t="shared" si="990"/>
        <v>0</v>
      </c>
      <c r="FR24" s="26">
        <f t="shared" si="990"/>
        <v>0</v>
      </c>
      <c r="FS24" s="26">
        <f t="shared" si="990"/>
        <v>0</v>
      </c>
      <c r="FT24" s="26">
        <f t="shared" si="990"/>
        <v>0</v>
      </c>
      <c r="FU24" s="26">
        <f t="shared" si="990"/>
        <v>0</v>
      </c>
      <c r="FV24" s="26">
        <f t="shared" si="990"/>
        <v>0</v>
      </c>
      <c r="FW24" s="26">
        <f t="shared" si="990"/>
        <v>0</v>
      </c>
      <c r="FX24" s="26">
        <f t="shared" si="990"/>
        <v>0</v>
      </c>
      <c r="FY24" s="26">
        <f t="shared" si="990"/>
        <v>0</v>
      </c>
      <c r="FZ24" s="26">
        <f t="shared" si="990"/>
        <v>0</v>
      </c>
      <c r="GA24" s="26">
        <f t="shared" si="990"/>
        <v>0</v>
      </c>
      <c r="GB24" s="26">
        <f t="shared" si="990"/>
        <v>0</v>
      </c>
      <c r="GC24" s="26">
        <f t="shared" si="990"/>
        <v>0</v>
      </c>
      <c r="GD24" s="26">
        <f t="shared" si="990"/>
        <v>0</v>
      </c>
      <c r="GE24" s="26">
        <f t="shared" si="990"/>
        <v>0</v>
      </c>
      <c r="GF24" s="26">
        <f t="shared" si="990"/>
        <v>0</v>
      </c>
      <c r="GG24" s="26">
        <f t="shared" si="990"/>
        <v>0</v>
      </c>
      <c r="GH24" s="26">
        <f t="shared" si="990"/>
        <v>0</v>
      </c>
      <c r="GI24" s="26">
        <f t="shared" si="990"/>
        <v>0</v>
      </c>
      <c r="GJ24" s="26">
        <f t="shared" si="990"/>
        <v>0</v>
      </c>
      <c r="GK24" s="26">
        <f t="shared" si="990"/>
        <v>0</v>
      </c>
      <c r="GL24" s="26">
        <f t="shared" si="990"/>
        <v>0</v>
      </c>
      <c r="GM24" s="26">
        <f t="shared" si="990"/>
        <v>0</v>
      </c>
      <c r="GN24" s="26">
        <f t="shared" si="990"/>
        <v>0</v>
      </c>
      <c r="GO24" s="26">
        <f t="shared" si="990"/>
        <v>0</v>
      </c>
      <c r="GP24" s="26">
        <f t="shared" si="990"/>
        <v>0</v>
      </c>
      <c r="GQ24" s="26">
        <f t="shared" si="990"/>
        <v>0</v>
      </c>
      <c r="GR24" s="26">
        <f t="shared" ref="GR24:IN24" si="991">IF(AND(GR18&gt;GR17,GQ18&lt;GQ17),1,0)</f>
        <v>0</v>
      </c>
      <c r="GS24" s="26">
        <f t="shared" si="991"/>
        <v>0</v>
      </c>
      <c r="GT24" s="26">
        <f t="shared" si="991"/>
        <v>0</v>
      </c>
      <c r="GU24" s="26">
        <f t="shared" si="991"/>
        <v>0</v>
      </c>
      <c r="GV24" s="26">
        <f t="shared" si="991"/>
        <v>0</v>
      </c>
      <c r="GW24" s="26">
        <f t="shared" si="991"/>
        <v>0</v>
      </c>
      <c r="GX24" s="26">
        <f t="shared" si="991"/>
        <v>0</v>
      </c>
      <c r="GY24" s="26">
        <f t="shared" si="991"/>
        <v>0</v>
      </c>
      <c r="GZ24" s="26">
        <f t="shared" si="991"/>
        <v>0</v>
      </c>
      <c r="HA24" s="26">
        <f t="shared" si="991"/>
        <v>0</v>
      </c>
      <c r="HB24" s="26">
        <f t="shared" si="991"/>
        <v>0</v>
      </c>
      <c r="HC24" s="26">
        <f t="shared" si="991"/>
        <v>0</v>
      </c>
      <c r="HD24" s="26">
        <f t="shared" si="991"/>
        <v>0</v>
      </c>
      <c r="HE24" s="26">
        <f t="shared" si="991"/>
        <v>0</v>
      </c>
      <c r="HF24" s="26">
        <f t="shared" si="991"/>
        <v>0</v>
      </c>
      <c r="HG24" s="26">
        <f t="shared" si="991"/>
        <v>0</v>
      </c>
      <c r="HH24" s="26">
        <f t="shared" si="991"/>
        <v>0</v>
      </c>
      <c r="HI24" s="26">
        <f t="shared" si="991"/>
        <v>0</v>
      </c>
      <c r="HJ24" s="26">
        <f t="shared" si="991"/>
        <v>0</v>
      </c>
      <c r="HK24" s="26">
        <f t="shared" si="991"/>
        <v>0</v>
      </c>
      <c r="HL24" s="26">
        <f t="shared" si="991"/>
        <v>0</v>
      </c>
      <c r="HM24" s="26">
        <f t="shared" si="991"/>
        <v>0</v>
      </c>
      <c r="HN24" s="26">
        <f t="shared" si="991"/>
        <v>0</v>
      </c>
      <c r="HO24" s="26">
        <f t="shared" si="991"/>
        <v>0</v>
      </c>
      <c r="HP24" s="26">
        <f t="shared" si="991"/>
        <v>0</v>
      </c>
      <c r="HQ24" s="26">
        <f t="shared" si="991"/>
        <v>0</v>
      </c>
      <c r="HR24" s="26">
        <f t="shared" si="991"/>
        <v>0</v>
      </c>
      <c r="HS24" s="26">
        <f t="shared" si="991"/>
        <v>0</v>
      </c>
      <c r="HT24" s="26">
        <f t="shared" si="991"/>
        <v>0</v>
      </c>
      <c r="HU24" s="26">
        <f t="shared" si="991"/>
        <v>0</v>
      </c>
      <c r="HV24" s="26">
        <f t="shared" si="991"/>
        <v>0</v>
      </c>
      <c r="HW24" s="26">
        <f t="shared" si="991"/>
        <v>0</v>
      </c>
      <c r="HX24" s="26">
        <f t="shared" si="991"/>
        <v>0</v>
      </c>
      <c r="HY24" s="26">
        <f t="shared" si="991"/>
        <v>0</v>
      </c>
      <c r="HZ24" s="26">
        <f t="shared" si="991"/>
        <v>0</v>
      </c>
      <c r="IA24" s="26">
        <f t="shared" si="991"/>
        <v>0</v>
      </c>
      <c r="IB24" s="26">
        <f t="shared" si="991"/>
        <v>0</v>
      </c>
      <c r="IC24" s="26">
        <f t="shared" si="991"/>
        <v>0</v>
      </c>
      <c r="ID24" s="26">
        <f t="shared" si="991"/>
        <v>0</v>
      </c>
      <c r="IE24" s="26">
        <f t="shared" si="991"/>
        <v>0</v>
      </c>
      <c r="IF24" s="26">
        <f t="shared" si="991"/>
        <v>0</v>
      </c>
      <c r="IG24" s="26">
        <f t="shared" si="991"/>
        <v>0</v>
      </c>
      <c r="IH24" s="26">
        <f t="shared" si="991"/>
        <v>0</v>
      </c>
      <c r="II24" s="26">
        <f t="shared" si="991"/>
        <v>0</v>
      </c>
      <c r="IJ24" s="26">
        <f t="shared" si="991"/>
        <v>0</v>
      </c>
      <c r="IK24" s="26">
        <f t="shared" si="991"/>
        <v>0</v>
      </c>
      <c r="IL24" s="26">
        <f t="shared" si="991"/>
        <v>0</v>
      </c>
      <c r="IM24" s="26">
        <f t="shared" si="991"/>
        <v>0</v>
      </c>
      <c r="IN24" s="26">
        <f t="shared" si="991"/>
        <v>0</v>
      </c>
    </row>
    <row r="25" spans="2:248" x14ac:dyDescent="0.3">
      <c r="B25" s="19" t="s">
        <v>426</v>
      </c>
      <c r="C25" s="21">
        <v>0</v>
      </c>
      <c r="D25" s="19">
        <v>0</v>
      </c>
      <c r="F25" s="22" t="s">
        <v>451</v>
      </c>
      <c r="G25" s="55">
        <f ca="1">H25</f>
        <v>0.22307692307692317</v>
      </c>
      <c r="H25" s="55">
        <f ca="1">IF(H4&lt;$C$10,(H5/OFFSET(H5,0,-H4))^(1/H4),(H5/OFFSET(H5,0,-$C$10))^(1/$C$10))-1</f>
        <v>0.22307692307692317</v>
      </c>
      <c r="I25" s="55">
        <f ca="1">IF(I4&lt;$C$10,(I5/OFFSET(I5,0,-I4))^(1/I4),(I5/OFFSET(I5,0,-$C$10))^(1/$C$10))-1</f>
        <v>0.22788122702984093</v>
      </c>
      <c r="J25" s="55">
        <f ca="1">IF(J4&lt;$C$10,(J5/OFFSET(J5,0,-J4))^(1/J4),(J5/OFFSET(J5,0,-$C$10))^(1/$C$10))-1</f>
        <v>0.2631433684039477</v>
      </c>
      <c r="K25" s="55">
        <f ca="1">IF(K4&lt;$C$10,(K5/OFFSET(K5,0,-K4))^(1/K4),(K5/OFFSET(K5,0,-$C$10))^(1/$C$10))-1</f>
        <v>0.38763716012764582</v>
      </c>
      <c r="L25" s="55">
        <f ca="1">IF(L4&lt;$C$10,(L5/OFFSET(L5,0,-L4))^(1/L4),(L5/OFFSET(L5,0,-$C$10))^(1/$C$10))-1</f>
        <v>0.38811769392774842</v>
      </c>
      <c r="M25" s="55">
        <f ca="1">IF(M4&lt;$C$10,(M5/OFFSET(M5,0,-M4))^(1/M4),(M5/OFFSET(M5,0,-$C$10))^(1/$C$10))-1</f>
        <v>0.38111528279502327</v>
      </c>
      <c r="N25" s="55">
        <f ca="1">IF(N4&lt;$C$10,(N5/OFFSET(N5,0,-N4))^(1/N4),(N5/OFFSET(N5,0,-$C$10))^(1/$C$10))-1</f>
        <v>0.39622514024097799</v>
      </c>
      <c r="O25" s="55">
        <f ca="1">IF(O4&lt;$C$10,(O5/OFFSET(O5,0,-O4))^(1/O4),(O5/OFFSET(O5,0,-$C$10))^(1/$C$10))-1</f>
        <v>0.35027182622316877</v>
      </c>
      <c r="P25" s="55">
        <f ca="1">IF(P4&lt;$C$10,(P5/OFFSET(P5,0,-P4))^(1/P4),(P5/OFFSET(P5,0,-$C$10))^(1/$C$10))-1</f>
        <v>0.24762050157678384</v>
      </c>
      <c r="Q25" s="55">
        <f ca="1">IF(Q4&lt;$C$10,(Q5/OFFSET(Q5,0,-Q4))^(1/Q4),(Q5/OFFSET(Q5,0,-$C$10))^(1/$C$10))-1</f>
        <v>0.23282295852597534</v>
      </c>
      <c r="R25" s="55">
        <f ca="1">IF(R4&lt;$C$10,(R5/OFFSET(R5,0,-R4))^(1/R4),(R5/OFFSET(R5,0,-$C$10))^(1/$C$10))-1</f>
        <v>0.2106531957839306</v>
      </c>
      <c r="S25" s="55">
        <f ca="1">IF(S4&lt;$C$10,(S5/OFFSET(S5,0,-S4))^(1/S4),(S5/OFFSET(S5,0,-$C$10))^(1/$C$10))-1</f>
        <v>0.28719635363307194</v>
      </c>
      <c r="T25" s="55">
        <f ca="1">IF(T4&lt;$C$10,(T5/OFFSET(T5,0,-T4))^(1/T4),(T5/OFFSET(T5,0,-$C$10))^(1/$C$10))-1</f>
        <v>0.31276322958120861</v>
      </c>
      <c r="U25" s="55">
        <f ca="1">IF(U4&lt;$C$10,(U5/OFFSET(U5,0,-U4))^(1/U4),(U5/OFFSET(U5,0,-$C$10))^(1/$C$10))-1</f>
        <v>0.31801021959469611</v>
      </c>
      <c r="V25" s="55">
        <f ca="1">IF(V4&lt;$C$10,(V5/OFFSET(V5,0,-V4))^(1/V4),(V5/OFFSET(V5,0,-$C$10))^(1/$C$10))-1</f>
        <v>0.30681797649716258</v>
      </c>
      <c r="W25" s="55">
        <f ca="1">IF(W4&lt;$C$10,(W5/OFFSET(W5,0,-W4))^(1/W4),(W5/OFFSET(W5,0,-$C$10))^(1/$C$10))-1</f>
        <v>0.34823297258154295</v>
      </c>
      <c r="X25" s="55">
        <f ca="1">IF(X4&lt;$C$10,(X5/OFFSET(X5,0,-X4))^(1/X4),(X5/OFFSET(X5,0,-$C$10))^(1/$C$10))-1</f>
        <v>0.27385504237479696</v>
      </c>
      <c r="Y25" s="55">
        <f ca="1">IF(Y4&lt;$C$10,(Y5/OFFSET(Y5,0,-Y4))^(1/Y4),(Y5/OFFSET(Y5,0,-$C$10))^(1/$C$10))-1</f>
        <v>0.27286951418928918</v>
      </c>
      <c r="Z25" s="55" t="e">
        <f ca="1">IF(Z4&lt;$C$10,(Z5/OFFSET(Z5,0,-Z4))^(1/Z4),(Z5/OFFSET(Z5,0,-$C$10))^(1/$C$10))-1</f>
        <v>#N/A</v>
      </c>
      <c r="AA25" s="55" t="e">
        <f ca="1">IF(AA4&lt;$C$10,(AA5/OFFSET(AA5,0,-AA4))^(1/AA4),(AA5/OFFSET(AA5,0,-$C$10))^(1/$C$10))-1</f>
        <v>#N/A</v>
      </c>
      <c r="AB25" s="55" t="e">
        <f ca="1">IF(AB4&lt;$C$10,(AB5/OFFSET(AB5,0,-AB4))^(1/AB4),(AB5/OFFSET(AB5,0,-$C$10))^(1/$C$10))-1</f>
        <v>#N/A</v>
      </c>
      <c r="AC25" s="55" t="e">
        <f ca="1">IF(AC4&lt;$C$10,(AC5/OFFSET(AC5,0,-AC4))^(1/AC4),(AC5/OFFSET(AC5,0,-$C$10))^(1/$C$10))-1</f>
        <v>#N/A</v>
      </c>
      <c r="AD25" s="55" t="e">
        <f ca="1">IF(AD4&lt;$C$10,(AD5/OFFSET(AD5,0,-AD4))^(1/AD4),(AD5/OFFSET(AD5,0,-$C$10))^(1/$C$10))-1</f>
        <v>#N/A</v>
      </c>
      <c r="AE25" s="55" t="e">
        <f ca="1">IF(AE4&lt;$C$10,(AE5/OFFSET(AE5,0,-AE4))^(1/AE4),(AE5/OFFSET(AE5,0,-$C$10))^(1/$C$10))-1</f>
        <v>#N/A</v>
      </c>
      <c r="AF25" s="55" t="e">
        <f ca="1">IF(AF4&lt;$C$10,(AF5/OFFSET(AF5,0,-AF4))^(1/AF4),(AF5/OFFSET(AF5,0,-$C$10))^(1/$C$10))-1</f>
        <v>#N/A</v>
      </c>
      <c r="AG25" s="55" t="e">
        <f ca="1">IF(AG4&lt;$C$10,(AG5/OFFSET(AG5,0,-AG4))^(1/AG4),(AG5/OFFSET(AG5,0,-$C$10))^(1/$C$10))-1</f>
        <v>#N/A</v>
      </c>
      <c r="AH25" s="55" t="e">
        <f ca="1">IF(AH4&lt;$C$10,(AH5/OFFSET(AH5,0,-AH4))^(1/AH4),(AH5/OFFSET(AH5,0,-$C$10))^(1/$C$10))-1</f>
        <v>#N/A</v>
      </c>
      <c r="AI25" s="55" t="e">
        <f ca="1">IF(AI4&lt;$C$10,(AI5/OFFSET(AI5,0,-AI4))^(1/AI4),(AI5/OFFSET(AI5,0,-$C$10))^(1/$C$10))-1</f>
        <v>#N/A</v>
      </c>
      <c r="AJ25" s="55" t="e">
        <f ca="1">IF(AJ4&lt;$C$10,(AJ5/OFFSET(AJ5,0,-AJ4))^(1/AJ4),(AJ5/OFFSET(AJ5,0,-$C$10))^(1/$C$10))-1</f>
        <v>#N/A</v>
      </c>
      <c r="AK25" s="55" t="e">
        <f ca="1">IF(AK4&lt;$C$10,(AK5/OFFSET(AK5,0,-AK4))^(1/AK4),(AK5/OFFSET(AK5,0,-$C$10))^(1/$C$10))-1</f>
        <v>#N/A</v>
      </c>
      <c r="AL25" s="55" t="e">
        <f ca="1">IF(AL4&lt;$C$10,(AL5/OFFSET(AL5,0,-AL4))^(1/AL4),(AL5/OFFSET(AL5,0,-$C$10))^(1/$C$10))-1</f>
        <v>#N/A</v>
      </c>
      <c r="AM25" s="55" t="e">
        <f ca="1">IF(AM4&lt;$C$10,(AM5/OFFSET(AM5,0,-AM4))^(1/AM4),(AM5/OFFSET(AM5,0,-$C$10))^(1/$C$10))-1</f>
        <v>#N/A</v>
      </c>
      <c r="AN25" s="55" t="e">
        <f ca="1">IF(AN4&lt;$C$10,(AN5/OFFSET(AN5,0,-AN4))^(1/AN4),(AN5/OFFSET(AN5,0,-$C$10))^(1/$C$10))-1</f>
        <v>#N/A</v>
      </c>
      <c r="AO25" s="55" t="e">
        <f ca="1">IF(AO4&lt;$C$10,(AO5/OFFSET(AO5,0,-AO4))^(1/AO4),(AO5/OFFSET(AO5,0,-$C$10))^(1/$C$10))-1</f>
        <v>#N/A</v>
      </c>
      <c r="AP25" s="55" t="e">
        <f ca="1">IF(AP4&lt;$C$10,(AP5/OFFSET(AP5,0,-AP4))^(1/AP4),(AP5/OFFSET(AP5,0,-$C$10))^(1/$C$10))-1</f>
        <v>#N/A</v>
      </c>
      <c r="AQ25" s="55" t="e">
        <f ca="1">IF(AQ4&lt;$C$10,(AQ5/OFFSET(AQ5,0,-AQ4))^(1/AQ4),(AQ5/OFFSET(AQ5,0,-$C$10))^(1/$C$10))-1</f>
        <v>#N/A</v>
      </c>
      <c r="AR25" s="55" t="e">
        <f ca="1">IF(AR4&lt;$C$10,(AR5/OFFSET(AR5,0,-AR4))^(1/AR4),(AR5/OFFSET(AR5,0,-$C$10))^(1/$C$10))-1</f>
        <v>#N/A</v>
      </c>
      <c r="AS25" s="55" t="e">
        <f ca="1">IF(AS4&lt;$C$10,(AS5/OFFSET(AS5,0,-AS4))^(1/AS4),(AS5/OFFSET(AS5,0,-$C$10))^(1/$C$10))-1</f>
        <v>#N/A</v>
      </c>
      <c r="AT25" s="55" t="e">
        <f ca="1">IF(AT4&lt;$C$10,(AT5/OFFSET(AT5,0,-AT4))^(1/AT4),(AT5/OFFSET(AT5,0,-$C$10))^(1/$C$10))-1</f>
        <v>#N/A</v>
      </c>
      <c r="AU25" s="55" t="e">
        <f ca="1">IF(AU4&lt;$C$10,(AU5/OFFSET(AU5,0,-AU4))^(1/AU4),(AU5/OFFSET(AU5,0,-$C$10))^(1/$C$10))-1</f>
        <v>#N/A</v>
      </c>
      <c r="AV25" s="55" t="e">
        <f ca="1">IF(AV4&lt;$C$10,(AV5/OFFSET(AV5,0,-AV4))^(1/AV4),(AV5/OFFSET(AV5,0,-$C$10))^(1/$C$10))-1</f>
        <v>#N/A</v>
      </c>
      <c r="AW25" s="55" t="e">
        <f ca="1">IF(AW4&lt;$C$10,(AW5/OFFSET(AW5,0,-AW4))^(1/AW4),(AW5/OFFSET(AW5,0,-$C$10))^(1/$C$10))-1</f>
        <v>#N/A</v>
      </c>
      <c r="AX25" s="55" t="e">
        <f ca="1">IF(AX4&lt;$C$10,(AX5/OFFSET(AX5,0,-AX4))^(1/AX4),(AX5/OFFSET(AX5,0,-$C$10))^(1/$C$10))-1</f>
        <v>#N/A</v>
      </c>
      <c r="AY25" s="55" t="e">
        <f ca="1">IF(AY4&lt;$C$10,(AY5/OFFSET(AY5,0,-AY4))^(1/AY4),(AY5/OFFSET(AY5,0,-$C$10))^(1/$C$10))-1</f>
        <v>#N/A</v>
      </c>
      <c r="AZ25" s="55" t="e">
        <f ca="1">IF(AZ4&lt;$C$10,(AZ5/OFFSET(AZ5,0,-AZ4))^(1/AZ4),(AZ5/OFFSET(AZ5,0,-$C$10))^(1/$C$10))-1</f>
        <v>#N/A</v>
      </c>
      <c r="BA25" s="55" t="e">
        <f ca="1">IF(BA4&lt;$C$10,(BA5/OFFSET(BA5,0,-BA4))^(1/BA4),(BA5/OFFSET(BA5,0,-$C$10))^(1/$C$10))-1</f>
        <v>#N/A</v>
      </c>
      <c r="BB25" s="55" t="e">
        <f ca="1">IF(BB4&lt;$C$10,(BB5/OFFSET(BB5,0,-BB4))^(1/BB4),(BB5/OFFSET(BB5,0,-$C$10))^(1/$C$10))-1</f>
        <v>#N/A</v>
      </c>
      <c r="BC25" s="55" t="e">
        <f ca="1">IF(BC4&lt;$C$10,(BC5/OFFSET(BC5,0,-BC4))^(1/BC4),(BC5/OFFSET(BC5,0,-$C$10))^(1/$C$10))-1</f>
        <v>#N/A</v>
      </c>
      <c r="BD25" s="55" t="e">
        <f ca="1">IF(BD4&lt;$C$10,(BD5/OFFSET(BD5,0,-BD4))^(1/BD4),(BD5/OFFSET(BD5,0,-$C$10))^(1/$C$10))-1</f>
        <v>#N/A</v>
      </c>
      <c r="BE25" s="55" t="e">
        <f ca="1">IF(BE4&lt;$C$10,(BE5/OFFSET(BE5,0,-BE4))^(1/BE4),(BE5/OFFSET(BE5,0,-$C$10))^(1/$C$10))-1</f>
        <v>#N/A</v>
      </c>
      <c r="BF25" s="55" t="e">
        <f ca="1">IF(BF4&lt;$C$10,(BF5/OFFSET(BF5,0,-BF4))^(1/BF4),(BF5/OFFSET(BF5,0,-$C$10))^(1/$C$10))-1</f>
        <v>#N/A</v>
      </c>
      <c r="BG25" s="55" t="e">
        <f ca="1">IF(BG4&lt;$C$10,(BG5/OFFSET(BG5,0,-BG4))^(1/BG4),(BG5/OFFSET(BG5,0,-$C$10))^(1/$C$10))-1</f>
        <v>#N/A</v>
      </c>
      <c r="BH25" s="55" t="e">
        <f ca="1">IF(BH4&lt;$C$10,(BH5/OFFSET(BH5,0,-BH4))^(1/BH4),(BH5/OFFSET(BH5,0,-$C$10))^(1/$C$10))-1</f>
        <v>#N/A</v>
      </c>
      <c r="BI25" s="55" t="e">
        <f ca="1">IF(BI4&lt;$C$10,(BI5/OFFSET(BI5,0,-BI4))^(1/BI4),(BI5/OFFSET(BI5,0,-$C$10))^(1/$C$10))-1</f>
        <v>#N/A</v>
      </c>
      <c r="BJ25" s="55" t="e">
        <f ca="1">IF(BJ4&lt;$C$10,(BJ5/OFFSET(BJ5,0,-BJ4))^(1/BJ4),(BJ5/OFFSET(BJ5,0,-$C$10))^(1/$C$10))-1</f>
        <v>#N/A</v>
      </c>
      <c r="BK25" s="55" t="e">
        <f ca="1">IF(BK4&lt;$C$10,(BK5/OFFSET(BK5,0,-BK4))^(1/BK4),(BK5/OFFSET(BK5,0,-$C$10))^(1/$C$10))-1</f>
        <v>#N/A</v>
      </c>
      <c r="BL25" s="55" t="e">
        <f ca="1">IF(BL4&lt;$C$10,(BL5/OFFSET(BL5,0,-BL4))^(1/BL4),(BL5/OFFSET(BL5,0,-$C$10))^(1/$C$10))-1</f>
        <v>#N/A</v>
      </c>
      <c r="BM25" s="55" t="e">
        <f ca="1">IF(BM4&lt;$C$10,(BM5/OFFSET(BM5,0,-BM4))^(1/BM4),(BM5/OFFSET(BM5,0,-$C$10))^(1/$C$10))-1</f>
        <v>#N/A</v>
      </c>
      <c r="BN25" s="55" t="e">
        <f ca="1">IF(BN4&lt;$C$10,(BN5/OFFSET(BN5,0,-BN4))^(1/BN4),(BN5/OFFSET(BN5,0,-$C$10))^(1/$C$10))-1</f>
        <v>#N/A</v>
      </c>
      <c r="BO25" s="55" t="e">
        <f ca="1">IF(BO4&lt;$C$10,(BO5/OFFSET(BO5,0,-BO4))^(1/BO4),(BO5/OFFSET(BO5,0,-$C$10))^(1/$C$10))-1</f>
        <v>#N/A</v>
      </c>
      <c r="BP25" s="55" t="e">
        <f ca="1">IF(BP4&lt;$C$10,(BP5/OFFSET(BP5,0,-BP4))^(1/BP4),(BP5/OFFSET(BP5,0,-$C$10))^(1/$C$10))-1</f>
        <v>#N/A</v>
      </c>
      <c r="BQ25" s="55" t="e">
        <f ca="1">IF(BQ4&lt;$C$10,(BQ5/OFFSET(BQ5,0,-BQ4))^(1/BQ4),(BQ5/OFFSET(BQ5,0,-$C$10))^(1/$C$10))-1</f>
        <v>#N/A</v>
      </c>
      <c r="BR25" s="55" t="e">
        <f ca="1">IF(BR4&lt;$C$10,(BR5/OFFSET(BR5,0,-BR4))^(1/BR4),(BR5/OFFSET(BR5,0,-$C$10))^(1/$C$10))-1</f>
        <v>#N/A</v>
      </c>
      <c r="BS25" s="55" t="e">
        <f ca="1">IF(BS4&lt;$C$10,(BS5/OFFSET(BS5,0,-BS4))^(1/BS4),(BS5/OFFSET(BS5,0,-$C$10))^(1/$C$10))-1</f>
        <v>#N/A</v>
      </c>
      <c r="BT25" s="55" t="e">
        <f ca="1">IF(BT4&lt;$C$10,(BT5/OFFSET(BT5,0,-BT4))^(1/BT4),(BT5/OFFSET(BT5,0,-$C$10))^(1/$C$10))-1</f>
        <v>#N/A</v>
      </c>
      <c r="BU25" s="55" t="e">
        <f ca="1">IF(BU4&lt;$C$10,(BU5/OFFSET(BU5,0,-BU4))^(1/BU4),(BU5/OFFSET(BU5,0,-$C$10))^(1/$C$10))-1</f>
        <v>#N/A</v>
      </c>
      <c r="BV25" s="55" t="e">
        <f ca="1">IF(BV4&lt;$C$10,(BV5/OFFSET(BV5,0,-BV4))^(1/BV4),(BV5/OFFSET(BV5,0,-$C$10))^(1/$C$10))-1</f>
        <v>#N/A</v>
      </c>
      <c r="BW25" s="55" t="e">
        <f ca="1">IF(BW4&lt;$C$10,(BW5/OFFSET(BW5,0,-BW4))^(1/BW4),(BW5/OFFSET(BW5,0,-$C$10))^(1/$C$10))-1</f>
        <v>#N/A</v>
      </c>
      <c r="BX25" s="55" t="e">
        <f ca="1">IF(BX4&lt;$C$10,(BX5/OFFSET(BX5,0,-BX4))^(1/BX4),(BX5/OFFSET(BX5,0,-$C$10))^(1/$C$10))-1</f>
        <v>#N/A</v>
      </c>
      <c r="BY25" s="55" t="e">
        <f ca="1">IF(BY4&lt;$C$10,(BY5/OFFSET(BY5,0,-BY4))^(1/BY4),(BY5/OFFSET(BY5,0,-$C$10))^(1/$C$10))-1</f>
        <v>#N/A</v>
      </c>
      <c r="BZ25" s="55" t="e">
        <f ca="1">IF(BZ4&lt;$C$10,(BZ5/OFFSET(BZ5,0,-BZ4))^(1/BZ4),(BZ5/OFFSET(BZ5,0,-$C$10))^(1/$C$10))-1</f>
        <v>#N/A</v>
      </c>
      <c r="CA25" s="55" t="e">
        <f ca="1">IF(CA4&lt;$C$10,(CA5/OFFSET(CA5,0,-CA4))^(1/CA4),(CA5/OFFSET(CA5,0,-$C$10))^(1/$C$10))-1</f>
        <v>#N/A</v>
      </c>
      <c r="CB25" s="55" t="e">
        <f ca="1">IF(CB4&lt;$C$10,(CB5/OFFSET(CB5,0,-CB4))^(1/CB4),(CB5/OFFSET(CB5,0,-$C$10))^(1/$C$10))-1</f>
        <v>#N/A</v>
      </c>
      <c r="CC25" s="55" t="e">
        <f ca="1">IF(CC4&lt;$C$10,(CC5/OFFSET(CC5,0,-CC4))^(1/CC4),(CC5/OFFSET(CC5,0,-$C$10))^(1/$C$10))-1</f>
        <v>#N/A</v>
      </c>
      <c r="CD25" s="55" t="e">
        <f ca="1">IF(CD4&lt;$C$10,(CD5/OFFSET(CD5,0,-CD4))^(1/CD4),(CD5/OFFSET(CD5,0,-$C$10))^(1/$C$10))-1</f>
        <v>#N/A</v>
      </c>
      <c r="CE25" s="55" t="e">
        <f ca="1">IF(CE4&lt;$C$10,(CE5/OFFSET(CE5,0,-CE4))^(1/CE4),(CE5/OFFSET(CE5,0,-$C$10))^(1/$C$10))-1</f>
        <v>#N/A</v>
      </c>
      <c r="CF25" s="55" t="e">
        <f ca="1">IF(CF4&lt;$C$10,(CF5/OFFSET(CF5,0,-CF4))^(1/CF4),(CF5/OFFSET(CF5,0,-$C$10))^(1/$C$10))-1</f>
        <v>#N/A</v>
      </c>
      <c r="CG25" s="55" t="e">
        <f ca="1">IF(CG4&lt;$C$10,(CG5/OFFSET(CG5,0,-CG4))^(1/CG4),(CG5/OFFSET(CG5,0,-$C$10))^(1/$C$10))-1</f>
        <v>#N/A</v>
      </c>
      <c r="CH25" s="55" t="e">
        <f ca="1">IF(CH4&lt;$C$10,(CH5/OFFSET(CH5,0,-CH4))^(1/CH4),(CH5/OFFSET(CH5,0,-$C$10))^(1/$C$10))-1</f>
        <v>#N/A</v>
      </c>
      <c r="CI25" s="55" t="e">
        <f ca="1">IF(CI4&lt;$C$10,(CI5/OFFSET(CI5,0,-CI4))^(1/CI4),(CI5/OFFSET(CI5,0,-$C$10))^(1/$C$10))-1</f>
        <v>#N/A</v>
      </c>
      <c r="CJ25" s="55" t="e">
        <f ca="1">IF(CJ4&lt;$C$10,(CJ5/OFFSET(CJ5,0,-CJ4))^(1/CJ4),(CJ5/OFFSET(CJ5,0,-$C$10))^(1/$C$10))-1</f>
        <v>#N/A</v>
      </c>
      <c r="CK25" s="55" t="e">
        <f ca="1">IF(CK4&lt;$C$10,(CK5/OFFSET(CK5,0,-CK4))^(1/CK4),(CK5/OFFSET(CK5,0,-$C$10))^(1/$C$10))-1</f>
        <v>#N/A</v>
      </c>
      <c r="CL25" s="55" t="e">
        <f ca="1">IF(CL4&lt;$C$10,(CL5/OFFSET(CL5,0,-CL4))^(1/CL4),(CL5/OFFSET(CL5,0,-$C$10))^(1/$C$10))-1</f>
        <v>#N/A</v>
      </c>
      <c r="CM25" s="55" t="e">
        <f ca="1">IF(CM4&lt;$C$10,(CM5/OFFSET(CM5,0,-CM4))^(1/CM4),(CM5/OFFSET(CM5,0,-$C$10))^(1/$C$10))-1</f>
        <v>#N/A</v>
      </c>
      <c r="CN25" s="55" t="e">
        <f ca="1">IF(CN4&lt;$C$10,(CN5/OFFSET(CN5,0,-CN4))^(1/CN4),(CN5/OFFSET(CN5,0,-$C$10))^(1/$C$10))-1</f>
        <v>#N/A</v>
      </c>
      <c r="CO25" s="55" t="e">
        <f ca="1">IF(CO4&lt;$C$10,(CO5/OFFSET(CO5,0,-CO4))^(1/CO4),(CO5/OFFSET(CO5,0,-$C$10))^(1/$C$10))-1</f>
        <v>#N/A</v>
      </c>
      <c r="CP25" s="55" t="e">
        <f ca="1">IF(CP4&lt;$C$10,(CP5/OFFSET(CP5,0,-CP4))^(1/CP4),(CP5/OFFSET(CP5,0,-$C$10))^(1/$C$10))-1</f>
        <v>#N/A</v>
      </c>
      <c r="CQ25" s="55" t="e">
        <f ca="1">IF(CQ4&lt;$C$10,(CQ5/OFFSET(CQ5,0,-CQ4))^(1/CQ4),(CQ5/OFFSET(CQ5,0,-$C$10))^(1/$C$10))-1</f>
        <v>#N/A</v>
      </c>
      <c r="CR25" s="55" t="e">
        <f ca="1">IF(CR4&lt;$C$10,(CR5/OFFSET(CR5,0,-CR4))^(1/CR4),(CR5/OFFSET(CR5,0,-$C$10))^(1/$C$10))-1</f>
        <v>#N/A</v>
      </c>
      <c r="CS25" s="55" t="e">
        <f ca="1">IF(CS4&lt;$C$10,(CS5/OFFSET(CS5,0,-CS4))^(1/CS4),(CS5/OFFSET(CS5,0,-$C$10))^(1/$C$10))-1</f>
        <v>#N/A</v>
      </c>
      <c r="CT25" s="55" t="e">
        <f ca="1">IF(CT4&lt;$C$10,(CT5/OFFSET(CT5,0,-CT4))^(1/CT4),(CT5/OFFSET(CT5,0,-$C$10))^(1/$C$10))-1</f>
        <v>#N/A</v>
      </c>
      <c r="CU25" s="55" t="e">
        <f ca="1">IF(CU4&lt;$C$10,(CU5/OFFSET(CU5,0,-CU4))^(1/CU4),(CU5/OFFSET(CU5,0,-$C$10))^(1/$C$10))-1</f>
        <v>#N/A</v>
      </c>
      <c r="CV25" s="55" t="e">
        <f ca="1">IF(CV4&lt;$C$10,(CV5/OFFSET(CV5,0,-CV4))^(1/CV4),(CV5/OFFSET(CV5,0,-$C$10))^(1/$C$10))-1</f>
        <v>#N/A</v>
      </c>
      <c r="CW25" s="55" t="e">
        <f ca="1">IF(CW4&lt;$C$10,(CW5/OFFSET(CW5,0,-CW4))^(1/CW4),(CW5/OFFSET(CW5,0,-$C$10))^(1/$C$10))-1</f>
        <v>#N/A</v>
      </c>
      <c r="CX25" s="55" t="e">
        <f ca="1">IF(CX4&lt;$C$10,(CX5/OFFSET(CX5,0,-CX4))^(1/CX4),(CX5/OFFSET(CX5,0,-$C$10))^(1/$C$10))-1</f>
        <v>#N/A</v>
      </c>
      <c r="CY25" s="55" t="e">
        <f ca="1">IF(CY4&lt;$C$10,(CY5/OFFSET(CY5,0,-CY4))^(1/CY4),(CY5/OFFSET(CY5,0,-$C$10))^(1/$C$10))-1</f>
        <v>#N/A</v>
      </c>
      <c r="CZ25" s="55" t="e">
        <f ca="1">IF(CZ4&lt;$C$10,(CZ5/OFFSET(CZ5,0,-CZ4))^(1/CZ4),(CZ5/OFFSET(CZ5,0,-$C$10))^(1/$C$10))-1</f>
        <v>#N/A</v>
      </c>
      <c r="DA25" s="55" t="e">
        <f ca="1">IF(DA4&lt;$C$10,(DA5/OFFSET(DA5,0,-DA4))^(1/DA4),(DA5/OFFSET(DA5,0,-$C$10))^(1/$C$10))-1</f>
        <v>#N/A</v>
      </c>
      <c r="DB25" s="55" t="e">
        <f ca="1">IF(DB4&lt;$C$10,(DB5/OFFSET(DB5,0,-DB4))^(1/DB4),(DB5/OFFSET(DB5,0,-$C$10))^(1/$C$10))-1</f>
        <v>#N/A</v>
      </c>
      <c r="DC25" s="55" t="e">
        <f ca="1">IF(DC4&lt;$C$10,(DC5/OFFSET(DC5,0,-DC4))^(1/DC4),(DC5/OFFSET(DC5,0,-$C$10))^(1/$C$10))-1</f>
        <v>#N/A</v>
      </c>
      <c r="DD25" s="55" t="e">
        <f ca="1">IF(DD4&lt;$C$10,(DD5/OFFSET(DD5,0,-DD4))^(1/DD4),(DD5/OFFSET(DD5,0,-$C$10))^(1/$C$10))-1</f>
        <v>#N/A</v>
      </c>
      <c r="DE25" s="55" t="e">
        <f ca="1">IF(DE4&lt;$C$10,(DE5/OFFSET(DE5,0,-DE4))^(1/DE4),(DE5/OFFSET(DE5,0,-$C$10))^(1/$C$10))-1</f>
        <v>#N/A</v>
      </c>
      <c r="DF25" s="55" t="e">
        <f ca="1">IF(DF4&lt;$C$10,(DF5/OFFSET(DF5,0,-DF4))^(1/DF4),(DF5/OFFSET(DF5,0,-$C$10))^(1/$C$10))-1</f>
        <v>#N/A</v>
      </c>
      <c r="DG25" s="55" t="e">
        <f ca="1">IF(DG4&lt;$C$10,(DG5/OFFSET(DG5,0,-DG4))^(1/DG4),(DG5/OFFSET(DG5,0,-$C$10))^(1/$C$10))-1</f>
        <v>#N/A</v>
      </c>
      <c r="DH25" s="55" t="e">
        <f ca="1">IF(DH4&lt;$C$10,(DH5/OFFSET(DH5,0,-DH4))^(1/DH4),(DH5/OFFSET(DH5,0,-$C$10))^(1/$C$10))-1</f>
        <v>#N/A</v>
      </c>
      <c r="DI25" s="55" t="e">
        <f ca="1">IF(DI4&lt;$C$10,(DI5/OFFSET(DI5,0,-DI4))^(1/DI4),(DI5/OFFSET(DI5,0,-$C$10))^(1/$C$10))-1</f>
        <v>#N/A</v>
      </c>
      <c r="DJ25" s="55" t="e">
        <f ca="1">IF(DJ4&lt;$C$10,(DJ5/OFFSET(DJ5,0,-DJ4))^(1/DJ4),(DJ5/OFFSET(DJ5,0,-$C$10))^(1/$C$10))-1</f>
        <v>#N/A</v>
      </c>
      <c r="DK25" s="55" t="e">
        <f ca="1">IF(DK4&lt;$C$10,(DK5/OFFSET(DK5,0,-DK4))^(1/DK4),(DK5/OFFSET(DK5,0,-$C$10))^(1/$C$10))-1</f>
        <v>#N/A</v>
      </c>
      <c r="DL25" s="55" t="e">
        <f ca="1">IF(DL4&lt;$C$10,(DL5/OFFSET(DL5,0,-DL4))^(1/DL4),(DL5/OFFSET(DL5,0,-$C$10))^(1/$C$10))-1</f>
        <v>#N/A</v>
      </c>
      <c r="DM25" s="55" t="e">
        <f ca="1">IF(DM4&lt;$C$10,(DM5/OFFSET(DM5,0,-DM4))^(1/DM4),(DM5/OFFSET(DM5,0,-$C$10))^(1/$C$10))-1</f>
        <v>#N/A</v>
      </c>
      <c r="DN25" s="55" t="e">
        <f ca="1">IF(DN4&lt;$C$10,(DN5/OFFSET(DN5,0,-DN4))^(1/DN4),(DN5/OFFSET(DN5,0,-$C$10))^(1/$C$10))-1</f>
        <v>#N/A</v>
      </c>
      <c r="DO25" s="55" t="e">
        <f ca="1">IF(DO4&lt;$C$10,(DO5/OFFSET(DO5,0,-DO4))^(1/DO4),(DO5/OFFSET(DO5,0,-$C$10))^(1/$C$10))-1</f>
        <v>#N/A</v>
      </c>
      <c r="DP25" s="55" t="e">
        <f ca="1">IF(DP4&lt;$C$10,(DP5/OFFSET(DP5,0,-DP4))^(1/DP4),(DP5/OFFSET(DP5,0,-$C$10))^(1/$C$10))-1</f>
        <v>#N/A</v>
      </c>
      <c r="DQ25" s="55" t="e">
        <f ca="1">IF(DQ4&lt;$C$10,(DQ5/OFFSET(DQ5,0,-DQ4))^(1/DQ4),(DQ5/OFFSET(DQ5,0,-$C$10))^(1/$C$10))-1</f>
        <v>#N/A</v>
      </c>
      <c r="DR25" s="55" t="e">
        <f ca="1">IF(DR4&lt;$C$10,(DR5/OFFSET(DR5,0,-DR4))^(1/DR4),(DR5/OFFSET(DR5,0,-$C$10))^(1/$C$10))-1</f>
        <v>#N/A</v>
      </c>
      <c r="DS25" s="55" t="e">
        <f ca="1">IF(DS4&lt;$C$10,(DS5/OFFSET(DS5,0,-DS4))^(1/DS4),(DS5/OFFSET(DS5,0,-$C$10))^(1/$C$10))-1</f>
        <v>#N/A</v>
      </c>
      <c r="DT25" s="55" t="e">
        <f ca="1">IF(DT4&lt;$C$10,(DT5/OFFSET(DT5,0,-DT4))^(1/DT4),(DT5/OFFSET(DT5,0,-$C$10))^(1/$C$10))-1</f>
        <v>#N/A</v>
      </c>
      <c r="DU25" s="55" t="e">
        <f ca="1">IF(DU4&lt;$C$10,(DU5/OFFSET(DU5,0,-DU4))^(1/DU4),(DU5/OFFSET(DU5,0,-$C$10))^(1/$C$10))-1</f>
        <v>#N/A</v>
      </c>
      <c r="DV25" s="55" t="e">
        <f ca="1">IF(DV4&lt;$C$10,(DV5/OFFSET(DV5,0,-DV4))^(1/DV4),(DV5/OFFSET(DV5,0,-$C$10))^(1/$C$10))-1</f>
        <v>#N/A</v>
      </c>
      <c r="DW25" s="55" t="e">
        <f ca="1">IF(DW4&lt;$C$10,(DW5/OFFSET(DW5,0,-DW4))^(1/DW4),(DW5/OFFSET(DW5,0,-$C$10))^(1/$C$10))-1</f>
        <v>#N/A</v>
      </c>
      <c r="DX25" s="55" t="e">
        <f ca="1">IF(DX4&lt;$C$10,(DX5/OFFSET(DX5,0,-DX4))^(1/DX4),(DX5/OFFSET(DX5,0,-$C$10))^(1/$C$10))-1</f>
        <v>#N/A</v>
      </c>
      <c r="DY25" s="55" t="e">
        <f ca="1">IF(DY4&lt;$C$10,(DY5/OFFSET(DY5,0,-DY4))^(1/DY4),(DY5/OFFSET(DY5,0,-$C$10))^(1/$C$10))-1</f>
        <v>#N/A</v>
      </c>
      <c r="DZ25" s="55" t="e">
        <f ca="1">IF(DZ4&lt;$C$10,(DZ5/OFFSET(DZ5,0,-DZ4))^(1/DZ4),(DZ5/OFFSET(DZ5,0,-$C$10))^(1/$C$10))-1</f>
        <v>#N/A</v>
      </c>
      <c r="EA25" s="55" t="e">
        <f ca="1">IF(EA4&lt;$C$10,(EA5/OFFSET(EA5,0,-EA4))^(1/EA4),(EA5/OFFSET(EA5,0,-$C$10))^(1/$C$10))-1</f>
        <v>#N/A</v>
      </c>
      <c r="EB25" s="55" t="e">
        <f ca="1">IF(EB4&lt;$C$10,(EB5/OFFSET(EB5,0,-EB4))^(1/EB4),(EB5/OFFSET(EB5,0,-$C$10))^(1/$C$10))-1</f>
        <v>#N/A</v>
      </c>
      <c r="EC25" s="55" t="e">
        <f ca="1">IF(EC4&lt;$C$10,(EC5/OFFSET(EC5,0,-EC4))^(1/EC4),(EC5/OFFSET(EC5,0,-$C$10))^(1/$C$10))-1</f>
        <v>#N/A</v>
      </c>
      <c r="ED25" s="55" t="e">
        <f ca="1">IF(ED4&lt;$C$10,(ED5/OFFSET(ED5,0,-ED4))^(1/ED4),(ED5/OFFSET(ED5,0,-$C$10))^(1/$C$10))-1</f>
        <v>#N/A</v>
      </c>
      <c r="EE25" s="55" t="e">
        <f ca="1">IF(EE4&lt;$C$10,(EE5/OFFSET(EE5,0,-EE4))^(1/EE4),(EE5/OFFSET(EE5,0,-$C$10))^(1/$C$10))-1</f>
        <v>#N/A</v>
      </c>
      <c r="EF25" s="55" t="e">
        <f ca="1">IF(EF4&lt;$C$10,(EF5/OFFSET(EF5,0,-EF4))^(1/EF4),(EF5/OFFSET(EF5,0,-$C$10))^(1/$C$10))-1</f>
        <v>#N/A</v>
      </c>
      <c r="EG25" s="55" t="e">
        <f ca="1">IF(EG4&lt;$C$10,(EG5/OFFSET(EG5,0,-EG4))^(1/EG4),(EG5/OFFSET(EG5,0,-$C$10))^(1/$C$10))-1</f>
        <v>#N/A</v>
      </c>
      <c r="EH25" s="55" t="e">
        <f ca="1">IF(EH4&lt;$C$10,(EH5/OFFSET(EH5,0,-EH4))^(1/EH4),(EH5/OFFSET(EH5,0,-$C$10))^(1/$C$10))-1</f>
        <v>#N/A</v>
      </c>
      <c r="EI25" s="55" t="e">
        <f ca="1">IF(EI4&lt;$C$10,(EI5/OFFSET(EI5,0,-EI4))^(1/EI4),(EI5/OFFSET(EI5,0,-$C$10))^(1/$C$10))-1</f>
        <v>#N/A</v>
      </c>
      <c r="EJ25" s="55" t="e">
        <f ca="1">IF(EJ4&lt;$C$10,(EJ5/OFFSET(EJ5,0,-EJ4))^(1/EJ4),(EJ5/OFFSET(EJ5,0,-$C$10))^(1/$C$10))-1</f>
        <v>#N/A</v>
      </c>
      <c r="EK25" s="55" t="e">
        <f ca="1">IF(EK4&lt;$C$10,(EK5/OFFSET(EK5,0,-EK4))^(1/EK4),(EK5/OFFSET(EK5,0,-$C$10))^(1/$C$10))-1</f>
        <v>#N/A</v>
      </c>
      <c r="EL25" s="55" t="e">
        <f ca="1">IF(EL4&lt;$C$10,(EL5/OFFSET(EL5,0,-EL4))^(1/EL4),(EL5/OFFSET(EL5,0,-$C$10))^(1/$C$10))-1</f>
        <v>#N/A</v>
      </c>
      <c r="EM25" s="55" t="e">
        <f ca="1">IF(EM4&lt;$C$10,(EM5/OFFSET(EM5,0,-EM4))^(1/EM4),(EM5/OFFSET(EM5,0,-$C$10))^(1/$C$10))-1</f>
        <v>#N/A</v>
      </c>
      <c r="EN25" s="55" t="e">
        <f ca="1">IF(EN4&lt;$C$10,(EN5/OFFSET(EN5,0,-EN4))^(1/EN4),(EN5/OFFSET(EN5,0,-$C$10))^(1/$C$10))-1</f>
        <v>#N/A</v>
      </c>
      <c r="EO25" s="55" t="e">
        <f ca="1">IF(EO4&lt;$C$10,(EO5/OFFSET(EO5,0,-EO4))^(1/EO4),(EO5/OFFSET(EO5,0,-$C$10))^(1/$C$10))-1</f>
        <v>#N/A</v>
      </c>
      <c r="EP25" s="55" t="e">
        <f ca="1">IF(EP4&lt;$C$10,(EP5/OFFSET(EP5,0,-EP4))^(1/EP4),(EP5/OFFSET(EP5,0,-$C$10))^(1/$C$10))-1</f>
        <v>#N/A</v>
      </c>
      <c r="EQ25" s="55" t="e">
        <f ca="1">IF(EQ4&lt;$C$10,(EQ5/OFFSET(EQ5,0,-EQ4))^(1/EQ4),(EQ5/OFFSET(EQ5,0,-$C$10))^(1/$C$10))-1</f>
        <v>#N/A</v>
      </c>
      <c r="ER25" s="55" t="e">
        <f ca="1">IF(ER4&lt;$C$10,(ER5/OFFSET(ER5,0,-ER4))^(1/ER4),(ER5/OFFSET(ER5,0,-$C$10))^(1/$C$10))-1</f>
        <v>#N/A</v>
      </c>
      <c r="ES25" s="55" t="e">
        <f ca="1">IF(ES4&lt;$C$10,(ES5/OFFSET(ES5,0,-ES4))^(1/ES4),(ES5/OFFSET(ES5,0,-$C$10))^(1/$C$10))-1</f>
        <v>#N/A</v>
      </c>
      <c r="ET25" s="55" t="e">
        <f ca="1">IF(ET4&lt;$C$10,(ET5/OFFSET(ET5,0,-ET4))^(1/ET4),(ET5/OFFSET(ET5,0,-$C$10))^(1/$C$10))-1</f>
        <v>#N/A</v>
      </c>
      <c r="EU25" s="55" t="e">
        <f ca="1">IF(EU4&lt;$C$10,(EU5/OFFSET(EU5,0,-EU4))^(1/EU4),(EU5/OFFSET(EU5,0,-$C$10))^(1/$C$10))-1</f>
        <v>#N/A</v>
      </c>
      <c r="EV25" s="55" t="e">
        <f ca="1">IF(EV4&lt;$C$10,(EV5/OFFSET(EV5,0,-EV4))^(1/EV4),(EV5/OFFSET(EV5,0,-$C$10))^(1/$C$10))-1</f>
        <v>#N/A</v>
      </c>
      <c r="EW25" s="55" t="e">
        <f ca="1">IF(EW4&lt;$C$10,(EW5/OFFSET(EW5,0,-EW4))^(1/EW4),(EW5/OFFSET(EW5,0,-$C$10))^(1/$C$10))-1</f>
        <v>#N/A</v>
      </c>
      <c r="EX25" s="55" t="e">
        <f ca="1">IF(EX4&lt;$C$10,(EX5/OFFSET(EX5,0,-EX4))^(1/EX4),(EX5/OFFSET(EX5,0,-$C$10))^(1/$C$10))-1</f>
        <v>#N/A</v>
      </c>
      <c r="EY25" s="55" t="e">
        <f ca="1">IF(EY4&lt;$C$10,(EY5/OFFSET(EY5,0,-EY4))^(1/EY4),(EY5/OFFSET(EY5,0,-$C$10))^(1/$C$10))-1</f>
        <v>#N/A</v>
      </c>
      <c r="EZ25" s="55" t="e">
        <f ca="1">IF(EZ4&lt;$C$10,(EZ5/OFFSET(EZ5,0,-EZ4))^(1/EZ4),(EZ5/OFFSET(EZ5,0,-$C$10))^(1/$C$10))-1</f>
        <v>#N/A</v>
      </c>
      <c r="FA25" s="55" t="e">
        <f ca="1">IF(FA4&lt;$C$10,(FA5/OFFSET(FA5,0,-FA4))^(1/FA4),(FA5/OFFSET(FA5,0,-$C$10))^(1/$C$10))-1</f>
        <v>#N/A</v>
      </c>
      <c r="FB25" s="55" t="e">
        <f ca="1">IF(FB4&lt;$C$10,(FB5/OFFSET(FB5,0,-FB4))^(1/FB4),(FB5/OFFSET(FB5,0,-$C$10))^(1/$C$10))-1</f>
        <v>#N/A</v>
      </c>
      <c r="FC25" s="55" t="e">
        <f ca="1">IF(FC4&lt;$C$10,(FC5/OFFSET(FC5,0,-FC4))^(1/FC4),(FC5/OFFSET(FC5,0,-$C$10))^(1/$C$10))-1</f>
        <v>#N/A</v>
      </c>
      <c r="FD25" s="55" t="e">
        <f ca="1">IF(FD4&lt;$C$10,(FD5/OFFSET(FD5,0,-FD4))^(1/FD4),(FD5/OFFSET(FD5,0,-$C$10))^(1/$C$10))-1</f>
        <v>#N/A</v>
      </c>
      <c r="FE25" s="55" t="e">
        <f ca="1">IF(FE4&lt;$C$10,(FE5/OFFSET(FE5,0,-FE4))^(1/FE4),(FE5/OFFSET(FE5,0,-$C$10))^(1/$C$10))-1</f>
        <v>#N/A</v>
      </c>
      <c r="FF25" s="55" t="e">
        <f ca="1">IF(FF4&lt;$C$10,(FF5/OFFSET(FF5,0,-FF4))^(1/FF4),(FF5/OFFSET(FF5,0,-$C$10))^(1/$C$10))-1</f>
        <v>#N/A</v>
      </c>
      <c r="FG25" s="55" t="e">
        <f ca="1">IF(FG4&lt;$C$10,(FG5/OFFSET(FG5,0,-FG4))^(1/FG4),(FG5/OFFSET(FG5,0,-$C$10))^(1/$C$10))-1</f>
        <v>#N/A</v>
      </c>
      <c r="FH25" s="55" t="e">
        <f ca="1">IF(FH4&lt;$C$10,(FH5/OFFSET(FH5,0,-FH4))^(1/FH4),(FH5/OFFSET(FH5,0,-$C$10))^(1/$C$10))-1</f>
        <v>#N/A</v>
      </c>
      <c r="FI25" s="55" t="e">
        <f ca="1">IF(FI4&lt;$C$10,(FI5/OFFSET(FI5,0,-FI4))^(1/FI4),(FI5/OFFSET(FI5,0,-$C$10))^(1/$C$10))-1</f>
        <v>#N/A</v>
      </c>
      <c r="FJ25" s="55" t="e">
        <f ca="1">IF(FJ4&lt;$C$10,(FJ5/OFFSET(FJ5,0,-FJ4))^(1/FJ4),(FJ5/OFFSET(FJ5,0,-$C$10))^(1/$C$10))-1</f>
        <v>#N/A</v>
      </c>
      <c r="FK25" s="55" t="e">
        <f ca="1">IF(FK4&lt;$C$10,(FK5/OFFSET(FK5,0,-FK4))^(1/FK4),(FK5/OFFSET(FK5,0,-$C$10))^(1/$C$10))-1</f>
        <v>#N/A</v>
      </c>
      <c r="FL25" s="55" t="e">
        <f ca="1">IF(FL4&lt;$C$10,(FL5/OFFSET(FL5,0,-FL4))^(1/FL4),(FL5/OFFSET(FL5,0,-$C$10))^(1/$C$10))-1</f>
        <v>#N/A</v>
      </c>
      <c r="FM25" s="55" t="e">
        <f ca="1">IF(FM4&lt;$C$10,(FM5/OFFSET(FM5,0,-FM4))^(1/FM4),(FM5/OFFSET(FM5,0,-$C$10))^(1/$C$10))-1</f>
        <v>#N/A</v>
      </c>
      <c r="FN25" s="55" t="e">
        <f ca="1">IF(FN4&lt;$C$10,(FN5/OFFSET(FN5,0,-FN4))^(1/FN4),(FN5/OFFSET(FN5,0,-$C$10))^(1/$C$10))-1</f>
        <v>#N/A</v>
      </c>
      <c r="FO25" s="55" t="e">
        <f ca="1">IF(FO4&lt;$C$10,(FO5/OFFSET(FO5,0,-FO4))^(1/FO4),(FO5/OFFSET(FO5,0,-$C$10))^(1/$C$10))-1</f>
        <v>#N/A</v>
      </c>
      <c r="FP25" s="55" t="e">
        <f ca="1">IF(FP4&lt;$C$10,(FP5/OFFSET(FP5,0,-FP4))^(1/FP4),(FP5/OFFSET(FP5,0,-$C$10))^(1/$C$10))-1</f>
        <v>#N/A</v>
      </c>
      <c r="FQ25" s="55" t="e">
        <f ca="1">IF(FQ4&lt;$C$10,(FQ5/OFFSET(FQ5,0,-FQ4))^(1/FQ4),(FQ5/OFFSET(FQ5,0,-$C$10))^(1/$C$10))-1</f>
        <v>#N/A</v>
      </c>
      <c r="FR25" s="55" t="e">
        <f ca="1">IF(FR4&lt;$C$10,(FR5/OFFSET(FR5,0,-FR4))^(1/FR4),(FR5/OFFSET(FR5,0,-$C$10))^(1/$C$10))-1</f>
        <v>#N/A</v>
      </c>
      <c r="FS25" s="55" t="e">
        <f ca="1">IF(FS4&lt;$C$10,(FS5/OFFSET(FS5,0,-FS4))^(1/FS4),(FS5/OFFSET(FS5,0,-$C$10))^(1/$C$10))-1</f>
        <v>#N/A</v>
      </c>
      <c r="FT25" s="55" t="e">
        <f ca="1">IF(FT4&lt;$C$10,(FT5/OFFSET(FT5,0,-FT4))^(1/FT4),(FT5/OFFSET(FT5,0,-$C$10))^(1/$C$10))-1</f>
        <v>#N/A</v>
      </c>
      <c r="FU25" s="55" t="e">
        <f ca="1">IF(FU4&lt;$C$10,(FU5/OFFSET(FU5,0,-FU4))^(1/FU4),(FU5/OFFSET(FU5,0,-$C$10))^(1/$C$10))-1</f>
        <v>#N/A</v>
      </c>
      <c r="FV25" s="55" t="e">
        <f ca="1">IF(FV4&lt;$C$10,(FV5/OFFSET(FV5,0,-FV4))^(1/FV4),(FV5/OFFSET(FV5,0,-$C$10))^(1/$C$10))-1</f>
        <v>#N/A</v>
      </c>
      <c r="FW25" s="55" t="e">
        <f ca="1">IF(FW4&lt;$C$10,(FW5/OFFSET(FW5,0,-FW4))^(1/FW4),(FW5/OFFSET(FW5,0,-$C$10))^(1/$C$10))-1</f>
        <v>#N/A</v>
      </c>
      <c r="FX25" s="55" t="e">
        <f ca="1">IF(FX4&lt;$C$10,(FX5/OFFSET(FX5,0,-FX4))^(1/FX4),(FX5/OFFSET(FX5,0,-$C$10))^(1/$C$10))-1</f>
        <v>#N/A</v>
      </c>
      <c r="FY25" s="55" t="e">
        <f ca="1">IF(FY4&lt;$C$10,(FY5/OFFSET(FY5,0,-FY4))^(1/FY4),(FY5/OFFSET(FY5,0,-$C$10))^(1/$C$10))-1</f>
        <v>#N/A</v>
      </c>
      <c r="FZ25" s="55" t="e">
        <f ca="1">IF(FZ4&lt;$C$10,(FZ5/OFFSET(FZ5,0,-FZ4))^(1/FZ4),(FZ5/OFFSET(FZ5,0,-$C$10))^(1/$C$10))-1</f>
        <v>#N/A</v>
      </c>
      <c r="GA25" s="55" t="e">
        <f ca="1">IF(GA4&lt;$C$10,(GA5/OFFSET(GA5,0,-GA4))^(1/GA4),(GA5/OFFSET(GA5,0,-$C$10))^(1/$C$10))-1</f>
        <v>#N/A</v>
      </c>
      <c r="GB25" s="55" t="e">
        <f ca="1">IF(GB4&lt;$C$10,(GB5/OFFSET(GB5,0,-GB4))^(1/GB4),(GB5/OFFSET(GB5,0,-$C$10))^(1/$C$10))-1</f>
        <v>#N/A</v>
      </c>
      <c r="GC25" s="55" t="e">
        <f ca="1">IF(GC4&lt;$C$10,(GC5/OFFSET(GC5,0,-GC4))^(1/GC4),(GC5/OFFSET(GC5,0,-$C$10))^(1/$C$10))-1</f>
        <v>#N/A</v>
      </c>
      <c r="GD25" s="55" t="e">
        <f ca="1">IF(GD4&lt;$C$10,(GD5/OFFSET(GD5,0,-GD4))^(1/GD4),(GD5/OFFSET(GD5,0,-$C$10))^(1/$C$10))-1</f>
        <v>#N/A</v>
      </c>
      <c r="GE25" s="55" t="e">
        <f ca="1">IF(GE4&lt;$C$10,(GE5/OFFSET(GE5,0,-GE4))^(1/GE4),(GE5/OFFSET(GE5,0,-$C$10))^(1/$C$10))-1</f>
        <v>#N/A</v>
      </c>
      <c r="GF25" s="55" t="e">
        <f ca="1">IF(GF4&lt;$C$10,(GF5/OFFSET(GF5,0,-GF4))^(1/GF4),(GF5/OFFSET(GF5,0,-$C$10))^(1/$C$10))-1</f>
        <v>#N/A</v>
      </c>
      <c r="GG25" s="55" t="e">
        <f ca="1">IF(GG4&lt;$C$10,(GG5/OFFSET(GG5,0,-GG4))^(1/GG4),(GG5/OFFSET(GG5,0,-$C$10))^(1/$C$10))-1</f>
        <v>#N/A</v>
      </c>
      <c r="GH25" s="55" t="e">
        <f ca="1">IF(GH4&lt;$C$10,(GH5/OFFSET(GH5,0,-GH4))^(1/GH4),(GH5/OFFSET(GH5,0,-$C$10))^(1/$C$10))-1</f>
        <v>#N/A</v>
      </c>
      <c r="GI25" s="55" t="e">
        <f ca="1">IF(GI4&lt;$C$10,(GI5/OFFSET(GI5,0,-GI4))^(1/GI4),(GI5/OFFSET(GI5,0,-$C$10))^(1/$C$10))-1</f>
        <v>#N/A</v>
      </c>
      <c r="GJ25" s="55" t="e">
        <f ca="1">IF(GJ4&lt;$C$10,(GJ5/OFFSET(GJ5,0,-GJ4))^(1/GJ4),(GJ5/OFFSET(GJ5,0,-$C$10))^(1/$C$10))-1</f>
        <v>#N/A</v>
      </c>
      <c r="GK25" s="55" t="e">
        <f ca="1">IF(GK4&lt;$C$10,(GK5/OFFSET(GK5,0,-GK4))^(1/GK4),(GK5/OFFSET(GK5,0,-$C$10))^(1/$C$10))-1</f>
        <v>#N/A</v>
      </c>
      <c r="GL25" s="55" t="e">
        <f ca="1">IF(GL4&lt;$C$10,(GL5/OFFSET(GL5,0,-GL4))^(1/GL4),(GL5/OFFSET(GL5,0,-$C$10))^(1/$C$10))-1</f>
        <v>#N/A</v>
      </c>
      <c r="GM25" s="55" t="e">
        <f ca="1">IF(GM4&lt;$C$10,(GM5/OFFSET(GM5,0,-GM4))^(1/GM4),(GM5/OFFSET(GM5,0,-$C$10))^(1/$C$10))-1</f>
        <v>#N/A</v>
      </c>
      <c r="GN25" s="55" t="e">
        <f ca="1">IF(GN4&lt;$C$10,(GN5/OFFSET(GN5,0,-GN4))^(1/GN4),(GN5/OFFSET(GN5,0,-$C$10))^(1/$C$10))-1</f>
        <v>#N/A</v>
      </c>
      <c r="GO25" s="55" t="e">
        <f ca="1">IF(GO4&lt;$C$10,(GO5/OFFSET(GO5,0,-GO4))^(1/GO4),(GO5/OFFSET(GO5,0,-$C$10))^(1/$C$10))-1</f>
        <v>#N/A</v>
      </c>
      <c r="GP25" s="55" t="e">
        <f ca="1">IF(GP4&lt;$C$10,(GP5/OFFSET(GP5,0,-GP4))^(1/GP4),(GP5/OFFSET(GP5,0,-$C$10))^(1/$C$10))-1</f>
        <v>#N/A</v>
      </c>
      <c r="GQ25" s="55" t="e">
        <f ca="1">IF(GQ4&lt;$C$10,(GQ5/OFFSET(GQ5,0,-GQ4))^(1/GQ4),(GQ5/OFFSET(GQ5,0,-$C$10))^(1/$C$10))-1</f>
        <v>#N/A</v>
      </c>
      <c r="GR25" s="55" t="e">
        <f ca="1">IF(GR4&lt;$C$10,(GR5/OFFSET(GR5,0,-GR4))^(1/GR4),(GR5/OFFSET(GR5,0,-$C$10))^(1/$C$10))-1</f>
        <v>#N/A</v>
      </c>
      <c r="GS25" s="55" t="e">
        <f ca="1">IF(GS4&lt;$C$10,(GS5/OFFSET(GS5,0,-GS4))^(1/GS4),(GS5/OFFSET(GS5,0,-$C$10))^(1/$C$10))-1</f>
        <v>#N/A</v>
      </c>
      <c r="GT25" s="55" t="e">
        <f ca="1">IF(GT4&lt;$C$10,(GT5/OFFSET(GT5,0,-GT4))^(1/GT4),(GT5/OFFSET(GT5,0,-$C$10))^(1/$C$10))-1</f>
        <v>#N/A</v>
      </c>
      <c r="GU25" s="55" t="e">
        <f ca="1">IF(GU4&lt;$C$10,(GU5/OFFSET(GU5,0,-GU4))^(1/GU4),(GU5/OFFSET(GU5,0,-$C$10))^(1/$C$10))-1</f>
        <v>#N/A</v>
      </c>
      <c r="GV25" s="55" t="e">
        <f ca="1">IF(GV4&lt;$C$10,(GV5/OFFSET(GV5,0,-GV4))^(1/GV4),(GV5/OFFSET(GV5,0,-$C$10))^(1/$C$10))-1</f>
        <v>#N/A</v>
      </c>
      <c r="GW25" s="55" t="e">
        <f ca="1">IF(GW4&lt;$C$10,(GW5/OFFSET(GW5,0,-GW4))^(1/GW4),(GW5/OFFSET(GW5,0,-$C$10))^(1/$C$10))-1</f>
        <v>#N/A</v>
      </c>
      <c r="GX25" s="55" t="e">
        <f ca="1">IF(GX4&lt;$C$10,(GX5/OFFSET(GX5,0,-GX4))^(1/GX4),(GX5/OFFSET(GX5,0,-$C$10))^(1/$C$10))-1</f>
        <v>#N/A</v>
      </c>
      <c r="GY25" s="55" t="e">
        <f ca="1">IF(GY4&lt;$C$10,(GY5/OFFSET(GY5,0,-GY4))^(1/GY4),(GY5/OFFSET(GY5,0,-$C$10))^(1/$C$10))-1</f>
        <v>#N/A</v>
      </c>
      <c r="GZ25" s="55" t="e">
        <f ca="1">IF(GZ4&lt;$C$10,(GZ5/OFFSET(GZ5,0,-GZ4))^(1/GZ4),(GZ5/OFFSET(GZ5,0,-$C$10))^(1/$C$10))-1</f>
        <v>#N/A</v>
      </c>
      <c r="HA25" s="55" t="e">
        <f ca="1">IF(HA4&lt;$C$10,(HA5/OFFSET(HA5,0,-HA4))^(1/HA4),(HA5/OFFSET(HA5,0,-$C$10))^(1/$C$10))-1</f>
        <v>#N/A</v>
      </c>
      <c r="HB25" s="55" t="e">
        <f ca="1">IF(HB4&lt;$C$10,(HB5/OFFSET(HB5,0,-HB4))^(1/HB4),(HB5/OFFSET(HB5,0,-$C$10))^(1/$C$10))-1</f>
        <v>#N/A</v>
      </c>
      <c r="HC25" s="55" t="e">
        <f ca="1">IF(HC4&lt;$C$10,(HC5/OFFSET(HC5,0,-HC4))^(1/HC4),(HC5/OFFSET(HC5,0,-$C$10))^(1/$C$10))-1</f>
        <v>#N/A</v>
      </c>
      <c r="HD25" s="55" t="e">
        <f ca="1">IF(HD4&lt;$C$10,(HD5/OFFSET(HD5,0,-HD4))^(1/HD4),(HD5/OFFSET(HD5,0,-$C$10))^(1/$C$10))-1</f>
        <v>#N/A</v>
      </c>
      <c r="HE25" s="55" t="e">
        <f ca="1">IF(HE4&lt;$C$10,(HE5/OFFSET(HE5,0,-HE4))^(1/HE4),(HE5/OFFSET(HE5,0,-$C$10))^(1/$C$10))-1</f>
        <v>#N/A</v>
      </c>
      <c r="HF25" s="55" t="e">
        <f ca="1">IF(HF4&lt;$C$10,(HF5/OFFSET(HF5,0,-HF4))^(1/HF4),(HF5/OFFSET(HF5,0,-$C$10))^(1/$C$10))-1</f>
        <v>#N/A</v>
      </c>
      <c r="HG25" s="55" t="e">
        <f ca="1">IF(HG4&lt;$C$10,(HG5/OFFSET(HG5,0,-HG4))^(1/HG4),(HG5/OFFSET(HG5,0,-$C$10))^(1/$C$10))-1</f>
        <v>#N/A</v>
      </c>
      <c r="HH25" s="55" t="e">
        <f ca="1">IF(HH4&lt;$C$10,(HH5/OFFSET(HH5,0,-HH4))^(1/HH4),(HH5/OFFSET(HH5,0,-$C$10))^(1/$C$10))-1</f>
        <v>#N/A</v>
      </c>
      <c r="HI25" s="55" t="e">
        <f ca="1">IF(HI4&lt;$C$10,(HI5/OFFSET(HI5,0,-HI4))^(1/HI4),(HI5/OFFSET(HI5,0,-$C$10))^(1/$C$10))-1</f>
        <v>#N/A</v>
      </c>
      <c r="HJ25" s="55" t="e">
        <f ca="1">IF(HJ4&lt;$C$10,(HJ5/OFFSET(HJ5,0,-HJ4))^(1/HJ4),(HJ5/OFFSET(HJ5,0,-$C$10))^(1/$C$10))-1</f>
        <v>#N/A</v>
      </c>
      <c r="HK25" s="55" t="e">
        <f ca="1">IF(HK4&lt;$C$10,(HK5/OFFSET(HK5,0,-HK4))^(1/HK4),(HK5/OFFSET(HK5,0,-$C$10))^(1/$C$10))-1</f>
        <v>#N/A</v>
      </c>
      <c r="HL25" s="55" t="e">
        <f ca="1">IF(HL4&lt;$C$10,(HL5/OFFSET(HL5,0,-HL4))^(1/HL4),(HL5/OFFSET(HL5,0,-$C$10))^(1/$C$10))-1</f>
        <v>#N/A</v>
      </c>
      <c r="HM25" s="55" t="e">
        <f ca="1">IF(HM4&lt;$C$10,(HM5/OFFSET(HM5,0,-HM4))^(1/HM4),(HM5/OFFSET(HM5,0,-$C$10))^(1/$C$10))-1</f>
        <v>#N/A</v>
      </c>
      <c r="HN25" s="55" t="e">
        <f ca="1">IF(HN4&lt;$C$10,(HN5/OFFSET(HN5,0,-HN4))^(1/HN4),(HN5/OFFSET(HN5,0,-$C$10))^(1/$C$10))-1</f>
        <v>#N/A</v>
      </c>
      <c r="HO25" s="55" t="e">
        <f ca="1">IF(HO4&lt;$C$10,(HO5/OFFSET(HO5,0,-HO4))^(1/HO4),(HO5/OFFSET(HO5,0,-$C$10))^(1/$C$10))-1</f>
        <v>#N/A</v>
      </c>
      <c r="HP25" s="55" t="e">
        <f ca="1">IF(HP4&lt;$C$10,(HP5/OFFSET(HP5,0,-HP4))^(1/HP4),(HP5/OFFSET(HP5,0,-$C$10))^(1/$C$10))-1</f>
        <v>#N/A</v>
      </c>
      <c r="HQ25" s="55" t="e">
        <f ca="1">IF(HQ4&lt;$C$10,(HQ5/OFFSET(HQ5,0,-HQ4))^(1/HQ4),(HQ5/OFFSET(HQ5,0,-$C$10))^(1/$C$10))-1</f>
        <v>#N/A</v>
      </c>
      <c r="HR25" s="55" t="e">
        <f ca="1">IF(HR4&lt;$C$10,(HR5/OFFSET(HR5,0,-HR4))^(1/HR4),(HR5/OFFSET(HR5,0,-$C$10))^(1/$C$10))-1</f>
        <v>#N/A</v>
      </c>
      <c r="HS25" s="55" t="e">
        <f ca="1">IF(HS4&lt;$C$10,(HS5/OFFSET(HS5,0,-HS4))^(1/HS4),(HS5/OFFSET(HS5,0,-$C$10))^(1/$C$10))-1</f>
        <v>#N/A</v>
      </c>
      <c r="HT25" s="55" t="e">
        <f ca="1">IF(HT4&lt;$C$10,(HT5/OFFSET(HT5,0,-HT4))^(1/HT4),(HT5/OFFSET(HT5,0,-$C$10))^(1/$C$10))-1</f>
        <v>#N/A</v>
      </c>
      <c r="HU25" s="55" t="e">
        <f ca="1">IF(HU4&lt;$C$10,(HU5/OFFSET(HU5,0,-HU4))^(1/HU4),(HU5/OFFSET(HU5,0,-$C$10))^(1/$C$10))-1</f>
        <v>#N/A</v>
      </c>
      <c r="HV25" s="55" t="e">
        <f ca="1">IF(HV4&lt;$C$10,(HV5/OFFSET(HV5,0,-HV4))^(1/HV4),(HV5/OFFSET(HV5,0,-$C$10))^(1/$C$10))-1</f>
        <v>#N/A</v>
      </c>
      <c r="HW25" s="55" t="e">
        <f ca="1">IF(HW4&lt;$C$10,(HW5/OFFSET(HW5,0,-HW4))^(1/HW4),(HW5/OFFSET(HW5,0,-$C$10))^(1/$C$10))-1</f>
        <v>#N/A</v>
      </c>
      <c r="HX25" s="55" t="e">
        <f ca="1">IF(HX4&lt;$C$10,(HX5/OFFSET(HX5,0,-HX4))^(1/HX4),(HX5/OFFSET(HX5,0,-$C$10))^(1/$C$10))-1</f>
        <v>#N/A</v>
      </c>
      <c r="HY25" s="55" t="e">
        <f ca="1">IF(HY4&lt;$C$10,(HY5/OFFSET(HY5,0,-HY4))^(1/HY4),(HY5/OFFSET(HY5,0,-$C$10))^(1/$C$10))-1</f>
        <v>#N/A</v>
      </c>
      <c r="HZ25" s="55" t="e">
        <f ca="1">IF(HZ4&lt;$C$10,(HZ5/OFFSET(HZ5,0,-HZ4))^(1/HZ4),(HZ5/OFFSET(HZ5,0,-$C$10))^(1/$C$10))-1</f>
        <v>#N/A</v>
      </c>
      <c r="IA25" s="55" t="e">
        <f ca="1">IF(IA4&lt;$C$10,(IA5/OFFSET(IA5,0,-IA4))^(1/IA4),(IA5/OFFSET(IA5,0,-$C$10))^(1/$C$10))-1</f>
        <v>#N/A</v>
      </c>
      <c r="IB25" s="55" t="e">
        <f ca="1">IF(IB4&lt;$C$10,(IB5/OFFSET(IB5,0,-IB4))^(1/IB4),(IB5/OFFSET(IB5,0,-$C$10))^(1/$C$10))-1</f>
        <v>#N/A</v>
      </c>
      <c r="IC25" s="55" t="e">
        <f ca="1">IF(IC4&lt;$C$10,(IC5/OFFSET(IC5,0,-IC4))^(1/IC4),(IC5/OFFSET(IC5,0,-$C$10))^(1/$C$10))-1</f>
        <v>#N/A</v>
      </c>
      <c r="ID25" s="55" t="e">
        <f ca="1">IF(ID4&lt;$C$10,(ID5/OFFSET(ID5,0,-ID4))^(1/ID4),(ID5/OFFSET(ID5,0,-$C$10))^(1/$C$10))-1</f>
        <v>#N/A</v>
      </c>
      <c r="IE25" s="55" t="e">
        <f ca="1">IF(IE4&lt;$C$10,(IE5/OFFSET(IE5,0,-IE4))^(1/IE4),(IE5/OFFSET(IE5,0,-$C$10))^(1/$C$10))-1</f>
        <v>#N/A</v>
      </c>
      <c r="IF25" s="55" t="e">
        <f ca="1">IF(IF4&lt;$C$10,(IF5/OFFSET(IF5,0,-IF4))^(1/IF4),(IF5/OFFSET(IF5,0,-$C$10))^(1/$C$10))-1</f>
        <v>#N/A</v>
      </c>
      <c r="IG25" s="55" t="e">
        <f ca="1">IF(IG4&lt;$C$10,(IG5/OFFSET(IG5,0,-IG4))^(1/IG4),(IG5/OFFSET(IG5,0,-$C$10))^(1/$C$10))-1</f>
        <v>#N/A</v>
      </c>
      <c r="IH25" s="55" t="e">
        <f ca="1">IF(IH4&lt;$C$10,(IH5/OFFSET(IH5,0,-IH4))^(1/IH4),(IH5/OFFSET(IH5,0,-$C$10))^(1/$C$10))-1</f>
        <v>#N/A</v>
      </c>
      <c r="II25" s="55" t="e">
        <f ca="1">IF(II4&lt;$C$10,(II5/OFFSET(II5,0,-II4))^(1/II4),(II5/OFFSET(II5,0,-$C$10))^(1/$C$10))-1</f>
        <v>#N/A</v>
      </c>
      <c r="IJ25" s="55" t="e">
        <f ca="1">IF(IJ4&lt;$C$10,(IJ5/OFFSET(IJ5,0,-IJ4))^(1/IJ4),(IJ5/OFFSET(IJ5,0,-$C$10))^(1/$C$10))-1</f>
        <v>#N/A</v>
      </c>
      <c r="IK25" s="55" t="e">
        <f ca="1">IF(IK4&lt;$C$10,(IK5/OFFSET(IK5,0,-IK4))^(1/IK4),(IK5/OFFSET(IK5,0,-$C$10))^(1/$C$10))-1</f>
        <v>#N/A</v>
      </c>
      <c r="IL25" s="55" t="e">
        <f ca="1">IF(IL4&lt;$C$10,(IL5/OFFSET(IL5,0,-IL4))^(1/IL4),(IL5/OFFSET(IL5,0,-$C$10))^(1/$C$10))-1</f>
        <v>#N/A</v>
      </c>
      <c r="IM25" s="55" t="e">
        <f ca="1">IF(IM4&lt;$C$10,(IM5/OFFSET(IM5,0,-IM4))^(1/IM4),(IM5/OFFSET(IM5,0,-$C$10))^(1/$C$10))-1</f>
        <v>#N/A</v>
      </c>
      <c r="IN25" s="55" t="e">
        <f ca="1">IF(IN4&lt;$C$10,(IN5/OFFSET(IN5,0,-IN4))^(1/IN4),(IN5/OFFSET(IN5,0,-$C$10))^(1/$C$10))-1</f>
        <v>#N/A</v>
      </c>
    </row>
    <row r="26" spans="2:248" x14ac:dyDescent="0.3">
      <c r="B26" s="19" t="s">
        <v>427</v>
      </c>
      <c r="C26" s="21">
        <f ca="1">HLOOKUP(C29,G3:KU15,4,FALSE)</f>
        <v>65157.14937122359</v>
      </c>
      <c r="D26" s="24">
        <f>C15*1.5</f>
        <v>36697.366596</v>
      </c>
      <c r="F26" s="22" t="s">
        <v>514</v>
      </c>
      <c r="G26" s="27">
        <f ca="1">IF(G3=$C$23,1,-1000)</f>
        <v>-1000</v>
      </c>
      <c r="H26" s="27">
        <f ca="1">IF(H3=$C$23,1,-1000)</f>
        <v>-1000</v>
      </c>
      <c r="I26" s="27">
        <f ca="1">IF(I3=$C$23,1,-1000)</f>
        <v>-1000</v>
      </c>
      <c r="J26" s="27">
        <f ca="1">IF(J3=$C$23,1,-1000)</f>
        <v>-1000</v>
      </c>
      <c r="K26" s="27">
        <f ca="1">IF(K3=$C$23,1,-1000)</f>
        <v>-1000</v>
      </c>
      <c r="L26" s="27">
        <f ca="1">IF(L3=$C$23,1,-1000)</f>
        <v>-1000</v>
      </c>
      <c r="M26" s="27">
        <f ca="1">IF(M3=$C$23,1,-1000)</f>
        <v>-1000</v>
      </c>
      <c r="N26" s="27">
        <f ca="1">IF(N3=$C$23,1,-1000)</f>
        <v>-1000</v>
      </c>
      <c r="O26" s="27">
        <f ca="1">IF(O3=$C$23,1,-1000)</f>
        <v>-1000</v>
      </c>
      <c r="P26" s="27">
        <f ca="1">IF(P3=$C$23,1,-1000)</f>
        <v>-1000</v>
      </c>
      <c r="Q26" s="27">
        <f ca="1">IF(Q3=$C$23,1,-1000)</f>
        <v>-1000</v>
      </c>
      <c r="R26" s="27">
        <f ca="1">IF(R3=$C$23,1,-1000)</f>
        <v>-1000</v>
      </c>
      <c r="S26" s="27">
        <f ca="1">IF(S3=$C$23,1,-1000)</f>
        <v>-1000</v>
      </c>
      <c r="T26" s="27">
        <f ca="1">IF(T3=$C$23,1,-1000)</f>
        <v>-1000</v>
      </c>
      <c r="U26" s="27">
        <f ca="1">IF(U3=$C$23,1,-1000)</f>
        <v>-1000</v>
      </c>
      <c r="V26" s="27">
        <f ca="1">IF(V3=$C$23,1,-1000)</f>
        <v>-1000</v>
      </c>
      <c r="W26" s="27">
        <f ca="1">IF(W3=$C$23,1,-1000)</f>
        <v>1</v>
      </c>
      <c r="X26" s="27">
        <f ca="1">IF(X3=$C$23,1,-1000)</f>
        <v>-1000</v>
      </c>
      <c r="Y26" s="27">
        <f ca="1">IF(Y3=$C$23,1,-1000)</f>
        <v>-1000</v>
      </c>
      <c r="Z26" s="27">
        <f ca="1">IF(Z3=$C$23,1,-1000)</f>
        <v>-1000</v>
      </c>
      <c r="AA26" s="27">
        <f ca="1">IF(AA3=$C$23,1,-1000)</f>
        <v>-1000</v>
      </c>
      <c r="AB26" s="27">
        <f ca="1">IF(AB3=$C$23,1,-1000)</f>
        <v>-1000</v>
      </c>
      <c r="AC26" s="27">
        <f ca="1">IF(AC3=$C$23,1,-1000)</f>
        <v>-1000</v>
      </c>
      <c r="AD26" s="27">
        <f ca="1">IF(AD3=$C$23,1,-1000)</f>
        <v>-1000</v>
      </c>
      <c r="AE26" s="27">
        <f ca="1">IF(AE3=$C$23,1,-1000)</f>
        <v>-1000</v>
      </c>
      <c r="AF26" s="27">
        <f ca="1">IF(AF3=$C$23,1,-1000)</f>
        <v>-1000</v>
      </c>
      <c r="AG26" s="27">
        <f ca="1">IF(AG3=$C$23,1,-1000)</f>
        <v>-1000</v>
      </c>
      <c r="AH26" s="27">
        <f ca="1">IF(AH3=$C$23,1,-1000)</f>
        <v>-1000</v>
      </c>
      <c r="AI26" s="27">
        <f ca="1">IF(AI3=$C$23,1,-1000)</f>
        <v>-1000</v>
      </c>
      <c r="AJ26" s="27">
        <f ca="1">IF(AJ3=$C$23,1,-1000)</f>
        <v>-1000</v>
      </c>
      <c r="AK26" s="27">
        <f ca="1">IF(AK3=$C$23,1,-1000)</f>
        <v>-1000</v>
      </c>
      <c r="AL26" s="27">
        <f ca="1">IF(AL3=$C$23,1,-1000)</f>
        <v>-1000</v>
      </c>
      <c r="AM26" s="27">
        <f ca="1">IF(AM3=$C$23,1,-1000)</f>
        <v>-1000</v>
      </c>
      <c r="AN26" s="27">
        <f ca="1">IF(AN3=$C$23,1,-1000)</f>
        <v>-1000</v>
      </c>
      <c r="AO26" s="27">
        <f ca="1">IF(AO3=$C$23,1,-1000)</f>
        <v>-1000</v>
      </c>
      <c r="AP26" s="27">
        <f ca="1">IF(AP3=$C$23,1,-1000)</f>
        <v>-1000</v>
      </c>
      <c r="AQ26" s="27">
        <f ca="1">IF(AQ3=$C$23,1,-1000)</f>
        <v>-1000</v>
      </c>
      <c r="AR26" s="27">
        <f ca="1">IF(AR3=$C$23,1,-1000)</f>
        <v>-1000</v>
      </c>
      <c r="AS26" s="27">
        <f ca="1">IF(AS3=$C$23,1,-1000)</f>
        <v>-1000</v>
      </c>
      <c r="AT26" s="27">
        <f ca="1">IF(AT3=$C$23,1,-1000)</f>
        <v>-1000</v>
      </c>
      <c r="AU26" s="27">
        <f ca="1">IF(AU3=$C$23,1,-1000)</f>
        <v>-1000</v>
      </c>
      <c r="AV26" s="27">
        <f ca="1">IF(AV3=$C$23,1,-1000)</f>
        <v>-1000</v>
      </c>
      <c r="AW26" s="27">
        <f ca="1">IF(AW3=$C$23,1,-1000)</f>
        <v>-1000</v>
      </c>
      <c r="AX26" s="27">
        <f ca="1">IF(AX3=$C$23,1,-1000)</f>
        <v>-1000</v>
      </c>
      <c r="AY26" s="27">
        <f ca="1">IF(AY3=$C$23,1,-1000)</f>
        <v>-1000</v>
      </c>
      <c r="AZ26" s="27">
        <f ca="1">IF(AZ3=$C$23,1,-1000)</f>
        <v>-1000</v>
      </c>
      <c r="BA26" s="27">
        <f ca="1">IF(BA3=$C$23,1,-1000)</f>
        <v>-1000</v>
      </c>
      <c r="BB26" s="27">
        <f ca="1">IF(BB3=$C$23,1,-1000)</f>
        <v>-1000</v>
      </c>
      <c r="BC26" s="27">
        <f ca="1">IF(BC3=$C$23,1,-1000)</f>
        <v>-1000</v>
      </c>
      <c r="BD26" s="27">
        <f ca="1">IF(BD3=$C$23,1,-1000)</f>
        <v>-1000</v>
      </c>
      <c r="BE26" s="27">
        <f ca="1">IF(BE3=$C$23,1,-1000)</f>
        <v>-1000</v>
      </c>
      <c r="BF26" s="27">
        <f ca="1">IF(BF3=$C$23,1,-1000)</f>
        <v>-1000</v>
      </c>
      <c r="BG26" s="27">
        <f ca="1">IF(BG3=$C$23,1,-1000)</f>
        <v>-1000</v>
      </c>
      <c r="BH26" s="27">
        <f ca="1">IF(BH3=$C$23,1,-1000)</f>
        <v>-1000</v>
      </c>
      <c r="BI26" s="27">
        <f ca="1">IF(BI3=$C$23,1,-1000)</f>
        <v>-1000</v>
      </c>
      <c r="BJ26" s="27">
        <f ca="1">IF(BJ3=$C$23,1,-1000)</f>
        <v>-1000</v>
      </c>
      <c r="BK26" s="27">
        <f ca="1">IF(BK3=$C$23,1,-1000)</f>
        <v>-1000</v>
      </c>
      <c r="BL26" s="27">
        <f ca="1">IF(BL3=$C$23,1,-1000)</f>
        <v>-1000</v>
      </c>
      <c r="BM26" s="27">
        <f ca="1">IF(BM3=$C$23,1,-1000)</f>
        <v>-1000</v>
      </c>
      <c r="BN26" s="27">
        <f ca="1">IF(BN3=$C$23,1,-1000)</f>
        <v>-1000</v>
      </c>
      <c r="BO26" s="27">
        <f ca="1">IF(BO3=$C$23,1,-1000)</f>
        <v>-1000</v>
      </c>
      <c r="BP26" s="27">
        <f ca="1">IF(BP3=$C$23,1,-1000)</f>
        <v>-1000</v>
      </c>
      <c r="BQ26" s="27">
        <f ca="1">IF(BQ3=$C$23,1,-1000)</f>
        <v>-1000</v>
      </c>
      <c r="BR26" s="27">
        <f ca="1">IF(BR3=$C$23,1,-1000)</f>
        <v>-1000</v>
      </c>
      <c r="BS26" s="27">
        <f ca="1">IF(BS3=$C$23,1,-1000)</f>
        <v>-1000</v>
      </c>
      <c r="BT26" s="27">
        <f ca="1">IF(BT3=$C$23,1,-1000)</f>
        <v>-1000</v>
      </c>
      <c r="BU26" s="27">
        <f ca="1">IF(BU3=$C$23,1,-1000)</f>
        <v>-1000</v>
      </c>
      <c r="BV26" s="27">
        <f ca="1">IF(BV3=$C$23,1,-1000)</f>
        <v>-1000</v>
      </c>
      <c r="BW26" s="27">
        <f ca="1">IF(BW3=$C$23,1,-1000)</f>
        <v>-1000</v>
      </c>
      <c r="BX26" s="27">
        <f ca="1">IF(BX3=$C$23,1,-1000)</f>
        <v>-1000</v>
      </c>
      <c r="BY26" s="27">
        <f ca="1">IF(BY3=$C$23,1,-1000)</f>
        <v>-1000</v>
      </c>
      <c r="BZ26" s="27">
        <f ca="1">IF(BZ3=$C$23,1,-1000)</f>
        <v>-1000</v>
      </c>
      <c r="CA26" s="27">
        <f ca="1">IF(CA3=$C$23,1,-1000)</f>
        <v>-1000</v>
      </c>
      <c r="CB26" s="27">
        <f ca="1">IF(CB3=$C$23,1,-1000)</f>
        <v>-1000</v>
      </c>
      <c r="CC26" s="27">
        <f ca="1">IF(CC3=$C$23,1,-1000)</f>
        <v>-1000</v>
      </c>
      <c r="CD26" s="27">
        <f ca="1">IF(CD3=$C$23,1,-1000)</f>
        <v>-1000</v>
      </c>
      <c r="CE26" s="27">
        <f ca="1">IF(CE3=$C$23,1,-1000)</f>
        <v>-1000</v>
      </c>
      <c r="CF26" s="27">
        <f ca="1">IF(CF3=$C$23,1,-1000)</f>
        <v>-1000</v>
      </c>
      <c r="CG26" s="27">
        <f ca="1">IF(CG3=$C$23,1,-1000)</f>
        <v>-1000</v>
      </c>
      <c r="CH26" s="27">
        <f ca="1">IF(CH3=$C$23,1,-1000)</f>
        <v>-1000</v>
      </c>
      <c r="CI26" s="27">
        <f ca="1">IF(CI3=$C$23,1,-1000)</f>
        <v>-1000</v>
      </c>
      <c r="CJ26" s="27">
        <f ca="1">IF(CJ3=$C$23,1,-1000)</f>
        <v>-1000</v>
      </c>
      <c r="CK26" s="27">
        <f ca="1">IF(CK3=$C$23,1,-1000)</f>
        <v>-1000</v>
      </c>
      <c r="CL26" s="27">
        <f ca="1">IF(CL3=$C$23,1,-1000)</f>
        <v>-1000</v>
      </c>
      <c r="CM26" s="27">
        <f ca="1">IF(CM3=$C$23,1,-1000)</f>
        <v>-1000</v>
      </c>
      <c r="CN26" s="27">
        <f ca="1">IF(CN3=$C$23,1,-1000)</f>
        <v>-1000</v>
      </c>
      <c r="CO26" s="27">
        <f ca="1">IF(CO3=$C$23,1,-1000)</f>
        <v>-1000</v>
      </c>
      <c r="CP26" s="27">
        <f ca="1">IF(CP3=$C$23,1,-1000)</f>
        <v>-1000</v>
      </c>
      <c r="CQ26" s="27">
        <f ca="1">IF(CQ3=$C$23,1,-1000)</f>
        <v>-1000</v>
      </c>
      <c r="CR26" s="27">
        <f ca="1">IF(CR3=$C$23,1,-1000)</f>
        <v>-1000</v>
      </c>
      <c r="CS26" s="27">
        <f ca="1">IF(CS3=$C$23,1,-1000)</f>
        <v>-1000</v>
      </c>
      <c r="CT26" s="27">
        <f ca="1">IF(CT3=$C$23,1,-1000)</f>
        <v>-1000</v>
      </c>
      <c r="CU26" s="27">
        <f ca="1">IF(CU3=$C$23,1,-1000)</f>
        <v>-1000</v>
      </c>
      <c r="CV26" s="27">
        <f ca="1">IF(CV3=$C$23,1,-1000)</f>
        <v>-1000</v>
      </c>
      <c r="CW26" s="27">
        <f ca="1">IF(CW3=$C$23,1,-1000)</f>
        <v>-1000</v>
      </c>
      <c r="CX26" s="27">
        <f ca="1">IF(CX3=$C$23,1,-1000)</f>
        <v>-1000</v>
      </c>
      <c r="CY26" s="27">
        <f ca="1">IF(CY3=$C$23,1,-1000)</f>
        <v>-1000</v>
      </c>
      <c r="CZ26" s="27">
        <f ca="1">IF(CZ3=$C$23,1,-1000)</f>
        <v>-1000</v>
      </c>
      <c r="DA26" s="27">
        <f ca="1">IF(DA3=$C$23,1,-1000)</f>
        <v>-1000</v>
      </c>
      <c r="DB26" s="27">
        <f ca="1">IF(DB3=$C$23,1,-1000)</f>
        <v>-1000</v>
      </c>
      <c r="DC26" s="27">
        <f ca="1">IF(DC3=$C$23,1,-1000)</f>
        <v>-1000</v>
      </c>
      <c r="DD26" s="27">
        <f ca="1">IF(DD3=$C$23,1,-1000)</f>
        <v>-1000</v>
      </c>
      <c r="DE26" s="27">
        <f ca="1">IF(DE3=$C$23,1,-1000)</f>
        <v>-1000</v>
      </c>
      <c r="DF26" s="27">
        <f ca="1">IF(DF3=$C$23,1,-1000)</f>
        <v>-1000</v>
      </c>
      <c r="DG26" s="27">
        <f ca="1">IF(DG3=$C$23,1,-1000)</f>
        <v>-1000</v>
      </c>
      <c r="DH26" s="27">
        <f ca="1">IF(DH3=$C$23,1,-1000)</f>
        <v>-1000</v>
      </c>
      <c r="DI26" s="27">
        <f ca="1">IF(DI3=$C$23,1,-1000)</f>
        <v>-1000</v>
      </c>
      <c r="DJ26" s="27">
        <f ca="1">IF(DJ3=$C$23,1,-1000)</f>
        <v>-1000</v>
      </c>
      <c r="DK26" s="27">
        <f ca="1">IF(DK3=$C$23,1,-1000)</f>
        <v>-1000</v>
      </c>
      <c r="DL26" s="27">
        <f ca="1">IF(DL3=$C$23,1,-1000)</f>
        <v>-1000</v>
      </c>
      <c r="DM26" s="27">
        <f ca="1">IF(DM3=$C$23,1,-1000)</f>
        <v>-1000</v>
      </c>
      <c r="DN26" s="27">
        <f ca="1">IF(DN3=$C$23,1,-1000)</f>
        <v>-1000</v>
      </c>
      <c r="DO26" s="27">
        <f ca="1">IF(DO3=$C$23,1,-1000)</f>
        <v>-1000</v>
      </c>
      <c r="DP26" s="27">
        <f ca="1">IF(DP3=$C$23,1,-1000)</f>
        <v>-1000</v>
      </c>
      <c r="DQ26" s="27">
        <f ca="1">IF(DQ3=$C$23,1,-1000)</f>
        <v>-1000</v>
      </c>
      <c r="DR26" s="27">
        <f ca="1">IF(DR3=$C$23,1,-1000)</f>
        <v>-1000</v>
      </c>
      <c r="DS26" s="27">
        <f ca="1">IF(DS3=$C$23,1,-1000)</f>
        <v>-1000</v>
      </c>
      <c r="DT26" s="27">
        <f ca="1">IF(DT3=$C$23,1,-1000)</f>
        <v>-1000</v>
      </c>
      <c r="DU26" s="27">
        <f ca="1">IF(DU3=$C$23,1,-1000)</f>
        <v>-1000</v>
      </c>
      <c r="DV26" s="27">
        <f ca="1">IF(DV3=$C$23,1,-1000)</f>
        <v>-1000</v>
      </c>
      <c r="DW26" s="27">
        <f ca="1">IF(DW3=$C$23,1,-1000)</f>
        <v>-1000</v>
      </c>
      <c r="DX26" s="27">
        <f ca="1">IF(DX3=$C$23,1,-1000)</f>
        <v>-1000</v>
      </c>
      <c r="DY26" s="27">
        <f ca="1">IF(DY3=$C$23,1,-1000)</f>
        <v>-1000</v>
      </c>
      <c r="DZ26" s="27">
        <f ca="1">IF(DZ3=$C$23,1,-1000)</f>
        <v>-1000</v>
      </c>
      <c r="EA26" s="27">
        <f ca="1">IF(EA3=$C$23,1,-1000)</f>
        <v>-1000</v>
      </c>
      <c r="EB26" s="27">
        <f ca="1">IF(EB3=$C$23,1,-1000)</f>
        <v>-1000</v>
      </c>
      <c r="EC26" s="27">
        <f ca="1">IF(EC3=$C$23,1,-1000)</f>
        <v>-1000</v>
      </c>
      <c r="ED26" s="27">
        <f ca="1">IF(ED3=$C$23,1,-1000)</f>
        <v>-1000</v>
      </c>
      <c r="EE26" s="27">
        <f ca="1">IF(EE3=$C$23,1,-1000)</f>
        <v>-1000</v>
      </c>
      <c r="EF26" s="27">
        <f ca="1">IF(EF3=$C$23,1,-1000)</f>
        <v>-1000</v>
      </c>
      <c r="EG26" s="27">
        <f ca="1">IF(EG3=$C$23,1,-1000)</f>
        <v>-1000</v>
      </c>
      <c r="EH26" s="27">
        <f ca="1">IF(EH3=$C$23,1,-1000)</f>
        <v>-1000</v>
      </c>
      <c r="EI26" s="27">
        <f ca="1">IF(EI3=$C$23,1,-1000)</f>
        <v>-1000</v>
      </c>
      <c r="EJ26" s="27">
        <f ca="1">IF(EJ3=$C$23,1,-1000)</f>
        <v>-1000</v>
      </c>
      <c r="EK26" s="27">
        <f ca="1">IF(EK3=$C$23,1,-1000)</f>
        <v>-1000</v>
      </c>
      <c r="EL26" s="27">
        <f ca="1">IF(EL3=$C$23,1,-1000)</f>
        <v>-1000</v>
      </c>
      <c r="EM26" s="27">
        <f ca="1">IF(EM3=$C$23,1,-1000)</f>
        <v>-1000</v>
      </c>
      <c r="EN26" s="27">
        <f ca="1">IF(EN3=$C$23,1,-1000)</f>
        <v>-1000</v>
      </c>
      <c r="EO26" s="27">
        <f ca="1">IF(EO3=$C$23,1,-1000)</f>
        <v>-1000</v>
      </c>
      <c r="EP26" s="27">
        <f ca="1">IF(EP3=$C$23,1,-1000)</f>
        <v>-1000</v>
      </c>
      <c r="EQ26" s="27">
        <f ca="1">IF(EQ3=$C$23,1,-1000)</f>
        <v>-1000</v>
      </c>
      <c r="ER26" s="27">
        <f ca="1">IF(ER3=$C$23,1,-1000)</f>
        <v>-1000</v>
      </c>
      <c r="ES26" s="27">
        <f ca="1">IF(ES3=$C$23,1,-1000)</f>
        <v>-1000</v>
      </c>
      <c r="ET26" s="27">
        <f ca="1">IF(ET3=$C$23,1,-1000)</f>
        <v>-1000</v>
      </c>
      <c r="EU26" s="27">
        <f ca="1">IF(EU3=$C$23,1,-1000)</f>
        <v>-1000</v>
      </c>
      <c r="EV26" s="27">
        <f ca="1">IF(EV3=$C$23,1,-1000)</f>
        <v>-1000</v>
      </c>
      <c r="EW26" s="27">
        <f ca="1">IF(EW3=$C$23,1,-1000)</f>
        <v>-1000</v>
      </c>
      <c r="EX26" s="27">
        <f ca="1">IF(EX3=$C$23,1,-1000)</f>
        <v>-1000</v>
      </c>
      <c r="EY26" s="27">
        <f ca="1">IF(EY3=$C$23,1,-1000)</f>
        <v>-1000</v>
      </c>
      <c r="EZ26" s="27">
        <f ca="1">IF(EZ3=$C$23,1,-1000)</f>
        <v>-1000</v>
      </c>
      <c r="FA26" s="27">
        <f ca="1">IF(FA3=$C$23,1,-1000)</f>
        <v>-1000</v>
      </c>
      <c r="FB26" s="27">
        <f ca="1">IF(FB3=$C$23,1,-1000)</f>
        <v>-1000</v>
      </c>
      <c r="FC26" s="27">
        <f ca="1">IF(FC3=$C$23,1,-1000)</f>
        <v>-1000</v>
      </c>
      <c r="FD26" s="27">
        <f ca="1">IF(FD3=$C$23,1,-1000)</f>
        <v>-1000</v>
      </c>
      <c r="FE26" s="27">
        <f ca="1">IF(FE3=$C$23,1,-1000)</f>
        <v>-1000</v>
      </c>
      <c r="FF26" s="27">
        <f ca="1">IF(FF3=$C$23,1,-1000)</f>
        <v>-1000</v>
      </c>
      <c r="FG26" s="27">
        <f ca="1">IF(FG3=$C$23,1,-1000)</f>
        <v>-1000</v>
      </c>
      <c r="FH26" s="27">
        <f ca="1">IF(FH3=$C$23,1,-1000)</f>
        <v>-1000</v>
      </c>
      <c r="FI26" s="27">
        <f ca="1">IF(FI3=$C$23,1,-1000)</f>
        <v>-1000</v>
      </c>
      <c r="FJ26" s="27">
        <f ca="1">IF(FJ3=$C$23,1,-1000)</f>
        <v>-1000</v>
      </c>
      <c r="FK26" s="27">
        <f ca="1">IF(FK3=$C$23,1,-1000)</f>
        <v>-1000</v>
      </c>
      <c r="FL26" s="27">
        <f ca="1">IF(FL3=$C$23,1,-1000)</f>
        <v>-1000</v>
      </c>
      <c r="FM26" s="27">
        <f ca="1">IF(FM3=$C$23,1,-1000)</f>
        <v>-1000</v>
      </c>
      <c r="FN26" s="27">
        <f ca="1">IF(FN3=$C$23,1,-1000)</f>
        <v>-1000</v>
      </c>
      <c r="FO26" s="27">
        <f ca="1">IF(FO3=$C$23,1,-1000)</f>
        <v>-1000</v>
      </c>
      <c r="FP26" s="27">
        <f ca="1">IF(FP3=$C$23,1,-1000)</f>
        <v>-1000</v>
      </c>
      <c r="FQ26" s="27">
        <f ca="1">IF(FQ3=$C$23,1,-1000)</f>
        <v>-1000</v>
      </c>
      <c r="FR26" s="27">
        <f ca="1">IF(FR3=$C$23,1,-1000)</f>
        <v>-1000</v>
      </c>
      <c r="FS26" s="27">
        <f ca="1">IF(FS3=$C$23,1,-1000)</f>
        <v>-1000</v>
      </c>
      <c r="FT26" s="27">
        <f ca="1">IF(FT3=$C$23,1,-1000)</f>
        <v>-1000</v>
      </c>
      <c r="FU26" s="27">
        <f ca="1">IF(FU3=$C$23,1,-1000)</f>
        <v>-1000</v>
      </c>
      <c r="FV26" s="27">
        <f ca="1">IF(FV3=$C$23,1,-1000)</f>
        <v>-1000</v>
      </c>
      <c r="FW26" s="27">
        <f ca="1">IF(FW3=$C$23,1,-1000)</f>
        <v>-1000</v>
      </c>
      <c r="FX26" s="27">
        <f ca="1">IF(FX3=$C$23,1,-1000)</f>
        <v>-1000</v>
      </c>
      <c r="FY26" s="27">
        <f ca="1">IF(FY3=$C$23,1,-1000)</f>
        <v>-1000</v>
      </c>
      <c r="FZ26" s="27">
        <f ca="1">IF(FZ3=$C$23,1,-1000)</f>
        <v>-1000</v>
      </c>
      <c r="GA26" s="27">
        <f ca="1">IF(GA3=$C$23,1,-1000)</f>
        <v>-1000</v>
      </c>
      <c r="GB26" s="27">
        <f ca="1">IF(GB3=$C$23,1,-1000)</f>
        <v>-1000</v>
      </c>
      <c r="GC26" s="27">
        <f ca="1">IF(GC3=$C$23,1,-1000)</f>
        <v>-1000</v>
      </c>
      <c r="GD26" s="27">
        <f ca="1">IF(GD3=$C$23,1,-1000)</f>
        <v>-1000</v>
      </c>
      <c r="GE26" s="27">
        <f ca="1">IF(GE3=$C$23,1,-1000)</f>
        <v>-1000</v>
      </c>
      <c r="GF26" s="27">
        <f ca="1">IF(GF3=$C$23,1,-1000)</f>
        <v>-1000</v>
      </c>
      <c r="GG26" s="27">
        <f ca="1">IF(GG3=$C$23,1,-1000)</f>
        <v>-1000</v>
      </c>
      <c r="GH26" s="27">
        <f ca="1">IF(GH3=$C$23,1,-1000)</f>
        <v>-1000</v>
      </c>
      <c r="GI26" s="27">
        <f ca="1">IF(GI3=$C$23,1,-1000)</f>
        <v>-1000</v>
      </c>
      <c r="GJ26" s="27">
        <f ca="1">IF(GJ3=$C$23,1,-1000)</f>
        <v>-1000</v>
      </c>
      <c r="GK26" s="27">
        <f ca="1">IF(GK3=$C$23,1,-1000)</f>
        <v>-1000</v>
      </c>
      <c r="GL26" s="27">
        <f ca="1">IF(GL3=$C$23,1,-1000)</f>
        <v>-1000</v>
      </c>
      <c r="GM26" s="27">
        <f ca="1">IF(GM3=$C$23,1,-1000)</f>
        <v>-1000</v>
      </c>
      <c r="GN26" s="27">
        <f ca="1">IF(GN3=$C$23,1,-1000)</f>
        <v>-1000</v>
      </c>
      <c r="GO26" s="27">
        <f ca="1">IF(GO3=$C$23,1,-1000)</f>
        <v>-1000</v>
      </c>
      <c r="GP26" s="27">
        <f ca="1">IF(GP3=$C$23,1,-1000)</f>
        <v>-1000</v>
      </c>
      <c r="GQ26" s="27">
        <f ca="1">IF(GQ3=$C$23,1,-1000)</f>
        <v>-1000</v>
      </c>
      <c r="GR26" s="27">
        <f ca="1">IF(GR3=$C$23,1,-1000)</f>
        <v>-1000</v>
      </c>
      <c r="GS26" s="27">
        <f ca="1">IF(GS3=$C$23,1,-1000)</f>
        <v>-1000</v>
      </c>
      <c r="GT26" s="27">
        <f ca="1">IF(GT3=$C$23,1,-1000)</f>
        <v>-1000</v>
      </c>
      <c r="GU26" s="27">
        <f ca="1">IF(GU3=$C$23,1,-1000)</f>
        <v>-1000</v>
      </c>
      <c r="GV26" s="27">
        <f ca="1">IF(GV3=$C$23,1,-1000)</f>
        <v>-1000</v>
      </c>
      <c r="GW26" s="27">
        <f ca="1">IF(GW3=$C$23,1,-1000)</f>
        <v>-1000</v>
      </c>
      <c r="GX26" s="27">
        <f ca="1">IF(GX3=$C$23,1,-1000)</f>
        <v>-1000</v>
      </c>
      <c r="GY26" s="27">
        <f ca="1">IF(GY3=$C$23,1,-1000)</f>
        <v>-1000</v>
      </c>
      <c r="GZ26" s="27">
        <f ca="1">IF(GZ3=$C$23,1,-1000)</f>
        <v>-1000</v>
      </c>
      <c r="HA26" s="27">
        <f ca="1">IF(HA3=$C$23,1,-1000)</f>
        <v>-1000</v>
      </c>
      <c r="HB26" s="27">
        <f ca="1">IF(HB3=$C$23,1,-1000)</f>
        <v>-1000</v>
      </c>
      <c r="HC26" s="27">
        <f ca="1">IF(HC3=$C$23,1,-1000)</f>
        <v>-1000</v>
      </c>
      <c r="HD26" s="27">
        <f ca="1">IF(HD3=$C$23,1,-1000)</f>
        <v>-1000</v>
      </c>
      <c r="HE26" s="27">
        <f ca="1">IF(HE3=$C$23,1,-1000)</f>
        <v>-1000</v>
      </c>
      <c r="HF26" s="27">
        <f ca="1">IF(HF3=$C$23,1,-1000)</f>
        <v>-1000</v>
      </c>
      <c r="HG26" s="27">
        <f ca="1">IF(HG3=$C$23,1,-1000)</f>
        <v>-1000</v>
      </c>
      <c r="HH26" s="27">
        <f ca="1">IF(HH3=$C$23,1,-1000)</f>
        <v>-1000</v>
      </c>
      <c r="HI26" s="27">
        <f ca="1">IF(HI3=$C$23,1,-1000)</f>
        <v>-1000</v>
      </c>
      <c r="HJ26" s="27">
        <f ca="1">IF(HJ3=$C$23,1,-1000)</f>
        <v>-1000</v>
      </c>
      <c r="HK26" s="27">
        <f ca="1">IF(HK3=$C$23,1,-1000)</f>
        <v>-1000</v>
      </c>
      <c r="HL26" s="27">
        <f ca="1">IF(HL3=$C$23,1,-1000)</f>
        <v>-1000</v>
      </c>
      <c r="HM26" s="27">
        <f ca="1">IF(HM3=$C$23,1,-1000)</f>
        <v>-1000</v>
      </c>
      <c r="HN26" s="27">
        <f ca="1">IF(HN3=$C$23,1,-1000)</f>
        <v>-1000</v>
      </c>
      <c r="HO26" s="27">
        <f ca="1">IF(HO3=$C$23,1,-1000)</f>
        <v>-1000</v>
      </c>
      <c r="HP26" s="27">
        <f ca="1">IF(HP3=$C$23,1,-1000)</f>
        <v>-1000</v>
      </c>
      <c r="HQ26" s="27">
        <f ca="1">IF(HQ3=$C$23,1,-1000)</f>
        <v>-1000</v>
      </c>
      <c r="HR26" s="27">
        <f ca="1">IF(HR3=$C$23,1,-1000)</f>
        <v>-1000</v>
      </c>
      <c r="HS26" s="27">
        <f ca="1">IF(HS3=$C$23,1,-1000)</f>
        <v>-1000</v>
      </c>
      <c r="HT26" s="27">
        <f ca="1">IF(HT3=$C$23,1,-1000)</f>
        <v>-1000</v>
      </c>
      <c r="HU26" s="27">
        <f ca="1">IF(HU3=$C$23,1,-1000)</f>
        <v>-1000</v>
      </c>
      <c r="HV26" s="27">
        <f ca="1">IF(HV3=$C$23,1,-1000)</f>
        <v>-1000</v>
      </c>
      <c r="HW26" s="27">
        <f ca="1">IF(HW3=$C$23,1,-1000)</f>
        <v>-1000</v>
      </c>
      <c r="HX26" s="27">
        <f ca="1">IF(HX3=$C$23,1,-1000)</f>
        <v>-1000</v>
      </c>
      <c r="HY26" s="27">
        <f ca="1">IF(HY3=$C$23,1,-1000)</f>
        <v>-1000</v>
      </c>
      <c r="HZ26" s="27">
        <f ca="1">IF(HZ3=$C$23,1,-1000)</f>
        <v>-1000</v>
      </c>
      <c r="IA26" s="27">
        <f ca="1">IF(IA3=$C$23,1,-1000)</f>
        <v>-1000</v>
      </c>
      <c r="IB26" s="27">
        <f ca="1">IF(IB3=$C$23,1,-1000)</f>
        <v>-1000</v>
      </c>
      <c r="IC26" s="27">
        <f ca="1">IF(IC3=$C$23,1,-1000)</f>
        <v>-1000</v>
      </c>
      <c r="ID26" s="27">
        <f ca="1">IF(ID3=$C$23,1,-1000)</f>
        <v>-1000</v>
      </c>
      <c r="IE26" s="27">
        <f ca="1">IF(IE3=$C$23,1,-1000)</f>
        <v>-1000</v>
      </c>
      <c r="IF26" s="27">
        <f ca="1">IF(IF3=$C$23,1,-1000)</f>
        <v>-1000</v>
      </c>
      <c r="IG26" s="27">
        <f ca="1">IF(IG3=$C$23,1,-1000)</f>
        <v>-1000</v>
      </c>
      <c r="IH26" s="27">
        <f ca="1">IF(IH3=$C$23,1,-1000)</f>
        <v>-1000</v>
      </c>
      <c r="II26" s="27">
        <f ca="1">IF(II3=$C$23,1,-1000)</f>
        <v>-1000</v>
      </c>
      <c r="IJ26" s="27">
        <f ca="1">IF(IJ3=$C$23,1,-1000)</f>
        <v>-1000</v>
      </c>
      <c r="IK26" s="27">
        <f ca="1">IF(IK3=$C$23,1,-1000)</f>
        <v>-1000</v>
      </c>
      <c r="IL26" s="27">
        <f ca="1">IF(IL3=$C$23,1,-1000)</f>
        <v>-1000</v>
      </c>
      <c r="IM26" s="27">
        <f ca="1">IF(IM3=$C$23,1,-1000)</f>
        <v>-1000</v>
      </c>
      <c r="IN26" s="27">
        <f ca="1">IF(IN3=$C$23,1,-1000)</f>
        <v>-1000</v>
      </c>
    </row>
    <row r="27" spans="2:248" x14ac:dyDescent="0.3">
      <c r="F27" s="22" t="s">
        <v>511</v>
      </c>
      <c r="G27" s="27">
        <f ca="1">IF(G26=1,-1000,IF(G3=$C$22,1,-1000))</f>
        <v>-1000</v>
      </c>
      <c r="H27" s="27">
        <f ca="1">IF(H26=1,-1000,IF(H3=$C$22,1,-1000))</f>
        <v>-1000</v>
      </c>
      <c r="I27" s="27">
        <f ca="1">IF(I26=1,-1000,IF(I3=$C$22,1,-1000))</f>
        <v>-1000</v>
      </c>
      <c r="J27" s="27">
        <f ca="1">IF(J26=1,-1000,IF(J3=$C$22,1,-1000))</f>
        <v>-1000</v>
      </c>
      <c r="K27" s="27">
        <f ca="1">IF(K26=1,-1000,IF(K3=$C$22,1,-1000))</f>
        <v>-1000</v>
      </c>
      <c r="L27" s="27">
        <f ca="1">IF(L26=1,-1000,IF(L3=$C$22,1,-1000))</f>
        <v>-1000</v>
      </c>
      <c r="M27" s="27">
        <f ca="1">IF(M26=1,-1000,IF(M3=$C$22,1,-1000))</f>
        <v>-1000</v>
      </c>
      <c r="N27" s="27">
        <f ca="1">IF(N26=1,-1000,IF(N3=$C$22,1,-1000))</f>
        <v>-1000</v>
      </c>
      <c r="O27" s="27">
        <f ca="1">IF(O26=1,-1000,IF(O3=$C$22,1,-1000))</f>
        <v>-1000</v>
      </c>
      <c r="P27" s="27">
        <f ca="1">IF(P26=1,-1000,IF(P3=$C$22,1,-1000))</f>
        <v>1</v>
      </c>
      <c r="Q27" s="27">
        <f ca="1">IF(Q26=1,-1000,IF(Q3=$C$22,1,-1000))</f>
        <v>-1000</v>
      </c>
      <c r="R27" s="27">
        <f ca="1">IF(R26=1,-1000,IF(R3=$C$22,1,-1000))</f>
        <v>-1000</v>
      </c>
      <c r="S27" s="27">
        <f ca="1">IF(S26=1,-1000,IF(S3=$C$22,1,-1000))</f>
        <v>-1000</v>
      </c>
      <c r="T27" s="27">
        <f ca="1">IF(T26=1,-1000,IF(T3=$C$22,1,-1000))</f>
        <v>-1000</v>
      </c>
      <c r="U27" s="27">
        <f ca="1">IF(U26=1,-1000,IF(U3=$C$22,1,-1000))</f>
        <v>-1000</v>
      </c>
      <c r="V27" s="27">
        <f ca="1">IF(V26=1,-1000,IF(V3=$C$22,1,-1000))</f>
        <v>-1000</v>
      </c>
      <c r="W27" s="27">
        <f ca="1">IF(W26=1,-1000,IF(W3=$C$22,1,-1000))</f>
        <v>-1000</v>
      </c>
      <c r="X27" s="27">
        <f ca="1">IF(X26=1,-1000,IF(X3=$C$22,1,-1000))</f>
        <v>-1000</v>
      </c>
      <c r="Y27" s="27">
        <f ca="1">IF(Y26=1,-1000,IF(Y3=$C$22,1,-1000))</f>
        <v>-1000</v>
      </c>
      <c r="Z27" s="27">
        <f ca="1">IF(Z26=1,-1000,IF(Z3=$C$22,1,-1000))</f>
        <v>-1000</v>
      </c>
      <c r="AA27" s="27">
        <f ca="1">IF(AA26=1,-1000,IF(AA3=$C$22,1,-1000))</f>
        <v>-1000</v>
      </c>
      <c r="AB27" s="27">
        <f ca="1">IF(AB26=1,-1000,IF(AB3=$C$22,1,-1000))</f>
        <v>-1000</v>
      </c>
      <c r="AC27" s="27">
        <f ca="1">IF(AC26=1,-1000,IF(AC3=$C$22,1,-1000))</f>
        <v>-1000</v>
      </c>
      <c r="AD27" s="27">
        <f ca="1">IF(AD26=1,-1000,IF(AD3=$C$22,1,-1000))</f>
        <v>-1000</v>
      </c>
      <c r="AE27" s="27">
        <f ca="1">IF(AE26=1,-1000,IF(AE3=$C$22,1,-1000))</f>
        <v>-1000</v>
      </c>
      <c r="AF27" s="27">
        <f ca="1">IF(AF26=1,-1000,IF(AF3=$C$22,1,-1000))</f>
        <v>-1000</v>
      </c>
      <c r="AG27" s="27">
        <f ca="1">IF(AG26=1,-1000,IF(AG3=$C$22,1,-1000))</f>
        <v>-1000</v>
      </c>
      <c r="AH27" s="27">
        <f ca="1">IF(AH26=1,-1000,IF(AH3=$C$22,1,-1000))</f>
        <v>-1000</v>
      </c>
      <c r="AI27" s="27">
        <f ca="1">IF(AI26=1,-1000,IF(AI3=$C$22,1,-1000))</f>
        <v>-1000</v>
      </c>
      <c r="AJ27" s="27">
        <f ca="1">IF(AJ26=1,-1000,IF(AJ3=$C$22,1,-1000))</f>
        <v>-1000</v>
      </c>
      <c r="AK27" s="27">
        <f ca="1">IF(AK26=1,-1000,IF(AK3=$C$22,1,-1000))</f>
        <v>-1000</v>
      </c>
      <c r="AL27" s="27">
        <f ca="1">IF(AL26=1,-1000,IF(AL3=$C$22,1,-1000))</f>
        <v>-1000</v>
      </c>
      <c r="AM27" s="27">
        <f ca="1">IF(AM26=1,-1000,IF(AM3=$C$22,1,-1000))</f>
        <v>-1000</v>
      </c>
      <c r="AN27" s="27">
        <f ca="1">IF(AN26=1,-1000,IF(AN3=$C$22,1,-1000))</f>
        <v>-1000</v>
      </c>
      <c r="AO27" s="27">
        <f ca="1">IF(AO26=1,-1000,IF(AO3=$C$22,1,-1000))</f>
        <v>-1000</v>
      </c>
      <c r="AP27" s="27">
        <f ca="1">IF(AP26=1,-1000,IF(AP3=$C$22,1,-1000))</f>
        <v>-1000</v>
      </c>
      <c r="AQ27" s="27">
        <f ca="1">IF(AQ26=1,-1000,IF(AQ3=$C$22,1,-1000))</f>
        <v>-1000</v>
      </c>
      <c r="AR27" s="27">
        <f ca="1">IF(AR26=1,-1000,IF(AR3=$C$22,1,-1000))</f>
        <v>-1000</v>
      </c>
      <c r="AS27" s="27">
        <f ca="1">IF(AS26=1,-1000,IF(AS3=$C$22,1,-1000))</f>
        <v>-1000</v>
      </c>
      <c r="AT27" s="27">
        <f ca="1">IF(AT26=1,-1000,IF(AT3=$C$22,1,-1000))</f>
        <v>-1000</v>
      </c>
      <c r="AU27" s="27">
        <f ca="1">IF(AU26=1,-1000,IF(AU3=$C$22,1,-1000))</f>
        <v>-1000</v>
      </c>
      <c r="AV27" s="27">
        <f ca="1">IF(AV26=1,-1000,IF(AV3=$C$22,1,-1000))</f>
        <v>-1000</v>
      </c>
      <c r="AW27" s="27">
        <f ca="1">IF(AW26=1,-1000,IF(AW3=$C$22,1,-1000))</f>
        <v>-1000</v>
      </c>
      <c r="AX27" s="27">
        <f ca="1">IF(AX26=1,-1000,IF(AX3=$C$22,1,-1000))</f>
        <v>-1000</v>
      </c>
      <c r="AY27" s="27">
        <f ca="1">IF(AY26=1,-1000,IF(AY3=$C$22,1,-1000))</f>
        <v>-1000</v>
      </c>
      <c r="AZ27" s="27">
        <f ca="1">IF(AZ26=1,-1000,IF(AZ3=$C$22,1,-1000))</f>
        <v>-1000</v>
      </c>
      <c r="BA27" s="27">
        <f ca="1">IF(BA26=1,-1000,IF(BA3=$C$22,1,-1000))</f>
        <v>-1000</v>
      </c>
      <c r="BB27" s="27">
        <f ca="1">IF(BB26=1,-1000,IF(BB3=$C$22,1,-1000))</f>
        <v>-1000</v>
      </c>
      <c r="BC27" s="27">
        <f ca="1">IF(BC26=1,-1000,IF(BC3=$C$22,1,-1000))</f>
        <v>-1000</v>
      </c>
      <c r="BD27" s="27">
        <f ca="1">IF(BD26=1,-1000,IF(BD3=$C$22,1,-1000))</f>
        <v>-1000</v>
      </c>
      <c r="BE27" s="27">
        <f ca="1">IF(BE26=1,-1000,IF(BE3=$C$22,1,-1000))</f>
        <v>-1000</v>
      </c>
      <c r="BF27" s="27">
        <f ca="1">IF(BF26=1,-1000,IF(BF3=$C$22,1,-1000))</f>
        <v>-1000</v>
      </c>
      <c r="BG27" s="27">
        <f ca="1">IF(BG26=1,-1000,IF(BG3=$C$22,1,-1000))</f>
        <v>-1000</v>
      </c>
      <c r="BH27" s="27">
        <f ca="1">IF(BH26=1,-1000,IF(BH3=$C$22,1,-1000))</f>
        <v>-1000</v>
      </c>
      <c r="BI27" s="27">
        <f ca="1">IF(BI26=1,-1000,IF(BI3=$C$22,1,-1000))</f>
        <v>-1000</v>
      </c>
      <c r="BJ27" s="27">
        <f ca="1">IF(BJ26=1,-1000,IF(BJ3=$C$22,1,-1000))</f>
        <v>-1000</v>
      </c>
      <c r="BK27" s="27">
        <f ca="1">IF(BK26=1,-1000,IF(BK3=$C$22,1,-1000))</f>
        <v>-1000</v>
      </c>
      <c r="BL27" s="27">
        <f ca="1">IF(BL26=1,-1000,IF(BL3=$C$22,1,-1000))</f>
        <v>-1000</v>
      </c>
      <c r="BM27" s="27">
        <f ca="1">IF(BM26=1,-1000,IF(BM3=$C$22,1,-1000))</f>
        <v>-1000</v>
      </c>
      <c r="BN27" s="27">
        <f ca="1">IF(BN26=1,-1000,IF(BN3=$C$22,1,-1000))</f>
        <v>-1000</v>
      </c>
      <c r="BO27" s="27">
        <f ca="1">IF(BO26=1,-1000,IF(BO3=$C$22,1,-1000))</f>
        <v>-1000</v>
      </c>
      <c r="BP27" s="27">
        <f ca="1">IF(BP26=1,-1000,IF(BP3=$C$22,1,-1000))</f>
        <v>-1000</v>
      </c>
      <c r="BQ27" s="27">
        <f ca="1">IF(BQ26=1,-1000,IF(BQ3=$C$22,1,-1000))</f>
        <v>-1000</v>
      </c>
      <c r="BR27" s="27">
        <f ca="1">IF(BR26=1,-1000,IF(BR3=$C$22,1,-1000))</f>
        <v>-1000</v>
      </c>
      <c r="BS27" s="27">
        <f ca="1">IF(BS26=1,-1000,IF(BS3=$C$22,1,-1000))</f>
        <v>-1000</v>
      </c>
      <c r="BT27" s="27">
        <f ca="1">IF(BT26=1,-1000,IF(BT3=$C$22,1,-1000))</f>
        <v>-1000</v>
      </c>
      <c r="BU27" s="27">
        <f ca="1">IF(BU26=1,-1000,IF(BU3=$C$22,1,-1000))</f>
        <v>-1000</v>
      </c>
      <c r="BV27" s="27">
        <f ca="1">IF(BV26=1,-1000,IF(BV3=$C$22,1,-1000))</f>
        <v>-1000</v>
      </c>
      <c r="BW27" s="27">
        <f ca="1">IF(BW26=1,-1000,IF(BW3=$C$22,1,-1000))</f>
        <v>-1000</v>
      </c>
      <c r="BX27" s="27">
        <f ca="1">IF(BX26=1,-1000,IF(BX3=$C$22,1,-1000))</f>
        <v>-1000</v>
      </c>
      <c r="BY27" s="27">
        <f ca="1">IF(BY26=1,-1000,IF(BY3=$C$22,1,-1000))</f>
        <v>-1000</v>
      </c>
      <c r="BZ27" s="27">
        <f ca="1">IF(BZ26=1,-1000,IF(BZ3=$C$22,1,-1000))</f>
        <v>-1000</v>
      </c>
      <c r="CA27" s="27">
        <f ca="1">IF(CA26=1,-1000,IF(CA3=$C$22,1,-1000))</f>
        <v>-1000</v>
      </c>
      <c r="CB27" s="27">
        <f ca="1">IF(CB26=1,-1000,IF(CB3=$C$22,1,-1000))</f>
        <v>-1000</v>
      </c>
      <c r="CC27" s="27">
        <f ca="1">IF(CC26=1,-1000,IF(CC3=$C$22,1,-1000))</f>
        <v>-1000</v>
      </c>
      <c r="CD27" s="27">
        <f ca="1">IF(CD26=1,-1000,IF(CD3=$C$22,1,-1000))</f>
        <v>-1000</v>
      </c>
      <c r="CE27" s="27">
        <f ca="1">IF(CE26=1,-1000,IF(CE3=$C$22,1,-1000))</f>
        <v>-1000</v>
      </c>
      <c r="CF27" s="27">
        <f ca="1">IF(CF26=1,-1000,IF(CF3=$C$22,1,-1000))</f>
        <v>-1000</v>
      </c>
      <c r="CG27" s="27">
        <f ca="1">IF(CG26=1,-1000,IF(CG3=$C$22,1,-1000))</f>
        <v>-1000</v>
      </c>
      <c r="CH27" s="27">
        <f ca="1">IF(CH26=1,-1000,IF(CH3=$C$22,1,-1000))</f>
        <v>-1000</v>
      </c>
      <c r="CI27" s="27">
        <f ca="1">IF(CI26=1,-1000,IF(CI3=$C$22,1,-1000))</f>
        <v>-1000</v>
      </c>
      <c r="CJ27" s="27">
        <f ca="1">IF(CJ26=1,-1000,IF(CJ3=$C$22,1,-1000))</f>
        <v>-1000</v>
      </c>
      <c r="CK27" s="27">
        <f ca="1">IF(CK26=1,-1000,IF(CK3=$C$22,1,-1000))</f>
        <v>-1000</v>
      </c>
      <c r="CL27" s="27">
        <f ca="1">IF(CL26=1,-1000,IF(CL3=$C$22,1,-1000))</f>
        <v>-1000</v>
      </c>
      <c r="CM27" s="27">
        <f ca="1">IF(CM26=1,-1000,IF(CM3=$C$22,1,-1000))</f>
        <v>-1000</v>
      </c>
      <c r="CN27" s="27">
        <f ca="1">IF(CN26=1,-1000,IF(CN3=$C$22,1,-1000))</f>
        <v>-1000</v>
      </c>
      <c r="CO27" s="27">
        <f ca="1">IF(CO26=1,-1000,IF(CO3=$C$22,1,-1000))</f>
        <v>-1000</v>
      </c>
      <c r="CP27" s="27">
        <f ca="1">IF(CP26=1,-1000,IF(CP3=$C$22,1,-1000))</f>
        <v>-1000</v>
      </c>
      <c r="CQ27" s="27">
        <f ca="1">IF(CQ26=1,-1000,IF(CQ3=$C$22,1,-1000))</f>
        <v>-1000</v>
      </c>
      <c r="CR27" s="27">
        <f ca="1">IF(CR26=1,-1000,IF(CR3=$C$22,1,-1000))</f>
        <v>-1000</v>
      </c>
      <c r="CS27" s="27">
        <f ca="1">IF(CS26=1,-1000,IF(CS3=$C$22,1,-1000))</f>
        <v>-1000</v>
      </c>
      <c r="CT27" s="27">
        <f ca="1">IF(CT26=1,-1000,IF(CT3=$C$22,1,-1000))</f>
        <v>-1000</v>
      </c>
      <c r="CU27" s="27">
        <f ca="1">IF(CU26=1,-1000,IF(CU3=$C$22,1,-1000))</f>
        <v>-1000</v>
      </c>
      <c r="CV27" s="27">
        <f ca="1">IF(CV26=1,-1000,IF(CV3=$C$22,1,-1000))</f>
        <v>-1000</v>
      </c>
      <c r="CW27" s="27">
        <f ca="1">IF(CW26=1,-1000,IF(CW3=$C$22,1,-1000))</f>
        <v>-1000</v>
      </c>
      <c r="CX27" s="27">
        <f ca="1">IF(CX26=1,-1000,IF(CX3=$C$22,1,-1000))</f>
        <v>-1000</v>
      </c>
      <c r="CY27" s="27">
        <f ca="1">IF(CY26=1,-1000,IF(CY3=$C$22,1,-1000))</f>
        <v>-1000</v>
      </c>
      <c r="CZ27" s="27">
        <f ca="1">IF(CZ26=1,-1000,IF(CZ3=$C$22,1,-1000))</f>
        <v>-1000</v>
      </c>
      <c r="DA27" s="27">
        <f ca="1">IF(DA26=1,-1000,IF(DA3=$C$22,1,-1000))</f>
        <v>-1000</v>
      </c>
      <c r="DB27" s="27">
        <f ca="1">IF(DB26=1,-1000,IF(DB3=$C$22,1,-1000))</f>
        <v>-1000</v>
      </c>
      <c r="DC27" s="27">
        <f ca="1">IF(DC26=1,-1000,IF(DC3=$C$22,1,-1000))</f>
        <v>-1000</v>
      </c>
      <c r="DD27" s="27">
        <f ca="1">IF(DD26=1,-1000,IF(DD3=$C$22,1,-1000))</f>
        <v>-1000</v>
      </c>
      <c r="DE27" s="27">
        <f ca="1">IF(DE26=1,-1000,IF(DE3=$C$22,1,-1000))</f>
        <v>-1000</v>
      </c>
      <c r="DF27" s="27">
        <f ca="1">IF(DF26=1,-1000,IF(DF3=$C$22,1,-1000))</f>
        <v>-1000</v>
      </c>
      <c r="DG27" s="27">
        <f ca="1">IF(DG26=1,-1000,IF(DG3=$C$22,1,-1000))</f>
        <v>-1000</v>
      </c>
      <c r="DH27" s="27">
        <f ca="1">IF(DH26=1,-1000,IF(DH3=$C$22,1,-1000))</f>
        <v>-1000</v>
      </c>
      <c r="DI27" s="27">
        <f ca="1">IF(DI26=1,-1000,IF(DI3=$C$22,1,-1000))</f>
        <v>-1000</v>
      </c>
      <c r="DJ27" s="27">
        <f ca="1">IF(DJ26=1,-1000,IF(DJ3=$C$22,1,-1000))</f>
        <v>-1000</v>
      </c>
      <c r="DK27" s="27">
        <f ca="1">IF(DK26=1,-1000,IF(DK3=$C$22,1,-1000))</f>
        <v>-1000</v>
      </c>
      <c r="DL27" s="27">
        <f ca="1">IF(DL26=1,-1000,IF(DL3=$C$22,1,-1000))</f>
        <v>-1000</v>
      </c>
      <c r="DM27" s="27">
        <f ca="1">IF(DM26=1,-1000,IF(DM3=$C$22,1,-1000))</f>
        <v>-1000</v>
      </c>
      <c r="DN27" s="27">
        <f ca="1">IF(DN26=1,-1000,IF(DN3=$C$22,1,-1000))</f>
        <v>-1000</v>
      </c>
      <c r="DO27" s="27">
        <f ca="1">IF(DO26=1,-1000,IF(DO3=$C$22,1,-1000))</f>
        <v>-1000</v>
      </c>
      <c r="DP27" s="27">
        <f ca="1">IF(DP26=1,-1000,IF(DP3=$C$22,1,-1000))</f>
        <v>-1000</v>
      </c>
      <c r="DQ27" s="27">
        <f ca="1">IF(DQ26=1,-1000,IF(DQ3=$C$22,1,-1000))</f>
        <v>-1000</v>
      </c>
      <c r="DR27" s="27">
        <f ca="1">IF(DR26=1,-1000,IF(DR3=$C$22,1,-1000))</f>
        <v>-1000</v>
      </c>
      <c r="DS27" s="27">
        <f ca="1">IF(DS26=1,-1000,IF(DS3=$C$22,1,-1000))</f>
        <v>-1000</v>
      </c>
      <c r="DT27" s="27">
        <f ca="1">IF(DT26=1,-1000,IF(DT3=$C$22,1,-1000))</f>
        <v>-1000</v>
      </c>
      <c r="DU27" s="27">
        <f ca="1">IF(DU26=1,-1000,IF(DU3=$C$22,1,-1000))</f>
        <v>-1000</v>
      </c>
      <c r="DV27" s="27">
        <f ca="1">IF(DV26=1,-1000,IF(DV3=$C$22,1,-1000))</f>
        <v>-1000</v>
      </c>
      <c r="DW27" s="27">
        <f ca="1">IF(DW26=1,-1000,IF(DW3=$C$22,1,-1000))</f>
        <v>-1000</v>
      </c>
      <c r="DX27" s="27">
        <f ca="1">IF(DX26=1,-1000,IF(DX3=$C$22,1,-1000))</f>
        <v>-1000</v>
      </c>
      <c r="DY27" s="27">
        <f ca="1">IF(DY26=1,-1000,IF(DY3=$C$22,1,-1000))</f>
        <v>-1000</v>
      </c>
      <c r="DZ27" s="27">
        <f ca="1">IF(DZ26=1,-1000,IF(DZ3=$C$22,1,-1000))</f>
        <v>-1000</v>
      </c>
      <c r="EA27" s="27">
        <f ca="1">IF(EA26=1,-1000,IF(EA3=$C$22,1,-1000))</f>
        <v>-1000</v>
      </c>
      <c r="EB27" s="27">
        <f ca="1">IF(EB26=1,-1000,IF(EB3=$C$22,1,-1000))</f>
        <v>-1000</v>
      </c>
      <c r="EC27" s="27">
        <f ca="1">IF(EC26=1,-1000,IF(EC3=$C$22,1,-1000))</f>
        <v>-1000</v>
      </c>
      <c r="ED27" s="27">
        <f ca="1">IF(ED26=1,-1000,IF(ED3=$C$22,1,-1000))</f>
        <v>-1000</v>
      </c>
      <c r="EE27" s="27">
        <f ca="1">IF(EE26=1,-1000,IF(EE3=$C$22,1,-1000))</f>
        <v>-1000</v>
      </c>
      <c r="EF27" s="27">
        <f ca="1">IF(EF26=1,-1000,IF(EF3=$C$22,1,-1000))</f>
        <v>-1000</v>
      </c>
      <c r="EG27" s="27">
        <f ca="1">IF(EG26=1,-1000,IF(EG3=$C$22,1,-1000))</f>
        <v>-1000</v>
      </c>
      <c r="EH27" s="27">
        <f ca="1">IF(EH26=1,-1000,IF(EH3=$C$22,1,-1000))</f>
        <v>-1000</v>
      </c>
      <c r="EI27" s="27">
        <f ca="1">IF(EI26=1,-1000,IF(EI3=$C$22,1,-1000))</f>
        <v>-1000</v>
      </c>
      <c r="EJ27" s="27">
        <f ca="1">IF(EJ26=1,-1000,IF(EJ3=$C$22,1,-1000))</f>
        <v>-1000</v>
      </c>
      <c r="EK27" s="27">
        <f ca="1">IF(EK26=1,-1000,IF(EK3=$C$22,1,-1000))</f>
        <v>-1000</v>
      </c>
      <c r="EL27" s="27">
        <f ca="1">IF(EL26=1,-1000,IF(EL3=$C$22,1,-1000))</f>
        <v>-1000</v>
      </c>
      <c r="EM27" s="27">
        <f ca="1">IF(EM26=1,-1000,IF(EM3=$C$22,1,-1000))</f>
        <v>-1000</v>
      </c>
      <c r="EN27" s="27">
        <f ca="1">IF(EN26=1,-1000,IF(EN3=$C$22,1,-1000))</f>
        <v>-1000</v>
      </c>
      <c r="EO27" s="27">
        <f ca="1">IF(EO26=1,-1000,IF(EO3=$C$22,1,-1000))</f>
        <v>-1000</v>
      </c>
      <c r="EP27" s="27">
        <f ca="1">IF(EP26=1,-1000,IF(EP3=$C$22,1,-1000))</f>
        <v>-1000</v>
      </c>
      <c r="EQ27" s="27">
        <f ca="1">IF(EQ26=1,-1000,IF(EQ3=$C$22,1,-1000))</f>
        <v>-1000</v>
      </c>
      <c r="ER27" s="27">
        <f ca="1">IF(ER26=1,-1000,IF(ER3=$C$22,1,-1000))</f>
        <v>-1000</v>
      </c>
      <c r="ES27" s="27">
        <f ca="1">IF(ES26=1,-1000,IF(ES3=$C$22,1,-1000))</f>
        <v>-1000</v>
      </c>
      <c r="ET27" s="27">
        <f ca="1">IF(ET26=1,-1000,IF(ET3=$C$22,1,-1000))</f>
        <v>-1000</v>
      </c>
      <c r="EU27" s="27">
        <f ca="1">IF(EU26=1,-1000,IF(EU3=$C$22,1,-1000))</f>
        <v>-1000</v>
      </c>
      <c r="EV27" s="27">
        <f ca="1">IF(EV26=1,-1000,IF(EV3=$C$22,1,-1000))</f>
        <v>-1000</v>
      </c>
      <c r="EW27" s="27">
        <f ca="1">IF(EW26=1,-1000,IF(EW3=$C$22,1,-1000))</f>
        <v>-1000</v>
      </c>
      <c r="EX27" s="27">
        <f ca="1">IF(EX26=1,-1000,IF(EX3=$C$22,1,-1000))</f>
        <v>-1000</v>
      </c>
      <c r="EY27" s="27">
        <f ca="1">IF(EY26=1,-1000,IF(EY3=$C$22,1,-1000))</f>
        <v>-1000</v>
      </c>
      <c r="EZ27" s="27">
        <f ca="1">IF(EZ26=1,-1000,IF(EZ3=$C$22,1,-1000))</f>
        <v>-1000</v>
      </c>
      <c r="FA27" s="27">
        <f ca="1">IF(FA26=1,-1000,IF(FA3=$C$22,1,-1000))</f>
        <v>-1000</v>
      </c>
      <c r="FB27" s="27">
        <f ca="1">IF(FB26=1,-1000,IF(FB3=$C$22,1,-1000))</f>
        <v>-1000</v>
      </c>
      <c r="FC27" s="27">
        <f ca="1">IF(FC26=1,-1000,IF(FC3=$C$22,1,-1000))</f>
        <v>-1000</v>
      </c>
      <c r="FD27" s="27">
        <f ca="1">IF(FD26=1,-1000,IF(FD3=$C$22,1,-1000))</f>
        <v>-1000</v>
      </c>
      <c r="FE27" s="27">
        <f ca="1">IF(FE26=1,-1000,IF(FE3=$C$22,1,-1000))</f>
        <v>-1000</v>
      </c>
      <c r="FF27" s="27">
        <f ca="1">IF(FF26=1,-1000,IF(FF3=$C$22,1,-1000))</f>
        <v>-1000</v>
      </c>
      <c r="FG27" s="27">
        <f ca="1">IF(FG26=1,-1000,IF(FG3=$C$22,1,-1000))</f>
        <v>-1000</v>
      </c>
      <c r="FH27" s="27">
        <f ca="1">IF(FH26=1,-1000,IF(FH3=$C$22,1,-1000))</f>
        <v>-1000</v>
      </c>
      <c r="FI27" s="27">
        <f ca="1">IF(FI26=1,-1000,IF(FI3=$C$22,1,-1000))</f>
        <v>-1000</v>
      </c>
      <c r="FJ27" s="27">
        <f ca="1">IF(FJ26=1,-1000,IF(FJ3=$C$22,1,-1000))</f>
        <v>-1000</v>
      </c>
      <c r="FK27" s="27">
        <f ca="1">IF(FK26=1,-1000,IF(FK3=$C$22,1,-1000))</f>
        <v>-1000</v>
      </c>
      <c r="FL27" s="27">
        <f ca="1">IF(FL26=1,-1000,IF(FL3=$C$22,1,-1000))</f>
        <v>-1000</v>
      </c>
      <c r="FM27" s="27">
        <f ca="1">IF(FM26=1,-1000,IF(FM3=$C$22,1,-1000))</f>
        <v>-1000</v>
      </c>
      <c r="FN27" s="27">
        <f ca="1">IF(FN26=1,-1000,IF(FN3=$C$22,1,-1000))</f>
        <v>-1000</v>
      </c>
      <c r="FO27" s="27">
        <f ca="1">IF(FO26=1,-1000,IF(FO3=$C$22,1,-1000))</f>
        <v>-1000</v>
      </c>
      <c r="FP27" s="27">
        <f ca="1">IF(FP26=1,-1000,IF(FP3=$C$22,1,-1000))</f>
        <v>-1000</v>
      </c>
      <c r="FQ27" s="27">
        <f ca="1">IF(FQ26=1,-1000,IF(FQ3=$C$22,1,-1000))</f>
        <v>-1000</v>
      </c>
      <c r="FR27" s="27">
        <f ca="1">IF(FR26=1,-1000,IF(FR3=$C$22,1,-1000))</f>
        <v>-1000</v>
      </c>
      <c r="FS27" s="27">
        <f ca="1">IF(FS26=1,-1000,IF(FS3=$C$22,1,-1000))</f>
        <v>-1000</v>
      </c>
      <c r="FT27" s="27">
        <f ca="1">IF(FT26=1,-1000,IF(FT3=$C$22,1,-1000))</f>
        <v>-1000</v>
      </c>
      <c r="FU27" s="27">
        <f ca="1">IF(FU26=1,-1000,IF(FU3=$C$22,1,-1000))</f>
        <v>-1000</v>
      </c>
      <c r="FV27" s="27">
        <f ca="1">IF(FV26=1,-1000,IF(FV3=$C$22,1,-1000))</f>
        <v>-1000</v>
      </c>
      <c r="FW27" s="27">
        <f ca="1">IF(FW26=1,-1000,IF(FW3=$C$22,1,-1000))</f>
        <v>-1000</v>
      </c>
      <c r="FX27" s="27">
        <f ca="1">IF(FX26=1,-1000,IF(FX3=$C$22,1,-1000))</f>
        <v>-1000</v>
      </c>
      <c r="FY27" s="27">
        <f ca="1">IF(FY26=1,-1000,IF(FY3=$C$22,1,-1000))</f>
        <v>-1000</v>
      </c>
      <c r="FZ27" s="27">
        <f ca="1">IF(FZ26=1,-1000,IF(FZ3=$C$22,1,-1000))</f>
        <v>-1000</v>
      </c>
      <c r="GA27" s="27">
        <f ca="1">IF(GA26=1,-1000,IF(GA3=$C$22,1,-1000))</f>
        <v>-1000</v>
      </c>
      <c r="GB27" s="27">
        <f ca="1">IF(GB26=1,-1000,IF(GB3=$C$22,1,-1000))</f>
        <v>-1000</v>
      </c>
      <c r="GC27" s="27">
        <f ca="1">IF(GC26=1,-1000,IF(GC3=$C$22,1,-1000))</f>
        <v>-1000</v>
      </c>
      <c r="GD27" s="27">
        <f ca="1">IF(GD26=1,-1000,IF(GD3=$C$22,1,-1000))</f>
        <v>-1000</v>
      </c>
      <c r="GE27" s="27">
        <f ca="1">IF(GE26=1,-1000,IF(GE3=$C$22,1,-1000))</f>
        <v>-1000</v>
      </c>
      <c r="GF27" s="27">
        <f ca="1">IF(GF26=1,-1000,IF(GF3=$C$22,1,-1000))</f>
        <v>-1000</v>
      </c>
      <c r="GG27" s="27">
        <f ca="1">IF(GG26=1,-1000,IF(GG3=$C$22,1,-1000))</f>
        <v>-1000</v>
      </c>
      <c r="GH27" s="27">
        <f ca="1">IF(GH26=1,-1000,IF(GH3=$C$22,1,-1000))</f>
        <v>-1000</v>
      </c>
      <c r="GI27" s="27">
        <f ca="1">IF(GI26=1,-1000,IF(GI3=$C$22,1,-1000))</f>
        <v>-1000</v>
      </c>
      <c r="GJ27" s="27">
        <f ca="1">IF(GJ26=1,-1000,IF(GJ3=$C$22,1,-1000))</f>
        <v>-1000</v>
      </c>
      <c r="GK27" s="27">
        <f ca="1">IF(GK26=1,-1000,IF(GK3=$C$22,1,-1000))</f>
        <v>-1000</v>
      </c>
      <c r="GL27" s="27">
        <f ca="1">IF(GL26=1,-1000,IF(GL3=$C$22,1,-1000))</f>
        <v>-1000</v>
      </c>
      <c r="GM27" s="27">
        <f ca="1">IF(GM26=1,-1000,IF(GM3=$C$22,1,-1000))</f>
        <v>-1000</v>
      </c>
      <c r="GN27" s="27">
        <f ca="1">IF(GN26=1,-1000,IF(GN3=$C$22,1,-1000))</f>
        <v>-1000</v>
      </c>
      <c r="GO27" s="27">
        <f ca="1">IF(GO26=1,-1000,IF(GO3=$C$22,1,-1000))</f>
        <v>-1000</v>
      </c>
      <c r="GP27" s="27">
        <f ca="1">IF(GP26=1,-1000,IF(GP3=$C$22,1,-1000))</f>
        <v>-1000</v>
      </c>
      <c r="GQ27" s="27">
        <f ca="1">IF(GQ26=1,-1000,IF(GQ3=$C$22,1,-1000))</f>
        <v>-1000</v>
      </c>
      <c r="GR27" s="27">
        <f ca="1">IF(GR26=1,-1000,IF(GR3=$C$22,1,-1000))</f>
        <v>-1000</v>
      </c>
      <c r="GS27" s="27">
        <f ca="1">IF(GS26=1,-1000,IF(GS3=$C$22,1,-1000))</f>
        <v>-1000</v>
      </c>
      <c r="GT27" s="27">
        <f ca="1">IF(GT26=1,-1000,IF(GT3=$C$22,1,-1000))</f>
        <v>-1000</v>
      </c>
      <c r="GU27" s="27">
        <f ca="1">IF(GU26=1,-1000,IF(GU3=$C$22,1,-1000))</f>
        <v>-1000</v>
      </c>
      <c r="GV27" s="27">
        <f ca="1">IF(GV26=1,-1000,IF(GV3=$C$22,1,-1000))</f>
        <v>-1000</v>
      </c>
      <c r="GW27" s="27">
        <f ca="1">IF(GW26=1,-1000,IF(GW3=$C$22,1,-1000))</f>
        <v>-1000</v>
      </c>
      <c r="GX27" s="27">
        <f ca="1">IF(GX26=1,-1000,IF(GX3=$C$22,1,-1000))</f>
        <v>-1000</v>
      </c>
      <c r="GY27" s="27">
        <f ca="1">IF(GY26=1,-1000,IF(GY3=$C$22,1,-1000))</f>
        <v>-1000</v>
      </c>
      <c r="GZ27" s="27">
        <f ca="1">IF(GZ26=1,-1000,IF(GZ3=$C$22,1,-1000))</f>
        <v>-1000</v>
      </c>
      <c r="HA27" s="27">
        <f ca="1">IF(HA26=1,-1000,IF(HA3=$C$22,1,-1000))</f>
        <v>-1000</v>
      </c>
      <c r="HB27" s="27">
        <f ca="1">IF(HB26=1,-1000,IF(HB3=$C$22,1,-1000))</f>
        <v>-1000</v>
      </c>
      <c r="HC27" s="27">
        <f ca="1">IF(HC26=1,-1000,IF(HC3=$C$22,1,-1000))</f>
        <v>-1000</v>
      </c>
      <c r="HD27" s="27">
        <f ca="1">IF(HD26=1,-1000,IF(HD3=$C$22,1,-1000))</f>
        <v>-1000</v>
      </c>
      <c r="HE27" s="27">
        <f ca="1">IF(HE26=1,-1000,IF(HE3=$C$22,1,-1000))</f>
        <v>-1000</v>
      </c>
      <c r="HF27" s="27">
        <f ca="1">IF(HF26=1,-1000,IF(HF3=$C$22,1,-1000))</f>
        <v>-1000</v>
      </c>
      <c r="HG27" s="27">
        <f ca="1">IF(HG26=1,-1000,IF(HG3=$C$22,1,-1000))</f>
        <v>-1000</v>
      </c>
      <c r="HH27" s="27">
        <f ca="1">IF(HH26=1,-1000,IF(HH3=$C$22,1,-1000))</f>
        <v>-1000</v>
      </c>
      <c r="HI27" s="27">
        <f ca="1">IF(HI26=1,-1000,IF(HI3=$C$22,1,-1000))</f>
        <v>-1000</v>
      </c>
      <c r="HJ27" s="27">
        <f ca="1">IF(HJ26=1,-1000,IF(HJ3=$C$22,1,-1000))</f>
        <v>-1000</v>
      </c>
      <c r="HK27" s="27">
        <f ca="1">IF(HK26=1,-1000,IF(HK3=$C$22,1,-1000))</f>
        <v>-1000</v>
      </c>
      <c r="HL27" s="27">
        <f ca="1">IF(HL26=1,-1000,IF(HL3=$C$22,1,-1000))</f>
        <v>-1000</v>
      </c>
      <c r="HM27" s="27">
        <f ca="1">IF(HM26=1,-1000,IF(HM3=$C$22,1,-1000))</f>
        <v>-1000</v>
      </c>
      <c r="HN27" s="27">
        <f ca="1">IF(HN26=1,-1000,IF(HN3=$C$22,1,-1000))</f>
        <v>-1000</v>
      </c>
      <c r="HO27" s="27">
        <f ca="1">IF(HO26=1,-1000,IF(HO3=$C$22,1,-1000))</f>
        <v>-1000</v>
      </c>
      <c r="HP27" s="27">
        <f ca="1">IF(HP26=1,-1000,IF(HP3=$C$22,1,-1000))</f>
        <v>-1000</v>
      </c>
      <c r="HQ27" s="27">
        <f ca="1">IF(HQ26=1,-1000,IF(HQ3=$C$22,1,-1000))</f>
        <v>-1000</v>
      </c>
      <c r="HR27" s="27">
        <f ca="1">IF(HR26=1,-1000,IF(HR3=$C$22,1,-1000))</f>
        <v>-1000</v>
      </c>
      <c r="HS27" s="27">
        <f ca="1">IF(HS26=1,-1000,IF(HS3=$C$22,1,-1000))</f>
        <v>-1000</v>
      </c>
      <c r="HT27" s="27">
        <f ca="1">IF(HT26=1,-1000,IF(HT3=$C$22,1,-1000))</f>
        <v>-1000</v>
      </c>
      <c r="HU27" s="27">
        <f ca="1">IF(HU26=1,-1000,IF(HU3=$C$22,1,-1000))</f>
        <v>-1000</v>
      </c>
      <c r="HV27" s="27">
        <f ca="1">IF(HV26=1,-1000,IF(HV3=$C$22,1,-1000))</f>
        <v>-1000</v>
      </c>
      <c r="HW27" s="27">
        <f ca="1">IF(HW26=1,-1000,IF(HW3=$C$22,1,-1000))</f>
        <v>-1000</v>
      </c>
      <c r="HX27" s="27">
        <f ca="1">IF(HX26=1,-1000,IF(HX3=$C$22,1,-1000))</f>
        <v>-1000</v>
      </c>
      <c r="HY27" s="27">
        <f ca="1">IF(HY26=1,-1000,IF(HY3=$C$22,1,-1000))</f>
        <v>-1000</v>
      </c>
      <c r="HZ27" s="27">
        <f ca="1">IF(HZ26=1,-1000,IF(HZ3=$C$22,1,-1000))</f>
        <v>-1000</v>
      </c>
      <c r="IA27" s="27">
        <f ca="1">IF(IA26=1,-1000,IF(IA3=$C$22,1,-1000))</f>
        <v>-1000</v>
      </c>
      <c r="IB27" s="27">
        <f ca="1">IF(IB26=1,-1000,IF(IB3=$C$22,1,-1000))</f>
        <v>-1000</v>
      </c>
      <c r="IC27" s="27">
        <f ca="1">IF(IC26=1,-1000,IF(IC3=$C$22,1,-1000))</f>
        <v>-1000</v>
      </c>
      <c r="ID27" s="27">
        <f ca="1">IF(ID26=1,-1000,IF(ID3=$C$22,1,-1000))</f>
        <v>-1000</v>
      </c>
      <c r="IE27" s="27">
        <f ca="1">IF(IE26=1,-1000,IF(IE3=$C$22,1,-1000))</f>
        <v>-1000</v>
      </c>
      <c r="IF27" s="27">
        <f ca="1">IF(IF26=1,-1000,IF(IF3=$C$22,1,-1000))</f>
        <v>-1000</v>
      </c>
      <c r="IG27" s="27">
        <f ca="1">IF(IG26=1,-1000,IF(IG3=$C$22,1,-1000))</f>
        <v>-1000</v>
      </c>
      <c r="IH27" s="27">
        <f ca="1">IF(IH26=1,-1000,IF(IH3=$C$22,1,-1000))</f>
        <v>-1000</v>
      </c>
      <c r="II27" s="27">
        <f ca="1">IF(II26=1,-1000,IF(II3=$C$22,1,-1000))</f>
        <v>-1000</v>
      </c>
      <c r="IJ27" s="27">
        <f ca="1">IF(IJ26=1,-1000,IF(IJ3=$C$22,1,-1000))</f>
        <v>-1000</v>
      </c>
      <c r="IK27" s="27">
        <f ca="1">IF(IK26=1,-1000,IF(IK3=$C$22,1,-1000))</f>
        <v>-1000</v>
      </c>
      <c r="IL27" s="27">
        <f ca="1">IF(IL26=1,-1000,IF(IL3=$C$22,1,-1000))</f>
        <v>-1000</v>
      </c>
      <c r="IM27" s="27">
        <f ca="1">IF(IM26=1,-1000,IF(IM3=$C$22,1,-1000))</f>
        <v>-1000</v>
      </c>
      <c r="IN27" s="27">
        <f ca="1">IF(IN26=1,-1000,IF(IN3=$C$22,1,-1000))</f>
        <v>-1000</v>
      </c>
    </row>
    <row r="28" spans="2:248" x14ac:dyDescent="0.3">
      <c r="B28" s="19" t="s">
        <v>428</v>
      </c>
      <c r="C28" s="20">
        <f ca="1">G3</f>
        <v>43891</v>
      </c>
      <c r="D28" s="20">
        <f ca="1">G3</f>
        <v>43891</v>
      </c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</row>
    <row r="29" spans="2:248" ht="15" thickBot="1" x14ac:dyDescent="0.35">
      <c r="B29" s="19" t="s">
        <v>458</v>
      </c>
      <c r="C29" s="20">
        <f ca="1">MIN(IF(Projections!$Z$11="",xMin2+C5+5,xMin2+Projections!$Z$11+C5),MAX(3:3))</f>
        <v>43915</v>
      </c>
      <c r="D29" s="20">
        <f ca="1">OFFSET(G24,-21,MATCH(1,G24:KU24,0))+3</f>
        <v>43938</v>
      </c>
    </row>
    <row r="30" spans="2:248" ht="15" thickBot="1" x14ac:dyDescent="0.35">
      <c r="C30" s="20"/>
      <c r="D30" s="20"/>
      <c r="S30" s="18"/>
      <c r="T30" s="30"/>
      <c r="W30" s="28"/>
      <c r="X30" s="21"/>
      <c r="AI30" s="31"/>
      <c r="AJ30" s="32"/>
      <c r="AK30" s="33"/>
      <c r="AL30" s="32"/>
      <c r="AM30" s="32"/>
      <c r="AN30" s="33"/>
      <c r="AO30" s="33"/>
      <c r="AP30" s="34"/>
      <c r="AQ30" s="31"/>
    </row>
    <row r="31" spans="2:248" ht="15" thickBot="1" x14ac:dyDescent="0.35">
      <c r="S31" s="18"/>
      <c r="T31" s="30"/>
      <c r="W31" s="28"/>
      <c r="X31" s="21"/>
      <c r="AI31" s="31"/>
      <c r="AJ31" s="32"/>
      <c r="AK31" s="33"/>
      <c r="AL31" s="32"/>
      <c r="AM31" s="32"/>
      <c r="AN31" s="33"/>
      <c r="AO31" s="33"/>
      <c r="AP31" s="34"/>
      <c r="AQ31" s="31"/>
    </row>
    <row r="32" spans="2:248" ht="15" thickBot="1" x14ac:dyDescent="0.35">
      <c r="S32" s="18"/>
      <c r="T32" s="30"/>
      <c r="W32" s="28"/>
      <c r="X32" s="21"/>
      <c r="AI32" s="31"/>
      <c r="AJ32" s="32"/>
      <c r="AK32" s="33"/>
      <c r="AL32" s="32"/>
      <c r="AM32" s="32"/>
      <c r="AN32" s="33"/>
      <c r="AO32" s="33"/>
      <c r="AP32" s="34"/>
      <c r="AQ32" s="31"/>
    </row>
    <row r="33" spans="2:43" ht="15" thickBot="1" x14ac:dyDescent="0.35">
      <c r="B33" s="19" t="str">
        <f>B2&amp;" Covid-19 projections"</f>
        <v>Germany Covid-19 projections</v>
      </c>
      <c r="S33" s="18"/>
      <c r="T33" s="30"/>
      <c r="W33" s="28"/>
      <c r="X33" s="21"/>
      <c r="AI33" s="31"/>
      <c r="AJ33" s="32"/>
      <c r="AK33" s="33"/>
      <c r="AL33" s="32"/>
      <c r="AM33" s="32"/>
      <c r="AN33" s="33"/>
      <c r="AO33" s="33"/>
      <c r="AP33" s="34"/>
      <c r="AQ33" s="31"/>
    </row>
    <row r="34" spans="2:43" ht="15" thickBot="1" x14ac:dyDescent="0.35">
      <c r="B34" s="19" t="str">
        <f>B2&amp;" critically ill projections ("&amp;TEXT(C14,"0.0%")&amp;" of infected requiring critical care)"</f>
        <v>Germany critically ill projections (0.5% of infected requiring critical care)</v>
      </c>
      <c r="S34" s="18"/>
      <c r="T34" s="30"/>
      <c r="W34" s="35"/>
      <c r="X34" s="21"/>
      <c r="AI34" s="31"/>
      <c r="AJ34" s="32"/>
      <c r="AK34" s="33"/>
      <c r="AL34" s="32"/>
      <c r="AM34" s="32"/>
      <c r="AN34" s="33"/>
      <c r="AO34" s="33"/>
      <c r="AP34" s="34"/>
      <c r="AQ34" s="31"/>
    </row>
    <row r="35" spans="2:43" ht="15" thickBot="1" x14ac:dyDescent="0.35">
      <c r="S35" s="18"/>
      <c r="T35" s="30"/>
      <c r="W35" s="28"/>
      <c r="X35" s="21"/>
      <c r="AI35" s="31"/>
      <c r="AJ35" s="32"/>
      <c r="AK35" s="33"/>
      <c r="AL35" s="32"/>
      <c r="AM35" s="32"/>
      <c r="AN35" s="33"/>
      <c r="AO35" s="33"/>
      <c r="AP35" s="34"/>
      <c r="AQ35" s="31"/>
    </row>
    <row r="36" spans="2:43" ht="15" thickBot="1" x14ac:dyDescent="0.35">
      <c r="C36" s="20"/>
      <c r="S36" s="18"/>
      <c r="T36" s="30"/>
      <c r="W36" s="28"/>
      <c r="X36" s="21"/>
      <c r="AI36" s="31"/>
      <c r="AJ36" s="32"/>
      <c r="AK36" s="33"/>
      <c r="AL36" s="32"/>
      <c r="AM36" s="32"/>
      <c r="AN36" s="33"/>
      <c r="AO36" s="33"/>
      <c r="AP36" s="34"/>
      <c r="AQ36" s="31"/>
    </row>
    <row r="37" spans="2:43" ht="15" thickBot="1" x14ac:dyDescent="0.35">
      <c r="S37" s="18"/>
      <c r="T37" s="30"/>
      <c r="W37" s="28"/>
      <c r="X37" s="21"/>
      <c r="AI37" s="31"/>
      <c r="AJ37" s="32"/>
      <c r="AK37" s="32"/>
      <c r="AL37" s="32"/>
      <c r="AM37" s="32"/>
      <c r="AN37" s="33"/>
      <c r="AO37" s="33"/>
      <c r="AP37" s="34"/>
      <c r="AQ37" s="31"/>
    </row>
    <row r="38" spans="2:43" ht="15" thickBot="1" x14ac:dyDescent="0.35">
      <c r="B38" s="21"/>
      <c r="S38" s="18"/>
      <c r="T38" s="30"/>
      <c r="W38" s="28"/>
      <c r="X38" s="21"/>
      <c r="AI38" s="31"/>
      <c r="AJ38" s="32"/>
      <c r="AK38" s="33"/>
      <c r="AL38" s="32"/>
      <c r="AM38" s="32"/>
      <c r="AN38" s="33"/>
      <c r="AO38" s="33"/>
      <c r="AP38" s="34"/>
      <c r="AQ38" s="31"/>
    </row>
    <row r="39" spans="2:43" ht="15" thickBot="1" x14ac:dyDescent="0.35">
      <c r="B39" s="24"/>
      <c r="S39" s="18"/>
      <c r="T39" s="30"/>
      <c r="W39" s="28"/>
      <c r="X39" s="21"/>
      <c r="AI39" s="31"/>
      <c r="AJ39" s="32"/>
      <c r="AK39" s="33"/>
      <c r="AL39" s="32"/>
      <c r="AM39" s="32"/>
      <c r="AN39" s="33"/>
      <c r="AO39" s="33"/>
      <c r="AP39" s="34"/>
      <c r="AQ39" s="31"/>
    </row>
    <row r="40" spans="2:43" ht="15" thickBot="1" x14ac:dyDescent="0.35">
      <c r="B40" s="24"/>
      <c r="S40" s="18"/>
      <c r="T40" s="30"/>
      <c r="AI40" s="31"/>
      <c r="AJ40" s="32"/>
      <c r="AK40" s="33"/>
      <c r="AL40" s="32"/>
      <c r="AM40" s="32"/>
      <c r="AN40" s="33"/>
      <c r="AO40" s="33"/>
      <c r="AP40" s="34"/>
      <c r="AQ40" s="31"/>
    </row>
    <row r="41" spans="2:43" ht="15" thickBot="1" x14ac:dyDescent="0.35">
      <c r="S41" s="18"/>
      <c r="T41" s="30"/>
      <c r="AI41" s="31"/>
      <c r="AJ41" s="32"/>
      <c r="AK41" s="33"/>
      <c r="AL41" s="32"/>
      <c r="AM41" s="32"/>
      <c r="AN41" s="33"/>
      <c r="AO41" s="33"/>
      <c r="AP41" s="34"/>
      <c r="AQ41" s="31"/>
    </row>
    <row r="42" spans="2:43" ht="15" thickBot="1" x14ac:dyDescent="0.35">
      <c r="S42" s="18"/>
      <c r="T42" s="30"/>
      <c r="AI42" s="31"/>
      <c r="AJ42" s="32"/>
      <c r="AK42" s="33"/>
      <c r="AL42" s="32"/>
      <c r="AM42" s="32"/>
      <c r="AN42" s="33"/>
      <c r="AO42" s="33"/>
      <c r="AP42" s="34"/>
      <c r="AQ42" s="31"/>
    </row>
    <row r="43" spans="2:43" ht="15" thickBot="1" x14ac:dyDescent="0.35">
      <c r="S43" s="18"/>
      <c r="T43" s="30"/>
      <c r="AI43" s="31"/>
      <c r="AJ43" s="32"/>
      <c r="AK43" s="33"/>
      <c r="AL43" s="32"/>
      <c r="AM43" s="32"/>
      <c r="AN43" s="33"/>
      <c r="AO43" s="33"/>
      <c r="AP43" s="34"/>
      <c r="AQ43" s="31"/>
    </row>
    <row r="44" spans="2:43" ht="15" thickBot="1" x14ac:dyDescent="0.35">
      <c r="S44" s="18"/>
      <c r="T44" s="30"/>
      <c r="AI44" s="31"/>
      <c r="AJ44" s="32"/>
      <c r="AK44" s="33"/>
      <c r="AL44" s="32"/>
      <c r="AM44" s="32"/>
      <c r="AN44" s="33"/>
      <c r="AO44" s="33"/>
      <c r="AP44" s="34"/>
      <c r="AQ44" s="31"/>
    </row>
    <row r="45" spans="2:43" ht="15" thickBot="1" x14ac:dyDescent="0.35">
      <c r="S45" s="18"/>
      <c r="T45" s="30"/>
      <c r="AI45" s="31"/>
      <c r="AJ45" s="32"/>
      <c r="AK45" s="33"/>
      <c r="AL45" s="32"/>
      <c r="AM45" s="32"/>
      <c r="AN45" s="33"/>
      <c r="AO45" s="33"/>
      <c r="AP45" s="34"/>
      <c r="AQ45" s="31"/>
    </row>
    <row r="46" spans="2:43" ht="15" thickBot="1" x14ac:dyDescent="0.35">
      <c r="S46" s="18"/>
      <c r="T46" s="30"/>
      <c r="AI46" s="31"/>
      <c r="AJ46" s="32"/>
      <c r="AK46" s="33"/>
      <c r="AL46" s="32"/>
      <c r="AM46" s="32"/>
      <c r="AN46" s="33"/>
      <c r="AO46" s="33"/>
      <c r="AP46" s="34"/>
      <c r="AQ46" s="31"/>
    </row>
    <row r="47" spans="2:43" ht="15" thickBot="1" x14ac:dyDescent="0.35">
      <c r="S47" s="18"/>
      <c r="T47" s="30"/>
      <c r="AI47" s="31"/>
      <c r="AJ47" s="32"/>
      <c r="AK47" s="33"/>
      <c r="AL47" s="32"/>
      <c r="AM47" s="32"/>
      <c r="AN47" s="33"/>
      <c r="AO47" s="33"/>
      <c r="AP47" s="34"/>
      <c r="AQ47" s="31"/>
    </row>
    <row r="48" spans="2:43" ht="15" thickBot="1" x14ac:dyDescent="0.35">
      <c r="S48" s="18"/>
      <c r="T48" s="30"/>
      <c r="AI48" s="31"/>
      <c r="AJ48" s="32"/>
      <c r="AK48" s="33"/>
      <c r="AL48" s="32"/>
      <c r="AM48" s="32"/>
      <c r="AN48" s="33"/>
      <c r="AO48" s="33"/>
      <c r="AP48" s="34"/>
      <c r="AQ48" s="31"/>
    </row>
    <row r="49" spans="14:43" ht="15" thickBot="1" x14ac:dyDescent="0.35">
      <c r="S49" s="18"/>
      <c r="T49" s="30"/>
      <c r="AI49" s="31"/>
      <c r="AJ49" s="32"/>
      <c r="AK49" s="33"/>
      <c r="AL49" s="32"/>
      <c r="AM49" s="32"/>
      <c r="AN49" s="33"/>
      <c r="AO49" s="33"/>
      <c r="AP49" s="34"/>
      <c r="AQ49" s="31"/>
    </row>
    <row r="50" spans="14:43" ht="15" thickBot="1" x14ac:dyDescent="0.35">
      <c r="S50" s="18"/>
      <c r="T50" s="30"/>
      <c r="AI50" s="31"/>
      <c r="AJ50" s="32"/>
      <c r="AK50" s="33"/>
      <c r="AL50" s="32"/>
      <c r="AM50" s="32"/>
      <c r="AN50" s="33"/>
      <c r="AO50" s="33"/>
      <c r="AP50" s="34"/>
      <c r="AQ50" s="31"/>
    </row>
    <row r="51" spans="14:43" ht="15" thickBot="1" x14ac:dyDescent="0.35">
      <c r="S51" s="18"/>
      <c r="T51" s="30"/>
      <c r="AI51" s="31"/>
      <c r="AJ51" s="32"/>
      <c r="AK51" s="33"/>
      <c r="AL51" s="32"/>
      <c r="AM51" s="32"/>
      <c r="AN51" s="33"/>
      <c r="AO51" s="33"/>
      <c r="AP51" s="34"/>
      <c r="AQ51" s="31"/>
    </row>
    <row r="52" spans="14:43" ht="15" thickBot="1" x14ac:dyDescent="0.35">
      <c r="S52" s="18"/>
      <c r="T52" s="30"/>
      <c r="AI52" s="31"/>
      <c r="AJ52" s="32"/>
      <c r="AK52" s="33"/>
      <c r="AL52" s="32"/>
      <c r="AM52" s="32"/>
      <c r="AN52" s="33"/>
      <c r="AO52" s="33"/>
      <c r="AP52" s="34"/>
      <c r="AQ52" s="31"/>
    </row>
    <row r="53" spans="14:43" ht="15" thickBot="1" x14ac:dyDescent="0.35">
      <c r="S53" s="18"/>
      <c r="T53" s="30"/>
      <c r="AI53" s="31"/>
      <c r="AJ53" s="32"/>
      <c r="AK53" s="33"/>
      <c r="AL53" s="32"/>
      <c r="AM53" s="32"/>
      <c r="AN53" s="33"/>
      <c r="AO53" s="33"/>
      <c r="AP53" s="34"/>
      <c r="AQ53" s="31"/>
    </row>
    <row r="54" spans="14:43" ht="15" thickBot="1" x14ac:dyDescent="0.35">
      <c r="S54" s="18"/>
      <c r="T54" s="30"/>
      <c r="AI54" s="31"/>
      <c r="AJ54" s="32"/>
      <c r="AK54" s="33"/>
      <c r="AL54" s="32"/>
      <c r="AM54" s="32"/>
      <c r="AN54" s="33"/>
      <c r="AO54" s="33"/>
      <c r="AP54" s="34"/>
      <c r="AQ54" s="31"/>
    </row>
    <row r="55" spans="14:43" ht="15" thickBot="1" x14ac:dyDescent="0.35">
      <c r="S55" s="18"/>
      <c r="T55" s="30"/>
      <c r="AI55" s="31"/>
      <c r="AJ55" s="32"/>
      <c r="AK55" s="33"/>
      <c r="AL55" s="32"/>
      <c r="AM55" s="32"/>
      <c r="AN55" s="33"/>
      <c r="AO55" s="33"/>
      <c r="AP55" s="34"/>
      <c r="AQ55" s="31"/>
    </row>
    <row r="56" spans="14:43" ht="15" thickBot="1" x14ac:dyDescent="0.35">
      <c r="S56" s="18"/>
      <c r="T56" s="30"/>
      <c r="AI56" s="31"/>
      <c r="AJ56" s="32"/>
      <c r="AK56" s="33"/>
      <c r="AL56" s="32"/>
      <c r="AM56" s="32"/>
      <c r="AN56" s="33"/>
      <c r="AO56" s="33"/>
      <c r="AP56" s="34"/>
      <c r="AQ56" s="31"/>
    </row>
    <row r="57" spans="14:43" ht="15" thickBot="1" x14ac:dyDescent="0.35">
      <c r="S57" s="18"/>
      <c r="T57" s="30"/>
      <c r="AI57" s="31"/>
      <c r="AJ57" s="32"/>
      <c r="AK57" s="33"/>
      <c r="AL57" s="32"/>
      <c r="AM57" s="32"/>
      <c r="AN57" s="33"/>
      <c r="AO57" s="33"/>
      <c r="AP57" s="34"/>
      <c r="AQ57" s="31"/>
    </row>
    <row r="58" spans="14:43" ht="15" thickBot="1" x14ac:dyDescent="0.35">
      <c r="S58" s="18"/>
      <c r="T58" s="30"/>
      <c r="AI58" s="31"/>
      <c r="AJ58" s="32"/>
      <c r="AK58" s="33"/>
      <c r="AL58" s="32"/>
      <c r="AM58" s="32"/>
      <c r="AN58" s="33"/>
      <c r="AO58" s="33"/>
      <c r="AP58" s="34"/>
      <c r="AQ58" s="31"/>
    </row>
    <row r="59" spans="14:43" ht="15" thickBot="1" x14ac:dyDescent="0.35">
      <c r="S59" s="18"/>
      <c r="T59" s="30"/>
      <c r="AI59" s="31"/>
      <c r="AJ59" s="32"/>
      <c r="AK59" s="33"/>
      <c r="AL59" s="32"/>
      <c r="AM59" s="32"/>
      <c r="AN59" s="33"/>
      <c r="AO59" s="33"/>
      <c r="AP59" s="34"/>
      <c r="AQ59" s="31"/>
    </row>
    <row r="60" spans="14:43" ht="15" thickBot="1" x14ac:dyDescent="0.35">
      <c r="S60" s="18"/>
      <c r="T60" s="30"/>
      <c r="AI60" s="31"/>
      <c r="AJ60" s="32"/>
      <c r="AK60" s="33"/>
      <c r="AL60" s="32"/>
      <c r="AM60" s="32"/>
      <c r="AN60" s="33"/>
      <c r="AO60" s="33"/>
      <c r="AP60" s="34"/>
      <c r="AQ60" s="31"/>
    </row>
    <row r="61" spans="14:43" ht="15" thickBot="1" x14ac:dyDescent="0.35">
      <c r="S61" s="18"/>
      <c r="T61" s="30"/>
      <c r="AI61" s="31"/>
      <c r="AJ61" s="32"/>
      <c r="AK61" s="33"/>
      <c r="AL61" s="32"/>
      <c r="AM61" s="32"/>
      <c r="AN61" s="33"/>
      <c r="AO61" s="33"/>
      <c r="AP61" s="34"/>
      <c r="AQ61" s="31"/>
    </row>
    <row r="62" spans="14:43" ht="15" thickBot="1" x14ac:dyDescent="0.35">
      <c r="S62" s="18"/>
      <c r="T62" s="30"/>
      <c r="AI62" s="31"/>
      <c r="AJ62" s="32"/>
      <c r="AK62" s="33"/>
      <c r="AL62" s="32"/>
      <c r="AM62" s="32"/>
      <c r="AN62" s="33"/>
      <c r="AO62" s="33"/>
      <c r="AP62" s="34"/>
      <c r="AQ62" s="31"/>
    </row>
    <row r="63" spans="14:43" ht="15" thickBot="1" x14ac:dyDescent="0.35">
      <c r="S63" s="18"/>
      <c r="T63" s="30"/>
      <c r="AI63" s="31"/>
      <c r="AJ63" s="32"/>
      <c r="AK63" s="33"/>
      <c r="AL63" s="32"/>
      <c r="AM63" s="32"/>
      <c r="AN63" s="33"/>
      <c r="AO63" s="33"/>
      <c r="AP63" s="34"/>
      <c r="AQ63" s="31"/>
    </row>
    <row r="64" spans="14:43" ht="15" thickBot="1" x14ac:dyDescent="0.35">
      <c r="N64" s="29"/>
      <c r="S64" s="18"/>
      <c r="T64" s="30"/>
      <c r="AI64" s="31"/>
      <c r="AJ64" s="32"/>
      <c r="AK64" s="33"/>
      <c r="AL64" s="32"/>
      <c r="AM64" s="32"/>
      <c r="AN64" s="33"/>
      <c r="AO64" s="33"/>
      <c r="AP64" s="34"/>
      <c r="AQ64" s="31"/>
    </row>
    <row r="65" spans="14:43" ht="15" thickBot="1" x14ac:dyDescent="0.35">
      <c r="N65" s="29"/>
      <c r="S65" s="18"/>
      <c r="T65" s="30"/>
      <c r="AI65" s="31"/>
      <c r="AJ65" s="32"/>
      <c r="AK65" s="33"/>
      <c r="AL65" s="32"/>
      <c r="AM65" s="32"/>
      <c r="AN65" s="33"/>
      <c r="AO65" s="33"/>
      <c r="AP65" s="34"/>
      <c r="AQ65" s="31"/>
    </row>
    <row r="66" spans="14:43" ht="15" thickBot="1" x14ac:dyDescent="0.35">
      <c r="N66" s="29"/>
      <c r="S66" s="18"/>
      <c r="T66" s="30"/>
      <c r="AI66" s="31"/>
      <c r="AJ66" s="32"/>
      <c r="AK66" s="33"/>
      <c r="AL66" s="32"/>
      <c r="AM66" s="32"/>
      <c r="AN66" s="33"/>
      <c r="AO66" s="33"/>
      <c r="AP66" s="34"/>
      <c r="AQ66" s="31"/>
    </row>
    <row r="67" spans="14:43" ht="15" thickBot="1" x14ac:dyDescent="0.35">
      <c r="N67" s="29"/>
      <c r="S67" s="18"/>
      <c r="T67" s="30"/>
      <c r="AI67" s="31"/>
      <c r="AJ67" s="32"/>
      <c r="AK67" s="33"/>
      <c r="AL67" s="32"/>
      <c r="AM67" s="32"/>
      <c r="AN67" s="33"/>
      <c r="AO67" s="33"/>
      <c r="AP67" s="34"/>
      <c r="AQ67" s="31"/>
    </row>
    <row r="68" spans="14:43" ht="15" thickBot="1" x14ac:dyDescent="0.35">
      <c r="N68" s="29"/>
      <c r="S68" s="18"/>
      <c r="T68" s="30"/>
      <c r="AI68" s="31"/>
      <c r="AJ68" s="32"/>
      <c r="AK68" s="33"/>
      <c r="AL68" s="32"/>
      <c r="AM68" s="32"/>
      <c r="AN68" s="33"/>
      <c r="AO68" s="33"/>
      <c r="AP68" s="34"/>
      <c r="AQ68" s="31"/>
    </row>
    <row r="69" spans="14:43" ht="15" thickBot="1" x14ac:dyDescent="0.35">
      <c r="N69" s="29"/>
      <c r="S69" s="18"/>
      <c r="T69" s="30"/>
      <c r="AI69" s="31"/>
      <c r="AJ69" s="32"/>
      <c r="AK69" s="33"/>
      <c r="AL69" s="32"/>
      <c r="AM69" s="32"/>
      <c r="AN69" s="33"/>
      <c r="AO69" s="33"/>
      <c r="AP69" s="34"/>
      <c r="AQ69" s="31"/>
    </row>
    <row r="70" spans="14:43" ht="15" thickBot="1" x14ac:dyDescent="0.35">
      <c r="N70" s="29"/>
      <c r="S70" s="18"/>
      <c r="T70" s="30"/>
      <c r="AI70" s="31"/>
      <c r="AJ70" s="32"/>
      <c r="AK70" s="33"/>
      <c r="AL70" s="32"/>
      <c r="AM70" s="32"/>
      <c r="AN70" s="33"/>
      <c r="AO70" s="33"/>
      <c r="AP70" s="34"/>
      <c r="AQ70" s="31"/>
    </row>
    <row r="71" spans="14:43" ht="15" thickBot="1" x14ac:dyDescent="0.35">
      <c r="N71" s="29"/>
      <c r="S71" s="18"/>
      <c r="T71" s="30"/>
      <c r="AI71" s="31"/>
      <c r="AJ71" s="32"/>
      <c r="AK71" s="33"/>
      <c r="AL71" s="32"/>
      <c r="AM71" s="32"/>
      <c r="AN71" s="33"/>
      <c r="AO71" s="33"/>
      <c r="AP71" s="34"/>
      <c r="AQ71" s="31"/>
    </row>
    <row r="72" spans="14:43" ht="15" thickBot="1" x14ac:dyDescent="0.35">
      <c r="N72" s="29"/>
      <c r="S72" s="18"/>
      <c r="T72" s="30"/>
      <c r="AI72" s="31"/>
      <c r="AJ72" s="32"/>
      <c r="AK72" s="33"/>
      <c r="AL72" s="32"/>
      <c r="AM72" s="32"/>
      <c r="AN72" s="33"/>
      <c r="AO72" s="33"/>
      <c r="AP72" s="34"/>
      <c r="AQ72" s="31"/>
    </row>
    <row r="73" spans="14:43" ht="15" thickBot="1" x14ac:dyDescent="0.35">
      <c r="N73" s="29"/>
      <c r="S73" s="18"/>
      <c r="T73" s="30"/>
      <c r="AI73" s="31"/>
      <c r="AJ73" s="32"/>
      <c r="AK73" s="33"/>
      <c r="AL73" s="32"/>
      <c r="AM73" s="32"/>
      <c r="AN73" s="33"/>
      <c r="AO73" s="33"/>
      <c r="AP73" s="34"/>
      <c r="AQ73" s="31"/>
    </row>
    <row r="74" spans="14:43" ht="15" thickBot="1" x14ac:dyDescent="0.35">
      <c r="N74" s="29"/>
      <c r="S74" s="18"/>
      <c r="T74" s="30"/>
      <c r="AI74" s="31"/>
      <c r="AJ74" s="32"/>
      <c r="AK74" s="33"/>
      <c r="AL74" s="32"/>
      <c r="AM74" s="32"/>
      <c r="AN74" s="33"/>
      <c r="AO74" s="33"/>
      <c r="AP74" s="34"/>
      <c r="AQ74" s="31"/>
    </row>
    <row r="75" spans="14:43" ht="15" thickBot="1" x14ac:dyDescent="0.35">
      <c r="N75" s="29"/>
      <c r="S75" s="18"/>
      <c r="T75" s="30"/>
      <c r="AI75" s="31"/>
      <c r="AJ75" s="32"/>
      <c r="AK75" s="33"/>
      <c r="AL75" s="32"/>
      <c r="AM75" s="32"/>
      <c r="AN75" s="33"/>
      <c r="AO75" s="33"/>
      <c r="AP75" s="34"/>
      <c r="AQ75" s="31"/>
    </row>
    <row r="76" spans="14:43" ht="15" thickBot="1" x14ac:dyDescent="0.35">
      <c r="N76" s="29"/>
      <c r="S76" s="18"/>
      <c r="T76" s="30"/>
      <c r="AI76" s="31"/>
      <c r="AJ76" s="32"/>
      <c r="AK76" s="33"/>
      <c r="AL76" s="32"/>
      <c r="AM76" s="32"/>
      <c r="AN76" s="33"/>
      <c r="AO76" s="33"/>
      <c r="AP76" s="34"/>
      <c r="AQ76" s="31"/>
    </row>
    <row r="77" spans="14:43" ht="15" thickBot="1" x14ac:dyDescent="0.35">
      <c r="N77" s="29"/>
      <c r="S77" s="18"/>
      <c r="T77" s="30"/>
      <c r="AI77" s="31"/>
      <c r="AJ77" s="32"/>
      <c r="AK77" s="33"/>
      <c r="AL77" s="32"/>
      <c r="AM77" s="32"/>
      <c r="AN77" s="33"/>
      <c r="AO77" s="33"/>
      <c r="AP77" s="34"/>
      <c r="AQ77" s="31"/>
    </row>
    <row r="78" spans="14:43" ht="15" thickBot="1" x14ac:dyDescent="0.35">
      <c r="N78" s="29"/>
      <c r="S78" s="18"/>
      <c r="T78" s="30"/>
      <c r="AI78" s="31"/>
      <c r="AJ78" s="32"/>
      <c r="AK78" s="33"/>
      <c r="AL78" s="32"/>
      <c r="AM78" s="32"/>
      <c r="AN78" s="33"/>
      <c r="AO78" s="33"/>
      <c r="AP78" s="34"/>
      <c r="AQ78" s="31"/>
    </row>
    <row r="79" spans="14:43" ht="15" thickBot="1" x14ac:dyDescent="0.35">
      <c r="N79" s="29"/>
      <c r="S79" s="18"/>
      <c r="T79" s="30"/>
      <c r="AI79" s="31"/>
      <c r="AJ79" s="32"/>
      <c r="AK79" s="33"/>
      <c r="AL79" s="32"/>
      <c r="AM79" s="32"/>
      <c r="AN79" s="33"/>
      <c r="AO79" s="33"/>
      <c r="AP79" s="33"/>
      <c r="AQ79" s="31"/>
    </row>
    <row r="80" spans="14:43" ht="15" thickBot="1" x14ac:dyDescent="0.35">
      <c r="N80" s="29"/>
      <c r="S80" s="18"/>
      <c r="T80" s="30"/>
      <c r="AI80" s="31"/>
      <c r="AJ80" s="32"/>
      <c r="AK80" s="33"/>
      <c r="AL80" s="32"/>
      <c r="AM80" s="32"/>
      <c r="AN80" s="33"/>
      <c r="AO80" s="33"/>
      <c r="AP80" s="34"/>
      <c r="AQ80" s="31"/>
    </row>
    <row r="81" spans="14:43" ht="15" thickBot="1" x14ac:dyDescent="0.35">
      <c r="N81" s="29"/>
      <c r="S81" s="18"/>
      <c r="T81" s="30"/>
      <c r="AI81" s="31"/>
      <c r="AJ81" s="32"/>
      <c r="AK81" s="33"/>
      <c r="AL81" s="32"/>
      <c r="AM81" s="32"/>
      <c r="AN81" s="33"/>
      <c r="AO81" s="33"/>
      <c r="AP81" s="34"/>
      <c r="AQ81" s="31"/>
    </row>
    <row r="82" spans="14:43" ht="15" thickBot="1" x14ac:dyDescent="0.35">
      <c r="N82" s="29"/>
      <c r="S82" s="18"/>
      <c r="T82" s="30"/>
      <c r="AI82" s="31"/>
      <c r="AJ82" s="32"/>
      <c r="AK82" s="33"/>
      <c r="AL82" s="32"/>
      <c r="AM82" s="32"/>
      <c r="AN82" s="33"/>
      <c r="AO82" s="33"/>
      <c r="AP82" s="34"/>
      <c r="AQ82" s="31"/>
    </row>
    <row r="83" spans="14:43" ht="15" thickBot="1" x14ac:dyDescent="0.35">
      <c r="N83" s="29"/>
      <c r="S83" s="18"/>
      <c r="T83" s="30"/>
      <c r="AI83" s="31"/>
      <c r="AJ83" s="32"/>
      <c r="AK83" s="33"/>
      <c r="AL83" s="32"/>
      <c r="AM83" s="32"/>
      <c r="AN83" s="33"/>
      <c r="AO83" s="33"/>
      <c r="AP83" s="34"/>
      <c r="AQ83" s="31"/>
    </row>
    <row r="84" spans="14:43" ht="15" thickBot="1" x14ac:dyDescent="0.35">
      <c r="N84" s="29"/>
      <c r="S84" s="18"/>
      <c r="T84" s="30"/>
      <c r="AI84" s="31"/>
      <c r="AJ84" s="32"/>
      <c r="AK84" s="33"/>
      <c r="AL84" s="32"/>
      <c r="AM84" s="32"/>
      <c r="AN84" s="33"/>
      <c r="AO84" s="33"/>
      <c r="AP84" s="34"/>
      <c r="AQ84" s="31"/>
    </row>
    <row r="85" spans="14:43" ht="15" thickBot="1" x14ac:dyDescent="0.35">
      <c r="N85" s="29"/>
      <c r="S85" s="18"/>
      <c r="T85" s="30"/>
      <c r="AI85" s="31"/>
      <c r="AJ85" s="32"/>
      <c r="AK85" s="33"/>
      <c r="AL85" s="32"/>
      <c r="AM85" s="32"/>
      <c r="AN85" s="33"/>
      <c r="AO85" s="33"/>
      <c r="AP85" s="34"/>
      <c r="AQ85" s="31"/>
    </row>
    <row r="86" spans="14:43" ht="15" thickBot="1" x14ac:dyDescent="0.35">
      <c r="N86" s="29"/>
      <c r="S86" s="18"/>
      <c r="T86" s="30"/>
      <c r="AI86" s="31"/>
      <c r="AJ86" s="32"/>
      <c r="AK86" s="33"/>
      <c r="AL86" s="32"/>
      <c r="AM86" s="32"/>
      <c r="AN86" s="33"/>
      <c r="AO86" s="33"/>
      <c r="AP86" s="34"/>
      <c r="AQ86" s="31"/>
    </row>
    <row r="87" spans="14:43" ht="15" thickBot="1" x14ac:dyDescent="0.35">
      <c r="N87" s="29"/>
      <c r="S87" s="18"/>
      <c r="T87" s="30"/>
      <c r="AI87" s="31"/>
      <c r="AJ87" s="32"/>
      <c r="AK87" s="33"/>
      <c r="AL87" s="32"/>
      <c r="AM87" s="32"/>
      <c r="AN87" s="33"/>
      <c r="AO87" s="33"/>
      <c r="AP87" s="34"/>
      <c r="AQ87" s="31"/>
    </row>
    <row r="88" spans="14:43" ht="15" thickBot="1" x14ac:dyDescent="0.35">
      <c r="N88" s="29"/>
      <c r="S88" s="18"/>
      <c r="T88" s="30"/>
      <c r="AI88" s="31"/>
      <c r="AJ88" s="32"/>
      <c r="AK88" s="33"/>
      <c r="AL88" s="32"/>
      <c r="AM88" s="32"/>
      <c r="AN88" s="33"/>
      <c r="AO88" s="33"/>
      <c r="AP88" s="34"/>
      <c r="AQ88" s="31"/>
    </row>
    <row r="89" spans="14:43" ht="15" thickBot="1" x14ac:dyDescent="0.35">
      <c r="N89" s="29"/>
      <c r="S89" s="18"/>
      <c r="T89" s="30"/>
      <c r="AI89" s="31"/>
      <c r="AJ89" s="32"/>
      <c r="AK89" s="33"/>
      <c r="AL89" s="32"/>
      <c r="AM89" s="32"/>
      <c r="AN89" s="33"/>
      <c r="AO89" s="33"/>
      <c r="AP89" s="34"/>
      <c r="AQ89" s="31"/>
    </row>
    <row r="90" spans="14:43" ht="15" thickBot="1" x14ac:dyDescent="0.35">
      <c r="N90" s="29"/>
      <c r="S90" s="18"/>
      <c r="T90" s="30"/>
      <c r="AI90" s="31"/>
      <c r="AJ90" s="32"/>
      <c r="AK90" s="33"/>
      <c r="AL90" s="32"/>
      <c r="AM90" s="32"/>
      <c r="AN90" s="33"/>
      <c r="AO90" s="33"/>
      <c r="AP90" s="34"/>
      <c r="AQ90" s="31"/>
    </row>
    <row r="91" spans="14:43" ht="15" thickBot="1" x14ac:dyDescent="0.35">
      <c r="N91" s="29"/>
      <c r="S91" s="18"/>
      <c r="T91" s="30"/>
      <c r="AI91" s="31"/>
      <c r="AJ91" s="32"/>
      <c r="AK91" s="33"/>
      <c r="AL91" s="32"/>
      <c r="AM91" s="32"/>
      <c r="AN91" s="33"/>
      <c r="AO91" s="33"/>
      <c r="AP91" s="34"/>
      <c r="AQ91" s="31"/>
    </row>
    <row r="92" spans="14:43" ht="15" thickBot="1" x14ac:dyDescent="0.35">
      <c r="N92" s="29"/>
      <c r="S92" s="18"/>
      <c r="T92" s="30"/>
      <c r="AI92" s="31"/>
      <c r="AJ92" s="32"/>
      <c r="AK92" s="33"/>
      <c r="AL92" s="32"/>
      <c r="AM92" s="32"/>
      <c r="AN92" s="33"/>
      <c r="AO92" s="33"/>
      <c r="AP92" s="34"/>
      <c r="AQ92" s="31"/>
    </row>
    <row r="93" spans="14:43" ht="15" thickBot="1" x14ac:dyDescent="0.35">
      <c r="N93" s="29"/>
      <c r="S93" s="18"/>
      <c r="T93" s="30"/>
      <c r="AI93" s="31"/>
      <c r="AJ93" s="32"/>
      <c r="AK93" s="33"/>
      <c r="AL93" s="32"/>
      <c r="AM93" s="32"/>
      <c r="AN93" s="33"/>
      <c r="AO93" s="33"/>
      <c r="AP93" s="34"/>
      <c r="AQ93" s="31"/>
    </row>
    <row r="94" spans="14:43" ht="15" thickBot="1" x14ac:dyDescent="0.35">
      <c r="N94" s="29"/>
      <c r="S94" s="18"/>
      <c r="T94" s="30"/>
      <c r="AI94" s="31"/>
      <c r="AJ94" s="32"/>
      <c r="AK94" s="33"/>
      <c r="AL94" s="32"/>
      <c r="AM94" s="32"/>
      <c r="AN94" s="33"/>
      <c r="AO94" s="33"/>
      <c r="AP94" s="34"/>
      <c r="AQ94" s="31"/>
    </row>
    <row r="95" spans="14:43" ht="15" thickBot="1" x14ac:dyDescent="0.35">
      <c r="N95" s="29"/>
      <c r="S95" s="18"/>
      <c r="T95" s="30"/>
      <c r="AI95" s="31"/>
      <c r="AJ95" s="32"/>
      <c r="AK95" s="33"/>
      <c r="AL95" s="32"/>
      <c r="AM95" s="32"/>
      <c r="AN95" s="33"/>
      <c r="AO95" s="33"/>
      <c r="AP95" s="34"/>
      <c r="AQ95" s="31"/>
    </row>
    <row r="96" spans="14:43" ht="15" thickBot="1" x14ac:dyDescent="0.35">
      <c r="N96" s="29"/>
      <c r="S96" s="18"/>
      <c r="T96" s="30"/>
      <c r="AI96" s="31"/>
      <c r="AJ96" s="32"/>
      <c r="AK96" s="33"/>
      <c r="AL96" s="32"/>
      <c r="AM96" s="32"/>
      <c r="AN96" s="33"/>
      <c r="AO96" s="33"/>
      <c r="AP96" s="34"/>
      <c r="AQ96" s="31"/>
    </row>
    <row r="97" spans="14:43" ht="15" thickBot="1" x14ac:dyDescent="0.35">
      <c r="N97" s="29"/>
      <c r="S97" s="18"/>
      <c r="T97" s="30"/>
      <c r="AI97" s="31"/>
      <c r="AJ97" s="32"/>
      <c r="AK97" s="33"/>
      <c r="AL97" s="32"/>
      <c r="AM97" s="32"/>
      <c r="AN97" s="33"/>
      <c r="AO97" s="33"/>
      <c r="AP97" s="34"/>
      <c r="AQ97" s="31"/>
    </row>
    <row r="98" spans="14:43" ht="15" thickBot="1" x14ac:dyDescent="0.35">
      <c r="N98" s="29"/>
      <c r="S98" s="18"/>
      <c r="T98" s="30"/>
      <c r="AI98" s="31"/>
      <c r="AJ98" s="32"/>
      <c r="AK98" s="33"/>
      <c r="AL98" s="32"/>
      <c r="AM98" s="32"/>
      <c r="AN98" s="33"/>
      <c r="AO98" s="33"/>
      <c r="AP98" s="34"/>
      <c r="AQ98" s="31"/>
    </row>
    <row r="99" spans="14:43" ht="15" thickBot="1" x14ac:dyDescent="0.35">
      <c r="N99" s="29"/>
      <c r="S99" s="18"/>
      <c r="T99" s="30"/>
      <c r="AI99" s="31"/>
      <c r="AJ99" s="32"/>
      <c r="AK99" s="33"/>
      <c r="AL99" s="32"/>
      <c r="AM99" s="32"/>
      <c r="AN99" s="33"/>
      <c r="AO99" s="33"/>
      <c r="AP99" s="34"/>
      <c r="AQ99" s="31"/>
    </row>
    <row r="100" spans="14:43" ht="15" thickBot="1" x14ac:dyDescent="0.35">
      <c r="N100" s="29"/>
      <c r="S100" s="18"/>
      <c r="T100" s="30"/>
      <c r="AI100" s="31"/>
      <c r="AJ100" s="32"/>
      <c r="AK100" s="33"/>
      <c r="AL100" s="32"/>
      <c r="AM100" s="32"/>
      <c r="AN100" s="33"/>
      <c r="AO100" s="33"/>
      <c r="AP100" s="34"/>
      <c r="AQ100" s="31"/>
    </row>
    <row r="101" spans="14:43" ht="15" thickBot="1" x14ac:dyDescent="0.35">
      <c r="N101" s="29"/>
      <c r="S101" s="18"/>
      <c r="T101" s="30"/>
      <c r="AI101" s="31"/>
      <c r="AJ101" s="32"/>
      <c r="AK101" s="33"/>
      <c r="AL101" s="32"/>
      <c r="AM101" s="32"/>
      <c r="AN101" s="33"/>
      <c r="AO101" s="33"/>
      <c r="AP101" s="34"/>
      <c r="AQ101" s="31"/>
    </row>
    <row r="102" spans="14:43" ht="15" thickBot="1" x14ac:dyDescent="0.35">
      <c r="N102" s="29"/>
      <c r="S102" s="18"/>
      <c r="T102" s="30"/>
      <c r="AI102" s="31"/>
      <c r="AJ102" s="32"/>
      <c r="AK102" s="33"/>
      <c r="AL102" s="32"/>
      <c r="AM102" s="32"/>
      <c r="AN102" s="33"/>
      <c r="AO102" s="33"/>
      <c r="AP102" s="34"/>
      <c r="AQ102" s="31"/>
    </row>
    <row r="103" spans="14:43" ht="15" thickBot="1" x14ac:dyDescent="0.35">
      <c r="N103" s="29"/>
      <c r="S103" s="18"/>
      <c r="T103" s="30"/>
      <c r="AI103" s="31"/>
      <c r="AJ103" s="32"/>
      <c r="AK103" s="33"/>
      <c r="AL103" s="32"/>
      <c r="AM103" s="32"/>
      <c r="AN103" s="33"/>
      <c r="AO103" s="33"/>
      <c r="AP103" s="34"/>
      <c r="AQ103" s="31"/>
    </row>
    <row r="104" spans="14:43" ht="15" thickBot="1" x14ac:dyDescent="0.35">
      <c r="N104" s="29"/>
      <c r="S104" s="18"/>
      <c r="T104" s="30"/>
      <c r="AI104" s="31"/>
      <c r="AJ104" s="32"/>
      <c r="AK104" s="33"/>
      <c r="AL104" s="32"/>
      <c r="AM104" s="32"/>
      <c r="AN104" s="33"/>
      <c r="AO104" s="33"/>
      <c r="AP104" s="34"/>
      <c r="AQ104" s="31"/>
    </row>
    <row r="105" spans="14:43" ht="15" thickBot="1" x14ac:dyDescent="0.35">
      <c r="N105" s="29"/>
      <c r="S105" s="18"/>
      <c r="T105" s="30"/>
      <c r="AI105" s="31"/>
      <c r="AJ105" s="32"/>
      <c r="AK105" s="33"/>
      <c r="AL105" s="32"/>
      <c r="AM105" s="32"/>
      <c r="AN105" s="33"/>
      <c r="AO105" s="33"/>
      <c r="AP105" s="34"/>
      <c r="AQ105" s="31"/>
    </row>
    <row r="106" spans="14:43" ht="15" thickBot="1" x14ac:dyDescent="0.35">
      <c r="N106" s="29"/>
      <c r="S106" s="18"/>
      <c r="T106" s="30"/>
      <c r="AI106" s="31"/>
      <c r="AJ106" s="32"/>
      <c r="AK106" s="33"/>
      <c r="AL106" s="32"/>
      <c r="AM106" s="32"/>
      <c r="AN106" s="33"/>
      <c r="AO106" s="33"/>
      <c r="AP106" s="34"/>
      <c r="AQ106" s="31"/>
    </row>
    <row r="107" spans="14:43" ht="15" thickBot="1" x14ac:dyDescent="0.35">
      <c r="N107" s="29"/>
      <c r="S107" s="18"/>
      <c r="T107" s="30"/>
      <c r="AI107" s="31"/>
      <c r="AJ107" s="32"/>
      <c r="AK107" s="33"/>
      <c r="AL107" s="32"/>
      <c r="AM107" s="32"/>
      <c r="AN107" s="33"/>
      <c r="AO107" s="33"/>
      <c r="AP107" s="34"/>
      <c r="AQ107" s="31"/>
    </row>
    <row r="108" spans="14:43" ht="15" thickBot="1" x14ac:dyDescent="0.35">
      <c r="N108" s="29"/>
      <c r="S108" s="18"/>
      <c r="T108" s="30"/>
      <c r="AI108" s="31"/>
      <c r="AJ108" s="32"/>
      <c r="AK108" s="33"/>
      <c r="AL108" s="32"/>
      <c r="AM108" s="32"/>
      <c r="AN108" s="33"/>
      <c r="AO108" s="33"/>
      <c r="AP108" s="34"/>
      <c r="AQ108" s="31"/>
    </row>
    <row r="109" spans="14:43" ht="15" thickBot="1" x14ac:dyDescent="0.35">
      <c r="N109" s="29"/>
      <c r="S109" s="18"/>
      <c r="T109" s="30"/>
      <c r="AI109" s="31"/>
      <c r="AJ109" s="32"/>
      <c r="AK109" s="33"/>
      <c r="AL109" s="32"/>
      <c r="AM109" s="32"/>
      <c r="AN109" s="33"/>
      <c r="AO109" s="33"/>
      <c r="AP109" s="34"/>
      <c r="AQ109" s="31"/>
    </row>
    <row r="110" spans="14:43" ht="15" thickBot="1" x14ac:dyDescent="0.35">
      <c r="N110" s="29"/>
      <c r="S110" s="18"/>
      <c r="T110" s="30"/>
      <c r="AI110" s="31"/>
      <c r="AJ110" s="32"/>
      <c r="AK110" s="33"/>
      <c r="AL110" s="32"/>
      <c r="AM110" s="32"/>
      <c r="AN110" s="33"/>
      <c r="AO110" s="33"/>
      <c r="AP110" s="34"/>
      <c r="AQ110" s="31"/>
    </row>
    <row r="111" spans="14:43" ht="15" thickBot="1" x14ac:dyDescent="0.35">
      <c r="N111" s="29"/>
      <c r="S111" s="18"/>
      <c r="T111" s="30"/>
      <c r="AI111" s="31"/>
      <c r="AJ111" s="32"/>
      <c r="AK111" s="33"/>
      <c r="AL111" s="32"/>
      <c r="AM111" s="32"/>
      <c r="AN111" s="33"/>
      <c r="AO111" s="33"/>
      <c r="AP111" s="34"/>
      <c r="AQ111" s="31"/>
    </row>
    <row r="112" spans="14:43" ht="15" thickBot="1" x14ac:dyDescent="0.35">
      <c r="N112" s="29"/>
      <c r="S112" s="18"/>
      <c r="T112" s="30"/>
      <c r="AI112" s="31"/>
      <c r="AJ112" s="32"/>
      <c r="AK112" s="33"/>
      <c r="AL112" s="32"/>
      <c r="AM112" s="32"/>
      <c r="AN112" s="33"/>
      <c r="AO112" s="33"/>
      <c r="AP112" s="34"/>
      <c r="AQ112" s="31"/>
    </row>
    <row r="113" spans="14:43" ht="15" thickBot="1" x14ac:dyDescent="0.35">
      <c r="N113" s="29"/>
      <c r="S113" s="18"/>
      <c r="T113" s="30"/>
      <c r="AI113" s="31"/>
      <c r="AJ113" s="32"/>
      <c r="AK113" s="33"/>
      <c r="AL113" s="32"/>
      <c r="AM113" s="32"/>
      <c r="AN113" s="33"/>
      <c r="AO113" s="33"/>
      <c r="AP113" s="34"/>
      <c r="AQ113" s="31"/>
    </row>
    <row r="114" spans="14:43" ht="15" thickBot="1" x14ac:dyDescent="0.35">
      <c r="N114" s="29"/>
      <c r="S114" s="18"/>
      <c r="T114" s="30"/>
      <c r="AI114" s="31"/>
      <c r="AJ114" s="32"/>
      <c r="AK114" s="33"/>
      <c r="AL114" s="32"/>
      <c r="AM114" s="32"/>
      <c r="AN114" s="33"/>
      <c r="AO114" s="33"/>
      <c r="AP114" s="34"/>
      <c r="AQ114" s="31"/>
    </row>
    <row r="115" spans="14:43" ht="15" thickBot="1" x14ac:dyDescent="0.35">
      <c r="N115" s="29"/>
      <c r="S115" s="18"/>
      <c r="T115" s="30"/>
      <c r="AI115" s="31"/>
      <c r="AJ115" s="32"/>
      <c r="AK115" s="33"/>
      <c r="AL115" s="32"/>
      <c r="AM115" s="32"/>
      <c r="AN115" s="33"/>
      <c r="AO115" s="33"/>
      <c r="AP115" s="34"/>
      <c r="AQ115" s="31"/>
    </row>
    <row r="116" spans="14:43" ht="15" thickBot="1" x14ac:dyDescent="0.35">
      <c r="N116" s="29"/>
      <c r="S116" s="18"/>
      <c r="T116" s="30"/>
      <c r="AI116" s="31"/>
      <c r="AJ116" s="32"/>
      <c r="AK116" s="33"/>
      <c r="AL116" s="32"/>
      <c r="AM116" s="32"/>
      <c r="AN116" s="33"/>
      <c r="AO116" s="33"/>
      <c r="AP116" s="34"/>
      <c r="AQ116" s="31"/>
    </row>
    <row r="117" spans="14:43" ht="15" thickBot="1" x14ac:dyDescent="0.35">
      <c r="N117" s="29"/>
      <c r="S117" s="18"/>
      <c r="T117" s="30"/>
      <c r="AI117" s="31"/>
      <c r="AJ117" s="32"/>
      <c r="AK117" s="33"/>
      <c r="AL117" s="32"/>
      <c r="AM117" s="32"/>
      <c r="AN117" s="33"/>
      <c r="AO117" s="33"/>
      <c r="AP117" s="34"/>
      <c r="AQ117" s="31"/>
    </row>
    <row r="118" spans="14:43" ht="15" thickBot="1" x14ac:dyDescent="0.35">
      <c r="N118" s="29"/>
      <c r="S118" s="18"/>
      <c r="T118" s="30"/>
      <c r="AI118" s="31"/>
      <c r="AJ118" s="32"/>
      <c r="AK118" s="33"/>
      <c r="AL118" s="32"/>
      <c r="AM118" s="32"/>
      <c r="AN118" s="33"/>
      <c r="AO118" s="33"/>
      <c r="AP118" s="34"/>
      <c r="AQ118" s="31"/>
    </row>
    <row r="119" spans="14:43" ht="15" thickBot="1" x14ac:dyDescent="0.35">
      <c r="N119" s="29"/>
      <c r="S119" s="18"/>
      <c r="T119" s="30"/>
      <c r="AI119" s="31"/>
      <c r="AJ119" s="32"/>
      <c r="AK119" s="33"/>
      <c r="AL119" s="32"/>
      <c r="AM119" s="32"/>
      <c r="AN119" s="33"/>
      <c r="AO119" s="33"/>
      <c r="AP119" s="34"/>
      <c r="AQ119" s="31"/>
    </row>
    <row r="120" spans="14:43" ht="15" thickBot="1" x14ac:dyDescent="0.35">
      <c r="N120" s="29"/>
      <c r="S120" s="18"/>
      <c r="T120" s="30"/>
      <c r="AI120" s="31"/>
      <c r="AJ120" s="32"/>
      <c r="AK120" s="33"/>
      <c r="AL120" s="32"/>
      <c r="AM120" s="32"/>
      <c r="AN120" s="33"/>
      <c r="AO120" s="33"/>
      <c r="AP120" s="34"/>
      <c r="AQ120" s="31"/>
    </row>
    <row r="121" spans="14:43" ht="15" thickBot="1" x14ac:dyDescent="0.35">
      <c r="N121" s="29"/>
      <c r="S121" s="18"/>
      <c r="T121" s="30"/>
      <c r="AI121" s="31"/>
      <c r="AJ121" s="32"/>
      <c r="AK121" s="33"/>
      <c r="AL121" s="32"/>
      <c r="AM121" s="32"/>
      <c r="AN121" s="33"/>
      <c r="AO121" s="33"/>
      <c r="AP121" s="34"/>
      <c r="AQ121" s="31"/>
    </row>
    <row r="122" spans="14:43" ht="15" thickBot="1" x14ac:dyDescent="0.35">
      <c r="N122" s="29"/>
      <c r="S122" s="18"/>
      <c r="T122" s="30"/>
      <c r="AI122" s="31"/>
      <c r="AJ122" s="32"/>
      <c r="AK122" s="33"/>
      <c r="AL122" s="32"/>
      <c r="AM122" s="32"/>
      <c r="AN122" s="33"/>
      <c r="AO122" s="33"/>
      <c r="AP122" s="34"/>
      <c r="AQ122" s="31"/>
    </row>
    <row r="123" spans="14:43" ht="15" thickBot="1" x14ac:dyDescent="0.35">
      <c r="N123" s="29"/>
      <c r="S123" s="18"/>
      <c r="T123" s="30"/>
      <c r="AI123" s="31"/>
      <c r="AJ123" s="32"/>
      <c r="AK123" s="33"/>
      <c r="AL123" s="32"/>
      <c r="AM123" s="32"/>
      <c r="AN123" s="33"/>
      <c r="AO123" s="33"/>
      <c r="AP123" s="34"/>
      <c r="AQ123" s="31"/>
    </row>
    <row r="124" spans="14:43" ht="15" thickBot="1" x14ac:dyDescent="0.35">
      <c r="N124" s="29"/>
      <c r="S124" s="18"/>
      <c r="T124" s="30"/>
      <c r="AI124" s="31"/>
      <c r="AJ124" s="32"/>
      <c r="AK124" s="33"/>
      <c r="AL124" s="32"/>
      <c r="AM124" s="32"/>
      <c r="AN124" s="33"/>
      <c r="AO124" s="33"/>
      <c r="AP124" s="34"/>
      <c r="AQ124" s="31"/>
    </row>
    <row r="125" spans="14:43" ht="15" thickBot="1" x14ac:dyDescent="0.35">
      <c r="N125" s="29"/>
      <c r="S125" s="18"/>
      <c r="T125" s="30"/>
      <c r="AI125" s="31"/>
      <c r="AJ125" s="32"/>
      <c r="AK125" s="33"/>
      <c r="AL125" s="32"/>
      <c r="AM125" s="32"/>
      <c r="AN125" s="33"/>
      <c r="AO125" s="33"/>
      <c r="AP125" s="34"/>
      <c r="AQ125" s="31"/>
    </row>
    <row r="126" spans="14:43" ht="15" thickBot="1" x14ac:dyDescent="0.35">
      <c r="N126" s="29"/>
      <c r="S126" s="18"/>
      <c r="T126" s="30"/>
      <c r="AI126" s="31"/>
      <c r="AJ126" s="32"/>
      <c r="AK126" s="33"/>
      <c r="AL126" s="32"/>
      <c r="AM126" s="32"/>
      <c r="AN126" s="33"/>
      <c r="AO126" s="33"/>
      <c r="AP126" s="34"/>
      <c r="AQ126" s="31"/>
    </row>
    <row r="127" spans="14:43" ht="15" thickBot="1" x14ac:dyDescent="0.35">
      <c r="N127" s="29"/>
      <c r="S127" s="18"/>
      <c r="T127" s="30"/>
      <c r="AI127" s="31"/>
      <c r="AJ127" s="32"/>
      <c r="AK127" s="33"/>
      <c r="AL127" s="32"/>
      <c r="AM127" s="33"/>
      <c r="AN127" s="33"/>
      <c r="AO127" s="33"/>
      <c r="AP127" s="34"/>
      <c r="AQ127" s="31"/>
    </row>
    <row r="128" spans="14:43" ht="15" thickBot="1" x14ac:dyDescent="0.35">
      <c r="N128" s="29"/>
      <c r="S128" s="18"/>
      <c r="T128" s="30"/>
      <c r="AI128" s="31"/>
      <c r="AJ128" s="32"/>
      <c r="AK128" s="33"/>
      <c r="AL128" s="32"/>
      <c r="AM128" s="32"/>
      <c r="AN128" s="33"/>
      <c r="AO128" s="33"/>
      <c r="AP128" s="34"/>
      <c r="AQ128" s="31"/>
    </row>
    <row r="129" spans="14:43" ht="15" thickBot="1" x14ac:dyDescent="0.35">
      <c r="N129" s="29"/>
      <c r="S129" s="18"/>
      <c r="T129" s="30"/>
      <c r="AI129" s="31"/>
      <c r="AJ129" s="32"/>
      <c r="AK129" s="33"/>
      <c r="AL129" s="32"/>
      <c r="AM129" s="32"/>
      <c r="AN129" s="33"/>
      <c r="AO129" s="33"/>
      <c r="AP129" s="34"/>
      <c r="AQ129" s="31"/>
    </row>
    <row r="130" spans="14:43" ht="15" thickBot="1" x14ac:dyDescent="0.35">
      <c r="N130" s="29"/>
      <c r="S130" s="18"/>
      <c r="T130" s="30"/>
      <c r="AI130" s="31"/>
      <c r="AJ130" s="32"/>
      <c r="AK130" s="33"/>
      <c r="AL130" s="32"/>
      <c r="AM130" s="32"/>
      <c r="AN130" s="33"/>
      <c r="AO130" s="33"/>
      <c r="AP130" s="34"/>
      <c r="AQ130" s="31"/>
    </row>
    <row r="131" spans="14:43" ht="15" thickBot="1" x14ac:dyDescent="0.35">
      <c r="N131" s="29"/>
      <c r="S131" s="18"/>
      <c r="T131" s="30"/>
      <c r="AI131" s="31"/>
      <c r="AJ131" s="32"/>
      <c r="AK131" s="33"/>
      <c r="AL131" s="32"/>
      <c r="AM131" s="32"/>
      <c r="AN131" s="33"/>
      <c r="AO131" s="33"/>
      <c r="AP131" s="34"/>
      <c r="AQ131" s="31"/>
    </row>
    <row r="132" spans="14:43" ht="15" thickBot="1" x14ac:dyDescent="0.35">
      <c r="N132" s="29"/>
      <c r="S132" s="18"/>
      <c r="T132" s="30"/>
      <c r="AI132" s="31"/>
      <c r="AJ132" s="32"/>
      <c r="AK132" s="33"/>
      <c r="AL132" s="32"/>
      <c r="AM132" s="32"/>
      <c r="AN132" s="33"/>
      <c r="AO132" s="33"/>
      <c r="AP132" s="34"/>
      <c r="AQ132" s="31"/>
    </row>
    <row r="133" spans="14:43" ht="15" thickBot="1" x14ac:dyDescent="0.35">
      <c r="N133" s="29"/>
      <c r="S133" s="18"/>
      <c r="T133" s="30"/>
      <c r="AI133" s="31"/>
      <c r="AJ133" s="32"/>
      <c r="AK133" s="32"/>
      <c r="AL133" s="32"/>
      <c r="AM133" s="32"/>
      <c r="AN133" s="33"/>
      <c r="AO133" s="33"/>
      <c r="AP133" s="33"/>
      <c r="AQ133" s="31"/>
    </row>
    <row r="134" spans="14:43" ht="15" thickBot="1" x14ac:dyDescent="0.35">
      <c r="N134" s="29"/>
      <c r="S134" s="18"/>
      <c r="T134" s="30"/>
      <c r="AI134" s="31"/>
      <c r="AJ134" s="32"/>
      <c r="AK134" s="33"/>
      <c r="AL134" s="32"/>
      <c r="AM134" s="32"/>
      <c r="AN134" s="33"/>
      <c r="AO134" s="33"/>
      <c r="AP134" s="34"/>
      <c r="AQ134" s="31"/>
    </row>
    <row r="135" spans="14:43" ht="15" thickBot="1" x14ac:dyDescent="0.35">
      <c r="N135" s="29"/>
      <c r="S135" s="18"/>
      <c r="T135" s="30"/>
      <c r="AI135" s="31"/>
      <c r="AJ135" s="32"/>
      <c r="AK135" s="33"/>
      <c r="AL135" s="32"/>
      <c r="AM135" s="32"/>
      <c r="AN135" s="33"/>
      <c r="AO135" s="33"/>
      <c r="AP135" s="34"/>
      <c r="AQ135" s="31"/>
    </row>
    <row r="136" spans="14:43" ht="15" thickBot="1" x14ac:dyDescent="0.35">
      <c r="N136" s="29"/>
      <c r="S136" s="18"/>
      <c r="T136" s="30"/>
      <c r="AI136" s="31"/>
      <c r="AJ136" s="32"/>
      <c r="AK136" s="33"/>
      <c r="AL136" s="32"/>
      <c r="AM136" s="32"/>
      <c r="AN136" s="33"/>
      <c r="AO136" s="33"/>
      <c r="AP136" s="34"/>
      <c r="AQ136" s="31"/>
    </row>
    <row r="137" spans="14:43" ht="15" thickBot="1" x14ac:dyDescent="0.35">
      <c r="N137" s="29"/>
      <c r="S137" s="18"/>
      <c r="T137" s="30"/>
      <c r="AI137" s="31"/>
      <c r="AJ137" s="32"/>
      <c r="AK137" s="33"/>
      <c r="AL137" s="32"/>
      <c r="AM137" s="32"/>
      <c r="AN137" s="33"/>
      <c r="AO137" s="33"/>
      <c r="AP137" s="34"/>
      <c r="AQ137" s="31"/>
    </row>
    <row r="138" spans="14:43" ht="15" thickBot="1" x14ac:dyDescent="0.35">
      <c r="N138" s="29"/>
      <c r="S138" s="18"/>
      <c r="T138" s="30"/>
      <c r="AI138" s="31"/>
      <c r="AJ138" s="32"/>
      <c r="AK138" s="33"/>
      <c r="AL138" s="32"/>
      <c r="AM138" s="32"/>
      <c r="AN138" s="33"/>
      <c r="AO138" s="33"/>
      <c r="AP138" s="34"/>
      <c r="AQ138" s="31"/>
    </row>
    <row r="139" spans="14:43" ht="15" thickBot="1" x14ac:dyDescent="0.35">
      <c r="N139" s="29"/>
      <c r="S139" s="18"/>
      <c r="T139" s="30"/>
      <c r="AI139" s="31"/>
      <c r="AJ139" s="32"/>
      <c r="AK139" s="33"/>
      <c r="AL139" s="32"/>
      <c r="AM139" s="32"/>
      <c r="AN139" s="33"/>
      <c r="AO139" s="33"/>
      <c r="AP139" s="34"/>
      <c r="AQ139" s="31"/>
    </row>
    <row r="140" spans="14:43" ht="15" thickBot="1" x14ac:dyDescent="0.35">
      <c r="N140" s="29"/>
      <c r="S140" s="18"/>
      <c r="T140" s="30"/>
      <c r="AI140" s="31"/>
      <c r="AJ140" s="32"/>
      <c r="AK140" s="33"/>
      <c r="AL140" s="32"/>
      <c r="AM140" s="32"/>
      <c r="AN140" s="33"/>
      <c r="AO140" s="33"/>
      <c r="AP140" s="34"/>
      <c r="AQ140" s="31"/>
    </row>
    <row r="141" spans="14:43" ht="15" thickBot="1" x14ac:dyDescent="0.35">
      <c r="N141" s="29"/>
      <c r="S141" s="18"/>
      <c r="T141" s="30"/>
      <c r="AI141" s="31"/>
      <c r="AJ141" s="32"/>
      <c r="AK141" s="33"/>
      <c r="AL141" s="32"/>
      <c r="AM141" s="32"/>
      <c r="AN141" s="33"/>
      <c r="AO141" s="33"/>
      <c r="AP141" s="34"/>
      <c r="AQ141" s="31"/>
    </row>
    <row r="142" spans="14:43" ht="15" thickBot="1" x14ac:dyDescent="0.35">
      <c r="N142" s="29"/>
      <c r="S142" s="18"/>
      <c r="T142" s="30"/>
      <c r="AI142" s="31"/>
      <c r="AJ142" s="32"/>
      <c r="AK142" s="33"/>
      <c r="AL142" s="32"/>
      <c r="AM142" s="32"/>
      <c r="AN142" s="33"/>
      <c r="AO142" s="33"/>
      <c r="AP142" s="34"/>
      <c r="AQ142" s="31"/>
    </row>
    <row r="143" spans="14:43" ht="15" thickBot="1" x14ac:dyDescent="0.35">
      <c r="N143" s="29"/>
      <c r="S143" s="18"/>
      <c r="T143" s="30"/>
      <c r="AI143" s="31"/>
      <c r="AJ143" s="32"/>
      <c r="AK143" s="32"/>
      <c r="AL143" s="33"/>
      <c r="AM143" s="32"/>
      <c r="AN143" s="33"/>
      <c r="AO143" s="33"/>
      <c r="AP143" s="33"/>
      <c r="AQ143" s="31"/>
    </row>
    <row r="144" spans="14:43" ht="15" thickBot="1" x14ac:dyDescent="0.35">
      <c r="N144" s="29"/>
      <c r="S144" s="18"/>
      <c r="T144" s="30"/>
      <c r="AI144" s="31"/>
      <c r="AJ144" s="32"/>
      <c r="AK144" s="33"/>
      <c r="AL144" s="32"/>
      <c r="AM144" s="32"/>
      <c r="AN144" s="33"/>
      <c r="AO144" s="33"/>
      <c r="AP144" s="34"/>
      <c r="AQ144" s="31"/>
    </row>
    <row r="145" spans="14:43" ht="15" thickBot="1" x14ac:dyDescent="0.35">
      <c r="N145" s="29"/>
      <c r="S145" s="18"/>
      <c r="T145" s="30"/>
      <c r="AI145" s="31"/>
      <c r="AJ145" s="32"/>
      <c r="AK145" s="33"/>
      <c r="AL145" s="32"/>
      <c r="AM145" s="32"/>
      <c r="AN145" s="33"/>
      <c r="AO145" s="33"/>
      <c r="AP145" s="34"/>
      <c r="AQ145" s="31"/>
    </row>
    <row r="146" spans="14:43" ht="15" thickBot="1" x14ac:dyDescent="0.35">
      <c r="N146" s="29"/>
      <c r="S146" s="18"/>
      <c r="T146" s="30"/>
      <c r="AI146" s="31"/>
      <c r="AJ146" s="32"/>
      <c r="AK146" s="33"/>
      <c r="AL146" s="32"/>
      <c r="AM146" s="32"/>
      <c r="AN146" s="33"/>
      <c r="AO146" s="33"/>
      <c r="AP146" s="34"/>
      <c r="AQ146" s="31"/>
    </row>
    <row r="147" spans="14:43" ht="15" thickBot="1" x14ac:dyDescent="0.35">
      <c r="N147" s="29"/>
      <c r="S147" s="18"/>
      <c r="T147" s="30"/>
      <c r="AI147" s="31"/>
      <c r="AJ147" s="32"/>
      <c r="AK147" s="33"/>
      <c r="AL147" s="32"/>
      <c r="AM147" s="32"/>
      <c r="AN147" s="33"/>
      <c r="AO147" s="33"/>
      <c r="AP147" s="34"/>
      <c r="AQ147" s="31"/>
    </row>
    <row r="148" spans="14:43" ht="15" thickBot="1" x14ac:dyDescent="0.35">
      <c r="N148" s="29"/>
      <c r="S148" s="18"/>
      <c r="T148" s="30"/>
      <c r="AI148" s="31"/>
      <c r="AJ148" s="32"/>
      <c r="AK148" s="33"/>
      <c r="AL148" s="32"/>
      <c r="AM148" s="32"/>
      <c r="AN148" s="33"/>
      <c r="AO148" s="33"/>
      <c r="AP148" s="34"/>
      <c r="AQ148" s="31"/>
    </row>
    <row r="149" spans="14:43" ht="15" thickBot="1" x14ac:dyDescent="0.35">
      <c r="N149" s="29"/>
      <c r="S149" s="18"/>
      <c r="T149" s="30"/>
      <c r="AI149" s="31"/>
      <c r="AJ149" s="32"/>
      <c r="AK149" s="33"/>
      <c r="AL149" s="32"/>
      <c r="AM149" s="32"/>
      <c r="AN149" s="33"/>
      <c r="AO149" s="33"/>
      <c r="AP149" s="34"/>
      <c r="AQ149" s="31"/>
    </row>
    <row r="150" spans="14:43" ht="15" thickBot="1" x14ac:dyDescent="0.35">
      <c r="N150" s="29"/>
      <c r="S150" s="18"/>
      <c r="T150" s="30"/>
      <c r="AI150" s="31"/>
      <c r="AJ150" s="32"/>
      <c r="AK150" s="33"/>
      <c r="AL150" s="32"/>
      <c r="AM150" s="32"/>
      <c r="AN150" s="33"/>
      <c r="AO150" s="33"/>
      <c r="AP150" s="34"/>
      <c r="AQ150" s="31"/>
    </row>
    <row r="151" spans="14:43" ht="15" thickBot="1" x14ac:dyDescent="0.35">
      <c r="N151" s="29"/>
      <c r="S151" s="18"/>
      <c r="T151" s="30"/>
      <c r="AI151" s="31"/>
      <c r="AJ151" s="32"/>
      <c r="AK151" s="33"/>
      <c r="AL151" s="32"/>
      <c r="AM151" s="32"/>
      <c r="AN151" s="33"/>
      <c r="AO151" s="33"/>
      <c r="AP151" s="34"/>
      <c r="AQ151" s="31"/>
    </row>
    <row r="152" spans="14:43" ht="15" thickBot="1" x14ac:dyDescent="0.35">
      <c r="N152" s="29"/>
      <c r="S152" s="18"/>
      <c r="T152" s="30"/>
      <c r="AI152" s="31"/>
      <c r="AJ152" s="32"/>
      <c r="AK152" s="33"/>
      <c r="AL152" s="32"/>
      <c r="AM152" s="32"/>
      <c r="AN152" s="33"/>
      <c r="AO152" s="33"/>
      <c r="AP152" s="34"/>
      <c r="AQ152" s="31"/>
    </row>
    <row r="153" spans="14:43" ht="15" thickBot="1" x14ac:dyDescent="0.35">
      <c r="N153" s="29"/>
      <c r="S153" s="18"/>
      <c r="T153" s="30"/>
      <c r="AI153" s="31"/>
      <c r="AJ153" s="32"/>
      <c r="AK153" s="33"/>
      <c r="AL153" s="32"/>
      <c r="AM153" s="32"/>
      <c r="AN153" s="33"/>
      <c r="AO153" s="33"/>
      <c r="AP153" s="34"/>
      <c r="AQ153" s="31"/>
    </row>
    <row r="154" spans="14:43" ht="15" thickBot="1" x14ac:dyDescent="0.35">
      <c r="N154" s="29"/>
      <c r="S154" s="18"/>
      <c r="T154" s="30"/>
      <c r="AI154" s="31"/>
      <c r="AJ154" s="32"/>
      <c r="AK154" s="33"/>
      <c r="AL154" s="32"/>
      <c r="AM154" s="32"/>
      <c r="AN154" s="33"/>
      <c r="AO154" s="33"/>
      <c r="AP154" s="34"/>
      <c r="AQ154" s="31"/>
    </row>
    <row r="155" spans="14:43" ht="15" thickBot="1" x14ac:dyDescent="0.35">
      <c r="N155" s="29"/>
      <c r="S155" s="18"/>
      <c r="T155" s="30"/>
      <c r="AI155" s="31"/>
      <c r="AJ155" s="32"/>
      <c r="AK155" s="33"/>
      <c r="AL155" s="32"/>
      <c r="AM155" s="32"/>
      <c r="AN155" s="33"/>
      <c r="AO155" s="33"/>
      <c r="AP155" s="34"/>
      <c r="AQ155" s="31"/>
    </row>
    <row r="156" spans="14:43" ht="15" thickBot="1" x14ac:dyDescent="0.35">
      <c r="N156" s="29"/>
      <c r="S156" s="18"/>
      <c r="T156" s="30"/>
      <c r="AI156" s="31"/>
      <c r="AJ156" s="32"/>
      <c r="AK156" s="33"/>
      <c r="AL156" s="32"/>
      <c r="AM156" s="32"/>
      <c r="AN156" s="33"/>
      <c r="AO156" s="33"/>
      <c r="AP156" s="34"/>
      <c r="AQ156" s="31"/>
    </row>
    <row r="157" spans="14:43" ht="15" thickBot="1" x14ac:dyDescent="0.35">
      <c r="N157" s="29"/>
      <c r="S157" s="18"/>
      <c r="T157" s="30"/>
      <c r="AI157" s="31"/>
      <c r="AJ157" s="32"/>
      <c r="AK157" s="33"/>
      <c r="AL157" s="32"/>
      <c r="AM157" s="32"/>
      <c r="AN157" s="33"/>
      <c r="AO157" s="33"/>
      <c r="AP157" s="34"/>
      <c r="AQ157" s="31"/>
    </row>
    <row r="158" spans="14:43" ht="15" thickBot="1" x14ac:dyDescent="0.35">
      <c r="N158" s="29"/>
      <c r="S158" s="18"/>
      <c r="T158" s="30"/>
      <c r="AI158" s="31"/>
      <c r="AJ158" s="32"/>
      <c r="AK158" s="33"/>
      <c r="AL158" s="32"/>
      <c r="AM158" s="32"/>
      <c r="AN158" s="33"/>
      <c r="AO158" s="33"/>
      <c r="AP158" s="33"/>
      <c r="AQ158" s="31"/>
    </row>
    <row r="159" spans="14:43" ht="15" thickBot="1" x14ac:dyDescent="0.35">
      <c r="N159" s="29"/>
      <c r="S159" s="18"/>
      <c r="T159" s="30"/>
      <c r="AI159" s="31"/>
      <c r="AJ159" s="32"/>
      <c r="AK159" s="33"/>
      <c r="AL159" s="32"/>
      <c r="AM159" s="32"/>
      <c r="AN159" s="33"/>
      <c r="AO159" s="33"/>
      <c r="AP159" s="34"/>
      <c r="AQ159" s="31"/>
    </row>
    <row r="160" spans="14:43" ht="15" thickBot="1" x14ac:dyDescent="0.35">
      <c r="N160" s="29"/>
      <c r="S160" s="18"/>
      <c r="T160" s="30"/>
      <c r="AI160" s="31"/>
      <c r="AJ160" s="32"/>
      <c r="AK160" s="33"/>
      <c r="AL160" s="32"/>
      <c r="AM160" s="32"/>
      <c r="AN160" s="33"/>
      <c r="AO160" s="33"/>
      <c r="AP160" s="34"/>
      <c r="AQ160" s="31"/>
    </row>
    <row r="161" spans="14:43" ht="15" thickBot="1" x14ac:dyDescent="0.35">
      <c r="N161" s="29"/>
      <c r="S161" s="18"/>
      <c r="T161" s="30"/>
      <c r="AI161" s="31"/>
      <c r="AJ161" s="32"/>
      <c r="AK161" s="33"/>
      <c r="AL161" s="32"/>
      <c r="AM161" s="32"/>
      <c r="AN161" s="33"/>
      <c r="AO161" s="33"/>
      <c r="AP161" s="34"/>
      <c r="AQ161" s="31"/>
    </row>
    <row r="162" spans="14:43" ht="15" thickBot="1" x14ac:dyDescent="0.35">
      <c r="N162" s="29"/>
      <c r="S162" s="18"/>
      <c r="T162" s="30"/>
      <c r="AI162" s="31"/>
      <c r="AJ162" s="32"/>
      <c r="AK162" s="33"/>
      <c r="AL162" s="32"/>
      <c r="AM162" s="32"/>
      <c r="AN162" s="33"/>
      <c r="AO162" s="33"/>
      <c r="AP162" s="34"/>
      <c r="AQ162" s="31"/>
    </row>
    <row r="163" spans="14:43" ht="15" thickBot="1" x14ac:dyDescent="0.35">
      <c r="N163" s="29"/>
      <c r="S163" s="18"/>
      <c r="T163" s="30"/>
      <c r="AI163" s="31"/>
      <c r="AJ163" s="32"/>
      <c r="AK163" s="33"/>
      <c r="AL163" s="32"/>
      <c r="AM163" s="32"/>
      <c r="AN163" s="33"/>
      <c r="AO163" s="33"/>
      <c r="AP163" s="34"/>
      <c r="AQ163" s="31"/>
    </row>
    <row r="164" spans="14:43" ht="15" thickBot="1" x14ac:dyDescent="0.35">
      <c r="N164" s="29"/>
      <c r="S164" s="18"/>
      <c r="T164" s="30"/>
      <c r="AI164" s="31"/>
      <c r="AJ164" s="32"/>
      <c r="AK164" s="33"/>
      <c r="AL164" s="32"/>
      <c r="AM164" s="32"/>
      <c r="AN164" s="33"/>
      <c r="AO164" s="33"/>
      <c r="AP164" s="34"/>
      <c r="AQ164" s="31"/>
    </row>
    <row r="165" spans="14:43" ht="15" thickBot="1" x14ac:dyDescent="0.35">
      <c r="N165" s="29"/>
      <c r="S165" s="18"/>
      <c r="T165" s="30"/>
      <c r="AI165" s="31"/>
      <c r="AJ165" s="32"/>
      <c r="AK165" s="33"/>
      <c r="AL165" s="32"/>
      <c r="AM165" s="33"/>
      <c r="AN165" s="33"/>
      <c r="AO165" s="33"/>
      <c r="AP165" s="34"/>
      <c r="AQ165" s="31"/>
    </row>
    <row r="166" spans="14:43" ht="15" thickBot="1" x14ac:dyDescent="0.35">
      <c r="N166" s="29"/>
      <c r="S166" s="18"/>
      <c r="T166" s="30"/>
      <c r="AI166" s="31"/>
      <c r="AJ166" s="32"/>
      <c r="AK166" s="33"/>
      <c r="AL166" s="32"/>
      <c r="AM166" s="32"/>
      <c r="AN166" s="33"/>
      <c r="AO166" s="33"/>
      <c r="AP166" s="34"/>
      <c r="AQ166" s="31"/>
    </row>
    <row r="167" spans="14:43" ht="15" thickBot="1" x14ac:dyDescent="0.35">
      <c r="N167" s="29"/>
      <c r="S167" s="18"/>
      <c r="T167" s="30"/>
      <c r="AI167" s="31"/>
      <c r="AJ167" s="32"/>
      <c r="AK167" s="33"/>
      <c r="AL167" s="32"/>
      <c r="AM167" s="32"/>
      <c r="AN167" s="33"/>
      <c r="AO167" s="33"/>
      <c r="AP167" s="34"/>
      <c r="AQ167" s="31"/>
    </row>
    <row r="168" spans="14:43" ht="15" thickBot="1" x14ac:dyDescent="0.35">
      <c r="N168" s="29"/>
      <c r="S168" s="18"/>
      <c r="T168" s="30"/>
      <c r="AI168" s="31"/>
      <c r="AJ168" s="32"/>
      <c r="AK168" s="33"/>
      <c r="AL168" s="32"/>
      <c r="AM168" s="32"/>
      <c r="AN168" s="33"/>
      <c r="AO168" s="33"/>
      <c r="AP168" s="34"/>
      <c r="AQ168" s="31"/>
    </row>
    <row r="169" spans="14:43" ht="15" thickBot="1" x14ac:dyDescent="0.35">
      <c r="N169" s="29"/>
      <c r="S169" s="18"/>
      <c r="T169" s="30"/>
      <c r="AI169" s="31"/>
      <c r="AJ169" s="32"/>
      <c r="AK169" s="33"/>
      <c r="AL169" s="32"/>
      <c r="AM169" s="32"/>
      <c r="AN169" s="33"/>
      <c r="AO169" s="33"/>
      <c r="AP169" s="34"/>
      <c r="AQ169" s="31"/>
    </row>
    <row r="170" spans="14:43" ht="15" thickBot="1" x14ac:dyDescent="0.35">
      <c r="N170" s="29"/>
      <c r="S170" s="18"/>
      <c r="T170" s="30"/>
      <c r="AI170" s="31"/>
      <c r="AJ170" s="32"/>
      <c r="AK170" s="33"/>
      <c r="AL170" s="32"/>
      <c r="AM170" s="32"/>
      <c r="AN170" s="33"/>
      <c r="AO170" s="33"/>
      <c r="AP170" s="33"/>
      <c r="AQ170" s="31"/>
    </row>
    <row r="171" spans="14:43" ht="15" thickBot="1" x14ac:dyDescent="0.35">
      <c r="N171" s="29"/>
      <c r="S171" s="18"/>
      <c r="T171" s="30"/>
      <c r="AI171" s="31"/>
      <c r="AJ171" s="32"/>
      <c r="AK171" s="33"/>
      <c r="AL171" s="32"/>
      <c r="AM171" s="32"/>
      <c r="AN171" s="33"/>
      <c r="AO171" s="33"/>
      <c r="AP171" s="34"/>
      <c r="AQ171" s="31"/>
    </row>
    <row r="172" spans="14:43" ht="15" thickBot="1" x14ac:dyDescent="0.35">
      <c r="N172" s="29"/>
      <c r="S172" s="18"/>
      <c r="T172" s="30"/>
      <c r="AI172" s="31"/>
      <c r="AJ172" s="32"/>
      <c r="AK172" s="33"/>
      <c r="AL172" s="32"/>
      <c r="AM172" s="32"/>
      <c r="AN172" s="33"/>
      <c r="AO172" s="33"/>
      <c r="AP172" s="34"/>
      <c r="AQ172" s="31"/>
    </row>
    <row r="173" spans="14:43" ht="15" thickBot="1" x14ac:dyDescent="0.35">
      <c r="N173" s="29"/>
      <c r="S173" s="18"/>
      <c r="T173" s="30"/>
      <c r="AI173" s="31"/>
      <c r="AJ173" s="32"/>
      <c r="AK173" s="33"/>
      <c r="AL173" s="32"/>
      <c r="AM173" s="32"/>
      <c r="AN173" s="33"/>
      <c r="AO173" s="33"/>
      <c r="AP173" s="34"/>
      <c r="AQ173" s="31"/>
    </row>
    <row r="174" spans="14:43" ht="15" thickBot="1" x14ac:dyDescent="0.35">
      <c r="N174" s="29"/>
      <c r="S174" s="18"/>
      <c r="T174" s="30"/>
      <c r="AI174" s="31"/>
      <c r="AJ174" s="32"/>
      <c r="AK174" s="33"/>
      <c r="AL174" s="32"/>
      <c r="AM174" s="32"/>
      <c r="AN174" s="33"/>
      <c r="AO174" s="33"/>
      <c r="AP174" s="34"/>
      <c r="AQ174" s="31"/>
    </row>
    <row r="175" spans="14:43" ht="15" thickBot="1" x14ac:dyDescent="0.35">
      <c r="N175" s="29"/>
      <c r="S175" s="18"/>
      <c r="T175" s="30"/>
      <c r="AI175" s="31"/>
      <c r="AJ175" s="32"/>
      <c r="AK175" s="33"/>
      <c r="AL175" s="32"/>
      <c r="AM175" s="32"/>
      <c r="AN175" s="33"/>
      <c r="AO175" s="33"/>
      <c r="AP175" s="34"/>
      <c r="AQ175" s="31"/>
    </row>
    <row r="176" spans="14:43" ht="15" thickBot="1" x14ac:dyDescent="0.35">
      <c r="N176" s="29"/>
      <c r="S176" s="18"/>
      <c r="T176" s="30"/>
      <c r="AI176" s="31"/>
      <c r="AJ176" s="32"/>
      <c r="AK176" s="33"/>
      <c r="AL176" s="32"/>
      <c r="AM176" s="32"/>
      <c r="AN176" s="33"/>
      <c r="AO176" s="33"/>
      <c r="AP176" s="34"/>
      <c r="AQ176" s="31"/>
    </row>
    <row r="177" spans="14:43" ht="15" thickBot="1" x14ac:dyDescent="0.35">
      <c r="N177" s="29"/>
      <c r="S177" s="18"/>
      <c r="T177" s="30"/>
      <c r="AI177" s="31"/>
      <c r="AJ177" s="33"/>
      <c r="AK177" s="33"/>
      <c r="AL177" s="32"/>
      <c r="AM177" s="32"/>
      <c r="AN177" s="33"/>
      <c r="AO177" s="33"/>
      <c r="AP177" s="34"/>
      <c r="AQ177" s="31"/>
    </row>
    <row r="178" spans="14:43" ht="15" thickBot="1" x14ac:dyDescent="0.35">
      <c r="N178" s="29"/>
      <c r="S178" s="18"/>
      <c r="T178" s="30"/>
      <c r="AI178" s="31"/>
      <c r="AJ178" s="33"/>
      <c r="AK178" s="33"/>
      <c r="AL178" s="32"/>
      <c r="AM178" s="32"/>
      <c r="AN178" s="33"/>
      <c r="AO178" s="33"/>
      <c r="AP178" s="34"/>
      <c r="AQ178" s="31"/>
    </row>
    <row r="179" spans="14:43" ht="15" thickBot="1" x14ac:dyDescent="0.35">
      <c r="N179" s="29"/>
      <c r="S179" s="18"/>
      <c r="T179" s="30"/>
      <c r="AI179" s="31"/>
      <c r="AJ179" s="32"/>
      <c r="AK179" s="33"/>
      <c r="AL179" s="32"/>
      <c r="AM179" s="32"/>
      <c r="AN179" s="33"/>
      <c r="AO179" s="33"/>
      <c r="AP179" s="34"/>
      <c r="AQ179" s="31"/>
    </row>
    <row r="180" spans="14:43" ht="15" thickBot="1" x14ac:dyDescent="0.35">
      <c r="N180" s="29"/>
      <c r="S180" s="18"/>
      <c r="T180" s="30"/>
      <c r="AI180" s="31"/>
      <c r="AJ180" s="32"/>
      <c r="AK180" s="33"/>
      <c r="AL180" s="32"/>
      <c r="AM180" s="32"/>
      <c r="AN180" s="33"/>
      <c r="AO180" s="33"/>
      <c r="AP180" s="34"/>
      <c r="AQ180" s="31"/>
    </row>
    <row r="181" spans="14:43" ht="15" thickBot="1" x14ac:dyDescent="0.35">
      <c r="N181" s="29"/>
      <c r="S181" s="18"/>
      <c r="T181" s="30"/>
      <c r="AI181" s="31"/>
      <c r="AJ181" s="32"/>
      <c r="AK181" s="32"/>
      <c r="AL181" s="33"/>
      <c r="AM181" s="32"/>
      <c r="AN181" s="33"/>
      <c r="AO181" s="33"/>
      <c r="AP181" s="34"/>
      <c r="AQ181" s="31"/>
    </row>
    <row r="182" spans="14:43" ht="15" thickBot="1" x14ac:dyDescent="0.35">
      <c r="N182" s="29"/>
      <c r="S182" s="18"/>
      <c r="T182" s="30"/>
      <c r="AI182" s="31"/>
      <c r="AJ182" s="32"/>
      <c r="AK182" s="33"/>
      <c r="AL182" s="32"/>
      <c r="AM182" s="32"/>
      <c r="AN182" s="33"/>
      <c r="AO182" s="33"/>
      <c r="AP182" s="34"/>
      <c r="AQ182" s="31"/>
    </row>
    <row r="183" spans="14:43" ht="15" thickBot="1" x14ac:dyDescent="0.35">
      <c r="N183" s="29"/>
      <c r="S183" s="18"/>
      <c r="T183" s="30"/>
      <c r="AI183" s="31"/>
      <c r="AJ183" s="32"/>
      <c r="AK183" s="33"/>
      <c r="AL183" s="32"/>
      <c r="AM183" s="33"/>
      <c r="AN183" s="33"/>
      <c r="AO183" s="33"/>
      <c r="AP183" s="34"/>
      <c r="AQ183" s="31"/>
    </row>
    <row r="184" spans="14:43" ht="15" thickBot="1" x14ac:dyDescent="0.35">
      <c r="N184" s="29"/>
      <c r="S184" s="18"/>
      <c r="T184" s="30"/>
      <c r="AI184" s="31"/>
      <c r="AJ184" s="33"/>
      <c r="AK184" s="33"/>
      <c r="AL184" s="32"/>
      <c r="AM184" s="32"/>
      <c r="AN184" s="33"/>
      <c r="AO184" s="33"/>
      <c r="AP184" s="34"/>
      <c r="AQ184" s="31"/>
    </row>
    <row r="185" spans="14:43" ht="15" thickBot="1" x14ac:dyDescent="0.35">
      <c r="N185" s="29"/>
      <c r="S185" s="18"/>
      <c r="T185" s="30"/>
      <c r="AI185" s="31"/>
      <c r="AJ185" s="32"/>
      <c r="AK185" s="33"/>
      <c r="AL185" s="32"/>
      <c r="AM185" s="32"/>
      <c r="AN185" s="33"/>
      <c r="AO185" s="33"/>
      <c r="AP185" s="34"/>
      <c r="AQ185" s="31"/>
    </row>
    <row r="186" spans="14:43" ht="15" thickBot="1" x14ac:dyDescent="0.35">
      <c r="N186" s="29"/>
      <c r="S186" s="18"/>
      <c r="T186" s="30"/>
      <c r="AI186" s="31"/>
      <c r="AJ186" s="32"/>
      <c r="AK186" s="33"/>
      <c r="AL186" s="32"/>
      <c r="AM186" s="33"/>
      <c r="AN186" s="33"/>
      <c r="AO186" s="33"/>
      <c r="AP186" s="34"/>
      <c r="AQ186" s="31"/>
    </row>
    <row r="187" spans="14:43" ht="15" thickBot="1" x14ac:dyDescent="0.35">
      <c r="N187" s="29"/>
      <c r="S187" s="18"/>
      <c r="T187" s="30"/>
      <c r="AI187" s="31"/>
      <c r="AJ187" s="32"/>
      <c r="AK187" s="33"/>
      <c r="AL187" s="32"/>
      <c r="AM187" s="32"/>
      <c r="AN187" s="33"/>
      <c r="AO187" s="33"/>
      <c r="AP187" s="34"/>
      <c r="AQ187" s="31"/>
    </row>
    <row r="188" spans="14:43" ht="15" thickBot="1" x14ac:dyDescent="0.35">
      <c r="N188" s="29"/>
      <c r="S188" s="18"/>
      <c r="T188" s="30"/>
      <c r="AI188" s="31"/>
      <c r="AJ188" s="32"/>
      <c r="AK188" s="33"/>
      <c r="AL188" s="32"/>
      <c r="AM188" s="32"/>
      <c r="AN188" s="33"/>
      <c r="AO188" s="33"/>
      <c r="AP188" s="34"/>
      <c r="AQ188" s="31"/>
    </row>
    <row r="189" spans="14:43" ht="15" thickBot="1" x14ac:dyDescent="0.35">
      <c r="N189" s="29"/>
      <c r="S189" s="18"/>
      <c r="T189" s="30"/>
      <c r="AI189" s="31"/>
      <c r="AJ189" s="32"/>
      <c r="AK189" s="33"/>
      <c r="AL189" s="32"/>
      <c r="AM189" s="33"/>
      <c r="AN189" s="33"/>
      <c r="AO189" s="33"/>
      <c r="AP189" s="34"/>
      <c r="AQ189" s="31"/>
    </row>
    <row r="190" spans="14:43" ht="15" thickBot="1" x14ac:dyDescent="0.35">
      <c r="N190" s="29"/>
      <c r="S190" s="18"/>
      <c r="T190" s="30"/>
      <c r="AI190" s="31"/>
      <c r="AJ190" s="32"/>
      <c r="AK190" s="33"/>
      <c r="AL190" s="32"/>
      <c r="AM190" s="32"/>
      <c r="AN190" s="33"/>
      <c r="AO190" s="33"/>
      <c r="AP190" s="34"/>
      <c r="AQ190" s="31"/>
    </row>
    <row r="191" spans="14:43" ht="15" thickBot="1" x14ac:dyDescent="0.35">
      <c r="N191" s="29"/>
      <c r="S191" s="18"/>
      <c r="T191" s="30"/>
      <c r="AI191" s="31"/>
      <c r="AJ191" s="32"/>
      <c r="AK191" s="33"/>
      <c r="AL191" s="32"/>
      <c r="AM191" s="32"/>
      <c r="AN191" s="33"/>
      <c r="AO191" s="33"/>
      <c r="AP191" s="34"/>
      <c r="AQ191" s="31"/>
    </row>
    <row r="192" spans="14:43" ht="15" thickBot="1" x14ac:dyDescent="0.35">
      <c r="N192" s="29"/>
      <c r="S192" s="18"/>
      <c r="T192" s="30"/>
      <c r="AI192" s="31"/>
      <c r="AJ192" s="32"/>
      <c r="AK192" s="33"/>
      <c r="AL192" s="32"/>
      <c r="AM192" s="32"/>
      <c r="AN192" s="33"/>
      <c r="AO192" s="33"/>
      <c r="AP192" s="34"/>
      <c r="AQ192" s="31"/>
    </row>
    <row r="193" spans="14:43" ht="15" thickBot="1" x14ac:dyDescent="0.35">
      <c r="N193" s="29"/>
      <c r="S193" s="18"/>
      <c r="T193" s="30"/>
      <c r="AI193" s="31"/>
      <c r="AJ193" s="32"/>
      <c r="AK193" s="33"/>
      <c r="AL193" s="32"/>
      <c r="AM193" s="32"/>
      <c r="AN193" s="33"/>
      <c r="AO193" s="33"/>
      <c r="AP193" s="34"/>
      <c r="AQ193" s="31"/>
    </row>
    <row r="194" spans="14:43" ht="15" thickBot="1" x14ac:dyDescent="0.35">
      <c r="N194" s="29"/>
      <c r="S194" s="18"/>
      <c r="T194" s="30"/>
      <c r="AI194" s="31"/>
      <c r="AJ194" s="32"/>
      <c r="AK194" s="33"/>
      <c r="AL194" s="32"/>
      <c r="AM194" s="33"/>
      <c r="AN194" s="33"/>
      <c r="AO194" s="33"/>
      <c r="AP194" s="34"/>
      <c r="AQ194" s="31"/>
    </row>
    <row r="195" spans="14:43" ht="15" thickBot="1" x14ac:dyDescent="0.35">
      <c r="N195" s="29"/>
      <c r="S195" s="18"/>
      <c r="T195" s="30"/>
      <c r="AI195" s="31"/>
      <c r="AJ195" s="32"/>
      <c r="AK195" s="33"/>
      <c r="AL195" s="32"/>
      <c r="AM195" s="32"/>
      <c r="AN195" s="33"/>
      <c r="AO195" s="33"/>
      <c r="AP195" s="34"/>
      <c r="AQ195" s="31"/>
    </row>
    <row r="196" spans="14:43" ht="15" thickBot="1" x14ac:dyDescent="0.35">
      <c r="N196" s="29"/>
      <c r="S196" s="18"/>
      <c r="T196" s="30"/>
      <c r="AI196" s="31"/>
      <c r="AJ196" s="32"/>
      <c r="AK196" s="32"/>
      <c r="AL196" s="33"/>
      <c r="AM196" s="32"/>
      <c r="AN196" s="33"/>
      <c r="AO196" s="33"/>
      <c r="AP196" s="33"/>
      <c r="AQ196" s="31"/>
    </row>
    <row r="197" spans="14:43" ht="15" thickBot="1" x14ac:dyDescent="0.35">
      <c r="N197" s="29"/>
      <c r="S197" s="18"/>
      <c r="T197" s="30"/>
      <c r="AI197" s="31"/>
      <c r="AJ197" s="33"/>
      <c r="AK197" s="33"/>
      <c r="AL197" s="32"/>
      <c r="AM197" s="33"/>
      <c r="AN197" s="33"/>
      <c r="AO197" s="33"/>
      <c r="AP197" s="34"/>
      <c r="AQ197" s="31"/>
    </row>
    <row r="198" spans="14:43" ht="15" thickBot="1" x14ac:dyDescent="0.35">
      <c r="N198" s="29"/>
      <c r="S198" s="18"/>
      <c r="T198" s="30"/>
      <c r="AI198" s="31"/>
      <c r="AJ198" s="32"/>
      <c r="AK198" s="33"/>
      <c r="AL198" s="32"/>
      <c r="AM198" s="32"/>
      <c r="AN198" s="33"/>
      <c r="AO198" s="33"/>
      <c r="AP198" s="34"/>
      <c r="AQ198" s="31"/>
    </row>
    <row r="199" spans="14:43" ht="15" thickBot="1" x14ac:dyDescent="0.35">
      <c r="N199" s="29"/>
      <c r="S199" s="18"/>
      <c r="T199" s="30"/>
      <c r="AI199" s="31"/>
      <c r="AJ199" s="32"/>
      <c r="AK199" s="33"/>
      <c r="AL199" s="32"/>
      <c r="AM199" s="32"/>
      <c r="AN199" s="33"/>
      <c r="AO199" s="33"/>
      <c r="AP199" s="34"/>
      <c r="AQ199" s="31"/>
    </row>
    <row r="200" spans="14:43" ht="15" thickBot="1" x14ac:dyDescent="0.35">
      <c r="N200" s="29"/>
      <c r="S200" s="18"/>
      <c r="T200" s="30"/>
      <c r="AI200" s="31"/>
      <c r="AJ200" s="32"/>
      <c r="AK200" s="33"/>
      <c r="AL200" s="32"/>
      <c r="AM200" s="32"/>
      <c r="AN200" s="33"/>
      <c r="AO200" s="33"/>
      <c r="AP200" s="34"/>
      <c r="AQ200" s="31"/>
    </row>
    <row r="201" spans="14:43" ht="15" thickBot="1" x14ac:dyDescent="0.35">
      <c r="N201" s="29"/>
      <c r="S201" s="18"/>
      <c r="T201" s="30"/>
      <c r="AI201" s="31"/>
      <c r="AJ201" s="32"/>
      <c r="AK201" s="33"/>
      <c r="AL201" s="32"/>
      <c r="AM201" s="32"/>
      <c r="AN201" s="33"/>
      <c r="AO201" s="33"/>
      <c r="AP201" s="34"/>
      <c r="AQ201" s="31"/>
    </row>
    <row r="202" spans="14:43" ht="15" thickBot="1" x14ac:dyDescent="0.35">
      <c r="N202" s="29"/>
      <c r="S202" s="18"/>
      <c r="T202" s="30"/>
      <c r="AI202" s="31"/>
      <c r="AJ202" s="32"/>
      <c r="AK202" s="32"/>
      <c r="AL202" s="33"/>
      <c r="AM202" s="32"/>
      <c r="AN202" s="33"/>
      <c r="AO202" s="33"/>
      <c r="AP202" s="34"/>
      <c r="AQ202" s="31"/>
    </row>
    <row r="203" spans="14:43" ht="15" thickBot="1" x14ac:dyDescent="0.35">
      <c r="N203" s="29"/>
      <c r="S203" s="18"/>
      <c r="T203" s="30"/>
      <c r="AI203" s="31"/>
      <c r="AJ203" s="32"/>
      <c r="AK203" s="32"/>
      <c r="AL203" s="33"/>
      <c r="AM203" s="33"/>
      <c r="AN203" s="33"/>
      <c r="AO203" s="33"/>
      <c r="AP203" s="34"/>
      <c r="AQ203" s="31"/>
    </row>
    <row r="204" spans="14:43" ht="15" thickBot="1" x14ac:dyDescent="0.35">
      <c r="N204" s="29"/>
      <c r="S204" s="18"/>
      <c r="T204" s="30"/>
      <c r="AI204" s="31"/>
      <c r="AJ204" s="32"/>
      <c r="AK204" s="33"/>
      <c r="AL204" s="32"/>
      <c r="AM204" s="33"/>
      <c r="AN204" s="33"/>
      <c r="AO204" s="33"/>
      <c r="AP204" s="34"/>
      <c r="AQ204" s="31"/>
    </row>
    <row r="205" spans="14:43" ht="15" thickBot="1" x14ac:dyDescent="0.35">
      <c r="N205" s="29"/>
      <c r="S205" s="18"/>
      <c r="T205" s="30"/>
      <c r="AI205" s="31"/>
      <c r="AJ205" s="33"/>
      <c r="AK205" s="33"/>
      <c r="AL205" s="32"/>
      <c r="AM205" s="32"/>
      <c r="AN205" s="33"/>
      <c r="AO205" s="33"/>
      <c r="AP205" s="33"/>
      <c r="AQ205" s="31"/>
    </row>
    <row r="206" spans="14:43" ht="15" thickBot="1" x14ac:dyDescent="0.35">
      <c r="N206" s="29"/>
      <c r="S206" s="18"/>
      <c r="T206" s="30"/>
      <c r="AI206" s="31"/>
      <c r="AJ206" s="32"/>
      <c r="AK206" s="33"/>
      <c r="AL206" s="32"/>
      <c r="AM206" s="32"/>
      <c r="AN206" s="33"/>
      <c r="AO206" s="33"/>
      <c r="AP206" s="34"/>
      <c r="AQ206" s="31"/>
    </row>
    <row r="207" spans="14:43" ht="15" thickBot="1" x14ac:dyDescent="0.35">
      <c r="N207" s="29"/>
      <c r="S207" s="18"/>
      <c r="T207" s="30"/>
      <c r="AI207" s="31"/>
      <c r="AJ207" s="32"/>
      <c r="AK207" s="33"/>
      <c r="AL207" s="32"/>
      <c r="AM207" s="32"/>
      <c r="AN207" s="33"/>
      <c r="AO207" s="33"/>
      <c r="AP207" s="34"/>
      <c r="AQ207" s="31"/>
    </row>
    <row r="208" spans="14:43" ht="15" thickBot="1" x14ac:dyDescent="0.35">
      <c r="N208" s="29"/>
      <c r="S208" s="18"/>
      <c r="T208" s="30"/>
      <c r="AI208" s="31"/>
      <c r="AJ208" s="33"/>
      <c r="AK208" s="33"/>
      <c r="AL208" s="32"/>
      <c r="AM208" s="33"/>
      <c r="AN208" s="33"/>
      <c r="AO208" s="33"/>
      <c r="AP208" s="34"/>
      <c r="AQ208" s="31"/>
    </row>
    <row r="209" spans="14:43" ht="15" thickBot="1" x14ac:dyDescent="0.35">
      <c r="N209" s="29"/>
      <c r="S209" s="18"/>
      <c r="T209" s="30"/>
      <c r="AI209" s="31"/>
      <c r="AJ209" s="32"/>
      <c r="AK209" s="33"/>
      <c r="AL209" s="32"/>
      <c r="AM209" s="33"/>
      <c r="AN209" s="33"/>
      <c r="AO209" s="33"/>
      <c r="AP209" s="34"/>
      <c r="AQ209" s="31"/>
    </row>
    <row r="210" spans="14:43" ht="15" thickBot="1" x14ac:dyDescent="0.35">
      <c r="N210" s="29"/>
      <c r="S210" s="18"/>
      <c r="T210" s="30"/>
      <c r="AI210" s="31"/>
      <c r="AJ210" s="32"/>
      <c r="AK210" s="33"/>
      <c r="AL210" s="32"/>
      <c r="AM210" s="33"/>
      <c r="AN210" s="33"/>
      <c r="AO210" s="33"/>
      <c r="AP210" s="34"/>
      <c r="AQ210" s="31"/>
    </row>
    <row r="211" spans="14:43" ht="15" thickBot="1" x14ac:dyDescent="0.35">
      <c r="N211" s="29"/>
      <c r="S211" s="18"/>
      <c r="T211" s="30"/>
      <c r="AI211" s="31"/>
      <c r="AJ211" s="32"/>
      <c r="AK211" s="33"/>
      <c r="AL211" s="32"/>
      <c r="AM211" s="32"/>
      <c r="AN211" s="33"/>
      <c r="AO211" s="33"/>
      <c r="AP211" s="34"/>
      <c r="AQ211" s="31"/>
    </row>
    <row r="212" spans="14:43" ht="15" thickBot="1" x14ac:dyDescent="0.35">
      <c r="N212" s="29"/>
      <c r="S212" s="18"/>
      <c r="T212" s="30"/>
      <c r="AI212" s="31"/>
      <c r="AJ212" s="33"/>
      <c r="AK212" s="33"/>
      <c r="AL212" s="33"/>
      <c r="AM212" s="33"/>
      <c r="AN212" s="33"/>
      <c r="AO212" s="33"/>
      <c r="AP212" s="34"/>
      <c r="AQ212" s="31"/>
    </row>
    <row r="213" spans="14:43" ht="15" thickBot="1" x14ac:dyDescent="0.35">
      <c r="N213" s="29"/>
      <c r="S213" s="18"/>
      <c r="T213" s="30"/>
      <c r="AI213" s="31"/>
      <c r="AJ213" s="32"/>
      <c r="AK213" s="33"/>
      <c r="AL213" s="32"/>
      <c r="AM213" s="33"/>
      <c r="AN213" s="33"/>
      <c r="AO213" s="33"/>
      <c r="AP213" s="34"/>
      <c r="AQ213" s="31"/>
    </row>
    <row r="214" spans="14:43" ht="15" thickBot="1" x14ac:dyDescent="0.35">
      <c r="N214" s="29"/>
      <c r="S214" s="18"/>
      <c r="T214" s="30"/>
      <c r="AI214" s="31"/>
      <c r="AJ214" s="32"/>
      <c r="AK214" s="33"/>
      <c r="AL214" s="32"/>
      <c r="AM214" s="32"/>
      <c r="AN214" s="33"/>
      <c r="AO214" s="33"/>
      <c r="AP214" s="34"/>
      <c r="AQ214" s="31"/>
    </row>
    <row r="215" spans="14:43" ht="15" thickBot="1" x14ac:dyDescent="0.35">
      <c r="N215" s="29"/>
      <c r="S215" s="18"/>
      <c r="T215" s="30"/>
      <c r="AI215" s="31"/>
      <c r="AJ215" s="32"/>
      <c r="AK215" s="33"/>
      <c r="AL215" s="33"/>
      <c r="AM215" s="33"/>
      <c r="AN215" s="33"/>
      <c r="AO215" s="33"/>
      <c r="AP215" s="34"/>
      <c r="AQ215" s="31"/>
    </row>
    <row r="216" spans="14:43" ht="15" thickBot="1" x14ac:dyDescent="0.35">
      <c r="N216" s="29"/>
      <c r="S216" s="18"/>
      <c r="T216" s="30"/>
      <c r="AI216" s="31"/>
      <c r="AJ216" s="32"/>
      <c r="AK216" s="33"/>
      <c r="AL216" s="33"/>
      <c r="AM216" s="32"/>
      <c r="AN216" s="33"/>
      <c r="AO216" s="33"/>
      <c r="AP216" s="34"/>
      <c r="AQ216" s="31"/>
    </row>
    <row r="217" spans="14:43" ht="15" thickBot="1" x14ac:dyDescent="0.35">
      <c r="N217" s="29"/>
      <c r="S217" s="18"/>
      <c r="T217" s="30"/>
      <c r="AI217" s="31"/>
      <c r="AJ217" s="32"/>
      <c r="AK217" s="33"/>
      <c r="AL217" s="32"/>
      <c r="AM217" s="32"/>
      <c r="AN217" s="33"/>
      <c r="AO217" s="33"/>
      <c r="AP217" s="34"/>
      <c r="AQ217" s="31"/>
    </row>
    <row r="218" spans="14:43" ht="15" thickBot="1" x14ac:dyDescent="0.35">
      <c r="N218" s="29"/>
      <c r="S218" s="18"/>
      <c r="T218" s="30"/>
      <c r="AI218" s="31"/>
      <c r="AJ218" s="33"/>
      <c r="AK218" s="33"/>
      <c r="AL218" s="33"/>
      <c r="AM218" s="33"/>
      <c r="AN218" s="33"/>
      <c r="AO218" s="33"/>
      <c r="AP218" s="34"/>
      <c r="AQ218" s="31"/>
    </row>
    <row r="219" spans="14:43" ht="15" thickBot="1" x14ac:dyDescent="0.35">
      <c r="N219" s="29"/>
      <c r="S219" s="18"/>
      <c r="T219" s="30"/>
      <c r="AI219" s="31"/>
      <c r="AJ219" s="32"/>
      <c r="AK219" s="33"/>
      <c r="AL219" s="33"/>
      <c r="AM219" s="32"/>
      <c r="AN219" s="33"/>
      <c r="AO219" s="33"/>
      <c r="AP219" s="34"/>
      <c r="AQ219" s="31"/>
    </row>
    <row r="220" spans="14:43" ht="15" thickBot="1" x14ac:dyDescent="0.35">
      <c r="N220" s="29"/>
      <c r="S220" s="18"/>
      <c r="T220" s="30"/>
      <c r="AI220" s="31"/>
      <c r="AJ220" s="32"/>
      <c r="AK220" s="33"/>
      <c r="AL220" s="33"/>
      <c r="AM220" s="33"/>
      <c r="AN220" s="33"/>
      <c r="AO220" s="33"/>
      <c r="AP220" s="34"/>
      <c r="AQ220" s="31"/>
    </row>
    <row r="221" spans="14:43" ht="15" thickBot="1" x14ac:dyDescent="0.35">
      <c r="N221" s="29"/>
      <c r="S221" s="18"/>
      <c r="T221" s="30"/>
      <c r="AI221" s="31"/>
      <c r="AJ221" s="33"/>
      <c r="AK221" s="33"/>
      <c r="AL221" s="33"/>
      <c r="AM221" s="33"/>
      <c r="AN221" s="33"/>
      <c r="AO221" s="33"/>
      <c r="AP221" s="34"/>
      <c r="AQ221" s="31"/>
    </row>
    <row r="222" spans="14:43" ht="15" thickBot="1" x14ac:dyDescent="0.35">
      <c r="N222" s="29"/>
      <c r="S222" s="18"/>
      <c r="T222" s="30"/>
      <c r="AI222" s="31"/>
      <c r="AJ222" s="32"/>
      <c r="AK222" s="33"/>
      <c r="AL222" s="33"/>
      <c r="AM222" s="33"/>
      <c r="AN222" s="33"/>
      <c r="AO222" s="33"/>
      <c r="AP222" s="34"/>
      <c r="AQ222" s="31"/>
    </row>
    <row r="223" spans="14:43" ht="15" thickBot="1" x14ac:dyDescent="0.35">
      <c r="N223" s="29"/>
      <c r="S223" s="18"/>
      <c r="T223" s="30"/>
      <c r="AI223" s="31"/>
      <c r="AJ223" s="32"/>
      <c r="AK223" s="33"/>
      <c r="AL223" s="33"/>
      <c r="AM223" s="33"/>
      <c r="AN223" s="33"/>
      <c r="AO223" s="33"/>
      <c r="AP223" s="34"/>
      <c r="AQ223" s="31"/>
    </row>
    <row r="224" spans="14:43" ht="15" thickBot="1" x14ac:dyDescent="0.35">
      <c r="N224" s="29"/>
      <c r="S224" s="18"/>
      <c r="T224" s="30"/>
      <c r="AI224" s="31"/>
      <c r="AJ224" s="33"/>
      <c r="AK224" s="33"/>
      <c r="AL224" s="33"/>
      <c r="AM224" s="33"/>
      <c r="AN224" s="33"/>
      <c r="AO224" s="33"/>
      <c r="AP224" s="34"/>
      <c r="AQ224" s="31"/>
    </row>
    <row r="225" spans="14:43" ht="15" thickBot="1" x14ac:dyDescent="0.35">
      <c r="N225" s="29"/>
      <c r="S225" s="18"/>
      <c r="T225" s="30"/>
      <c r="AI225" s="31"/>
      <c r="AJ225" s="33"/>
      <c r="AK225" s="33"/>
      <c r="AL225" s="33"/>
      <c r="AM225" s="33"/>
      <c r="AN225" s="33"/>
      <c r="AO225" s="33"/>
      <c r="AP225" s="34"/>
      <c r="AQ225" s="31"/>
    </row>
    <row r="226" spans="14:43" ht="15" thickBot="1" x14ac:dyDescent="0.35">
      <c r="N226" s="29"/>
      <c r="S226" s="18"/>
      <c r="T226" s="30"/>
      <c r="AI226" s="31"/>
      <c r="AJ226" s="33"/>
      <c r="AK226" s="33"/>
      <c r="AL226" s="33"/>
      <c r="AM226" s="33"/>
      <c r="AN226" s="33"/>
      <c r="AO226" s="33"/>
      <c r="AP226" s="34"/>
      <c r="AQ226" s="31"/>
    </row>
    <row r="227" spans="14:43" ht="15" thickBot="1" x14ac:dyDescent="0.35">
      <c r="N227" s="29"/>
      <c r="S227" s="18"/>
      <c r="T227" s="30"/>
      <c r="AI227" s="31"/>
      <c r="AJ227" s="32"/>
      <c r="AK227" s="33"/>
      <c r="AL227" s="33"/>
      <c r="AM227" s="33"/>
      <c r="AN227" s="33"/>
      <c r="AO227" s="33"/>
      <c r="AP227" s="34"/>
      <c r="AQ227" s="31"/>
    </row>
    <row r="228" spans="14:43" ht="15" thickBot="1" x14ac:dyDescent="0.35">
      <c r="N228" s="29"/>
      <c r="S228" s="18"/>
      <c r="T228" s="30"/>
      <c r="AI228" s="31"/>
      <c r="AJ228" s="33"/>
      <c r="AK228" s="33"/>
      <c r="AL228" s="33"/>
      <c r="AM228" s="33"/>
      <c r="AN228" s="33"/>
      <c r="AO228" s="33"/>
      <c r="AP228" s="34"/>
      <c r="AQ228" s="31"/>
    </row>
    <row r="229" spans="14:43" ht="15" thickBot="1" x14ac:dyDescent="0.35">
      <c r="N229" s="29"/>
      <c r="S229" s="18"/>
      <c r="T229" s="30"/>
      <c r="AI229" s="31"/>
      <c r="AJ229" s="33"/>
      <c r="AK229" s="33"/>
      <c r="AL229" s="33"/>
      <c r="AM229" s="33"/>
      <c r="AN229" s="33"/>
      <c r="AO229" s="33"/>
      <c r="AP229" s="34"/>
      <c r="AQ229" s="31"/>
    </row>
    <row r="230" spans="14:43" ht="15" thickBot="1" x14ac:dyDescent="0.35">
      <c r="N230" s="29"/>
      <c r="S230" s="18"/>
      <c r="T230" s="30"/>
      <c r="AI230" s="31"/>
      <c r="AJ230" s="33"/>
      <c r="AK230" s="33"/>
      <c r="AL230" s="33"/>
      <c r="AM230" s="33"/>
      <c r="AN230" s="33"/>
      <c r="AO230" s="33"/>
      <c r="AP230" s="34"/>
      <c r="AQ230" s="31"/>
    </row>
    <row r="231" spans="14:43" ht="15" thickBot="1" x14ac:dyDescent="0.35">
      <c r="N231" s="29"/>
      <c r="S231" s="18"/>
      <c r="T231" s="30"/>
      <c r="AI231" s="31"/>
      <c r="AJ231" s="33"/>
      <c r="AK231" s="33"/>
      <c r="AL231" s="33"/>
      <c r="AM231" s="33"/>
      <c r="AN231" s="33"/>
      <c r="AO231" s="33"/>
      <c r="AP231" s="34"/>
      <c r="AQ231" s="31"/>
    </row>
    <row r="232" spans="14:43" ht="15" thickBot="1" x14ac:dyDescent="0.35">
      <c r="N232" s="29"/>
      <c r="S232" s="18"/>
      <c r="T232" s="30"/>
      <c r="AI232" s="31"/>
      <c r="AJ232" s="33"/>
      <c r="AK232" s="33"/>
      <c r="AL232" s="33"/>
      <c r="AM232" s="33"/>
      <c r="AN232" s="33"/>
      <c r="AO232" s="33"/>
      <c r="AP232" s="34"/>
      <c r="AQ232" s="31"/>
    </row>
    <row r="233" spans="14:43" ht="15" thickBot="1" x14ac:dyDescent="0.35">
      <c r="N233" s="29"/>
      <c r="S233" s="18"/>
      <c r="T233" s="30"/>
      <c r="AI233" s="31"/>
      <c r="AJ233" s="33"/>
      <c r="AK233" s="33"/>
      <c r="AL233" s="33"/>
      <c r="AM233" s="33"/>
      <c r="AN233" s="33"/>
      <c r="AO233" s="33"/>
      <c r="AP233" s="34"/>
      <c r="AQ233" s="31"/>
    </row>
    <row r="234" spans="14:43" ht="15" thickBot="1" x14ac:dyDescent="0.35">
      <c r="N234" s="29"/>
      <c r="S234" s="18"/>
      <c r="T234" s="30"/>
      <c r="AI234" s="31"/>
      <c r="AJ234" s="33"/>
      <c r="AK234" s="33"/>
      <c r="AL234" s="33"/>
      <c r="AM234" s="33"/>
      <c r="AN234" s="33"/>
      <c r="AO234" s="33"/>
      <c r="AP234" s="34"/>
      <c r="AQ234" s="31"/>
    </row>
    <row r="235" spans="14:43" ht="15" thickBot="1" x14ac:dyDescent="0.35">
      <c r="N235" s="29"/>
      <c r="S235" s="18"/>
      <c r="T235" s="30"/>
      <c r="AI235" s="31"/>
      <c r="AJ235" s="33"/>
      <c r="AK235" s="32"/>
      <c r="AL235" s="33"/>
      <c r="AM235" s="33"/>
      <c r="AN235" s="33"/>
      <c r="AO235" s="33"/>
      <c r="AP235" s="34"/>
      <c r="AQ235" s="31"/>
    </row>
    <row r="236" spans="14:43" ht="15" thickBot="1" x14ac:dyDescent="0.35">
      <c r="N236" s="29"/>
      <c r="S236" s="18"/>
      <c r="T236" s="30"/>
      <c r="AI236" s="31"/>
      <c r="AJ236" s="33"/>
      <c r="AK236" s="33"/>
      <c r="AL236" s="33"/>
      <c r="AM236" s="33"/>
      <c r="AN236" s="33"/>
      <c r="AO236" s="33"/>
      <c r="AP236" s="34"/>
      <c r="AQ236" s="31"/>
    </row>
    <row r="237" spans="14:43" ht="15" thickBot="1" x14ac:dyDescent="0.35">
      <c r="N237" s="29"/>
      <c r="S237" s="18"/>
      <c r="T237" s="30"/>
      <c r="AI237" s="31"/>
      <c r="AJ237" s="33"/>
      <c r="AK237" s="33"/>
      <c r="AL237" s="33"/>
      <c r="AM237" s="33"/>
      <c r="AN237" s="33"/>
      <c r="AO237" s="33"/>
      <c r="AP237" s="34"/>
      <c r="AQ237" s="31"/>
    </row>
    <row r="238" spans="14:43" ht="15" thickBot="1" x14ac:dyDescent="0.35">
      <c r="N238" s="29"/>
      <c r="S238" s="18"/>
      <c r="T238" s="30"/>
      <c r="AI238" s="31"/>
      <c r="AJ238" s="33"/>
      <c r="AK238" s="33"/>
      <c r="AL238" s="32"/>
      <c r="AM238" s="33"/>
      <c r="AN238" s="33"/>
      <c r="AO238" s="33"/>
      <c r="AP238" s="34"/>
      <c r="AQ238" s="31"/>
    </row>
    <row r="239" spans="14:43" ht="15" thickBot="1" x14ac:dyDescent="0.35">
      <c r="N239" s="29"/>
      <c r="S239" s="18"/>
      <c r="T239" s="30"/>
      <c r="AI239" s="31"/>
      <c r="AJ239" s="33"/>
      <c r="AK239" s="33"/>
      <c r="AL239" s="33"/>
      <c r="AM239" s="33"/>
      <c r="AN239" s="33"/>
      <c r="AO239" s="33"/>
      <c r="AP239" s="34"/>
      <c r="AQ239" s="31"/>
    </row>
    <row r="240" spans="14:43" ht="15" thickBot="1" x14ac:dyDescent="0.35">
      <c r="N240" s="29"/>
      <c r="S240" s="18"/>
      <c r="T240" s="30"/>
      <c r="AI240" s="31"/>
      <c r="AJ240" s="33"/>
      <c r="AK240" s="33"/>
      <c r="AL240" s="33"/>
      <c r="AM240" s="33"/>
      <c r="AN240" s="33"/>
      <c r="AO240" s="33"/>
      <c r="AP240" s="34"/>
      <c r="AQ240" s="31"/>
    </row>
    <row r="241" spans="14:43" ht="15" thickBot="1" x14ac:dyDescent="0.35">
      <c r="N241" s="29"/>
      <c r="S241" s="18"/>
      <c r="T241" s="30"/>
      <c r="AI241" s="31"/>
      <c r="AJ241" s="33"/>
      <c r="AK241" s="33"/>
      <c r="AL241" s="32"/>
      <c r="AM241" s="33"/>
      <c r="AN241" s="33"/>
      <c r="AO241" s="33"/>
      <c r="AP241" s="34"/>
      <c r="AQ241" s="31"/>
    </row>
    <row r="242" spans="14:43" ht="15" thickBot="1" x14ac:dyDescent="0.35">
      <c r="N242" s="29"/>
      <c r="S242" s="18"/>
      <c r="T242" s="30"/>
      <c r="AI242" s="31"/>
      <c r="AJ242" s="33"/>
      <c r="AK242" s="32"/>
      <c r="AL242" s="33"/>
      <c r="AM242" s="33"/>
      <c r="AN242" s="33"/>
      <c r="AO242" s="33"/>
      <c r="AP242" s="34"/>
      <c r="AQ242" s="31"/>
    </row>
    <row r="243" spans="14:43" ht="15" thickBot="1" x14ac:dyDescent="0.35">
      <c r="N243" s="29"/>
      <c r="S243" s="18"/>
      <c r="T243" s="30"/>
      <c r="AI243" s="31"/>
      <c r="AJ243" s="33"/>
      <c r="AK243" s="32"/>
      <c r="AL243" s="33"/>
      <c r="AM243" s="33"/>
      <c r="AN243" s="33"/>
      <c r="AO243" s="33"/>
      <c r="AP243" s="33"/>
      <c r="AQ243" s="31"/>
    </row>
    <row r="244" spans="14:43" ht="15" thickBot="1" x14ac:dyDescent="0.35">
      <c r="N244" s="29"/>
      <c r="S244" s="18"/>
      <c r="T244" s="30"/>
      <c r="AI244" s="31"/>
      <c r="AJ244" s="33"/>
      <c r="AK244" s="33"/>
      <c r="AL244" s="33"/>
      <c r="AM244" s="33"/>
      <c r="AN244" s="33"/>
      <c r="AO244" s="33"/>
      <c r="AP244" s="34"/>
      <c r="AQ244" s="31"/>
    </row>
    <row r="245" spans="14:43" ht="15" thickBot="1" x14ac:dyDescent="0.35">
      <c r="N245" s="29"/>
      <c r="S245" s="18"/>
      <c r="T245" s="30"/>
      <c r="AI245" s="31"/>
      <c r="AJ245" s="33"/>
      <c r="AK245" s="33"/>
      <c r="AL245" s="33"/>
      <c r="AM245" s="33"/>
      <c r="AN245" s="33"/>
      <c r="AO245" s="33"/>
      <c r="AP245" s="34"/>
      <c r="AQ245" s="31"/>
    </row>
    <row r="246" spans="14:43" ht="15" thickBot="1" x14ac:dyDescent="0.35">
      <c r="N246" s="29"/>
      <c r="S246" s="18"/>
      <c r="T246" s="30"/>
      <c r="AI246" s="31"/>
      <c r="AJ246" s="33"/>
      <c r="AK246" s="33"/>
      <c r="AL246" s="33"/>
      <c r="AM246" s="33"/>
      <c r="AN246" s="33"/>
      <c r="AO246" s="33"/>
      <c r="AP246" s="34"/>
      <c r="AQ246" s="31"/>
    </row>
    <row r="247" spans="14:43" ht="15" thickBot="1" x14ac:dyDescent="0.35">
      <c r="N247" s="29"/>
      <c r="S247" s="18"/>
      <c r="T247" s="30"/>
      <c r="AI247" s="31"/>
      <c r="AJ247" s="33"/>
      <c r="AK247" s="33"/>
      <c r="AL247" s="33"/>
      <c r="AM247" s="33"/>
      <c r="AN247" s="33"/>
      <c r="AO247" s="33"/>
      <c r="AP247" s="34"/>
      <c r="AQ247" s="31"/>
    </row>
    <row r="248" spans="14:43" ht="15" thickBot="1" x14ac:dyDescent="0.35">
      <c r="N248" s="29"/>
      <c r="S248" s="18"/>
      <c r="T248" s="30"/>
      <c r="AI248" s="31"/>
      <c r="AJ248" s="33"/>
      <c r="AK248" s="32"/>
      <c r="AL248" s="33"/>
      <c r="AM248" s="33"/>
      <c r="AN248" s="33"/>
      <c r="AO248" s="33"/>
      <c r="AP248" s="33"/>
      <c r="AQ248" s="31"/>
    </row>
    <row r="249" spans="14:43" ht="15" thickBot="1" x14ac:dyDescent="0.35">
      <c r="N249" s="29"/>
      <c r="S249" s="18"/>
      <c r="T249" s="30"/>
      <c r="AI249" s="31"/>
      <c r="AJ249" s="33"/>
      <c r="AK249" s="33"/>
      <c r="AL249" s="33"/>
      <c r="AM249" s="33"/>
      <c r="AN249" s="33"/>
      <c r="AO249" s="33"/>
      <c r="AP249" s="34"/>
      <c r="AQ249" s="31"/>
    </row>
    <row r="250" spans="14:43" ht="15" thickBot="1" x14ac:dyDescent="0.35">
      <c r="N250" s="29"/>
      <c r="S250" s="18"/>
      <c r="T250" s="30"/>
      <c r="AI250" s="31"/>
      <c r="AJ250" s="33"/>
      <c r="AK250" s="33"/>
      <c r="AL250" s="33"/>
      <c r="AM250" s="33"/>
      <c r="AN250" s="33"/>
      <c r="AO250" s="33"/>
      <c r="AP250" s="34"/>
      <c r="AQ250" s="31"/>
    </row>
    <row r="251" spans="14:43" ht="15" thickBot="1" x14ac:dyDescent="0.35">
      <c r="N251" s="29"/>
      <c r="S251" s="18"/>
      <c r="T251" s="30"/>
      <c r="AI251" s="31"/>
      <c r="AJ251" s="33"/>
      <c r="AK251" s="33"/>
      <c r="AL251" s="33"/>
      <c r="AM251" s="33"/>
      <c r="AN251" s="33"/>
      <c r="AO251" s="33"/>
      <c r="AP251" s="33"/>
      <c r="AQ251" s="31"/>
    </row>
    <row r="252" spans="14:43" ht="15" thickBot="1" x14ac:dyDescent="0.35">
      <c r="N252" s="29"/>
      <c r="S252" s="18"/>
      <c r="T252" s="30"/>
      <c r="AI252" s="31"/>
      <c r="AJ252" s="33"/>
      <c r="AK252" s="33"/>
      <c r="AL252" s="33"/>
      <c r="AM252" s="33"/>
      <c r="AN252" s="33"/>
      <c r="AO252" s="33"/>
      <c r="AP252" s="34"/>
      <c r="AQ252" s="31"/>
    </row>
    <row r="253" spans="14:43" ht="15" thickBot="1" x14ac:dyDescent="0.35">
      <c r="N253" s="29"/>
      <c r="S253" s="18"/>
      <c r="T253" s="30"/>
      <c r="AI253" s="31"/>
      <c r="AJ253" s="33"/>
      <c r="AK253" s="33"/>
      <c r="AL253" s="33"/>
      <c r="AM253" s="33"/>
      <c r="AN253" s="33"/>
      <c r="AO253" s="33"/>
      <c r="AP253" s="33"/>
      <c r="AQ253" s="31"/>
    </row>
    <row r="254" spans="14:43" ht="15" thickBot="1" x14ac:dyDescent="0.35">
      <c r="N254" s="29"/>
      <c r="S254" s="18"/>
      <c r="T254" s="30"/>
      <c r="AI254" s="31"/>
      <c r="AJ254" s="33"/>
      <c r="AK254" s="33"/>
      <c r="AL254" s="33"/>
      <c r="AM254" s="33"/>
      <c r="AN254" s="33"/>
      <c r="AO254" s="33"/>
      <c r="AP254" s="34"/>
      <c r="AQ254" s="31"/>
    </row>
    <row r="255" spans="14:43" ht="15" thickBot="1" x14ac:dyDescent="0.35">
      <c r="N255" s="29"/>
      <c r="S255" s="18"/>
      <c r="T255" s="30"/>
      <c r="AI255" s="31"/>
      <c r="AJ255" s="33"/>
      <c r="AK255" s="33"/>
      <c r="AL255" s="33"/>
      <c r="AM255" s="33"/>
      <c r="AN255" s="33"/>
      <c r="AO255" s="33"/>
      <c r="AP255" s="34"/>
      <c r="AQ255" s="31"/>
    </row>
    <row r="256" spans="14:43" ht="15" thickBot="1" x14ac:dyDescent="0.35">
      <c r="N256" s="29"/>
      <c r="S256" s="18"/>
      <c r="T256" s="30"/>
      <c r="AI256" s="31"/>
      <c r="AJ256" s="33"/>
      <c r="AK256" s="33"/>
      <c r="AL256" s="33"/>
      <c r="AM256" s="33"/>
      <c r="AN256" s="33"/>
      <c r="AO256" s="33"/>
      <c r="AP256" s="33"/>
      <c r="AQ256" s="31"/>
    </row>
    <row r="257" spans="14:43" ht="15" thickBot="1" x14ac:dyDescent="0.35">
      <c r="N257" s="29"/>
      <c r="S257" s="18"/>
      <c r="T257" s="30"/>
      <c r="AI257" s="31"/>
      <c r="AJ257" s="33"/>
      <c r="AK257" s="33"/>
      <c r="AL257" s="33"/>
      <c r="AM257" s="33"/>
      <c r="AN257" s="33"/>
      <c r="AO257" s="33"/>
      <c r="AP257" s="34"/>
      <c r="AQ257" s="31"/>
    </row>
    <row r="258" spans="14:43" ht="15" thickBot="1" x14ac:dyDescent="0.35">
      <c r="N258" s="29"/>
      <c r="S258" s="18"/>
      <c r="T258" s="30"/>
      <c r="AI258" s="31"/>
      <c r="AJ258" s="33"/>
      <c r="AK258" s="33"/>
      <c r="AL258" s="33"/>
      <c r="AM258" s="33"/>
      <c r="AN258" s="33"/>
      <c r="AO258" s="33"/>
      <c r="AP258" s="34"/>
      <c r="AQ258" s="31"/>
    </row>
    <row r="259" spans="14:43" ht="15" thickBot="1" x14ac:dyDescent="0.35">
      <c r="N259" s="29"/>
      <c r="S259" s="18"/>
      <c r="T259" s="30"/>
      <c r="AI259" s="31"/>
      <c r="AJ259" s="33"/>
      <c r="AK259" s="33"/>
      <c r="AL259" s="33"/>
      <c r="AM259" s="33"/>
      <c r="AN259" s="33"/>
      <c r="AO259" s="33"/>
      <c r="AP259" s="34"/>
      <c r="AQ259" s="31"/>
    </row>
    <row r="260" spans="14:43" ht="15" thickBot="1" x14ac:dyDescent="0.35">
      <c r="N260" s="29"/>
      <c r="S260" s="18"/>
      <c r="T260" s="30"/>
      <c r="AI260" s="31"/>
      <c r="AJ260" s="33"/>
      <c r="AK260" s="33"/>
      <c r="AL260" s="33"/>
      <c r="AM260" s="33"/>
      <c r="AN260" s="33"/>
      <c r="AO260" s="33"/>
      <c r="AP260" s="34"/>
      <c r="AQ260" s="31"/>
    </row>
    <row r="261" spans="14:43" ht="15" thickBot="1" x14ac:dyDescent="0.35">
      <c r="N261" s="29"/>
      <c r="S261" s="18"/>
      <c r="T261" s="30"/>
      <c r="AI261" s="31"/>
      <c r="AJ261" s="33"/>
      <c r="AK261" s="33"/>
      <c r="AL261" s="32"/>
      <c r="AM261" s="33"/>
      <c r="AN261" s="33"/>
      <c r="AO261" s="33"/>
      <c r="AP261" s="34"/>
      <c r="AQ261" s="31"/>
    </row>
    <row r="262" spans="14:43" ht="15" thickBot="1" x14ac:dyDescent="0.35">
      <c r="N262" s="29"/>
      <c r="S262" s="18"/>
      <c r="T262" s="30"/>
      <c r="AI262" s="31"/>
      <c r="AJ262" s="33"/>
      <c r="AK262" s="33"/>
      <c r="AL262" s="33"/>
      <c r="AM262" s="33"/>
      <c r="AN262" s="33"/>
      <c r="AO262" s="33"/>
      <c r="AP262" s="34"/>
      <c r="AQ262" s="31"/>
    </row>
    <row r="263" spans="14:43" ht="15" thickBot="1" x14ac:dyDescent="0.35">
      <c r="N263" s="29"/>
      <c r="S263" s="18"/>
      <c r="T263" s="30"/>
      <c r="AI263" s="31"/>
      <c r="AJ263" s="33"/>
      <c r="AK263" s="33"/>
      <c r="AL263" s="33"/>
      <c r="AM263" s="33"/>
      <c r="AN263" s="33"/>
      <c r="AO263" s="33"/>
      <c r="AP263" s="34"/>
      <c r="AQ263" s="31"/>
    </row>
    <row r="264" spans="14:43" ht="15" thickBot="1" x14ac:dyDescent="0.35">
      <c r="N264" s="36"/>
      <c r="S264" s="18"/>
      <c r="T264" s="37"/>
      <c r="AI264" s="38"/>
      <c r="AJ264" s="39"/>
      <c r="AK264" s="40"/>
      <c r="AL264" s="39"/>
      <c r="AM264" s="39"/>
      <c r="AN264" s="39"/>
      <c r="AO264" s="39"/>
      <c r="AP264" s="39"/>
      <c r="AQ264" s="38"/>
    </row>
  </sheetData>
  <pageMargins left="0.7" right="0.7" top="0.75" bottom="0.75" header="0.3" footer="0.3"/>
  <pageSetup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KU200"/>
  <sheetViews>
    <sheetView zoomScale="94" workbookViewId="0">
      <selection activeCell="B2" sqref="B2:C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430</v>
      </c>
      <c r="I2" s="9">
        <v>100</v>
      </c>
      <c r="J2" s="10">
        <f>I2*1.5</f>
        <v>150</v>
      </c>
      <c r="K2" s="10">
        <f>J2*1.5</f>
        <v>225</v>
      </c>
      <c r="L2" s="10">
        <f>K2*1.5</f>
        <v>337.5</v>
      </c>
      <c r="M2" s="10">
        <f>L2*1.5</f>
        <v>506.25</v>
      </c>
      <c r="N2" s="10">
        <f>M2*1.5</f>
        <v>759.375</v>
      </c>
      <c r="O2" s="10">
        <f>N2*1.5</f>
        <v>1139.0625</v>
      </c>
      <c r="P2" s="10">
        <f>O2*1.5</f>
        <v>1708.59375</v>
      </c>
      <c r="Q2" s="10">
        <f>P2*1.5</f>
        <v>2562.890625</v>
      </c>
      <c r="R2" s="10">
        <f>Q2*1.5</f>
        <v>3844.3359375</v>
      </c>
      <c r="S2" s="10">
        <f>R2*1.5</f>
        <v>5766.50390625</v>
      </c>
      <c r="T2" s="10">
        <f>S2*1.5</f>
        <v>8649.755859375</v>
      </c>
      <c r="U2" s="10">
        <f>T2*1.5</f>
        <v>12974.6337890625</v>
      </c>
      <c r="V2" s="10">
        <f>U2*1.5</f>
        <v>19461.95068359375</v>
      </c>
      <c r="W2" s="10">
        <f>V2*1.5</f>
        <v>29192.926025390625</v>
      </c>
      <c r="X2" s="10">
        <f>W2*1.5</f>
        <v>43789.389038085938</v>
      </c>
      <c r="Y2" s="10">
        <f>X2*1.5</f>
        <v>65684.083557128906</v>
      </c>
      <c r="Z2" s="10">
        <f>Y2*1.5</f>
        <v>98526.125335693359</v>
      </c>
      <c r="AA2" s="10">
        <f>Z2*1.5</f>
        <v>147789.18800354004</v>
      </c>
      <c r="AB2" s="10">
        <f>AA2*1.5</f>
        <v>221683.78200531006</v>
      </c>
      <c r="AC2" s="10">
        <f>AB2*1.5</f>
        <v>332525.67300796509</v>
      </c>
      <c r="AD2" s="10">
        <f>AC2*1.5</f>
        <v>498788.50951194763</v>
      </c>
      <c r="AE2" s="10">
        <f>AD2*1.5</f>
        <v>748182.76426792145</v>
      </c>
      <c r="AF2" s="10">
        <f>AE2*1.5</f>
        <v>1122274.1464018822</v>
      </c>
      <c r="AG2" s="10">
        <f>AF2*1.5</f>
        <v>1683411.2196028233</v>
      </c>
      <c r="AH2" s="10">
        <f>AG2*1.5</f>
        <v>2525116.8294042349</v>
      </c>
      <c r="AI2" s="10">
        <f>AH2*1.5</f>
        <v>3787675.2441063523</v>
      </c>
      <c r="AJ2" s="10">
        <f>AI2*1.5</f>
        <v>5681512.8661595285</v>
      </c>
      <c r="AK2" s="10">
        <f>AJ2*1.5</f>
        <v>8522269.2992392927</v>
      </c>
      <c r="AL2" s="10">
        <f>AK2*1.5</f>
        <v>12783403.948858939</v>
      </c>
      <c r="AM2" s="10">
        <f>AL2*1.5</f>
        <v>19175105.923288409</v>
      </c>
      <c r="AN2" s="10">
        <f>AM2*1.5</f>
        <v>28762658.884932615</v>
      </c>
      <c r="AO2" s="10">
        <f>AN2*1.5</f>
        <v>43143988.327398926</v>
      </c>
      <c r="AP2" s="10">
        <f>AO2*1.5</f>
        <v>64715982.491098389</v>
      </c>
      <c r="AQ2" s="10">
        <f>AP2*1.5</f>
        <v>97073973.736647576</v>
      </c>
      <c r="AR2" s="10">
        <f>AQ2*1.5</f>
        <v>145610960.60497135</v>
      </c>
      <c r="AS2" s="10">
        <f>AR2*1.5</f>
        <v>218416440.90745702</v>
      </c>
      <c r="AT2" s="10">
        <f>AS2*1.5</f>
        <v>327624661.36118555</v>
      </c>
      <c r="AU2" s="10">
        <f>AT2*1.5</f>
        <v>491436992.04177833</v>
      </c>
      <c r="AV2" s="10">
        <f>AU2*1.5</f>
        <v>737155488.06266749</v>
      </c>
      <c r="AW2" s="10">
        <f>AV2*1.5</f>
        <v>1105733232.0940013</v>
      </c>
      <c r="AX2" s="10">
        <f>AW2*1.5</f>
        <v>1658599848.1410019</v>
      </c>
      <c r="AY2" s="10">
        <f>AX2*1.5</f>
        <v>2487899772.211503</v>
      </c>
      <c r="AZ2" s="10">
        <f>AY2*1.5</f>
        <v>3731849658.3172545</v>
      </c>
      <c r="BA2" s="10">
        <f>AZ2*1.5</f>
        <v>5597774487.4758816</v>
      </c>
      <c r="BB2" s="10">
        <f>BA2*1.5</f>
        <v>8396661731.2138224</v>
      </c>
      <c r="BC2" s="10">
        <f>BB2*1.5</f>
        <v>12594992596.820734</v>
      </c>
      <c r="BD2" s="10">
        <f>BC2*1.5</f>
        <v>18892488895.231102</v>
      </c>
      <c r="BE2" s="10">
        <f>BD2*1.5</f>
        <v>28338733342.846653</v>
      </c>
      <c r="BF2" s="10">
        <f>BE2*1.5</f>
        <v>42508100014.269981</v>
      </c>
      <c r="BG2" s="10">
        <f>BF2*1.5</f>
        <v>63762150021.404968</v>
      </c>
      <c r="BH2" s="10">
        <f>BG2*1.5</f>
        <v>95643225032.107452</v>
      </c>
    </row>
    <row r="3" spans="1:307" x14ac:dyDescent="0.25">
      <c r="A3" s="9">
        <f t="shared" ref="A3:A5" si="5">A2+1</f>
        <v>2</v>
      </c>
      <c r="B3" s="9">
        <v>1</v>
      </c>
      <c r="C3" s="9" t="str">
        <f>H3</f>
        <v>40% Daily Increase</v>
      </c>
      <c r="D3" s="6">
        <f>MAX(I3:CL3)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>I3*1.4</f>
        <v>140</v>
      </c>
      <c r="K3" s="10">
        <f>J3*1.4</f>
        <v>196</v>
      </c>
      <c r="L3" s="10">
        <f>K3*1.4</f>
        <v>274.39999999999998</v>
      </c>
      <c r="M3" s="10">
        <f>L3*1.4</f>
        <v>384.15999999999997</v>
      </c>
      <c r="N3" s="10">
        <f>M3*1.4</f>
        <v>537.82399999999996</v>
      </c>
      <c r="O3" s="10">
        <f>N3*1.4</f>
        <v>752.95359999999994</v>
      </c>
      <c r="P3" s="10">
        <f>O3*1.4</f>
        <v>1054.1350399999999</v>
      </c>
      <c r="Q3" s="10">
        <f>P3*1.4</f>
        <v>1475.7890559999998</v>
      </c>
      <c r="R3" s="10">
        <f>Q3*1.4</f>
        <v>2066.1046783999996</v>
      </c>
      <c r="S3" s="10">
        <f>R3*1.4</f>
        <v>2892.5465497599994</v>
      </c>
      <c r="T3" s="10">
        <f>S3*1.4</f>
        <v>4049.5651696639989</v>
      </c>
      <c r="U3" s="10">
        <f>T3*1.4</f>
        <v>5669.3912375295977</v>
      </c>
      <c r="V3" s="10">
        <f>U3*1.4</f>
        <v>7937.1477325414362</v>
      </c>
      <c r="W3" s="10">
        <f>V3*1.4</f>
        <v>11112.00682555801</v>
      </c>
      <c r="X3" s="10">
        <f>W3*1.4</f>
        <v>15556.809555781212</v>
      </c>
      <c r="Y3" s="10">
        <f>X3*1.4</f>
        <v>21779.533378093696</v>
      </c>
      <c r="Z3" s="10">
        <f>Y3*1.4</f>
        <v>30491.346729331173</v>
      </c>
      <c r="AA3" s="10">
        <f>Z3*1.4</f>
        <v>42687.885421063642</v>
      </c>
      <c r="AB3" s="10">
        <f>AA3*1.4</f>
        <v>59763.039589489097</v>
      </c>
      <c r="AC3" s="10">
        <f>AB3*1.4</f>
        <v>83668.255425284733</v>
      </c>
      <c r="AD3" s="10">
        <f>AC3*1.4</f>
        <v>117135.55759539861</v>
      </c>
      <c r="AE3" s="10">
        <f>AD3*1.4</f>
        <v>163989.78063355805</v>
      </c>
      <c r="AF3" s="10">
        <f>AE3*1.4</f>
        <v>229585.69288698127</v>
      </c>
      <c r="AG3" s="10">
        <f>AF3*1.4</f>
        <v>321419.97004177375</v>
      </c>
      <c r="AH3" s="10">
        <f>AG3*1.4</f>
        <v>449987.9580584832</v>
      </c>
      <c r="AI3" s="10">
        <f>AH3*1.4</f>
        <v>629983.14128187648</v>
      </c>
      <c r="AJ3" s="10">
        <f>AI3*1.4</f>
        <v>881976.397794627</v>
      </c>
      <c r="AK3" s="10">
        <f>AJ3*1.4</f>
        <v>1234766.9569124777</v>
      </c>
      <c r="AL3" s="10">
        <f>AK3*1.4</f>
        <v>1728673.7396774688</v>
      </c>
      <c r="AM3" s="10">
        <f>AL3*1.4</f>
        <v>2420143.2355484562</v>
      </c>
      <c r="AN3" s="10">
        <f>AM3*1.4</f>
        <v>3388200.5297678383</v>
      </c>
      <c r="AO3" s="10">
        <f>AN3*1.4</f>
        <v>4743480.7416749736</v>
      </c>
      <c r="AP3" s="10">
        <f>AO3*1.4</f>
        <v>6640873.0383449625</v>
      </c>
      <c r="AQ3" s="10">
        <f>AP3*1.4</f>
        <v>9297222.2536829468</v>
      </c>
      <c r="AR3" s="10">
        <f>AQ3*1.4</f>
        <v>13016111.155156124</v>
      </c>
      <c r="AS3" s="10">
        <f>AR3*1.4</f>
        <v>18222555.617218573</v>
      </c>
      <c r="AT3" s="10">
        <f>AS3*1.4</f>
        <v>25511577.864105999</v>
      </c>
      <c r="AU3" s="10">
        <f>AT3*1.4</f>
        <v>35716209.009748399</v>
      </c>
      <c r="AV3" s="10">
        <f>AU3*1.4</f>
        <v>50002692.613647759</v>
      </c>
      <c r="AW3" s="10">
        <f>AV3*1.4</f>
        <v>70003769.659106866</v>
      </c>
      <c r="AX3" s="10">
        <f>AW3*1.4</f>
        <v>98005277.522749603</v>
      </c>
      <c r="AY3" s="10">
        <f>AX3*1.4</f>
        <v>137207388.53184944</v>
      </c>
      <c r="AZ3" s="10">
        <f>AY3*1.4</f>
        <v>192090343.9445892</v>
      </c>
      <c r="BA3" s="10">
        <f>AZ3*1.4</f>
        <v>268926481.52242488</v>
      </c>
      <c r="BB3" s="10">
        <f>BA3*1.4</f>
        <v>376497074.1313948</v>
      </c>
      <c r="BC3" s="10">
        <f>BB3*1.4</f>
        <v>527095903.78395271</v>
      </c>
      <c r="BD3" s="10">
        <f>BC3*1.4</f>
        <v>737934265.29753375</v>
      </c>
      <c r="BE3" s="10">
        <f>BD3*1.4</f>
        <v>1033107971.4165472</v>
      </c>
      <c r="BF3" s="10">
        <f>BE3*1.4</f>
        <v>1446351159.983166</v>
      </c>
      <c r="BG3" s="10">
        <f>BF3*1.4</f>
        <v>2024891623.9764323</v>
      </c>
      <c r="BH3" s="10">
        <f>BG3*1.4</f>
        <v>2834848273.5670052</v>
      </c>
    </row>
    <row r="4" spans="1:307" x14ac:dyDescent="0.25">
      <c r="A4" s="9">
        <f t="shared" si="5"/>
        <v>3</v>
      </c>
      <c r="B4" s="9">
        <v>1</v>
      </c>
      <c r="C4" s="9" t="str">
        <f>H4</f>
        <v>30% Daily Increase</v>
      </c>
      <c r="D4" s="6">
        <f>MAX(I4:CL4)</f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>IF(COUNTIF(I4:XFD4,"&gt;"&amp;0)=0,,(E4/F4)^(1/MIN(COUNTIF(I4:XFD4,"&gt;"&amp;0)-1,$F$1)))</f>
        <v>1.3</v>
      </c>
      <c r="H4" s="15" t="s">
        <v>432</v>
      </c>
      <c r="I4" s="9">
        <v>100</v>
      </c>
      <c r="J4" s="10">
        <f>I4*1.3</f>
        <v>130</v>
      </c>
      <c r="K4" s="10">
        <f>J4*1.3</f>
        <v>169</v>
      </c>
      <c r="L4" s="10">
        <f>K4*1.3</f>
        <v>219.70000000000002</v>
      </c>
      <c r="M4" s="10">
        <f>L4*1.3</f>
        <v>285.61</v>
      </c>
      <c r="N4" s="10">
        <f>M4*1.3</f>
        <v>371.29300000000001</v>
      </c>
      <c r="O4" s="10">
        <f>N4*1.3</f>
        <v>482.68090000000001</v>
      </c>
      <c r="P4" s="10">
        <f>O4*1.3</f>
        <v>627.48517000000004</v>
      </c>
      <c r="Q4" s="10">
        <f>P4*1.3</f>
        <v>815.73072100000013</v>
      </c>
      <c r="R4" s="10">
        <f>Q4*1.3</f>
        <v>1060.4499373000001</v>
      </c>
      <c r="S4" s="10">
        <f>R4*1.3</f>
        <v>1378.5849184900003</v>
      </c>
      <c r="T4" s="10">
        <f>S4*1.3</f>
        <v>1792.1603940370005</v>
      </c>
      <c r="U4" s="10">
        <f>T4*1.3</f>
        <v>2329.8085122481007</v>
      </c>
      <c r="V4" s="10">
        <f>U4*1.3</f>
        <v>3028.7510659225309</v>
      </c>
      <c r="W4" s="10">
        <f>V4*1.3</f>
        <v>3937.37638569929</v>
      </c>
      <c r="X4" s="10">
        <f>W4*1.3</f>
        <v>5118.5893014090771</v>
      </c>
      <c r="Y4" s="10">
        <f>X4*1.3</f>
        <v>6654.1660918318003</v>
      </c>
      <c r="Z4" s="10">
        <f>Y4*1.3</f>
        <v>8650.4159193813412</v>
      </c>
      <c r="AA4" s="10">
        <f>Z4*1.3</f>
        <v>11245.540695195745</v>
      </c>
      <c r="AB4" s="10">
        <f>AA4*1.3</f>
        <v>14619.202903754469</v>
      </c>
      <c r="AC4" s="10">
        <f>AB4*1.3</f>
        <v>19004.963774880809</v>
      </c>
      <c r="AD4" s="10">
        <f>AC4*1.3</f>
        <v>24706.452907345054</v>
      </c>
      <c r="AE4" s="10">
        <f>AD4*1.3</f>
        <v>32118.388779548572</v>
      </c>
      <c r="AF4" s="10">
        <f>AE4*1.3</f>
        <v>41753.905413413144</v>
      </c>
      <c r="AG4" s="10">
        <f>AF4*1.3</f>
        <v>54280.077037437091</v>
      </c>
      <c r="AH4" s="10">
        <f>AG4*1.3</f>
        <v>70564.100148668222</v>
      </c>
      <c r="AI4" s="10">
        <f>AH4*1.3</f>
        <v>91733.330193268688</v>
      </c>
      <c r="AJ4" s="10">
        <f>AI4*1.3</f>
        <v>119253.32925124929</v>
      </c>
      <c r="AK4" s="10">
        <f>AJ4*1.3</f>
        <v>155029.32802662408</v>
      </c>
      <c r="AL4" s="10">
        <f>AK4*1.3</f>
        <v>201538.1264346113</v>
      </c>
      <c r="AM4" s="10">
        <f>AL4*1.3</f>
        <v>261999.5643649947</v>
      </c>
      <c r="AN4" s="10">
        <f>AM4*1.3</f>
        <v>340599.43367449311</v>
      </c>
      <c r="AO4" s="10">
        <f>AN4*1.3</f>
        <v>442779.26377684105</v>
      </c>
      <c r="AP4" s="10">
        <f>AO4*1.3</f>
        <v>575613.04290989344</v>
      </c>
      <c r="AQ4" s="10">
        <f>AP4*1.3</f>
        <v>748296.95578286145</v>
      </c>
      <c r="AR4" s="10">
        <f>AQ4*1.3</f>
        <v>972786.04251771991</v>
      </c>
      <c r="AS4" s="10">
        <f>AR4*1.3</f>
        <v>1264621.8552730358</v>
      </c>
      <c r="AT4" s="10">
        <f>AS4*1.3</f>
        <v>1644008.4118549465</v>
      </c>
      <c r="AU4" s="10">
        <f>AT4*1.3</f>
        <v>2137210.9354114304</v>
      </c>
      <c r="AV4" s="10">
        <f>AU4*1.3</f>
        <v>2778374.2160348599</v>
      </c>
      <c r="AW4" s="10">
        <f>AV4*1.3</f>
        <v>3611886.4808453182</v>
      </c>
      <c r="AX4" s="10">
        <f>AW4*1.3</f>
        <v>4695452.4250989137</v>
      </c>
      <c r="AY4" s="10">
        <f>AX4*1.3</f>
        <v>6104088.1526285885</v>
      </c>
      <c r="AZ4" s="10">
        <f>AY4*1.3</f>
        <v>7935314.5984171657</v>
      </c>
      <c r="BA4" s="10">
        <f>AZ4*1.3</f>
        <v>10315908.977942316</v>
      </c>
      <c r="BB4" s="10">
        <f>BA4*1.3</f>
        <v>13410681.671325011</v>
      </c>
      <c r="BC4" s="10">
        <f>BB4*1.3</f>
        <v>17433886.172722515</v>
      </c>
      <c r="BD4" s="10">
        <f>BC4*1.3</f>
        <v>22664052.02453927</v>
      </c>
      <c r="BE4" s="10">
        <f>BD4*1.3</f>
        <v>29463267.631901052</v>
      </c>
      <c r="BF4" s="10">
        <f>BE4*1.3</f>
        <v>38302247.921471372</v>
      </c>
      <c r="BG4" s="10">
        <f>BF4*1.3</f>
        <v>49792922.297912784</v>
      </c>
      <c r="BH4" s="10">
        <f>BG4*1.3</f>
        <v>64730798.98728662</v>
      </c>
    </row>
    <row r="5" spans="1:307" x14ac:dyDescent="0.25">
      <c r="A5" s="9">
        <f t="shared" si="5"/>
        <v>4</v>
      </c>
      <c r="B5" s="9">
        <f t="array" ref="B5">IF(C5="",0,IF(OR(C5=Country_Comparison!$S$10:$S$29),1,0))</f>
        <v>1</v>
      </c>
      <c r="C5" s="9" t="str">
        <f>IF(H5="","",H5)</f>
        <v>China</v>
      </c>
      <c r="D5" s="6">
        <f>MAX(I5:CL5)</f>
        <v>81102</v>
      </c>
      <c r="E5" s="6">
        <f>IF(COUNTIF(I5:XFD5,"&gt;"&amp;0)=0,,HLOOKUP(COUNTIF(I5:XFD5,"&gt;"&amp;0)-1,I$1:XFD5,A5+1,FALSE))</f>
        <v>81102</v>
      </c>
      <c r="F5" s="7">
        <f>IF(COUNTIF(I5:XFD5,"&gt;"&amp;0)=0,,HLOOKUP(COUNTIF(I5:XFD5,"&gt;"&amp;0)-MIN($F$1+1,COUNTIF(I5:XFD5,"&gt;"&amp;0)),I$1:XFD5,A5+1,FALSE))</f>
        <v>80945</v>
      </c>
      <c r="G5" s="8">
        <f>IF(COUNTIF(I5:XFD5,"&gt;"&amp;0)=0,,(E5/F5)^(1/MIN(COUNTIF(I5:XFD5,"&gt;"&amp;0)-1,$F$1)))</f>
        <v>1.0003876171113606</v>
      </c>
      <c r="H5" s="15" t="s">
        <v>337</v>
      </c>
      <c r="I5" s="9">
        <v>155</v>
      </c>
      <c r="J5" s="9">
        <v>229</v>
      </c>
      <c r="K5" s="9">
        <v>322</v>
      </c>
      <c r="L5" s="9">
        <v>453</v>
      </c>
      <c r="M5" s="9">
        <v>548</v>
      </c>
      <c r="N5" s="9">
        <v>643</v>
      </c>
      <c r="O5" s="9">
        <v>920</v>
      </c>
      <c r="P5" s="9">
        <v>1406</v>
      </c>
      <c r="Q5" s="9">
        <v>2075</v>
      </c>
      <c r="R5" s="9">
        <v>2877</v>
      </c>
      <c r="S5" s="9">
        <v>5509</v>
      </c>
      <c r="T5" s="9">
        <v>6087</v>
      </c>
      <c r="U5" s="9">
        <v>8141</v>
      </c>
      <c r="V5" s="9">
        <v>9802</v>
      </c>
      <c r="W5" s="9">
        <v>11891</v>
      </c>
      <c r="X5" s="9">
        <v>16630</v>
      </c>
      <c r="Y5" s="9">
        <v>19716</v>
      </c>
      <c r="Z5" s="9">
        <v>23707</v>
      </c>
      <c r="AA5" s="9">
        <v>27440</v>
      </c>
      <c r="AB5" s="9">
        <v>30587</v>
      </c>
      <c r="AC5" s="9">
        <v>34110</v>
      </c>
      <c r="AD5" s="9">
        <v>36814</v>
      </c>
      <c r="AE5" s="9">
        <v>39829</v>
      </c>
      <c r="AF5" s="9">
        <v>42354</v>
      </c>
      <c r="AG5" s="9">
        <v>44386</v>
      </c>
      <c r="AH5" s="9">
        <v>44759</v>
      </c>
      <c r="AI5" s="9">
        <v>59895</v>
      </c>
      <c r="AJ5" s="9">
        <v>66358</v>
      </c>
      <c r="AK5" s="9">
        <v>68413</v>
      </c>
      <c r="AL5" s="9">
        <v>70513</v>
      </c>
      <c r="AM5" s="9">
        <v>72434</v>
      </c>
      <c r="AN5" s="9">
        <v>74211</v>
      </c>
      <c r="AO5" s="9">
        <v>74619</v>
      </c>
      <c r="AP5" s="9">
        <v>75077</v>
      </c>
      <c r="AQ5" s="9">
        <v>75550</v>
      </c>
      <c r="AR5" s="9">
        <v>77001</v>
      </c>
      <c r="AS5" s="9">
        <v>77022</v>
      </c>
      <c r="AT5" s="9">
        <v>77241</v>
      </c>
      <c r="AU5" s="9">
        <v>77754</v>
      </c>
      <c r="AV5" s="9">
        <v>78166</v>
      </c>
      <c r="AW5" s="9">
        <v>78600</v>
      </c>
      <c r="AX5" s="9">
        <v>78928</v>
      </c>
      <c r="AY5" s="9">
        <v>79356</v>
      </c>
      <c r="AZ5" s="9">
        <v>79932</v>
      </c>
      <c r="BA5" s="9">
        <v>80136</v>
      </c>
      <c r="BB5" s="9">
        <v>80261</v>
      </c>
      <c r="BC5" s="9">
        <v>80386</v>
      </c>
      <c r="BD5" s="9">
        <v>80537</v>
      </c>
      <c r="BE5" s="9">
        <v>80690</v>
      </c>
      <c r="BF5" s="9">
        <v>80770</v>
      </c>
      <c r="BG5" s="9">
        <v>80823</v>
      </c>
      <c r="BH5" s="9">
        <v>80860</v>
      </c>
      <c r="BI5" s="9">
        <v>80887</v>
      </c>
      <c r="BJ5" s="9">
        <v>80921</v>
      </c>
      <c r="BK5" s="9">
        <v>80932</v>
      </c>
      <c r="BL5" s="9">
        <v>80945</v>
      </c>
      <c r="BM5" s="9">
        <v>80977</v>
      </c>
      <c r="BN5" s="9">
        <v>81003</v>
      </c>
      <c r="BO5" s="9">
        <v>81033</v>
      </c>
      <c r="BP5" s="9">
        <v>81058</v>
      </c>
      <c r="BQ5" s="9">
        <v>81102</v>
      </c>
    </row>
    <row r="6" spans="1:307" x14ac:dyDescent="0.25">
      <c r="A6" s="9">
        <f t="shared" ref="A6:A69" si="6">A5+1</f>
        <v>5</v>
      </c>
      <c r="B6" s="9">
        <f t="array" ref="B6">IF(C6="",0,IF(OR(C6=Country_Comparison!$S$10:$S$29),1,0))</f>
        <v>1</v>
      </c>
      <c r="C6" s="9" t="str">
        <f>IF(H6="","",H6)</f>
        <v>Italy</v>
      </c>
      <c r="D6" s="6">
        <f>MAX(I6:CL6)</f>
        <v>41035</v>
      </c>
      <c r="E6" s="6">
        <f>IF(COUNTIF(I6:XFD6,"&gt;"&amp;0)=0,,HLOOKUP(COUNTIF(I6:XFD6,"&gt;"&amp;0)-1,I$1:XFD6,A6+1,FALSE))</f>
        <v>41035</v>
      </c>
      <c r="F6" s="7">
        <f>IF(COUNTIF(I6:XFD6,"&gt;"&amp;0)=0,,HLOOKUP(COUNTIF(I6:XFD6,"&gt;"&amp;0)-MIN($F$1+1,COUNTIF(I6:XFD6,"&gt;"&amp;0)),I$1:XFD6,A6+1,FALSE))</f>
        <v>21157</v>
      </c>
      <c r="G6" s="8">
        <f>IF(COUNTIF(I6:XFD6,"&gt;"&amp;0)=0,,(E6/F6)^(1/MIN(COUNTIF(I6:XFD6,"&gt;"&amp;0)-1,$F$1)))</f>
        <v>1.1416686362374717</v>
      </c>
      <c r="H6" s="15" t="s">
        <v>58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12462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  <c r="AG6" s="9">
        <v>35713</v>
      </c>
      <c r="AH6" s="9">
        <v>41035</v>
      </c>
    </row>
    <row r="7" spans="1:307" x14ac:dyDescent="0.25">
      <c r="A7" s="9">
        <f t="shared" si="6"/>
        <v>6</v>
      </c>
      <c r="B7" s="9">
        <f t="array" ref="B7">IF(C7="",0,IF(OR(C7=Country_Comparison!$S$10:$S$29),1,0))</f>
        <v>1</v>
      </c>
      <c r="C7" s="9" t="str">
        <f>IF(H7="","",H7)</f>
        <v>Germany</v>
      </c>
      <c r="D7" s="6">
        <f>MAX(I7:CL7)</f>
        <v>15320</v>
      </c>
      <c r="E7" s="6">
        <f>IF(COUNTIF(I7:XFD7,"&gt;"&amp;0)=0,,HLOOKUP(COUNTIF(I7:XFD7,"&gt;"&amp;0)-1,I$1:XFD7,A7+1,FALSE))</f>
        <v>15320</v>
      </c>
      <c r="F7" s="7">
        <f>IF(COUNTIF(I7:XFD7,"&gt;"&amp;0)=0,,HLOOKUP(COUNTIF(I7:XFD7,"&gt;"&amp;0)-MIN($F$1+1,COUNTIF(I7:XFD7,"&gt;"&amp;0)),I$1:XFD7,A7+1,FALSE))</f>
        <v>4585</v>
      </c>
      <c r="G7" s="8">
        <f>IF(COUNTIF(I7:XFD7,"&gt;"&amp;0)=0,,(E7/F7)^(1/MIN(COUNTIF(I7:XFD7,"&gt;"&amp;0)-1,$F$1)))</f>
        <v>1.2728695141892892</v>
      </c>
      <c r="H7" s="13" t="s">
        <v>53</v>
      </c>
      <c r="I7" s="9">
        <v>130</v>
      </c>
      <c r="J7" s="9">
        <v>159</v>
      </c>
      <c r="K7" s="9">
        <v>196</v>
      </c>
      <c r="L7" s="9">
        <v>262</v>
      </c>
      <c r="M7" s="9">
        <v>482</v>
      </c>
      <c r="N7" s="9">
        <v>670</v>
      </c>
      <c r="O7" s="9">
        <v>799</v>
      </c>
      <c r="P7" s="9">
        <v>1040</v>
      </c>
      <c r="Q7" s="9">
        <v>1176</v>
      </c>
      <c r="R7" s="9">
        <v>1457</v>
      </c>
      <c r="S7" s="9">
        <v>1908</v>
      </c>
      <c r="T7" s="9">
        <v>2078</v>
      </c>
      <c r="U7" s="9">
        <v>3675</v>
      </c>
      <c r="V7" s="9">
        <v>4585</v>
      </c>
      <c r="W7" s="9">
        <v>5795</v>
      </c>
      <c r="X7" s="9">
        <v>7272</v>
      </c>
      <c r="Y7" s="9">
        <v>9257</v>
      </c>
      <c r="Z7" s="9">
        <v>12327</v>
      </c>
      <c r="AA7" s="9">
        <v>15320</v>
      </c>
    </row>
    <row r="8" spans="1:307" x14ac:dyDescent="0.25">
      <c r="A8" s="9">
        <f t="shared" si="6"/>
        <v>7</v>
      </c>
      <c r="B8" s="9">
        <f t="array" ref="B8">IF(C8="",0,IF(OR(C8=Country_Comparison!$S$10:$S$29),1,0))</f>
        <v>1</v>
      </c>
      <c r="C8" s="9" t="str">
        <f>IF(H8="","",H8)</f>
        <v>US</v>
      </c>
      <c r="D8" s="6">
        <f>MAX(I8:CL8)</f>
        <v>11597</v>
      </c>
      <c r="E8" s="6">
        <f>IF(COUNTIF(I8:XFD8,"&gt;"&amp;0)=0,,HLOOKUP(COUNTIF(I8:XFD8,"&gt;"&amp;0)-1,I$1:XFD8,A8+1,FALSE))</f>
        <v>11597</v>
      </c>
      <c r="F8" s="7">
        <f>IF(COUNTIF(I8:XFD8,"&gt;"&amp;0)=0,,HLOOKUP(COUNTIF(I8:XFD8,"&gt;"&amp;0)-MIN($F$1+1,COUNTIF(I8:XFD8,"&gt;"&amp;0)),I$1:XFD8,A8+1,FALSE))</f>
        <v>2727</v>
      </c>
      <c r="G8" s="8">
        <f>IF(COUNTIF(I8:XFD8,"&gt;"&amp;0)=0,,(E8/F8)^(1/MIN(COUNTIF(I8:XFD8,"&gt;"&amp;0)-1,$F$1)))</f>
        <v>1.3357712869039902</v>
      </c>
      <c r="H8" s="13" t="s">
        <v>38</v>
      </c>
      <c r="I8" s="9">
        <v>118</v>
      </c>
      <c r="J8" s="9">
        <v>149</v>
      </c>
      <c r="K8" s="9">
        <v>217</v>
      </c>
      <c r="L8" s="9">
        <v>262</v>
      </c>
      <c r="M8" s="9">
        <v>402</v>
      </c>
      <c r="N8" s="9">
        <v>518</v>
      </c>
      <c r="O8" s="9">
        <v>583</v>
      </c>
      <c r="P8" s="9">
        <v>959</v>
      </c>
      <c r="Q8" s="9">
        <v>1281</v>
      </c>
      <c r="R8" s="9">
        <v>1663</v>
      </c>
      <c r="S8" s="9">
        <v>2179</v>
      </c>
      <c r="T8" s="9">
        <v>2727</v>
      </c>
      <c r="U8" s="9">
        <v>3499</v>
      </c>
      <c r="V8" s="9">
        <v>4632</v>
      </c>
      <c r="W8" s="9">
        <v>6421</v>
      </c>
      <c r="X8" s="9">
        <v>7783</v>
      </c>
      <c r="Y8" s="9">
        <v>11597</v>
      </c>
    </row>
    <row r="9" spans="1:307" x14ac:dyDescent="0.25">
      <c r="A9" s="9">
        <f t="shared" si="6"/>
        <v>8</v>
      </c>
      <c r="B9" s="9">
        <f t="array" ref="B9">IF(C9="",0,IF(OR(C9=Country_Comparison!$S$10:$S$29),1,0))</f>
        <v>1</v>
      </c>
      <c r="C9" s="9" t="str">
        <f>IF(H9="","",H9)</f>
        <v>France</v>
      </c>
      <c r="D9" s="6">
        <f>MAX(I9:CL9)</f>
        <v>10995</v>
      </c>
      <c r="E9" s="6">
        <f>IF(COUNTIF(I9:XFD9,"&gt;"&amp;0)=0,,HLOOKUP(COUNTIF(I9:XFD9,"&gt;"&amp;0)-1,I$1:XFD9,A9+1,FALSE))</f>
        <v>10995</v>
      </c>
      <c r="F9" s="7">
        <f>IF(COUNTIF(I9:XFD9,"&gt;"&amp;0)=0,,HLOOKUP(COUNTIF(I9:XFD9,"&gt;"&amp;0)-MIN($F$1+1,COUNTIF(I9:XFD9,"&gt;"&amp;0)),I$1:XFD9,A9+1,FALSE))</f>
        <v>4487</v>
      </c>
      <c r="G9" s="8">
        <f>IF(COUNTIF(I9:XFD9,"&gt;"&amp;0)=0,,(E9/F9)^(1/MIN(COUNTIF(I9:XFD9,"&gt;"&amp;0)-1,$F$1)))</f>
        <v>1.1963212933818581</v>
      </c>
      <c r="H9" s="13" t="s">
        <v>41</v>
      </c>
      <c r="I9" s="9">
        <v>100</v>
      </c>
      <c r="J9" s="9">
        <v>130</v>
      </c>
      <c r="K9" s="9">
        <v>191</v>
      </c>
      <c r="L9" s="9">
        <v>204</v>
      </c>
      <c r="M9" s="9">
        <v>288</v>
      </c>
      <c r="N9" s="9">
        <v>380</v>
      </c>
      <c r="O9" s="9">
        <v>656</v>
      </c>
      <c r="P9" s="9">
        <v>957</v>
      </c>
      <c r="Q9" s="9">
        <v>1134</v>
      </c>
      <c r="R9" s="9">
        <v>1217</v>
      </c>
      <c r="S9" s="9">
        <v>1792</v>
      </c>
      <c r="T9" s="9">
        <v>2290</v>
      </c>
      <c r="U9" s="9">
        <v>2800</v>
      </c>
      <c r="V9" s="9">
        <v>3678</v>
      </c>
      <c r="W9" s="9">
        <v>4487</v>
      </c>
      <c r="X9" s="9">
        <v>5523</v>
      </c>
      <c r="Y9" s="9">
        <v>6668</v>
      </c>
      <c r="Z9" s="9">
        <v>7699</v>
      </c>
      <c r="AA9" s="9">
        <v>9105</v>
      </c>
      <c r="AB9" s="9">
        <v>10995</v>
      </c>
    </row>
    <row r="10" spans="1:307" x14ac:dyDescent="0.25">
      <c r="A10" s="9">
        <f t="shared" si="6"/>
        <v>9</v>
      </c>
      <c r="B10" s="9">
        <f t="array" ref="B10">IF(C10="",0,IF(OR(C10=Country_Comparison!$S$10:$S$29),1,0))</f>
        <v>1</v>
      </c>
      <c r="C10" s="9" t="str">
        <f>IF(H10="","",H10)</f>
        <v>Korea, South</v>
      </c>
      <c r="D10" s="6">
        <f>MAX(I10:CL10)</f>
        <v>8413</v>
      </c>
      <c r="E10" s="6">
        <f>IF(COUNTIF(I10:XFD10,"&gt;"&amp;0)=0,,HLOOKUP(COUNTIF(I10:XFD10,"&gt;"&amp;0)-1,I$1:XFD10,A10+1,FALSE))</f>
        <v>8413</v>
      </c>
      <c r="F10" s="7">
        <f>IF(COUNTIF(I10:XFD10,"&gt;"&amp;0)=0,,HLOOKUP(COUNTIF(I10:XFD10,"&gt;"&amp;0)-MIN($F$1+1,COUNTIF(I10:XFD10,"&gt;"&amp;0)),I$1:XFD10,A10+1,FALSE))</f>
        <v>7979</v>
      </c>
      <c r="G10" s="8">
        <f>IF(COUNTIF(I10:XFD10,"&gt;"&amp;0)=0,,(E10/F10)^(1/MIN(COUNTIF(I10:XFD10,"&gt;"&amp;0)-1,$F$1)))</f>
        <v>1.0106493121898816</v>
      </c>
      <c r="H10" s="13" t="s">
        <v>339</v>
      </c>
      <c r="I10" s="9">
        <v>104</v>
      </c>
      <c r="J10" s="9">
        <v>204</v>
      </c>
      <c r="K10" s="9">
        <v>433</v>
      </c>
      <c r="L10" s="9">
        <v>602</v>
      </c>
      <c r="M10" s="9">
        <v>833</v>
      </c>
      <c r="N10" s="9">
        <v>977</v>
      </c>
      <c r="O10" s="9">
        <v>1261</v>
      </c>
      <c r="P10" s="9">
        <v>1766</v>
      </c>
      <c r="Q10" s="9">
        <v>2337</v>
      </c>
      <c r="R10" s="9">
        <v>3150</v>
      </c>
      <c r="S10" s="9">
        <v>3736</v>
      </c>
      <c r="T10" s="9">
        <v>4335</v>
      </c>
      <c r="U10" s="9">
        <v>5186</v>
      </c>
      <c r="V10" s="9">
        <v>5621</v>
      </c>
      <c r="W10" s="9">
        <v>6088</v>
      </c>
      <c r="X10" s="9">
        <v>6593</v>
      </c>
      <c r="Y10" s="9">
        <v>7041</v>
      </c>
      <c r="Z10" s="9">
        <v>7314</v>
      </c>
      <c r="AA10" s="9">
        <v>7478</v>
      </c>
      <c r="AB10" s="9">
        <v>7513</v>
      </c>
      <c r="AC10" s="9">
        <v>7755</v>
      </c>
      <c r="AD10" s="9">
        <v>7869</v>
      </c>
      <c r="AE10" s="9">
        <v>7979</v>
      </c>
      <c r="AF10" s="9">
        <v>8086</v>
      </c>
      <c r="AG10" s="9">
        <v>8162</v>
      </c>
      <c r="AH10" s="9">
        <v>8236</v>
      </c>
      <c r="AI10" s="9">
        <v>8320</v>
      </c>
      <c r="AJ10" s="9">
        <v>8413</v>
      </c>
    </row>
    <row r="11" spans="1:307" x14ac:dyDescent="0.25">
      <c r="A11" s="9">
        <f t="shared" si="6"/>
        <v>10</v>
      </c>
      <c r="B11" s="9">
        <f t="array" ref="B11">IF(C11="",0,IF(OR(C11=Country_Comparison!$S$10:$S$29),1,0))</f>
        <v>1</v>
      </c>
      <c r="C11" s="9" t="str">
        <f>IF(H11="","",H11)</f>
        <v>United Kingdom</v>
      </c>
      <c r="D11" s="6">
        <f>MAX(I11:CL11)</f>
        <v>3269</v>
      </c>
      <c r="E11" s="6">
        <f>IF(COUNTIF(I11:XFD11,"&gt;"&amp;0)=0,,HLOOKUP(COUNTIF(I11:XFD11,"&gt;"&amp;0)-1,I$1:XFD11,A11+1,FALSE))</f>
        <v>3269</v>
      </c>
      <c r="F11" s="7">
        <f>IF(COUNTIF(I11:XFD11,"&gt;"&amp;0)=0,,HLOOKUP(COUNTIF(I11:XFD11,"&gt;"&amp;0)-MIN($F$1+1,COUNTIF(I11:XFD11,"&gt;"&amp;0)),I$1:XFD11,A11+1,FALSE))</f>
        <v>1144</v>
      </c>
      <c r="G11" s="8">
        <f>IF(COUNTIF(I11:XFD11,"&gt;"&amp;0)=0,,(E11/F11)^(1/MIN(COUNTIF(I11:XFD11,"&gt;"&amp;0)-1,$F$1)))</f>
        <v>1.2336665213666294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3269</v>
      </c>
    </row>
    <row r="12" spans="1:307" x14ac:dyDescent="0.25">
      <c r="A12" s="9">
        <f t="shared" si="6"/>
        <v>11</v>
      </c>
      <c r="B12" s="9">
        <f t="array" ref="B12">IF(C12="",0,IF(OR(C12=Country_Comparison!$S$10:$S$29),1,0))</f>
        <v>1</v>
      </c>
      <c r="C12" s="9" t="str">
        <f>IF(H12="","",H12)</f>
        <v>Japan</v>
      </c>
      <c r="D12" s="6">
        <f>MAX(I12:CL12)</f>
        <v>889</v>
      </c>
      <c r="E12" s="6">
        <f>IF(COUNTIF(I12:XFD12,"&gt;"&amp;0)=0,,HLOOKUP(COUNTIF(I12:XFD12,"&gt;"&amp;0)-1,I$1:XFD12,A12+1,FALSE))</f>
        <v>889</v>
      </c>
      <c r="F12" s="7">
        <f>IF(COUNTIF(I12:XFD12,"&gt;"&amp;0)=0,,HLOOKUP(COUNTIF(I12:XFD12,"&gt;"&amp;0)-MIN($F$1+1,COUNTIF(I12:XFD12,"&gt;"&amp;0)),I$1:XFD12,A12+1,FALSE))</f>
        <v>701</v>
      </c>
      <c r="G12" s="8">
        <f>IF(COUNTIF(I12:XFD12,"&gt;"&amp;0)=0,,(E12/F12)^(1/MIN(COUNTIF(I12:XFD12,"&gt;"&amp;0)-1,$F$1)))</f>
        <v>1.048664940277398</v>
      </c>
      <c r="H12" s="13" t="s">
        <v>36</v>
      </c>
      <c r="I12" s="9">
        <v>105</v>
      </c>
      <c r="J12" s="9">
        <v>122</v>
      </c>
      <c r="K12" s="9">
        <v>147</v>
      </c>
      <c r="L12" s="9">
        <v>159</v>
      </c>
      <c r="M12" s="9">
        <v>170</v>
      </c>
      <c r="N12" s="9">
        <v>189</v>
      </c>
      <c r="O12" s="9">
        <v>214</v>
      </c>
      <c r="P12" s="9">
        <v>228</v>
      </c>
      <c r="Q12" s="9">
        <v>241</v>
      </c>
      <c r="R12" s="9">
        <v>256</v>
      </c>
      <c r="S12" s="9">
        <v>274</v>
      </c>
      <c r="T12" s="9">
        <v>293</v>
      </c>
      <c r="U12" s="9">
        <v>331</v>
      </c>
      <c r="V12" s="9">
        <v>360</v>
      </c>
      <c r="W12" s="9">
        <v>420</v>
      </c>
      <c r="X12" s="9">
        <v>461</v>
      </c>
      <c r="Y12" s="9">
        <v>502</v>
      </c>
      <c r="Z12" s="9">
        <v>511</v>
      </c>
      <c r="AA12" s="9">
        <v>581</v>
      </c>
      <c r="AB12" s="9">
        <v>639</v>
      </c>
      <c r="AC12" s="9">
        <v>639</v>
      </c>
      <c r="AD12" s="9">
        <v>701</v>
      </c>
      <c r="AE12" s="9">
        <v>773</v>
      </c>
      <c r="AF12" s="9">
        <v>839</v>
      </c>
      <c r="AG12" s="9">
        <v>825</v>
      </c>
      <c r="AH12" s="9">
        <v>878</v>
      </c>
      <c r="AI12" s="9">
        <v>889</v>
      </c>
    </row>
    <row r="13" spans="1:307" x14ac:dyDescent="0.25">
      <c r="A13" s="9">
        <f t="shared" si="6"/>
        <v>12</v>
      </c>
      <c r="B13" s="9">
        <f t="array" ref="B13">IF(C13="",0,IF(OR(C13=Country_Comparison!$S$10:$S$29),1,0))</f>
        <v>0</v>
      </c>
      <c r="C13" s="9" t="str">
        <f>IF(H13="","",H13)</f>
        <v>Iran</v>
      </c>
      <c r="D13" s="6">
        <f>MAX(I13:CL13)</f>
        <v>18407</v>
      </c>
      <c r="E13" s="6">
        <f>IF(COUNTIF(I13:XFD13,"&gt;"&amp;0)=0,,HLOOKUP(COUNTIF(I13:XFD13,"&gt;"&amp;0)-1,I$1:XFD13,A13+1,FALSE))</f>
        <v>18407</v>
      </c>
      <c r="F13" s="7">
        <f>IF(COUNTIF(I13:XFD13,"&gt;"&amp;0)=0,,HLOOKUP(COUNTIF(I13:XFD13,"&gt;"&amp;0)-MIN($F$1+1,COUNTIF(I13:XFD13,"&gt;"&amp;0)),I$1:XFD13,A13+1,FALSE))</f>
        <v>12729</v>
      </c>
      <c r="G13" s="8">
        <f>IF(COUNTIF(I13:XFD13,"&gt;"&amp;0)=0,,(E13/F13)^(1/MIN(COUNTIF(I13:XFD13,"&gt;"&amp;0)-1,$F$1)))</f>
        <v>1.0765587748552947</v>
      </c>
      <c r="H13" s="13" t="s">
        <v>338</v>
      </c>
      <c r="I13" s="9">
        <v>139</v>
      </c>
      <c r="J13" s="9">
        <v>245</v>
      </c>
      <c r="K13" s="9">
        <v>388</v>
      </c>
      <c r="L13" s="9">
        <v>593</v>
      </c>
      <c r="M13" s="9">
        <v>978</v>
      </c>
      <c r="N13" s="9">
        <v>1501</v>
      </c>
      <c r="O13" s="9">
        <v>2336</v>
      </c>
      <c r="P13" s="9">
        <v>2922</v>
      </c>
      <c r="Q13" s="9">
        <v>3513</v>
      </c>
      <c r="R13" s="9">
        <v>4747</v>
      </c>
      <c r="S13" s="9">
        <v>5823</v>
      </c>
      <c r="T13" s="9">
        <v>6566</v>
      </c>
      <c r="U13" s="9">
        <v>7161</v>
      </c>
      <c r="V13" s="9">
        <v>8042</v>
      </c>
      <c r="W13" s="9">
        <v>9000</v>
      </c>
      <c r="X13" s="9">
        <v>10075</v>
      </c>
      <c r="Y13" s="9">
        <v>11364</v>
      </c>
      <c r="Z13" s="9">
        <v>12729</v>
      </c>
      <c r="AA13" s="9">
        <v>13938</v>
      </c>
      <c r="AB13" s="9">
        <v>14991</v>
      </c>
      <c r="AC13" s="9">
        <v>16169</v>
      </c>
      <c r="AD13" s="9">
        <v>17361</v>
      </c>
      <c r="AE13" s="9">
        <v>18407</v>
      </c>
    </row>
    <row r="14" spans="1:307" x14ac:dyDescent="0.25">
      <c r="A14" s="9">
        <f t="shared" si="6"/>
        <v>13</v>
      </c>
      <c r="B14" s="9">
        <f t="array" ref="B14">IF(C14="",0,IF(OR(C14=Country_Comparison!$S$10:$S$29),1,0))</f>
        <v>0</v>
      </c>
      <c r="C14" s="9" t="str">
        <f>IF(H14="","",H14)</f>
        <v>Spain</v>
      </c>
      <c r="D14" s="6">
        <f>MAX(I14:CL14)</f>
        <v>17963</v>
      </c>
      <c r="E14" s="6">
        <f>IF(COUNTIF(I14:XFD14,"&gt;"&amp;0)=0,,HLOOKUP(COUNTIF(I14:XFD14,"&gt;"&amp;0)-1,I$1:XFD14,A14+1,FALSE))</f>
        <v>17963</v>
      </c>
      <c r="F14" s="7">
        <f>IF(COUNTIF(I14:XFD14,"&gt;"&amp;0)=0,,HLOOKUP(COUNTIF(I14:XFD14,"&gt;"&amp;0)-MIN($F$1+1,COUNTIF(I14:XFD14,"&gt;"&amp;0)),I$1:XFD14,A14+1,FALSE))</f>
        <v>6391</v>
      </c>
      <c r="G14" s="8">
        <f>IF(COUNTIF(I14:XFD14,"&gt;"&amp;0)=0,,(E14/F14)^(1/MIN(COUNTIF(I14:XFD14,"&gt;"&amp;0)-1,$F$1)))</f>
        <v>1.2295947791066895</v>
      </c>
      <c r="H14" s="13" t="s">
        <v>60</v>
      </c>
      <c r="I14" s="9">
        <v>120</v>
      </c>
      <c r="J14" s="9">
        <v>165</v>
      </c>
      <c r="K14" s="9">
        <v>222</v>
      </c>
      <c r="L14" s="9">
        <v>259</v>
      </c>
      <c r="M14" s="9">
        <v>400</v>
      </c>
      <c r="N14" s="9">
        <v>500</v>
      </c>
      <c r="O14" s="9">
        <v>673</v>
      </c>
      <c r="P14" s="9">
        <v>1073</v>
      </c>
      <c r="Q14" s="9">
        <v>1695</v>
      </c>
      <c r="R14" s="9">
        <v>2277</v>
      </c>
      <c r="S14" s="9">
        <v>2277</v>
      </c>
      <c r="T14" s="9">
        <v>5232</v>
      </c>
      <c r="U14" s="9">
        <v>6391</v>
      </c>
      <c r="V14" s="9">
        <v>7798</v>
      </c>
      <c r="W14" s="9">
        <v>9942</v>
      </c>
      <c r="X14" s="9">
        <v>11748</v>
      </c>
      <c r="Y14" s="9">
        <v>13910</v>
      </c>
      <c r="Z14" s="9">
        <v>17963</v>
      </c>
    </row>
    <row r="15" spans="1:307" x14ac:dyDescent="0.25">
      <c r="A15" s="9">
        <f t="shared" si="6"/>
        <v>14</v>
      </c>
      <c r="B15" s="9">
        <f t="array" ref="B15">IF(C15="",0,IF(OR(C15=Country_Comparison!$S$10:$S$29),1,0))</f>
        <v>0</v>
      </c>
      <c r="C15" s="9" t="str">
        <f>IF(H15="","",H15)</f>
        <v>Switzerland</v>
      </c>
      <c r="D15" s="6">
        <f>MAX(I15:CL15)</f>
        <v>3028</v>
      </c>
      <c r="E15" s="6">
        <f>IF(COUNTIF(I15:XFD15,"&gt;"&amp;0)=0,,HLOOKUP(COUNTIF(I15:XFD15,"&gt;"&amp;0)-1,I$1:XFD15,A15+1,FALSE))</f>
        <v>3028</v>
      </c>
      <c r="F15" s="7">
        <f>IF(COUNTIF(I15:XFD15,"&gt;"&amp;0)=0,,HLOOKUP(COUNTIF(I15:XFD15,"&gt;"&amp;0)-MIN($F$1+1,COUNTIF(I15:XFD15,"&gt;"&amp;0)),I$1:XFD15,A15+1,FALSE))</f>
        <v>1139</v>
      </c>
      <c r="G15" s="8">
        <f>IF(COUNTIF(I15:XFD15,"&gt;"&amp;0)=0,,(E15/F15)^(1/MIN(COUNTIF(I15:XFD15,"&gt;"&amp;0)-1,$F$1)))</f>
        <v>1.2159799929251083</v>
      </c>
      <c r="H15" s="13" t="s">
        <v>77</v>
      </c>
      <c r="I15" s="9">
        <v>114</v>
      </c>
      <c r="J15" s="9">
        <v>214</v>
      </c>
      <c r="K15" s="9">
        <v>268</v>
      </c>
      <c r="L15" s="9">
        <v>337</v>
      </c>
      <c r="M15" s="9">
        <v>374</v>
      </c>
      <c r="N15" s="9">
        <v>491</v>
      </c>
      <c r="O15" s="9">
        <v>652</v>
      </c>
      <c r="P15" s="9">
        <v>652</v>
      </c>
      <c r="Q15" s="9">
        <v>1139</v>
      </c>
      <c r="R15" s="9">
        <v>1359</v>
      </c>
      <c r="S15" s="9">
        <v>2200</v>
      </c>
      <c r="T15" s="9">
        <v>2200</v>
      </c>
      <c r="U15" s="9">
        <v>2700</v>
      </c>
      <c r="V15" s="9">
        <v>3028</v>
      </c>
    </row>
    <row r="16" spans="1:307" x14ac:dyDescent="0.25">
      <c r="A16" s="9">
        <f t="shared" si="6"/>
        <v>15</v>
      </c>
      <c r="B16" s="9">
        <f t="array" ref="B16">IF(C16="",0,IF(OR(C16=Country_Comparison!$S$10:$S$29),1,0))</f>
        <v>0</v>
      </c>
      <c r="C16" s="9" t="str">
        <f>IF(H16="","",H16)</f>
        <v>Netherlands</v>
      </c>
      <c r="D16" s="6">
        <f>MAX(I16:CL16)</f>
        <v>2460</v>
      </c>
      <c r="E16" s="6">
        <f>IF(COUNTIF(I16:XFD16,"&gt;"&amp;0)=0,,HLOOKUP(COUNTIF(I16:XFD16,"&gt;"&amp;0)-1,I$1:XFD16,A16+1,FALSE))</f>
        <v>2460</v>
      </c>
      <c r="F16" s="7">
        <f>IF(COUNTIF(I16:XFD16,"&gt;"&amp;0)=0,,HLOOKUP(COUNTIF(I16:XFD16,"&gt;"&amp;0)-MIN($F$1+1,COUNTIF(I16:XFD16,"&gt;"&amp;0)),I$1:XFD16,A16+1,FALSE))</f>
        <v>962</v>
      </c>
      <c r="G16" s="8">
        <f>IF(COUNTIF(I16:XFD16,"&gt;"&amp;0)=0,,(E16/F16)^(1/MIN(COUNTIF(I16:XFD16,"&gt;"&amp;0)-1,$F$1)))</f>
        <v>1.206568566823522</v>
      </c>
      <c r="H16" s="13" t="s">
        <v>89</v>
      </c>
      <c r="I16" s="9">
        <v>128</v>
      </c>
      <c r="J16" s="9">
        <v>188</v>
      </c>
      <c r="K16" s="9">
        <v>265</v>
      </c>
      <c r="L16" s="9">
        <v>321</v>
      </c>
      <c r="M16" s="9">
        <v>382</v>
      </c>
      <c r="N16" s="9">
        <v>503</v>
      </c>
      <c r="O16" s="9">
        <v>503</v>
      </c>
      <c r="P16" s="9">
        <v>806</v>
      </c>
      <c r="Q16" s="9">
        <v>962</v>
      </c>
      <c r="R16" s="9">
        <v>1138</v>
      </c>
      <c r="S16" s="9">
        <v>1416</v>
      </c>
      <c r="T16" s="9">
        <v>1711</v>
      </c>
      <c r="U16" s="9">
        <v>2058</v>
      </c>
      <c r="V16" s="9">
        <v>2460</v>
      </c>
    </row>
    <row r="17" spans="1:46" x14ac:dyDescent="0.25">
      <c r="A17" s="9">
        <f t="shared" si="6"/>
        <v>16</v>
      </c>
      <c r="B17" s="9">
        <f t="array" ref="B17">IF(C17="",0,IF(OR(C17=Country_Comparison!$S$10:$S$29),1,0))</f>
        <v>0</v>
      </c>
      <c r="C17" s="9" t="str">
        <f>IF(H17="","",H17)</f>
        <v>Austria</v>
      </c>
      <c r="D17" s="6">
        <f>MAX(I17:CL17)</f>
        <v>1646</v>
      </c>
      <c r="E17" s="6">
        <f>IF(COUNTIF(I17:XFD17,"&gt;"&amp;0)=0,,HLOOKUP(COUNTIF(I17:XFD17,"&gt;"&amp;0)-1,I$1:XFD17,A17+1,FALSE))</f>
        <v>1646</v>
      </c>
      <c r="F17" s="7">
        <f>IF(COUNTIF(I17:XFD17,"&gt;"&amp;0)=0,,HLOOKUP(COUNTIF(I17:XFD17,"&gt;"&amp;0)-MIN($F$1+1,COUNTIF(I17:XFD17,"&gt;"&amp;0)),I$1:XFD17,A17+1,FALSE))</f>
        <v>504</v>
      </c>
      <c r="G17" s="8">
        <f>IF(COUNTIF(I17:XFD17,"&gt;"&amp;0)=0,,(E17/F17)^(1/MIN(COUNTIF(I17:XFD17,"&gt;"&amp;0)-1,$F$1)))</f>
        <v>1.2670678132943707</v>
      </c>
      <c r="H17" s="13" t="s">
        <v>78</v>
      </c>
      <c r="I17" s="9">
        <v>104</v>
      </c>
      <c r="J17" s="9">
        <v>131</v>
      </c>
      <c r="K17" s="9">
        <v>182</v>
      </c>
      <c r="L17" s="9">
        <v>246</v>
      </c>
      <c r="M17" s="9">
        <v>302</v>
      </c>
      <c r="N17" s="9">
        <v>504</v>
      </c>
      <c r="O17" s="9">
        <v>655</v>
      </c>
      <c r="P17" s="9">
        <v>860</v>
      </c>
      <c r="Q17" s="9">
        <v>1018</v>
      </c>
      <c r="R17" s="9">
        <v>1332</v>
      </c>
      <c r="S17" s="9">
        <v>1646</v>
      </c>
    </row>
    <row r="18" spans="1:46" x14ac:dyDescent="0.25">
      <c r="A18" s="9">
        <f t="shared" si="6"/>
        <v>17</v>
      </c>
      <c r="B18" s="9">
        <f t="array" ref="B18">IF(C18="",0,IF(OR(C18=Country_Comparison!$S$10:$S$29),1,0))</f>
        <v>0</v>
      </c>
      <c r="C18" s="9" t="str">
        <f>IF(H18="","",H18)</f>
        <v>Norway</v>
      </c>
      <c r="D18" s="6">
        <f>MAX(I18:CL18)</f>
        <v>1550</v>
      </c>
      <c r="E18" s="6">
        <f>IF(COUNTIF(I18:XFD18,"&gt;"&amp;0)=0,,HLOOKUP(COUNTIF(I18:XFD18,"&gt;"&amp;0)-1,I$1:XFD18,A18+1,FALSE))</f>
        <v>1550</v>
      </c>
      <c r="F18" s="7">
        <f>IF(COUNTIF(I18:XFD18,"&gt;"&amp;0)=0,,HLOOKUP(COUNTIF(I18:XFD18,"&gt;"&amp;0)-MIN($F$1+1,COUNTIF(I18:XFD18,"&gt;"&amp;0)),I$1:XFD18,A18+1,FALSE))</f>
        <v>996</v>
      </c>
      <c r="G18" s="8">
        <f>IF(COUNTIF(I18:XFD18,"&gt;"&amp;0)=0,,(E18/F18)^(1/MIN(COUNTIF(I18:XFD18,"&gt;"&amp;0)-1,$F$1)))</f>
        <v>1.0924824572982044</v>
      </c>
      <c r="H18" s="13" t="s">
        <v>85</v>
      </c>
      <c r="I18" s="9">
        <v>108</v>
      </c>
      <c r="J18" s="9">
        <v>147</v>
      </c>
      <c r="K18" s="9">
        <v>176</v>
      </c>
      <c r="L18" s="9">
        <v>205</v>
      </c>
      <c r="M18" s="9">
        <v>400</v>
      </c>
      <c r="N18" s="9">
        <v>598</v>
      </c>
      <c r="O18" s="9">
        <v>702</v>
      </c>
      <c r="P18" s="9">
        <v>996</v>
      </c>
      <c r="Q18" s="9">
        <v>1090</v>
      </c>
      <c r="R18" s="9">
        <v>1221</v>
      </c>
      <c r="S18" s="9">
        <v>1333</v>
      </c>
      <c r="T18" s="9">
        <v>1463</v>
      </c>
      <c r="U18" s="9">
        <v>1550</v>
      </c>
    </row>
    <row r="19" spans="1:46" x14ac:dyDescent="0.25">
      <c r="A19" s="9">
        <f t="shared" si="6"/>
        <v>18</v>
      </c>
      <c r="B19" s="9">
        <f t="array" ref="B19">IF(C19="",0,IF(OR(C19=Country_Comparison!$S$10:$S$29),1,0))</f>
        <v>0</v>
      </c>
      <c r="C19" s="9" t="str">
        <f>IF(H19="","",H19)</f>
        <v>Belgium</v>
      </c>
      <c r="D19" s="6">
        <f>MAX(I19:CL19)</f>
        <v>1486</v>
      </c>
      <c r="E19" s="6">
        <f>IF(COUNTIF(I19:XFD19,"&gt;"&amp;0)=0,,HLOOKUP(COUNTIF(I19:XFD19,"&gt;"&amp;0)-1,I$1:XFD19,A19+1,FALSE))</f>
        <v>1486</v>
      </c>
      <c r="F19" s="7">
        <f>IF(COUNTIF(I19:XFD19,"&gt;"&amp;0)=0,,HLOOKUP(COUNTIF(I19:XFD19,"&gt;"&amp;0)-MIN($F$1+1,COUNTIF(I19:XFD19,"&gt;"&amp;0)),I$1:XFD19,A19+1,FALSE))</f>
        <v>559</v>
      </c>
      <c r="G19" s="8">
        <f>IF(COUNTIF(I19:XFD19,"&gt;"&amp;0)=0,,(E19/F19)^(1/MIN(COUNTIF(I19:XFD19,"&gt;"&amp;0)-1,$F$1)))</f>
        <v>1.2159659122045396</v>
      </c>
      <c r="H19" s="13" t="s">
        <v>63</v>
      </c>
      <c r="I19" s="9">
        <v>109</v>
      </c>
      <c r="J19" s="9">
        <v>169</v>
      </c>
      <c r="K19" s="9">
        <v>200</v>
      </c>
      <c r="L19" s="9">
        <v>239</v>
      </c>
      <c r="M19" s="9">
        <v>267</v>
      </c>
      <c r="N19" s="9">
        <v>314</v>
      </c>
      <c r="O19" s="9">
        <v>314</v>
      </c>
      <c r="P19" s="9">
        <v>559</v>
      </c>
      <c r="Q19" s="9">
        <v>689</v>
      </c>
      <c r="R19" s="9">
        <v>886</v>
      </c>
      <c r="S19" s="9">
        <v>1058</v>
      </c>
      <c r="T19" s="9">
        <v>1243</v>
      </c>
      <c r="U19" s="9">
        <v>1486</v>
      </c>
    </row>
    <row r="20" spans="1:46" x14ac:dyDescent="0.25">
      <c r="A20" s="9">
        <f t="shared" si="6"/>
        <v>19</v>
      </c>
      <c r="B20" s="9">
        <f t="array" ref="B20">IF(C20="",0,IF(OR(C20=Country_Comparison!$S$10:$S$29),1,0))</f>
        <v>0</v>
      </c>
      <c r="C20" s="9" t="str">
        <f>IF(H20="","",H20)</f>
        <v>Sweden</v>
      </c>
      <c r="D20" s="6">
        <f>MAX(I20:CL20)</f>
        <v>1279</v>
      </c>
      <c r="E20" s="6">
        <f>IF(COUNTIF(I20:XFD20,"&gt;"&amp;0)=0,,HLOOKUP(COUNTIF(I20:XFD20,"&gt;"&amp;0)-1,I$1:XFD20,A20+1,FALSE))</f>
        <v>1279</v>
      </c>
      <c r="F20" s="7">
        <f>IF(COUNTIF(I20:XFD20,"&gt;"&amp;0)=0,,HLOOKUP(COUNTIF(I20:XFD20,"&gt;"&amp;0)-MIN($F$1+1,COUNTIF(I20:XFD20,"&gt;"&amp;0)),I$1:XFD20,A20+1,FALSE))</f>
        <v>814</v>
      </c>
      <c r="G20" s="8">
        <f>IF(COUNTIF(I20:XFD20,"&gt;"&amp;0)=0,,(E20/F20)^(1/MIN(COUNTIF(I20:XFD20,"&gt;"&amp;0)-1,$F$1)))</f>
        <v>1.094584333526559</v>
      </c>
      <c r="H20" s="13" t="s">
        <v>59</v>
      </c>
      <c r="I20" s="9">
        <v>101</v>
      </c>
      <c r="J20" s="9">
        <v>161</v>
      </c>
      <c r="K20" s="9">
        <v>203</v>
      </c>
      <c r="L20" s="9">
        <v>248</v>
      </c>
      <c r="M20" s="9">
        <v>355</v>
      </c>
      <c r="N20" s="9">
        <v>500</v>
      </c>
      <c r="O20" s="9">
        <v>599</v>
      </c>
      <c r="P20" s="9">
        <v>814</v>
      </c>
      <c r="Q20" s="9">
        <v>961</v>
      </c>
      <c r="R20" s="9">
        <v>1022</v>
      </c>
      <c r="S20" s="9">
        <v>1103</v>
      </c>
      <c r="T20" s="9">
        <v>1190</v>
      </c>
      <c r="U20" s="9">
        <v>1279</v>
      </c>
    </row>
    <row r="21" spans="1:46" x14ac:dyDescent="0.25">
      <c r="A21" s="9">
        <f t="shared" si="6"/>
        <v>20</v>
      </c>
      <c r="B21" s="9">
        <f t="array" ref="B21">IF(C21="",0,IF(OR(C21=Country_Comparison!$S$10:$S$29),1,0))</f>
        <v>0</v>
      </c>
      <c r="C21" s="9" t="str">
        <f>IF(H21="","",H21)</f>
        <v>Denmark</v>
      </c>
      <c r="D21" s="6">
        <f>MAX(I21:CL21)</f>
        <v>1115</v>
      </c>
      <c r="E21" s="6">
        <f>IF(COUNTIF(I21:XFD21,"&gt;"&amp;0)=0,,HLOOKUP(COUNTIF(I21:XFD21,"&gt;"&amp;0)-1,I$1:XFD21,A21+1,FALSE))</f>
        <v>1115</v>
      </c>
      <c r="F21" s="7">
        <f>IF(COUNTIF(I21:XFD21,"&gt;"&amp;0)=0,,HLOOKUP(COUNTIF(I21:XFD21,"&gt;"&amp;0)-MIN($F$1+1,COUNTIF(I21:XFD21,"&gt;"&amp;0)),I$1:XFD21,A21+1,FALSE))</f>
        <v>804</v>
      </c>
      <c r="G21" s="8">
        <f>IF(COUNTIF(I21:XFD21,"&gt;"&amp;0)=0,,(E21/F21)^(1/MIN(COUNTIF(I21:XFD21,"&gt;"&amp;0)-1,$F$1)))</f>
        <v>1.0675881971011525</v>
      </c>
      <c r="H21" s="13" t="s">
        <v>87</v>
      </c>
      <c r="I21" s="9">
        <v>264</v>
      </c>
      <c r="J21" s="9">
        <v>444</v>
      </c>
      <c r="K21" s="9">
        <v>617</v>
      </c>
      <c r="L21" s="9">
        <v>804</v>
      </c>
      <c r="M21" s="9">
        <v>836</v>
      </c>
      <c r="N21" s="9">
        <v>875</v>
      </c>
      <c r="O21" s="9">
        <v>932</v>
      </c>
      <c r="P21" s="9">
        <v>1024</v>
      </c>
      <c r="Q21" s="9">
        <v>1115</v>
      </c>
    </row>
    <row r="22" spans="1:46" x14ac:dyDescent="0.25">
      <c r="A22" s="9">
        <f t="shared" si="6"/>
        <v>21</v>
      </c>
      <c r="B22" s="9">
        <f t="array" ref="B22">IF(C22="",0,IF(OR(C22=Country_Comparison!$S$10:$S$29),1,0))</f>
        <v>0</v>
      </c>
      <c r="C22" s="9" t="str">
        <f>IF(H22="","",H22)</f>
        <v>Malaysia</v>
      </c>
      <c r="D22" s="6">
        <f>MAX(I22:CL22)</f>
        <v>790</v>
      </c>
      <c r="E22" s="6">
        <f>IF(COUNTIF(I22:XFD22,"&gt;"&amp;0)=0,,HLOOKUP(COUNTIF(I22:XFD22,"&gt;"&amp;0)-1,I$1:XFD22,A22+1,FALSE))</f>
        <v>790</v>
      </c>
      <c r="F22" s="7">
        <f>IF(COUNTIF(I22:XFD22,"&gt;"&amp;0)=0,,HLOOKUP(COUNTIF(I22:XFD22,"&gt;"&amp;0)-MIN($F$1+1,COUNTIF(I22:XFD22,"&gt;"&amp;0)),I$1:XFD22,A22+1,FALSE))</f>
        <v>197</v>
      </c>
      <c r="G22" s="8">
        <f>IF(COUNTIF(I22:XFD22,"&gt;"&amp;0)=0,,(E22/F22)^(1/MIN(COUNTIF(I22:XFD22,"&gt;"&amp;0)-1,$F$1)))</f>
        <v>1.3201770327755433</v>
      </c>
      <c r="H22" s="13" t="s">
        <v>43</v>
      </c>
      <c r="I22" s="9">
        <v>117</v>
      </c>
      <c r="J22" s="9">
        <v>129</v>
      </c>
      <c r="K22" s="9">
        <v>149</v>
      </c>
      <c r="L22" s="9">
        <v>149</v>
      </c>
      <c r="M22" s="9">
        <v>197</v>
      </c>
      <c r="N22" s="9">
        <v>238</v>
      </c>
      <c r="O22" s="9">
        <v>428</v>
      </c>
      <c r="P22" s="9">
        <v>566</v>
      </c>
      <c r="Q22" s="9">
        <v>673</v>
      </c>
      <c r="R22" s="9">
        <v>790</v>
      </c>
    </row>
    <row r="23" spans="1:46" x14ac:dyDescent="0.25">
      <c r="A23" s="9">
        <f t="shared" si="6"/>
        <v>22</v>
      </c>
      <c r="B23" s="9">
        <f t="array" ref="B23">IF(C23="",0,IF(OR(C23=Country_Comparison!$S$10:$S$29),1,0))</f>
        <v>0</v>
      </c>
      <c r="C23" s="9" t="str">
        <f>IF(H23="","",H23)</f>
        <v>Cruise Ship</v>
      </c>
      <c r="D23" s="6">
        <f>MAX(I23:CL23)</f>
        <v>712</v>
      </c>
      <c r="E23" s="6">
        <f>IF(COUNTIF(I23:XFD23,"&gt;"&amp;0)=0,,HLOOKUP(COUNTIF(I23:XFD23,"&gt;"&amp;0)-1,I$1:XFD23,A23+1,FALSE))</f>
        <v>712</v>
      </c>
      <c r="F23" s="7">
        <f>IF(COUNTIF(I23:XFD23,"&gt;"&amp;0)=0,,HLOOKUP(COUNTIF(I23:XFD23,"&gt;"&amp;0)-MIN($F$1+1,COUNTIF(I23:XFD23,"&gt;"&amp;0)),I$1:XFD23,A23+1,FALSE))</f>
        <v>696</v>
      </c>
      <c r="G23" s="8">
        <f>IF(COUNTIF(I23:XFD23,"&gt;"&amp;0)=0,,(E23/F23)^(1/MIN(COUNTIF(I23:XFD23,"&gt;"&amp;0)-1,$F$1)))</f>
        <v>1.0045559973556712</v>
      </c>
      <c r="H23" s="13" t="s">
        <v>340</v>
      </c>
      <c r="I23" s="9">
        <v>135</v>
      </c>
      <c r="J23" s="9">
        <v>135</v>
      </c>
      <c r="K23" s="9">
        <v>175</v>
      </c>
      <c r="L23" s="9">
        <v>175</v>
      </c>
      <c r="M23" s="9">
        <v>218</v>
      </c>
      <c r="N23" s="9">
        <v>285</v>
      </c>
      <c r="O23" s="9">
        <v>355</v>
      </c>
      <c r="P23" s="9">
        <v>454</v>
      </c>
      <c r="Q23" s="9">
        <v>542</v>
      </c>
      <c r="R23" s="9">
        <v>621</v>
      </c>
      <c r="S23" s="9">
        <v>634</v>
      </c>
      <c r="T23" s="9">
        <v>634</v>
      </c>
      <c r="U23" s="9">
        <v>634</v>
      </c>
      <c r="V23" s="9">
        <v>691</v>
      </c>
      <c r="W23" s="9">
        <v>691</v>
      </c>
      <c r="X23" s="9">
        <v>691</v>
      </c>
      <c r="Y23" s="9">
        <v>705</v>
      </c>
      <c r="Z23" s="9">
        <v>705</v>
      </c>
      <c r="AA23" s="9">
        <v>705</v>
      </c>
      <c r="AB23" s="9">
        <v>705</v>
      </c>
      <c r="AC23" s="9">
        <v>705</v>
      </c>
      <c r="AD23" s="9">
        <v>705</v>
      </c>
      <c r="AE23" s="9">
        <v>706</v>
      </c>
      <c r="AF23" s="9">
        <v>706</v>
      </c>
      <c r="AG23" s="9">
        <v>706</v>
      </c>
      <c r="AH23" s="9">
        <v>696</v>
      </c>
      <c r="AI23" s="9">
        <v>696</v>
      </c>
      <c r="AJ23" s="9">
        <v>696</v>
      </c>
      <c r="AK23" s="9">
        <v>696</v>
      </c>
      <c r="AL23" s="9">
        <v>696</v>
      </c>
      <c r="AM23" s="9">
        <v>696</v>
      </c>
      <c r="AN23" s="9">
        <v>696</v>
      </c>
      <c r="AO23" s="9">
        <v>696</v>
      </c>
      <c r="AP23" s="9">
        <v>696</v>
      </c>
      <c r="AQ23" s="9">
        <v>696</v>
      </c>
      <c r="AR23" s="9">
        <v>696</v>
      </c>
      <c r="AS23" s="9">
        <v>696</v>
      </c>
      <c r="AT23" s="9">
        <v>712</v>
      </c>
    </row>
    <row r="24" spans="1:46" x14ac:dyDescent="0.25">
      <c r="A24" s="9">
        <f t="shared" si="6"/>
        <v>23</v>
      </c>
      <c r="B24" s="9">
        <f t="array" ref="B24">IF(C24="",0,IF(OR(C24=Country_Comparison!$S$10:$S$29),1,0))</f>
        <v>0</v>
      </c>
      <c r="C24" s="9" t="str">
        <f>IF(H24="","",H24)</f>
        <v>Canada</v>
      </c>
      <c r="D24" s="6">
        <f>MAX(I24:CL24)</f>
        <v>657</v>
      </c>
      <c r="E24" s="6">
        <f>IF(COUNTIF(I24:XFD24,"&gt;"&amp;0)=0,,HLOOKUP(COUNTIF(I24:XFD24,"&gt;"&amp;0)-1,I$1:XFD24,A24+1,FALSE))</f>
        <v>657</v>
      </c>
      <c r="F24" s="7">
        <f>IF(COUNTIF(I24:XFD24,"&gt;"&amp;0)=0,,HLOOKUP(COUNTIF(I24:XFD24,"&gt;"&amp;0)-MIN($F$1+1,COUNTIF(I24:XFD24,"&gt;"&amp;0)),I$1:XFD24,A24+1,FALSE))</f>
        <v>193</v>
      </c>
      <c r="G24" s="8">
        <f>IF(COUNTIF(I24:XFD24,"&gt;"&amp;0)=0,,(E24/F24)^(1/MIN(COUNTIF(I24:XFD24,"&gt;"&amp;0)-1,$F$1)))</f>
        <v>1.2776197365137685</v>
      </c>
      <c r="H24" s="13" t="s">
        <v>45</v>
      </c>
      <c r="I24" s="9">
        <v>108</v>
      </c>
      <c r="J24" s="9">
        <v>117</v>
      </c>
      <c r="K24" s="9">
        <v>193</v>
      </c>
      <c r="L24" s="9">
        <v>198</v>
      </c>
      <c r="M24" s="9">
        <v>252</v>
      </c>
      <c r="N24" s="9">
        <v>415</v>
      </c>
      <c r="O24" s="9">
        <v>478</v>
      </c>
      <c r="P24" s="9">
        <v>657</v>
      </c>
    </row>
    <row r="25" spans="1:46" x14ac:dyDescent="0.25">
      <c r="A25" s="9">
        <f t="shared" si="6"/>
        <v>24</v>
      </c>
      <c r="B25" s="9">
        <f t="array" ref="B25">IF(C25="",0,IF(OR(C25=Country_Comparison!$S$10:$S$29),1,0))</f>
        <v>0</v>
      </c>
      <c r="C25" s="9" t="str">
        <f>IF(H25="","",H25)</f>
        <v>Australia</v>
      </c>
      <c r="D25" s="6">
        <f>MAX(I25:CL25)</f>
        <v>568</v>
      </c>
      <c r="E25" s="6">
        <f>IF(COUNTIF(I25:XFD25,"&gt;"&amp;0)=0,,HLOOKUP(COUNTIF(I25:XFD25,"&gt;"&amp;0)-1,I$1:XFD25,A25+1,FALSE))</f>
        <v>568</v>
      </c>
      <c r="F25" s="7">
        <f>IF(COUNTIF(I25:XFD25,"&gt;"&amp;0)=0,,HLOOKUP(COUNTIF(I25:XFD25,"&gt;"&amp;0)-MIN($F$1+1,COUNTIF(I25:XFD25,"&gt;"&amp;0)),I$1:XFD25,A25+1,FALSE))</f>
        <v>200</v>
      </c>
      <c r="G25" s="8">
        <f>IF(COUNTIF(I25:XFD25,"&gt;"&amp;0)=0,,(E25/F25)^(1/MIN(COUNTIF(I25:XFD25,"&gt;"&amp;0)-1,$F$1)))</f>
        <v>1.2321502457989995</v>
      </c>
      <c r="H25" s="13" t="s">
        <v>48</v>
      </c>
      <c r="I25" s="9">
        <v>107</v>
      </c>
      <c r="J25" s="9">
        <v>128</v>
      </c>
      <c r="K25" s="9">
        <v>128</v>
      </c>
      <c r="L25" s="9">
        <v>200</v>
      </c>
      <c r="M25" s="9">
        <v>250</v>
      </c>
      <c r="N25" s="9">
        <v>297</v>
      </c>
      <c r="O25" s="9">
        <v>377</v>
      </c>
      <c r="P25" s="9">
        <v>452</v>
      </c>
      <c r="Q25" s="9">
        <v>568</v>
      </c>
    </row>
    <row r="26" spans="1:46" x14ac:dyDescent="0.25">
      <c r="A26" s="9">
        <f t="shared" si="6"/>
        <v>25</v>
      </c>
      <c r="B26" s="9">
        <f t="array" ref="B26">IF(C26="",0,IF(OR(C26=Country_Comparison!$S$10:$S$29),1,0))</f>
        <v>0</v>
      </c>
      <c r="C26" s="9" t="str">
        <f>IF(H26="","",H26)</f>
        <v>Ireland</v>
      </c>
      <c r="D26" s="6">
        <f>MAX(I26:CL26)</f>
        <v>557</v>
      </c>
      <c r="E26" s="6">
        <f>IF(COUNTIF(I26:XFD26,"&gt;"&amp;0)=0,,HLOOKUP(COUNTIF(I26:XFD26,"&gt;"&amp;0)-1,I$1:XFD26,A26+1,FALSE))</f>
        <v>557</v>
      </c>
      <c r="F26" s="7">
        <f>IF(COUNTIF(I26:XFD26,"&gt;"&amp;0)=0,,HLOOKUP(COUNTIF(I26:XFD26,"&gt;"&amp;0)-MIN($F$1+1,COUNTIF(I26:XFD26,"&gt;"&amp;0)),I$1:XFD26,A26+1,FALSE))</f>
        <v>129</v>
      </c>
      <c r="G26" s="8">
        <f>IF(COUNTIF(I26:XFD26,"&gt;"&amp;0)=0,,(E26/F26)^(1/MIN(COUNTIF(I26:XFD26,"&gt;"&amp;0)-1,$F$1)))</f>
        <v>1.3398404867163705</v>
      </c>
      <c r="H26" s="13" t="s">
        <v>98</v>
      </c>
      <c r="I26" s="9">
        <v>129</v>
      </c>
      <c r="J26" s="9">
        <v>169</v>
      </c>
      <c r="K26" s="9">
        <v>223</v>
      </c>
      <c r="L26" s="9">
        <v>292</v>
      </c>
      <c r="M26" s="9">
        <v>366</v>
      </c>
      <c r="N26" s="9">
        <f>M26+191</f>
        <v>557</v>
      </c>
    </row>
    <row r="27" spans="1:46" x14ac:dyDescent="0.25">
      <c r="A27" s="9">
        <f t="shared" si="6"/>
        <v>26</v>
      </c>
      <c r="B27" s="9">
        <f t="array" ref="B27">IF(C27="",0,IF(OR(C27=Country_Comparison!$S$10:$S$29),1,0))</f>
        <v>0</v>
      </c>
      <c r="C27" s="9" t="str">
        <f>IF(H27="","",H27)</f>
        <v>Czechia</v>
      </c>
      <c r="D27" s="6">
        <f>MAX(I27:CL27)</f>
        <v>464</v>
      </c>
      <c r="E27" s="6">
        <f>IF(COUNTIF(I27:XFD27,"&gt;"&amp;0)=0,,HLOOKUP(COUNTIF(I27:XFD27,"&gt;"&amp;0)-1,I$1:XFD27,A27+1,FALSE))</f>
        <v>464</v>
      </c>
      <c r="F27" s="7">
        <f>IF(COUNTIF(I27:XFD27,"&gt;"&amp;0)=0,,HLOOKUP(COUNTIF(I27:XFD27,"&gt;"&amp;0)-MIN($F$1+1,COUNTIF(I27:XFD27,"&gt;"&amp;0)),I$1:XFD27,A27+1,FALSE))</f>
        <v>141</v>
      </c>
      <c r="G27" s="8">
        <f>IF(COUNTIF(I27:XFD27,"&gt;"&amp;0)=0,,(E27/F27)^(1/MIN(COUNTIF(I27:XFD27,"&gt;"&amp;0)-1,$F$1)))</f>
        <v>1.2689945986873135</v>
      </c>
      <c r="H27" s="13" t="s">
        <v>341</v>
      </c>
      <c r="I27" s="9">
        <v>141</v>
      </c>
      <c r="J27" s="9">
        <v>189</v>
      </c>
      <c r="K27" s="9">
        <v>253</v>
      </c>
      <c r="L27" s="9">
        <v>298</v>
      </c>
      <c r="M27" s="9">
        <v>396</v>
      </c>
      <c r="N27" s="9">
        <v>464</v>
      </c>
    </row>
    <row r="28" spans="1:46" x14ac:dyDescent="0.25">
      <c r="A28" s="9">
        <f t="shared" si="6"/>
        <v>27</v>
      </c>
      <c r="B28" s="9">
        <f t="array" ref="B28">IF(C28="",0,IF(OR(C28=Country_Comparison!$S$10:$S$29),1,0))</f>
        <v>0</v>
      </c>
      <c r="C28" s="9" t="str">
        <f>IF(H28="","",H28)</f>
        <v>Qatar</v>
      </c>
      <c r="D28" s="6">
        <f>MAX(I28:CL28)</f>
        <v>452</v>
      </c>
      <c r="E28" s="6">
        <f>IF(COUNTIF(I28:XFD28,"&gt;"&amp;0)=0,,HLOOKUP(COUNTIF(I28:XFD28,"&gt;"&amp;0)-1,I$1:XFD28,A28+1,FALSE))</f>
        <v>452</v>
      </c>
      <c r="F28" s="7">
        <f>IF(COUNTIF(I28:XFD28,"&gt;"&amp;0)=0,,HLOOKUP(COUNTIF(I28:XFD28,"&gt;"&amp;0)-MIN($F$1+1,COUNTIF(I28:XFD28,"&gt;"&amp;0)),I$1:XFD28,A28+1,FALSE))</f>
        <v>320</v>
      </c>
      <c r="G28" s="8">
        <f>IF(COUNTIF(I28:XFD28,"&gt;"&amp;0)=0,,(E28/F28)^(1/MIN(COUNTIF(I28:XFD28,"&gt;"&amp;0)-1,$F$1)))</f>
        <v>1.0715136090752686</v>
      </c>
      <c r="H28" s="13" t="s">
        <v>101</v>
      </c>
      <c r="I28" s="9">
        <v>262</v>
      </c>
      <c r="J28" s="9">
        <v>262</v>
      </c>
      <c r="K28" s="9">
        <v>320</v>
      </c>
      <c r="L28" s="9">
        <v>337</v>
      </c>
      <c r="M28" s="9">
        <v>401</v>
      </c>
      <c r="N28" s="9">
        <v>439</v>
      </c>
      <c r="O28" s="9">
        <v>439</v>
      </c>
      <c r="P28" s="9">
        <v>452</v>
      </c>
    </row>
    <row r="29" spans="1:46" x14ac:dyDescent="0.25">
      <c r="A29" s="9">
        <f t="shared" si="6"/>
        <v>28</v>
      </c>
      <c r="B29" s="9">
        <f t="array" ref="B29">IF(C29="",0,IF(OR(C29=Country_Comparison!$S$10:$S$29),1,0))</f>
        <v>0</v>
      </c>
      <c r="C29" s="9" t="str">
        <f>IF(H29="","",H29)</f>
        <v>Portugal</v>
      </c>
      <c r="D29" s="6">
        <f>MAX(I29:CL29)</f>
        <v>448</v>
      </c>
      <c r="E29" s="6">
        <f>IF(COUNTIF(I29:XFD29,"&gt;"&amp;0)=0,,HLOOKUP(COUNTIF(I29:XFD29,"&gt;"&amp;0)-1,I$1:XFD29,A29+1,FALSE))</f>
        <v>448</v>
      </c>
      <c r="F29" s="7">
        <f>IF(COUNTIF(I29:XFD29,"&gt;"&amp;0)=0,,HLOOKUP(COUNTIF(I29:XFD29,"&gt;"&amp;0)-MIN($F$1+1,COUNTIF(I29:XFD29,"&gt;"&amp;0)),I$1:XFD29,A29+1,FALSE))</f>
        <v>112</v>
      </c>
      <c r="G29" s="8">
        <f>IF(COUNTIF(I29:XFD29,"&gt;"&amp;0)=0,,(E29/F29)^(1/MIN(COUNTIF(I29:XFD29,"&gt;"&amp;0)-1,$F$1)))</f>
        <v>1.3195079107728942</v>
      </c>
      <c r="H29" s="15" t="s">
        <v>108</v>
      </c>
      <c r="I29" s="9">
        <v>112</v>
      </c>
      <c r="J29" s="9">
        <v>169</v>
      </c>
      <c r="K29" s="9">
        <v>245</v>
      </c>
      <c r="L29" s="9">
        <v>331</v>
      </c>
      <c r="M29" s="9">
        <v>448</v>
      </c>
      <c r="N29" s="9">
        <v>448</v>
      </c>
    </row>
    <row r="30" spans="1:46" x14ac:dyDescent="0.25">
      <c r="A30" s="9">
        <f t="shared" si="6"/>
        <v>29</v>
      </c>
      <c r="B30" s="9">
        <f t="array" ref="B30">IF(C30="",0,IF(OR(C30=Country_Comparison!$S$10:$S$29),1,0))</f>
        <v>0</v>
      </c>
      <c r="C30" s="9" t="str">
        <f>IF(H30="","",H30)</f>
        <v>Israel</v>
      </c>
      <c r="D30" s="6">
        <f>MAX(I30:CL30)</f>
        <v>433</v>
      </c>
      <c r="E30" s="6">
        <f>IF(COUNTIF(I30:XFD30,"&gt;"&amp;0)=0,,HLOOKUP(COUNTIF(I30:XFD30,"&gt;"&amp;0)-1,I$1:XFD30,A30+1,FALSE))</f>
        <v>433</v>
      </c>
      <c r="F30" s="7">
        <f>IF(COUNTIF(I30:XFD30,"&gt;"&amp;0)=0,,HLOOKUP(COUNTIF(I30:XFD30,"&gt;"&amp;0)-MIN($F$1+1,COUNTIF(I30:XFD30,"&gt;"&amp;0)),I$1:XFD30,A30+1,FALSE))</f>
        <v>161</v>
      </c>
      <c r="G30" s="8">
        <f>IF(COUNTIF(I30:XFD30,"&gt;"&amp;0)=0,,(E30/F30)^(1/MIN(COUNTIF(I30:XFD30,"&gt;"&amp;0)-1,$F$1)))</f>
        <v>1.2187998835731464</v>
      </c>
      <c r="H30" s="13" t="s">
        <v>79</v>
      </c>
      <c r="I30" s="9">
        <v>109</v>
      </c>
      <c r="J30" s="9">
        <v>131</v>
      </c>
      <c r="K30" s="9">
        <v>161</v>
      </c>
      <c r="L30" s="9">
        <v>193</v>
      </c>
      <c r="M30" s="9">
        <v>251</v>
      </c>
      <c r="N30" s="9">
        <v>255</v>
      </c>
      <c r="O30" s="9">
        <v>337</v>
      </c>
      <c r="P30" s="9">
        <v>433</v>
      </c>
    </row>
    <row r="31" spans="1:46" x14ac:dyDescent="0.25">
      <c r="A31" s="9">
        <f t="shared" si="6"/>
        <v>30</v>
      </c>
      <c r="B31" s="9">
        <f t="array" ref="B31">IF(C31="",0,IF(OR(C31=Country_Comparison!$S$10:$S$29),1,0))</f>
        <v>0</v>
      </c>
      <c r="C31" s="9" t="str">
        <f>IF(H31="","",H31)</f>
        <v>Greece</v>
      </c>
      <c r="D31" s="6">
        <f>MAX(I31:CL31)</f>
        <v>418</v>
      </c>
      <c r="E31" s="6">
        <f>IF(COUNTIF(I31:XFD31,"&gt;"&amp;0)=0,,HLOOKUP(COUNTIF(I31:XFD31,"&gt;"&amp;0)-1,I$1:XFD31,A31+1,FALSE))</f>
        <v>418</v>
      </c>
      <c r="F31" s="7">
        <f>IF(COUNTIF(I31:XFD31,"&gt;"&amp;0)=0,,HLOOKUP(COUNTIF(I31:XFD31,"&gt;"&amp;0)-MIN($F$1+1,COUNTIF(I31:XFD31,"&gt;"&amp;0)),I$1:XFD31,A31+1,FALSE))</f>
        <v>190</v>
      </c>
      <c r="G31" s="8">
        <f>IF(COUNTIF(I31:XFD31,"&gt;"&amp;0)=0,,(E31/F31)^(1/MIN(COUNTIF(I31:XFD31,"&gt;"&amp;0)-1,$F$1)))</f>
        <v>1.1708049129648923</v>
      </c>
      <c r="H31" s="13" t="s">
        <v>83</v>
      </c>
      <c r="I31" s="9">
        <v>190</v>
      </c>
      <c r="J31" s="9">
        <v>228</v>
      </c>
      <c r="K31" s="9">
        <v>331</v>
      </c>
      <c r="L31" s="9">
        <v>331</v>
      </c>
      <c r="M31" s="9">
        <v>387</v>
      </c>
      <c r="N31" s="9">
        <v>418</v>
      </c>
    </row>
    <row r="32" spans="1:46" x14ac:dyDescent="0.25">
      <c r="A32" s="9">
        <f t="shared" si="6"/>
        <v>31</v>
      </c>
      <c r="B32" s="9">
        <f t="array" ref="B32">IF(C32="",0,IF(OR(C32=Country_Comparison!$S$10:$S$29),1,0))</f>
        <v>0</v>
      </c>
      <c r="C32" s="9" t="str">
        <f>IF(H32="","",H32)</f>
        <v>Brazil</v>
      </c>
      <c r="D32" s="6">
        <f>MAX(I32:CL32)</f>
        <v>372</v>
      </c>
      <c r="E32" s="6">
        <f>IF(COUNTIF(I32:XFD32,"&gt;"&amp;0)=0,,HLOOKUP(COUNTIF(I32:XFD32,"&gt;"&amp;0)-1,I$1:XFD32,A32+1,FALSE))</f>
        <v>372</v>
      </c>
      <c r="F32" s="7">
        <f>IF(COUNTIF(I32:XFD32,"&gt;"&amp;0)=0,,HLOOKUP(COUNTIF(I32:XFD32,"&gt;"&amp;0)-MIN($F$1+1,COUNTIF(I32:XFD32,"&gt;"&amp;0)),I$1:XFD32,A32+1,FALSE))</f>
        <v>151</v>
      </c>
      <c r="G32" s="8">
        <f>IF(COUNTIF(I32:XFD32,"&gt;"&amp;0)=0,,(E32/F32)^(1/MIN(COUNTIF(I32:XFD32,"&gt;"&amp;0)-1,$F$1)))</f>
        <v>1.1976038914498739</v>
      </c>
      <c r="H32" s="13" t="s">
        <v>81</v>
      </c>
      <c r="I32" s="9">
        <v>151</v>
      </c>
      <c r="J32" s="9">
        <v>151</v>
      </c>
      <c r="K32" s="9">
        <v>162</v>
      </c>
      <c r="L32" s="9">
        <v>200</v>
      </c>
      <c r="M32" s="9">
        <v>321</v>
      </c>
      <c r="N32" s="9">
        <v>372</v>
      </c>
    </row>
    <row r="33" spans="1:27" x14ac:dyDescent="0.25">
      <c r="A33" s="9">
        <f t="shared" si="6"/>
        <v>32</v>
      </c>
      <c r="B33" s="9">
        <f t="array" ref="B33">IF(C33="",0,IF(OR(C33=Country_Comparison!$S$10:$S$29),1,0))</f>
        <v>0</v>
      </c>
      <c r="C33" s="9" t="str">
        <f>IF(H33="","",H33)</f>
        <v>Finland</v>
      </c>
      <c r="D33" s="6">
        <f>MAX(I33:CL33)</f>
        <v>336</v>
      </c>
      <c r="E33" s="6">
        <f>IF(COUNTIF(I33:XFD33,"&gt;"&amp;0)=0,,HLOOKUP(COUNTIF(I33:XFD33,"&gt;"&amp;0)-1,I$1:XFD33,A33+1,FALSE))</f>
        <v>336</v>
      </c>
      <c r="F33" s="7">
        <f>IF(COUNTIF(I33:XFD33,"&gt;"&amp;0)=0,,HLOOKUP(COUNTIF(I33:XFD33,"&gt;"&amp;0)-MIN($F$1+1,COUNTIF(I33:XFD33,"&gt;"&amp;0)),I$1:XFD33,A33+1,FALSE))</f>
        <v>155</v>
      </c>
      <c r="G33" s="8">
        <f>IF(COUNTIF(I33:XFD33,"&gt;"&amp;0)=0,,(E33/F33)^(1/MIN(COUNTIF(I33:XFD33,"&gt;"&amp;0)-1,$F$1)))</f>
        <v>1.1673511509603687</v>
      </c>
      <c r="H33" s="13" t="s">
        <v>54</v>
      </c>
      <c r="I33" s="9">
        <v>155</v>
      </c>
      <c r="J33" s="9">
        <v>225</v>
      </c>
      <c r="K33" s="9">
        <v>244</v>
      </c>
      <c r="L33" s="9">
        <v>277</v>
      </c>
      <c r="M33" s="9">
        <v>321</v>
      </c>
      <c r="N33" s="9">
        <v>336</v>
      </c>
    </row>
    <row r="34" spans="1:27" x14ac:dyDescent="0.25">
      <c r="A34" s="9">
        <f t="shared" si="6"/>
        <v>33</v>
      </c>
      <c r="B34" s="9">
        <f t="array" ref="B34">IF(C34="",0,IF(OR(C34=Country_Comparison!$S$10:$S$29),1,0))</f>
        <v>0</v>
      </c>
      <c r="C34" s="9" t="str">
        <f>IF(H34="","",H34)</f>
        <v>Singapore</v>
      </c>
      <c r="D34" s="6">
        <f>MAX(I34:CL34)</f>
        <v>313</v>
      </c>
      <c r="E34" s="6">
        <f>IF(COUNTIF(I34:XFD34,"&gt;"&amp;0)=0,,HLOOKUP(COUNTIF(I34:XFD34,"&gt;"&amp;0)-1,I$1:XFD34,A34+1,FALSE))</f>
        <v>313</v>
      </c>
      <c r="F34" s="7">
        <f>IF(COUNTIF(I34:XFD34,"&gt;"&amp;0)=0,,HLOOKUP(COUNTIF(I34:XFD34,"&gt;"&amp;0)-MIN($F$1+1,COUNTIF(I34:XFD34,"&gt;"&amp;0)),I$1:XFD34,A34+1,FALSE))</f>
        <v>200</v>
      </c>
      <c r="G34" s="8">
        <f>IF(COUNTIF(I34:XFD34,"&gt;"&amp;0)=0,,(E34/F34)^(1/MIN(COUNTIF(I34:XFD34,"&gt;"&amp;0)-1,$F$1)))</f>
        <v>1.0937117261011104</v>
      </c>
      <c r="H34" s="13" t="s">
        <v>40</v>
      </c>
      <c r="I34" s="9">
        <v>102</v>
      </c>
      <c r="J34" s="9">
        <v>106</v>
      </c>
      <c r="K34" s="9">
        <v>108</v>
      </c>
      <c r="L34" s="9">
        <v>110</v>
      </c>
      <c r="M34" s="9">
        <v>110</v>
      </c>
      <c r="N34" s="9">
        <v>117</v>
      </c>
      <c r="O34" s="9">
        <v>130</v>
      </c>
      <c r="P34" s="9">
        <v>138</v>
      </c>
      <c r="Q34" s="9">
        <v>150</v>
      </c>
      <c r="R34" s="9">
        <v>150</v>
      </c>
      <c r="S34" s="9">
        <v>160</v>
      </c>
      <c r="T34" s="9">
        <v>178</v>
      </c>
      <c r="U34" s="9">
        <v>178</v>
      </c>
      <c r="V34" s="9">
        <v>200</v>
      </c>
      <c r="W34" s="9">
        <v>212</v>
      </c>
      <c r="X34" s="9">
        <v>226</v>
      </c>
      <c r="Y34" s="9">
        <v>243</v>
      </c>
      <c r="Z34" s="9">
        <v>266</v>
      </c>
      <c r="AA34" s="9">
        <v>313</v>
      </c>
    </row>
    <row r="35" spans="1:27" x14ac:dyDescent="0.25">
      <c r="A35" s="9">
        <f t="shared" si="6"/>
        <v>34</v>
      </c>
      <c r="B35" s="9">
        <f t="array" ref="B35">IF(C35="",0,IF(OR(C35=Country_Comparison!$S$10:$S$29),1,0))</f>
        <v>0</v>
      </c>
      <c r="C35" s="9" t="str">
        <f>IF(H35="","",H35)</f>
        <v>Pakistan</v>
      </c>
      <c r="D35" s="6">
        <f>MAX(I35:CL35)</f>
        <v>299</v>
      </c>
      <c r="E35" s="6">
        <f>IF(COUNTIF(I35:XFD35,"&gt;"&amp;0)=0,,HLOOKUP(COUNTIF(I35:XFD35,"&gt;"&amp;0)-1,I$1:XFD35,A35+1,FALSE))</f>
        <v>299</v>
      </c>
      <c r="F35" s="7">
        <f>IF(COUNTIF(I35:XFD35,"&gt;"&amp;0)=0,,HLOOKUP(COUNTIF(I35:XFD35,"&gt;"&amp;0)-MIN($F$1+1,COUNTIF(I35:XFD35,"&gt;"&amp;0)),I$1:XFD35,A35+1,FALSE))</f>
        <v>136</v>
      </c>
      <c r="G35" s="8">
        <f>IF(COUNTIF(I35:XFD35,"&gt;"&amp;0)=0,,(E35/F35)^(1/MIN(COUNTIF(I35:XFD35,"&gt;"&amp;0)-1,$F$1)))</f>
        <v>1.482743879354997</v>
      </c>
      <c r="H35" s="13" t="s">
        <v>80</v>
      </c>
      <c r="I35" s="9">
        <v>136</v>
      </c>
      <c r="J35" s="9">
        <v>236</v>
      </c>
      <c r="K35" s="9">
        <v>299</v>
      </c>
    </row>
    <row r="36" spans="1:27" x14ac:dyDescent="0.25">
      <c r="A36" s="9">
        <f t="shared" si="6"/>
        <v>35</v>
      </c>
      <c r="B36" s="9">
        <f t="array" ref="B36">IF(C36="",0,IF(OR(C36=Country_Comparison!$S$10:$S$29),1,0))</f>
        <v>0</v>
      </c>
      <c r="C36" s="9" t="str">
        <f>IF(H36="","",H36)</f>
        <v>Slovenia</v>
      </c>
      <c r="D36" s="6">
        <f>MAX(I36:CL36)</f>
        <v>275</v>
      </c>
      <c r="E36" s="6">
        <f>IF(COUNTIF(I36:XFD36,"&gt;"&amp;0)=0,,HLOOKUP(COUNTIF(I36:XFD36,"&gt;"&amp;0)-1,I$1:XFD36,A36+1,FALSE))</f>
        <v>275</v>
      </c>
      <c r="F36" s="7">
        <f>IF(COUNTIF(I36:XFD36,"&gt;"&amp;0)=0,,HLOOKUP(COUNTIF(I36:XFD36,"&gt;"&amp;0)-MIN($F$1+1,COUNTIF(I36:XFD36,"&gt;"&amp;0)),I$1:XFD36,A36+1,FALSE))</f>
        <v>141</v>
      </c>
      <c r="G36" s="8">
        <f>IF(COUNTIF(I36:XFD36,"&gt;"&amp;0)=0,,(E36/F36)^(1/MIN(COUNTIF(I36:XFD36,"&gt;"&amp;0)-1,$F$1)))</f>
        <v>1.1429381158205667</v>
      </c>
      <c r="H36" s="13" t="s">
        <v>141</v>
      </c>
      <c r="I36" s="9">
        <v>141</v>
      </c>
      <c r="J36" s="9">
        <v>181</v>
      </c>
      <c r="K36" s="9">
        <v>219</v>
      </c>
      <c r="L36" s="9">
        <v>253</v>
      </c>
      <c r="M36" s="9">
        <v>275</v>
      </c>
      <c r="N36" s="9">
        <v>275</v>
      </c>
    </row>
    <row r="37" spans="1:27" x14ac:dyDescent="0.25">
      <c r="A37" s="9">
        <f t="shared" si="6"/>
        <v>36</v>
      </c>
      <c r="B37" s="9">
        <f t="array" ref="B37">IF(C37="",0,IF(OR(C37=Country_Comparison!$S$10:$S$29),1,0))</f>
        <v>0</v>
      </c>
      <c r="C37" s="9" t="str">
        <f>IF(H37="","",H37)</f>
        <v>Romania</v>
      </c>
      <c r="D37" s="6">
        <f>MAX(I37:CL37)</f>
        <v>260</v>
      </c>
      <c r="E37" s="6">
        <f>IF(COUNTIF(I37:XFD37,"&gt;"&amp;0)=0,,HLOOKUP(COUNTIF(I37:XFD37,"&gt;"&amp;0)-1,I$1:XFD37,A37+1,FALSE))</f>
        <v>260</v>
      </c>
      <c r="F37" s="7">
        <f>IF(COUNTIF(I37:XFD37,"&gt;"&amp;0)=0,,HLOOKUP(COUNTIF(I37:XFD37,"&gt;"&amp;0)-MIN($F$1+1,COUNTIF(I37:XFD37,"&gt;"&amp;0)),I$1:XFD37,A37+1,FALSE))</f>
        <v>123</v>
      </c>
      <c r="G37" s="8">
        <f>IF(COUNTIF(I37:XFD37,"&gt;"&amp;0)=0,,(E37/F37)^(1/MIN(COUNTIF(I37:XFD37,"&gt;"&amp;0)-1,$F$1)))</f>
        <v>1.2057771766377923</v>
      </c>
      <c r="H37" s="13" t="s">
        <v>86</v>
      </c>
      <c r="I37" s="9">
        <v>123</v>
      </c>
      <c r="J37" s="9">
        <v>131</v>
      </c>
      <c r="K37" s="9">
        <v>158</v>
      </c>
      <c r="L37" s="9">
        <v>184</v>
      </c>
      <c r="M37" s="9">
        <v>260</v>
      </c>
    </row>
    <row r="38" spans="1:27" x14ac:dyDescent="0.25">
      <c r="A38" s="9">
        <f t="shared" si="6"/>
        <v>37</v>
      </c>
      <c r="B38" s="9">
        <f t="array" ref="B38">IF(C38="",0,IF(OR(C38=Country_Comparison!$S$10:$S$29),1,0))</f>
        <v>0</v>
      </c>
      <c r="C38" s="9" t="str">
        <f>IF(H38="","",H38)</f>
        <v>Estonia</v>
      </c>
      <c r="D38" s="6">
        <f>MAX(I38:CL38)</f>
        <v>258</v>
      </c>
      <c r="E38" s="6">
        <f>IF(COUNTIF(I38:XFD38,"&gt;"&amp;0)=0,,HLOOKUP(COUNTIF(I38:XFD38,"&gt;"&amp;0)-1,I$1:XFD38,A38+1,FALSE))</f>
        <v>258</v>
      </c>
      <c r="F38" s="7">
        <f>IF(COUNTIF(I38:XFD38,"&gt;"&amp;0)=0,,HLOOKUP(COUNTIF(I38:XFD38,"&gt;"&amp;0)-MIN($F$1+1,COUNTIF(I38:XFD38,"&gt;"&amp;0)),I$1:XFD38,A38+1,FALSE))</f>
        <v>115</v>
      </c>
      <c r="G38" s="8">
        <f>IF(COUNTIF(I38:XFD38,"&gt;"&amp;0)=0,,(E38/F38)^(1/MIN(COUNTIF(I38:XFD38,"&gt;"&amp;0)-1,$F$1)))</f>
        <v>1.2238564088037567</v>
      </c>
      <c r="H38" s="13" t="s">
        <v>88</v>
      </c>
      <c r="I38" s="9">
        <v>115</v>
      </c>
      <c r="J38" s="9">
        <v>171</v>
      </c>
      <c r="K38" s="9">
        <v>205</v>
      </c>
      <c r="L38" s="9">
        <v>225</v>
      </c>
      <c r="M38" s="9">
        <v>258</v>
      </c>
    </row>
    <row r="39" spans="1:27" x14ac:dyDescent="0.25">
      <c r="A39" s="9">
        <f t="shared" si="6"/>
        <v>38</v>
      </c>
      <c r="B39" s="9">
        <f t="array" ref="B39">IF(C39="",0,IF(OR(C39=Country_Comparison!$S$10:$S$29),1,0))</f>
        <v>0</v>
      </c>
      <c r="C39" s="9" t="str">
        <f>IF(H39="","",H39)</f>
        <v>Bahrain</v>
      </c>
      <c r="D39" s="6">
        <f>MAX(I39:CL39)</f>
        <v>256</v>
      </c>
      <c r="E39" s="6">
        <f>IF(COUNTIF(I39:XFD39,"&gt;"&amp;0)=0,,HLOOKUP(COUNTIF(I39:XFD39,"&gt;"&amp;0)-1,I$1:XFD39,A39+1,FALSE))</f>
        <v>256</v>
      </c>
      <c r="F39" s="7">
        <f>IF(COUNTIF(I39:XFD39,"&gt;"&amp;0)=0,,HLOOKUP(COUNTIF(I39:XFD39,"&gt;"&amp;0)-MIN($F$1+1,COUNTIF(I39:XFD39,"&gt;"&amp;0)),I$1:XFD39,A39+1,FALSE))</f>
        <v>189</v>
      </c>
      <c r="G39" s="8">
        <f>IF(COUNTIF(I39:XFD39,"&gt;"&amp;0)=0,,(E39/F39)^(1/MIN(COUNTIF(I39:XFD39,"&gt;"&amp;0)-1,$F$1)))</f>
        <v>1.0625653075787851</v>
      </c>
      <c r="H39" s="13" t="s">
        <v>73</v>
      </c>
      <c r="I39" s="9">
        <v>110</v>
      </c>
      <c r="J39" s="9">
        <v>195</v>
      </c>
      <c r="K39" s="9">
        <v>195</v>
      </c>
      <c r="L39" s="9">
        <v>189</v>
      </c>
      <c r="M39" s="9">
        <v>210</v>
      </c>
      <c r="N39" s="9">
        <v>214</v>
      </c>
      <c r="O39" s="9">
        <v>214</v>
      </c>
      <c r="P39" s="9">
        <v>228</v>
      </c>
      <c r="Q39" s="9">
        <v>256</v>
      </c>
    </row>
    <row r="40" spans="1:27" x14ac:dyDescent="0.25">
      <c r="A40" s="9">
        <f t="shared" si="6"/>
        <v>39</v>
      </c>
      <c r="B40" s="9">
        <f t="array" ref="B40">IF(C40="",0,IF(OR(C40=Country_Comparison!$S$10:$S$29),1,0))</f>
        <v>0</v>
      </c>
      <c r="C40" s="9" t="str">
        <f>IF(H40="","",H40)</f>
        <v>Poland</v>
      </c>
      <c r="D40" s="6">
        <f>MAX(I40:CL40)</f>
        <v>251</v>
      </c>
      <c r="E40" s="6">
        <f>IF(COUNTIF(I40:XFD40,"&gt;"&amp;0)=0,,HLOOKUP(COUNTIF(I40:XFD40,"&gt;"&amp;0)-1,I$1:XFD40,A40+1,FALSE))</f>
        <v>251</v>
      </c>
      <c r="F40" s="7">
        <f>IF(COUNTIF(I40:XFD40,"&gt;"&amp;0)=0,,HLOOKUP(COUNTIF(I40:XFD40,"&gt;"&amp;0)-MIN($F$1+1,COUNTIF(I40:XFD40,"&gt;"&amp;0)),I$1:XFD40,A40+1,FALSE))</f>
        <v>103</v>
      </c>
      <c r="G40" s="8">
        <f>IF(COUNTIF(I40:XFD40,"&gt;"&amp;0)=0,,(E40/F40)^(1/MIN(COUNTIF(I40:XFD40,"&gt;"&amp;0)-1,$F$1)))</f>
        <v>1.2494219292217132</v>
      </c>
      <c r="H40" s="13" t="s">
        <v>137</v>
      </c>
      <c r="I40" s="9">
        <v>103</v>
      </c>
      <c r="J40" s="9">
        <v>119</v>
      </c>
      <c r="K40" s="9">
        <v>177</v>
      </c>
      <c r="L40" s="9">
        <v>238</v>
      </c>
      <c r="M40" s="9">
        <v>251</v>
      </c>
    </row>
    <row r="41" spans="1:27" x14ac:dyDescent="0.25">
      <c r="A41" s="9">
        <f t="shared" si="6"/>
        <v>40</v>
      </c>
      <c r="B41" s="9">
        <f t="array" ref="B41">IF(C41="",0,IF(OR(C41=Country_Comparison!$S$10:$S$29),1,0))</f>
        <v>0</v>
      </c>
      <c r="C41" s="9" t="str">
        <f>IF(H41="","",H41)</f>
        <v>Iceland</v>
      </c>
      <c r="D41" s="6">
        <f>MAX(I41:CL41)</f>
        <v>250</v>
      </c>
      <c r="E41" s="6">
        <f>IF(COUNTIF(I41:XFD41,"&gt;"&amp;0)=0,,HLOOKUP(COUNTIF(I41:XFD41,"&gt;"&amp;0)-1,I$1:XFD41,A41+1,FALSE))</f>
        <v>250</v>
      </c>
      <c r="F41" s="7">
        <f>IF(COUNTIF(I41:XFD41,"&gt;"&amp;0)=0,,HLOOKUP(COUNTIF(I41:XFD41,"&gt;"&amp;0)-MIN($F$1+1,COUNTIF(I41:XFD41,"&gt;"&amp;0)),I$1:XFD41,A41+1,FALSE))</f>
        <v>134</v>
      </c>
      <c r="G41" s="8">
        <f>IF(COUNTIF(I41:XFD41,"&gt;"&amp;0)=0,,(E41/F41)^(1/MIN(COUNTIF(I41:XFD41,"&gt;"&amp;0)-1,$F$1)))</f>
        <v>1.1328360005311806</v>
      </c>
      <c r="H41" s="13" t="s">
        <v>92</v>
      </c>
      <c r="I41" s="9">
        <v>103</v>
      </c>
      <c r="J41" s="9">
        <v>134</v>
      </c>
      <c r="K41" s="9">
        <v>156</v>
      </c>
      <c r="L41" s="9">
        <v>171</v>
      </c>
      <c r="M41" s="9">
        <v>180</v>
      </c>
      <c r="N41" s="9">
        <v>220</v>
      </c>
      <c r="O41" s="9">
        <v>250</v>
      </c>
    </row>
    <row r="42" spans="1:27" x14ac:dyDescent="0.25">
      <c r="A42" s="9">
        <f t="shared" si="6"/>
        <v>41</v>
      </c>
      <c r="B42" s="9">
        <f t="array" ref="B42">IF(C42="",0,IF(OR(C42=Country_Comparison!$S$10:$S$29),1,0))</f>
        <v>0</v>
      </c>
      <c r="C42" s="9" t="str">
        <f>IF(H42="","",H42)</f>
        <v>Chile</v>
      </c>
      <c r="D42" s="6">
        <f>MAX(I42:CL42)</f>
        <v>238</v>
      </c>
      <c r="E42" s="6">
        <f>IF(COUNTIF(I42:XFD42,"&gt;"&amp;0)=0,,HLOOKUP(COUNTIF(I42:XFD42,"&gt;"&amp;0)-1,I$1:XFD42,A42+1,FALSE))</f>
        <v>238</v>
      </c>
      <c r="F42" s="7">
        <f>IF(COUNTIF(I42:XFD42,"&gt;"&amp;0)=0,,HLOOKUP(COUNTIF(I42:XFD42,"&gt;"&amp;0)-MIN($F$1+1,COUNTIF(I42:XFD42,"&gt;"&amp;0)),I$1:XFD42,A42+1,FALSE))</f>
        <v>155</v>
      </c>
      <c r="G42" s="8">
        <f>IF(COUNTIF(I42:XFD42,"&gt;"&amp;0)=0,,(E42/F42)^(1/MIN(COUNTIF(I42:XFD42,"&gt;"&amp;0)-1,$F$1)))</f>
        <v>1.2391464283803355</v>
      </c>
      <c r="H42" s="13" t="s">
        <v>124</v>
      </c>
      <c r="I42" s="9">
        <v>155</v>
      </c>
      <c r="J42" s="9">
        <v>201</v>
      </c>
      <c r="K42" s="9">
        <v>238</v>
      </c>
    </row>
    <row r="43" spans="1:27" x14ac:dyDescent="0.25">
      <c r="A43" s="9">
        <f t="shared" si="6"/>
        <v>42</v>
      </c>
      <c r="B43" s="9">
        <f t="array" ref="B43">IF(C43="",0,IF(OR(C43=Country_Comparison!$S$10:$S$29),1,0))</f>
        <v>0</v>
      </c>
      <c r="C43" s="9" t="str">
        <f>IF(H43="","",H43)</f>
        <v>Indonesia</v>
      </c>
      <c r="D43" s="6">
        <f>MAX(I43:CL43)</f>
        <v>227</v>
      </c>
      <c r="E43" s="6">
        <f>IF(COUNTIF(I43:XFD43,"&gt;"&amp;0)=0,,HLOOKUP(COUNTIF(I43:XFD43,"&gt;"&amp;0)-1,I$1:XFD43,A43+1,FALSE))</f>
        <v>227</v>
      </c>
      <c r="F43" s="7">
        <f>IF(COUNTIF(I43:XFD43,"&gt;"&amp;0)=0,,HLOOKUP(COUNTIF(I43:XFD43,"&gt;"&amp;0)-MIN($F$1+1,COUNTIF(I43:XFD43,"&gt;"&amp;0)),I$1:XFD43,A43+1,FALSE))</f>
        <v>117</v>
      </c>
      <c r="G43" s="8">
        <f>IF(COUNTIF(I43:XFD43,"&gt;"&amp;0)=0,,(E43/F43)^(1/MIN(COUNTIF(I43:XFD43,"&gt;"&amp;0)-1,$F$1)))</f>
        <v>1.2472303349333298</v>
      </c>
      <c r="H43" s="13" t="s">
        <v>107</v>
      </c>
      <c r="I43" s="9">
        <v>117</v>
      </c>
      <c r="J43" s="9">
        <v>134</v>
      </c>
      <c r="K43" s="9">
        <v>172</v>
      </c>
      <c r="L43" s="9">
        <v>227</v>
      </c>
    </row>
    <row r="44" spans="1:27" x14ac:dyDescent="0.25">
      <c r="A44" s="9">
        <f t="shared" si="6"/>
        <v>43</v>
      </c>
      <c r="B44" s="9">
        <f t="array" ref="B44">IF(C44="",0,IF(OR(C44=Country_Comparison!$S$10:$S$29),1,0))</f>
        <v>0</v>
      </c>
      <c r="C44" s="9" t="str">
        <f>IF(H44="","",H44)</f>
        <v>Thailand</v>
      </c>
      <c r="D44" s="6">
        <f>MAX(I44:CL44)</f>
        <v>212</v>
      </c>
      <c r="E44" s="6">
        <f>IF(COUNTIF(I44:XFD44,"&gt;"&amp;0)=0,,HLOOKUP(COUNTIF(I44:XFD44,"&gt;"&amp;0)-1,I$1:XFD44,A44+1,FALSE))</f>
        <v>212</v>
      </c>
      <c r="F44" s="7">
        <f>IF(COUNTIF(I44:XFD44,"&gt;"&amp;0)=0,,HLOOKUP(COUNTIF(I44:XFD44,"&gt;"&amp;0)-MIN($F$1+1,COUNTIF(I44:XFD44,"&gt;"&amp;0)),I$1:XFD44,A44+1,FALSE))</f>
        <v>114</v>
      </c>
      <c r="G44" s="8">
        <f>IF(COUNTIF(I44:XFD44,"&gt;"&amp;0)=0,,(E44/F44)^(1/MIN(COUNTIF(I44:XFD44,"&gt;"&amp;0)-1,$F$1)))</f>
        <v>1.2297316097171682</v>
      </c>
      <c r="H44" s="13" t="s">
        <v>35</v>
      </c>
      <c r="I44" s="9">
        <v>114</v>
      </c>
      <c r="J44" s="9">
        <v>147</v>
      </c>
      <c r="K44" s="9">
        <v>177</v>
      </c>
      <c r="L44" s="9">
        <v>212</v>
      </c>
    </row>
    <row r="45" spans="1:27" x14ac:dyDescent="0.25">
      <c r="A45" s="9">
        <f t="shared" si="6"/>
        <v>44</v>
      </c>
      <c r="B45" s="9">
        <f t="array" ref="B45">IF(C45="",0,IF(OR(C45=Country_Comparison!$S$10:$S$29),1,0))</f>
        <v>0</v>
      </c>
      <c r="C45" s="9" t="str">
        <f>IF(H45="","",H45)</f>
        <v>Luxembourg</v>
      </c>
      <c r="D45" s="6">
        <f>MAX(I45:CL45)</f>
        <v>203</v>
      </c>
      <c r="E45" s="6">
        <f>IF(COUNTIF(I45:XFD45,"&gt;"&amp;0)=0,,HLOOKUP(COUNTIF(I45:XFD45,"&gt;"&amp;0)-1,I$1:XFD45,A45+1,FALSE))</f>
        <v>203</v>
      </c>
      <c r="F45" s="7">
        <f>IF(COUNTIF(I45:XFD45,"&gt;"&amp;0)=0,,HLOOKUP(COUNTIF(I45:XFD45,"&gt;"&amp;0)-MIN($F$1+1,COUNTIF(I45:XFD45,"&gt;"&amp;0)),I$1:XFD45,A45+1,FALSE))</f>
        <v>140</v>
      </c>
      <c r="G45" s="8">
        <f>IF(COUNTIF(I45:XFD45,"&gt;"&amp;0)=0,,(E45/F45)^(1/MIN(COUNTIF(I45:XFD45,"&gt;"&amp;0)-1,$F$1)))</f>
        <v>1.45</v>
      </c>
      <c r="H45" s="13" t="s">
        <v>99</v>
      </c>
      <c r="I45" s="9">
        <v>140</v>
      </c>
      <c r="J45" s="9">
        <v>203</v>
      </c>
    </row>
    <row r="46" spans="1:27" x14ac:dyDescent="0.25">
      <c r="A46" s="9">
        <f t="shared" si="6"/>
        <v>45</v>
      </c>
      <c r="B46" s="9">
        <f t="array" ref="B46">IF(C46="",0,IF(OR(C46=Country_Comparison!$S$10:$S$29),1,0))</f>
        <v>0</v>
      </c>
      <c r="C46" s="9" t="str">
        <f>IF(H46="","",H46)</f>
        <v>Philippines</v>
      </c>
      <c r="D46" s="6">
        <f>MAX(I46:CL46)</f>
        <v>202</v>
      </c>
      <c r="E46" s="6">
        <f>IF(COUNTIF(I46:XFD46,"&gt;"&amp;0)=0,,HLOOKUP(COUNTIF(I46:XFD46,"&gt;"&amp;0)-1,I$1:XFD46,A46+1,FALSE))</f>
        <v>202</v>
      </c>
      <c r="F46" s="7">
        <f>IF(COUNTIF(I46:XFD46,"&gt;"&amp;0)=0,,HLOOKUP(COUNTIF(I46:XFD46,"&gt;"&amp;0)-MIN($F$1+1,COUNTIF(I46:XFD46,"&gt;"&amp;0)),I$1:XFD46,A46+1,FALSE))</f>
        <v>111</v>
      </c>
      <c r="G46" s="8">
        <f>IF(COUNTIF(I46:XFD46,"&gt;"&amp;0)=0,,(E46/F46)^(1/MIN(COUNTIF(I46:XFD46,"&gt;"&amp;0)-1,$F$1)))</f>
        <v>1.161467595524136</v>
      </c>
      <c r="H46" s="13" t="s">
        <v>56</v>
      </c>
      <c r="I46" s="9">
        <v>111</v>
      </c>
      <c r="J46" s="9">
        <v>140</v>
      </c>
      <c r="K46" s="9">
        <v>142</v>
      </c>
      <c r="L46" s="9">
        <v>187</v>
      </c>
      <c r="M46" s="9">
        <v>202</v>
      </c>
    </row>
    <row r="47" spans="1:27" x14ac:dyDescent="0.25">
      <c r="A47" s="9">
        <f t="shared" si="6"/>
        <v>46</v>
      </c>
      <c r="B47" s="9">
        <f t="array" ref="B47">IF(C47="",0,IF(OR(C47=Country_Comparison!$S$10:$S$29),1,0))</f>
        <v>0</v>
      </c>
      <c r="C47" s="9" t="str">
        <f>IF(H47="","",H47)</f>
        <v>Egypt</v>
      </c>
      <c r="D47" s="6">
        <f>MAX(I47:CL47)</f>
        <v>196</v>
      </c>
      <c r="E47" s="6">
        <f>IF(COUNTIF(I47:XFD47,"&gt;"&amp;0)=0,,HLOOKUP(COUNTIF(I47:XFD47,"&gt;"&amp;0)-1,I$1:XFD47,A47+1,FALSE))</f>
        <v>196</v>
      </c>
      <c r="F47" s="7">
        <f>IF(COUNTIF(I47:XFD47,"&gt;"&amp;0)=0,,HLOOKUP(COUNTIF(I47:XFD47,"&gt;"&amp;0)-MIN($F$1+1,COUNTIF(I47:XFD47,"&gt;"&amp;0)),I$1:XFD47,A47+1,FALSE))</f>
        <v>109</v>
      </c>
      <c r="G47" s="8">
        <f>IF(COUNTIF(I47:XFD47,"&gt;"&amp;0)=0,,(E47/F47)^(1/MIN(COUNTIF(I47:XFD47,"&gt;"&amp;0)-1,$F$1)))</f>
        <v>1.1579968908894411</v>
      </c>
      <c r="H47" s="13" t="s">
        <v>65</v>
      </c>
      <c r="I47" s="9">
        <v>109</v>
      </c>
      <c r="J47" s="9">
        <v>110</v>
      </c>
      <c r="K47" s="9">
        <v>150</v>
      </c>
      <c r="L47" s="9">
        <v>196</v>
      </c>
      <c r="M47" s="9">
        <v>196</v>
      </c>
    </row>
    <row r="48" spans="1:27" x14ac:dyDescent="0.25">
      <c r="A48" s="9">
        <f t="shared" si="6"/>
        <v>47</v>
      </c>
      <c r="B48" s="9">
        <f t="array" ref="B48">IF(C48="",0,IF(OR(C48=Country_Comparison!$S$10:$S$29),1,0))</f>
        <v>0</v>
      </c>
      <c r="C48" s="9" t="str">
        <f>IF(H48="","",H48)</f>
        <v>Saudi Arabia</v>
      </c>
      <c r="D48" s="6">
        <f>MAX(I48:CL48)</f>
        <v>171</v>
      </c>
      <c r="E48" s="6">
        <f>IF(COUNTIF(I48:XFD48,"&gt;"&amp;0)=0,,HLOOKUP(COUNTIF(I48:XFD48,"&gt;"&amp;0)-1,I$1:XFD48,A48+1,FALSE))</f>
        <v>171</v>
      </c>
      <c r="F48" s="7">
        <f>IF(COUNTIF(I48:XFD48,"&gt;"&amp;0)=0,,HLOOKUP(COUNTIF(I48:XFD48,"&gt;"&amp;0)-MIN($F$1+1,COUNTIF(I48:XFD48,"&gt;"&amp;0)),I$1:XFD48,A48+1,FALSE))</f>
        <v>103</v>
      </c>
      <c r="G48" s="8">
        <f>IF(COUNTIF(I48:XFD48,"&gt;"&amp;0)=0,,(E48/F48)^(1/MIN(COUNTIF(I48:XFD48,"&gt;"&amp;0)-1,$F$1)))</f>
        <v>1.1351146307263462</v>
      </c>
      <c r="H48" s="13" t="s">
        <v>113</v>
      </c>
      <c r="I48" s="9">
        <v>103</v>
      </c>
      <c r="J48" s="9">
        <v>103</v>
      </c>
      <c r="K48" s="9">
        <v>118</v>
      </c>
      <c r="L48" s="9">
        <v>171</v>
      </c>
      <c r="M48" s="9">
        <v>171</v>
      </c>
    </row>
    <row r="49" spans="1:14" x14ac:dyDescent="0.25">
      <c r="A49" s="9">
        <f t="shared" si="6"/>
        <v>48</v>
      </c>
      <c r="B49" s="9">
        <f t="array" ref="B49">IF(C49="",0,IF(OR(C49=Country_Comparison!$S$10:$S$29),1,0))</f>
        <v>0</v>
      </c>
      <c r="C49" s="9" t="str">
        <f>IF(H49="","",H49)</f>
        <v>Iraq</v>
      </c>
      <c r="D49" s="6">
        <f>MAX(I49:CL49)</f>
        <v>164</v>
      </c>
      <c r="E49" s="6">
        <f>IF(COUNTIF(I49:XFD49,"&gt;"&amp;0)=0,,HLOOKUP(COUNTIF(I49:XFD49,"&gt;"&amp;0)-1,I$1:XFD49,A49+1,FALSE))</f>
        <v>164</v>
      </c>
      <c r="F49" s="7">
        <f>IF(COUNTIF(I49:XFD49,"&gt;"&amp;0)=0,,HLOOKUP(COUNTIF(I49:XFD49,"&gt;"&amp;0)-MIN($F$1+1,COUNTIF(I49:XFD49,"&gt;"&amp;0)),I$1:XFD49,A49+1,FALSE))</f>
        <v>101</v>
      </c>
      <c r="G49" s="8">
        <f>IF(COUNTIF(I49:XFD49,"&gt;"&amp;0)=0,,(E49/F49)^(1/MIN(COUNTIF(I49:XFD49,"&gt;"&amp;0)-1,$F$1)))</f>
        <v>1.1018043809198814</v>
      </c>
      <c r="H49" s="15" t="s">
        <v>70</v>
      </c>
      <c r="I49" s="9">
        <v>101</v>
      </c>
      <c r="J49" s="9">
        <v>110</v>
      </c>
      <c r="K49" s="9">
        <v>116</v>
      </c>
      <c r="L49" s="9">
        <v>124</v>
      </c>
      <c r="M49" s="9">
        <v>154</v>
      </c>
      <c r="N49" s="9">
        <v>164</v>
      </c>
    </row>
    <row r="50" spans="1:14" x14ac:dyDescent="0.25">
      <c r="A50" s="9">
        <f t="shared" si="6"/>
        <v>49</v>
      </c>
      <c r="B50" s="9">
        <f t="array" ref="B50">IF(C50="",0,IF(OR(C50=Country_Comparison!$S$10:$S$29),1,0))</f>
        <v>0</v>
      </c>
      <c r="C50" s="9" t="str">
        <f>IF(H50="","",H50)</f>
        <v>India</v>
      </c>
      <c r="D50" s="6">
        <f>MAX(I50:CL50)</f>
        <v>156</v>
      </c>
      <c r="E50" s="6">
        <f>IF(COUNTIF(I50:XFD50,"&gt;"&amp;0)=0,,HLOOKUP(COUNTIF(I50:XFD50,"&gt;"&amp;0)-1,I$1:XFD50,A50+1,FALSE))</f>
        <v>156</v>
      </c>
      <c r="F50" s="7">
        <f>IF(COUNTIF(I50:XFD50,"&gt;"&amp;0)=0,,HLOOKUP(COUNTIF(I50:XFD50,"&gt;"&amp;0)-MIN($F$1+1,COUNTIF(I50:XFD50,"&gt;"&amp;0)),I$1:XFD50,A50+1,FALSE))</f>
        <v>102</v>
      </c>
      <c r="G50" s="8">
        <f>IF(COUNTIF(I50:XFD50,"&gt;"&amp;0)=0,,(E50/F50)^(1/MIN(COUNTIF(I50:XFD50,"&gt;"&amp;0)-1,$F$1)))</f>
        <v>1.1120673922032265</v>
      </c>
      <c r="H50" s="13" t="s">
        <v>57</v>
      </c>
      <c r="I50" s="9">
        <v>102</v>
      </c>
      <c r="J50" s="9">
        <v>113</v>
      </c>
      <c r="K50" s="9">
        <v>119</v>
      </c>
      <c r="L50" s="9">
        <v>142</v>
      </c>
      <c r="M50" s="9">
        <v>156</v>
      </c>
    </row>
    <row r="51" spans="1:14" x14ac:dyDescent="0.25">
      <c r="A51" s="9">
        <f t="shared" si="6"/>
        <v>50</v>
      </c>
      <c r="B51" s="9">
        <f t="array" ref="B51">IF(C51="",0,IF(OR(C51=Country_Comparison!$S$10:$S$29),1,0))</f>
        <v>0</v>
      </c>
      <c r="C51" s="9" t="str">
        <f>IF(H51="","",H51)</f>
        <v>Russia</v>
      </c>
      <c r="D51" s="6">
        <f>MAX(I51:CL51)</f>
        <v>147</v>
      </c>
      <c r="E51" s="6">
        <f>IF(COUNTIF(I51:XFD51,"&gt;"&amp;0)=0,,HLOOKUP(COUNTIF(I51:XFD51,"&gt;"&amp;0)-1,I$1:XFD51,A51+1,FALSE))</f>
        <v>147</v>
      </c>
      <c r="F51" s="7">
        <f>IF(COUNTIF(I51:XFD51,"&gt;"&amp;0)=0,,HLOOKUP(COUNTIF(I51:XFD51,"&gt;"&amp;0)-MIN($F$1+1,COUNTIF(I51:XFD51,"&gt;"&amp;0)),I$1:XFD51,A51+1,FALSE))</f>
        <v>114</v>
      </c>
      <c r="G51" s="8">
        <f>IF(COUNTIF(I51:XFD51,"&gt;"&amp;0)=0,,(E51/F51)^(1/MIN(COUNTIF(I51:XFD51,"&gt;"&amp;0)-1,$F$1)))</f>
        <v>1.2894736842105263</v>
      </c>
      <c r="H51" s="13" t="s">
        <v>344</v>
      </c>
      <c r="I51" s="9">
        <v>114</v>
      </c>
      <c r="J51" s="9">
        <v>147</v>
      </c>
    </row>
    <row r="52" spans="1:14" x14ac:dyDescent="0.25">
      <c r="A52" s="9">
        <f t="shared" si="6"/>
        <v>51</v>
      </c>
      <c r="B52" s="9">
        <f t="array" ref="B52">IF(C52="",0,IF(OR(C52=Country_Comparison!$S$10:$S$29),1,0))</f>
        <v>0</v>
      </c>
      <c r="C52" s="9" t="str">
        <f>IF(H52="","",H52)</f>
        <v>Peru</v>
      </c>
      <c r="D52" s="6">
        <f>MAX(I52:CL52)</f>
        <v>145</v>
      </c>
      <c r="E52" s="6">
        <f>IF(COUNTIF(I52:XFD52,"&gt;"&amp;0)=0,,HLOOKUP(COUNTIF(I52:XFD52,"&gt;"&amp;0)-1,I$1:XFD52,A52+1,FALSE))</f>
        <v>145</v>
      </c>
      <c r="F52" s="7">
        <f>IF(COUNTIF(I52:XFD52,"&gt;"&amp;0)=0,,HLOOKUP(COUNTIF(I52:XFD52,"&gt;"&amp;0)-MIN($F$1+1,COUNTIF(I52:XFD52,"&gt;"&amp;0)),I$1:XFD52,A52+1,FALSE))</f>
        <v>117</v>
      </c>
      <c r="G52" s="8">
        <f>IF(COUNTIF(I52:XFD52,"&gt;"&amp;0)=0,,(E52/F52)^(1/MIN(COUNTIF(I52:XFD52,"&gt;"&amp;0)-1,$F$1)))</f>
        <v>1.2393162393162394</v>
      </c>
      <c r="H52" s="13" t="s">
        <v>160</v>
      </c>
      <c r="I52" s="9">
        <v>117</v>
      </c>
      <c r="J52" s="9">
        <v>145</v>
      </c>
    </row>
    <row r="53" spans="1:14" x14ac:dyDescent="0.25">
      <c r="A53" s="9">
        <f t="shared" si="6"/>
        <v>52</v>
      </c>
      <c r="B53" s="9">
        <f t="array" ref="B53">IF(C53="",0,IF(OR(C53=Country_Comparison!$S$10:$S$29),1,0))</f>
        <v>0</v>
      </c>
      <c r="C53" s="9" t="str">
        <f>IF(H53="","",H53)</f>
        <v>Kuwait</v>
      </c>
      <c r="D53" s="6">
        <f>MAX(I53:CL53)</f>
        <v>142</v>
      </c>
      <c r="E53" s="6">
        <f>IF(COUNTIF(I53:XFD53,"&gt;"&amp;0)=0,,HLOOKUP(COUNTIF(I53:XFD53,"&gt;"&amp;0)-1,I$1:XFD53,A53+1,FALSE))</f>
        <v>142</v>
      </c>
      <c r="F53" s="7">
        <f>IF(COUNTIF(I53:XFD53,"&gt;"&amp;0)=0,,HLOOKUP(COUNTIF(I53:XFD53,"&gt;"&amp;0)-MIN($F$1+1,COUNTIF(I53:XFD53,"&gt;"&amp;0)),I$1:XFD53,A53+1,FALSE))</f>
        <v>104</v>
      </c>
      <c r="G53" s="8">
        <f>IF(COUNTIF(I53:XFD53,"&gt;"&amp;0)=0,,(E53/F53)^(1/MIN(COUNTIF(I53:XFD53,"&gt;"&amp;0)-1,$F$1)))</f>
        <v>1.0809702739442117</v>
      </c>
      <c r="H53" s="13" t="s">
        <v>74</v>
      </c>
      <c r="I53" s="9">
        <v>104</v>
      </c>
      <c r="J53" s="9">
        <v>112</v>
      </c>
      <c r="K53" s="9">
        <v>123</v>
      </c>
      <c r="L53" s="9">
        <v>130</v>
      </c>
      <c r="M53" s="9">
        <v>142</v>
      </c>
    </row>
    <row r="54" spans="1:14" x14ac:dyDescent="0.25">
      <c r="A54" s="9">
        <f t="shared" si="6"/>
        <v>53</v>
      </c>
      <c r="B54" s="9">
        <f t="array" ref="B54">IF(C54="",0,IF(OR(C54=Country_Comparison!$S$10:$S$29),1,0))</f>
        <v>0</v>
      </c>
      <c r="C54" s="9" t="str">
        <f>IF(H54="","",H54)</f>
        <v>Lebanon</v>
      </c>
      <c r="D54" s="6">
        <f>MAX(I54:CL54)</f>
        <v>133</v>
      </c>
      <c r="E54" s="6">
        <f>IF(COUNTIF(I54:XFD54,"&gt;"&amp;0)=0,,HLOOKUP(COUNTIF(I54:XFD54,"&gt;"&amp;0)-1,I$1:XFD54,A54+1,FALSE))</f>
        <v>133</v>
      </c>
      <c r="F54" s="7">
        <f>IF(COUNTIF(I54:XFD54,"&gt;"&amp;0)=0,,HLOOKUP(COUNTIF(I54:XFD54,"&gt;"&amp;0)-MIN($F$1+1,COUNTIF(I54:XFD54,"&gt;"&amp;0)),I$1:XFD54,A54+1,FALSE))</f>
        <v>110</v>
      </c>
      <c r="G54" s="8">
        <f>IF(COUNTIF(I54:XFD54,"&gt;"&amp;0)=0,,(E54/F54)^(1/MIN(COUNTIF(I54:XFD54,"&gt;"&amp;0)-1,$F$1)))</f>
        <v>1.0653353023273946</v>
      </c>
      <c r="H54" s="13" t="s">
        <v>67</v>
      </c>
      <c r="I54" s="9">
        <v>110</v>
      </c>
      <c r="J54" s="9">
        <v>99</v>
      </c>
      <c r="K54" s="9">
        <v>120</v>
      </c>
      <c r="L54" s="9">
        <v>133</v>
      </c>
    </row>
    <row r="55" spans="1:14" x14ac:dyDescent="0.25">
      <c r="A55" s="9">
        <f t="shared" si="6"/>
        <v>54</v>
      </c>
      <c r="B55" s="9">
        <f t="array" ref="B55">IF(C55="",0,IF(OR(C55=Country_Comparison!$S$10:$S$29),1,0))</f>
        <v>0</v>
      </c>
      <c r="C55" s="9" t="str">
        <f>IF(H55="","",H55)</f>
        <v>San Marino</v>
      </c>
      <c r="D55" s="6">
        <f>MAX(I55:CL55)</f>
        <v>119</v>
      </c>
      <c r="E55" s="6">
        <f>IF(COUNTIF(I55:XFD55,"&gt;"&amp;0)=0,,HLOOKUP(COUNTIF(I55:XFD55,"&gt;"&amp;0)-1,I$1:XFD55,A55+1,FALSE))</f>
        <v>119</v>
      </c>
      <c r="F55" s="7">
        <f>IF(COUNTIF(I55:XFD55,"&gt;"&amp;0)=0,,HLOOKUP(COUNTIF(I55:XFD55,"&gt;"&amp;0)-MIN($F$1+1,COUNTIF(I55:XFD55,"&gt;"&amp;0)),I$1:XFD55,A55+1,FALSE))</f>
        <v>101</v>
      </c>
      <c r="G55" s="8">
        <f>IF(COUNTIF(I55:XFD55,"&gt;"&amp;0)=0,,(E55/F55)^(1/MIN(COUNTIF(I55:XFD55,"&gt;"&amp;0)-1,$F$1)))</f>
        <v>1.0561895409954389</v>
      </c>
      <c r="H55" s="13" t="s">
        <v>90</v>
      </c>
      <c r="I55" s="9">
        <v>101</v>
      </c>
      <c r="J55" s="9">
        <v>109</v>
      </c>
      <c r="K55" s="9">
        <v>109</v>
      </c>
      <c r="L55" s="9">
        <v>119</v>
      </c>
    </row>
    <row r="56" spans="1:14" x14ac:dyDescent="0.25">
      <c r="A56" s="9">
        <f t="shared" si="6"/>
        <v>55</v>
      </c>
      <c r="B56" s="9">
        <f t="array" ref="B56">IF(C56="",0,IF(OR(C56=Country_Comparison!$S$10:$S$29),1,0))</f>
        <v>0</v>
      </c>
      <c r="C56" s="9" t="str">
        <f>IF(H56="","",H56)</f>
        <v>South Africa</v>
      </c>
      <c r="D56" s="6">
        <f>MAX(I56:CL56)</f>
        <v>116</v>
      </c>
      <c r="E56" s="6">
        <f>IF(COUNTIF(I56:XFD56,"&gt;"&amp;0)=0,,HLOOKUP(COUNTIF(I56:XFD56,"&gt;"&amp;0)-1,I$1:XFD56,A56+1,FALSE))</f>
        <v>116</v>
      </c>
      <c r="F56" s="7">
        <f>IF(COUNTIF(I56:XFD56,"&gt;"&amp;0)=0,,HLOOKUP(COUNTIF(I56:XFD56,"&gt;"&amp;0)-MIN($F$1+1,COUNTIF(I56:XFD56,"&gt;"&amp;0)),I$1:XFD56,A56+1,FALSE))</f>
        <v>116</v>
      </c>
      <c r="G56" s="8" t="e">
        <f>IF(COUNTIF(I56:XFD56,"&gt;"&amp;0)=0,,(E56/F56)^(1/MIN(COUNTIF(I56:XFD56,"&gt;"&amp;0)-1,$F$1)))</f>
        <v>#DIV/0!</v>
      </c>
      <c r="H56" s="13" t="s">
        <v>145</v>
      </c>
      <c r="I56" s="9">
        <v>116</v>
      </c>
    </row>
    <row r="57" spans="1:14" x14ac:dyDescent="0.25">
      <c r="A57" s="9">
        <f t="shared" si="6"/>
        <v>56</v>
      </c>
      <c r="B57" s="9">
        <f t="array" ref="B57">IF(C57="",0,IF(OR(C57=Country_Comparison!$S$10:$S$29),1,0))</f>
        <v>0</v>
      </c>
      <c r="C57" s="9" t="str">
        <f>IF(H57="","",H57)</f>
        <v>United Arab Emirates</v>
      </c>
      <c r="D57" s="6">
        <f>MAX(I57:CL57)</f>
        <v>113</v>
      </c>
      <c r="E57" s="6">
        <f>IF(COUNTIF(I57:XFD57,"&gt;"&amp;0)=0,,HLOOKUP(COUNTIF(I57:XFD57,"&gt;"&amp;0)-1,I$1:XFD57,A57+1,FALSE))</f>
        <v>113</v>
      </c>
      <c r="F57" s="7">
        <f>IF(COUNTIF(I57:XFD57,"&gt;"&amp;0)=0,,HLOOKUP(COUNTIF(I57:XFD57,"&gt;"&amp;0)-MIN($F$1+1,COUNTIF(I57:XFD57,"&gt;"&amp;0)),I$1:XFD57,A57+1,FALSE))</f>
        <v>113</v>
      </c>
      <c r="G57" s="8" t="e">
        <f>IF(COUNTIF(I57:XFD57,"&gt;"&amp;0)=0,,(E57/F57)^(1/MIN(COUNTIF(I57:XFD57,"&gt;"&amp;0)-1,$F$1)))</f>
        <v>#DIV/0!</v>
      </c>
      <c r="H57" s="13" t="s">
        <v>55</v>
      </c>
      <c r="I57" s="9">
        <v>113</v>
      </c>
    </row>
    <row r="58" spans="1:14" x14ac:dyDescent="0.25">
      <c r="A58" s="9">
        <f t="shared" si="6"/>
        <v>57</v>
      </c>
      <c r="B58" s="9">
        <f t="array" ref="B58">IF(C58="",0,IF(OR(C58=Country_Comparison!$S$10:$S$29),1,0))</f>
        <v>0</v>
      </c>
      <c r="C58" s="9" t="str">
        <f>IF(H58="","",H58)</f>
        <v>Ecuador</v>
      </c>
      <c r="D58" s="6">
        <f>MAX(I58:CL58)</f>
        <v>111</v>
      </c>
      <c r="E58" s="6">
        <f>IF(COUNTIF(I58:XFD58,"&gt;"&amp;0)=0,,HLOOKUP(COUNTIF(I58:XFD58,"&gt;"&amp;0)-1,I$1:XFD58,A58+1,FALSE))</f>
        <v>111</v>
      </c>
      <c r="F58" s="7">
        <f>IF(COUNTIF(I58:XFD58,"&gt;"&amp;0)=0,,HLOOKUP(COUNTIF(I58:XFD58,"&gt;"&amp;0)-MIN($F$1+1,COUNTIF(I58:XFD58,"&gt;"&amp;0)),I$1:XFD58,A58+1,FALSE))</f>
        <v>111</v>
      </c>
      <c r="G58" s="8" t="e">
        <f>IF(COUNTIF(I58:XFD58,"&gt;"&amp;0)=0,,(E58/F58)^(1/MIN(COUNTIF(I58:XFD58,"&gt;"&amp;0)-1,$F$1)))</f>
        <v>#DIV/0!</v>
      </c>
      <c r="H58" s="13" t="s">
        <v>103</v>
      </c>
      <c r="I58" s="9">
        <v>111</v>
      </c>
    </row>
    <row r="59" spans="1:14" x14ac:dyDescent="0.25">
      <c r="A59" s="9">
        <f t="shared" si="6"/>
        <v>58</v>
      </c>
      <c r="B59" s="9">
        <f t="array" ref="B59">IF(C59="",0,IF(OR(C59=Country_Comparison!$S$10:$S$29),1,0))</f>
        <v>0</v>
      </c>
      <c r="C59" s="9" t="str">
        <f>IF(H59="","",H59)</f>
        <v>Slovakia</v>
      </c>
      <c r="D59" s="6">
        <f>MAX(I59:CL59)</f>
        <v>105</v>
      </c>
      <c r="E59" s="6">
        <f>IF(COUNTIF(I59:XFD59,"&gt;"&amp;0)=0,,HLOOKUP(COUNTIF(I59:XFD59,"&gt;"&amp;0)-1,I$1:XFD59,A59+1,FALSE))</f>
        <v>105</v>
      </c>
      <c r="F59" s="7">
        <f>IF(COUNTIF(I59:XFD59,"&gt;"&amp;0)=0,,HLOOKUP(COUNTIF(I59:XFD59,"&gt;"&amp;0)-MIN($F$1+1,COUNTIF(I59:XFD59,"&gt;"&amp;0)),I$1:XFD59,A59+1,FALSE))</f>
        <v>105</v>
      </c>
      <c r="G59" s="8" t="e">
        <f>IF(COUNTIF(I59:XFD59,"&gt;"&amp;0)=0,,(E59/F59)^(1/MIN(COUNTIF(I59:XFD59,"&gt;"&amp;0)-1,$F$1)))</f>
        <v>#DIV/0!</v>
      </c>
      <c r="H59" s="13" t="s">
        <v>162</v>
      </c>
      <c r="I59" s="9">
        <v>105</v>
      </c>
    </row>
    <row r="60" spans="1:14" x14ac:dyDescent="0.25">
      <c r="A60" s="9">
        <f t="shared" si="6"/>
        <v>59</v>
      </c>
      <c r="B60" s="9">
        <f t="array" ref="B60">IF(C60="",0,IF(OR(C60=Country_Comparison!$S$10:$S$29),1,0))</f>
        <v>0</v>
      </c>
      <c r="C60" s="9" t="str">
        <f>IF(H60="","",H60)</f>
        <v>Taiwan*</v>
      </c>
      <c r="D60" s="6">
        <f>MAX(I60:CL60)</f>
        <v>100</v>
      </c>
      <c r="E60" s="6">
        <f>IF(COUNTIF(I60:XFD60,"&gt;"&amp;0)=0,,HLOOKUP(COUNTIF(I60:XFD60,"&gt;"&amp;0)-1,I$1:XFD60,A60+1,FALSE))</f>
        <v>100</v>
      </c>
      <c r="F60" s="7">
        <f>IF(COUNTIF(I60:XFD60,"&gt;"&amp;0)=0,,HLOOKUP(COUNTIF(I60:XFD60,"&gt;"&amp;0)-MIN($F$1+1,COUNTIF(I60:XFD60,"&gt;"&amp;0)),I$1:XFD60,A60+1,FALSE))</f>
        <v>100</v>
      </c>
      <c r="G60" s="8" t="e">
        <f>IF(COUNTIF(I60:XFD60,"&gt;"&amp;0)=0,,(E60/F60)^(1/MIN(COUNTIF(I60:XFD60,"&gt;"&amp;0)-1,$F$1)))</f>
        <v>#DIV/0!</v>
      </c>
      <c r="H60" s="13" t="s">
        <v>342</v>
      </c>
      <c r="I60" s="9">
        <v>100</v>
      </c>
    </row>
    <row r="61" spans="1:14" x14ac:dyDescent="0.25">
      <c r="A61" s="9">
        <f t="shared" si="6"/>
        <v>60</v>
      </c>
      <c r="B61" s="9">
        <f t="array" ref="B61">IF(C61="",0,IF(OR(C61=Country_Comparison!$S$10:$S$29),1,0))</f>
        <v>0</v>
      </c>
      <c r="C61" s="9" t="str">
        <f>IF(H61="","",H61)</f>
        <v>Taiwan*</v>
      </c>
      <c r="D61" s="6">
        <f>MAX(I61:CL61)</f>
        <v>100</v>
      </c>
      <c r="E61" s="6">
        <f>IF(COUNTIF(I61:XFD61,"&gt;"&amp;0)=0,,HLOOKUP(COUNTIF(I61:XFD61,"&gt;"&amp;0)-1,I$1:XFD61,A61+1,FALSE))</f>
        <v>100</v>
      </c>
      <c r="F61" s="7">
        <f>IF(COUNTIF(I61:XFD61,"&gt;"&amp;0)=0,,HLOOKUP(COUNTIF(I61:XFD61,"&gt;"&amp;0)-MIN($F$1+1,COUNTIF(I61:XFD61,"&gt;"&amp;0)),I$1:XFD61,A61+1,FALSE))</f>
        <v>100</v>
      </c>
      <c r="G61" s="8" t="e">
        <f>IF(COUNTIF(I61:XFD61,"&gt;"&amp;0)=0,,(E61/F61)^(1/MIN(COUNTIF(I61:XFD61,"&gt;"&amp;0)-1,$F$1)))</f>
        <v>#DIV/0!</v>
      </c>
      <c r="H61" s="13" t="s">
        <v>342</v>
      </c>
      <c r="I61" s="9">
        <v>100</v>
      </c>
    </row>
    <row r="62" spans="1:14" x14ac:dyDescent="0.25">
      <c r="A62" s="9">
        <f t="shared" si="6"/>
        <v>61</v>
      </c>
      <c r="B62" s="9">
        <f t="array" ref="B62">IF(C62="",0,IF(OR(C62=Country_Comparison!$S$10:$S$29),1,0))</f>
        <v>0</v>
      </c>
      <c r="C62" s="9" t="str">
        <f>IF(H62="","",H62)</f>
        <v>Taiwan*</v>
      </c>
      <c r="D62" s="6">
        <f>MAX(I62:CL62)</f>
        <v>100</v>
      </c>
      <c r="E62" s="6">
        <f>IF(COUNTIF(I62:XFD62,"&gt;"&amp;0)=0,,HLOOKUP(COUNTIF(I62:XFD62,"&gt;"&amp;0)-1,I$1:XFD62,A62+1,FALSE))</f>
        <v>100</v>
      </c>
      <c r="F62" s="7">
        <f>IF(COUNTIF(I62:XFD62,"&gt;"&amp;0)=0,,HLOOKUP(COUNTIF(I62:XFD62,"&gt;"&amp;0)-MIN($F$1+1,COUNTIF(I62:XFD62,"&gt;"&amp;0)),I$1:XFD62,A62+1,FALSE))</f>
        <v>100</v>
      </c>
      <c r="G62" s="8" t="e">
        <f>IF(COUNTIF(I62:XFD62,"&gt;"&amp;0)=0,,(E62/F62)^(1/MIN(COUNTIF(I62:XFD62,"&gt;"&amp;0)-1,$F$1)))</f>
        <v>#DIV/0!</v>
      </c>
      <c r="H62" s="13" t="s">
        <v>342</v>
      </c>
      <c r="I62" s="9">
        <v>100</v>
      </c>
    </row>
    <row r="63" spans="1:14" x14ac:dyDescent="0.25">
      <c r="A63" s="9">
        <f t="shared" si="6"/>
        <v>62</v>
      </c>
      <c r="B63" s="9">
        <f t="array" ref="B63">IF(C63="",0,IF(OR(C63=Country_Comparison!$S$10:$S$29),1,0))</f>
        <v>0</v>
      </c>
      <c r="C63" s="9" t="str">
        <f>IF(H63="","",H63)</f>
        <v/>
      </c>
      <c r="D63" s="6">
        <f>MAX(I63:CL63)</f>
        <v>0</v>
      </c>
      <c r="E63" s="6">
        <f>IF(COUNTIF(I63:XFD63,"&gt;"&amp;0)=0,,HLOOKUP(COUNTIF(I63:XFD63,"&gt;"&amp;0)-1,I$1:XFD63,A63+1,FALSE))</f>
        <v>0</v>
      </c>
      <c r="F63" s="7">
        <f>IF(COUNTIF(I63:XFD63,"&gt;"&amp;0)=0,,HLOOKUP(COUNTIF(I63:XFD63,"&gt;"&amp;0)-MIN($F$1+1,COUNTIF(I63:XFD63,"&gt;"&amp;0)),I$1:XFD63,A63+1,FALSE))</f>
        <v>0</v>
      </c>
      <c r="G63" s="8">
        <f>IF(COUNTIF(I63:XFD63,"&gt;"&amp;0)=0,,(E63/F63)^(1/MIN(COUNTIF(I63:XFD63,"&gt;"&amp;0)-1,$F$1)))</f>
        <v>0</v>
      </c>
    </row>
    <row r="64" spans="1:14" x14ac:dyDescent="0.25">
      <c r="A64" s="9">
        <f t="shared" si="6"/>
        <v>63</v>
      </c>
      <c r="B64" s="9">
        <f t="array" ref="B64">IF(C64="",0,IF(OR(C64=Country_Comparison!$S$10:$S$29),1,0))</f>
        <v>0</v>
      </c>
      <c r="C64" s="9" t="str">
        <f>IF(H64="","",H64)</f>
        <v/>
      </c>
      <c r="D64" s="6">
        <f>MAX(I64:CL64)</f>
        <v>0</v>
      </c>
      <c r="E64" s="6">
        <f>IF(COUNTIF(I64:XFD64,"&gt;"&amp;0)=0,,HLOOKUP(COUNTIF(I64:XFD64,"&gt;"&amp;0)-1,I$1:XFD64,A64+1,FALSE))</f>
        <v>0</v>
      </c>
      <c r="F64" s="7">
        <f>IF(COUNTIF(I64:XFD64,"&gt;"&amp;0)=0,,HLOOKUP(COUNTIF(I64:XFD64,"&gt;"&amp;0)-MIN($F$1+1,COUNTIF(I64:XFD64,"&gt;"&amp;0)),I$1:XFD64,A64+1,FALSE))</f>
        <v>0</v>
      </c>
      <c r="G64" s="8">
        <f>IF(COUNTIF(I64:XFD64,"&gt;"&amp;0)=0,,(E64/F64)^(1/MIN(COUNTIF(I64:XFD64,"&gt;"&amp;0)-1,$F$1)))</f>
        <v>0</v>
      </c>
    </row>
    <row r="65" spans="1:7" x14ac:dyDescent="0.25">
      <c r="A65" s="9">
        <f t="shared" si="6"/>
        <v>64</v>
      </c>
      <c r="B65" s="9">
        <f t="array" ref="B65">IF(C65="",0,IF(OR(C65=Country_Comparison!$S$10:$S$29),1,0))</f>
        <v>0</v>
      </c>
      <c r="C65" s="9" t="str">
        <f>IF(H65="","",H65)</f>
        <v/>
      </c>
      <c r="D65" s="6">
        <f>MAX(I65:CL65)</f>
        <v>0</v>
      </c>
      <c r="E65" s="6">
        <f>IF(COUNTIF(I65:XFD65,"&gt;"&amp;0)=0,,HLOOKUP(COUNTIF(I65:XFD65,"&gt;"&amp;0)-1,I$1:XFD65,A65+1,FALSE))</f>
        <v>0</v>
      </c>
      <c r="F65" s="7">
        <f>IF(COUNTIF(I65:XFD65,"&gt;"&amp;0)=0,,HLOOKUP(COUNTIF(I65:XFD65,"&gt;"&amp;0)-MIN($F$1+1,COUNTIF(I65:XFD65,"&gt;"&amp;0)),I$1:XFD65,A65+1,FALSE))</f>
        <v>0</v>
      </c>
      <c r="G65" s="8">
        <f>IF(COUNTIF(I65:XFD65,"&gt;"&amp;0)=0,,(E65/F65)^(1/MIN(COUNTIF(I65:XFD65,"&gt;"&amp;0)-1,$F$1)))</f>
        <v>0</v>
      </c>
    </row>
    <row r="66" spans="1:7" x14ac:dyDescent="0.25">
      <c r="A66" s="9">
        <f t="shared" si="6"/>
        <v>65</v>
      </c>
      <c r="B66" s="9">
        <f t="array" ref="B66">IF(C66="",0,IF(OR(C66=Country_Comparison!$S$10:$S$29),1,0))</f>
        <v>0</v>
      </c>
      <c r="C66" s="9" t="str">
        <f>IF(H66="","",H66)</f>
        <v/>
      </c>
      <c r="D66" s="6">
        <f>MAX(I66:CL66)</f>
        <v>0</v>
      </c>
      <c r="E66" s="6">
        <f>IF(COUNTIF(I66:XFD66,"&gt;"&amp;0)=0,,HLOOKUP(COUNTIF(I66:XFD66,"&gt;"&amp;0)-1,I$1:XFD66,A66+1,FALSE))</f>
        <v>0</v>
      </c>
      <c r="F66" s="7">
        <f>IF(COUNTIF(I66:XFD66,"&gt;"&amp;0)=0,,HLOOKUP(COUNTIF(I66:XFD66,"&gt;"&amp;0)-MIN($F$1+1,COUNTIF(I66:XFD66,"&gt;"&amp;0)),I$1:XFD66,A66+1,FALSE))</f>
        <v>0</v>
      </c>
      <c r="G66" s="8">
        <f>IF(COUNTIF(I66:XFD66,"&gt;"&amp;0)=0,,(E66/F66)^(1/MIN(COUNTIF(I66:XFD66,"&gt;"&amp;0)-1,$F$1)))</f>
        <v>0</v>
      </c>
    </row>
    <row r="67" spans="1:7" x14ac:dyDescent="0.25">
      <c r="A67" s="9">
        <f t="shared" si="6"/>
        <v>66</v>
      </c>
      <c r="B67" s="9">
        <f t="array" ref="B67">IF(C67="",0,IF(OR(C67=Country_Comparison!$S$10:$S$29),1,0))</f>
        <v>0</v>
      </c>
      <c r="C67" s="9" t="str">
        <f>IF(H67="","",H67)</f>
        <v/>
      </c>
      <c r="D67" s="6">
        <f>MAX(I67:CL67)</f>
        <v>0</v>
      </c>
      <c r="E67" s="6">
        <f>IF(COUNTIF(I67:XFD67,"&gt;"&amp;0)=0,,HLOOKUP(COUNTIF(I67:XFD67,"&gt;"&amp;0)-1,I$1:XFD67,A67+1,FALSE))</f>
        <v>0</v>
      </c>
      <c r="F67" s="7">
        <f>IF(COUNTIF(I67:XFD67,"&gt;"&amp;0)=0,,HLOOKUP(COUNTIF(I67:XFD67,"&gt;"&amp;0)-MIN($F$1+1,COUNTIF(I67:XFD67,"&gt;"&amp;0)),I$1:XFD67,A67+1,FALSE))</f>
        <v>0</v>
      </c>
      <c r="G67" s="8">
        <f>IF(COUNTIF(I67:XFD67,"&gt;"&amp;0)=0,,(E67/F67)^(1/MIN(COUNTIF(I67:XFD67,"&gt;"&amp;0)-1,$F$1)))</f>
        <v>0</v>
      </c>
    </row>
    <row r="68" spans="1:7" x14ac:dyDescent="0.25">
      <c r="A68" s="9">
        <f t="shared" si="6"/>
        <v>67</v>
      </c>
      <c r="B68" s="9">
        <f t="array" ref="B68">IF(C68="",0,IF(OR(C68=Country_Comparison!$S$10:$S$29),1,0))</f>
        <v>0</v>
      </c>
      <c r="C68" s="9" t="str">
        <f>IF(H68="","",H68)</f>
        <v/>
      </c>
      <c r="D68" s="6">
        <f>MAX(I68:CL68)</f>
        <v>0</v>
      </c>
      <c r="E68" s="6">
        <f>IF(COUNTIF(I68:XFD68,"&gt;"&amp;0)=0,,HLOOKUP(COUNTIF(I68:XFD68,"&gt;"&amp;0)-1,I$1:XFD68,A68+1,FALSE))</f>
        <v>0</v>
      </c>
      <c r="F68" s="7">
        <f>IF(COUNTIF(I68:XFD68,"&gt;"&amp;0)=0,,HLOOKUP(COUNTIF(I68:XFD68,"&gt;"&amp;0)-MIN($F$1+1,COUNTIF(I68:XFD68,"&gt;"&amp;0)),I$1:XFD68,A68+1,FALSE))</f>
        <v>0</v>
      </c>
      <c r="G68" s="8">
        <f>IF(COUNTIF(I68:XFD68,"&gt;"&amp;0)=0,,(E68/F68)^(1/MIN(COUNTIF(I68:XFD68,"&gt;"&amp;0)-1,$F$1)))</f>
        <v>0</v>
      </c>
    </row>
    <row r="69" spans="1:7" x14ac:dyDescent="0.25">
      <c r="A69" s="9">
        <f t="shared" si="6"/>
        <v>68</v>
      </c>
      <c r="B69" s="9">
        <f t="array" ref="B69">IF(C69="",0,IF(OR(C69=Country_Comparison!$S$10:$S$29),1,0))</f>
        <v>0</v>
      </c>
      <c r="C69" s="9" t="str">
        <f>IF(H69="","",H69)</f>
        <v/>
      </c>
      <c r="D69" s="6">
        <f>MAX(I69:CL69)</f>
        <v>0</v>
      </c>
      <c r="E69" s="6">
        <f>IF(COUNTIF(I69:XFD69,"&gt;"&amp;0)=0,,HLOOKUP(COUNTIF(I69:XFD69,"&gt;"&amp;0)-1,I$1:XFD69,A69+1,FALSE))</f>
        <v>0</v>
      </c>
      <c r="F69" s="7">
        <f>IF(COUNTIF(I69:XFD69,"&gt;"&amp;0)=0,,HLOOKUP(COUNTIF(I69:XFD69,"&gt;"&amp;0)-MIN($F$1+1,COUNTIF(I69:XFD69,"&gt;"&amp;0)),I$1:XFD69,A69+1,FALSE))</f>
        <v>0</v>
      </c>
      <c r="G69" s="8">
        <f>IF(COUNTIF(I69:XFD69,"&gt;"&amp;0)=0,,(E69/F69)^(1/MIN(COUNTIF(I69:XFD69,"&gt;"&amp;0)-1,$F$1)))</f>
        <v>0</v>
      </c>
    </row>
    <row r="70" spans="1:7" x14ac:dyDescent="0.25">
      <c r="A70" s="9">
        <f t="shared" ref="A70:A133" si="7">A69+1</f>
        <v>69</v>
      </c>
      <c r="B70" s="9">
        <f t="array" ref="B70">IF(C70="",0,IF(OR(C70=Country_Comparison!$S$10:$S$29),1,0))</f>
        <v>0</v>
      </c>
      <c r="C70" s="9" t="str">
        <f>IF(H70="","",H70)</f>
        <v/>
      </c>
      <c r="D70" s="6">
        <f>MAX(I70:CL70)</f>
        <v>0</v>
      </c>
      <c r="E70" s="6">
        <f>IF(COUNTIF(I70:XFD70,"&gt;"&amp;0)=0,,HLOOKUP(COUNTIF(I70:XFD70,"&gt;"&amp;0)-1,I$1:XFD70,A70+1,FALSE))</f>
        <v>0</v>
      </c>
      <c r="F70" s="7">
        <f>IF(COUNTIF(I70:XFD70,"&gt;"&amp;0)=0,,HLOOKUP(COUNTIF(I70:XFD70,"&gt;"&amp;0)-MIN($F$1+1,COUNTIF(I70:XFD70,"&gt;"&amp;0)),I$1:XFD70,A70+1,FALSE))</f>
        <v>0</v>
      </c>
      <c r="G70" s="8">
        <f>IF(COUNTIF(I70:XFD70,"&gt;"&amp;0)=0,,(E70/F70)^(1/MIN(COUNTIF(I70:XFD70,"&gt;"&amp;0)-1,$F$1)))</f>
        <v>0</v>
      </c>
    </row>
    <row r="71" spans="1:7" x14ac:dyDescent="0.25">
      <c r="A71" s="9">
        <f t="shared" si="7"/>
        <v>70</v>
      </c>
      <c r="B71" s="9">
        <f t="array" ref="B71">IF(C71="",0,IF(OR(C71=Country_Comparison!$S$10:$S$29),1,0))</f>
        <v>0</v>
      </c>
      <c r="C71" s="9" t="str">
        <f>IF(H71="","",H71)</f>
        <v/>
      </c>
      <c r="D71" s="6">
        <f>MAX(I71:CL71)</f>
        <v>0</v>
      </c>
      <c r="E71" s="6">
        <f>IF(COUNTIF(I71:XFD71,"&gt;"&amp;0)=0,,HLOOKUP(COUNTIF(I71:XFD71,"&gt;"&amp;0)-1,I$1:XFD71,A71+1,FALSE))</f>
        <v>0</v>
      </c>
      <c r="F71" s="7">
        <f>IF(COUNTIF(I71:XFD71,"&gt;"&amp;0)=0,,HLOOKUP(COUNTIF(I71:XFD71,"&gt;"&amp;0)-MIN($F$1+1,COUNTIF(I71:XFD71,"&gt;"&amp;0)),I$1:XFD71,A71+1,FALSE))</f>
        <v>0</v>
      </c>
      <c r="G71" s="8">
        <f>IF(COUNTIF(I71:XFD71,"&gt;"&amp;0)=0,,(E71/F71)^(1/MIN(COUNTIF(I71:XFD71,"&gt;"&amp;0)-1,$F$1)))</f>
        <v>0</v>
      </c>
    </row>
    <row r="72" spans="1:7" x14ac:dyDescent="0.25">
      <c r="A72" s="9">
        <f t="shared" si="7"/>
        <v>71</v>
      </c>
      <c r="B72" s="9">
        <f t="array" ref="B72">IF(C72="",0,IF(OR(C72=Country_Comparison!$S$10:$S$29),1,0))</f>
        <v>0</v>
      </c>
      <c r="C72" s="9" t="str">
        <f>IF(H72="","",H72)</f>
        <v/>
      </c>
      <c r="D72" s="6">
        <f>MAX(I72:CL72)</f>
        <v>0</v>
      </c>
      <c r="E72" s="6">
        <f>IF(COUNTIF(I72:XFD72,"&gt;"&amp;0)=0,,HLOOKUP(COUNTIF(I72:XFD72,"&gt;"&amp;0)-1,I$1:XFD72,A72+1,FALSE))</f>
        <v>0</v>
      </c>
      <c r="F72" s="7">
        <f>IF(COUNTIF(I72:XFD72,"&gt;"&amp;0)=0,,HLOOKUP(COUNTIF(I72:XFD72,"&gt;"&amp;0)-MIN($F$1+1,COUNTIF(I72:XFD72,"&gt;"&amp;0)),I$1:XFD72,A72+1,FALSE))</f>
        <v>0</v>
      </c>
      <c r="G72" s="8">
        <f>IF(COUNTIF(I72:XFD72,"&gt;"&amp;0)=0,,(E72/F72)^(1/MIN(COUNTIF(I72:XFD72,"&gt;"&amp;0)-1,$F$1)))</f>
        <v>0</v>
      </c>
    </row>
    <row r="73" spans="1:7" x14ac:dyDescent="0.25">
      <c r="A73" s="9">
        <f t="shared" si="7"/>
        <v>72</v>
      </c>
      <c r="B73" s="9">
        <f t="array" ref="B73">IF(C73="",0,IF(OR(C73=Country_Comparison!$S$10:$S$29),1,0))</f>
        <v>0</v>
      </c>
      <c r="C73" s="9" t="str">
        <f>IF(H73="","",H73)</f>
        <v/>
      </c>
      <c r="D73" s="6">
        <f>MAX(I73:CL73)</f>
        <v>0</v>
      </c>
      <c r="E73" s="6">
        <f>IF(COUNTIF(I73:XFD73,"&gt;"&amp;0)=0,,HLOOKUP(COUNTIF(I73:XFD73,"&gt;"&amp;0)-1,I$1:XFD73,A73+1,FALSE))</f>
        <v>0</v>
      </c>
      <c r="F73" s="7">
        <f>IF(COUNTIF(I73:XFD73,"&gt;"&amp;0)=0,,HLOOKUP(COUNTIF(I73:XFD73,"&gt;"&amp;0)-MIN($F$1+1,COUNTIF(I73:XFD73,"&gt;"&amp;0)),I$1:XFD73,A73+1,FALSE))</f>
        <v>0</v>
      </c>
      <c r="G73" s="8">
        <f>IF(COUNTIF(I73:XFD73,"&gt;"&amp;0)=0,,(E73/F73)^(1/MIN(COUNTIF(I73:XFD73,"&gt;"&amp;0)-1,$F$1)))</f>
        <v>0</v>
      </c>
    </row>
    <row r="74" spans="1:7" x14ac:dyDescent="0.25">
      <c r="A74" s="9">
        <f t="shared" si="7"/>
        <v>73</v>
      </c>
      <c r="B74" s="9">
        <f t="array" ref="B74">IF(C74="",0,IF(OR(C74=Country_Comparison!$S$10:$S$29),1,0))</f>
        <v>0</v>
      </c>
      <c r="C74" s="9" t="str">
        <f>IF(H74="","",H74)</f>
        <v/>
      </c>
      <c r="D74" s="6">
        <f>MAX(I74:CL74)</f>
        <v>0</v>
      </c>
      <c r="E74" s="6">
        <f>IF(COUNTIF(I74:XFD74,"&gt;"&amp;0)=0,,HLOOKUP(COUNTIF(I74:XFD74,"&gt;"&amp;0)-1,I$1:XFD74,A74+1,FALSE))</f>
        <v>0</v>
      </c>
      <c r="F74" s="7">
        <f>IF(COUNTIF(I74:XFD74,"&gt;"&amp;0)=0,,HLOOKUP(COUNTIF(I74:XFD74,"&gt;"&amp;0)-MIN($F$1+1,COUNTIF(I74:XFD74,"&gt;"&amp;0)),I$1:XFD74,A74+1,FALSE))</f>
        <v>0</v>
      </c>
      <c r="G74" s="8">
        <f>IF(COUNTIF(I74:XFD74,"&gt;"&amp;0)=0,,(E74/F74)^(1/MIN(COUNTIF(I74:XFD74,"&gt;"&amp;0)-1,$F$1)))</f>
        <v>0</v>
      </c>
    </row>
    <row r="75" spans="1:7" x14ac:dyDescent="0.25">
      <c r="A75" s="9">
        <f t="shared" si="7"/>
        <v>74</v>
      </c>
      <c r="B75" s="9">
        <f t="array" ref="B75">IF(C75="",0,IF(OR(C75=Country_Comparison!$S$10:$S$29),1,0))</f>
        <v>0</v>
      </c>
      <c r="C75" s="9" t="str">
        <f>IF(H75="","",H75)</f>
        <v/>
      </c>
      <c r="D75" s="6">
        <f>MAX(I75:CL75)</f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>IF(COUNTIF(I75:XFD75,"&gt;"&amp;0)=0,,(E75/F75)^(1/MIN(COUNTIF(I75:XFD75,"&gt;"&amp;0)-1,$F$1)))</f>
        <v>0</v>
      </c>
    </row>
    <row r="76" spans="1:7" x14ac:dyDescent="0.25">
      <c r="A76" s="9">
        <f t="shared" si="7"/>
        <v>75</v>
      </c>
      <c r="B76" s="9">
        <f t="array" ref="B76">IF(C76="",0,IF(OR(C76=Country_Comparison!$S$10:$S$29),1,0))</f>
        <v>0</v>
      </c>
      <c r="C76" s="9" t="str">
        <f>IF(H76="","",H76)</f>
        <v/>
      </c>
      <c r="D76" s="6">
        <f>MAX(I76:CL76)</f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>IF(COUNTIF(I76:XFD76,"&gt;"&amp;0)=0,,(E76/F76)^(1/MIN(COUNTIF(I76:XFD76,"&gt;"&amp;0)-1,$F$1)))</f>
        <v>0</v>
      </c>
    </row>
    <row r="77" spans="1:7" x14ac:dyDescent="0.25">
      <c r="A77" s="9">
        <f t="shared" si="7"/>
        <v>76</v>
      </c>
      <c r="B77" s="9">
        <f t="array" ref="B77">IF(C77="",0,IF(OR(C77=Country_Comparison!$S$10:$S$29),1,0))</f>
        <v>0</v>
      </c>
      <c r="C77" s="9" t="str">
        <f>IF(H77="","",H77)</f>
        <v/>
      </c>
      <c r="D77" s="6">
        <f>MAX(I77:CL77)</f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>IF(COUNTIF(I77:XFD77,"&gt;"&amp;0)=0,,(E77/F77)^(1/MIN(COUNTIF(I77:XFD77,"&gt;"&amp;0)-1,$F$1)))</f>
        <v>0</v>
      </c>
    </row>
    <row r="78" spans="1:7" x14ac:dyDescent="0.25">
      <c r="A78" s="9">
        <f t="shared" si="7"/>
        <v>77</v>
      </c>
      <c r="B78" s="9">
        <f t="array" ref="B78">IF(C78="",0,IF(OR(C78=Country_Comparison!$S$10:$S$29),1,0))</f>
        <v>0</v>
      </c>
      <c r="C78" s="9" t="str">
        <f>IF(H78="","",H78)</f>
        <v/>
      </c>
      <c r="D78" s="6">
        <f>MAX(I78:CL78)</f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>IF(COUNTIF(I78:XFD78,"&gt;"&amp;0)=0,,(E78/F78)^(1/MIN(COUNTIF(I78:XFD78,"&gt;"&amp;0)-1,$F$1)))</f>
        <v>0</v>
      </c>
    </row>
    <row r="79" spans="1:7" x14ac:dyDescent="0.25">
      <c r="A79" s="9">
        <f t="shared" si="7"/>
        <v>78</v>
      </c>
      <c r="B79" s="9">
        <f t="array" ref="B79">IF(C79="",0,IF(OR(C79=Country_Comparison!$S$10:$S$29),1,0))</f>
        <v>0</v>
      </c>
      <c r="C79" s="9" t="str">
        <f>IF(H79="","",H79)</f>
        <v/>
      </c>
      <c r="D79" s="6">
        <f>MAX(I79:CL79)</f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>IF(COUNTIF(I79:XFD79,"&gt;"&amp;0)=0,,(E79/F79)^(1/MIN(COUNTIF(I79:XFD79,"&gt;"&amp;0)-1,$F$1)))</f>
        <v>0</v>
      </c>
    </row>
    <row r="80" spans="1:7" x14ac:dyDescent="0.25">
      <c r="A80" s="9">
        <f t="shared" si="7"/>
        <v>79</v>
      </c>
      <c r="B80" s="9">
        <f t="array" ref="B80">IF(C80="",0,IF(OR(C80=Country_Comparison!$S$10:$S$29),1,0))</f>
        <v>0</v>
      </c>
      <c r="C80" s="9" t="str">
        <f>IF(H80="","",H80)</f>
        <v/>
      </c>
      <c r="D80" s="6">
        <f>MAX(I80:CL80)</f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>IF(COUNTIF(I80:XFD80,"&gt;"&amp;0)=0,,(E80/F80)^(1/MIN(COUNTIF(I80:XFD80,"&gt;"&amp;0)-1,$F$1)))</f>
        <v>0</v>
      </c>
    </row>
    <row r="81" spans="1:7" x14ac:dyDescent="0.25">
      <c r="A81" s="9">
        <f t="shared" si="7"/>
        <v>80</v>
      </c>
      <c r="B81" s="9">
        <f t="array" ref="B81">IF(C81="",0,IF(OR(C81=Country_Comparison!$S$10:$S$29),1,0))</f>
        <v>0</v>
      </c>
      <c r="C81" s="9" t="str">
        <f>IF(H81="","",H81)</f>
        <v/>
      </c>
      <c r="D81" s="6">
        <f>MAX(I81:CL81)</f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>IF(COUNTIF(I81:XFD81,"&gt;"&amp;0)=0,,(E81/F81)^(1/MIN(COUNTIF(I81:XFD81,"&gt;"&amp;0)-1,$F$1)))</f>
        <v>0</v>
      </c>
    </row>
    <row r="82" spans="1:7" x14ac:dyDescent="0.25">
      <c r="A82" s="9">
        <f t="shared" si="7"/>
        <v>81</v>
      </c>
      <c r="B82" s="9">
        <f t="array" ref="B82">IF(C82="",0,IF(OR(C82=Country_Comparison!$S$10:$S$29),1,0))</f>
        <v>0</v>
      </c>
      <c r="C82" s="9" t="str">
        <f>IF(H82="","",H82)</f>
        <v/>
      </c>
      <c r="D82" s="6">
        <f>MAX(I82:CL82)</f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>IF(COUNTIF(I82:XFD82,"&gt;"&amp;0)=0,,(E82/F82)^(1/MIN(COUNTIF(I82:XFD82,"&gt;"&amp;0)-1,$F$1)))</f>
        <v>0</v>
      </c>
    </row>
    <row r="83" spans="1:7" x14ac:dyDescent="0.25">
      <c r="A83" s="9">
        <f t="shared" si="7"/>
        <v>82</v>
      </c>
      <c r="B83" s="9">
        <f t="array" ref="B83">IF(C83="",0,IF(OR(C83=Country_Comparison!$S$10:$S$29),1,0))</f>
        <v>0</v>
      </c>
      <c r="C83" s="9" t="str">
        <f>IF(H83="","",H83)</f>
        <v/>
      </c>
      <c r="D83" s="6">
        <f>MAX(I83:CL83)</f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>IF(COUNTIF(I83:XFD83,"&gt;"&amp;0)=0,,(E83/F83)^(1/MIN(COUNTIF(I83:XFD83,"&gt;"&amp;0)-1,$F$1)))</f>
        <v>0</v>
      </c>
    </row>
    <row r="84" spans="1:7" x14ac:dyDescent="0.25">
      <c r="A84" s="9">
        <f t="shared" si="7"/>
        <v>83</v>
      </c>
      <c r="B84" s="9">
        <f t="array" ref="B84">IF(C84="",0,IF(OR(C84=Country_Comparison!$S$10:$S$29),1,0))</f>
        <v>0</v>
      </c>
      <c r="C84" s="9" t="str">
        <f>IF(H84="","",H84)</f>
        <v/>
      </c>
      <c r="D84" s="6">
        <f>MAX(I84:CL84)</f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>IF(COUNTIF(I84:XFD84,"&gt;"&amp;0)=0,,(E84/F84)^(1/MIN(COUNTIF(I84:XFD84,"&gt;"&amp;0)-1,$F$1)))</f>
        <v>0</v>
      </c>
    </row>
    <row r="85" spans="1:7" x14ac:dyDescent="0.25">
      <c r="A85" s="9">
        <f t="shared" si="7"/>
        <v>84</v>
      </c>
      <c r="B85" s="9">
        <f t="array" ref="B85">IF(C85="",0,IF(OR(C85=Country_Comparison!$S$10:$S$29),1,0))</f>
        <v>0</v>
      </c>
      <c r="C85" s="9" t="str">
        <f>IF(H85="","",H85)</f>
        <v/>
      </c>
      <c r="D85" s="6">
        <f>MAX(I85:CL85)</f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>IF(COUNTIF(I85:XFD85,"&gt;"&amp;0)=0,,(E85/F85)^(1/MIN(COUNTIF(I85:XFD85,"&gt;"&amp;0)-1,$F$1)))</f>
        <v>0</v>
      </c>
    </row>
    <row r="86" spans="1:7" x14ac:dyDescent="0.25">
      <c r="A86" s="9">
        <f t="shared" si="7"/>
        <v>85</v>
      </c>
      <c r="B86" s="9">
        <f t="array" ref="B86">IF(C86="",0,IF(OR(C86=Country_Comparison!$S$10:$S$29),1,0))</f>
        <v>0</v>
      </c>
      <c r="C86" s="9" t="str">
        <f>IF(H86="","",H86)</f>
        <v/>
      </c>
      <c r="D86" s="6">
        <f>MAX(I86:CL86)</f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>IF(COUNTIF(I86:XFD86,"&gt;"&amp;0)=0,,(E86/F86)^(1/MIN(COUNTIF(I86:XFD86,"&gt;"&amp;0)-1,$F$1)))</f>
        <v>0</v>
      </c>
    </row>
    <row r="87" spans="1:7" x14ac:dyDescent="0.25">
      <c r="A87" s="9">
        <f t="shared" si="7"/>
        <v>86</v>
      </c>
      <c r="B87" s="9">
        <f t="array" ref="B87">IF(C87="",0,IF(OR(C87=Country_Comparison!$S$10:$S$29),1,0))</f>
        <v>0</v>
      </c>
      <c r="C87" s="9" t="str">
        <f>IF(H87="","",H87)</f>
        <v/>
      </c>
      <c r="D87" s="6">
        <f>MAX(I87:CL87)</f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>IF(COUNTIF(I87:XFD87,"&gt;"&amp;0)=0,,(E87/F87)^(1/MIN(COUNTIF(I87:XFD87,"&gt;"&amp;0)-1,$F$1)))</f>
        <v>0</v>
      </c>
    </row>
    <row r="88" spans="1:7" x14ac:dyDescent="0.25">
      <c r="A88" s="9">
        <f t="shared" si="7"/>
        <v>87</v>
      </c>
      <c r="B88" s="9">
        <f t="array" ref="B88">IF(C88="",0,IF(OR(C88=Country_Comparison!$S$10:$S$29),1,0))</f>
        <v>0</v>
      </c>
      <c r="C88" s="9" t="str">
        <f>IF(H88="","",H88)</f>
        <v/>
      </c>
      <c r="D88" s="6">
        <f>MAX(I88:CL88)</f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>IF(COUNTIF(I88:XFD88,"&gt;"&amp;0)=0,,(E88/F88)^(1/MIN(COUNTIF(I88:XFD88,"&gt;"&amp;0)-1,$F$1)))</f>
        <v>0</v>
      </c>
    </row>
    <row r="89" spans="1:7" x14ac:dyDescent="0.25">
      <c r="A89" s="9">
        <f t="shared" si="7"/>
        <v>88</v>
      </c>
      <c r="B89" s="9">
        <f t="array" ref="B89">IF(C89="",0,IF(OR(C89=Country_Comparison!$S$10:$S$29),1,0))</f>
        <v>0</v>
      </c>
      <c r="C89" s="9" t="str">
        <f>IF(H89="","",H89)</f>
        <v/>
      </c>
      <c r="D89" s="6">
        <f>MAX(I89:CL89)</f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>IF(COUNTIF(I89:XFD89,"&gt;"&amp;0)=0,,(E89/F89)^(1/MIN(COUNTIF(I89:XFD89,"&gt;"&amp;0)-1,$F$1)))</f>
        <v>0</v>
      </c>
    </row>
    <row r="90" spans="1:7" x14ac:dyDescent="0.25">
      <c r="A90" s="9">
        <f t="shared" si="7"/>
        <v>89</v>
      </c>
      <c r="B90" s="9">
        <f t="array" ref="B90">IF(C90="",0,IF(OR(C90=Country_Comparison!$S$10:$S$29),1,0))</f>
        <v>0</v>
      </c>
      <c r="C90" s="9" t="str">
        <f>IF(H90="","",H90)</f>
        <v/>
      </c>
      <c r="D90" s="6">
        <f>MAX(I90:CL90)</f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>IF(COUNTIF(I90:XFD90,"&gt;"&amp;0)=0,,(E90/F90)^(1/MIN(COUNTIF(I90:XFD90,"&gt;"&amp;0)-1,$F$1)))</f>
        <v>0</v>
      </c>
    </row>
    <row r="91" spans="1:7" x14ac:dyDescent="0.25">
      <c r="A91" s="9">
        <f t="shared" si="7"/>
        <v>90</v>
      </c>
      <c r="B91" s="9">
        <f t="array" ref="B91">IF(C91="",0,IF(OR(C91=Country_Comparison!$S$10:$S$29),1,0))</f>
        <v>0</v>
      </c>
      <c r="C91" s="9" t="str">
        <f>IF(H91="","",H91)</f>
        <v/>
      </c>
      <c r="D91" s="6">
        <f>MAX(I91:CL91)</f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>IF(COUNTIF(I91:XFD91,"&gt;"&amp;0)=0,,(E91/F91)^(1/MIN(COUNTIF(I91:XFD91,"&gt;"&amp;0)-1,$F$1)))</f>
        <v>0</v>
      </c>
    </row>
    <row r="92" spans="1:7" x14ac:dyDescent="0.25">
      <c r="A92" s="9">
        <f t="shared" si="7"/>
        <v>91</v>
      </c>
      <c r="B92" s="9">
        <f t="array" ref="B92">IF(C92="",0,IF(OR(C92=Country_Comparison!$S$10:$S$29),1,0))</f>
        <v>0</v>
      </c>
      <c r="C92" s="9" t="str">
        <f>IF(H92="","",H92)</f>
        <v/>
      </c>
      <c r="D92" s="6">
        <f>MAX(I92:CL92)</f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>IF(COUNTIF(I92:XFD92,"&gt;"&amp;0)=0,,(E92/F92)^(1/MIN(COUNTIF(I92:XFD92,"&gt;"&amp;0)-1,$F$1)))</f>
        <v>0</v>
      </c>
    </row>
    <row r="93" spans="1:7" x14ac:dyDescent="0.25">
      <c r="A93" s="9">
        <f t="shared" si="7"/>
        <v>92</v>
      </c>
      <c r="B93" s="9">
        <f t="array" ref="B93">IF(C93="",0,IF(OR(C93=Country_Comparison!$S$10:$S$29),1,0))</f>
        <v>0</v>
      </c>
      <c r="C93" s="9" t="str">
        <f>IF(H93="","",H93)</f>
        <v/>
      </c>
      <c r="D93" s="6">
        <f>MAX(I93:CL93)</f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>IF(COUNTIF(I93:XFD93,"&gt;"&amp;0)=0,,(E93/F93)^(1/MIN(COUNTIF(I93:XFD93,"&gt;"&amp;0)-1,$F$1)))</f>
        <v>0</v>
      </c>
    </row>
    <row r="94" spans="1:7" x14ac:dyDescent="0.25">
      <c r="A94" s="9">
        <f t="shared" si="7"/>
        <v>93</v>
      </c>
      <c r="B94" s="9">
        <f t="array" ref="B94">IF(C94="",0,IF(OR(C94=Country_Comparison!$S$10:$S$29),1,0))</f>
        <v>0</v>
      </c>
      <c r="C94" s="9" t="str">
        <f>IF(H94="","",H94)</f>
        <v/>
      </c>
      <c r="D94" s="6">
        <f>MAX(I94:CL94)</f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>IF(COUNTIF(I94:XFD94,"&gt;"&amp;0)=0,,(E94/F94)^(1/MIN(COUNTIF(I94:XFD94,"&gt;"&amp;0)-1,$F$1)))</f>
        <v>0</v>
      </c>
    </row>
    <row r="95" spans="1:7" x14ac:dyDescent="0.25">
      <c r="A95" s="9">
        <f t="shared" si="7"/>
        <v>94</v>
      </c>
      <c r="B95" s="9">
        <f t="array" ref="B95">IF(C95="",0,IF(OR(C95=Country_Comparison!$S$10:$S$29),1,0))</f>
        <v>0</v>
      </c>
      <c r="C95" s="9" t="str">
        <f>IF(H95="","",H95)</f>
        <v/>
      </c>
      <c r="D95" s="6">
        <f>MAX(I95:CL95)</f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>IF(COUNTIF(I95:XFD95,"&gt;"&amp;0)=0,,(E95/F95)^(1/MIN(COUNTIF(I95:XFD95,"&gt;"&amp;0)-1,$F$1)))</f>
        <v>0</v>
      </c>
    </row>
    <row r="96" spans="1:7" x14ac:dyDescent="0.25">
      <c r="A96" s="9">
        <f t="shared" si="7"/>
        <v>95</v>
      </c>
      <c r="B96" s="9">
        <f t="array" ref="B96">IF(C96="",0,IF(OR(C96=Country_Comparison!$S$10:$S$29),1,0))</f>
        <v>0</v>
      </c>
      <c r="C96" s="9" t="str">
        <f>IF(H96="","",H96)</f>
        <v/>
      </c>
      <c r="D96" s="6">
        <f>MAX(I96:CL96)</f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>IF(COUNTIF(I96:XFD96,"&gt;"&amp;0)=0,,(E96/F96)^(1/MIN(COUNTIF(I96:XFD96,"&gt;"&amp;0)-1,$F$1)))</f>
        <v>0</v>
      </c>
    </row>
    <row r="97" spans="1:7" x14ac:dyDescent="0.25">
      <c r="A97" s="9">
        <f t="shared" si="7"/>
        <v>96</v>
      </c>
      <c r="B97" s="9">
        <f t="array" ref="B97">IF(C97="",0,IF(OR(C97=Country_Comparison!$S$10:$S$29),1,0))</f>
        <v>0</v>
      </c>
      <c r="C97" s="9" t="str">
        <f>IF(H97="","",H97)</f>
        <v/>
      </c>
      <c r="D97" s="6">
        <f>MAX(I97:CL97)</f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>IF(COUNTIF(I97:XFD97,"&gt;"&amp;0)=0,,(E97/F97)^(1/MIN(COUNTIF(I97:XFD97,"&gt;"&amp;0)-1,$F$1)))</f>
        <v>0</v>
      </c>
    </row>
    <row r="98" spans="1:7" x14ac:dyDescent="0.25">
      <c r="A98" s="9">
        <f t="shared" si="7"/>
        <v>97</v>
      </c>
      <c r="B98" s="9">
        <f t="array" ref="B98">IF(C98="",0,IF(OR(C98=Country_Comparison!$S$10:$S$29),1,0))</f>
        <v>0</v>
      </c>
      <c r="C98" s="9" t="str">
        <f>IF(H98="","",H98)</f>
        <v/>
      </c>
      <c r="D98" s="6">
        <f>MAX(I98:CL98)</f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>IF(COUNTIF(I98:XFD98,"&gt;"&amp;0)=0,,(E98/F98)^(1/MIN(COUNTIF(I98:XFD98,"&gt;"&amp;0)-1,$F$1)))</f>
        <v>0</v>
      </c>
    </row>
    <row r="99" spans="1:7" x14ac:dyDescent="0.25">
      <c r="A99" s="9">
        <f t="shared" si="7"/>
        <v>98</v>
      </c>
      <c r="B99" s="9">
        <f t="array" ref="B99">IF(C99="",0,IF(OR(C99=Country_Comparison!$S$10:$S$29),1,0))</f>
        <v>0</v>
      </c>
      <c r="C99" s="9" t="str">
        <f>IF(H99="","",H99)</f>
        <v/>
      </c>
      <c r="D99" s="6">
        <f>MAX(I99:CL99)</f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>IF(COUNTIF(I99:XFD99,"&gt;"&amp;0)=0,,(E99/F99)^(1/MIN(COUNTIF(I99:XFD99,"&gt;"&amp;0)-1,$F$1)))</f>
        <v>0</v>
      </c>
    </row>
    <row r="100" spans="1:7" x14ac:dyDescent="0.25">
      <c r="A100" s="9">
        <f t="shared" si="7"/>
        <v>99</v>
      </c>
      <c r="B100" s="9">
        <f t="array" ref="B100">IF(C100="",0,IF(OR(C100=Country_Comparison!$S$10:$S$29),1,0))</f>
        <v>0</v>
      </c>
      <c r="C100" s="9" t="str">
        <f>IF(H100="","",H100)</f>
        <v/>
      </c>
      <c r="D100" s="6">
        <f>MAX(I100:CL100)</f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>IF(COUNTIF(I100:XFD100,"&gt;"&amp;0)=0,,(E100/F100)^(1/MIN(COUNTIF(I100:XFD100,"&gt;"&amp;0)-1,$F$1)))</f>
        <v>0</v>
      </c>
    </row>
    <row r="101" spans="1:7" x14ac:dyDescent="0.25">
      <c r="A101" s="9">
        <f t="shared" si="7"/>
        <v>100</v>
      </c>
      <c r="B101" s="9">
        <f t="array" ref="B101">IF(C101="",0,IF(OR(C101=Country_Comparison!$S$10:$S$29),1,0))</f>
        <v>0</v>
      </c>
      <c r="C101" s="9" t="str">
        <f>IF(H101="","",H101)</f>
        <v/>
      </c>
      <c r="D101" s="6">
        <f>MAX(I101:CL101)</f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>IF(COUNTIF(I101:XFD101,"&gt;"&amp;0)=0,,(E101/F101)^(1/MIN(COUNTIF(I101:XFD101,"&gt;"&amp;0)-1,$F$1)))</f>
        <v>0</v>
      </c>
    </row>
    <row r="102" spans="1:7" x14ac:dyDescent="0.25">
      <c r="A102" s="9">
        <f t="shared" si="7"/>
        <v>101</v>
      </c>
      <c r="B102" s="9">
        <f t="array" ref="B102">IF(C102="",0,IF(OR(C102=Country_Comparison!$S$10:$S$29),1,0))</f>
        <v>0</v>
      </c>
      <c r="C102" s="9" t="str">
        <f>IF(H102="","",H102)</f>
        <v/>
      </c>
      <c r="D102" s="6">
        <f>MAX(I102:CL102)</f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>IF(COUNTIF(I102:XFD102,"&gt;"&amp;0)=0,,(E102/F102)^(1/MIN(COUNTIF(I102:XFD102,"&gt;"&amp;0)-1,$F$1)))</f>
        <v>0</v>
      </c>
    </row>
    <row r="103" spans="1:7" x14ac:dyDescent="0.25">
      <c r="A103" s="9">
        <f t="shared" si="7"/>
        <v>102</v>
      </c>
      <c r="B103" s="9">
        <f t="array" ref="B103">IF(C103="",0,IF(OR(C103=Country_Comparison!$S$10:$S$29),1,0))</f>
        <v>0</v>
      </c>
      <c r="C103" s="9" t="str">
        <f>IF(H103="","",H103)</f>
        <v/>
      </c>
      <c r="D103" s="6">
        <f>MAX(I103:CL103)</f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>IF(COUNTIF(I103:XFD103,"&gt;"&amp;0)=0,,(E103/F103)^(1/MIN(COUNTIF(I103:XFD103,"&gt;"&amp;0)-1,$F$1)))</f>
        <v>0</v>
      </c>
    </row>
    <row r="104" spans="1:7" x14ac:dyDescent="0.25">
      <c r="A104" s="9">
        <f t="shared" si="7"/>
        <v>103</v>
      </c>
      <c r="B104" s="9">
        <f t="array" ref="B104">IF(C104="",0,IF(OR(C104=Country_Comparison!$S$10:$S$29),1,0))</f>
        <v>0</v>
      </c>
      <c r="C104" s="9" t="str">
        <f>IF(H104="","",H104)</f>
        <v/>
      </c>
      <c r="D104" s="6">
        <f>MAX(I104:CL104)</f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>IF(COUNTIF(I104:XFD104,"&gt;"&amp;0)=0,,(E104/F104)^(1/MIN(COUNTIF(I104:XFD104,"&gt;"&amp;0)-1,$F$1)))</f>
        <v>0</v>
      </c>
    </row>
    <row r="105" spans="1:7" x14ac:dyDescent="0.25">
      <c r="A105" s="9">
        <f t="shared" si="7"/>
        <v>104</v>
      </c>
      <c r="B105" s="9">
        <f t="array" ref="B105">IF(C105="",0,IF(OR(C105=Country_Comparison!$S$10:$S$29),1,0))</f>
        <v>0</v>
      </c>
      <c r="C105" s="9" t="str">
        <f>IF(H105="","",H105)</f>
        <v/>
      </c>
      <c r="D105" s="6">
        <f>MAX(I105:CL105)</f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>IF(COUNTIF(I105:XFD105,"&gt;"&amp;0)=0,,(E105/F105)^(1/MIN(COUNTIF(I105:XFD105,"&gt;"&amp;0)-1,$F$1)))</f>
        <v>0</v>
      </c>
    </row>
    <row r="106" spans="1:7" x14ac:dyDescent="0.25">
      <c r="A106" s="9">
        <f t="shared" si="7"/>
        <v>105</v>
      </c>
      <c r="B106" s="9">
        <f t="array" ref="B106">IF(C106="",0,IF(OR(C106=Country_Comparison!$S$10:$S$29),1,0))</f>
        <v>0</v>
      </c>
      <c r="C106" s="9" t="str">
        <f>IF(H106="","",H106)</f>
        <v/>
      </c>
      <c r="D106" s="6">
        <f>MAX(I106:CL106)</f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>IF(COUNTIF(I106:XFD106,"&gt;"&amp;0)=0,,(E106/F106)^(1/MIN(COUNTIF(I106:XFD106,"&gt;"&amp;0)-1,$F$1)))</f>
        <v>0</v>
      </c>
    </row>
    <row r="107" spans="1:7" x14ac:dyDescent="0.25">
      <c r="A107" s="9">
        <f t="shared" si="7"/>
        <v>106</v>
      </c>
      <c r="B107" s="9">
        <f t="array" ref="B107">IF(C107="",0,IF(OR(C107=Country_Comparison!$S$10:$S$29),1,0))</f>
        <v>0</v>
      </c>
      <c r="C107" s="9" t="str">
        <f>IF(H107="","",H107)</f>
        <v/>
      </c>
      <c r="D107" s="6">
        <f>MAX(I107:CL107)</f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>IF(COUNTIF(I107:XFD107,"&gt;"&amp;0)=0,,(E107/F107)^(1/MIN(COUNTIF(I107:XFD107,"&gt;"&amp;0)-1,$F$1)))</f>
        <v>0</v>
      </c>
    </row>
    <row r="108" spans="1:7" x14ac:dyDescent="0.25">
      <c r="A108" s="9">
        <f t="shared" si="7"/>
        <v>107</v>
      </c>
      <c r="B108" s="9">
        <f t="array" ref="B108">IF(C108="",0,IF(OR(C108=Country_Comparison!$S$10:$S$29),1,0))</f>
        <v>0</v>
      </c>
      <c r="C108" s="9" t="str">
        <f>IF(H108="","",H108)</f>
        <v/>
      </c>
      <c r="D108" s="6">
        <f>MAX(I108:CL108)</f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>IF(COUNTIF(I108:XFD108,"&gt;"&amp;0)=0,,(E108/F108)^(1/MIN(COUNTIF(I108:XFD108,"&gt;"&amp;0)-1,$F$1)))</f>
        <v>0</v>
      </c>
    </row>
    <row r="109" spans="1:7" x14ac:dyDescent="0.25">
      <c r="A109" s="9">
        <f t="shared" si="7"/>
        <v>108</v>
      </c>
      <c r="B109" s="9">
        <f t="array" ref="B109">IF(C109="",0,IF(OR(C109=Country_Comparison!$S$10:$S$29),1,0))</f>
        <v>0</v>
      </c>
      <c r="C109" s="9" t="str">
        <f>IF(H109="","",H109)</f>
        <v/>
      </c>
      <c r="D109" s="6">
        <f>MAX(I109:CL109)</f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>IF(COUNTIF(I109:XFD109,"&gt;"&amp;0)=0,,(E109/F109)^(1/MIN(COUNTIF(I109:XFD109,"&gt;"&amp;0)-1,$F$1)))</f>
        <v>0</v>
      </c>
    </row>
    <row r="110" spans="1:7" x14ac:dyDescent="0.25">
      <c r="A110" s="9">
        <f t="shared" si="7"/>
        <v>109</v>
      </c>
      <c r="B110" s="9">
        <f t="array" ref="B110">IF(C110="",0,IF(OR(C110=Country_Comparison!$S$10:$S$29),1,0))</f>
        <v>0</v>
      </c>
      <c r="C110" s="9" t="str">
        <f>IF(H110="","",H110)</f>
        <v/>
      </c>
      <c r="D110" s="6">
        <f>MAX(I110:CL110)</f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>IF(COUNTIF(I110:XFD110,"&gt;"&amp;0)=0,,(E110/F110)^(1/MIN(COUNTIF(I110:XFD110,"&gt;"&amp;0)-1,$F$1)))</f>
        <v>0</v>
      </c>
    </row>
    <row r="111" spans="1:7" x14ac:dyDescent="0.25">
      <c r="A111" s="9">
        <f t="shared" si="7"/>
        <v>110</v>
      </c>
      <c r="B111" s="9">
        <f t="array" ref="B111">IF(C111="",0,IF(OR(C111=Country_Comparison!$S$10:$S$29),1,0))</f>
        <v>0</v>
      </c>
      <c r="C111" s="9" t="str">
        <f>IF(H111="","",H111)</f>
        <v/>
      </c>
      <c r="D111" s="6">
        <f>MAX(I111:CL111)</f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>IF(COUNTIF(I111:XFD111,"&gt;"&amp;0)=0,,(E111/F111)^(1/MIN(COUNTIF(I111:XFD111,"&gt;"&amp;0)-1,$F$1)))</f>
        <v>0</v>
      </c>
    </row>
    <row r="112" spans="1:7" x14ac:dyDescent="0.25">
      <c r="A112" s="9">
        <f t="shared" si="7"/>
        <v>111</v>
      </c>
      <c r="B112" s="9">
        <f t="array" ref="B112">IF(C112="",0,IF(OR(C112=Country_Comparison!$S$10:$S$29),1,0))</f>
        <v>0</v>
      </c>
      <c r="C112" s="9" t="str">
        <f>IF(H112="","",H112)</f>
        <v/>
      </c>
      <c r="D112" s="6">
        <f>MAX(I112:CL112)</f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>IF(COUNTIF(I112:XFD112,"&gt;"&amp;0)=0,,(E112/F112)^(1/MIN(COUNTIF(I112:XFD112,"&gt;"&amp;0)-1,$F$1)))</f>
        <v>0</v>
      </c>
    </row>
    <row r="113" spans="1:7" x14ac:dyDescent="0.25">
      <c r="A113" s="9">
        <f t="shared" si="7"/>
        <v>112</v>
      </c>
      <c r="B113" s="9">
        <f t="array" ref="B113">IF(C113="",0,IF(OR(C113=Country_Comparison!$S$10:$S$29),1,0))</f>
        <v>0</v>
      </c>
      <c r="C113" s="9" t="str">
        <f>IF(H113="","",H113)</f>
        <v/>
      </c>
      <c r="D113" s="6">
        <f>MAX(I113:CL113)</f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>IF(COUNTIF(I113:XFD113,"&gt;"&amp;0)=0,,(E113/F113)^(1/MIN(COUNTIF(I113:XFD113,"&gt;"&amp;0)-1,$F$1)))</f>
        <v>0</v>
      </c>
    </row>
    <row r="114" spans="1:7" x14ac:dyDescent="0.25">
      <c r="A114" s="9">
        <f t="shared" si="7"/>
        <v>113</v>
      </c>
      <c r="B114" s="9">
        <f t="array" ref="B114">IF(C114="",0,IF(OR(C114=Country_Comparison!$S$10:$S$29),1,0))</f>
        <v>0</v>
      </c>
      <c r="C114" s="9" t="str">
        <f>IF(H114="","",H114)</f>
        <v/>
      </c>
      <c r="D114" s="6">
        <f>MAX(I114:CL114)</f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>IF(COUNTIF(I114:XFD114,"&gt;"&amp;0)=0,,(E114/F114)^(1/MIN(COUNTIF(I114:XFD114,"&gt;"&amp;0)-1,$F$1)))</f>
        <v>0</v>
      </c>
    </row>
    <row r="115" spans="1:7" x14ac:dyDescent="0.25">
      <c r="A115" s="9">
        <f t="shared" si="7"/>
        <v>114</v>
      </c>
      <c r="B115" s="9">
        <f t="array" ref="B115">IF(C115="",0,IF(OR(C115=Country_Comparison!$S$10:$S$29),1,0))</f>
        <v>0</v>
      </c>
      <c r="C115" s="9" t="str">
        <f>IF(H115="","",H115)</f>
        <v/>
      </c>
      <c r="D115" s="6">
        <f>MAX(I115:CL115)</f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>IF(COUNTIF(I115:XFD115,"&gt;"&amp;0)=0,,(E115/F115)^(1/MIN(COUNTIF(I115:XFD115,"&gt;"&amp;0)-1,$F$1)))</f>
        <v>0</v>
      </c>
    </row>
    <row r="116" spans="1:7" x14ac:dyDescent="0.25">
      <c r="A116" s="9">
        <f t="shared" si="7"/>
        <v>115</v>
      </c>
      <c r="B116" s="9">
        <f t="array" ref="B116">IF(C116="",0,IF(OR(C116=Country_Comparison!$S$10:$S$29),1,0))</f>
        <v>0</v>
      </c>
      <c r="C116" s="9" t="str">
        <f>IF(H116="","",H116)</f>
        <v/>
      </c>
      <c r="D116" s="6">
        <f>MAX(I116:CL116)</f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>IF(COUNTIF(I116:XFD116,"&gt;"&amp;0)=0,,(E116/F116)^(1/MIN(COUNTIF(I116:XFD116,"&gt;"&amp;0)-1,$F$1)))</f>
        <v>0</v>
      </c>
    </row>
    <row r="117" spans="1:7" x14ac:dyDescent="0.25">
      <c r="A117" s="9">
        <f t="shared" si="7"/>
        <v>116</v>
      </c>
      <c r="B117" s="9">
        <f t="array" ref="B117">IF(C117="",0,IF(OR(C117=Country_Comparison!$S$10:$S$29),1,0))</f>
        <v>0</v>
      </c>
      <c r="C117" s="9" t="str">
        <f>IF(H117="","",H117)</f>
        <v/>
      </c>
      <c r="D117" s="6">
        <f>MAX(I117:CL117)</f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>IF(COUNTIF(I117:XFD117,"&gt;"&amp;0)=0,,(E117/F117)^(1/MIN(COUNTIF(I117:XFD117,"&gt;"&amp;0)-1,$F$1)))</f>
        <v>0</v>
      </c>
    </row>
    <row r="118" spans="1:7" x14ac:dyDescent="0.25">
      <c r="A118" s="9">
        <f t="shared" si="7"/>
        <v>117</v>
      </c>
      <c r="B118" s="9">
        <f t="array" ref="B118">IF(C118="",0,IF(OR(C118=Country_Comparison!$S$10:$S$29),1,0))</f>
        <v>0</v>
      </c>
      <c r="C118" s="9" t="str">
        <f>IF(H118="","",H118)</f>
        <v/>
      </c>
      <c r="D118" s="6">
        <f>MAX(I118:CL118)</f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>IF(COUNTIF(I118:XFD118,"&gt;"&amp;0)=0,,(E118/F118)^(1/MIN(COUNTIF(I118:XFD118,"&gt;"&amp;0)-1,$F$1)))</f>
        <v>0</v>
      </c>
    </row>
    <row r="119" spans="1:7" x14ac:dyDescent="0.25">
      <c r="A119" s="9">
        <f t="shared" si="7"/>
        <v>118</v>
      </c>
      <c r="B119" s="9">
        <f t="array" ref="B119">IF(C119="",0,IF(OR(C119=Country_Comparison!$S$10:$S$29),1,0))</f>
        <v>0</v>
      </c>
      <c r="C119" s="9" t="str">
        <f>IF(H119="","",H119)</f>
        <v/>
      </c>
      <c r="D119" s="6">
        <f>MAX(I119:CL119)</f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>IF(COUNTIF(I119:XFD119,"&gt;"&amp;0)=0,,(E119/F119)^(1/MIN(COUNTIF(I119:XFD119,"&gt;"&amp;0)-1,$F$1)))</f>
        <v>0</v>
      </c>
    </row>
    <row r="120" spans="1:7" x14ac:dyDescent="0.25">
      <c r="A120" s="9">
        <f t="shared" si="7"/>
        <v>119</v>
      </c>
      <c r="B120" s="9">
        <f t="array" ref="B120">IF(C120="",0,IF(OR(C120=Country_Comparison!$S$10:$S$29),1,0))</f>
        <v>0</v>
      </c>
      <c r="C120" s="9" t="str">
        <f>IF(H120="","",H120)</f>
        <v/>
      </c>
      <c r="D120" s="6">
        <f>MAX(I120:CL120)</f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>IF(COUNTIF(I120:XFD120,"&gt;"&amp;0)=0,,(E120/F120)^(1/MIN(COUNTIF(I120:XFD120,"&gt;"&amp;0)-1,$F$1)))</f>
        <v>0</v>
      </c>
    </row>
    <row r="121" spans="1:7" x14ac:dyDescent="0.25">
      <c r="A121" s="9">
        <f t="shared" si="7"/>
        <v>120</v>
      </c>
      <c r="B121" s="9">
        <f t="array" ref="B121">IF(C121="",0,IF(OR(C121=Country_Comparison!$S$10:$S$29),1,0))</f>
        <v>0</v>
      </c>
      <c r="C121" s="9" t="str">
        <f>IF(H121="","",H121)</f>
        <v/>
      </c>
      <c r="D121" s="6">
        <f>MAX(I121:CL121)</f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>IF(COUNTIF(I121:XFD121,"&gt;"&amp;0)=0,,(E121/F121)^(1/MIN(COUNTIF(I121:XFD121,"&gt;"&amp;0)-1,$F$1)))</f>
        <v>0</v>
      </c>
    </row>
    <row r="122" spans="1:7" x14ac:dyDescent="0.25">
      <c r="A122" s="9">
        <f t="shared" si="7"/>
        <v>121</v>
      </c>
      <c r="B122" s="9">
        <f t="array" ref="B122">IF(C122="",0,IF(OR(C122=Country_Comparison!$S$10:$S$29),1,0))</f>
        <v>0</v>
      </c>
      <c r="C122" s="9" t="str">
        <f>IF(H122="","",H122)</f>
        <v/>
      </c>
      <c r="D122" s="6">
        <f>MAX(I122:CL122)</f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>IF(COUNTIF(I122:XFD122,"&gt;"&amp;0)=0,,(E122/F122)^(1/MIN(COUNTIF(I122:XFD122,"&gt;"&amp;0)-1,$F$1)))</f>
        <v>0</v>
      </c>
    </row>
    <row r="123" spans="1:7" x14ac:dyDescent="0.25">
      <c r="A123" s="9">
        <f t="shared" si="7"/>
        <v>122</v>
      </c>
      <c r="B123" s="9">
        <f t="array" ref="B123">IF(C123="",0,IF(OR(C123=Country_Comparison!$S$10:$S$29),1,0))</f>
        <v>0</v>
      </c>
      <c r="C123" s="9" t="str">
        <f>IF(H123="","",H123)</f>
        <v/>
      </c>
      <c r="D123" s="6">
        <f>MAX(I123:CL123)</f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>IF(COUNTIF(I123:XFD123,"&gt;"&amp;0)=0,,(E123/F123)^(1/MIN(COUNTIF(I123:XFD123,"&gt;"&amp;0)-1,$F$1)))</f>
        <v>0</v>
      </c>
    </row>
    <row r="124" spans="1:7" x14ac:dyDescent="0.25">
      <c r="A124" s="9">
        <f t="shared" si="7"/>
        <v>123</v>
      </c>
      <c r="B124" s="9">
        <f t="array" ref="B124">IF(C124="",0,IF(OR(C124=Country_Comparison!$S$10:$S$29),1,0))</f>
        <v>0</v>
      </c>
      <c r="C124" s="9" t="str">
        <f>IF(H124="","",H124)</f>
        <v/>
      </c>
      <c r="D124" s="6">
        <f>MAX(I124:CL124)</f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>IF(COUNTIF(I124:XFD124,"&gt;"&amp;0)=0,,(E124/F124)^(1/MIN(COUNTIF(I124:XFD124,"&gt;"&amp;0)-1,$F$1)))</f>
        <v>0</v>
      </c>
    </row>
    <row r="125" spans="1:7" x14ac:dyDescent="0.25">
      <c r="A125" s="9">
        <f t="shared" si="7"/>
        <v>124</v>
      </c>
      <c r="B125" s="9">
        <f t="array" ref="B125">IF(C125="",0,IF(OR(C125=Country_Comparison!$S$10:$S$29),1,0))</f>
        <v>0</v>
      </c>
      <c r="C125" s="9" t="str">
        <f>IF(H125="","",H125)</f>
        <v/>
      </c>
      <c r="D125" s="6">
        <f>MAX(I125:CL125)</f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>IF(COUNTIF(I125:XFD125,"&gt;"&amp;0)=0,,(E125/F125)^(1/MIN(COUNTIF(I125:XFD125,"&gt;"&amp;0)-1,$F$1)))</f>
        <v>0</v>
      </c>
    </row>
    <row r="126" spans="1:7" x14ac:dyDescent="0.25">
      <c r="A126" s="9">
        <f t="shared" si="7"/>
        <v>125</v>
      </c>
      <c r="B126" s="9">
        <f t="array" ref="B126">IF(C126="",0,IF(OR(C126=Country_Comparison!$S$10:$S$29),1,0))</f>
        <v>0</v>
      </c>
      <c r="C126" s="9" t="str">
        <f>IF(H126="","",H126)</f>
        <v/>
      </c>
      <c r="D126" s="6">
        <f>MAX(I126:CL126)</f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>IF(COUNTIF(I126:XFD126,"&gt;"&amp;0)=0,,(E126/F126)^(1/MIN(COUNTIF(I126:XFD126,"&gt;"&amp;0)-1,$F$1)))</f>
        <v>0</v>
      </c>
    </row>
    <row r="127" spans="1:7" x14ac:dyDescent="0.25">
      <c r="A127" s="9">
        <f t="shared" si="7"/>
        <v>126</v>
      </c>
      <c r="B127" s="9">
        <f t="array" ref="B127">IF(C127="",0,IF(OR(C127=Country_Comparison!$S$10:$S$29),1,0))</f>
        <v>0</v>
      </c>
      <c r="C127" s="9" t="str">
        <f>IF(H127="","",H127)</f>
        <v/>
      </c>
      <c r="D127" s="6">
        <f>MAX(I127:CL127)</f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>IF(COUNTIF(I127:XFD127,"&gt;"&amp;0)=0,,(E127/F127)^(1/MIN(COUNTIF(I127:XFD127,"&gt;"&amp;0)-1,$F$1)))</f>
        <v>0</v>
      </c>
    </row>
    <row r="128" spans="1:7" x14ac:dyDescent="0.25">
      <c r="A128" s="9">
        <f t="shared" si="7"/>
        <v>127</v>
      </c>
      <c r="B128" s="9">
        <f t="array" ref="B128">IF(C128="",0,IF(OR(C128=Country_Comparison!$S$10:$S$29),1,0))</f>
        <v>0</v>
      </c>
      <c r="C128" s="9" t="str">
        <f>IF(H128="","",H128)</f>
        <v/>
      </c>
      <c r="D128" s="6">
        <f>MAX(I128:CL128)</f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>IF(COUNTIF(I128:XFD128,"&gt;"&amp;0)=0,,(E128/F128)^(1/MIN(COUNTIF(I128:XFD128,"&gt;"&amp;0)-1,$F$1)))</f>
        <v>0</v>
      </c>
    </row>
    <row r="129" spans="1:7" x14ac:dyDescent="0.25">
      <c r="A129" s="9">
        <f t="shared" si="7"/>
        <v>128</v>
      </c>
      <c r="B129" s="9">
        <f t="array" ref="B129">IF(C129="",0,IF(OR(C129=Country_Comparison!$S$10:$S$29),1,0))</f>
        <v>0</v>
      </c>
      <c r="C129" s="9" t="str">
        <f>IF(H129="","",H129)</f>
        <v/>
      </c>
      <c r="D129" s="6">
        <f>MAX(I129:CL129)</f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>IF(COUNTIF(I129:XFD129,"&gt;"&amp;0)=0,,(E129/F129)^(1/MIN(COUNTIF(I129:XFD129,"&gt;"&amp;0)-1,$F$1)))</f>
        <v>0</v>
      </c>
    </row>
    <row r="130" spans="1:7" x14ac:dyDescent="0.25">
      <c r="A130" s="9">
        <f t="shared" si="7"/>
        <v>129</v>
      </c>
      <c r="B130" s="9">
        <f t="array" ref="B130">IF(C130="",0,IF(OR(C130=Country_Comparison!$S$10:$S$29),1,0))</f>
        <v>0</v>
      </c>
      <c r="C130" s="9" t="str">
        <f>IF(H130="","",H130)</f>
        <v/>
      </c>
      <c r="D130" s="6">
        <f>MAX(I130:CL130)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>IF(COUNTIF(I130:XFD130,"&gt;"&amp;0)=0,,(E130/F130)^(1/MIN(COUNTIF(I130:XFD130,"&gt;"&amp;0)-1,$F$1)))</f>
        <v>0</v>
      </c>
    </row>
    <row r="131" spans="1:7" x14ac:dyDescent="0.25">
      <c r="A131" s="9">
        <f t="shared" si="7"/>
        <v>130</v>
      </c>
      <c r="B131" s="9">
        <f t="array" ref="B131">IF(C131="",0,IF(OR(C131=Country_Comparison!$S$10:$S$29),1,0))</f>
        <v>0</v>
      </c>
      <c r="C131" s="9" t="str">
        <f>IF(H131="","",H131)</f>
        <v/>
      </c>
      <c r="D131" s="6">
        <f>MAX(I131:CL131)</f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>IF(COUNTIF(I131:XFD131,"&gt;"&amp;0)=0,,(E131/F131)^(1/MIN(COUNTIF(I131:XFD131,"&gt;"&amp;0)-1,$F$1)))</f>
        <v>0</v>
      </c>
    </row>
    <row r="132" spans="1:7" x14ac:dyDescent="0.25">
      <c r="A132" s="9">
        <f t="shared" si="7"/>
        <v>131</v>
      </c>
      <c r="B132" s="9">
        <f t="array" ref="B132">IF(C132="",0,IF(OR(C132=Country_Comparison!$S$10:$S$29),1,0))</f>
        <v>0</v>
      </c>
      <c r="C132" s="9" t="str">
        <f>IF(H132="","",H132)</f>
        <v/>
      </c>
      <c r="D132" s="6">
        <f>MAX(I132:CL132)</f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>IF(COUNTIF(I132:XFD132,"&gt;"&amp;0)=0,,(E132/F132)^(1/MIN(COUNTIF(I132:XFD132,"&gt;"&amp;0)-1,$F$1)))</f>
        <v>0</v>
      </c>
    </row>
    <row r="133" spans="1:7" x14ac:dyDescent="0.25">
      <c r="A133" s="9">
        <f t="shared" si="7"/>
        <v>132</v>
      </c>
      <c r="B133" s="9">
        <f t="array" ref="B133">IF(C133="",0,IF(OR(C133=Country_Comparison!$S$10:$S$29),1,0))</f>
        <v>0</v>
      </c>
      <c r="C133" s="9" t="str">
        <f>IF(H133="","",H133)</f>
        <v/>
      </c>
      <c r="D133" s="6">
        <f>MAX(I133:CL133)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>IF(COUNTIF(I133:XFD133,"&gt;"&amp;0)=0,,(E133/F133)^(1/MIN(COUNTIF(I133:XFD133,"&gt;"&amp;0)-1,$F$1)))</f>
        <v>0</v>
      </c>
    </row>
    <row r="134" spans="1:7" x14ac:dyDescent="0.25">
      <c r="A134" s="9">
        <f t="shared" ref="A134:A197" si="8">A133+1</f>
        <v>133</v>
      </c>
      <c r="B134" s="9">
        <f t="array" ref="B134">IF(C134="",0,IF(OR(C134=Country_Comparison!$S$10:$S$29),1,0))</f>
        <v>0</v>
      </c>
      <c r="C134" s="9" t="str">
        <f>IF(H134="","",H134)</f>
        <v/>
      </c>
      <c r="D134" s="6">
        <f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>IF(COUNTIF(I134:XFD134,"&gt;"&amp;0)=0,,(E134/F134)^(1/MIN(COUNTIF(I134:XFD134,"&gt;"&amp;0)-1,$F$1)))</f>
        <v>0</v>
      </c>
    </row>
    <row r="135" spans="1:7" x14ac:dyDescent="0.25">
      <c r="A135" s="9">
        <f t="shared" si="8"/>
        <v>134</v>
      </c>
      <c r="B135" s="9">
        <f t="array" ref="B135">IF(C135="",0,IF(OR(C135=Country_Comparison!$S$10:$S$29),1,0))</f>
        <v>0</v>
      </c>
      <c r="C135" s="9" t="str">
        <f>IF(H135="","",H135)</f>
        <v/>
      </c>
      <c r="D135" s="6">
        <f>MAX(I135:CL135)</f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>IF(COUNTIF(I135:XFD135,"&gt;"&amp;0)=0,,(E135/F135)^(1/MIN(COUNTIF(I135:XFD135,"&gt;"&amp;0)-1,$F$1)))</f>
        <v>0</v>
      </c>
    </row>
    <row r="136" spans="1:7" x14ac:dyDescent="0.25">
      <c r="A136" s="9">
        <f t="shared" si="8"/>
        <v>135</v>
      </c>
      <c r="B136" s="9">
        <f t="array" ref="B136">IF(C136="",0,IF(OR(C136=Country_Comparison!$S$10:$S$29),1,0))</f>
        <v>0</v>
      </c>
      <c r="C136" s="9" t="str">
        <f>IF(H136="","",H136)</f>
        <v/>
      </c>
      <c r="D136" s="6">
        <f>MAX(I136:CL136)</f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>IF(COUNTIF(I136:XFD136,"&gt;"&amp;0)=0,,(E136/F136)^(1/MIN(COUNTIF(I136:XFD136,"&gt;"&amp;0)-1,$F$1)))</f>
        <v>0</v>
      </c>
    </row>
    <row r="137" spans="1:7" x14ac:dyDescent="0.25">
      <c r="A137" s="9">
        <f t="shared" si="8"/>
        <v>136</v>
      </c>
      <c r="B137" s="9">
        <f t="array" ref="B137">IF(C137="",0,IF(OR(C137=Country_Comparison!$S$10:$S$29),1,0))</f>
        <v>0</v>
      </c>
      <c r="C137" s="9" t="str">
        <f>IF(H137="","",H137)</f>
        <v/>
      </c>
      <c r="D137" s="6">
        <f>MAX(I137:CL137)</f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>IF(COUNTIF(I137:XFD137,"&gt;"&amp;0)=0,,(E137/F137)^(1/MIN(COUNTIF(I137:XFD137,"&gt;"&amp;0)-1,$F$1)))</f>
        <v>0</v>
      </c>
    </row>
    <row r="138" spans="1:7" x14ac:dyDescent="0.25">
      <c r="A138" s="9">
        <f t="shared" si="8"/>
        <v>137</v>
      </c>
      <c r="B138" s="9">
        <f t="array" ref="B138">IF(C138="",0,IF(OR(C138=Country_Comparison!$S$10:$S$29),1,0))</f>
        <v>0</v>
      </c>
      <c r="C138" s="9" t="str">
        <f>IF(H138="","",H138)</f>
        <v/>
      </c>
      <c r="D138" s="6">
        <f>MAX(I138:CL138)</f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>IF(COUNTIF(I138:XFD138,"&gt;"&amp;0)=0,,(E138/F138)^(1/MIN(COUNTIF(I138:XFD138,"&gt;"&amp;0)-1,$F$1)))</f>
        <v>0</v>
      </c>
    </row>
    <row r="139" spans="1:7" x14ac:dyDescent="0.25">
      <c r="A139" s="9">
        <f t="shared" si="8"/>
        <v>138</v>
      </c>
      <c r="B139" s="9">
        <f t="array" ref="B139">IF(C139="",0,IF(OR(C139=Country_Comparison!$S$10:$S$29),1,0))</f>
        <v>0</v>
      </c>
      <c r="C139" s="9" t="str">
        <f>IF(H139="","",H139)</f>
        <v/>
      </c>
      <c r="D139" s="6">
        <f>MAX(I139:CL139)</f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>IF(COUNTIF(I139:XFD139,"&gt;"&amp;0)=0,,(E139/F139)^(1/MIN(COUNTIF(I139:XFD139,"&gt;"&amp;0)-1,$F$1)))</f>
        <v>0</v>
      </c>
    </row>
    <row r="140" spans="1:7" x14ac:dyDescent="0.25">
      <c r="A140" s="9">
        <f t="shared" si="8"/>
        <v>139</v>
      </c>
      <c r="B140" s="9">
        <f t="array" ref="B140">IF(C140="",0,IF(OR(C140=Country_Comparison!$S$10:$S$29),1,0))</f>
        <v>0</v>
      </c>
      <c r="C140" s="9" t="str">
        <f>IF(H140="","",H140)</f>
        <v/>
      </c>
      <c r="D140" s="6">
        <f>MAX(I140:CL140)</f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>IF(COUNTIF(I140:XFD140,"&gt;"&amp;0)=0,,(E140/F140)^(1/MIN(COUNTIF(I140:XFD140,"&gt;"&amp;0)-1,$F$1)))</f>
        <v>0</v>
      </c>
    </row>
    <row r="141" spans="1:7" x14ac:dyDescent="0.25">
      <c r="A141" s="9">
        <f t="shared" si="8"/>
        <v>140</v>
      </c>
      <c r="B141" s="9">
        <f t="array" ref="B141">IF(C141="",0,IF(OR(C141=Country_Comparison!$S$10:$S$29),1,0))</f>
        <v>0</v>
      </c>
      <c r="C141" s="9" t="str">
        <f>IF(H141="","",H141)</f>
        <v/>
      </c>
      <c r="D141" s="6">
        <f>MAX(I141:CL141)</f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>IF(COUNTIF(I141:XFD141,"&gt;"&amp;0)=0,,(E141/F141)^(1/MIN(COUNTIF(I141:XFD141,"&gt;"&amp;0)-1,$F$1)))</f>
        <v>0</v>
      </c>
    </row>
    <row r="142" spans="1:7" x14ac:dyDescent="0.25">
      <c r="A142" s="9">
        <f t="shared" si="8"/>
        <v>141</v>
      </c>
      <c r="B142" s="9">
        <f t="array" ref="B142">IF(C142="",0,IF(OR(C142=Country_Comparison!$S$10:$S$29),1,0))</f>
        <v>0</v>
      </c>
      <c r="C142" s="9" t="str">
        <f>IF(H142="","",H142)</f>
        <v/>
      </c>
      <c r="D142" s="6">
        <f>MAX(I142:CL142)</f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>IF(COUNTIF(I142:XFD142,"&gt;"&amp;0)=0,,(E142/F142)^(1/MIN(COUNTIF(I142:XFD142,"&gt;"&amp;0)-1,$F$1)))</f>
        <v>0</v>
      </c>
    </row>
    <row r="143" spans="1:7" x14ac:dyDescent="0.25">
      <c r="A143" s="9">
        <f t="shared" si="8"/>
        <v>142</v>
      </c>
      <c r="B143" s="9">
        <f t="array" ref="B143">IF(C143="",0,IF(OR(C143=Country_Comparison!$S$10:$S$29),1,0))</f>
        <v>0</v>
      </c>
      <c r="C143" s="9" t="str">
        <f>IF(H143="","",H143)</f>
        <v/>
      </c>
      <c r="D143" s="6">
        <f>MAX(I143:CL143)</f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>IF(COUNTIF(I143:XFD143,"&gt;"&amp;0)=0,,(E143/F143)^(1/MIN(COUNTIF(I143:XFD143,"&gt;"&amp;0)-1,$F$1)))</f>
        <v>0</v>
      </c>
    </row>
    <row r="144" spans="1:7" x14ac:dyDescent="0.25">
      <c r="A144" s="9">
        <f t="shared" si="8"/>
        <v>143</v>
      </c>
      <c r="B144" s="9">
        <f t="array" ref="B144">IF(C144="",0,IF(OR(C144=Country_Comparison!$S$10:$S$29),1,0))</f>
        <v>0</v>
      </c>
      <c r="C144" s="9" t="str">
        <f>IF(H144="","",H144)</f>
        <v/>
      </c>
      <c r="D144" s="6">
        <f>MAX(I144:CL144)</f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>IF(COUNTIF(I144:XFD144,"&gt;"&amp;0)=0,,(E144/F144)^(1/MIN(COUNTIF(I144:XFD144,"&gt;"&amp;0)-1,$F$1)))</f>
        <v>0</v>
      </c>
    </row>
    <row r="145" spans="1:7" x14ac:dyDescent="0.25">
      <c r="A145" s="9">
        <f t="shared" si="8"/>
        <v>144</v>
      </c>
      <c r="B145" s="9">
        <f t="array" ref="B145">IF(C145="",0,IF(OR(C145=Country_Comparison!$S$10:$S$29),1,0))</f>
        <v>0</v>
      </c>
      <c r="C145" s="9" t="str">
        <f>IF(H145="","",H145)</f>
        <v/>
      </c>
      <c r="D145" s="6">
        <f>MAX(I145:CL145)</f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>IF(COUNTIF(I145:XFD145,"&gt;"&amp;0)=0,,(E145/F145)^(1/MIN(COUNTIF(I145:XFD145,"&gt;"&amp;0)-1,$F$1)))</f>
        <v>0</v>
      </c>
    </row>
    <row r="146" spans="1:7" x14ac:dyDescent="0.25">
      <c r="A146" s="9">
        <f t="shared" si="8"/>
        <v>145</v>
      </c>
      <c r="B146" s="9">
        <f t="array" ref="B146">IF(C146="",0,IF(OR(C146=Country_Comparison!$S$10:$S$29),1,0))</f>
        <v>0</v>
      </c>
      <c r="C146" s="9" t="str">
        <f>IF(H146="","",H146)</f>
        <v/>
      </c>
      <c r="D146" s="6">
        <f>MAX(I146:CL146)</f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>IF(COUNTIF(I146:XFD146,"&gt;"&amp;0)=0,,(E146/F146)^(1/MIN(COUNTIF(I146:XFD146,"&gt;"&amp;0)-1,$F$1)))</f>
        <v>0</v>
      </c>
    </row>
    <row r="147" spans="1:7" x14ac:dyDescent="0.25">
      <c r="A147" s="9">
        <f t="shared" si="8"/>
        <v>146</v>
      </c>
      <c r="B147" s="9">
        <f t="array" ref="B147">IF(C147="",0,IF(OR(C147=Country_Comparison!$S$10:$S$29),1,0))</f>
        <v>0</v>
      </c>
      <c r="C147" s="9" t="str">
        <f>IF(H147="","",H147)</f>
        <v/>
      </c>
      <c r="D147" s="6">
        <f>MAX(I147:CL147)</f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>IF(COUNTIF(I147:XFD147,"&gt;"&amp;0)=0,,(E147/F147)^(1/MIN(COUNTIF(I147:XFD147,"&gt;"&amp;0)-1,$F$1)))</f>
        <v>0</v>
      </c>
    </row>
    <row r="148" spans="1:7" x14ac:dyDescent="0.25">
      <c r="A148" s="9">
        <f t="shared" si="8"/>
        <v>147</v>
      </c>
      <c r="B148" s="9">
        <f t="array" ref="B148">IF(C148="",0,IF(OR(C148=Country_Comparison!$S$10:$S$29),1,0))</f>
        <v>0</v>
      </c>
      <c r="C148" s="9" t="str">
        <f>IF(H148="","",H148)</f>
        <v/>
      </c>
      <c r="D148" s="6">
        <f>MAX(I148:CL148)</f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>IF(COUNTIF(I148:XFD148,"&gt;"&amp;0)=0,,(E148/F148)^(1/MIN(COUNTIF(I148:XFD148,"&gt;"&amp;0)-1,$F$1)))</f>
        <v>0</v>
      </c>
    </row>
    <row r="149" spans="1:7" x14ac:dyDescent="0.25">
      <c r="A149" s="9">
        <f t="shared" si="8"/>
        <v>148</v>
      </c>
      <c r="B149" s="9">
        <f t="array" ref="B149">IF(C149="",0,IF(OR(C149=Country_Comparison!$S$10:$S$29),1,0))</f>
        <v>0</v>
      </c>
      <c r="C149" s="9" t="str">
        <f>IF(H149="","",H149)</f>
        <v/>
      </c>
      <c r="D149" s="6">
        <f>MAX(I149:CL149)</f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>IF(COUNTIF(I149:XFD149,"&gt;"&amp;0)=0,,(E149/F149)^(1/MIN(COUNTIF(I149:XFD149,"&gt;"&amp;0)-1,$F$1)))</f>
        <v>0</v>
      </c>
    </row>
    <row r="150" spans="1:7" x14ac:dyDescent="0.25">
      <c r="A150" s="9">
        <f t="shared" si="8"/>
        <v>149</v>
      </c>
      <c r="B150" s="9">
        <f t="array" ref="B150">IF(C150="",0,IF(OR(C150=Country_Comparison!$S$10:$S$29),1,0))</f>
        <v>0</v>
      </c>
      <c r="C150" s="9" t="str">
        <f>IF(H150="","",H150)</f>
        <v/>
      </c>
      <c r="D150" s="6">
        <f>MAX(I150:CL150)</f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>IF(COUNTIF(I150:XFD150,"&gt;"&amp;0)=0,,(E150/F150)^(1/MIN(COUNTIF(I150:XFD150,"&gt;"&amp;0)-1,$F$1)))</f>
        <v>0</v>
      </c>
    </row>
    <row r="151" spans="1:7" x14ac:dyDescent="0.25">
      <c r="A151" s="9">
        <f t="shared" si="8"/>
        <v>150</v>
      </c>
      <c r="B151" s="9">
        <f t="array" ref="B151">IF(C151="",0,IF(OR(C151=Country_Comparison!$S$10:$S$29),1,0))</f>
        <v>0</v>
      </c>
      <c r="C151" s="9" t="str">
        <f>IF(H151="","",H151)</f>
        <v/>
      </c>
      <c r="D151" s="6">
        <f>MAX(I151:CL151)</f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>IF(COUNTIF(I151:XFD151,"&gt;"&amp;0)=0,,(E151/F151)^(1/MIN(COUNTIF(I151:XFD151,"&gt;"&amp;0)-1,$F$1)))</f>
        <v>0</v>
      </c>
    </row>
    <row r="152" spans="1:7" x14ac:dyDescent="0.25">
      <c r="A152" s="9">
        <f t="shared" si="8"/>
        <v>151</v>
      </c>
      <c r="B152" s="9">
        <f t="array" ref="B152">IF(C152="",0,IF(OR(C152=Country_Comparison!$S$10:$S$29),1,0))</f>
        <v>0</v>
      </c>
      <c r="C152" s="9" t="str">
        <f>IF(H152="","",H152)</f>
        <v/>
      </c>
      <c r="D152" s="6">
        <f>MAX(I152:CL152)</f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>IF(COUNTIF(I152:XFD152,"&gt;"&amp;0)=0,,(E152/F152)^(1/MIN(COUNTIF(I152:XFD152,"&gt;"&amp;0)-1,$F$1)))</f>
        <v>0</v>
      </c>
    </row>
    <row r="153" spans="1:7" x14ac:dyDescent="0.25">
      <c r="A153" s="9">
        <f t="shared" si="8"/>
        <v>152</v>
      </c>
      <c r="B153" s="9">
        <f t="array" ref="B153">IF(C153="",0,IF(OR(C153=Country_Comparison!$S$10:$S$29),1,0))</f>
        <v>0</v>
      </c>
      <c r="C153" s="9" t="str">
        <f>IF(H153="","",H153)</f>
        <v/>
      </c>
      <c r="D153" s="6">
        <f>MAX(I153:CL153)</f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>IF(COUNTIF(I153:XFD153,"&gt;"&amp;0)=0,,(E153/F153)^(1/MIN(COUNTIF(I153:XFD153,"&gt;"&amp;0)-1,$F$1)))</f>
        <v>0</v>
      </c>
    </row>
    <row r="154" spans="1:7" x14ac:dyDescent="0.25">
      <c r="A154" s="9">
        <f t="shared" si="8"/>
        <v>153</v>
      </c>
      <c r="B154" s="9">
        <f t="array" ref="B154">IF(C154="",0,IF(OR(C154=Country_Comparison!$S$10:$S$29),1,0))</f>
        <v>0</v>
      </c>
      <c r="C154" s="9" t="str">
        <f>IF(H154="","",H154)</f>
        <v/>
      </c>
      <c r="D154" s="6">
        <f>MAX(I154:CL154)</f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>IF(COUNTIF(I154:XFD154,"&gt;"&amp;0)=0,,(E154/F154)^(1/MIN(COUNTIF(I154:XFD154,"&gt;"&amp;0)-1,$F$1)))</f>
        <v>0</v>
      </c>
    </row>
    <row r="155" spans="1:7" x14ac:dyDescent="0.25">
      <c r="A155" s="9">
        <f t="shared" si="8"/>
        <v>154</v>
      </c>
      <c r="B155" s="9">
        <f t="array" ref="B155">IF(C155="",0,IF(OR(C155=Country_Comparison!$S$10:$S$29),1,0))</f>
        <v>0</v>
      </c>
      <c r="C155" s="9" t="str">
        <f>IF(H155="","",H155)</f>
        <v/>
      </c>
      <c r="D155" s="6">
        <f>MAX(I155:CL155)</f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>IF(COUNTIF(I155:XFD155,"&gt;"&amp;0)=0,,(E155/F155)^(1/MIN(COUNTIF(I155:XFD155,"&gt;"&amp;0)-1,$F$1)))</f>
        <v>0</v>
      </c>
    </row>
    <row r="156" spans="1:7" x14ac:dyDescent="0.25">
      <c r="A156" s="9">
        <f t="shared" si="8"/>
        <v>155</v>
      </c>
      <c r="B156" s="9">
        <f t="array" ref="B156">IF(C156="",0,IF(OR(C156=Country_Comparison!$S$10:$S$29),1,0))</f>
        <v>0</v>
      </c>
      <c r="C156" s="9" t="str">
        <f>IF(H156="","",H156)</f>
        <v/>
      </c>
      <c r="D156" s="6">
        <f>MAX(I156:CL156)</f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>IF(COUNTIF(I156:XFD156,"&gt;"&amp;0)=0,,(E156/F156)^(1/MIN(COUNTIF(I156:XFD156,"&gt;"&amp;0)-1,$F$1)))</f>
        <v>0</v>
      </c>
    </row>
    <row r="157" spans="1:7" x14ac:dyDescent="0.25">
      <c r="A157" s="9">
        <f t="shared" si="8"/>
        <v>156</v>
      </c>
      <c r="B157" s="9">
        <f t="array" ref="B157">IF(C157="",0,IF(OR(C157=Country_Comparison!$S$10:$S$29),1,0))</f>
        <v>0</v>
      </c>
      <c r="C157" s="9" t="str">
        <f>IF(H157="","",H157)</f>
        <v/>
      </c>
      <c r="D157" s="6">
        <f>MAX(I157:CL157)</f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>IF(COUNTIF(I157:XFD157,"&gt;"&amp;0)=0,,(E157/F157)^(1/MIN(COUNTIF(I157:XFD157,"&gt;"&amp;0)-1,$F$1)))</f>
        <v>0</v>
      </c>
    </row>
    <row r="158" spans="1:7" x14ac:dyDescent="0.25">
      <c r="A158" s="9">
        <f t="shared" si="8"/>
        <v>157</v>
      </c>
      <c r="B158" s="9">
        <f t="array" ref="B158">IF(C158="",0,IF(OR(C158=Country_Comparison!$S$10:$S$29),1,0))</f>
        <v>0</v>
      </c>
      <c r="C158" s="9" t="str">
        <f>IF(H158="","",H158)</f>
        <v/>
      </c>
      <c r="D158" s="6">
        <f>MAX(I158:CL158)</f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>IF(COUNTIF(I158:XFD158,"&gt;"&amp;0)=0,,(E158/F158)^(1/MIN(COUNTIF(I158:XFD158,"&gt;"&amp;0)-1,$F$1)))</f>
        <v>0</v>
      </c>
    </row>
    <row r="159" spans="1:7" x14ac:dyDescent="0.25">
      <c r="A159" s="9">
        <f t="shared" si="8"/>
        <v>158</v>
      </c>
      <c r="B159" s="9">
        <f t="array" ref="B159">IF(C159="",0,IF(OR(C159=Country_Comparison!$S$10:$S$29),1,0))</f>
        <v>0</v>
      </c>
      <c r="C159" s="9" t="str">
        <f>IF(H159="","",H159)</f>
        <v/>
      </c>
      <c r="D159" s="6">
        <f>MAX(I159:CL159)</f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>IF(COUNTIF(I159:XFD159,"&gt;"&amp;0)=0,,(E159/F159)^(1/MIN(COUNTIF(I159:XFD159,"&gt;"&amp;0)-1,$F$1)))</f>
        <v>0</v>
      </c>
    </row>
    <row r="160" spans="1:7" x14ac:dyDescent="0.25">
      <c r="A160" s="9">
        <f t="shared" si="8"/>
        <v>159</v>
      </c>
      <c r="B160" s="9">
        <f t="array" ref="B160">IF(C160="",0,IF(OR(C160=Country_Comparison!$S$10:$S$29),1,0))</f>
        <v>0</v>
      </c>
      <c r="C160" s="9" t="str">
        <f>IF(H160="","",H160)</f>
        <v/>
      </c>
      <c r="D160" s="6">
        <f>MAX(I160:CL160)</f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>IF(COUNTIF(I160:XFD160,"&gt;"&amp;0)=0,,(E160/F160)^(1/MIN(COUNTIF(I160:XFD160,"&gt;"&amp;0)-1,$F$1)))</f>
        <v>0</v>
      </c>
    </row>
    <row r="161" spans="1:7" x14ac:dyDescent="0.25">
      <c r="A161" s="9">
        <f t="shared" si="8"/>
        <v>160</v>
      </c>
      <c r="B161" s="9">
        <f t="array" ref="B161">IF(C161="",0,IF(OR(C161=Country_Comparison!$S$10:$S$29),1,0))</f>
        <v>0</v>
      </c>
      <c r="C161" s="9" t="str">
        <f>IF(H161="","",H161)</f>
        <v/>
      </c>
      <c r="D161" s="6">
        <f>MAX(I161:CL161)</f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>IF(COUNTIF(I161:XFD161,"&gt;"&amp;0)=0,,(E161/F161)^(1/MIN(COUNTIF(I161:XFD161,"&gt;"&amp;0)-1,$F$1)))</f>
        <v>0</v>
      </c>
    </row>
    <row r="162" spans="1:7" x14ac:dyDescent="0.25">
      <c r="A162" s="9">
        <f t="shared" si="8"/>
        <v>161</v>
      </c>
      <c r="B162" s="9">
        <f t="array" ref="B162">IF(C162="",0,IF(OR(C162=Country_Comparison!$S$10:$S$29),1,0))</f>
        <v>0</v>
      </c>
      <c r="C162" s="9" t="str">
        <f>IF(H162="","",H162)</f>
        <v/>
      </c>
      <c r="D162" s="6">
        <f>MAX(I162:CL162)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>IF(COUNTIF(I162:XFD162,"&gt;"&amp;0)=0,,(E162/F162)^(1/MIN(COUNTIF(I162:XFD162,"&gt;"&amp;0)-1,$F$1)))</f>
        <v>0</v>
      </c>
    </row>
    <row r="163" spans="1:7" x14ac:dyDescent="0.25">
      <c r="A163" s="9">
        <f t="shared" si="8"/>
        <v>162</v>
      </c>
      <c r="B163" s="9">
        <f t="array" ref="B163">IF(C163="",0,IF(OR(C163=Country_Comparison!$S$10:$S$29),1,0))</f>
        <v>0</v>
      </c>
      <c r="C163" s="9" t="str">
        <f>IF(H163="","",H163)</f>
        <v/>
      </c>
      <c r="D163" s="6">
        <f>MAX(I163:CL163)</f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>IF(COUNTIF(I163:XFD163,"&gt;"&amp;0)=0,,(E163/F163)^(1/MIN(COUNTIF(I163:XFD163,"&gt;"&amp;0)-1,$F$1)))</f>
        <v>0</v>
      </c>
    </row>
    <row r="164" spans="1:7" x14ac:dyDescent="0.25">
      <c r="A164" s="9">
        <f t="shared" si="8"/>
        <v>163</v>
      </c>
      <c r="B164" s="9">
        <f t="array" ref="B164">IF(C164="",0,IF(OR(C164=Country_Comparison!$S$10:$S$29),1,0))</f>
        <v>0</v>
      </c>
      <c r="C164" s="9" t="str">
        <f>IF(H164="","",H164)</f>
        <v/>
      </c>
      <c r="D164" s="6">
        <f>MAX(I164:CL164)</f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>IF(COUNTIF(I164:XFD164,"&gt;"&amp;0)=0,,(E164/F164)^(1/MIN(COUNTIF(I164:XFD164,"&gt;"&amp;0)-1,$F$1)))</f>
        <v>0</v>
      </c>
    </row>
    <row r="165" spans="1:7" x14ac:dyDescent="0.25">
      <c r="A165" s="9">
        <f t="shared" si="8"/>
        <v>164</v>
      </c>
      <c r="B165" s="9">
        <f t="array" ref="B165">IF(C165="",0,IF(OR(C165=Country_Comparison!$S$10:$S$29),1,0))</f>
        <v>0</v>
      </c>
      <c r="C165" s="9" t="str">
        <f>IF(H165="","",H165)</f>
        <v/>
      </c>
      <c r="D165" s="6">
        <f>MAX(I165:CL165)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>IF(COUNTIF(I165:XFD165,"&gt;"&amp;0)=0,,(E165/F165)^(1/MIN(COUNTIF(I165:XFD165,"&gt;"&amp;0)-1,$F$1)))</f>
        <v>0</v>
      </c>
    </row>
    <row r="166" spans="1:7" x14ac:dyDescent="0.25">
      <c r="A166" s="9">
        <f t="shared" si="8"/>
        <v>165</v>
      </c>
      <c r="B166" s="9">
        <f t="array" ref="B166">IF(C166="",0,IF(OR(C166=Country_Comparison!$S$10:$S$29),1,0))</f>
        <v>0</v>
      </c>
      <c r="C166" s="9" t="str">
        <f>IF(H166="","",H166)</f>
        <v/>
      </c>
      <c r="D166" s="6">
        <f>MAX(I166:CL166)</f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>IF(COUNTIF(I166:XFD166,"&gt;"&amp;0)=0,,(E166/F166)^(1/MIN(COUNTIF(I166:XFD166,"&gt;"&amp;0)-1,$F$1)))</f>
        <v>0</v>
      </c>
    </row>
    <row r="167" spans="1:7" x14ac:dyDescent="0.25">
      <c r="A167" s="9">
        <f t="shared" si="8"/>
        <v>166</v>
      </c>
      <c r="B167" s="9">
        <f t="array" ref="B167">IF(C167="",0,IF(OR(C167=Country_Comparison!$S$10:$S$29),1,0))</f>
        <v>0</v>
      </c>
      <c r="C167" s="9" t="str">
        <f>IF(H167="","",H167)</f>
        <v/>
      </c>
      <c r="D167" s="6">
        <f>MAX(I167:CL167)</f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>IF(COUNTIF(I167:XFD167,"&gt;"&amp;0)=0,,(E167/F167)^(1/MIN(COUNTIF(I167:XFD167,"&gt;"&amp;0)-1,$F$1)))</f>
        <v>0</v>
      </c>
    </row>
    <row r="168" spans="1:7" x14ac:dyDescent="0.25">
      <c r="A168" s="9">
        <f t="shared" si="8"/>
        <v>167</v>
      </c>
      <c r="B168" s="9">
        <f t="array" ref="B168">IF(C168="",0,IF(OR(C168=Country_Comparison!$S$10:$S$29),1,0))</f>
        <v>0</v>
      </c>
      <c r="C168" s="9" t="str">
        <f>IF(H168="","",H168)</f>
        <v/>
      </c>
      <c r="D168" s="6">
        <f>MAX(I168:CL168)</f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>IF(COUNTIF(I168:XFD168,"&gt;"&amp;0)=0,,(E168/F168)^(1/MIN(COUNTIF(I168:XFD168,"&gt;"&amp;0)-1,$F$1)))</f>
        <v>0</v>
      </c>
    </row>
    <row r="169" spans="1:7" x14ac:dyDescent="0.25">
      <c r="A169" s="9">
        <f t="shared" si="8"/>
        <v>168</v>
      </c>
      <c r="B169" s="9">
        <f t="array" ref="B169">IF(C169="",0,IF(OR(C169=Country_Comparison!$S$10:$S$29),1,0))</f>
        <v>0</v>
      </c>
      <c r="C169" s="9" t="str">
        <f>IF(H169="","",H169)</f>
        <v/>
      </c>
      <c r="D169" s="6">
        <f>MAX(I169:CL169)</f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>IF(COUNTIF(I169:XFD169,"&gt;"&amp;0)=0,,(E169/F169)^(1/MIN(COUNTIF(I169:XFD169,"&gt;"&amp;0)-1,$F$1)))</f>
        <v>0</v>
      </c>
    </row>
    <row r="170" spans="1:7" x14ac:dyDescent="0.25">
      <c r="A170" s="9">
        <f t="shared" si="8"/>
        <v>169</v>
      </c>
      <c r="B170" s="9">
        <f t="array" ref="B170">IF(C170="",0,IF(OR(C170=Country_Comparison!$S$10:$S$29),1,0))</f>
        <v>0</v>
      </c>
      <c r="C170" s="9" t="str">
        <f>IF(H170="","",H170)</f>
        <v/>
      </c>
      <c r="D170" s="6">
        <f>MAX(I170:CL170)</f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>IF(COUNTIF(I170:XFD170,"&gt;"&amp;0)=0,,(E170/F170)^(1/MIN(COUNTIF(I170:XFD170,"&gt;"&amp;0)-1,$F$1)))</f>
        <v>0</v>
      </c>
    </row>
    <row r="171" spans="1:7" x14ac:dyDescent="0.25">
      <c r="A171" s="9">
        <f t="shared" si="8"/>
        <v>170</v>
      </c>
      <c r="B171" s="9">
        <f t="array" ref="B171">IF(C171="",0,IF(OR(C171=Country_Comparison!$S$10:$S$29),1,0))</f>
        <v>0</v>
      </c>
      <c r="C171" s="9" t="str">
        <f>IF(H171="","",H171)</f>
        <v/>
      </c>
      <c r="D171" s="6">
        <f>MAX(I171:CL171)</f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>IF(COUNTIF(I171:XFD171,"&gt;"&amp;0)=0,,(E171/F171)^(1/MIN(COUNTIF(I171:XFD171,"&gt;"&amp;0)-1,$F$1)))</f>
        <v>0</v>
      </c>
    </row>
    <row r="172" spans="1:7" x14ac:dyDescent="0.25">
      <c r="A172" s="9">
        <f t="shared" si="8"/>
        <v>171</v>
      </c>
      <c r="B172" s="9">
        <f t="array" ref="B172">IF(C172="",0,IF(OR(C172=Country_Comparison!$S$10:$S$29),1,0))</f>
        <v>0</v>
      </c>
      <c r="C172" s="9" t="str">
        <f>IF(H172="","",H172)</f>
        <v/>
      </c>
      <c r="D172" s="6">
        <f>MAX(I172:CL172)</f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>IF(COUNTIF(I172:XFD172,"&gt;"&amp;0)=0,,(E172/F172)^(1/MIN(COUNTIF(I172:XFD172,"&gt;"&amp;0)-1,$F$1)))</f>
        <v>0</v>
      </c>
    </row>
    <row r="173" spans="1:7" x14ac:dyDescent="0.25">
      <c r="A173" s="9">
        <f t="shared" si="8"/>
        <v>172</v>
      </c>
      <c r="B173" s="9">
        <f t="array" ref="B173">IF(C173="",0,IF(OR(C173=Country_Comparison!$S$10:$S$29),1,0))</f>
        <v>0</v>
      </c>
      <c r="C173" s="9" t="str">
        <f>IF(H173="","",H173)</f>
        <v/>
      </c>
      <c r="D173" s="6">
        <f>MAX(I173:CL173)</f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>IF(COUNTIF(I173:XFD173,"&gt;"&amp;0)=0,,(E173/F173)^(1/MIN(COUNTIF(I173:XFD173,"&gt;"&amp;0)-1,$F$1)))</f>
        <v>0</v>
      </c>
    </row>
    <row r="174" spans="1:7" x14ac:dyDescent="0.25">
      <c r="A174" s="9">
        <f t="shared" si="8"/>
        <v>173</v>
      </c>
      <c r="B174" s="9">
        <f t="array" ref="B174">IF(C174="",0,IF(OR(C174=Country_Comparison!$S$10:$S$29),1,0))</f>
        <v>0</v>
      </c>
      <c r="C174" s="9" t="str">
        <f>IF(H174="","",H174)</f>
        <v/>
      </c>
      <c r="D174" s="6">
        <f>MAX(I174:CL174)</f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>IF(COUNTIF(I174:XFD174,"&gt;"&amp;0)=0,,(E174/F174)^(1/MIN(COUNTIF(I174:XFD174,"&gt;"&amp;0)-1,$F$1)))</f>
        <v>0</v>
      </c>
    </row>
    <row r="175" spans="1:7" x14ac:dyDescent="0.25">
      <c r="A175" s="9">
        <f t="shared" si="8"/>
        <v>174</v>
      </c>
      <c r="B175" s="9">
        <f t="array" ref="B175">IF(C175="",0,IF(OR(C175=Country_Comparison!$S$10:$S$29),1,0))</f>
        <v>0</v>
      </c>
      <c r="C175" s="9" t="str">
        <f>IF(H175="","",H175)</f>
        <v/>
      </c>
      <c r="D175" s="6">
        <f>MAX(I175:CL175)</f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>IF(COUNTIF(I175:XFD175,"&gt;"&amp;0)=0,,(E175/F175)^(1/MIN(COUNTIF(I175:XFD175,"&gt;"&amp;0)-1,$F$1)))</f>
        <v>0</v>
      </c>
    </row>
    <row r="176" spans="1:7" x14ac:dyDescent="0.25">
      <c r="A176" s="9">
        <f t="shared" si="8"/>
        <v>175</v>
      </c>
      <c r="B176" s="9">
        <f t="array" ref="B176">IF(C176="",0,IF(OR(C176=Country_Comparison!$S$10:$S$29),1,0))</f>
        <v>0</v>
      </c>
      <c r="C176" s="9" t="str">
        <f>IF(H176="","",H176)</f>
        <v/>
      </c>
      <c r="D176" s="6">
        <f>MAX(I176:CL176)</f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>IF(COUNTIF(I176:XFD176,"&gt;"&amp;0)=0,,(E176/F176)^(1/MIN(COUNTIF(I176:XFD176,"&gt;"&amp;0)-1,$F$1)))</f>
        <v>0</v>
      </c>
    </row>
    <row r="177" spans="1:7" x14ac:dyDescent="0.25">
      <c r="A177" s="9">
        <f t="shared" si="8"/>
        <v>176</v>
      </c>
      <c r="B177" s="9">
        <f t="array" ref="B177">IF(C177="",0,IF(OR(C177=Country_Comparison!$S$10:$S$29),1,0))</f>
        <v>0</v>
      </c>
      <c r="C177" s="9" t="str">
        <f>IF(H177="","",H177)</f>
        <v/>
      </c>
      <c r="D177" s="6">
        <f>MAX(I177:CL177)</f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>IF(COUNTIF(I177:XFD177,"&gt;"&amp;0)=0,,(E177/F177)^(1/MIN(COUNTIF(I177:XFD177,"&gt;"&amp;0)-1,$F$1)))</f>
        <v>0</v>
      </c>
    </row>
    <row r="178" spans="1:7" x14ac:dyDescent="0.25">
      <c r="A178" s="9">
        <f t="shared" si="8"/>
        <v>177</v>
      </c>
      <c r="B178" s="9">
        <f t="array" ref="B178">IF(C178="",0,IF(OR(C178=Country_Comparison!$S$10:$S$29),1,0))</f>
        <v>0</v>
      </c>
      <c r="C178" s="9" t="str">
        <f>IF(H178="","",H178)</f>
        <v/>
      </c>
      <c r="D178" s="6">
        <f>MAX(I178:CL178)</f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>IF(COUNTIF(I178:XFD178,"&gt;"&amp;0)=0,,(E178/F178)^(1/MIN(COUNTIF(I178:XFD178,"&gt;"&amp;0)-1,$F$1)))</f>
        <v>0</v>
      </c>
    </row>
    <row r="179" spans="1:7" x14ac:dyDescent="0.25">
      <c r="A179" s="9">
        <f t="shared" si="8"/>
        <v>178</v>
      </c>
      <c r="B179" s="9">
        <f t="array" ref="B179">IF(C179="",0,IF(OR(C179=Country_Comparison!$S$10:$S$29),1,0))</f>
        <v>0</v>
      </c>
      <c r="C179" s="9" t="str">
        <f>IF(H179="","",H179)</f>
        <v/>
      </c>
      <c r="D179" s="6">
        <f>MAX(I179:CL179)</f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>IF(COUNTIF(I179:XFD179,"&gt;"&amp;0)=0,,(E179/F179)^(1/MIN(COUNTIF(I179:XFD179,"&gt;"&amp;0)-1,$F$1)))</f>
        <v>0</v>
      </c>
    </row>
    <row r="180" spans="1:7" x14ac:dyDescent="0.25">
      <c r="A180" s="9">
        <f t="shared" si="8"/>
        <v>179</v>
      </c>
      <c r="B180" s="9">
        <f t="array" ref="B180">IF(C180="",0,IF(OR(C180=Country_Comparison!$S$10:$S$29),1,0))</f>
        <v>0</v>
      </c>
      <c r="C180" s="9" t="str">
        <f>IF(H180="","",H180)</f>
        <v/>
      </c>
      <c r="D180" s="6">
        <f>MAX(I180:CL180)</f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>IF(COUNTIF(I180:XFD180,"&gt;"&amp;0)=0,,(E180/F180)^(1/MIN(COUNTIF(I180:XFD180,"&gt;"&amp;0)-1,$F$1)))</f>
        <v>0</v>
      </c>
    </row>
    <row r="181" spans="1:7" x14ac:dyDescent="0.25">
      <c r="A181" s="9">
        <f t="shared" si="8"/>
        <v>180</v>
      </c>
      <c r="B181" s="9">
        <f t="array" ref="B181">IF(C181="",0,IF(OR(C181=Country_Comparison!$S$10:$S$29),1,0))</f>
        <v>0</v>
      </c>
      <c r="C181" s="9" t="str">
        <f>IF(H181="","",H181)</f>
        <v/>
      </c>
      <c r="D181" s="6">
        <f>MAX(I181:CL181)</f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>IF(COUNTIF(I181:XFD181,"&gt;"&amp;0)=0,,(E181/F181)^(1/MIN(COUNTIF(I181:XFD181,"&gt;"&amp;0)-1,$F$1)))</f>
        <v>0</v>
      </c>
    </row>
    <row r="182" spans="1:7" x14ac:dyDescent="0.25">
      <c r="A182" s="9">
        <f t="shared" si="8"/>
        <v>181</v>
      </c>
      <c r="B182" s="9">
        <f t="array" ref="B182">IF(C182="",0,IF(OR(C182=Country_Comparison!$S$10:$S$29),1,0))</f>
        <v>0</v>
      </c>
      <c r="C182" s="9" t="str">
        <f>IF(H182="","",H182)</f>
        <v/>
      </c>
      <c r="D182" s="6">
        <f>MAX(I182:CL182)</f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>IF(COUNTIF(I182:XFD182,"&gt;"&amp;0)=0,,(E182/F182)^(1/MIN(COUNTIF(I182:XFD182,"&gt;"&amp;0)-1,$F$1)))</f>
        <v>0</v>
      </c>
    </row>
    <row r="183" spans="1:7" x14ac:dyDescent="0.25">
      <c r="A183" s="9">
        <f t="shared" si="8"/>
        <v>182</v>
      </c>
      <c r="B183" s="9">
        <f t="array" ref="B183">IF(C183="",0,IF(OR(C183=Country_Comparison!$S$10:$S$29),1,0))</f>
        <v>0</v>
      </c>
      <c r="C183" s="9" t="str">
        <f>IF(H183="","",H183)</f>
        <v/>
      </c>
      <c r="D183" s="6">
        <f>MAX(I183:CL183)</f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>IF(COUNTIF(I183:XFD183,"&gt;"&amp;0)=0,,(E183/F183)^(1/MIN(COUNTIF(I183:XFD183,"&gt;"&amp;0)-1,$F$1)))</f>
        <v>0</v>
      </c>
    </row>
    <row r="184" spans="1:7" x14ac:dyDescent="0.25">
      <c r="A184" s="9">
        <f t="shared" si="8"/>
        <v>183</v>
      </c>
      <c r="B184" s="9">
        <f t="array" ref="B184">IF(C184="",0,IF(OR(C184=Country_Comparison!$S$10:$S$29),1,0))</f>
        <v>0</v>
      </c>
      <c r="C184" s="9" t="str">
        <f>IF(H184="","",H184)</f>
        <v/>
      </c>
      <c r="D184" s="6">
        <f>MAX(I184:CL184)</f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>IF(COUNTIF(I184:XFD184,"&gt;"&amp;0)=0,,(E184/F184)^(1/MIN(COUNTIF(I184:XFD184,"&gt;"&amp;0)-1,$F$1)))</f>
        <v>0</v>
      </c>
    </row>
    <row r="185" spans="1:7" x14ac:dyDescent="0.25">
      <c r="A185" s="9">
        <f t="shared" si="8"/>
        <v>184</v>
      </c>
      <c r="B185" s="9">
        <f t="array" ref="B185">IF(C185="",0,IF(OR(C185=Country_Comparison!$S$10:$S$29),1,0))</f>
        <v>0</v>
      </c>
      <c r="C185" s="9" t="str">
        <f>IF(H185="","",H185)</f>
        <v/>
      </c>
      <c r="D185" s="6">
        <f>MAX(I185:CL185)</f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>IF(COUNTIF(I185:XFD185,"&gt;"&amp;0)=0,,(E185/F185)^(1/MIN(COUNTIF(I185:XFD185,"&gt;"&amp;0)-1,$F$1)))</f>
        <v>0</v>
      </c>
    </row>
    <row r="186" spans="1:7" x14ac:dyDescent="0.25">
      <c r="A186" s="9">
        <f t="shared" si="8"/>
        <v>185</v>
      </c>
      <c r="B186" s="9">
        <f t="array" ref="B186">IF(C186="",0,IF(OR(C186=Country_Comparison!$S$10:$S$29),1,0))</f>
        <v>0</v>
      </c>
      <c r="C186" s="9" t="str">
        <f>IF(H186="","",H186)</f>
        <v/>
      </c>
      <c r="D186" s="6">
        <f>MAX(I186:CL186)</f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>IF(COUNTIF(I186:XFD186,"&gt;"&amp;0)=0,,(E186/F186)^(1/MIN(COUNTIF(I186:XFD186,"&gt;"&amp;0)-1,$F$1)))</f>
        <v>0</v>
      </c>
    </row>
    <row r="187" spans="1:7" x14ac:dyDescent="0.25">
      <c r="A187" s="9">
        <f t="shared" si="8"/>
        <v>186</v>
      </c>
      <c r="B187" s="9">
        <f t="array" ref="B187">IF(C187="",0,IF(OR(C187=Country_Comparison!$S$10:$S$29),1,0))</f>
        <v>0</v>
      </c>
      <c r="C187" s="9" t="str">
        <f>IF(H187="","",H187)</f>
        <v/>
      </c>
      <c r="D187" s="6">
        <f>MAX(I187:CL187)</f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>IF(COUNTIF(I187:XFD187,"&gt;"&amp;0)=0,,(E187/F187)^(1/MIN(COUNTIF(I187:XFD187,"&gt;"&amp;0)-1,$F$1)))</f>
        <v>0</v>
      </c>
    </row>
    <row r="188" spans="1:7" x14ac:dyDescent="0.25">
      <c r="A188" s="9">
        <f t="shared" si="8"/>
        <v>187</v>
      </c>
      <c r="B188" s="9">
        <f t="array" ref="B188">IF(C188="",0,IF(OR(C188=Country_Comparison!$S$10:$S$29),1,0))</f>
        <v>0</v>
      </c>
      <c r="C188" s="9" t="str">
        <f>IF(H188="","",H188)</f>
        <v/>
      </c>
      <c r="D188" s="6">
        <f>MAX(I188:CL188)</f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>IF(COUNTIF(I188:XFD188,"&gt;"&amp;0)=0,,(E188/F188)^(1/MIN(COUNTIF(I188:XFD188,"&gt;"&amp;0)-1,$F$1)))</f>
        <v>0</v>
      </c>
    </row>
    <row r="189" spans="1:7" x14ac:dyDescent="0.25">
      <c r="A189" s="9">
        <f t="shared" si="8"/>
        <v>188</v>
      </c>
      <c r="B189" s="9">
        <f t="array" ref="B189">IF(C189="",0,IF(OR(C189=Country_Comparison!$S$10:$S$29),1,0))</f>
        <v>0</v>
      </c>
      <c r="C189" s="9" t="str">
        <f>IF(H189="","",H189)</f>
        <v/>
      </c>
      <c r="D189" s="6">
        <f>MAX(I189:CL189)</f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>IF(COUNTIF(I189:XFD189,"&gt;"&amp;0)=0,,(E189/F189)^(1/MIN(COUNTIF(I189:XFD189,"&gt;"&amp;0)-1,$F$1)))</f>
        <v>0</v>
      </c>
    </row>
    <row r="190" spans="1:7" x14ac:dyDescent="0.25">
      <c r="A190" s="9">
        <f t="shared" si="8"/>
        <v>189</v>
      </c>
      <c r="B190" s="9">
        <f t="array" ref="B190">IF(C190="",0,IF(OR(C190=Country_Comparison!$S$10:$S$29),1,0))</f>
        <v>0</v>
      </c>
      <c r="C190" s="9" t="str">
        <f>IF(H190="","",H190)</f>
        <v/>
      </c>
      <c r="D190" s="6">
        <f>MAX(I190:CL190)</f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>IF(COUNTIF(I190:XFD190,"&gt;"&amp;0)=0,,(E190/F190)^(1/MIN(COUNTIF(I190:XFD190,"&gt;"&amp;0)-1,$F$1)))</f>
        <v>0</v>
      </c>
    </row>
    <row r="191" spans="1:7" x14ac:dyDescent="0.25">
      <c r="A191" s="9">
        <f t="shared" si="8"/>
        <v>190</v>
      </c>
      <c r="B191" s="9">
        <f t="array" ref="B191">IF(C191="",0,IF(OR(C191=Country_Comparison!$S$10:$S$29),1,0))</f>
        <v>0</v>
      </c>
      <c r="C191" s="9" t="str">
        <f>IF(H191="","",H191)</f>
        <v/>
      </c>
      <c r="D191" s="6">
        <f>MAX(I191:CL191)</f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>IF(COUNTIF(I191:XFD191,"&gt;"&amp;0)=0,,(E191/F191)^(1/MIN(COUNTIF(I191:XFD191,"&gt;"&amp;0)-1,$F$1)))</f>
        <v>0</v>
      </c>
    </row>
    <row r="192" spans="1:7" x14ac:dyDescent="0.25">
      <c r="A192" s="9">
        <f t="shared" si="8"/>
        <v>191</v>
      </c>
      <c r="B192" s="9">
        <f t="array" ref="B192">IF(C192="",0,IF(OR(C192=Country_Comparison!$S$10:$S$29),1,0))</f>
        <v>0</v>
      </c>
      <c r="C192" s="9" t="str">
        <f>IF(H192="","",H192)</f>
        <v/>
      </c>
      <c r="D192" s="6">
        <f>MAX(I192:CL192)</f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>IF(COUNTIF(I192:XFD192,"&gt;"&amp;0)=0,,(E192/F192)^(1/MIN(COUNTIF(I192:XFD192,"&gt;"&amp;0)-1,$F$1)))</f>
        <v>0</v>
      </c>
    </row>
    <row r="193" spans="1:7" x14ac:dyDescent="0.25">
      <c r="A193" s="9">
        <f t="shared" si="8"/>
        <v>192</v>
      </c>
      <c r="B193" s="9">
        <f t="array" ref="B193">IF(C193="",0,IF(OR(C193=Country_Comparison!$S$10:$S$29),1,0))</f>
        <v>0</v>
      </c>
      <c r="C193" s="9" t="str">
        <f>IF(H193="","",H193)</f>
        <v/>
      </c>
      <c r="D193" s="6">
        <f>MAX(I193:CL193)</f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>IF(COUNTIF(I193:XFD193,"&gt;"&amp;0)=0,,(E193/F193)^(1/MIN(COUNTIF(I193:XFD193,"&gt;"&amp;0)-1,$F$1)))</f>
        <v>0</v>
      </c>
    </row>
    <row r="194" spans="1:7" x14ac:dyDescent="0.25">
      <c r="A194" s="9">
        <f t="shared" si="8"/>
        <v>193</v>
      </c>
      <c r="B194" s="9">
        <f t="array" ref="B194">IF(C194="",0,IF(OR(C194=Country_Comparison!$S$10:$S$29),1,0))</f>
        <v>0</v>
      </c>
      <c r="C194" s="9" t="str">
        <f>IF(H194="","",H194)</f>
        <v/>
      </c>
      <c r="D194" s="6">
        <f>MAX(I194:CL194)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>IF(COUNTIF(I194:XFD194,"&gt;"&amp;0)=0,,(E194/F194)^(1/MIN(COUNTIF(I194:XFD194,"&gt;"&amp;0)-1,$F$1)))</f>
        <v>0</v>
      </c>
    </row>
    <row r="195" spans="1:7" x14ac:dyDescent="0.25">
      <c r="A195" s="9">
        <f t="shared" si="8"/>
        <v>194</v>
      </c>
      <c r="B195" s="9">
        <f t="array" ref="B195">IF(C195="",0,IF(OR(C195=Country_Comparison!$S$10:$S$29),1,0))</f>
        <v>0</v>
      </c>
      <c r="C195" s="9" t="str">
        <f>IF(H195="","",H195)</f>
        <v/>
      </c>
      <c r="D195" s="6">
        <f>MAX(I195:CL195)</f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>IF(COUNTIF(I195:XFD195,"&gt;"&amp;0)=0,,(E195/F195)^(1/MIN(COUNTIF(I195:XFD195,"&gt;"&amp;0)-1,$F$1)))</f>
        <v>0</v>
      </c>
    </row>
    <row r="196" spans="1:7" x14ac:dyDescent="0.25">
      <c r="A196" s="9">
        <f t="shared" si="8"/>
        <v>195</v>
      </c>
      <c r="B196" s="9">
        <f t="array" ref="B196">IF(C196="",0,IF(OR(C196=Country_Comparison!$S$10:$S$29),1,0))</f>
        <v>0</v>
      </c>
      <c r="C196" s="9" t="str">
        <f>IF(H196="","",H196)</f>
        <v/>
      </c>
      <c r="D196" s="6">
        <f>MAX(I196:CL196)</f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>IF(COUNTIF(I196:XFD196,"&gt;"&amp;0)=0,,(E196/F196)^(1/MIN(COUNTIF(I196:XFD196,"&gt;"&amp;0)-1,$F$1)))</f>
        <v>0</v>
      </c>
    </row>
    <row r="197" spans="1:7" x14ac:dyDescent="0.25">
      <c r="A197" s="9">
        <f t="shared" si="8"/>
        <v>196</v>
      </c>
      <c r="B197" s="9">
        <f t="array" ref="B197">IF(C197="",0,IF(OR(C197=Country_Comparison!$S$10:$S$29),1,0))</f>
        <v>0</v>
      </c>
      <c r="C197" s="9" t="str">
        <f>IF(H197="","",H197)</f>
        <v/>
      </c>
      <c r="D197" s="6">
        <f>MAX(I197:CL197)</f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>IF(COUNTIF(I197:XFD197,"&gt;"&amp;0)=0,,(E197/F197)^(1/MIN(COUNTIF(I197:XFD197,"&gt;"&amp;0)-1,$F$1)))</f>
        <v>0</v>
      </c>
    </row>
    <row r="198" spans="1:7" x14ac:dyDescent="0.25">
      <c r="A198" s="9">
        <f t="shared" ref="A198:A200" si="9">A197+1</f>
        <v>197</v>
      </c>
      <c r="B198" s="9">
        <f t="array" ref="B198">IF(C198="",0,IF(OR(C198=Country_Comparison!$S$10:$S$29),1,0))</f>
        <v>0</v>
      </c>
      <c r="C198" s="9" t="str">
        <f>IF(H198="","",H198)</f>
        <v/>
      </c>
      <c r="D198" s="6">
        <f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>IF(COUNTIF(I198:XFD198,"&gt;"&amp;0)=0,,(E198/F198)^(1/MIN(COUNTIF(I198:XFD198,"&gt;"&amp;0)-1,$F$1)))</f>
        <v>0</v>
      </c>
    </row>
    <row r="199" spans="1:7" x14ac:dyDescent="0.25">
      <c r="A199" s="9">
        <f t="shared" si="9"/>
        <v>198</v>
      </c>
      <c r="B199" s="9">
        <f t="array" ref="B199">IF(C199="",0,IF(OR(C199=Country_Comparison!$S$10:$S$29),1,0))</f>
        <v>0</v>
      </c>
      <c r="C199" s="9" t="str">
        <f>IF(H199="","",H199)</f>
        <v/>
      </c>
      <c r="D199" s="6">
        <f>MAX(I199:CL199)</f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>IF(COUNTIF(I199:XFD199,"&gt;"&amp;0)=0,,(E199/F199)^(1/MIN(COUNTIF(I199:XFD199,"&gt;"&amp;0)-1,$F$1)))</f>
        <v>0</v>
      </c>
    </row>
    <row r="200" spans="1:7" x14ac:dyDescent="0.25">
      <c r="A200" s="9">
        <f t="shared" si="9"/>
        <v>199</v>
      </c>
      <c r="B200" s="9">
        <f t="array" ref="B200">IF(C200="",0,IF(OR(C200=Country_Comparison!$S$10:$S$29),1,0))</f>
        <v>0</v>
      </c>
      <c r="C200" s="9" t="str">
        <f>IF(H200="","",H200)</f>
        <v/>
      </c>
      <c r="D200" s="6">
        <f>MAX(I200:CL200)</f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>IF(COUNTIF(I200:XFD200,"&gt;"&amp;0)=0,,(E200/F200)^(1/MIN(COUNTIF(I200:XFD200,"&gt;"&amp;0)-1,$F$1)))</f>
        <v>0</v>
      </c>
    </row>
  </sheetData>
  <autoFilter ref="B1:CU1" xr:uid="{A13DDBA3-FED6-4D82-BBD5-9B71C68B67F1}">
    <sortState xmlns:xlrd2="http://schemas.microsoft.com/office/spreadsheetml/2017/richdata2" ref="B2:CU200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/>
  <dimension ref="A1:N127"/>
  <sheetViews>
    <sheetView workbookViewId="0">
      <selection activeCell="H7" sqref="H7"/>
    </sheetView>
  </sheetViews>
  <sheetFormatPr defaultRowHeight="14.4" x14ac:dyDescent="0.3"/>
  <cols>
    <col min="1" max="3" width="8.88671875" style="54"/>
    <col min="4" max="5" width="10.5546875" style="54" bestFit="1" customWidth="1"/>
    <col min="6" max="8" width="8.88671875" style="54"/>
    <col min="9" max="9" width="17.77734375" style="54" bestFit="1" customWidth="1"/>
    <col min="10" max="10" width="10.5546875" style="54" bestFit="1" customWidth="1"/>
    <col min="11" max="11" width="13.77734375" style="43" bestFit="1" customWidth="1"/>
    <col min="12" max="12" width="8.88671875" style="54"/>
    <col min="13" max="13" width="10.33203125" style="54" bestFit="1" customWidth="1"/>
    <col min="14" max="16384" width="8.88671875" style="54"/>
  </cols>
  <sheetData>
    <row r="1" spans="1:14" x14ac:dyDescent="0.3">
      <c r="C1" s="54" t="s">
        <v>481</v>
      </c>
      <c r="D1" s="54">
        <v>100</v>
      </c>
      <c r="E1" s="54" t="s">
        <v>491</v>
      </c>
      <c r="F1" s="54" t="s">
        <v>450</v>
      </c>
      <c r="G1" s="54" t="s">
        <v>519</v>
      </c>
      <c r="H1" s="54" t="s">
        <v>520</v>
      </c>
      <c r="I1" s="54" t="s">
        <v>514</v>
      </c>
      <c r="J1" s="54" t="s">
        <v>510</v>
      </c>
      <c r="K1" s="43" t="s">
        <v>524</v>
      </c>
      <c r="L1" s="54" t="s">
        <v>525</v>
      </c>
      <c r="M1" s="54" t="s">
        <v>468</v>
      </c>
      <c r="N1" s="54" t="s">
        <v>529</v>
      </c>
    </row>
    <row r="2" spans="1:14" x14ac:dyDescent="0.3">
      <c r="A2" s="54">
        <v>1</v>
      </c>
      <c r="B2" s="57" t="s">
        <v>337</v>
      </c>
      <c r="C2" s="57" t="s">
        <v>337</v>
      </c>
      <c r="D2" s="54">
        <v>548</v>
      </c>
      <c r="E2" s="58">
        <f ca="1">OFFSET(CumulativeConfirmed!A2,-A2,MATCH(Country_Data!D2,CumulativeConfirmed!B2:BT2,0))</f>
        <v>43852</v>
      </c>
      <c r="F2" s="43">
        <f>MAX(CumulativeConfirmed!2:2)</f>
        <v>81102</v>
      </c>
      <c r="G2" s="43">
        <f>MAX(CumulativeRecovered!2:2)</f>
        <v>69755</v>
      </c>
      <c r="H2" s="43">
        <f>MAX(CumulativeDead!2:2)</f>
        <v>3241</v>
      </c>
      <c r="I2" s="58">
        <v>43853</v>
      </c>
      <c r="J2" s="58">
        <v>43853</v>
      </c>
      <c r="K2" s="43">
        <v>1439323776</v>
      </c>
      <c r="L2" s="54">
        <v>3.6</v>
      </c>
      <c r="M2" s="43">
        <v>51815.655936000003</v>
      </c>
      <c r="N2" s="74">
        <f>H2/F2</f>
        <v>3.9962023131365439E-2</v>
      </c>
    </row>
    <row r="3" spans="1:14" x14ac:dyDescent="0.3">
      <c r="A3" s="54">
        <v>2</v>
      </c>
      <c r="B3" s="57" t="s">
        <v>58</v>
      </c>
      <c r="C3" s="57" t="s">
        <v>58</v>
      </c>
      <c r="D3" s="54">
        <f>VLOOKUP(C3,Days_Since_100!H:I,2,FALSE)</f>
        <v>155</v>
      </c>
      <c r="E3" s="58">
        <f ca="1">OFFSET(CumulativeConfirmed!A3,-A3,MATCH(Country_Data!D3,CumulativeConfirmed!B3:BT3,0))</f>
        <v>43884</v>
      </c>
      <c r="F3" s="43">
        <f>MAX(CumulativeConfirmed!3:3)</f>
        <v>35713</v>
      </c>
      <c r="G3" s="43">
        <f>MAX(CumulativeRecovered!3:3)</f>
        <v>4025</v>
      </c>
      <c r="H3" s="43">
        <f>MAX(CumulativeDead!3:3)</f>
        <v>2978</v>
      </c>
      <c r="I3" s="58">
        <v>43886</v>
      </c>
      <c r="J3" s="58">
        <v>43886</v>
      </c>
      <c r="K3" s="43">
        <v>60461826</v>
      </c>
      <c r="L3" s="54">
        <v>12.5</v>
      </c>
      <c r="M3" s="43">
        <v>7557.7282499999992</v>
      </c>
      <c r="N3" s="74">
        <f t="shared" ref="N3:N66" si="0">H3/F3</f>
        <v>8.3387001932069549E-2</v>
      </c>
    </row>
    <row r="4" spans="1:14" x14ac:dyDescent="0.3">
      <c r="A4" s="54">
        <v>3</v>
      </c>
      <c r="B4" s="57" t="s">
        <v>338</v>
      </c>
      <c r="C4" s="57" t="s">
        <v>338</v>
      </c>
      <c r="D4" s="54">
        <f>VLOOKUP(C4,Days_Since_100!H:I,2,FALSE)</f>
        <v>139</v>
      </c>
      <c r="E4" s="58">
        <f ca="1">OFFSET(CumulativeConfirmed!A4,-A4,MATCH(Country_Data!D4,CumulativeConfirmed!B4:BT4,0))</f>
        <v>43887</v>
      </c>
      <c r="F4" s="43">
        <f>MAX(CumulativeConfirmed!4:4)</f>
        <v>17361</v>
      </c>
      <c r="G4" s="43">
        <f>MAX(CumulativeRecovered!4:4)</f>
        <v>5389</v>
      </c>
      <c r="H4" s="43">
        <f>MAX(CumulativeDead!4:4)</f>
        <v>1135</v>
      </c>
      <c r="K4" s="43">
        <v>83992949</v>
      </c>
      <c r="L4" s="54">
        <v>0</v>
      </c>
      <c r="M4" s="43">
        <v>0</v>
      </c>
      <c r="N4" s="74">
        <f t="shared" si="0"/>
        <v>6.5376418409077819E-2</v>
      </c>
    </row>
    <row r="5" spans="1:14" x14ac:dyDescent="0.3">
      <c r="A5" s="54">
        <v>4</v>
      </c>
      <c r="B5" s="57" t="s">
        <v>480</v>
      </c>
      <c r="C5" s="57" t="s">
        <v>339</v>
      </c>
      <c r="D5" s="54">
        <f>VLOOKUP(C5,Days_Since_100!H:I,2,FALSE)</f>
        <v>104</v>
      </c>
      <c r="E5" s="58">
        <f ca="1">OFFSET(CumulativeConfirmed!A5,-A5,MATCH(Country_Data!D5,CumulativeConfirmed!B5:BT5,0))</f>
        <v>43881</v>
      </c>
      <c r="F5" s="43">
        <f>MAX(CumulativeConfirmed!5:5)</f>
        <v>8413</v>
      </c>
      <c r="G5" s="43">
        <f>MAX(CumulativeRecovered!5:5)</f>
        <v>1540</v>
      </c>
      <c r="H5" s="43">
        <f>MAX(CumulativeDead!5:5)</f>
        <v>84</v>
      </c>
      <c r="I5" s="58">
        <v>43882</v>
      </c>
      <c r="J5" s="58">
        <v>43881</v>
      </c>
      <c r="K5" s="43">
        <v>51269185</v>
      </c>
      <c r="L5" s="54">
        <v>10.6</v>
      </c>
      <c r="M5" s="43">
        <v>5434.5336100000004</v>
      </c>
      <c r="N5" s="74">
        <f t="shared" si="0"/>
        <v>9.9845477237608463E-3</v>
      </c>
    </row>
    <row r="6" spans="1:14" x14ac:dyDescent="0.3">
      <c r="A6" s="54">
        <v>5</v>
      </c>
      <c r="B6" s="57" t="s">
        <v>60</v>
      </c>
      <c r="C6" s="57" t="s">
        <v>60</v>
      </c>
      <c r="D6" s="54">
        <f>VLOOKUP(C6,Days_Since_100!H:I,2,FALSE)</f>
        <v>120</v>
      </c>
      <c r="E6" s="58">
        <f ca="1">OFFSET(CumulativeConfirmed!A6,-A6,MATCH(Country_Data!D6,CumulativeConfirmed!B6:BT6,0))</f>
        <v>43892</v>
      </c>
      <c r="F6" s="43">
        <f>MAX(CumulativeConfirmed!6:6)</f>
        <v>13910</v>
      </c>
      <c r="G6" s="43">
        <f>MAX(CumulativeRecovered!6:6)</f>
        <v>1081</v>
      </c>
      <c r="H6" s="43">
        <f>MAX(CumulativeDead!6:6)</f>
        <v>623</v>
      </c>
      <c r="I6" s="58">
        <v>43905</v>
      </c>
      <c r="J6" s="58">
        <v>43900</v>
      </c>
      <c r="K6" s="43">
        <v>46754778</v>
      </c>
      <c r="L6" s="54">
        <v>9.6999999999999993</v>
      </c>
      <c r="M6" s="43">
        <v>4535.2134659999992</v>
      </c>
      <c r="N6" s="74">
        <f t="shared" si="0"/>
        <v>4.4787922358015819E-2</v>
      </c>
    </row>
    <row r="7" spans="1:14" x14ac:dyDescent="0.3">
      <c r="A7" s="54">
        <v>6</v>
      </c>
      <c r="B7" s="57" t="s">
        <v>53</v>
      </c>
      <c r="C7" s="57" t="s">
        <v>53</v>
      </c>
      <c r="D7" s="54">
        <f>VLOOKUP(C7,Days_Since_100!H:I,2,FALSE)</f>
        <v>130</v>
      </c>
      <c r="E7" s="58">
        <f ca="1">OFFSET(CumulativeConfirmed!A7,-A7,MATCH(Country_Data!D7,CumulativeConfirmed!B7:BT7,0))</f>
        <v>43891</v>
      </c>
      <c r="F7" s="43">
        <f>MAX(CumulativeConfirmed!7:7)</f>
        <v>12327</v>
      </c>
      <c r="G7" s="43">
        <f>MAX(CumulativeRecovered!7:7)</f>
        <v>105</v>
      </c>
      <c r="H7" s="43">
        <f>MAX(CumulativeDead!7:7)</f>
        <v>28</v>
      </c>
      <c r="I7" s="58">
        <v>43907</v>
      </c>
      <c r="J7" s="58">
        <v>43900</v>
      </c>
      <c r="K7" s="43">
        <v>83783942</v>
      </c>
      <c r="L7" s="54">
        <v>29.2</v>
      </c>
      <c r="M7" s="43">
        <v>24464.911064</v>
      </c>
      <c r="N7" s="74">
        <f t="shared" si="0"/>
        <v>2.2714366837024418E-3</v>
      </c>
    </row>
    <row r="8" spans="1:14" x14ac:dyDescent="0.3">
      <c r="A8" s="54">
        <v>7</v>
      </c>
      <c r="B8" s="57" t="s">
        <v>41</v>
      </c>
      <c r="C8" s="57" t="s">
        <v>41</v>
      </c>
      <c r="D8" s="54">
        <f>VLOOKUP(C8,Days_Since_100!H:I,2,FALSE)</f>
        <v>100</v>
      </c>
      <c r="E8" s="58">
        <f ca="1">OFFSET(CumulativeConfirmed!A8,-A8,MATCH(Country_Data!D8,CumulativeConfirmed!B8:BT8,0))</f>
        <v>43890</v>
      </c>
      <c r="F8" s="43">
        <f>MAX(CumulativeConfirmed!8:8)</f>
        <v>9105</v>
      </c>
      <c r="G8" s="43">
        <f>MAX(CumulativeRecovered!8:8)</f>
        <v>12</v>
      </c>
      <c r="H8" s="43">
        <f>MAX(CumulativeDead!8:8)</f>
        <v>148</v>
      </c>
      <c r="I8" s="58">
        <v>43907</v>
      </c>
      <c r="J8" s="58">
        <v>43900</v>
      </c>
      <c r="K8" s="43">
        <v>65273511</v>
      </c>
      <c r="L8" s="54">
        <v>11.6</v>
      </c>
      <c r="M8" s="43">
        <v>7571.7272759999996</v>
      </c>
      <c r="N8" s="74">
        <f t="shared" si="0"/>
        <v>1.6254805052169138E-2</v>
      </c>
    </row>
    <row r="9" spans="1:14" x14ac:dyDescent="0.3">
      <c r="A9" s="54">
        <v>8</v>
      </c>
      <c r="B9" s="57" t="s">
        <v>38</v>
      </c>
      <c r="C9" s="57" t="s">
        <v>38</v>
      </c>
      <c r="D9" s="54">
        <f>VLOOKUP(C9,Days_Since_100!H:I,2,FALSE)</f>
        <v>118</v>
      </c>
      <c r="E9" s="58">
        <f ca="1">OFFSET(CumulativeConfirmed!A9,-A9,MATCH(Country_Data!D9,CumulativeConfirmed!B9:BT9,0))</f>
        <v>43893</v>
      </c>
      <c r="F9" s="43">
        <f>MAX(CumulativeConfirmed!9:9)</f>
        <v>7783</v>
      </c>
      <c r="G9" s="43">
        <f>MAX(CumulativeRecovered!9:9)</f>
        <v>17</v>
      </c>
      <c r="H9" s="43">
        <f>MAX(CumulativeDead!9:9)</f>
        <v>118</v>
      </c>
      <c r="J9" s="58">
        <v>43904</v>
      </c>
      <c r="K9" s="43">
        <v>331002651</v>
      </c>
      <c r="L9" s="54">
        <v>29.3</v>
      </c>
      <c r="M9" s="43">
        <v>96983.776743000009</v>
      </c>
      <c r="N9" s="74">
        <f t="shared" si="0"/>
        <v>1.5161248875754851E-2</v>
      </c>
    </row>
    <row r="10" spans="1:14" x14ac:dyDescent="0.3">
      <c r="A10" s="54">
        <v>9</v>
      </c>
      <c r="B10" s="57" t="s">
        <v>77</v>
      </c>
      <c r="C10" s="57" t="s">
        <v>77</v>
      </c>
      <c r="D10" s="54">
        <f>VLOOKUP(C10,Days_Since_100!H:I,2,FALSE)</f>
        <v>114</v>
      </c>
      <c r="E10" s="58">
        <f ca="1">OFFSET(CumulativeConfirmed!A10,-A10,MATCH(Country_Data!D10,CumulativeConfirmed!B10:BT10,0))</f>
        <v>43895</v>
      </c>
      <c r="F10" s="43">
        <f>MAX(CumulativeConfirmed!10:10)</f>
        <v>3028</v>
      </c>
      <c r="G10" s="43">
        <f>MAX(CumulativeRecovered!10:10)</f>
        <v>15</v>
      </c>
      <c r="H10" s="43">
        <f>MAX(CumulativeDead!10:10)</f>
        <v>28</v>
      </c>
      <c r="I10" s="58">
        <v>43903</v>
      </c>
      <c r="J10" s="58">
        <v>43903</v>
      </c>
      <c r="K10" s="43">
        <v>8654622</v>
      </c>
      <c r="L10" s="54">
        <v>11</v>
      </c>
      <c r="M10" s="43">
        <v>952.00842000000011</v>
      </c>
      <c r="N10" s="74">
        <f t="shared" si="0"/>
        <v>9.247027741083224E-3</v>
      </c>
    </row>
    <row r="11" spans="1:14" x14ac:dyDescent="0.3">
      <c r="A11" s="54">
        <v>10</v>
      </c>
      <c r="B11" s="57" t="s">
        <v>85</v>
      </c>
      <c r="C11" s="57" t="s">
        <v>85</v>
      </c>
      <c r="D11" s="54">
        <f>VLOOKUP(C11,Days_Since_100!H:I,2,FALSE)</f>
        <v>108</v>
      </c>
      <c r="E11" s="58">
        <f ca="1">OFFSET(CumulativeConfirmed!A11,-A11,MATCH(Country_Data!D11,CumulativeConfirmed!B11:BT11,0))</f>
        <v>43896</v>
      </c>
      <c r="F11" s="43">
        <f>MAX(CumulativeConfirmed!11:11)</f>
        <v>1550</v>
      </c>
      <c r="G11" s="43">
        <f>MAX(CumulativeRecovered!11:11)</f>
        <v>1</v>
      </c>
      <c r="H11" s="43">
        <f>MAX(CumulativeDead!11:11)</f>
        <v>6</v>
      </c>
      <c r="I11" s="58">
        <v>43902</v>
      </c>
      <c r="J11" s="58">
        <v>43902</v>
      </c>
      <c r="K11" s="43">
        <v>5421241</v>
      </c>
      <c r="L11" s="54">
        <v>8</v>
      </c>
      <c r="M11" s="43">
        <v>433.69927999999999</v>
      </c>
      <c r="N11" s="74">
        <f t="shared" si="0"/>
        <v>3.8709677419354839E-3</v>
      </c>
    </row>
    <row r="12" spans="1:14" x14ac:dyDescent="0.3">
      <c r="A12" s="54">
        <v>11</v>
      </c>
      <c r="B12" s="57" t="s">
        <v>59</v>
      </c>
      <c r="C12" s="57" t="s">
        <v>59</v>
      </c>
      <c r="D12" s="54">
        <f>VLOOKUP(C12,Days_Since_100!H:I,2,FALSE)</f>
        <v>101</v>
      </c>
      <c r="E12" s="58">
        <f ca="1">OFFSET(CumulativeConfirmed!A12,-A12,MATCH(Country_Data!D12,CumulativeConfirmed!B12:BT12,0))</f>
        <v>43896</v>
      </c>
      <c r="F12" s="43">
        <f>MAX(CumulativeConfirmed!12:12)</f>
        <v>1279</v>
      </c>
      <c r="G12" s="43">
        <f>MAX(CumulativeRecovered!12:12)</f>
        <v>1</v>
      </c>
      <c r="H12" s="43">
        <f>MAX(CumulativeDead!12:12)</f>
        <v>10</v>
      </c>
      <c r="K12" s="43">
        <v>10099265</v>
      </c>
      <c r="L12" s="54">
        <v>5.8</v>
      </c>
      <c r="M12" s="43">
        <v>585.75736999999992</v>
      </c>
      <c r="N12" s="74">
        <f t="shared" si="0"/>
        <v>7.8186082877247844E-3</v>
      </c>
    </row>
    <row r="13" spans="1:14" x14ac:dyDescent="0.3">
      <c r="A13" s="54">
        <v>12</v>
      </c>
      <c r="B13" s="57" t="s">
        <v>87</v>
      </c>
      <c r="C13" s="57" t="s">
        <v>87</v>
      </c>
      <c r="D13" s="54">
        <f>VLOOKUP(C13,Days_Since_100!H:I,2,FALSE)</f>
        <v>264</v>
      </c>
      <c r="E13" s="58">
        <f ca="1">OFFSET(CumulativeConfirmed!A13,-A13,MATCH(Country_Data!D13,CumulativeConfirmed!B13:BT13,0))</f>
        <v>43900</v>
      </c>
      <c r="F13" s="43">
        <f>MAX(CumulativeConfirmed!13:13)</f>
        <v>1115</v>
      </c>
      <c r="G13" s="43">
        <f>MAX(CumulativeRecovered!13:13)</f>
        <v>1</v>
      </c>
      <c r="H13" s="43">
        <f>MAX(CumulativeDead!13:13)</f>
        <v>4</v>
      </c>
      <c r="I13" s="58">
        <v>43902</v>
      </c>
      <c r="J13" s="58">
        <v>43902</v>
      </c>
      <c r="K13" s="43">
        <v>5792202</v>
      </c>
      <c r="L13" s="54">
        <v>6.7</v>
      </c>
      <c r="M13" s="43">
        <v>388.07753400000001</v>
      </c>
      <c r="N13" s="74">
        <f t="shared" si="0"/>
        <v>3.5874439461883408E-3</v>
      </c>
    </row>
    <row r="14" spans="1:14" x14ac:dyDescent="0.3">
      <c r="A14" s="54">
        <v>13</v>
      </c>
      <c r="B14" s="57" t="s">
        <v>89</v>
      </c>
      <c r="C14" s="57" t="s">
        <v>89</v>
      </c>
      <c r="D14" s="54">
        <f>VLOOKUP(C14,Days_Since_100!H:I,2,FALSE)</f>
        <v>128</v>
      </c>
      <c r="E14" s="58">
        <f ca="1">OFFSET(CumulativeConfirmed!A14,-A14,MATCH(Country_Data!D14,CumulativeConfirmed!B14:BT14,0))</f>
        <v>43896</v>
      </c>
      <c r="F14" s="43">
        <f>MAX(CumulativeConfirmed!14:14)</f>
        <v>2058</v>
      </c>
      <c r="G14" s="43">
        <f>MAX(CumulativeRecovered!14:14)</f>
        <v>2</v>
      </c>
      <c r="H14" s="43">
        <f>MAX(CumulativeDead!14:14)</f>
        <v>58</v>
      </c>
      <c r="K14" s="43">
        <v>17134872</v>
      </c>
      <c r="L14" s="54">
        <v>0</v>
      </c>
      <c r="M14" s="43">
        <v>0</v>
      </c>
      <c r="N14" s="74">
        <f t="shared" si="0"/>
        <v>2.8182701652089408E-2</v>
      </c>
    </row>
    <row r="15" spans="1:14" x14ac:dyDescent="0.3">
      <c r="A15" s="54">
        <v>14</v>
      </c>
      <c r="B15" s="57" t="s">
        <v>349</v>
      </c>
      <c r="C15" s="57" t="s">
        <v>349</v>
      </c>
      <c r="D15" s="54">
        <f>VLOOKUP(C15,Days_Since_100!H:I,2,FALSE)</f>
        <v>116</v>
      </c>
      <c r="E15" s="58">
        <f ca="1">OFFSET(CumulativeConfirmed!A15,-A15,MATCH(Country_Data!D15,CumulativeConfirmed!B15:BT15,0))</f>
        <v>43895</v>
      </c>
      <c r="F15" s="43">
        <f>MAX(CumulativeConfirmed!15:15)</f>
        <v>2642</v>
      </c>
      <c r="G15" s="43">
        <f>MAX(CumulativeRecovered!15:15)</f>
        <v>67</v>
      </c>
      <c r="H15" s="43">
        <f>MAX(CumulativeDead!15:15)</f>
        <v>72</v>
      </c>
      <c r="I15" s="58">
        <v>43910</v>
      </c>
      <c r="J15" s="58">
        <v>43904</v>
      </c>
      <c r="K15" s="43">
        <v>67886011</v>
      </c>
      <c r="L15" s="54">
        <v>6.6</v>
      </c>
      <c r="M15" s="43">
        <v>4480.4767259999999</v>
      </c>
      <c r="N15" s="74">
        <f t="shared" si="0"/>
        <v>2.7252081756245269E-2</v>
      </c>
    </row>
    <row r="16" spans="1:14" x14ac:dyDescent="0.3">
      <c r="A16" s="54">
        <v>15</v>
      </c>
      <c r="B16" s="57" t="s">
        <v>36</v>
      </c>
      <c r="C16" s="57" t="s">
        <v>36</v>
      </c>
      <c r="D16" s="54">
        <f>VLOOKUP(C16,Days_Since_100!H:I,2,FALSE)</f>
        <v>105</v>
      </c>
      <c r="E16" s="58">
        <f ca="1">OFFSET(CumulativeConfirmed!A16,-A16,MATCH(Country_Data!D16,CumulativeConfirmed!B16:BT16,0))</f>
        <v>43882</v>
      </c>
      <c r="F16" s="43">
        <f>MAX(CumulativeConfirmed!16:16)</f>
        <v>889</v>
      </c>
      <c r="G16" s="43">
        <f>MAX(CumulativeRecovered!16:16)</f>
        <v>144</v>
      </c>
      <c r="H16" s="43">
        <f>MAX(CumulativeDead!16:16)</f>
        <v>29</v>
      </c>
      <c r="I16" s="58">
        <v>43888</v>
      </c>
      <c r="J16" s="58">
        <v>43888</v>
      </c>
      <c r="K16" s="43">
        <v>126476461</v>
      </c>
      <c r="L16" s="54">
        <v>7.3</v>
      </c>
      <c r="M16" s="43">
        <v>9232.781653</v>
      </c>
      <c r="N16" s="74">
        <f t="shared" si="0"/>
        <v>3.2620922384701913E-2</v>
      </c>
    </row>
    <row r="17" spans="1:14" x14ac:dyDescent="0.3">
      <c r="A17" s="54">
        <v>16</v>
      </c>
      <c r="B17" s="57" t="s">
        <v>340</v>
      </c>
      <c r="C17" s="57" t="s">
        <v>340</v>
      </c>
      <c r="D17" s="54">
        <f>VLOOKUP(C17,Days_Since_100!H:I,2,FALSE)</f>
        <v>135</v>
      </c>
      <c r="E17" s="58">
        <f ca="1">OFFSET(CumulativeConfirmed!A17,-A17,MATCH(Country_Data!D17,CumulativeConfirmed!B17:BT17,0))</f>
        <v>43871</v>
      </c>
      <c r="F17" s="43">
        <f>MAX(CumulativeConfirmed!17:17)</f>
        <v>712</v>
      </c>
      <c r="G17" s="43">
        <f>MAX(CumulativeRecovered!17:17)</f>
        <v>325</v>
      </c>
      <c r="H17" s="43">
        <f>MAX(CumulativeDead!17:17)</f>
        <v>7</v>
      </c>
      <c r="K17" s="43" t="e">
        <v>#N/A</v>
      </c>
      <c r="L17" s="54">
        <v>0</v>
      </c>
      <c r="M17" s="43" t="e">
        <v>#N/A</v>
      </c>
      <c r="N17" s="74">
        <f t="shared" si="0"/>
        <v>9.8314606741573031E-3</v>
      </c>
    </row>
    <row r="18" spans="1:14" x14ac:dyDescent="0.3">
      <c r="A18" s="54">
        <v>17</v>
      </c>
      <c r="B18" s="57" t="s">
        <v>63</v>
      </c>
      <c r="C18" s="57" t="s">
        <v>63</v>
      </c>
      <c r="D18" s="54">
        <f>VLOOKUP(C18,Days_Since_100!H:I,2,FALSE)</f>
        <v>109</v>
      </c>
      <c r="E18" s="58">
        <f ca="1">OFFSET(CumulativeConfirmed!A18,-A18,MATCH(Country_Data!D18,CumulativeConfirmed!B18:BT18,0))</f>
        <v>43896</v>
      </c>
      <c r="F18" s="43">
        <f>MAX(CumulativeConfirmed!18:18)</f>
        <v>1486</v>
      </c>
      <c r="G18" s="43">
        <f>MAX(CumulativeRecovered!18:18)</f>
        <v>31</v>
      </c>
      <c r="H18" s="43">
        <f>MAX(CumulativeDead!18:18)</f>
        <v>14</v>
      </c>
      <c r="I18" s="58">
        <v>43908</v>
      </c>
      <c r="J18" s="58">
        <v>43908</v>
      </c>
      <c r="K18" s="43">
        <v>11589623</v>
      </c>
      <c r="L18" s="54">
        <v>15.9</v>
      </c>
      <c r="M18" s="43">
        <v>1842.7500570000002</v>
      </c>
      <c r="N18" s="74">
        <f t="shared" si="0"/>
        <v>9.4212651413189772E-3</v>
      </c>
    </row>
    <row r="19" spans="1:14" x14ac:dyDescent="0.3">
      <c r="A19" s="54">
        <v>18</v>
      </c>
      <c r="B19" s="57" t="s">
        <v>78</v>
      </c>
      <c r="C19" s="57" t="s">
        <v>78</v>
      </c>
      <c r="D19" s="54">
        <f>VLOOKUP(C19,Days_Since_100!H:I,2,FALSE)</f>
        <v>104</v>
      </c>
      <c r="E19" s="58">
        <f ca="1">OFFSET(CumulativeConfirmed!A19,-A19,MATCH(Country_Data!D19,CumulativeConfirmed!B19:BT19,0))</f>
        <v>43898</v>
      </c>
      <c r="F19" s="43">
        <f>MAX(CumulativeConfirmed!19:19)</f>
        <v>1646</v>
      </c>
      <c r="G19" s="43">
        <f>MAX(CumulativeRecovered!19:19)</f>
        <v>9</v>
      </c>
      <c r="H19" s="43">
        <f>MAX(CumulativeDead!19:19)</f>
        <v>4</v>
      </c>
      <c r="I19" s="58">
        <v>43903</v>
      </c>
      <c r="J19" s="58">
        <v>43903</v>
      </c>
      <c r="K19" s="43">
        <v>9006398</v>
      </c>
      <c r="L19" s="54">
        <v>21.8</v>
      </c>
      <c r="M19" s="43">
        <v>1963.3947640000001</v>
      </c>
      <c r="N19" s="74">
        <f t="shared" si="0"/>
        <v>2.4301336573511541E-3</v>
      </c>
    </row>
    <row r="20" spans="1:14" x14ac:dyDescent="0.3">
      <c r="A20" s="54">
        <v>19</v>
      </c>
      <c r="B20" s="57" t="s">
        <v>101</v>
      </c>
      <c r="C20" s="57" t="s">
        <v>101</v>
      </c>
      <c r="D20" s="54">
        <f>VLOOKUP(C20,Days_Since_100!H:I,2,FALSE)</f>
        <v>262</v>
      </c>
      <c r="E20" s="58">
        <f ca="1">OFFSET(CumulativeConfirmed!A20,-A20,MATCH(Country_Data!D20,CumulativeConfirmed!B20:BT20,0))</f>
        <v>43901</v>
      </c>
      <c r="F20" s="43">
        <f>MAX(CumulativeConfirmed!20:20)</f>
        <v>452</v>
      </c>
      <c r="G20" s="43">
        <f>MAX(CumulativeRecovered!20:20)</f>
        <v>4</v>
      </c>
      <c r="H20" s="43">
        <f>MAX(CumulativeDead!20:20)</f>
        <v>0</v>
      </c>
      <c r="K20" s="43">
        <v>2881053</v>
      </c>
      <c r="L20" s="54">
        <v>0</v>
      </c>
      <c r="M20" s="43">
        <v>0</v>
      </c>
      <c r="N20" s="74">
        <f t="shared" si="0"/>
        <v>0</v>
      </c>
    </row>
    <row r="21" spans="1:14" x14ac:dyDescent="0.3">
      <c r="A21" s="54">
        <v>20</v>
      </c>
      <c r="B21" s="57" t="s">
        <v>48</v>
      </c>
      <c r="C21" s="57" t="s">
        <v>48</v>
      </c>
      <c r="D21" s="54">
        <f>VLOOKUP(C21,Days_Since_100!H:I,2,FALSE)</f>
        <v>107</v>
      </c>
      <c r="E21" s="58">
        <f ca="1">OFFSET(CumulativeConfirmed!A21,-A21,MATCH(Country_Data!D21,CumulativeConfirmed!B21:BT21,0))</f>
        <v>43900</v>
      </c>
      <c r="F21" s="43">
        <f>MAX(CumulativeConfirmed!21:21)</f>
        <v>568</v>
      </c>
      <c r="G21" s="43">
        <f>MAX(CumulativeRecovered!21:21)</f>
        <v>23</v>
      </c>
      <c r="H21" s="43">
        <f>MAX(CumulativeDead!21:21)</f>
        <v>6</v>
      </c>
      <c r="K21" s="43">
        <v>25499884</v>
      </c>
      <c r="L21" s="54">
        <v>0</v>
      </c>
      <c r="M21" s="43">
        <v>0</v>
      </c>
      <c r="N21" s="74">
        <f t="shared" si="0"/>
        <v>1.0563380281690141E-2</v>
      </c>
    </row>
    <row r="22" spans="1:14" x14ac:dyDescent="0.3">
      <c r="A22" s="54">
        <v>21</v>
      </c>
      <c r="B22" s="57" t="s">
        <v>40</v>
      </c>
      <c r="C22" s="57" t="s">
        <v>40</v>
      </c>
      <c r="D22" s="54">
        <f>VLOOKUP(C22,Days_Since_100!H:I,2,FALSE)</f>
        <v>102</v>
      </c>
      <c r="E22" s="58">
        <f ca="1">OFFSET(CumulativeConfirmed!A22,-A22,MATCH(Country_Data!D22,CumulativeConfirmed!B22:BT22,0))</f>
        <v>43890</v>
      </c>
      <c r="F22" s="43">
        <f>MAX(CumulativeConfirmed!22:22)</f>
        <v>313</v>
      </c>
      <c r="G22" s="43">
        <f>MAX(CumulativeRecovered!22:22)</f>
        <v>114</v>
      </c>
      <c r="H22" s="43">
        <f>MAX(CumulativeDead!22:22)</f>
        <v>0</v>
      </c>
      <c r="K22" s="43">
        <v>5850342</v>
      </c>
      <c r="L22" s="54">
        <v>0</v>
      </c>
      <c r="M22" s="43">
        <v>0</v>
      </c>
      <c r="N22" s="74">
        <f t="shared" si="0"/>
        <v>0</v>
      </c>
    </row>
    <row r="23" spans="1:14" x14ac:dyDescent="0.3">
      <c r="A23" s="54">
        <v>22</v>
      </c>
      <c r="B23" s="57" t="s">
        <v>43</v>
      </c>
      <c r="C23" s="57" t="s">
        <v>43</v>
      </c>
      <c r="D23" s="54">
        <f>VLOOKUP(C23,Days_Since_100!H:I,2,FALSE)</f>
        <v>117</v>
      </c>
      <c r="E23" s="58">
        <f ca="1">OFFSET(CumulativeConfirmed!A23,-A23,MATCH(Country_Data!D23,CumulativeConfirmed!B23:BT23,0))</f>
        <v>43899</v>
      </c>
      <c r="F23" s="43">
        <f>MAX(CumulativeConfirmed!23:23)</f>
        <v>790</v>
      </c>
      <c r="G23" s="43">
        <f>MAX(CumulativeRecovered!23:23)</f>
        <v>60</v>
      </c>
      <c r="H23" s="43">
        <f>MAX(CumulativeDead!23:23)</f>
        <v>2</v>
      </c>
      <c r="K23" s="43">
        <v>32365999</v>
      </c>
      <c r="L23" s="54">
        <v>0</v>
      </c>
      <c r="M23" s="43">
        <v>0</v>
      </c>
      <c r="N23" s="74">
        <f t="shared" si="0"/>
        <v>2.5316455696202532E-3</v>
      </c>
    </row>
    <row r="24" spans="1:14" x14ac:dyDescent="0.3">
      <c r="A24" s="54">
        <v>23</v>
      </c>
      <c r="B24" s="57" t="s">
        <v>45</v>
      </c>
      <c r="C24" s="57" t="s">
        <v>45</v>
      </c>
      <c r="D24" s="54">
        <f>VLOOKUP(C24,Days_Since_100!H:I,2,FALSE)</f>
        <v>108</v>
      </c>
      <c r="E24" s="58">
        <f ca="1">OFFSET(CumulativeConfirmed!A24,-A24,MATCH(Country_Data!D24,CumulativeConfirmed!B24:BT24,0))</f>
        <v>43901</v>
      </c>
      <c r="F24" s="43">
        <f>MAX(CumulativeConfirmed!24:24)</f>
        <v>657</v>
      </c>
      <c r="G24" s="43">
        <f>MAX(CumulativeRecovered!24:24)</f>
        <v>9</v>
      </c>
      <c r="H24" s="43">
        <f>MAX(CumulativeDead!24:24)</f>
        <v>8</v>
      </c>
      <c r="K24" s="43">
        <v>37742154</v>
      </c>
      <c r="L24" s="54">
        <v>0</v>
      </c>
      <c r="M24" s="43">
        <v>0</v>
      </c>
      <c r="N24" s="74">
        <f t="shared" si="0"/>
        <v>1.2176560121765601E-2</v>
      </c>
    </row>
    <row r="25" spans="1:14" x14ac:dyDescent="0.3">
      <c r="A25" s="54">
        <v>24</v>
      </c>
      <c r="B25" s="57" t="s">
        <v>83</v>
      </c>
      <c r="C25" s="57" t="s">
        <v>83</v>
      </c>
      <c r="D25" s="54">
        <f>VLOOKUP(C25,Days_Since_100!H:I,2,FALSE)</f>
        <v>190</v>
      </c>
      <c r="E25" s="58">
        <f ca="1">OFFSET(CumulativeConfirmed!A25,-A25,MATCH(Country_Data!D25,CumulativeConfirmed!B25:BT25,0))</f>
        <v>43903</v>
      </c>
      <c r="F25" s="43">
        <f>MAX(CumulativeConfirmed!25:25)</f>
        <v>418</v>
      </c>
      <c r="G25" s="43">
        <f>MAX(CumulativeRecovered!25:25)</f>
        <v>8</v>
      </c>
      <c r="H25" s="43">
        <f>MAX(CumulativeDead!25:25)</f>
        <v>5</v>
      </c>
      <c r="K25" s="43">
        <v>10423054</v>
      </c>
      <c r="L25" s="54">
        <v>6</v>
      </c>
      <c r="M25" s="43">
        <v>625.38324</v>
      </c>
      <c r="N25" s="74">
        <f t="shared" si="0"/>
        <v>1.1961722488038277E-2</v>
      </c>
    </row>
    <row r="26" spans="1:14" x14ac:dyDescent="0.3">
      <c r="A26" s="54">
        <v>25</v>
      </c>
      <c r="B26" s="57" t="s">
        <v>73</v>
      </c>
      <c r="C26" s="57" t="s">
        <v>73</v>
      </c>
      <c r="D26" s="54">
        <f>VLOOKUP(C26,Days_Since_100!H:I,2,FALSE)</f>
        <v>110</v>
      </c>
      <c r="E26" s="58">
        <f ca="1">OFFSET(CumulativeConfirmed!A26,-A26,MATCH(Country_Data!D26,CumulativeConfirmed!B26:BT26,0))</f>
        <v>43900</v>
      </c>
      <c r="F26" s="43">
        <f>MAX(CumulativeConfirmed!26:26)</f>
        <v>256</v>
      </c>
      <c r="G26" s="43">
        <f>MAX(CumulativeRecovered!26:26)</f>
        <v>88</v>
      </c>
      <c r="H26" s="43">
        <f>MAX(CumulativeDead!26:26)</f>
        <v>1</v>
      </c>
      <c r="K26" s="43">
        <v>1701575</v>
      </c>
      <c r="L26" s="54">
        <v>0</v>
      </c>
      <c r="M26" s="43">
        <v>0</v>
      </c>
      <c r="N26" s="74">
        <f t="shared" si="0"/>
        <v>3.90625E-3</v>
      </c>
    </row>
    <row r="27" spans="1:14" x14ac:dyDescent="0.3">
      <c r="A27" s="54">
        <v>26</v>
      </c>
      <c r="B27" s="57" t="s">
        <v>79</v>
      </c>
      <c r="C27" s="57" t="s">
        <v>79</v>
      </c>
      <c r="D27" s="54">
        <f>VLOOKUP(C27,Days_Since_100!H:I,2,FALSE)</f>
        <v>109</v>
      </c>
      <c r="E27" s="58">
        <f ca="1">OFFSET(CumulativeConfirmed!A27,-A27,MATCH(Country_Data!D27,CumulativeConfirmed!B27:BT27,0))</f>
        <v>43901</v>
      </c>
      <c r="F27" s="43">
        <f>MAX(CumulativeConfirmed!27:27)</f>
        <v>433</v>
      </c>
      <c r="G27" s="43">
        <f>MAX(CumulativeRecovered!27:27)</f>
        <v>11</v>
      </c>
      <c r="H27" s="43">
        <f>MAX(CumulativeDead!27:27)</f>
        <v>0</v>
      </c>
      <c r="I27" s="58">
        <v>43902</v>
      </c>
      <c r="J27" s="58">
        <v>43902</v>
      </c>
      <c r="K27" s="43">
        <v>8655535</v>
      </c>
      <c r="L27" s="54">
        <v>0</v>
      </c>
      <c r="M27" s="43">
        <v>0</v>
      </c>
      <c r="N27" s="74">
        <f t="shared" si="0"/>
        <v>0</v>
      </c>
    </row>
    <row r="28" spans="1:14" x14ac:dyDescent="0.3">
      <c r="A28" s="54">
        <v>27</v>
      </c>
      <c r="B28" s="57" t="s">
        <v>54</v>
      </c>
      <c r="C28" s="57" t="s">
        <v>54</v>
      </c>
      <c r="D28" s="54">
        <f>VLOOKUP(C28,Days_Since_100!H:I,2,FALSE)</f>
        <v>155</v>
      </c>
      <c r="E28" s="58">
        <f ca="1">OFFSET(CumulativeConfirmed!A28,-A28,MATCH(Country_Data!D28,CumulativeConfirmed!B28:BT28,0))</f>
        <v>43903</v>
      </c>
      <c r="F28" s="43">
        <f>MAX(CumulativeConfirmed!28:28)</f>
        <v>336</v>
      </c>
      <c r="G28" s="43">
        <f>MAX(CumulativeRecovered!28:28)</f>
        <v>10</v>
      </c>
      <c r="H28" s="43">
        <f>MAX(CumulativeDead!28:28)</f>
        <v>0</v>
      </c>
      <c r="K28" s="43">
        <v>5540720</v>
      </c>
      <c r="L28" s="54">
        <v>6.1</v>
      </c>
      <c r="M28" s="43">
        <v>337.98392000000001</v>
      </c>
      <c r="N28" s="74">
        <f t="shared" si="0"/>
        <v>0</v>
      </c>
    </row>
    <row r="29" spans="1:14" x14ac:dyDescent="0.3">
      <c r="A29" s="54">
        <v>28</v>
      </c>
      <c r="B29" s="57" t="s">
        <v>81</v>
      </c>
      <c r="C29" s="57" t="s">
        <v>81</v>
      </c>
      <c r="D29" s="54">
        <f>VLOOKUP(C29,Days_Since_100!H:I,2,FALSE)</f>
        <v>151</v>
      </c>
      <c r="E29" s="58">
        <f ca="1">OFFSET(CumulativeConfirmed!A29,-A29,MATCH(Country_Data!D29,CumulativeConfirmed!B29:BT29,0))</f>
        <v>43903</v>
      </c>
      <c r="F29" s="43">
        <f>MAX(CumulativeConfirmed!29:29)</f>
        <v>372</v>
      </c>
      <c r="G29" s="43">
        <f>MAX(CumulativeRecovered!29:29)</f>
        <v>2</v>
      </c>
      <c r="H29" s="43">
        <f>MAX(CumulativeDead!29:29)</f>
        <v>3</v>
      </c>
      <c r="K29" s="43">
        <v>212559417</v>
      </c>
      <c r="L29" s="54">
        <v>0</v>
      </c>
      <c r="M29" s="43">
        <v>0</v>
      </c>
      <c r="N29" s="74">
        <f t="shared" si="0"/>
        <v>8.0645161290322578E-3</v>
      </c>
    </row>
    <row r="30" spans="1:14" x14ac:dyDescent="0.3">
      <c r="A30" s="54">
        <v>29</v>
      </c>
      <c r="B30" s="57" t="s">
        <v>483</v>
      </c>
      <c r="C30" s="57" t="s">
        <v>341</v>
      </c>
      <c r="D30" s="54">
        <f>VLOOKUP(C30,Days_Since_100!H:I,2,FALSE)</f>
        <v>141</v>
      </c>
      <c r="E30" s="58">
        <f ca="1">OFFSET(CumulativeConfirmed!A30,-A30,MATCH(Country_Data!D30,CumulativeConfirmed!B30:BT30,0))</f>
        <v>43903</v>
      </c>
      <c r="F30" s="43">
        <f>MAX(CumulativeConfirmed!30:30)</f>
        <v>464</v>
      </c>
      <c r="G30" s="43">
        <f>MAX(CumulativeRecovered!30:30)</f>
        <v>3</v>
      </c>
      <c r="H30" s="43">
        <f>MAX(CumulativeDead!30:30)</f>
        <v>0</v>
      </c>
      <c r="K30" s="43">
        <v>10708981</v>
      </c>
      <c r="L30" s="54">
        <v>11.6</v>
      </c>
      <c r="M30" s="43">
        <v>1242.241796</v>
      </c>
      <c r="N30" s="74">
        <f t="shared" si="0"/>
        <v>0</v>
      </c>
    </row>
    <row r="31" spans="1:14" x14ac:dyDescent="0.3">
      <c r="A31" s="54">
        <v>30</v>
      </c>
      <c r="B31" s="57" t="s">
        <v>141</v>
      </c>
      <c r="C31" s="57" t="s">
        <v>141</v>
      </c>
      <c r="D31" s="54">
        <f>VLOOKUP(C31,Days_Since_100!H:I,2,FALSE)</f>
        <v>141</v>
      </c>
      <c r="E31" s="58">
        <f ca="1">OFFSET(CumulativeConfirmed!A31,-A31,MATCH(Country_Data!D31,CumulativeConfirmed!B31:BT31,0))</f>
        <v>43903</v>
      </c>
      <c r="F31" s="43">
        <f>MAX(CumulativeConfirmed!31:31)</f>
        <v>275</v>
      </c>
      <c r="G31" s="43">
        <f>MAX(CumulativeRecovered!31:31)</f>
        <v>0</v>
      </c>
      <c r="H31" s="43">
        <f>MAX(CumulativeDead!31:31)</f>
        <v>1</v>
      </c>
      <c r="K31" s="43">
        <v>2078938</v>
      </c>
      <c r="L31" s="54">
        <v>6.4</v>
      </c>
      <c r="M31" s="43">
        <v>133.05203200000003</v>
      </c>
      <c r="N31" s="74">
        <f t="shared" si="0"/>
        <v>3.6363636363636364E-3</v>
      </c>
    </row>
    <row r="32" spans="1:14" x14ac:dyDescent="0.3">
      <c r="A32" s="54">
        <v>31</v>
      </c>
      <c r="B32" s="57" t="s">
        <v>92</v>
      </c>
      <c r="C32" s="57" t="s">
        <v>92</v>
      </c>
      <c r="D32" s="54">
        <f>VLOOKUP(C32,Days_Since_100!H:I,2,FALSE)</f>
        <v>103</v>
      </c>
      <c r="E32" s="58">
        <f ca="1">OFFSET(CumulativeConfirmed!A32,-A32,MATCH(Country_Data!D32,CumulativeConfirmed!B32:BT32,0))</f>
        <v>43902</v>
      </c>
      <c r="F32" s="43">
        <f>MAX(CumulativeConfirmed!32:32)</f>
        <v>250</v>
      </c>
      <c r="G32" s="43">
        <f>MAX(CumulativeRecovered!32:32)</f>
        <v>8</v>
      </c>
      <c r="H32" s="43">
        <f>MAX(CumulativeDead!32:32)</f>
        <v>5</v>
      </c>
      <c r="K32" s="43">
        <v>341243</v>
      </c>
      <c r="L32" s="54">
        <v>0</v>
      </c>
      <c r="M32" s="43">
        <v>0</v>
      </c>
      <c r="N32" s="74">
        <f t="shared" si="0"/>
        <v>0.02</v>
      </c>
    </row>
    <row r="33" spans="1:14" x14ac:dyDescent="0.3">
      <c r="A33" s="54">
        <v>32</v>
      </c>
      <c r="B33" s="57" t="s">
        <v>108</v>
      </c>
      <c r="C33" s="57" t="s">
        <v>108</v>
      </c>
      <c r="D33" s="54">
        <f>VLOOKUP(C33,Days_Since_100!H:I,2,FALSE)</f>
        <v>112</v>
      </c>
      <c r="E33" s="58">
        <f ca="1">OFFSET(CumulativeConfirmed!A33,-A33,MATCH(Country_Data!D33,CumulativeConfirmed!B33:BT33,0))</f>
        <v>43903</v>
      </c>
      <c r="F33" s="43">
        <f>MAX(CumulativeConfirmed!33:33)</f>
        <v>448</v>
      </c>
      <c r="G33" s="43">
        <f>MAX(CumulativeRecovered!33:33)</f>
        <v>3</v>
      </c>
      <c r="H33" s="43">
        <f>MAX(CumulativeDead!33:33)</f>
        <v>2</v>
      </c>
      <c r="I33" s="58">
        <v>43902</v>
      </c>
      <c r="J33" s="58">
        <v>43902</v>
      </c>
      <c r="K33" s="43">
        <v>10196709</v>
      </c>
      <c r="L33" s="54">
        <v>4.2</v>
      </c>
      <c r="M33" s="43">
        <v>428.26177799999999</v>
      </c>
      <c r="N33" s="74">
        <f t="shared" si="0"/>
        <v>4.464285714285714E-3</v>
      </c>
    </row>
    <row r="34" spans="1:14" x14ac:dyDescent="0.3">
      <c r="A34" s="54">
        <v>33</v>
      </c>
      <c r="B34" s="57" t="s">
        <v>70</v>
      </c>
      <c r="C34" s="57" t="s">
        <v>70</v>
      </c>
      <c r="D34" s="54">
        <f>VLOOKUP(C34,Days_Since_100!H:I,2,FALSE)</f>
        <v>101</v>
      </c>
      <c r="E34" s="58">
        <f ca="1">OFFSET(CumulativeConfirmed!A34,-A34,MATCH(Country_Data!D34,CumulativeConfirmed!B34:BT34,0))</f>
        <v>43903</v>
      </c>
      <c r="F34" s="43">
        <f>MAX(CumulativeConfirmed!34:34)</f>
        <v>164</v>
      </c>
      <c r="G34" s="43">
        <f>MAX(CumulativeRecovered!34:34)</f>
        <v>43</v>
      </c>
      <c r="H34" s="43">
        <f>MAX(CumulativeDead!34:34)</f>
        <v>12</v>
      </c>
      <c r="K34" s="43">
        <v>40222493</v>
      </c>
      <c r="L34" s="54">
        <v>0</v>
      </c>
      <c r="M34" s="43">
        <v>0</v>
      </c>
      <c r="N34" s="74">
        <f t="shared" si="0"/>
        <v>7.3170731707317069E-2</v>
      </c>
    </row>
    <row r="35" spans="1:14" x14ac:dyDescent="0.3">
      <c r="A35" s="54">
        <v>34</v>
      </c>
      <c r="B35" s="57" t="s">
        <v>98</v>
      </c>
      <c r="C35" s="57" t="s">
        <v>98</v>
      </c>
      <c r="D35" s="54">
        <f>VLOOKUP(C35,Days_Since_100!H:I,2,FALSE)</f>
        <v>129</v>
      </c>
      <c r="E35" s="58">
        <f ca="1">OFFSET(CumulativeConfirmed!A35,-A35,MATCH(Country_Data!D35,CumulativeConfirmed!B35:BT35,0))</f>
        <v>43904</v>
      </c>
      <c r="F35" s="43">
        <f>MAX(CumulativeConfirmed!35:35)</f>
        <v>292</v>
      </c>
      <c r="G35" s="43">
        <f>MAX(CumulativeRecovered!35:35)</f>
        <v>5</v>
      </c>
      <c r="H35" s="43">
        <f>MAX(CumulativeDead!35:35)</f>
        <v>2</v>
      </c>
      <c r="I35" s="58">
        <v>43905</v>
      </c>
      <c r="J35" s="58">
        <v>43905</v>
      </c>
      <c r="K35" s="43">
        <v>4937786</v>
      </c>
      <c r="L35" s="54">
        <v>6.5</v>
      </c>
      <c r="M35" s="43">
        <v>320.95609000000002</v>
      </c>
      <c r="N35" s="74">
        <f t="shared" si="0"/>
        <v>6.8493150684931503E-3</v>
      </c>
    </row>
    <row r="36" spans="1:14" x14ac:dyDescent="0.3">
      <c r="A36" s="54">
        <v>35</v>
      </c>
      <c r="B36" s="57" t="s">
        <v>86</v>
      </c>
      <c r="C36" s="57" t="s">
        <v>86</v>
      </c>
      <c r="D36" s="54">
        <f>VLOOKUP(C36,Days_Since_100!H:I,2,FALSE)</f>
        <v>123</v>
      </c>
      <c r="E36" s="58">
        <f ca="1">OFFSET(CumulativeConfirmed!A36,-A36,MATCH(Country_Data!D36,CumulativeConfirmed!B36:BT36,0))</f>
        <v>43904</v>
      </c>
      <c r="F36" s="43">
        <f>MAX(CumulativeConfirmed!36:36)</f>
        <v>260</v>
      </c>
      <c r="G36" s="43">
        <f>MAX(CumulativeRecovered!36:36)</f>
        <v>19</v>
      </c>
      <c r="H36" s="43">
        <f>MAX(CumulativeDead!36:36)</f>
        <v>0</v>
      </c>
      <c r="K36" s="43">
        <v>19237691</v>
      </c>
      <c r="L36" s="54">
        <v>21.4</v>
      </c>
      <c r="M36" s="43">
        <v>4116.8658740000001</v>
      </c>
      <c r="N36" s="74">
        <f t="shared" si="0"/>
        <v>0</v>
      </c>
    </row>
    <row r="37" spans="1:14" x14ac:dyDescent="0.3">
      <c r="A37" s="54">
        <v>36</v>
      </c>
      <c r="B37" s="57" t="s">
        <v>113</v>
      </c>
      <c r="C37" s="57" t="s">
        <v>113</v>
      </c>
      <c r="D37" s="54">
        <f>VLOOKUP(C37,Days_Since_100!H:I,2,FALSE)</f>
        <v>103</v>
      </c>
      <c r="E37" s="58">
        <f ca="1">OFFSET(CumulativeConfirmed!A37,-A37,MATCH(Country_Data!D37,CumulativeConfirmed!B37:BT37,0))</f>
        <v>43904</v>
      </c>
      <c r="F37" s="43">
        <f>MAX(CumulativeConfirmed!37:37)</f>
        <v>171</v>
      </c>
      <c r="G37" s="43">
        <f>MAX(CumulativeRecovered!37:37)</f>
        <v>6</v>
      </c>
      <c r="H37" s="43">
        <f>MAX(CumulativeDead!37:37)</f>
        <v>0</v>
      </c>
      <c r="K37" s="43">
        <v>34813871</v>
      </c>
      <c r="L37" s="54">
        <v>0</v>
      </c>
      <c r="M37" s="43">
        <v>0</v>
      </c>
      <c r="N37" s="74">
        <f t="shared" si="0"/>
        <v>0</v>
      </c>
    </row>
    <row r="38" spans="1:14" x14ac:dyDescent="0.3">
      <c r="A38" s="54">
        <v>37</v>
      </c>
      <c r="B38" s="57" t="s">
        <v>55</v>
      </c>
      <c r="C38" s="57" t="s">
        <v>55</v>
      </c>
      <c r="D38" s="54">
        <f>VLOOKUP(C38,Days_Since_100!H:I,2,FALSE)</f>
        <v>113</v>
      </c>
      <c r="E38" s="58">
        <f ca="1">OFFSET(CumulativeConfirmed!A38,-A38,MATCH(Country_Data!D38,CumulativeConfirmed!B38:BT38,0))</f>
        <v>43908</v>
      </c>
      <c r="F38" s="43">
        <f>MAX(CumulativeConfirmed!38:38)</f>
        <v>113</v>
      </c>
      <c r="G38" s="43">
        <f>MAX(CumulativeRecovered!38:38)</f>
        <v>26</v>
      </c>
      <c r="H38" s="43">
        <f>MAX(CumulativeDead!38:38)</f>
        <v>0</v>
      </c>
      <c r="K38" s="43">
        <v>9890402</v>
      </c>
      <c r="L38" s="54">
        <v>0</v>
      </c>
      <c r="M38" s="43">
        <v>0</v>
      </c>
      <c r="N38" s="74">
        <f t="shared" si="0"/>
        <v>0</v>
      </c>
    </row>
    <row r="39" spans="1:14" x14ac:dyDescent="0.3">
      <c r="A39" s="54">
        <v>38</v>
      </c>
      <c r="B39" s="57" t="s">
        <v>57</v>
      </c>
      <c r="C39" s="57" t="s">
        <v>57</v>
      </c>
      <c r="D39" s="54">
        <f>VLOOKUP(C39,Days_Since_100!H:I,2,FALSE)</f>
        <v>102</v>
      </c>
      <c r="E39" s="58">
        <f ca="1">OFFSET(CumulativeConfirmed!A39,-A39,MATCH(Country_Data!D39,CumulativeConfirmed!B39:BT39,0))</f>
        <v>43904</v>
      </c>
      <c r="F39" s="43">
        <f>MAX(CumulativeConfirmed!39:39)</f>
        <v>156</v>
      </c>
      <c r="G39" s="43">
        <f>MAX(CumulativeRecovered!39:39)</f>
        <v>14</v>
      </c>
      <c r="H39" s="43">
        <f>MAX(CumulativeDead!39:39)</f>
        <v>3</v>
      </c>
      <c r="K39" s="43">
        <v>1380004385</v>
      </c>
      <c r="L39" s="54">
        <v>2.2999999999999998</v>
      </c>
      <c r="M39" s="43">
        <v>31740.100854999997</v>
      </c>
      <c r="N39" s="74">
        <f t="shared" si="0"/>
        <v>1.9230769230769232E-2</v>
      </c>
    </row>
    <row r="40" spans="1:14" x14ac:dyDescent="0.3">
      <c r="A40" s="54">
        <v>39</v>
      </c>
      <c r="B40" s="57" t="s">
        <v>65</v>
      </c>
      <c r="C40" s="57" t="s">
        <v>65</v>
      </c>
      <c r="D40" s="54">
        <f>VLOOKUP(C40,Days_Since_100!H:I,2,FALSE)</f>
        <v>109</v>
      </c>
      <c r="E40" s="58">
        <f ca="1">OFFSET(CumulativeConfirmed!A40,-A40,MATCH(Country_Data!D40,CumulativeConfirmed!B40:BT40,0))</f>
        <v>43904</v>
      </c>
      <c r="F40" s="43">
        <f>MAX(CumulativeConfirmed!40:40)</f>
        <v>196</v>
      </c>
      <c r="G40" s="43">
        <f>MAX(CumulativeRecovered!40:40)</f>
        <v>32</v>
      </c>
      <c r="H40" s="43">
        <f>MAX(CumulativeDead!40:40)</f>
        <v>6</v>
      </c>
      <c r="K40" s="43">
        <v>102334404</v>
      </c>
      <c r="L40" s="54">
        <v>0</v>
      </c>
      <c r="M40" s="43">
        <v>0</v>
      </c>
      <c r="N40" s="74">
        <f t="shared" si="0"/>
        <v>3.0612244897959183E-2</v>
      </c>
    </row>
    <row r="41" spans="1:14" x14ac:dyDescent="0.3">
      <c r="A41" s="54">
        <v>40</v>
      </c>
      <c r="B41" s="57" t="s">
        <v>74</v>
      </c>
      <c r="C41" s="57" t="s">
        <v>74</v>
      </c>
      <c r="D41" s="54">
        <f>VLOOKUP(C41,Days_Since_100!H:I,2,FALSE)</f>
        <v>104</v>
      </c>
      <c r="E41" s="58">
        <f ca="1">OFFSET(CumulativeConfirmed!A41,-A41,MATCH(Country_Data!D41,CumulativeConfirmed!B41:BT41,0))</f>
        <v>43904</v>
      </c>
      <c r="F41" s="43">
        <f>MAX(CumulativeConfirmed!41:41)</f>
        <v>142</v>
      </c>
      <c r="G41" s="43">
        <f>MAX(CumulativeRecovered!41:41)</f>
        <v>15</v>
      </c>
      <c r="H41" s="43">
        <f>MAX(CumulativeDead!41:41)</f>
        <v>0</v>
      </c>
      <c r="K41" s="43">
        <v>4270571</v>
      </c>
      <c r="L41" s="54">
        <v>0</v>
      </c>
      <c r="M41" s="43">
        <v>0</v>
      </c>
      <c r="N41" s="74">
        <f t="shared" si="0"/>
        <v>0</v>
      </c>
    </row>
    <row r="42" spans="1:14" x14ac:dyDescent="0.3">
      <c r="A42" s="54">
        <v>41</v>
      </c>
      <c r="B42" s="57" t="s">
        <v>90</v>
      </c>
      <c r="C42" s="57" t="s">
        <v>90</v>
      </c>
      <c r="D42" s="54">
        <f>VLOOKUP(C42,Days_Since_100!H:I,2,FALSE)</f>
        <v>101</v>
      </c>
      <c r="E42" s="58">
        <f ca="1">OFFSET(CumulativeConfirmed!A42,-A42,MATCH(Country_Data!D42,CumulativeConfirmed!B42:BT42,0))</f>
        <v>43905</v>
      </c>
      <c r="F42" s="43">
        <f>MAX(CumulativeConfirmed!42:42)</f>
        <v>119</v>
      </c>
      <c r="G42" s="43">
        <f>MAX(CumulativeRecovered!42:42)</f>
        <v>4</v>
      </c>
      <c r="H42" s="43">
        <f>MAX(CumulativeDead!42:42)</f>
        <v>11</v>
      </c>
      <c r="K42" s="43">
        <v>33931</v>
      </c>
      <c r="L42" s="54">
        <v>0</v>
      </c>
      <c r="M42" s="43">
        <v>0</v>
      </c>
      <c r="N42" s="74">
        <f t="shared" si="0"/>
        <v>9.2436974789915971E-2</v>
      </c>
    </row>
    <row r="43" spans="1:14" x14ac:dyDescent="0.3">
      <c r="A43" s="54">
        <v>42</v>
      </c>
      <c r="B43" s="57" t="s">
        <v>88</v>
      </c>
      <c r="C43" s="57" t="s">
        <v>88</v>
      </c>
      <c r="D43" s="54">
        <f>VLOOKUP(C43,Days_Since_100!H:I,2,FALSE)</f>
        <v>115</v>
      </c>
      <c r="E43" s="58">
        <f ca="1">OFFSET(CumulativeConfirmed!A43,-A43,MATCH(Country_Data!D43,CumulativeConfirmed!B43:BT43,0))</f>
        <v>43904</v>
      </c>
      <c r="F43" s="43">
        <f>MAX(CumulativeConfirmed!43:43)</f>
        <v>258</v>
      </c>
      <c r="G43" s="43">
        <f>MAX(CumulativeRecovered!43:43)</f>
        <v>1</v>
      </c>
      <c r="H43" s="43">
        <f>MAX(CumulativeDead!43:43)</f>
        <v>0</v>
      </c>
      <c r="K43" s="43">
        <v>1326535</v>
      </c>
      <c r="L43" s="54">
        <v>14.6</v>
      </c>
      <c r="M43" s="43">
        <v>193.67410999999998</v>
      </c>
      <c r="N43" s="74">
        <f t="shared" si="0"/>
        <v>0</v>
      </c>
    </row>
    <row r="44" spans="1:14" x14ac:dyDescent="0.3">
      <c r="A44" s="54">
        <v>43</v>
      </c>
      <c r="B44" s="57" t="s">
        <v>67</v>
      </c>
      <c r="C44" s="57" t="s">
        <v>67</v>
      </c>
      <c r="D44" s="54">
        <f>VLOOKUP(C44,Days_Since_100!H:I,2,FALSE)</f>
        <v>110</v>
      </c>
      <c r="E44" s="58">
        <f ca="1">OFFSET(CumulativeConfirmed!A44,-A44,MATCH(Country_Data!D44,CumulativeConfirmed!B44:BT44,0))</f>
        <v>43905</v>
      </c>
      <c r="F44" s="43">
        <f>MAX(CumulativeConfirmed!44:44)</f>
        <v>133</v>
      </c>
      <c r="G44" s="43">
        <f>MAX(CumulativeRecovered!44:44)</f>
        <v>3</v>
      </c>
      <c r="H44" s="43">
        <f>MAX(CumulativeDead!44:44)</f>
        <v>3</v>
      </c>
      <c r="K44" s="43">
        <v>6825445</v>
      </c>
      <c r="L44" s="54">
        <v>0</v>
      </c>
      <c r="M44" s="43">
        <v>0</v>
      </c>
      <c r="N44" s="74">
        <f t="shared" si="0"/>
        <v>2.2556390977443608E-2</v>
      </c>
    </row>
    <row r="45" spans="1:14" x14ac:dyDescent="0.3">
      <c r="A45" s="54">
        <v>44</v>
      </c>
      <c r="B45" s="57" t="s">
        <v>35</v>
      </c>
      <c r="C45" s="57" t="s">
        <v>35</v>
      </c>
      <c r="D45" s="54">
        <f>VLOOKUP(C45,Days_Since_100!H:I,2,FALSE)</f>
        <v>114</v>
      </c>
      <c r="E45" s="58">
        <f ca="1">OFFSET(CumulativeConfirmed!A45,-A45,MATCH(Country_Data!D45,CumulativeConfirmed!B45:BT45,0))</f>
        <v>43905</v>
      </c>
      <c r="F45" s="43">
        <f>MAX(CumulativeConfirmed!45:45)</f>
        <v>212</v>
      </c>
      <c r="G45" s="43">
        <f>MAX(CumulativeRecovered!45:45)</f>
        <v>42</v>
      </c>
      <c r="H45" s="43">
        <f>MAX(CumulativeDead!45:45)</f>
        <v>1</v>
      </c>
      <c r="K45" s="43">
        <v>69799978</v>
      </c>
      <c r="L45" s="54">
        <v>0</v>
      </c>
      <c r="M45" s="43">
        <v>0</v>
      </c>
      <c r="N45" s="74">
        <f t="shared" si="0"/>
        <v>4.7169811320754715E-3</v>
      </c>
    </row>
    <row r="46" spans="1:14" x14ac:dyDescent="0.3">
      <c r="A46" s="54">
        <v>45</v>
      </c>
      <c r="B46" s="57" t="s">
        <v>107</v>
      </c>
      <c r="C46" s="57" t="s">
        <v>107</v>
      </c>
      <c r="D46" s="54">
        <f>VLOOKUP(C46,Days_Since_100!H:I,2,FALSE)</f>
        <v>117</v>
      </c>
      <c r="E46" s="58">
        <f ca="1">OFFSET(CumulativeConfirmed!A46,-A46,MATCH(Country_Data!D46,CumulativeConfirmed!B46:BT46,0))</f>
        <v>43905</v>
      </c>
      <c r="F46" s="43">
        <f>MAX(CumulativeConfirmed!46:46)</f>
        <v>227</v>
      </c>
      <c r="G46" s="43">
        <f>MAX(CumulativeRecovered!46:46)</f>
        <v>11</v>
      </c>
      <c r="H46" s="43">
        <f>MAX(CumulativeDead!46:46)</f>
        <v>19</v>
      </c>
      <c r="K46" s="43">
        <v>273523615</v>
      </c>
      <c r="L46" s="54">
        <v>0</v>
      </c>
      <c r="M46" s="43">
        <v>0</v>
      </c>
      <c r="N46" s="74">
        <f t="shared" si="0"/>
        <v>8.3700440528634359E-2</v>
      </c>
    </row>
    <row r="47" spans="1:14" x14ac:dyDescent="0.3">
      <c r="A47" s="54">
        <v>46</v>
      </c>
      <c r="B47" s="57" t="s">
        <v>137</v>
      </c>
      <c r="C47" s="57" t="s">
        <v>137</v>
      </c>
      <c r="D47" s="54">
        <f>VLOOKUP(C47,Days_Since_100!H:I,2,FALSE)</f>
        <v>103</v>
      </c>
      <c r="E47" s="58">
        <f ca="1">OFFSET(CumulativeConfirmed!A47,-A47,MATCH(Country_Data!D47,CumulativeConfirmed!B47:BT47,0))</f>
        <v>43904</v>
      </c>
      <c r="F47" s="43">
        <f>MAX(CumulativeConfirmed!47:47)</f>
        <v>251</v>
      </c>
      <c r="G47" s="43">
        <f>MAX(CumulativeRecovered!47:47)</f>
        <v>13</v>
      </c>
      <c r="H47" s="43">
        <f>MAX(CumulativeDead!47:47)</f>
        <v>5</v>
      </c>
      <c r="I47" s="58">
        <v>43901</v>
      </c>
      <c r="J47" s="58">
        <v>43901</v>
      </c>
      <c r="K47" s="43">
        <v>37846611</v>
      </c>
      <c r="L47" s="54">
        <v>6.9</v>
      </c>
      <c r="M47" s="43">
        <v>2611.4161590000003</v>
      </c>
      <c r="N47" s="74">
        <f t="shared" si="0"/>
        <v>1.9920318725099601E-2</v>
      </c>
    </row>
    <row r="48" spans="1:14" x14ac:dyDescent="0.3">
      <c r="A48" s="54">
        <v>47</v>
      </c>
      <c r="B48" s="57" t="s">
        <v>56</v>
      </c>
      <c r="C48" s="57" t="s">
        <v>56</v>
      </c>
      <c r="D48" s="54">
        <f>VLOOKUP(C48,Days_Since_100!H:I,2,FALSE)</f>
        <v>111</v>
      </c>
      <c r="E48" s="58">
        <f ca="1">OFFSET(CumulativeConfirmed!A48,-A48,MATCH(Country_Data!D48,CumulativeConfirmed!B48:BT48,0))</f>
        <v>43904</v>
      </c>
      <c r="F48" s="43">
        <f>MAX(CumulativeConfirmed!48:48)</f>
        <v>202</v>
      </c>
      <c r="G48" s="43">
        <f>MAX(CumulativeRecovered!48:48)</f>
        <v>5</v>
      </c>
      <c r="H48" s="43">
        <f>MAX(CumulativeDead!48:48)</f>
        <v>19</v>
      </c>
      <c r="K48" s="43">
        <v>109581078</v>
      </c>
      <c r="L48" s="54">
        <v>0</v>
      </c>
      <c r="M48" s="43">
        <v>0</v>
      </c>
      <c r="N48" s="74">
        <f t="shared" si="0"/>
        <v>9.405940594059406E-2</v>
      </c>
    </row>
    <row r="49" spans="1:14" x14ac:dyDescent="0.3">
      <c r="A49" s="54">
        <v>48</v>
      </c>
      <c r="B49" s="57" t="s">
        <v>342</v>
      </c>
      <c r="C49" s="57" t="s">
        <v>342</v>
      </c>
      <c r="D49" s="54">
        <f>VLOOKUP(C49,Days_Since_100!H:I,2,FALSE)</f>
        <v>100</v>
      </c>
      <c r="E49" s="58">
        <f ca="1">OFFSET(CumulativeConfirmed!A49,-A49,MATCH(Country_Data!D49,CumulativeConfirmed!B49:BT49,0))</f>
        <v>43908</v>
      </c>
      <c r="F49" s="43">
        <f>MAX(CumulativeConfirmed!49:49)</f>
        <v>100</v>
      </c>
      <c r="G49" s="43">
        <f>MAX(CumulativeRecovered!49:49)</f>
        <v>22</v>
      </c>
      <c r="H49" s="43">
        <f>MAX(CumulativeDead!49:49)</f>
        <v>1</v>
      </c>
      <c r="K49" s="43">
        <v>23816775</v>
      </c>
      <c r="L49" s="54">
        <v>0</v>
      </c>
      <c r="M49" s="43">
        <v>0</v>
      </c>
      <c r="N49" s="74">
        <f t="shared" si="0"/>
        <v>0.01</v>
      </c>
    </row>
    <row r="50" spans="1:14" x14ac:dyDescent="0.3">
      <c r="A50" s="54">
        <v>49</v>
      </c>
      <c r="B50" s="57" t="s">
        <v>343</v>
      </c>
      <c r="C50" s="57" t="s">
        <v>343</v>
      </c>
      <c r="D50" s="54" t="e">
        <f>VLOOKUP(C50,Days_Since_100!H:I,2,FALSE)</f>
        <v>#N/A</v>
      </c>
      <c r="E50" s="58" t="e">
        <f ca="1">OFFSET(CumulativeConfirmed!A50,-A50,MATCH(Country_Data!D50,CumulativeConfirmed!B50:BT50,0))</f>
        <v>#N/A</v>
      </c>
      <c r="F50" s="43">
        <f>MAX(CumulativeConfirmed!50:50)</f>
        <v>75</v>
      </c>
      <c r="G50" s="43">
        <f>MAX(CumulativeRecovered!50:50)</f>
        <v>16</v>
      </c>
      <c r="H50" s="43">
        <f>MAX(CumulativeDead!50:50)</f>
        <v>0</v>
      </c>
      <c r="K50" s="43">
        <v>97338579</v>
      </c>
      <c r="L50" s="54" t="s">
        <v>523</v>
      </c>
      <c r="M50" s="43" t="e">
        <v>#VALUE!</v>
      </c>
      <c r="N50" s="74">
        <f t="shared" si="0"/>
        <v>0</v>
      </c>
    </row>
    <row r="51" spans="1:14" x14ac:dyDescent="0.3">
      <c r="A51" s="54">
        <v>50</v>
      </c>
      <c r="B51" s="57" t="s">
        <v>344</v>
      </c>
      <c r="C51" s="57" t="s">
        <v>344</v>
      </c>
      <c r="D51" s="54">
        <f>VLOOKUP(C51,Days_Since_100!H:I,2,FALSE)</f>
        <v>114</v>
      </c>
      <c r="E51" s="58">
        <f ca="1">OFFSET(CumulativeConfirmed!A51,-A51,MATCH(Country_Data!D51,CumulativeConfirmed!B51:BT51,0))</f>
        <v>43907</v>
      </c>
      <c r="F51" s="43">
        <f>MAX(CumulativeConfirmed!51:51)</f>
        <v>147</v>
      </c>
      <c r="G51" s="43">
        <f>MAX(CumulativeRecovered!51:51)</f>
        <v>8</v>
      </c>
      <c r="H51" s="43">
        <f>MAX(CumulativeDead!51:51)</f>
        <v>0</v>
      </c>
      <c r="K51" s="43">
        <v>145934462</v>
      </c>
      <c r="L51" s="54">
        <v>0</v>
      </c>
      <c r="M51" s="43">
        <v>0</v>
      </c>
      <c r="N51" s="74">
        <f t="shared" si="0"/>
        <v>0</v>
      </c>
    </row>
    <row r="52" spans="1:14" x14ac:dyDescent="0.3">
      <c r="A52" s="54">
        <v>51</v>
      </c>
      <c r="B52" s="57" t="s">
        <v>124</v>
      </c>
      <c r="C52" s="57" t="s">
        <v>124</v>
      </c>
      <c r="D52" s="54">
        <f>VLOOKUP(C52,Days_Since_100!H:I,2,FALSE)</f>
        <v>155</v>
      </c>
      <c r="E52" s="58">
        <f ca="1">OFFSET(CumulativeConfirmed!A52,-A52,MATCH(Country_Data!D52,CumulativeConfirmed!B52:BT52,0))</f>
        <v>43906</v>
      </c>
      <c r="F52" s="43">
        <f>MAX(CumulativeConfirmed!52:52)</f>
        <v>238</v>
      </c>
      <c r="G52" s="43">
        <f>MAX(CumulativeRecovered!52:52)</f>
        <v>0</v>
      </c>
      <c r="H52" s="43">
        <f>MAX(CumulativeDead!52:52)</f>
        <v>0</v>
      </c>
      <c r="I52" s="58">
        <v>43905</v>
      </c>
      <c r="J52" s="58">
        <v>43905</v>
      </c>
      <c r="K52" s="43">
        <v>19116201</v>
      </c>
      <c r="L52" s="54">
        <v>7.84</v>
      </c>
      <c r="M52" s="43">
        <v>1500</v>
      </c>
      <c r="N52" s="74">
        <f t="shared" si="0"/>
        <v>0</v>
      </c>
    </row>
    <row r="53" spans="1:14" x14ac:dyDescent="0.3">
      <c r="A53" s="54">
        <v>52</v>
      </c>
      <c r="B53" s="57" t="s">
        <v>233</v>
      </c>
      <c r="C53" s="57" t="s">
        <v>233</v>
      </c>
      <c r="D53" s="54" t="e">
        <f>VLOOKUP(C53,Days_Since_100!H:I,2,FALSE)</f>
        <v>#N/A</v>
      </c>
      <c r="E53" s="58" t="e">
        <f ca="1">OFFSET(CumulativeConfirmed!A53,-A53,MATCH(Country_Data!D53,CumulativeConfirmed!B53:BT53,0))</f>
        <v>#N/A</v>
      </c>
      <c r="F53" s="43">
        <f>MAX(CumulativeConfirmed!53:53)</f>
        <v>68</v>
      </c>
      <c r="G53" s="43">
        <f>MAX(CumulativeRecovered!53:53)</f>
        <v>0</v>
      </c>
      <c r="H53" s="43">
        <f>MAX(CumulativeDead!53:53)</f>
        <v>0</v>
      </c>
      <c r="K53" s="43">
        <v>437479</v>
      </c>
      <c r="L53" s="54" t="s">
        <v>523</v>
      </c>
      <c r="M53" s="43" t="e">
        <v>#VALUE!</v>
      </c>
      <c r="N53" s="74">
        <f t="shared" si="0"/>
        <v>0</v>
      </c>
    </row>
    <row r="54" spans="1:14" x14ac:dyDescent="0.3">
      <c r="A54" s="54">
        <v>53</v>
      </c>
      <c r="B54" s="57" t="s">
        <v>161</v>
      </c>
      <c r="C54" s="57" t="s">
        <v>161</v>
      </c>
      <c r="D54" s="54" t="e">
        <f>VLOOKUP(C54,Days_Since_100!H:I,2,FALSE)</f>
        <v>#N/A</v>
      </c>
      <c r="E54" s="58" t="e">
        <f ca="1">OFFSET(CumulativeConfirmed!A54,-A54,MATCH(Country_Data!D54,CumulativeConfirmed!B54:BT54,0))</f>
        <v>#N/A</v>
      </c>
      <c r="F54" s="43">
        <f>MAX(CumulativeConfirmed!54:54)</f>
        <v>83</v>
      </c>
      <c r="G54" s="43">
        <f>MAX(CumulativeRecovered!54:54)</f>
        <v>1</v>
      </c>
      <c r="H54" s="43">
        <f>MAX(CumulativeDead!54:54)</f>
        <v>0</v>
      </c>
      <c r="K54" s="43">
        <v>8737371</v>
      </c>
      <c r="L54" s="54" t="s">
        <v>523</v>
      </c>
      <c r="M54" s="43" t="e">
        <v>#VALUE!</v>
      </c>
      <c r="N54" s="74">
        <f t="shared" si="0"/>
        <v>0</v>
      </c>
    </row>
    <row r="55" spans="1:14" x14ac:dyDescent="0.3">
      <c r="A55" s="54">
        <v>54</v>
      </c>
      <c r="B55" s="57" t="s">
        <v>99</v>
      </c>
      <c r="C55" s="57" t="s">
        <v>99</v>
      </c>
      <c r="D55" s="54">
        <f>VLOOKUP(C55,Days_Since_100!H:I,2,FALSE)</f>
        <v>140</v>
      </c>
      <c r="E55" s="58">
        <f ca="1">OFFSET(CumulativeConfirmed!A55,-A55,MATCH(Country_Data!D55,CumulativeConfirmed!B55:BT55,0))</f>
        <v>43907</v>
      </c>
      <c r="F55" s="43">
        <f>MAX(CumulativeConfirmed!55:55)</f>
        <v>203</v>
      </c>
      <c r="G55" s="43">
        <f>MAX(CumulativeRecovered!55:55)</f>
        <v>0</v>
      </c>
      <c r="H55" s="43">
        <f>MAX(CumulativeDead!55:55)</f>
        <v>2</v>
      </c>
      <c r="K55" s="43">
        <v>625978</v>
      </c>
      <c r="L55" s="54">
        <v>24.8</v>
      </c>
      <c r="M55" s="43">
        <v>155.24254400000001</v>
      </c>
      <c r="N55" s="74">
        <f t="shared" si="0"/>
        <v>9.852216748768473E-3</v>
      </c>
    </row>
    <row r="56" spans="1:14" x14ac:dyDescent="0.3">
      <c r="A56" s="54">
        <v>55</v>
      </c>
      <c r="B56" s="57" t="s">
        <v>230</v>
      </c>
      <c r="C56" s="57" t="s">
        <v>230</v>
      </c>
      <c r="D56" s="54" t="e">
        <f>VLOOKUP(C56,Days_Since_100!H:I,2,FALSE)</f>
        <v>#N/A</v>
      </c>
      <c r="E56" s="58" t="e">
        <f ca="1">OFFSET(CumulativeConfirmed!A56,-A56,MATCH(Country_Data!D56,CumulativeConfirmed!B56:BT56,0))</f>
        <v>#N/A</v>
      </c>
      <c r="F56" s="43">
        <f>MAX(CumulativeConfirmed!56:56)</f>
        <v>59</v>
      </c>
      <c r="G56" s="43">
        <f>MAX(CumulativeRecovered!56:56)</f>
        <v>0</v>
      </c>
      <c r="H56" s="43">
        <f>MAX(CumulativeDead!56:56)</f>
        <v>2</v>
      </c>
      <c r="K56" s="43">
        <v>2877797</v>
      </c>
      <c r="L56" s="54" t="s">
        <v>523</v>
      </c>
      <c r="M56" s="43" t="e">
        <v>#VALUE!</v>
      </c>
      <c r="N56" s="74">
        <f t="shared" si="0"/>
        <v>3.3898305084745763E-2</v>
      </c>
    </row>
    <row r="57" spans="1:14" x14ac:dyDescent="0.3">
      <c r="A57" s="54">
        <v>56</v>
      </c>
      <c r="B57" s="57" t="s">
        <v>76</v>
      </c>
      <c r="C57" s="57" t="s">
        <v>76</v>
      </c>
      <c r="D57" s="54" t="e">
        <f>VLOOKUP(C57,Days_Since_100!H:I,2,FALSE)</f>
        <v>#N/A</v>
      </c>
      <c r="E57" s="58" t="e">
        <f ca="1">OFFSET(CumulativeConfirmed!A57,-A57,MATCH(Country_Data!D57,CumulativeConfirmed!B57:BT57,0))</f>
        <v>#N/A</v>
      </c>
      <c r="F57" s="43">
        <f>MAX(CumulativeConfirmed!57:57)</f>
        <v>81</v>
      </c>
      <c r="G57" s="43">
        <f>MAX(CumulativeRecovered!57:57)</f>
        <v>4</v>
      </c>
      <c r="H57" s="43">
        <f>MAX(CumulativeDead!57:57)</f>
        <v>0</v>
      </c>
      <c r="K57" s="43">
        <v>4105267</v>
      </c>
      <c r="L57" s="54">
        <v>14.7</v>
      </c>
      <c r="M57" s="43">
        <v>603.47424899999999</v>
      </c>
      <c r="N57" s="74">
        <f t="shared" si="0"/>
        <v>0</v>
      </c>
    </row>
    <row r="58" spans="1:14" x14ac:dyDescent="0.3">
      <c r="A58" s="54">
        <v>57</v>
      </c>
      <c r="B58" s="57" t="s">
        <v>162</v>
      </c>
      <c r="C58" s="57" t="s">
        <v>162</v>
      </c>
      <c r="D58" s="54">
        <f>VLOOKUP(C58,Days_Since_100!H:I,2,FALSE)</f>
        <v>105</v>
      </c>
      <c r="E58" s="58">
        <f ca="1">OFFSET(CumulativeConfirmed!A58,-A58,MATCH(Country_Data!D58,CumulativeConfirmed!B58:BT58,0))</f>
        <v>43908</v>
      </c>
      <c r="F58" s="43">
        <f>MAX(CumulativeConfirmed!58:58)</f>
        <v>105</v>
      </c>
      <c r="G58" s="43">
        <f>MAX(CumulativeRecovered!58:58)</f>
        <v>0</v>
      </c>
      <c r="H58" s="43">
        <f>MAX(CumulativeDead!58:58)</f>
        <v>1</v>
      </c>
      <c r="K58" s="43">
        <v>5459642</v>
      </c>
      <c r="L58" s="54">
        <v>9.1999999999999993</v>
      </c>
      <c r="M58" s="43">
        <v>502.28706399999999</v>
      </c>
      <c r="N58" s="74">
        <f t="shared" si="0"/>
        <v>9.5238095238095247E-3</v>
      </c>
    </row>
    <row r="59" spans="1:14" x14ac:dyDescent="0.3">
      <c r="A59" s="54">
        <v>58</v>
      </c>
      <c r="B59" s="57" t="s">
        <v>123</v>
      </c>
      <c r="C59" s="57" t="s">
        <v>123</v>
      </c>
      <c r="D59" s="54" t="e">
        <f>VLOOKUP(C59,Days_Since_100!H:I,2,FALSE)</f>
        <v>#N/A</v>
      </c>
      <c r="E59" s="58" t="e">
        <f ca="1">OFFSET(CumulativeConfirmed!A59,-A59,MATCH(Country_Data!D59,CumulativeConfirmed!B59:BT59,0))</f>
        <v>#N/A</v>
      </c>
      <c r="F59" s="43">
        <f>MAX(CumulativeConfirmed!59:59)</f>
        <v>79</v>
      </c>
      <c r="G59" s="43">
        <f>MAX(CumulativeRecovered!59:59)</f>
        <v>3</v>
      </c>
      <c r="H59" s="43">
        <f>MAX(CumulativeDead!59:59)</f>
        <v>2</v>
      </c>
      <c r="K59" s="43">
        <v>45195774</v>
      </c>
      <c r="L59" s="54" t="s">
        <v>523</v>
      </c>
      <c r="M59" s="43" t="e">
        <v>#VALUE!</v>
      </c>
      <c r="N59" s="74">
        <f t="shared" si="0"/>
        <v>2.5316455696202531E-2</v>
      </c>
    </row>
    <row r="60" spans="1:14" x14ac:dyDescent="0.3">
      <c r="A60" s="54">
        <v>59</v>
      </c>
      <c r="B60" s="57" t="s">
        <v>80</v>
      </c>
      <c r="C60" s="57" t="s">
        <v>80</v>
      </c>
      <c r="D60" s="54">
        <f>VLOOKUP(C60,Days_Since_100!H:I,2,FALSE)</f>
        <v>136</v>
      </c>
      <c r="E60" s="58">
        <f ca="1">OFFSET(CumulativeConfirmed!A60,-A60,MATCH(Country_Data!D60,CumulativeConfirmed!B60:BT60,0))</f>
        <v>43906</v>
      </c>
      <c r="F60" s="43">
        <f>MAX(CumulativeConfirmed!60:60)</f>
        <v>299</v>
      </c>
      <c r="G60" s="43">
        <f>MAX(CumulativeRecovered!60:60)</f>
        <v>2</v>
      </c>
      <c r="H60" s="43">
        <f>MAX(CumulativeDead!60:60)</f>
        <v>0</v>
      </c>
      <c r="K60" s="43">
        <v>220892340</v>
      </c>
      <c r="L60" s="54">
        <v>0</v>
      </c>
      <c r="M60" s="43">
        <v>0</v>
      </c>
      <c r="N60" s="74">
        <f t="shared" si="0"/>
        <v>0</v>
      </c>
    </row>
    <row r="61" spans="1:14" x14ac:dyDescent="0.3">
      <c r="A61" s="54">
        <v>60</v>
      </c>
      <c r="B61" s="57" t="s">
        <v>160</v>
      </c>
      <c r="C61" s="57" t="s">
        <v>160</v>
      </c>
      <c r="D61" s="54">
        <f>VLOOKUP(C61,Days_Since_100!H:I,2,FALSE)</f>
        <v>117</v>
      </c>
      <c r="E61" s="58">
        <f ca="1">OFFSET(CumulativeConfirmed!A61,-A61,MATCH(Country_Data!D61,CumulativeConfirmed!B61:BT61,0))</f>
        <v>43907</v>
      </c>
      <c r="F61" s="43">
        <f>MAX(CumulativeConfirmed!61:61)</f>
        <v>145</v>
      </c>
      <c r="G61" s="43">
        <f>MAX(CumulativeRecovered!61:61)</f>
        <v>1</v>
      </c>
      <c r="H61" s="43">
        <f>MAX(CumulativeDead!61:61)</f>
        <v>0</v>
      </c>
      <c r="K61" s="43">
        <v>32971854</v>
      </c>
      <c r="L61" s="54">
        <v>0</v>
      </c>
      <c r="M61" s="43">
        <v>0</v>
      </c>
      <c r="N61" s="74">
        <f t="shared" si="0"/>
        <v>0</v>
      </c>
    </row>
    <row r="62" spans="1:14" x14ac:dyDescent="0.3">
      <c r="A62" s="54">
        <v>61</v>
      </c>
      <c r="B62" s="57" t="s">
        <v>91</v>
      </c>
      <c r="C62" s="57" t="s">
        <v>91</v>
      </c>
      <c r="D62" s="54" t="e">
        <f>VLOOKUP(C62,Days_Since_100!H:I,2,FALSE)</f>
        <v>#N/A</v>
      </c>
      <c r="E62" s="58" t="e">
        <f ca="1">OFFSET(CumulativeConfirmed!A62,-A62,MATCH(Country_Data!D62,CumulativeConfirmed!B62:BT62,0))</f>
        <v>#N/A</v>
      </c>
      <c r="F62" s="43">
        <f>MAX(CumulativeConfirmed!62:62)</f>
        <v>51</v>
      </c>
      <c r="G62" s="43">
        <f>MAX(CumulativeRecovered!62:62)</f>
        <v>5</v>
      </c>
      <c r="H62" s="43">
        <f>MAX(CumulativeDead!62:62)</f>
        <v>0</v>
      </c>
      <c r="K62" s="43">
        <v>9449323</v>
      </c>
      <c r="L62" s="54" t="s">
        <v>523</v>
      </c>
      <c r="M62" s="43" t="e">
        <v>#VALUE!</v>
      </c>
      <c r="N62" s="74">
        <f t="shared" si="0"/>
        <v>0</v>
      </c>
    </row>
    <row r="63" spans="1:14" x14ac:dyDescent="0.3">
      <c r="A63" s="54">
        <v>62</v>
      </c>
      <c r="B63" s="57" t="s">
        <v>283</v>
      </c>
      <c r="C63" s="57" t="s">
        <v>283</v>
      </c>
      <c r="D63" s="54" t="e">
        <f>VLOOKUP(C63,Days_Since_100!H:I,2,FALSE)</f>
        <v>#N/A</v>
      </c>
      <c r="E63" s="58" t="e">
        <f ca="1">OFFSET(CumulativeConfirmed!A63,-A63,MATCH(Country_Data!D63,CumulativeConfirmed!B63:BT63,0))</f>
        <v>#N/A</v>
      </c>
      <c r="F63" s="43">
        <f>MAX(CumulativeConfirmed!63:63)</f>
        <v>86</v>
      </c>
      <c r="G63" s="43">
        <f>MAX(CumulativeRecovered!63:63)</f>
        <v>0</v>
      </c>
      <c r="H63" s="43">
        <f>MAX(CumulativeDead!63:63)</f>
        <v>1</v>
      </c>
      <c r="K63" s="43">
        <v>4314767</v>
      </c>
      <c r="L63" s="54" t="s">
        <v>523</v>
      </c>
      <c r="M63" s="43" t="e">
        <v>#VALUE!</v>
      </c>
      <c r="N63" s="74">
        <f t="shared" si="0"/>
        <v>1.1627906976744186E-2</v>
      </c>
    </row>
    <row r="64" spans="1:14" x14ac:dyDescent="0.3">
      <c r="A64" s="54">
        <v>63</v>
      </c>
      <c r="B64" s="57" t="s">
        <v>75</v>
      </c>
      <c r="C64" s="57" t="s">
        <v>75</v>
      </c>
      <c r="D64" s="54" t="e">
        <f>VLOOKUP(C64,Days_Since_100!H:I,2,FALSE)</f>
        <v>#N/A</v>
      </c>
      <c r="E64" s="58" t="e">
        <f ca="1">OFFSET(CumulativeConfirmed!A64,-A64,MATCH(Country_Data!D64,CumulativeConfirmed!B64:BT64,0))</f>
        <v>#N/A</v>
      </c>
      <c r="F64" s="43">
        <f>MAX(CumulativeConfirmed!64:64)</f>
        <v>74</v>
      </c>
      <c r="G64" s="43">
        <f>MAX(CumulativeRecovered!64:64)</f>
        <v>12</v>
      </c>
      <c r="H64" s="43">
        <f>MAX(CumulativeDead!64:64)</f>
        <v>7</v>
      </c>
      <c r="K64" s="43">
        <v>43851044</v>
      </c>
      <c r="L64" s="54" t="s">
        <v>523</v>
      </c>
      <c r="M64" s="43" t="e">
        <v>#VALUE!</v>
      </c>
      <c r="N64" s="74">
        <f t="shared" si="0"/>
        <v>9.45945945945946E-2</v>
      </c>
    </row>
    <row r="65" spans="1:14" x14ac:dyDescent="0.3">
      <c r="A65" s="54">
        <v>64</v>
      </c>
      <c r="B65" s="57" t="s">
        <v>82</v>
      </c>
      <c r="C65" s="57" t="s">
        <v>82</v>
      </c>
      <c r="D65" s="54" t="e">
        <f>VLOOKUP(C65,Days_Since_100!H:I,2,FALSE)</f>
        <v>#N/A</v>
      </c>
      <c r="E65" s="58" t="e">
        <f ca="1">OFFSET(CumulativeConfirmed!A65,-A65,MATCH(Country_Data!D65,CumulativeConfirmed!B65:BT65,0))</f>
        <v>#N/A</v>
      </c>
      <c r="F65" s="43">
        <f>MAX(CumulativeConfirmed!65:65)</f>
        <v>38</v>
      </c>
      <c r="G65" s="43">
        <f>MAX(CumulativeRecovered!65:65)</f>
        <v>1</v>
      </c>
      <c r="H65" s="43">
        <f>MAX(CumulativeDead!65:65)</f>
        <v>0</v>
      </c>
      <c r="K65" s="43">
        <v>3989167</v>
      </c>
      <c r="L65" s="54" t="s">
        <v>523</v>
      </c>
      <c r="M65" s="43" t="e">
        <v>#VALUE!</v>
      </c>
      <c r="N65" s="74">
        <f t="shared" si="0"/>
        <v>0</v>
      </c>
    </row>
    <row r="66" spans="1:14" x14ac:dyDescent="0.3">
      <c r="A66" s="54">
        <v>65</v>
      </c>
      <c r="B66" s="57" t="s">
        <v>145</v>
      </c>
      <c r="C66" s="57" t="s">
        <v>145</v>
      </c>
      <c r="D66" s="54">
        <f>VLOOKUP(C66,Days_Since_100!H:I,2,FALSE)</f>
        <v>116</v>
      </c>
      <c r="E66" s="58">
        <f ca="1">OFFSET(CumulativeConfirmed!A66,-A66,MATCH(Country_Data!D66,CumulativeConfirmed!B66:BT66,0))</f>
        <v>43908</v>
      </c>
      <c r="F66" s="43">
        <f>MAX(CumulativeConfirmed!66:66)</f>
        <v>116</v>
      </c>
      <c r="G66" s="43">
        <f>MAX(CumulativeRecovered!66:66)</f>
        <v>0</v>
      </c>
      <c r="H66" s="43">
        <f>MAX(CumulativeDead!66:66)</f>
        <v>0</v>
      </c>
      <c r="K66" s="43">
        <v>59308690</v>
      </c>
      <c r="L66" s="54">
        <v>0</v>
      </c>
      <c r="M66" s="43">
        <v>0</v>
      </c>
      <c r="N66" s="74">
        <f t="shared" si="0"/>
        <v>0</v>
      </c>
    </row>
    <row r="67" spans="1:14" x14ac:dyDescent="0.3">
      <c r="A67" s="54">
        <v>66</v>
      </c>
      <c r="B67" s="57" t="s">
        <v>199</v>
      </c>
      <c r="C67" s="57" t="s">
        <v>199</v>
      </c>
      <c r="D67" s="54" t="e">
        <f>VLOOKUP(C67,Days_Since_100!H:I,2,FALSE)</f>
        <v>#N/A</v>
      </c>
      <c r="E67" s="58" t="e">
        <f ca="1">OFFSET(CumulativeConfirmed!A67,-A67,MATCH(Country_Data!D67,CumulativeConfirmed!B67:BT67,0))</f>
        <v>#N/A</v>
      </c>
      <c r="F67" s="43">
        <f>MAX(CumulativeConfirmed!67:67)</f>
        <v>92</v>
      </c>
      <c r="G67" s="43">
        <f>MAX(CumulativeRecovered!67:67)</f>
        <v>0</v>
      </c>
      <c r="H67" s="43">
        <f>MAX(CumulativeDead!67:67)</f>
        <v>2</v>
      </c>
      <c r="K67" s="43">
        <v>6948445</v>
      </c>
      <c r="L67" s="54">
        <v>12.2</v>
      </c>
      <c r="M67" s="43">
        <v>847.71028999999987</v>
      </c>
      <c r="N67" s="74">
        <f t="shared" ref="N67:N127" si="1">H67/F67</f>
        <v>2.1739130434782608E-2</v>
      </c>
    </row>
    <row r="68" spans="1:14" x14ac:dyDescent="0.3">
      <c r="A68" s="54">
        <v>67</v>
      </c>
      <c r="B68" s="57" t="s">
        <v>159</v>
      </c>
      <c r="C68" s="57" t="s">
        <v>159</v>
      </c>
      <c r="D68" s="54" t="e">
        <f>VLOOKUP(C68,Days_Since_100!H:I,2,FALSE)</f>
        <v>#N/A</v>
      </c>
      <c r="E68" s="58" t="e">
        <f ca="1">OFFSET(CumulativeConfirmed!A68,-A68,MATCH(Country_Data!D68,CumulativeConfirmed!B68:BT68,0))</f>
        <v>#N/A</v>
      </c>
      <c r="F68" s="43">
        <f>MAX(CumulativeConfirmed!68:68)</f>
        <v>50</v>
      </c>
      <c r="G68" s="43">
        <f>MAX(CumulativeRecovered!68:68)</f>
        <v>0</v>
      </c>
      <c r="H68" s="43">
        <f>MAX(CumulativeDead!68:68)</f>
        <v>0</v>
      </c>
      <c r="K68" s="43">
        <v>5094118</v>
      </c>
      <c r="L68" s="54" t="s">
        <v>523</v>
      </c>
      <c r="M68" s="43" t="e">
        <v>#VALUE!</v>
      </c>
      <c r="N68" s="74">
        <f t="shared" si="1"/>
        <v>0</v>
      </c>
    </row>
    <row r="69" spans="1:14" x14ac:dyDescent="0.3">
      <c r="A69" s="54">
        <v>68</v>
      </c>
      <c r="B69" s="57" t="s">
        <v>132</v>
      </c>
      <c r="C69" s="57" t="s">
        <v>132</v>
      </c>
      <c r="D69" s="54" t="e">
        <f>VLOOKUP(C69,Days_Since_100!H:I,2,FALSE)</f>
        <v>#N/A</v>
      </c>
      <c r="E69" s="58" t="e">
        <f ca="1">OFFSET(CumulativeConfirmed!A69,-A69,MATCH(Country_Data!D69,CumulativeConfirmed!B69:BT69,0))</f>
        <v>#N/A</v>
      </c>
      <c r="F69" s="43">
        <f>MAX(CumulativeConfirmed!69:69)</f>
        <v>58</v>
      </c>
      <c r="G69" s="43">
        <f>MAX(CumulativeRecovered!69:69)</f>
        <v>2</v>
      </c>
      <c r="H69" s="43">
        <f>MAX(CumulativeDead!69:69)</f>
        <v>1</v>
      </c>
      <c r="I69" s="58">
        <v>43913</v>
      </c>
      <c r="J69" s="58">
        <v>43913</v>
      </c>
      <c r="K69" s="43">
        <v>9660351</v>
      </c>
      <c r="L69" s="54">
        <v>13.8</v>
      </c>
      <c r="M69" s="43">
        <v>1333.128438</v>
      </c>
      <c r="N69" s="74">
        <f t="shared" si="1"/>
        <v>1.7241379310344827E-2</v>
      </c>
    </row>
    <row r="70" spans="1:14" x14ac:dyDescent="0.3">
      <c r="A70" s="54">
        <v>69</v>
      </c>
      <c r="B70" s="57" t="s">
        <v>71</v>
      </c>
      <c r="C70" s="57" t="s">
        <v>71</v>
      </c>
      <c r="D70" s="54" t="e">
        <f>VLOOKUP(C70,Days_Since_100!H:I,2,FALSE)</f>
        <v>#N/A</v>
      </c>
      <c r="E70" s="58" t="e">
        <f ca="1">OFFSET(CumulativeConfirmed!A70,-A70,MATCH(Country_Data!D70,CumulativeConfirmed!B70:BT70,0))</f>
        <v>#N/A</v>
      </c>
      <c r="F70" s="43">
        <f>MAX(CumulativeConfirmed!70:70)</f>
        <v>39</v>
      </c>
      <c r="G70" s="43">
        <f>MAX(CumulativeRecovered!70:70)</f>
        <v>12</v>
      </c>
      <c r="H70" s="43">
        <f>MAX(CumulativeDead!70:70)</f>
        <v>0</v>
      </c>
      <c r="K70" s="43">
        <v>5106626</v>
      </c>
      <c r="L70" s="54" t="s">
        <v>523</v>
      </c>
      <c r="M70" s="43" t="e">
        <v>#VALUE!</v>
      </c>
      <c r="N70" s="74">
        <f t="shared" si="1"/>
        <v>0</v>
      </c>
    </row>
    <row r="71" spans="1:14" x14ac:dyDescent="0.3">
      <c r="A71" s="54">
        <v>70</v>
      </c>
      <c r="B71" s="57" t="s">
        <v>103</v>
      </c>
      <c r="C71" s="57" t="s">
        <v>103</v>
      </c>
      <c r="D71" s="54">
        <f>VLOOKUP(C71,Days_Since_100!H:I,2,FALSE)</f>
        <v>111</v>
      </c>
      <c r="E71" s="58">
        <f ca="1">OFFSET(CumulativeConfirmed!A71,-A71,MATCH(Country_Data!D71,CumulativeConfirmed!B71:BT71,0))</f>
        <v>43908</v>
      </c>
      <c r="F71" s="43">
        <f>MAX(CumulativeConfirmed!71:71)</f>
        <v>111</v>
      </c>
      <c r="G71" s="43">
        <f>MAX(CumulativeRecovered!71:71)</f>
        <v>0</v>
      </c>
      <c r="H71" s="43">
        <f>MAX(CumulativeDead!71:71)</f>
        <v>2</v>
      </c>
      <c r="K71" s="43">
        <v>17643054</v>
      </c>
      <c r="L71" s="54">
        <v>0</v>
      </c>
      <c r="M71" s="43">
        <v>0</v>
      </c>
      <c r="N71" s="74">
        <f t="shared" si="1"/>
        <v>1.8018018018018018E-2</v>
      </c>
    </row>
    <row r="72" spans="1:14" x14ac:dyDescent="0.3">
      <c r="A72" s="54">
        <v>71</v>
      </c>
      <c r="B72" s="57" t="s">
        <v>111</v>
      </c>
      <c r="C72" s="57" t="s">
        <v>111</v>
      </c>
      <c r="D72" s="54" t="e">
        <f>VLOOKUP(C72,Days_Since_100!H:I,2,FALSE)</f>
        <v>#N/A</v>
      </c>
      <c r="E72" s="58" t="e">
        <f ca="1">OFFSET(CumulativeConfirmed!A72,-A72,MATCH(Country_Data!D72,CumulativeConfirmed!B72:BT72,0))</f>
        <v>#N/A</v>
      </c>
      <c r="F72" s="43">
        <f>MAX(CumulativeConfirmed!72:72)</f>
        <v>71</v>
      </c>
      <c r="G72" s="43">
        <f>MAX(CumulativeRecovered!72:72)</f>
        <v>1</v>
      </c>
      <c r="H72" s="43">
        <f>MAX(CumulativeDead!72:72)</f>
        <v>0</v>
      </c>
      <c r="K72" s="43">
        <v>1886198</v>
      </c>
      <c r="L72" s="54">
        <v>9.6999999999999993</v>
      </c>
      <c r="M72" s="43">
        <v>182.96120599999998</v>
      </c>
      <c r="N72" s="74">
        <f t="shared" si="1"/>
        <v>0</v>
      </c>
    </row>
    <row r="73" spans="1:14" x14ac:dyDescent="0.3">
      <c r="A73" s="54">
        <v>72</v>
      </c>
      <c r="B73" s="57" t="s">
        <v>138</v>
      </c>
      <c r="C73" s="57" t="s">
        <v>138</v>
      </c>
      <c r="D73" s="54" t="e">
        <f>VLOOKUP(C73,Days_Since_100!H:I,2,FALSE)</f>
        <v>#N/A</v>
      </c>
      <c r="E73" s="58" t="e">
        <f ca="1">OFFSET(CumulativeConfirmed!A73,-A73,MATCH(Country_Data!D73,CumulativeConfirmed!B73:BT73,0))</f>
        <v>#N/A</v>
      </c>
      <c r="F73" s="43">
        <f>MAX(CumulativeConfirmed!73:73)</f>
        <v>29</v>
      </c>
      <c r="G73" s="43">
        <f>MAX(CumulativeRecovered!73:73)</f>
        <v>0</v>
      </c>
      <c r="H73" s="43">
        <f>MAX(CumulativeDead!73:73)</f>
        <v>0</v>
      </c>
      <c r="K73" s="43">
        <v>11818619</v>
      </c>
      <c r="L73" s="54" t="s">
        <v>523</v>
      </c>
      <c r="M73" s="43" t="e">
        <v>#VALUE!</v>
      </c>
      <c r="N73" s="74">
        <f t="shared" si="1"/>
        <v>0</v>
      </c>
    </row>
    <row r="74" spans="1:14" x14ac:dyDescent="0.3">
      <c r="A74" s="54">
        <v>73</v>
      </c>
      <c r="B74" s="57" t="s">
        <v>104</v>
      </c>
      <c r="C74" s="57" t="s">
        <v>104</v>
      </c>
      <c r="D74" s="54" t="e">
        <f>VLOOKUP(C74,Days_Since_100!H:I,2,FALSE)</f>
        <v>#N/A</v>
      </c>
      <c r="E74" s="58" t="e">
        <f ca="1">OFFSET(CumulativeConfirmed!A74,-A74,MATCH(Country_Data!D74,CumulativeConfirmed!B74:BT74,0))</f>
        <v>#N/A</v>
      </c>
      <c r="F74" s="43">
        <f>MAX(CumulativeConfirmed!74:74)</f>
        <v>28</v>
      </c>
      <c r="G74" s="43">
        <f>MAX(CumulativeRecovered!74:74)</f>
        <v>6</v>
      </c>
      <c r="H74" s="43">
        <f>MAX(CumulativeDead!74:74)</f>
        <v>1</v>
      </c>
      <c r="K74" s="43">
        <v>10139177</v>
      </c>
      <c r="L74" s="54" t="s">
        <v>523</v>
      </c>
      <c r="M74" s="43" t="e">
        <v>#VALUE!</v>
      </c>
      <c r="N74" s="74">
        <f t="shared" si="1"/>
        <v>3.5714285714285712E-2</v>
      </c>
    </row>
    <row r="75" spans="1:14" x14ac:dyDescent="0.3">
      <c r="A75" s="54">
        <v>74</v>
      </c>
      <c r="B75" s="57" t="s">
        <v>231</v>
      </c>
      <c r="C75" s="57" t="s">
        <v>231</v>
      </c>
      <c r="D75" s="54" t="e">
        <f>VLOOKUP(C75,Days_Since_100!H:I,2,FALSE)</f>
        <v>#N/A</v>
      </c>
      <c r="E75" s="58" t="e">
        <f ca="1">OFFSET(CumulativeConfirmed!A75,-A75,MATCH(Country_Data!D75,CumulativeConfirmed!B75:BT75,0))</f>
        <v>#N/A</v>
      </c>
      <c r="F75" s="43">
        <f>MAX(CumulativeConfirmed!75:75)</f>
        <v>49</v>
      </c>
      <c r="G75" s="43">
        <f>MAX(CumulativeRecovered!75:75)</f>
        <v>0</v>
      </c>
      <c r="H75" s="43">
        <f>MAX(CumulativeDead!75:75)</f>
        <v>0</v>
      </c>
      <c r="K75" s="43">
        <v>1207359</v>
      </c>
      <c r="L75" s="54">
        <v>11.4</v>
      </c>
      <c r="M75" s="43">
        <v>137.638926</v>
      </c>
      <c r="N75" s="74">
        <f t="shared" si="1"/>
        <v>0</v>
      </c>
    </row>
    <row r="76" spans="1:14" x14ac:dyDescent="0.3">
      <c r="A76" s="54">
        <v>75</v>
      </c>
      <c r="B76" s="57" t="s">
        <v>84</v>
      </c>
      <c r="C76" s="57" t="s">
        <v>84</v>
      </c>
      <c r="D76" s="54" t="e">
        <f>VLOOKUP(C76,Days_Since_100!H:I,2,FALSE)</f>
        <v>#N/A</v>
      </c>
      <c r="E76" s="58" t="e">
        <f ca="1">OFFSET(CumulativeConfirmed!A76,-A76,MATCH(Country_Data!D76,CumulativeConfirmed!B76:BT76,0))</f>
        <v>#N/A</v>
      </c>
      <c r="F76" s="43">
        <f>MAX(CumulativeConfirmed!76:76)</f>
        <v>35</v>
      </c>
      <c r="G76" s="43">
        <f>MAX(CumulativeRecovered!76:76)</f>
        <v>1</v>
      </c>
      <c r="H76" s="43">
        <f>MAX(CumulativeDead!76:76)</f>
        <v>0</v>
      </c>
      <c r="K76" s="43">
        <v>2083374</v>
      </c>
      <c r="L76" s="54" t="s">
        <v>523</v>
      </c>
      <c r="M76" s="43" t="e">
        <v>#VALUE!</v>
      </c>
      <c r="N76" s="74">
        <f t="shared" si="1"/>
        <v>0</v>
      </c>
    </row>
    <row r="77" spans="1:14" x14ac:dyDescent="0.3">
      <c r="A77" s="54">
        <v>76</v>
      </c>
      <c r="B77" s="57" t="s">
        <v>140</v>
      </c>
      <c r="C77" s="57" t="s">
        <v>140</v>
      </c>
      <c r="D77" s="54" t="e">
        <f>VLOOKUP(C77,Days_Since_100!H:I,2,FALSE)</f>
        <v>#N/A</v>
      </c>
      <c r="E77" s="58" t="e">
        <f ca="1">OFFSET(CumulativeConfirmed!A77,-A77,MATCH(Country_Data!D77,CumulativeConfirmed!B77:BT77,0))</f>
        <v>#N/A</v>
      </c>
      <c r="F77" s="43">
        <f>MAX(CumulativeConfirmed!77:77)</f>
        <v>38</v>
      </c>
      <c r="G77" s="43">
        <f>MAX(CumulativeRecovered!77:77)</f>
        <v>2</v>
      </c>
      <c r="H77" s="43">
        <f>MAX(CumulativeDead!77:77)</f>
        <v>0</v>
      </c>
      <c r="K77" s="43">
        <v>3280819</v>
      </c>
      <c r="L77" s="54" t="s">
        <v>523</v>
      </c>
      <c r="M77" s="43" t="e">
        <v>#VALUE!</v>
      </c>
      <c r="N77" s="74">
        <f t="shared" si="1"/>
        <v>0</v>
      </c>
    </row>
    <row r="78" spans="1:14" x14ac:dyDescent="0.3">
      <c r="A78" s="54">
        <v>77</v>
      </c>
      <c r="B78" s="57" t="s">
        <v>158</v>
      </c>
      <c r="C78" s="57" t="s">
        <v>158</v>
      </c>
      <c r="D78" s="54" t="e">
        <f>VLOOKUP(C78,Days_Since_100!H:I,2,FALSE)</f>
        <v>#N/A</v>
      </c>
      <c r="E78" s="58" t="e">
        <f ca="1">OFFSET(CumulativeConfirmed!A78,-A78,MATCH(Country_Data!D78,CumulativeConfirmed!B78:BT78,0))</f>
        <v>#N/A</v>
      </c>
      <c r="F78" s="43">
        <f>MAX(CumulativeConfirmed!78:78)</f>
        <v>93</v>
      </c>
      <c r="G78" s="43">
        <f>MAX(CumulativeRecovered!78:78)</f>
        <v>1</v>
      </c>
      <c r="H78" s="43">
        <f>MAX(CumulativeDead!78:78)</f>
        <v>0</v>
      </c>
      <c r="K78" s="43">
        <v>50882891</v>
      </c>
      <c r="L78" s="54" t="s">
        <v>523</v>
      </c>
      <c r="M78" s="43" t="e">
        <v>#VALUE!</v>
      </c>
      <c r="N78" s="74">
        <f t="shared" si="1"/>
        <v>0</v>
      </c>
    </row>
    <row r="79" spans="1:14" x14ac:dyDescent="0.3">
      <c r="A79" s="54">
        <v>78</v>
      </c>
      <c r="B79" s="57" t="s">
        <v>177</v>
      </c>
      <c r="C79" s="57" t="s">
        <v>177</v>
      </c>
      <c r="D79" s="54" t="e">
        <f>VLOOKUP(C79,Days_Since_100!H:I,2,FALSE)</f>
        <v>#N/A</v>
      </c>
      <c r="E79" s="58" t="e">
        <f ca="1">OFFSET(CumulativeConfirmed!A79,-A79,MATCH(Country_Data!D79,CumulativeConfirmed!B79:BT79,0))</f>
        <v>#N/A</v>
      </c>
      <c r="F79" s="43">
        <f>MAX(CumulativeConfirmed!79:79)</f>
        <v>38</v>
      </c>
      <c r="G79" s="43">
        <f>MAX(CumulativeRecovered!79:79)</f>
        <v>2</v>
      </c>
      <c r="H79" s="43">
        <f>MAX(CumulativeDead!79:79)</f>
        <v>0</v>
      </c>
      <c r="K79" s="43">
        <v>441543</v>
      </c>
      <c r="L79" s="54" t="s">
        <v>523</v>
      </c>
      <c r="M79" s="43" t="e">
        <v>#VALUE!</v>
      </c>
      <c r="N79" s="74">
        <f t="shared" si="1"/>
        <v>0</v>
      </c>
    </row>
    <row r="80" spans="1:14" x14ac:dyDescent="0.3">
      <c r="A80" s="54">
        <v>79</v>
      </c>
      <c r="B80" s="57" t="s">
        <v>94</v>
      </c>
      <c r="C80" s="57" t="s">
        <v>94</v>
      </c>
      <c r="D80" s="54" t="e">
        <f>VLOOKUP(C80,Days_Since_100!H:I,2,FALSE)</f>
        <v>#N/A</v>
      </c>
      <c r="E80" s="58" t="e">
        <f ca="1">OFFSET(CumulativeConfirmed!A80,-A80,MATCH(Country_Data!D80,CumulativeConfirmed!B80:BT80,0))</f>
        <v>#N/A</v>
      </c>
      <c r="F80" s="43">
        <f>MAX(CumulativeConfirmed!80:80)</f>
        <v>93</v>
      </c>
      <c r="G80" s="43">
        <f>MAX(CumulativeRecovered!80:80)</f>
        <v>4</v>
      </c>
      <c r="H80" s="43">
        <f>MAX(CumulativeDead!80:80)</f>
        <v>0</v>
      </c>
      <c r="K80" s="43">
        <v>128932753</v>
      </c>
      <c r="L80" s="54" t="s">
        <v>523</v>
      </c>
      <c r="M80" s="43" t="e">
        <v>#VALUE!</v>
      </c>
      <c r="N80" s="74">
        <f t="shared" si="1"/>
        <v>0</v>
      </c>
    </row>
    <row r="81" spans="1:14" x14ac:dyDescent="0.3">
      <c r="A81" s="54">
        <v>80</v>
      </c>
      <c r="B81" s="57" t="s">
        <v>114</v>
      </c>
      <c r="C81" s="57" t="s">
        <v>114</v>
      </c>
      <c r="D81" s="54" t="e">
        <f>VLOOKUP(C81,Days_Since_100!H:I,2,FALSE)</f>
        <v>#N/A</v>
      </c>
      <c r="E81" s="58" t="e">
        <f ca="1">OFFSET(CumulativeConfirmed!A81,-A81,MATCH(Country_Data!D81,CumulativeConfirmed!B81:BT81,0))</f>
        <v>#N/A</v>
      </c>
      <c r="F81" s="43">
        <f>MAX(CumulativeConfirmed!81:81)</f>
        <v>31</v>
      </c>
      <c r="G81" s="43">
        <f>MAX(CumulativeRecovered!81:81)</f>
        <v>2</v>
      </c>
      <c r="H81" s="43">
        <f>MAX(CumulativeDead!81:81)</f>
        <v>0</v>
      </c>
      <c r="K81" s="43">
        <v>16743927</v>
      </c>
      <c r="L81" s="54" t="s">
        <v>523</v>
      </c>
      <c r="M81" s="43" t="e">
        <v>#VALUE!</v>
      </c>
      <c r="N81" s="74">
        <f t="shared" si="1"/>
        <v>0</v>
      </c>
    </row>
    <row r="82" spans="1:14" x14ac:dyDescent="0.3">
      <c r="A82" s="54">
        <v>81</v>
      </c>
      <c r="B82" s="57" t="s">
        <v>200</v>
      </c>
      <c r="C82" s="57" t="s">
        <v>200</v>
      </c>
      <c r="D82" s="54" t="e">
        <f>VLOOKUP(C82,Days_Since_100!H:I,2,FALSE)</f>
        <v>#N/A</v>
      </c>
      <c r="E82" s="58" t="e">
        <f ca="1">OFFSET(CumulativeConfirmed!A82,-A82,MATCH(Country_Data!D82,CumulativeConfirmed!B82:BT82,0))</f>
        <v>#N/A</v>
      </c>
      <c r="F82" s="43">
        <f>MAX(CumulativeConfirmed!82:82)</f>
        <v>13</v>
      </c>
      <c r="G82" s="43">
        <f>MAX(CumulativeRecovered!82:82)</f>
        <v>0</v>
      </c>
      <c r="H82" s="43">
        <f>MAX(CumulativeDead!82:82)</f>
        <v>0</v>
      </c>
      <c r="K82" s="43">
        <v>540544</v>
      </c>
      <c r="L82" s="54" t="s">
        <v>523</v>
      </c>
      <c r="M82" s="43" t="e">
        <v>#VALUE!</v>
      </c>
      <c r="N82" s="74">
        <f t="shared" si="1"/>
        <v>0</v>
      </c>
    </row>
    <row r="83" spans="1:14" x14ac:dyDescent="0.3">
      <c r="A83" s="54">
        <v>82</v>
      </c>
      <c r="B83" s="57" t="s">
        <v>105</v>
      </c>
      <c r="C83" s="57" t="s">
        <v>105</v>
      </c>
      <c r="D83" s="54" t="e">
        <f>VLOOKUP(C83,Days_Since_100!H:I,2,FALSE)</f>
        <v>#N/A</v>
      </c>
      <c r="E83" s="58" t="e">
        <f ca="1">OFFSET(CumulativeConfirmed!A83,-A83,MATCH(Country_Data!D83,CumulativeConfirmed!B83:BT83,0))</f>
        <v>#N/A</v>
      </c>
      <c r="F83" s="43">
        <f>MAX(CumulativeConfirmed!83:83)</f>
        <v>84</v>
      </c>
      <c r="G83" s="43">
        <f>MAX(CumulativeRecovered!83:83)</f>
        <v>1</v>
      </c>
      <c r="H83" s="43">
        <f>MAX(CumulativeDead!83:83)</f>
        <v>0</v>
      </c>
      <c r="K83" s="43">
        <v>2963243</v>
      </c>
      <c r="L83" s="54" t="s">
        <v>523</v>
      </c>
      <c r="M83" s="43" t="e">
        <v>#VALUE!</v>
      </c>
      <c r="N83" s="74">
        <f t="shared" si="1"/>
        <v>0</v>
      </c>
    </row>
    <row r="84" spans="1:14" x14ac:dyDescent="0.3">
      <c r="A84" s="54">
        <v>83</v>
      </c>
      <c r="B84" s="57" t="s">
        <v>353</v>
      </c>
      <c r="C84" s="57" t="s">
        <v>353</v>
      </c>
      <c r="D84" s="54" t="e">
        <f>VLOOKUP(C84,Days_Since_100!H:I,2,FALSE)</f>
        <v>#N/A</v>
      </c>
      <c r="E84" s="58" t="e">
        <f ca="1">OFFSET(CumulativeConfirmed!A84,-A84,MATCH(Country_Data!D84,CumulativeConfirmed!B84:BT84,0))</f>
        <v>#N/A</v>
      </c>
      <c r="F84" s="43">
        <f>MAX(CumulativeConfirmed!84:84)</f>
        <v>13</v>
      </c>
      <c r="G84" s="43">
        <f>MAX(CumulativeRecovered!84:84)</f>
        <v>2</v>
      </c>
      <c r="H84" s="43">
        <f>MAX(CumulativeDead!84:84)</f>
        <v>0</v>
      </c>
      <c r="K84" s="43">
        <v>2961167</v>
      </c>
      <c r="L84" s="54" t="s">
        <v>523</v>
      </c>
      <c r="M84" s="43" t="e">
        <v>#VALUE!</v>
      </c>
      <c r="N84" s="74">
        <f t="shared" si="1"/>
        <v>0</v>
      </c>
    </row>
    <row r="85" spans="1:14" x14ac:dyDescent="0.3">
      <c r="A85" s="54">
        <v>84</v>
      </c>
      <c r="B85" s="57" t="s">
        <v>72</v>
      </c>
      <c r="C85" s="57" t="s">
        <v>72</v>
      </c>
      <c r="D85" s="54" t="e">
        <f>VLOOKUP(C85,Days_Since_100!H:I,2,FALSE)</f>
        <v>#N/A</v>
      </c>
      <c r="E85" s="58" t="e">
        <f ca="1">OFFSET(CumulativeConfirmed!A85,-A85,MATCH(Country_Data!D85,CumulativeConfirmed!B85:BT85,0))</f>
        <v>#N/A</v>
      </c>
      <c r="F85" s="43">
        <f>MAX(CumulativeConfirmed!85:85)</f>
        <v>22</v>
      </c>
      <c r="G85" s="43">
        <f>MAX(CumulativeRecovered!85:85)</f>
        <v>1</v>
      </c>
      <c r="H85" s="43">
        <f>MAX(CumulativeDead!85:85)</f>
        <v>0</v>
      </c>
      <c r="K85" s="43">
        <v>38928346</v>
      </c>
      <c r="L85" s="54" t="s">
        <v>523</v>
      </c>
      <c r="M85" s="43" t="e">
        <v>#VALUE!</v>
      </c>
      <c r="N85" s="74">
        <f t="shared" si="1"/>
        <v>0</v>
      </c>
    </row>
    <row r="86" spans="1:14" x14ac:dyDescent="0.3">
      <c r="A86" s="54">
        <v>85</v>
      </c>
      <c r="B86" s="57" t="s">
        <v>112</v>
      </c>
      <c r="C86" s="57" t="s">
        <v>112</v>
      </c>
      <c r="D86" s="54" t="e">
        <f>VLOOKUP(C86,Days_Since_100!H:I,2,FALSE)</f>
        <v>#N/A</v>
      </c>
      <c r="E86" s="58" t="e">
        <f ca="1">OFFSET(CumulativeConfirmed!A86,-A86,MATCH(Country_Data!D86,CumulativeConfirmed!B86:BT86,0))</f>
        <v>#N/A</v>
      </c>
      <c r="F86" s="43">
        <f>MAX(CumulativeConfirmed!86:86)</f>
        <v>49</v>
      </c>
      <c r="G86" s="43">
        <f>MAX(CumulativeRecovered!86:86)</f>
        <v>1</v>
      </c>
      <c r="H86" s="43">
        <f>MAX(CumulativeDead!86:86)</f>
        <v>2</v>
      </c>
      <c r="K86" s="43">
        <v>36910560</v>
      </c>
      <c r="L86" s="54" t="s">
        <v>523</v>
      </c>
      <c r="M86" s="43" t="e">
        <v>#VALUE!</v>
      </c>
      <c r="N86" s="74">
        <f t="shared" si="1"/>
        <v>4.0816326530612242E-2</v>
      </c>
    </row>
    <row r="87" spans="1:14" x14ac:dyDescent="0.3">
      <c r="A87" s="54">
        <v>86</v>
      </c>
      <c r="B87" s="57" t="s">
        <v>93</v>
      </c>
      <c r="C87" s="57" t="s">
        <v>93</v>
      </c>
      <c r="D87" s="54" t="e">
        <f>VLOOKUP(C87,Days_Since_100!H:I,2,FALSE)</f>
        <v>#N/A</v>
      </c>
      <c r="E87" s="58" t="e">
        <f ca="1">OFFSET(CumulativeConfirmed!A87,-A87,MATCH(Country_Data!D87,CumulativeConfirmed!B87:BT87,0))</f>
        <v>#N/A</v>
      </c>
      <c r="F87" s="43">
        <f>MAX(CumulativeConfirmed!87:87)</f>
        <v>27</v>
      </c>
      <c r="G87" s="43">
        <f>MAX(CumulativeRecovered!87:87)</f>
        <v>1</v>
      </c>
      <c r="H87" s="43">
        <f>MAX(CumulativeDead!87:87)</f>
        <v>0</v>
      </c>
      <c r="K87" s="43">
        <v>2722289</v>
      </c>
      <c r="L87" s="54">
        <v>15.5</v>
      </c>
      <c r="M87" s="43">
        <v>421.95479499999999</v>
      </c>
      <c r="N87" s="74">
        <f t="shared" si="1"/>
        <v>0</v>
      </c>
    </row>
    <row r="88" spans="1:14" x14ac:dyDescent="0.3">
      <c r="A88" s="54">
        <v>87</v>
      </c>
      <c r="B88" s="57" t="s">
        <v>345</v>
      </c>
      <c r="C88" s="57" t="s">
        <v>345</v>
      </c>
      <c r="D88" s="54" t="e">
        <f>VLOOKUP(C88,Days_Since_100!H:I,2,FALSE)</f>
        <v>#N/A</v>
      </c>
      <c r="E88" s="58" t="e">
        <f ca="1">OFFSET(CumulativeConfirmed!A88,-A88,MATCH(Country_Data!D88,CumulativeConfirmed!B88:BT88,0))</f>
        <v>#N/A</v>
      </c>
      <c r="F88" s="43">
        <f>MAX(CumulativeConfirmed!88:88)</f>
        <v>30</v>
      </c>
      <c r="G88" s="43">
        <f>MAX(CumulativeRecovered!88:88)</f>
        <v>1</v>
      </c>
      <c r="H88" s="43">
        <f>MAX(CumulativeDead!88:88)</f>
        <v>1</v>
      </c>
      <c r="K88" s="43">
        <v>4033963</v>
      </c>
      <c r="L88" s="54" t="s">
        <v>523</v>
      </c>
      <c r="M88" s="43" t="e">
        <v>#VALUE!</v>
      </c>
      <c r="N88" s="74">
        <f t="shared" si="1"/>
        <v>3.3333333333333333E-2</v>
      </c>
    </row>
    <row r="89" spans="1:14" x14ac:dyDescent="0.3">
      <c r="A89" s="54">
        <v>88</v>
      </c>
      <c r="B89" s="57" t="s">
        <v>206</v>
      </c>
      <c r="C89" s="57" t="s">
        <v>206</v>
      </c>
      <c r="D89" s="54" t="e">
        <f>VLOOKUP(C89,Days_Since_100!H:I,2,FALSE)</f>
        <v>#N/A</v>
      </c>
      <c r="E89" s="58" t="e">
        <f ca="1">OFFSET(CumulativeConfirmed!A89,-A89,MATCH(Country_Data!D89,CumulativeConfirmed!B89:BT89,0))</f>
        <v>#N/A</v>
      </c>
      <c r="F89" s="43">
        <f>MAX(CumulativeConfirmed!89:89)</f>
        <v>11</v>
      </c>
      <c r="G89" s="43">
        <f>MAX(CumulativeRecovered!89:89)</f>
        <v>0</v>
      </c>
      <c r="H89" s="43">
        <f>MAX(CumulativeDead!89:89)</f>
        <v>0</v>
      </c>
      <c r="K89" s="43">
        <v>7132538</v>
      </c>
      <c r="L89" s="54" t="s">
        <v>523</v>
      </c>
      <c r="M89" s="43" t="e">
        <v>#VALUE!</v>
      </c>
      <c r="N89" s="74">
        <f t="shared" si="1"/>
        <v>0</v>
      </c>
    </row>
    <row r="90" spans="1:14" x14ac:dyDescent="0.3">
      <c r="A90" s="54">
        <v>89</v>
      </c>
      <c r="B90" s="57" t="s">
        <v>52</v>
      </c>
      <c r="C90" s="57" t="s">
        <v>52</v>
      </c>
      <c r="D90" s="54" t="e">
        <f>VLOOKUP(C90,Days_Since_100!H:I,2,FALSE)</f>
        <v>#N/A</v>
      </c>
      <c r="E90" s="58" t="e">
        <f ca="1">OFFSET(CumulativeConfirmed!A90,-A90,MATCH(Country_Data!D90,CumulativeConfirmed!B90:BT90,0))</f>
        <v>#N/A</v>
      </c>
      <c r="F90" s="43">
        <f>MAX(CumulativeConfirmed!90:90)</f>
        <v>51</v>
      </c>
      <c r="G90" s="43">
        <f>MAX(CumulativeRecovered!90:90)</f>
        <v>1</v>
      </c>
      <c r="H90" s="43">
        <f>MAX(CumulativeDead!90:90)</f>
        <v>0</v>
      </c>
      <c r="K90" s="43">
        <v>21413249</v>
      </c>
      <c r="L90" s="54" t="s">
        <v>523</v>
      </c>
      <c r="M90" s="43" t="e">
        <v>#VALUE!</v>
      </c>
      <c r="N90" s="74">
        <f t="shared" si="1"/>
        <v>0</v>
      </c>
    </row>
    <row r="91" spans="1:14" x14ac:dyDescent="0.3">
      <c r="A91" s="54">
        <v>90</v>
      </c>
      <c r="B91" s="57" t="s">
        <v>51</v>
      </c>
      <c r="C91" s="57" t="s">
        <v>51</v>
      </c>
      <c r="D91" s="54" t="e">
        <f>VLOOKUP(C91,Days_Since_100!H:I,2,FALSE)</f>
        <v>#N/A</v>
      </c>
      <c r="E91" s="58" t="e">
        <f ca="1">OFFSET(CumulativeConfirmed!A91,-A91,MATCH(Country_Data!D91,CumulativeConfirmed!B91:BT91,0))</f>
        <v>#N/A</v>
      </c>
      <c r="F91" s="43">
        <f>MAX(CumulativeConfirmed!91:91)</f>
        <v>35</v>
      </c>
      <c r="G91" s="43">
        <f>MAX(CumulativeRecovered!91:91)</f>
        <v>1</v>
      </c>
      <c r="H91" s="43">
        <f>MAX(CumulativeDead!91:91)</f>
        <v>0</v>
      </c>
      <c r="K91" s="43">
        <v>16718965</v>
      </c>
      <c r="L91" s="54" t="s">
        <v>523</v>
      </c>
      <c r="M91" s="43" t="e">
        <v>#VALUE!</v>
      </c>
      <c r="N91" s="74">
        <f t="shared" si="1"/>
        <v>0</v>
      </c>
    </row>
    <row r="92" spans="1:14" x14ac:dyDescent="0.3">
      <c r="A92" s="54">
        <v>91</v>
      </c>
      <c r="B92" s="57" t="s">
        <v>106</v>
      </c>
      <c r="C92" s="57" t="s">
        <v>106</v>
      </c>
      <c r="D92" s="54" t="e">
        <f>VLOOKUP(C92,Days_Since_100!H:I,2,FALSE)</f>
        <v>#N/A</v>
      </c>
      <c r="E92" s="58" t="e">
        <f ca="1">OFFSET(CumulativeConfirmed!A92,-A92,MATCH(Country_Data!D92,CumulativeConfirmed!B92:BT92,0))</f>
        <v>#N/A</v>
      </c>
      <c r="F92" s="43">
        <f>MAX(CumulativeConfirmed!92:92)</f>
        <v>21</v>
      </c>
      <c r="G92" s="43">
        <f>MAX(CumulativeRecovered!92:92)</f>
        <v>0</v>
      </c>
      <c r="H92" s="43">
        <f>MAX(CumulativeDead!92:92)</f>
        <v>1</v>
      </c>
      <c r="K92" s="43">
        <v>10847910</v>
      </c>
      <c r="L92" s="54" t="s">
        <v>523</v>
      </c>
      <c r="M92" s="43" t="e">
        <v>#VALUE!</v>
      </c>
      <c r="N92" s="74">
        <f t="shared" si="1"/>
        <v>4.7619047619047616E-2</v>
      </c>
    </row>
    <row r="93" spans="1:14" x14ac:dyDescent="0.3">
      <c r="A93" s="54">
        <v>92</v>
      </c>
      <c r="B93" s="57" t="s">
        <v>176</v>
      </c>
      <c r="C93" s="57" t="s">
        <v>176</v>
      </c>
      <c r="D93" s="54" t="e">
        <f>VLOOKUP(C93,Days_Since_100!H:I,2,FALSE)</f>
        <v>#N/A</v>
      </c>
      <c r="E93" s="58" t="e">
        <f ca="1">OFFSET(CumulativeConfirmed!A93,-A93,MATCH(Country_Data!D93,CumulativeConfirmed!B93:BT93,0))</f>
        <v>#N/A</v>
      </c>
      <c r="F93" s="43">
        <f>MAX(CumulativeConfirmed!93:93)</f>
        <v>0</v>
      </c>
      <c r="G93" s="43">
        <f>MAX(CumulativeRecovered!93:93)</f>
        <v>0</v>
      </c>
      <c r="H93" s="43">
        <f>MAX(CumulativeDead!93:93)</f>
        <v>0</v>
      </c>
      <c r="K93" s="43">
        <v>298682</v>
      </c>
      <c r="L93" s="54" t="s">
        <v>523</v>
      </c>
      <c r="M93" s="43" t="e">
        <v>#VALUE!</v>
      </c>
      <c r="N93" s="74" t="e">
        <f t="shared" si="1"/>
        <v>#DIV/0!</v>
      </c>
    </row>
    <row r="94" spans="1:14" x14ac:dyDescent="0.3">
      <c r="A94" s="54">
        <v>93</v>
      </c>
      <c r="B94" s="57" t="s">
        <v>95</v>
      </c>
      <c r="C94" s="57" t="s">
        <v>95</v>
      </c>
      <c r="D94" s="54" t="e">
        <f>VLOOKUP(C94,Days_Since_100!H:I,2,FALSE)</f>
        <v>#N/A</v>
      </c>
      <c r="E94" s="58" t="e">
        <f ca="1">OFFSET(CumulativeConfirmed!A94,-A94,MATCH(Country_Data!D94,CumulativeConfirmed!B94:BT94,0))</f>
        <v>#N/A</v>
      </c>
      <c r="F94" s="43">
        <f>MAX(CumulativeConfirmed!94:94)</f>
        <v>20</v>
      </c>
      <c r="G94" s="43">
        <f>MAX(CumulativeRecovered!94:94)</f>
        <v>0</v>
      </c>
      <c r="H94" s="43">
        <f>MAX(CumulativeDead!94:94)</f>
        <v>0</v>
      </c>
      <c r="K94" s="43">
        <v>4822233</v>
      </c>
      <c r="L94" s="54" t="s">
        <v>523</v>
      </c>
      <c r="M94" s="43" t="e">
        <v>#VALUE!</v>
      </c>
      <c r="N94" s="74">
        <f t="shared" si="1"/>
        <v>0</v>
      </c>
    </row>
    <row r="95" spans="1:14" x14ac:dyDescent="0.3">
      <c r="A95" s="54">
        <v>94</v>
      </c>
      <c r="B95" s="57" t="s">
        <v>354</v>
      </c>
      <c r="C95" s="57" t="s">
        <v>354</v>
      </c>
      <c r="D95" s="54" t="e">
        <f>VLOOKUP(C95,Days_Since_100!H:I,2,FALSE)</f>
        <v>#N/A</v>
      </c>
      <c r="E95" s="58" t="e">
        <f ca="1">OFFSET(CumulativeConfirmed!A95,-A95,MATCH(Country_Data!D95,CumulativeConfirmed!B95:BT95,0))</f>
        <v>#N/A</v>
      </c>
      <c r="F95" s="43">
        <f>MAX(CumulativeConfirmed!95:95)</f>
        <v>0</v>
      </c>
      <c r="G95" s="43">
        <f>MAX(CumulativeRecovered!95:95)</f>
        <v>0</v>
      </c>
      <c r="H95" s="43">
        <f>MAX(CumulativeDead!95:95)</f>
        <v>0</v>
      </c>
      <c r="K95" s="43" t="e">
        <v>#N/A</v>
      </c>
      <c r="L95" s="54" t="s">
        <v>523</v>
      </c>
      <c r="M95" s="43" t="e">
        <v>#N/A</v>
      </c>
      <c r="N95" s="74" t="e">
        <f t="shared" si="1"/>
        <v>#DIV/0!</v>
      </c>
    </row>
    <row r="96" spans="1:14" x14ac:dyDescent="0.3">
      <c r="A96" s="54">
        <v>95</v>
      </c>
      <c r="B96" s="57" t="s">
        <v>355</v>
      </c>
      <c r="C96" s="57" t="s">
        <v>355</v>
      </c>
      <c r="D96" s="54" t="e">
        <f>VLOOKUP(C96,Days_Since_100!H:I,2,FALSE)</f>
        <v>#N/A</v>
      </c>
      <c r="E96" s="58" t="e">
        <f ca="1">OFFSET(CumulativeConfirmed!A96,-A96,MATCH(Country_Data!D96,CumulativeConfirmed!B96:BT96,0))</f>
        <v>#N/A</v>
      </c>
      <c r="F96" s="43">
        <f>MAX(CumulativeConfirmed!96:96)</f>
        <v>98</v>
      </c>
      <c r="G96" s="43">
        <f>MAX(CumulativeRecovered!96:96)</f>
        <v>0</v>
      </c>
      <c r="H96" s="43">
        <f>MAX(CumulativeDead!96:96)</f>
        <v>1</v>
      </c>
      <c r="K96" s="43">
        <v>84339067</v>
      </c>
      <c r="L96" s="54" t="s">
        <v>523</v>
      </c>
      <c r="M96" s="43" t="e">
        <v>#VALUE!</v>
      </c>
      <c r="N96" s="74">
        <f t="shared" si="1"/>
        <v>1.020408163265306E-2</v>
      </c>
    </row>
    <row r="97" spans="1:14" x14ac:dyDescent="0.3">
      <c r="A97" s="54">
        <v>96</v>
      </c>
      <c r="B97" s="57" t="s">
        <v>410</v>
      </c>
      <c r="C97" s="57" t="s">
        <v>410</v>
      </c>
      <c r="D97" s="54" t="e">
        <f>VLOOKUP(C97,Days_Since_100!H:I,2,FALSE)</f>
        <v>#N/A</v>
      </c>
      <c r="E97" s="58" t="e">
        <f ca="1">OFFSET(CumulativeConfirmed!A97,-A97,MATCH(Country_Data!D97,CumulativeConfirmed!B97:BT97,0))</f>
        <v>#N/A</v>
      </c>
      <c r="F97" s="43">
        <f>MAX(CumulativeConfirmed!97:97)</f>
        <v>7</v>
      </c>
      <c r="G97" s="43">
        <f>MAX(CumulativeRecovered!97:97)</f>
        <v>0</v>
      </c>
      <c r="H97" s="43">
        <f>MAX(CumulativeDead!97:97)</f>
        <v>1</v>
      </c>
      <c r="K97" s="43">
        <v>11326616</v>
      </c>
      <c r="L97" s="54" t="s">
        <v>523</v>
      </c>
      <c r="M97" s="43" t="e">
        <v>#VALUE!</v>
      </c>
      <c r="N97" s="74">
        <f t="shared" si="1"/>
        <v>0.14285714285714285</v>
      </c>
    </row>
    <row r="98" spans="1:14" x14ac:dyDescent="0.3">
      <c r="A98" s="54">
        <v>97</v>
      </c>
      <c r="B98" s="57" t="s">
        <v>413</v>
      </c>
      <c r="C98" s="57" t="s">
        <v>413</v>
      </c>
      <c r="D98" s="54" t="e">
        <f>VLOOKUP(C98,Days_Since_100!H:I,2,FALSE)</f>
        <v>#N/A</v>
      </c>
      <c r="E98" s="58" t="e">
        <f ca="1">OFFSET(CumulativeConfirmed!A98,-A98,MATCH(Country_Data!D98,CumulativeConfirmed!B98:BT98,0))</f>
        <v>#N/A</v>
      </c>
      <c r="F98" s="43">
        <f>MAX(CumulativeConfirmed!98:98)</f>
        <v>35</v>
      </c>
      <c r="G98" s="43">
        <f>MAX(CumulativeRecovered!98:98)</f>
        <v>0</v>
      </c>
      <c r="H98" s="43">
        <f>MAX(CumulativeDead!98:98)</f>
        <v>0</v>
      </c>
      <c r="K98" s="43">
        <v>18776707</v>
      </c>
      <c r="L98" s="54" t="s">
        <v>523</v>
      </c>
      <c r="M98" s="43" t="e">
        <v>#VALUE!</v>
      </c>
      <c r="N98" s="74">
        <f t="shared" si="1"/>
        <v>0</v>
      </c>
    </row>
    <row r="99" spans="1:14" x14ac:dyDescent="0.3">
      <c r="A99" s="54">
        <v>98</v>
      </c>
      <c r="B99" s="57" t="s">
        <v>202</v>
      </c>
      <c r="C99" s="57" t="s">
        <v>202</v>
      </c>
      <c r="D99" s="54" t="e">
        <f>VLOOKUP(C99,Days_Since_100!H:I,2,FALSE)</f>
        <v>#N/A</v>
      </c>
      <c r="E99" s="58" t="e">
        <f ca="1">OFFSET(CumulativeConfirmed!A99,-A99,MATCH(Country_Data!D99,CumulativeConfirmed!B99:BT99,0))</f>
        <v>#N/A</v>
      </c>
      <c r="F99" s="43">
        <f>MAX(CumulativeConfirmed!99:99)</f>
        <v>14</v>
      </c>
      <c r="G99" s="43">
        <f>MAX(CumulativeRecovered!99:99)</f>
        <v>3</v>
      </c>
      <c r="H99" s="43">
        <f>MAX(CumulativeDead!99:99)</f>
        <v>1</v>
      </c>
      <c r="K99" s="43">
        <v>164689383</v>
      </c>
      <c r="L99" s="54" t="s">
        <v>523</v>
      </c>
      <c r="M99" s="43" t="e">
        <v>#VALUE!</v>
      </c>
      <c r="N99" s="74">
        <f t="shared" si="1"/>
        <v>7.1428571428571425E-2</v>
      </c>
    </row>
    <row r="100" spans="1:14" x14ac:dyDescent="0.3">
      <c r="A100" s="54">
        <v>99</v>
      </c>
      <c r="B100" s="57" t="s">
        <v>346</v>
      </c>
      <c r="C100" s="57" t="s">
        <v>346</v>
      </c>
      <c r="D100" s="54" t="e">
        <f>VLOOKUP(C100,Days_Since_100!H:I,2,FALSE)</f>
        <v>#N/A</v>
      </c>
      <c r="E100" s="58" t="e">
        <f ca="1">OFFSET(CumulativeConfirmed!A100,-A100,MATCH(Country_Data!D100,CumulativeConfirmed!B100:BT100,0))</f>
        <v>#N/A</v>
      </c>
      <c r="F100" s="43">
        <f>MAX(CumulativeConfirmed!100:100)</f>
        <v>12</v>
      </c>
      <c r="G100" s="43">
        <f>MAX(CumulativeRecovered!100:100)</f>
        <v>0</v>
      </c>
      <c r="H100" s="43">
        <f>MAX(CumulativeDead!100:100)</f>
        <v>0</v>
      </c>
      <c r="K100" s="43">
        <v>11673021</v>
      </c>
      <c r="L100" s="54" t="s">
        <v>523</v>
      </c>
      <c r="M100" s="43" t="e">
        <v>#VALUE!</v>
      </c>
      <c r="N100" s="74">
        <f t="shared" si="1"/>
        <v>0</v>
      </c>
    </row>
    <row r="101" spans="1:14" x14ac:dyDescent="0.3">
      <c r="A101" s="54">
        <v>100</v>
      </c>
      <c r="B101" s="57" t="s">
        <v>180</v>
      </c>
      <c r="C101" s="57" t="s">
        <v>180</v>
      </c>
      <c r="D101" s="54" t="e">
        <f>VLOOKUP(C101,Days_Since_100!H:I,2,FALSE)</f>
        <v>#N/A</v>
      </c>
      <c r="E101" s="58" t="e">
        <f ca="1">OFFSET(CumulativeConfirmed!A101,-A101,MATCH(Country_Data!D101,CumulativeConfirmed!B101:BT101,0))</f>
        <v>#N/A</v>
      </c>
      <c r="F101" s="43">
        <f>MAX(CumulativeConfirmed!101:101)</f>
        <v>19</v>
      </c>
      <c r="G101" s="43">
        <f>MAX(CumulativeRecovered!101:101)</f>
        <v>0</v>
      </c>
      <c r="H101" s="43">
        <f>MAX(CumulativeDead!101:101)</f>
        <v>1</v>
      </c>
      <c r="K101" s="43">
        <v>375265</v>
      </c>
      <c r="L101" s="54" t="s">
        <v>523</v>
      </c>
      <c r="M101" s="43" t="e">
        <v>#VALUE!</v>
      </c>
      <c r="N101" s="74">
        <f t="shared" si="1"/>
        <v>5.2631578947368418E-2</v>
      </c>
    </row>
    <row r="102" spans="1:14" x14ac:dyDescent="0.3">
      <c r="A102" s="54">
        <v>101</v>
      </c>
      <c r="B102" s="57" t="s">
        <v>129</v>
      </c>
      <c r="C102" s="57" t="s">
        <v>129</v>
      </c>
      <c r="D102" s="54" t="e">
        <f>VLOOKUP(C102,Days_Since_100!H:I,2,FALSE)</f>
        <v>#N/A</v>
      </c>
      <c r="E102" s="58" t="e">
        <f ca="1">OFFSET(CumulativeConfirmed!A102,-A102,MATCH(Country_Data!D102,CumulativeConfirmed!B102:BT102,0))</f>
        <v>#N/A</v>
      </c>
      <c r="F102" s="43">
        <f>MAX(CumulativeConfirmed!102:102)</f>
        <v>14</v>
      </c>
      <c r="G102" s="43">
        <f>MAX(CumulativeRecovered!102:102)</f>
        <v>0</v>
      </c>
      <c r="H102" s="43">
        <f>MAX(CumulativeDead!102:102)</f>
        <v>2</v>
      </c>
      <c r="K102" s="43">
        <v>43733762</v>
      </c>
      <c r="L102" s="54" t="s">
        <v>523</v>
      </c>
      <c r="M102" s="43" t="e">
        <v>#VALUE!</v>
      </c>
      <c r="N102" s="74">
        <f t="shared" si="1"/>
        <v>0.14285714285714285</v>
      </c>
    </row>
    <row r="103" spans="1:14" x14ac:dyDescent="0.3">
      <c r="A103" s="54">
        <v>102</v>
      </c>
      <c r="B103" s="57" t="s">
        <v>422</v>
      </c>
      <c r="C103" s="57" t="s">
        <v>422</v>
      </c>
      <c r="D103" s="54" t="e">
        <f>VLOOKUP(C103,Days_Since_100!H:I,2,FALSE)</f>
        <v>#N/A</v>
      </c>
      <c r="E103" s="58" t="e">
        <f ca="1">OFFSET(CumulativeConfirmed!A103,-A103,MATCH(Country_Data!D103,CumulativeConfirmed!B103:BT103,0))</f>
        <v>#N/A</v>
      </c>
      <c r="F103" s="43">
        <f>MAX(CumulativeConfirmed!103:103)</f>
        <v>0</v>
      </c>
      <c r="G103" s="43">
        <f>MAX(CumulativeRecovered!103:103)</f>
        <v>0</v>
      </c>
      <c r="H103" s="43">
        <f>MAX(CumulativeDead!103:103)</f>
        <v>0</v>
      </c>
      <c r="K103" s="43">
        <v>106766</v>
      </c>
      <c r="L103" s="54" t="s">
        <v>523</v>
      </c>
      <c r="M103" s="43" t="e">
        <v>#VALUE!</v>
      </c>
      <c r="N103" s="74" t="e">
        <f t="shared" si="1"/>
        <v>#DIV/0!</v>
      </c>
    </row>
    <row r="104" spans="1:14" x14ac:dyDescent="0.3">
      <c r="A104" s="54">
        <v>103</v>
      </c>
      <c r="B104" s="57" t="s">
        <v>279</v>
      </c>
      <c r="C104" s="57" t="s">
        <v>279</v>
      </c>
      <c r="D104" s="54" t="e">
        <f>VLOOKUP(C104,Days_Since_100!H:I,2,FALSE)</f>
        <v>#N/A</v>
      </c>
      <c r="E104" s="58" t="e">
        <f ca="1">OFFSET(CumulativeConfirmed!A104,-A104,MATCH(Country_Data!D104,CumulativeConfirmed!B104:BT104,0))</f>
        <v>#N/A</v>
      </c>
      <c r="F104" s="43">
        <f>MAX(CumulativeConfirmed!104:104)</f>
        <v>20</v>
      </c>
      <c r="G104" s="43">
        <f>MAX(CumulativeRecovered!104:104)</f>
        <v>0</v>
      </c>
      <c r="H104" s="43">
        <f>MAX(CumulativeDead!104:104)</f>
        <v>1</v>
      </c>
      <c r="K104" s="43">
        <v>20903273</v>
      </c>
      <c r="L104" s="54" t="s">
        <v>523</v>
      </c>
      <c r="M104" s="43" t="e">
        <v>#VALUE!</v>
      </c>
      <c r="N104" s="74">
        <f t="shared" si="1"/>
        <v>0.05</v>
      </c>
    </row>
    <row r="105" spans="1:14" x14ac:dyDescent="0.3">
      <c r="A105" s="54">
        <v>104</v>
      </c>
      <c r="B105" s="57" t="s">
        <v>157</v>
      </c>
      <c r="C105" s="57" t="s">
        <v>157</v>
      </c>
      <c r="D105" s="54" t="e">
        <f>VLOOKUP(C105,Days_Since_100!H:I,2,FALSE)</f>
        <v>#N/A</v>
      </c>
      <c r="E105" s="58" t="e">
        <f ca="1">OFFSET(CumulativeConfirmed!A105,-A105,MATCH(Country_Data!D105,CumulativeConfirmed!B105:BT105,0))</f>
        <v>#N/A</v>
      </c>
      <c r="F105" s="43">
        <f>MAX(CumulativeConfirmed!105:105)</f>
        <v>10</v>
      </c>
      <c r="G105" s="43">
        <f>MAX(CumulativeRecovered!105:105)</f>
        <v>0</v>
      </c>
      <c r="H105" s="43">
        <f>MAX(CumulativeDead!105:105)</f>
        <v>0</v>
      </c>
      <c r="K105" s="43">
        <v>26545863</v>
      </c>
      <c r="L105" s="54" t="s">
        <v>523</v>
      </c>
      <c r="M105" s="43" t="e">
        <v>#VALUE!</v>
      </c>
      <c r="N105" s="74">
        <f t="shared" si="1"/>
        <v>0</v>
      </c>
    </row>
    <row r="106" spans="1:14" x14ac:dyDescent="0.3">
      <c r="A106" s="54">
        <v>105</v>
      </c>
      <c r="B106" s="57" t="s">
        <v>351</v>
      </c>
      <c r="C106" s="57" t="s">
        <v>351</v>
      </c>
      <c r="D106" s="54" t="e">
        <f>VLOOKUP(C106,Days_Since_100!H:I,2,FALSE)</f>
        <v>#N/A</v>
      </c>
      <c r="E106" s="58" t="e">
        <f ca="1">OFFSET(CumulativeConfirmed!A106,-A106,MATCH(Country_Data!D106,CumulativeConfirmed!B106:BT106,0))</f>
        <v>#N/A</v>
      </c>
      <c r="F106" s="43">
        <f>MAX(CumulativeConfirmed!106:106)</f>
        <v>4</v>
      </c>
      <c r="G106" s="43">
        <f>MAX(CumulativeRecovered!106:106)</f>
        <v>0</v>
      </c>
      <c r="H106" s="43">
        <f>MAX(CumulativeDead!106:106)</f>
        <v>0</v>
      </c>
      <c r="K106" s="43" t="e">
        <v>#N/A</v>
      </c>
      <c r="L106" s="54" t="s">
        <v>523</v>
      </c>
      <c r="M106" s="43" t="e">
        <v>#N/A</v>
      </c>
      <c r="N106" s="74">
        <f t="shared" si="1"/>
        <v>0</v>
      </c>
    </row>
    <row r="107" spans="1:14" x14ac:dyDescent="0.3">
      <c r="A107" s="54">
        <v>106</v>
      </c>
      <c r="B107" s="57" t="s">
        <v>348</v>
      </c>
      <c r="C107" s="57" t="s">
        <v>348</v>
      </c>
      <c r="D107" s="54" t="e">
        <f>VLOOKUP(C107,Days_Since_100!H:I,2,FALSE)</f>
        <v>#N/A</v>
      </c>
      <c r="E107" s="58" t="e">
        <f ca="1">OFFSET(CumulativeConfirmed!A107,-A107,MATCH(Country_Data!D107,CumulativeConfirmed!B107:BT107,0))</f>
        <v>#N/A</v>
      </c>
      <c r="F107" s="43">
        <f>MAX(CumulativeConfirmed!107:107)</f>
        <v>9</v>
      </c>
      <c r="G107" s="43">
        <f>MAX(CumulativeRecovered!107:107)</f>
        <v>0</v>
      </c>
      <c r="H107" s="43">
        <f>MAX(CumulativeDead!107:107)</f>
        <v>0</v>
      </c>
      <c r="K107" s="43">
        <v>9904607</v>
      </c>
      <c r="L107" s="54" t="s">
        <v>523</v>
      </c>
      <c r="M107" s="43" t="e">
        <v>#VALUE!</v>
      </c>
      <c r="N107" s="74">
        <f t="shared" si="1"/>
        <v>0</v>
      </c>
    </row>
    <row r="108" spans="1:14" x14ac:dyDescent="0.3">
      <c r="A108" s="54">
        <v>107</v>
      </c>
      <c r="B108" s="57" t="s">
        <v>100</v>
      </c>
      <c r="C108" s="57" t="s">
        <v>100</v>
      </c>
      <c r="D108" s="54" t="e">
        <f>VLOOKUP(C108,Days_Since_100!H:I,2,FALSE)</f>
        <v>#N/A</v>
      </c>
      <c r="E108" s="58" t="e">
        <f ca="1">OFFSET(CumulativeConfirmed!A108,-A108,MATCH(Country_Data!D108,CumulativeConfirmed!B108:BT108,0))</f>
        <v>#N/A</v>
      </c>
      <c r="F108" s="43">
        <f>MAX(CumulativeConfirmed!108:108)</f>
        <v>7</v>
      </c>
      <c r="G108" s="43">
        <f>MAX(CumulativeRecovered!108:108)</f>
        <v>0</v>
      </c>
      <c r="H108" s="43">
        <f>MAX(CumulativeDead!108:108)</f>
        <v>0</v>
      </c>
      <c r="K108" s="43">
        <v>39242</v>
      </c>
      <c r="L108" s="54" t="s">
        <v>523</v>
      </c>
      <c r="M108" s="43" t="e">
        <v>#VALUE!</v>
      </c>
      <c r="N108" s="74">
        <f t="shared" si="1"/>
        <v>0</v>
      </c>
    </row>
    <row r="109" spans="1:14" x14ac:dyDescent="0.3">
      <c r="A109" s="54">
        <v>108</v>
      </c>
      <c r="B109" s="57" t="s">
        <v>96</v>
      </c>
      <c r="C109" s="57" t="s">
        <v>96</v>
      </c>
      <c r="D109" s="54" t="e">
        <f>VLOOKUP(C109,Days_Since_100!H:I,2,FALSE)</f>
        <v>#N/A</v>
      </c>
      <c r="E109" s="58" t="e">
        <f ca="1">OFFSET(CumulativeConfirmed!A109,-A109,MATCH(Country_Data!D109,CumulativeConfirmed!B109:BT109,0))</f>
        <v>#N/A</v>
      </c>
      <c r="F109" s="43">
        <f>MAX(CumulativeConfirmed!109:109)</f>
        <v>8</v>
      </c>
      <c r="G109" s="43">
        <f>MAX(CumulativeRecovered!109:109)</f>
        <v>1</v>
      </c>
      <c r="H109" s="43">
        <f>MAX(CumulativeDead!109:109)</f>
        <v>0</v>
      </c>
      <c r="K109" s="43">
        <v>206139589</v>
      </c>
      <c r="L109" s="54" t="s">
        <v>523</v>
      </c>
      <c r="M109" s="43" t="e">
        <v>#VALUE!</v>
      </c>
      <c r="N109" s="74">
        <f t="shared" si="1"/>
        <v>0</v>
      </c>
    </row>
    <row r="110" spans="1:14" x14ac:dyDescent="0.3">
      <c r="A110" s="54">
        <v>109</v>
      </c>
      <c r="B110" s="57" t="s">
        <v>109</v>
      </c>
      <c r="C110" s="57" t="s">
        <v>109</v>
      </c>
      <c r="D110" s="54" t="e">
        <f>VLOOKUP(C110,Days_Since_100!H:I,2,FALSE)</f>
        <v>#N/A</v>
      </c>
      <c r="E110" s="58" t="e">
        <f ca="1">OFFSET(CumulativeConfirmed!A110,-A110,MATCH(Country_Data!D110,CumulativeConfirmed!B110:BT110,0))</f>
        <v>#N/A</v>
      </c>
      <c r="F110" s="43">
        <f>MAX(CumulativeConfirmed!110:110)</f>
        <v>39</v>
      </c>
      <c r="G110" s="43">
        <f>MAX(CumulativeRecovered!110:110)</f>
        <v>1</v>
      </c>
      <c r="H110" s="43">
        <f>MAX(CumulativeDead!110:110)</f>
        <v>0</v>
      </c>
      <c r="K110" s="43">
        <v>77265</v>
      </c>
      <c r="L110" s="54" t="s">
        <v>523</v>
      </c>
      <c r="M110" s="43" t="e">
        <v>#VALUE!</v>
      </c>
      <c r="N110" s="74">
        <f t="shared" si="1"/>
        <v>0</v>
      </c>
    </row>
    <row r="111" spans="1:14" x14ac:dyDescent="0.3">
      <c r="A111" s="54">
        <v>110</v>
      </c>
      <c r="B111" s="57" t="s">
        <v>424</v>
      </c>
      <c r="C111" s="57" t="s">
        <v>424</v>
      </c>
      <c r="D111" s="54" t="e">
        <f>VLOOKUP(C111,Days_Since_100!H:I,2,FALSE)</f>
        <v>#N/A</v>
      </c>
      <c r="E111" s="58" t="e">
        <f ca="1">OFFSET(CumulativeConfirmed!A111,-A111,MATCH(Country_Data!D111,CumulativeConfirmed!B111:BT111,0))</f>
        <v>#N/A</v>
      </c>
      <c r="F111" s="43">
        <f>MAX(CumulativeConfirmed!111:111)</f>
        <v>1</v>
      </c>
      <c r="G111" s="43">
        <f>MAX(CumulativeRecovered!111:111)</f>
        <v>0</v>
      </c>
      <c r="H111" s="43">
        <f>MAX(CumulativeDead!111:111)</f>
        <v>0</v>
      </c>
      <c r="K111" s="43">
        <v>97929</v>
      </c>
      <c r="L111" s="54" t="s">
        <v>523</v>
      </c>
      <c r="M111" s="43" t="e">
        <v>#VALUE!</v>
      </c>
      <c r="N111" s="74">
        <f t="shared" si="1"/>
        <v>0</v>
      </c>
    </row>
    <row r="112" spans="1:14" x14ac:dyDescent="0.3">
      <c r="A112" s="54">
        <v>111</v>
      </c>
      <c r="B112" s="57" t="s">
        <v>156</v>
      </c>
      <c r="C112" s="57" t="s">
        <v>156</v>
      </c>
      <c r="D112" s="54" t="e">
        <f>VLOOKUP(C112,Days_Since_100!H:I,2,FALSE)</f>
        <v>#N/A</v>
      </c>
      <c r="E112" s="58" t="e">
        <f ca="1">OFFSET(CumulativeConfirmed!A112,-A112,MATCH(Country_Data!D112,CumulativeConfirmed!B112:BT112,0))</f>
        <v>#N/A</v>
      </c>
      <c r="F112" s="43">
        <f>MAX(CumulativeConfirmed!112:112)</f>
        <v>1</v>
      </c>
      <c r="G112" s="43">
        <f>MAX(CumulativeRecovered!112:112)</f>
        <v>0</v>
      </c>
      <c r="H112" s="43">
        <f>MAX(CumulativeDead!112:112)</f>
        <v>0</v>
      </c>
      <c r="K112" s="43">
        <v>771608</v>
      </c>
      <c r="L112" s="54" t="s">
        <v>523</v>
      </c>
      <c r="M112" s="43" t="e">
        <v>#VALUE!</v>
      </c>
      <c r="N112" s="74">
        <f t="shared" si="1"/>
        <v>0</v>
      </c>
    </row>
    <row r="113" spans="1:14" x14ac:dyDescent="0.3">
      <c r="A113" s="54">
        <v>112</v>
      </c>
      <c r="B113" s="57" t="s">
        <v>415</v>
      </c>
      <c r="C113" s="57" t="s">
        <v>415</v>
      </c>
      <c r="D113" s="54" t="e">
        <f>VLOOKUP(C113,Days_Since_100!H:I,2,FALSE)</f>
        <v>#N/A</v>
      </c>
      <c r="E113" s="58" t="e">
        <f ca="1">OFFSET(CumulativeConfirmed!A113,-A113,MATCH(Country_Data!D113,CumulativeConfirmed!B113:BT113,0))</f>
        <v>#N/A</v>
      </c>
      <c r="F113" s="43">
        <f>MAX(CumulativeConfirmed!113:113)</f>
        <v>0</v>
      </c>
      <c r="G113" s="43">
        <f>MAX(CumulativeRecovered!113:113)</f>
        <v>0</v>
      </c>
      <c r="H113" s="43">
        <f>MAX(CumulativeDead!113:113)</f>
        <v>0</v>
      </c>
      <c r="K113" s="43">
        <v>65722</v>
      </c>
      <c r="L113" s="54" t="s">
        <v>523</v>
      </c>
      <c r="M113" s="43" t="e">
        <v>#VALUE!</v>
      </c>
      <c r="N113" s="74" t="e">
        <f t="shared" si="1"/>
        <v>#DIV/0!</v>
      </c>
    </row>
    <row r="114" spans="1:14" x14ac:dyDescent="0.3">
      <c r="A114" s="54">
        <v>113</v>
      </c>
      <c r="B114" s="57" t="s">
        <v>352</v>
      </c>
      <c r="C114" s="57" t="s">
        <v>352</v>
      </c>
      <c r="D114" s="54" t="e">
        <f>VLOOKUP(C114,Days_Since_100!H:I,2,FALSE)</f>
        <v>#N/A</v>
      </c>
      <c r="E114" s="58" t="e">
        <f ca="1">OFFSET(CumulativeConfirmed!A114,-A114,MATCH(Country_Data!D114,CumulativeConfirmed!B114:BT114,0))</f>
        <v>#N/A</v>
      </c>
      <c r="F114" s="43">
        <f>MAX(CumulativeConfirmed!114:114)</f>
        <v>6</v>
      </c>
      <c r="G114" s="43">
        <f>MAX(CumulativeRecovered!114:114)</f>
        <v>1</v>
      </c>
      <c r="H114" s="43">
        <f>MAX(CumulativeDead!114:114)</f>
        <v>0</v>
      </c>
      <c r="K114" s="43" t="e">
        <v>#N/A</v>
      </c>
      <c r="L114" s="54" t="s">
        <v>523</v>
      </c>
      <c r="M114" s="43" t="e">
        <v>#N/A</v>
      </c>
      <c r="N114" s="74">
        <f t="shared" si="1"/>
        <v>0</v>
      </c>
    </row>
    <row r="115" spans="1:14" x14ac:dyDescent="0.3">
      <c r="A115" s="54">
        <v>114</v>
      </c>
      <c r="B115" s="57" t="s">
        <v>419</v>
      </c>
      <c r="C115" s="57" t="s">
        <v>419</v>
      </c>
      <c r="D115" s="54" t="e">
        <f>VLOOKUP(C115,Days_Since_100!H:I,2,FALSE)</f>
        <v>#N/A</v>
      </c>
      <c r="E115" s="58" t="e">
        <f ca="1">OFFSET(CumulativeConfirmed!A115,-A115,MATCH(Country_Data!D115,CumulativeConfirmed!B115:BT115,0))</f>
        <v>#N/A</v>
      </c>
      <c r="F115" s="43">
        <f>MAX(CumulativeConfirmed!115:115)</f>
        <v>6</v>
      </c>
      <c r="G115" s="43">
        <f>MAX(CumulativeRecovered!115:115)</f>
        <v>0</v>
      </c>
      <c r="H115" s="43">
        <f>MAX(CumulativeDead!115:115)</f>
        <v>0</v>
      </c>
      <c r="K115" s="43">
        <v>114963588</v>
      </c>
      <c r="L115" s="54" t="s">
        <v>523</v>
      </c>
      <c r="M115" s="43" t="e">
        <v>#VALUE!</v>
      </c>
      <c r="N115" s="74">
        <f t="shared" si="1"/>
        <v>0</v>
      </c>
    </row>
    <row r="116" spans="1:14" x14ac:dyDescent="0.3">
      <c r="A116" s="54">
        <v>115</v>
      </c>
      <c r="B116" s="57" t="s">
        <v>416</v>
      </c>
      <c r="C116" s="57" t="s">
        <v>416</v>
      </c>
      <c r="D116" s="54" t="e">
        <f>VLOOKUP(C116,Days_Since_100!H:I,2,FALSE)</f>
        <v>#N/A</v>
      </c>
      <c r="E116" s="58" t="e">
        <f ca="1">OFFSET(CumulativeConfirmed!A116,-A116,MATCH(Country_Data!D116,CumulativeConfirmed!B116:BT116,0))</f>
        <v>#N/A</v>
      </c>
      <c r="F116" s="43">
        <f>MAX(CumulativeConfirmed!116:116)</f>
        <v>0</v>
      </c>
      <c r="G116" s="43">
        <f>MAX(CumulativeRecovered!116:116)</f>
        <v>0</v>
      </c>
      <c r="H116" s="43">
        <f>MAX(CumulativeDead!116:116)</f>
        <v>0</v>
      </c>
      <c r="K116" s="43">
        <v>400124</v>
      </c>
      <c r="L116" s="54" t="s">
        <v>523</v>
      </c>
      <c r="M116" s="43" t="e">
        <v>#VALUE!</v>
      </c>
      <c r="N116" s="74" t="e">
        <f t="shared" si="1"/>
        <v>#DIV/0!</v>
      </c>
    </row>
    <row r="117" spans="1:14" x14ac:dyDescent="0.3">
      <c r="A117" s="54">
        <v>116</v>
      </c>
      <c r="B117" s="57" t="s">
        <v>421</v>
      </c>
      <c r="C117" s="57" t="s">
        <v>421</v>
      </c>
      <c r="D117" s="54" t="e">
        <f>VLOOKUP(C117,Days_Since_100!H:I,2,FALSE)</f>
        <v>#N/A</v>
      </c>
      <c r="E117" s="58" t="e">
        <f ca="1">OFFSET(CumulativeConfirmed!A117,-A117,MATCH(Country_Data!D117,CumulativeConfirmed!B117:BT117,0))</f>
        <v>#N/A</v>
      </c>
      <c r="F117" s="43">
        <f>MAX(CumulativeConfirmed!117:117)</f>
        <v>1</v>
      </c>
      <c r="G117" s="43">
        <f>MAX(CumulativeRecovered!117:117)</f>
        <v>0</v>
      </c>
      <c r="H117" s="43">
        <f>MAX(CumulativeDead!117:117)</f>
        <v>0</v>
      </c>
      <c r="K117" s="43">
        <v>13132795</v>
      </c>
      <c r="L117" s="54" t="s">
        <v>523</v>
      </c>
      <c r="M117" s="43" t="e">
        <v>#VALUE!</v>
      </c>
      <c r="N117" s="74">
        <f t="shared" si="1"/>
        <v>0</v>
      </c>
    </row>
    <row r="118" spans="1:14" x14ac:dyDescent="0.3">
      <c r="A118" s="54">
        <v>117</v>
      </c>
      <c r="B118" s="57" t="s">
        <v>411</v>
      </c>
      <c r="C118" s="57" t="s">
        <v>411</v>
      </c>
      <c r="D118" s="54" t="e">
        <f>VLOOKUP(C118,Days_Since_100!H:I,2,FALSE)</f>
        <v>#N/A</v>
      </c>
      <c r="E118" s="58" t="e">
        <f ca="1">OFFSET(CumulativeConfirmed!A118,-A118,MATCH(Country_Data!D118,CumulativeConfirmed!B118:BT118,0))</f>
        <v>#N/A</v>
      </c>
      <c r="F118" s="43">
        <f>MAX(CumulativeConfirmed!118:118)</f>
        <v>7</v>
      </c>
      <c r="G118" s="43">
        <f>MAX(CumulativeRecovered!118:118)</f>
        <v>0</v>
      </c>
      <c r="H118" s="43">
        <f>MAX(CumulativeDead!118:118)</f>
        <v>1</v>
      </c>
      <c r="K118" s="43">
        <v>786552</v>
      </c>
      <c r="L118" s="54" t="s">
        <v>523</v>
      </c>
      <c r="M118" s="43" t="e">
        <v>#VALUE!</v>
      </c>
      <c r="N118" s="74">
        <f t="shared" si="1"/>
        <v>0.14285714285714285</v>
      </c>
    </row>
    <row r="119" spans="1:14" x14ac:dyDescent="0.3">
      <c r="A119" s="54">
        <v>118</v>
      </c>
      <c r="B119" s="57" t="s">
        <v>281</v>
      </c>
      <c r="C119" s="57" t="s">
        <v>281</v>
      </c>
      <c r="D119" s="54" t="e">
        <f>VLOOKUP(C119,Days_Since_100!H:I,2,FALSE)</f>
        <v>#N/A</v>
      </c>
      <c r="E119" s="58" t="e">
        <f ca="1">OFFSET(CumulativeConfirmed!A119,-A119,MATCH(Country_Data!D119,CumulativeConfirmed!B119:BT119,0))</f>
        <v>#N/A</v>
      </c>
      <c r="F119" s="43">
        <f>MAX(CumulativeConfirmed!119:119)</f>
        <v>1</v>
      </c>
      <c r="G119" s="43">
        <f>MAX(CumulativeRecovered!119:119)</f>
        <v>0</v>
      </c>
      <c r="H119" s="43">
        <f>MAX(CumulativeDead!119:119)</f>
        <v>0</v>
      </c>
      <c r="K119" s="43">
        <v>801</v>
      </c>
      <c r="L119" s="54" t="s">
        <v>523</v>
      </c>
      <c r="M119" s="43" t="e">
        <v>#VALUE!</v>
      </c>
      <c r="N119" s="74">
        <f t="shared" si="1"/>
        <v>0</v>
      </c>
    </row>
    <row r="120" spans="1:14" x14ac:dyDescent="0.3">
      <c r="A120" s="54">
        <v>119</v>
      </c>
      <c r="B120" s="57" t="s">
        <v>125</v>
      </c>
      <c r="C120" s="57" t="s">
        <v>125</v>
      </c>
      <c r="D120" s="54" t="e">
        <f>VLOOKUP(C120,Days_Since_100!H:I,2,FALSE)</f>
        <v>#N/A</v>
      </c>
      <c r="E120" s="58" t="e">
        <f ca="1">OFFSET(CumulativeConfirmed!A120,-A120,MATCH(Country_Data!D120,CumulativeConfirmed!B120:BT120,0))</f>
        <v>#N/A</v>
      </c>
      <c r="F120" s="43">
        <f>MAX(CumulativeConfirmed!120:120)</f>
        <v>52</v>
      </c>
      <c r="G120" s="43">
        <f>MAX(CumulativeRecovered!120:120)</f>
        <v>1</v>
      </c>
      <c r="H120" s="43">
        <f>MAX(CumulativeDead!120:120)</f>
        <v>0</v>
      </c>
      <c r="K120" s="43">
        <v>10203134</v>
      </c>
      <c r="L120" s="54" t="s">
        <v>523</v>
      </c>
      <c r="M120" s="43" t="e">
        <v>#VALUE!</v>
      </c>
      <c r="N120" s="74">
        <f t="shared" si="1"/>
        <v>0</v>
      </c>
    </row>
    <row r="121" spans="1:14" x14ac:dyDescent="0.3">
      <c r="A121" s="54">
        <v>120</v>
      </c>
      <c r="B121" s="57" t="s">
        <v>423</v>
      </c>
      <c r="C121" s="57" t="s">
        <v>423</v>
      </c>
      <c r="D121" s="54" t="e">
        <f>VLOOKUP(C121,Days_Since_100!H:I,2,FALSE)</f>
        <v>#N/A</v>
      </c>
      <c r="E121" s="58" t="e">
        <f ca="1">OFFSET(CumulativeConfirmed!A121,-A121,MATCH(Country_Data!D121,CumulativeConfirmed!B121:BT121,0))</f>
        <v>#N/A</v>
      </c>
      <c r="F121" s="43">
        <f>MAX(CumulativeConfirmed!121:121)</f>
        <v>3</v>
      </c>
      <c r="G121" s="43">
        <f>MAX(CumulativeRecovered!121:121)</f>
        <v>0</v>
      </c>
      <c r="H121" s="43">
        <f>MAX(CumulativeDead!121:121)</f>
        <v>0</v>
      </c>
      <c r="K121" s="43">
        <v>53771296</v>
      </c>
      <c r="L121" s="54" t="s">
        <v>523</v>
      </c>
      <c r="M121" s="43" t="e">
        <v>#VALUE!</v>
      </c>
      <c r="N121" s="74">
        <f t="shared" si="1"/>
        <v>0</v>
      </c>
    </row>
    <row r="122" spans="1:14" x14ac:dyDescent="0.3">
      <c r="A122" s="54">
        <v>121</v>
      </c>
      <c r="B122" s="57" t="s">
        <v>136</v>
      </c>
      <c r="C122" s="57" t="s">
        <v>136</v>
      </c>
      <c r="D122" s="54" t="e">
        <f>VLOOKUP(C122,Days_Since_100!H:I,2,FALSE)</f>
        <v>#N/A</v>
      </c>
      <c r="E122" s="58" t="e">
        <f ca="1">OFFSET(CumulativeConfirmed!A122,-A122,MATCH(Country_Data!D122,CumulativeConfirmed!B122:BT122,0))</f>
        <v>#N/A</v>
      </c>
      <c r="F122" s="43">
        <f>MAX(CumulativeConfirmed!122:122)</f>
        <v>28</v>
      </c>
      <c r="G122" s="43">
        <f>MAX(CumulativeRecovered!122:122)</f>
        <v>0</v>
      </c>
      <c r="H122" s="43">
        <f>MAX(CumulativeDead!122:122)</f>
        <v>0</v>
      </c>
      <c r="K122" s="43">
        <v>38128</v>
      </c>
      <c r="L122" s="54" t="s">
        <v>523</v>
      </c>
      <c r="M122" s="43" t="e">
        <v>#VALUE!</v>
      </c>
      <c r="N122" s="74">
        <f t="shared" si="1"/>
        <v>0</v>
      </c>
    </row>
    <row r="123" spans="1:14" x14ac:dyDescent="0.3">
      <c r="A123" s="54">
        <v>122</v>
      </c>
      <c r="B123" s="57" t="s">
        <v>282</v>
      </c>
      <c r="C123" s="57" t="s">
        <v>282</v>
      </c>
      <c r="D123" s="54" t="e">
        <f>VLOOKUP(C123,Days_Since_100!H:I,2,FALSE)</f>
        <v>#N/A</v>
      </c>
      <c r="E123" s="58" t="e">
        <f ca="1">OFFSET(CumulativeConfirmed!A123,-A123,MATCH(Country_Data!D123,CumulativeConfirmed!B123:BT123,0))</f>
        <v>#N/A</v>
      </c>
      <c r="F123" s="43">
        <f>MAX(CumulativeConfirmed!123:123)</f>
        <v>6</v>
      </c>
      <c r="G123" s="43">
        <f>MAX(CumulativeRecovered!123:123)</f>
        <v>0</v>
      </c>
      <c r="H123" s="43">
        <f>MAX(CumulativeDead!123:123)</f>
        <v>0</v>
      </c>
      <c r="K123" s="43">
        <v>3278290</v>
      </c>
      <c r="L123" s="54" t="s">
        <v>523</v>
      </c>
      <c r="M123" s="43" t="e">
        <v>#VALUE!</v>
      </c>
      <c r="N123" s="74">
        <f t="shared" si="1"/>
        <v>0</v>
      </c>
    </row>
    <row r="124" spans="1:14" x14ac:dyDescent="0.3">
      <c r="A124" s="54">
        <v>123</v>
      </c>
      <c r="B124" s="57" t="s">
        <v>42</v>
      </c>
      <c r="C124" s="57" t="s">
        <v>42</v>
      </c>
      <c r="D124" s="54" t="e">
        <f>VLOOKUP(C124,Days_Since_100!H:I,2,FALSE)</f>
        <v>#N/A</v>
      </c>
      <c r="E124" s="58" t="e">
        <f ca="1">OFFSET(CumulativeConfirmed!A124,-A124,MATCH(Country_Data!D124,CumulativeConfirmed!B124:BT124,0))</f>
        <v>#N/A</v>
      </c>
      <c r="F124" s="43">
        <f>MAX(CumulativeConfirmed!124:124)</f>
        <v>1</v>
      </c>
      <c r="G124" s="43">
        <f>MAX(CumulativeRecovered!124:124)</f>
        <v>1</v>
      </c>
      <c r="H124" s="43">
        <f>MAX(CumulativeDead!124:124)</f>
        <v>0</v>
      </c>
      <c r="K124" s="43">
        <v>29136808</v>
      </c>
      <c r="L124" s="54" t="s">
        <v>523</v>
      </c>
      <c r="M124" s="43" t="e">
        <v>#VALUE!</v>
      </c>
      <c r="N124" s="74">
        <f t="shared" si="1"/>
        <v>0</v>
      </c>
    </row>
    <row r="125" spans="1:14" x14ac:dyDescent="0.3">
      <c r="A125" s="54">
        <v>124</v>
      </c>
      <c r="B125" s="57" t="s">
        <v>420</v>
      </c>
      <c r="C125" s="57" t="s">
        <v>420</v>
      </c>
      <c r="D125" s="54" t="e">
        <f>VLOOKUP(C125,Days_Since_100!H:I,2,FALSE)</f>
        <v>#N/A</v>
      </c>
      <c r="E125" s="58" t="e">
        <f ca="1">OFFSET(CumulativeConfirmed!A125,-A125,MATCH(Country_Data!D125,CumulativeConfirmed!B125:BT125,0))</f>
        <v>#N/A</v>
      </c>
      <c r="F125" s="43">
        <f>MAX(CumulativeConfirmed!125:125)</f>
        <v>2</v>
      </c>
      <c r="G125" s="43">
        <f>MAX(CumulativeRecovered!125:125)</f>
        <v>0</v>
      </c>
      <c r="H125" s="43">
        <f>MAX(CumulativeDead!125:125)</f>
        <v>1</v>
      </c>
      <c r="K125" s="43">
        <v>43849260</v>
      </c>
      <c r="L125" s="54" t="s">
        <v>523</v>
      </c>
      <c r="M125" s="43" t="e">
        <v>#VALUE!</v>
      </c>
      <c r="N125" s="74">
        <f t="shared" si="1"/>
        <v>0.5</v>
      </c>
    </row>
    <row r="126" spans="1:14" x14ac:dyDescent="0.3">
      <c r="A126" s="54">
        <v>125</v>
      </c>
      <c r="B126" s="54" t="e">
        <f>VLOOKUP(A125,Days_Since_100!G:H,2,FALSE)</f>
        <v>#N/A</v>
      </c>
      <c r="C126" s="54" t="e">
        <f>VLOOKUP(B127,Days_Since_100!H:I,2,FALSE)</f>
        <v>#N/A</v>
      </c>
      <c r="D126" s="54" t="e">
        <f>VLOOKUP(C126,Days_Since_100!H:I,2,FALSE)</f>
        <v>#N/A</v>
      </c>
      <c r="E126" s="43">
        <f>MAX(CumulativeConfirmed!126:126)</f>
        <v>1</v>
      </c>
      <c r="G126" s="43">
        <f>MAX(CumulativeRecovered!126:126)</f>
        <v>0</v>
      </c>
      <c r="H126" s="43">
        <f>MAX(CumulativeDead!126:126)</f>
        <v>0</v>
      </c>
      <c r="K126" s="43" t="e">
        <v>#N/A</v>
      </c>
      <c r="L126" s="54" t="s">
        <v>523</v>
      </c>
      <c r="M126" s="43" t="e">
        <v>#N/A</v>
      </c>
      <c r="N126" s="74" t="e">
        <f t="shared" si="1"/>
        <v>#DIV/0!</v>
      </c>
    </row>
    <row r="127" spans="1:14" x14ac:dyDescent="0.3">
      <c r="B127" s="57" t="s">
        <v>163</v>
      </c>
      <c r="G127" s="43">
        <f>MAX(CumulativeRecovered!127:127)</f>
        <v>0</v>
      </c>
      <c r="H127" s="43">
        <f>MAX(CumulativeDead!127:127)</f>
        <v>0</v>
      </c>
      <c r="K127" s="43">
        <v>8278724</v>
      </c>
      <c r="L127" s="54" t="s">
        <v>523</v>
      </c>
      <c r="M127" s="43" t="e">
        <v>#VALUE!</v>
      </c>
      <c r="N127" s="74" t="e">
        <f t="shared" si="1"/>
        <v>#DIV/0!</v>
      </c>
    </row>
  </sheetData>
  <pageMargins left="0.7" right="0.7" top="0.75" bottom="0.75" header="0.3" footer="0.3"/>
  <pageSetup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T126"/>
  <sheetViews>
    <sheetView workbookViewId="0">
      <pane xSplit="1" ySplit="1" topLeftCell="AZ2" activePane="bottomRight" state="frozen"/>
      <selection pane="topRight" activeCell="B1" sqref="B1"/>
      <selection pane="bottomLeft" activeCell="A2" sqref="A2"/>
      <selection pane="bottomRight"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SUMIF(ConfirmedRaw!$B:$B,$A2,ConfirmedRaw!E:E)</f>
        <v>548</v>
      </c>
      <c r="C2">
        <f>SUMIF(ConfirmedRaw!$B:$B,$A2,ConfirmedRaw!F:F)</f>
        <v>643</v>
      </c>
      <c r="D2">
        <f>SUMIF(ConfirmedRaw!$B:$B,$A2,ConfirmedRaw!G:G)</f>
        <v>920</v>
      </c>
      <c r="E2">
        <f>SUMIF(ConfirmedRaw!$B:$B,$A2,ConfirmedRaw!H:H)</f>
        <v>1406</v>
      </c>
      <c r="F2">
        <f>SUMIF(ConfirmedRaw!$B:$B,$A2,ConfirmedRaw!I:I)</f>
        <v>2075</v>
      </c>
      <c r="G2">
        <f>SUMIF(ConfirmedRaw!$B:$B,$A2,ConfirmedRaw!J:J)</f>
        <v>2877</v>
      </c>
      <c r="H2">
        <f>SUMIF(ConfirmedRaw!$B:$B,$A2,ConfirmedRaw!K:K)</f>
        <v>5509</v>
      </c>
      <c r="I2">
        <f>SUMIF(ConfirmedRaw!$B:$B,$A2,ConfirmedRaw!L:L)</f>
        <v>6087</v>
      </c>
      <c r="J2">
        <f>SUMIF(ConfirmedRaw!$B:$B,$A2,ConfirmedRaw!M:M)</f>
        <v>8141</v>
      </c>
      <c r="K2">
        <f>SUMIF(ConfirmedRaw!$B:$B,$A2,ConfirmedRaw!N:N)</f>
        <v>9802</v>
      </c>
      <c r="L2">
        <f>SUMIF(ConfirmedRaw!$B:$B,$A2,ConfirmedRaw!O:O)</f>
        <v>11891</v>
      </c>
      <c r="M2">
        <f>SUMIF(ConfirmedRaw!$B:$B,$A2,ConfirmedRaw!P:P)</f>
        <v>16630</v>
      </c>
      <c r="N2">
        <f>SUMIF(ConfirmedRaw!$B:$B,$A2,ConfirmedRaw!Q:Q)</f>
        <v>19716</v>
      </c>
      <c r="O2">
        <f>SUMIF(ConfirmedRaw!$B:$B,$A2,ConfirmedRaw!R:R)</f>
        <v>23707</v>
      </c>
      <c r="P2">
        <f>SUMIF(ConfirmedRaw!$B:$B,$A2,ConfirmedRaw!S:S)</f>
        <v>27440</v>
      </c>
      <c r="Q2">
        <f>SUMIF(ConfirmedRaw!$B:$B,$A2,ConfirmedRaw!T:T)</f>
        <v>30587</v>
      </c>
      <c r="R2">
        <f>SUMIF(ConfirmedRaw!$B:$B,$A2,ConfirmedRaw!U:U)</f>
        <v>34110</v>
      </c>
      <c r="S2">
        <f>SUMIF(ConfirmedRaw!$B:$B,$A2,ConfirmedRaw!V:V)</f>
        <v>36814</v>
      </c>
      <c r="T2">
        <f>SUMIF(ConfirmedRaw!$B:$B,$A2,ConfirmedRaw!W:W)</f>
        <v>39829</v>
      </c>
      <c r="U2">
        <f>SUMIF(ConfirmedRaw!$B:$B,$A2,ConfirmedRaw!X:X)</f>
        <v>42354</v>
      </c>
      <c r="V2">
        <f>SUMIF(ConfirmedRaw!$B:$B,$A2,ConfirmedRaw!Y:Y)</f>
        <v>44386</v>
      </c>
      <c r="W2">
        <f>SUMIF(ConfirmedRaw!$B:$B,$A2,ConfirmedRaw!Z:Z)</f>
        <v>44759</v>
      </c>
      <c r="X2">
        <f>SUMIF(ConfirmedRaw!$B:$B,$A2,ConfirmedRaw!AA:AA)</f>
        <v>59895</v>
      </c>
      <c r="Y2">
        <f>SUMIF(ConfirmedRaw!$B:$B,$A2,ConfirmedRaw!AB:AB)</f>
        <v>66358</v>
      </c>
      <c r="Z2">
        <f>SUMIF(ConfirmedRaw!$B:$B,$A2,ConfirmedRaw!AC:AC)</f>
        <v>68413</v>
      </c>
      <c r="AA2">
        <f>SUMIF(ConfirmedRaw!$B:$B,$A2,ConfirmedRaw!AD:AD)</f>
        <v>70513</v>
      </c>
      <c r="AB2">
        <f>SUMIF(ConfirmedRaw!$B:$B,$A2,ConfirmedRaw!AE:AE)</f>
        <v>72434</v>
      </c>
      <c r="AC2">
        <f>SUMIF(ConfirmedRaw!$B:$B,$A2,ConfirmedRaw!AF:AF)</f>
        <v>74211</v>
      </c>
      <c r="AD2">
        <f>SUMIF(ConfirmedRaw!$B:$B,$A2,ConfirmedRaw!AG:AG)</f>
        <v>74619</v>
      </c>
      <c r="AE2">
        <f>SUMIF(ConfirmedRaw!$B:$B,$A2,ConfirmedRaw!AH:AH)</f>
        <v>75077</v>
      </c>
      <c r="AF2">
        <f>SUMIF(ConfirmedRaw!$B:$B,$A2,ConfirmedRaw!AI:AI)</f>
        <v>75550</v>
      </c>
      <c r="AG2">
        <f>SUMIF(ConfirmedRaw!$B:$B,$A2,ConfirmedRaw!AJ:AJ)</f>
        <v>77001</v>
      </c>
      <c r="AH2">
        <f>SUMIF(ConfirmedRaw!$B:$B,$A2,ConfirmedRaw!AK:AK)</f>
        <v>77022</v>
      </c>
      <c r="AI2">
        <f>SUMIF(ConfirmedRaw!$B:$B,$A2,ConfirmedRaw!AL:AL)</f>
        <v>77241</v>
      </c>
      <c r="AJ2">
        <f>SUMIF(ConfirmedRaw!$B:$B,$A2,ConfirmedRaw!AM:AM)</f>
        <v>77754</v>
      </c>
      <c r="AK2">
        <f>SUMIF(ConfirmedRaw!$B:$B,$A2,ConfirmedRaw!AN:AN)</f>
        <v>78166</v>
      </c>
      <c r="AL2">
        <f>SUMIF(ConfirmedRaw!$B:$B,$A2,ConfirmedRaw!AO:AO)</f>
        <v>78600</v>
      </c>
      <c r="AM2">
        <f>SUMIF(ConfirmedRaw!$B:$B,$A2,ConfirmedRaw!AP:AP)</f>
        <v>78928</v>
      </c>
      <c r="AN2">
        <f>SUMIF(ConfirmedRaw!$B:$B,$A2,ConfirmedRaw!AQ:AQ)</f>
        <v>79356</v>
      </c>
      <c r="AO2">
        <f>SUMIF(ConfirmedRaw!$B:$B,$A2,ConfirmedRaw!AR:AR)</f>
        <v>79932</v>
      </c>
      <c r="AP2">
        <f>SUMIF(ConfirmedRaw!$B:$B,$A2,ConfirmedRaw!AS:AS)</f>
        <v>80136</v>
      </c>
      <c r="AQ2">
        <f>SUMIF(ConfirmedRaw!$B:$B,$A2,ConfirmedRaw!AT:AT)</f>
        <v>80261</v>
      </c>
      <c r="AR2">
        <f>SUMIF(ConfirmedRaw!$B:$B,$A2,ConfirmedRaw!AU:AU)</f>
        <v>80386</v>
      </c>
      <c r="AS2">
        <f>SUMIF(ConfirmedRaw!$B:$B,$A2,ConfirmedRaw!AV:AV)</f>
        <v>80537</v>
      </c>
      <c r="AT2">
        <f>SUMIF(ConfirmedRaw!$B:$B,$A2,ConfirmedRaw!AW:AW)</f>
        <v>80690</v>
      </c>
      <c r="AU2">
        <f>SUMIF(ConfirmedRaw!$B:$B,$A2,ConfirmedRaw!AX:AX)</f>
        <v>80770</v>
      </c>
      <c r="AV2">
        <f>SUMIF(ConfirmedRaw!$B:$B,$A2,ConfirmedRaw!AY:AY)</f>
        <v>80823</v>
      </c>
      <c r="AW2">
        <f>SUMIF(ConfirmedRaw!$B:$B,$A2,ConfirmedRaw!AZ:AZ)</f>
        <v>80860</v>
      </c>
      <c r="AX2">
        <f>SUMIF(ConfirmedRaw!$B:$B,$A2,ConfirmedRaw!BA:BA)</f>
        <v>80887</v>
      </c>
      <c r="AY2">
        <f>SUMIF(ConfirmedRaw!$B:$B,$A2,ConfirmedRaw!BB:BB)</f>
        <v>80921</v>
      </c>
      <c r="AZ2">
        <f>SUMIF(ConfirmedRaw!$B:$B,$A2,ConfirmedRaw!BC:BC)</f>
        <v>80932</v>
      </c>
      <c r="BA2">
        <f>SUMIF(ConfirmedRaw!$B:$B,$A2,ConfirmedRaw!BD:BD)</f>
        <v>80945</v>
      </c>
      <c r="BB2">
        <f>SUMIF(ConfirmedRaw!$B:$B,$A2,ConfirmedRaw!BE:BE)</f>
        <v>80977</v>
      </c>
      <c r="BC2">
        <f>SUMIF(ConfirmedRaw!$B:$B,$A2,ConfirmedRaw!BF:BF)</f>
        <v>81003</v>
      </c>
      <c r="BD2">
        <f>SUMIF(ConfirmedRaw!$B:$B,$A2,ConfirmedRaw!BG:BG)</f>
        <v>81033</v>
      </c>
      <c r="BE2">
        <f>SUMIF(ConfirmedRaw!$B:$B,$A2,ConfirmedRaw!BH:BH)</f>
        <v>81058</v>
      </c>
      <c r="BF2">
        <f>SUMIF(ConfirmedRaw!$B:$B,$A2,ConfirmedRaw!BI:BI)</f>
        <v>81102</v>
      </c>
      <c r="BG2">
        <f>SUMIF(ConfirmedRaw!$B:$B,$A2,ConfirmedRaw!BJ:BJ)</f>
        <v>0</v>
      </c>
      <c r="BH2">
        <f>SUMIF(ConfirmedRaw!$B:$B,$A2,ConfirmedRaw!BK:BK)</f>
        <v>0</v>
      </c>
      <c r="BI2">
        <f>SUMIF(ConfirmedRaw!$B:$B,$A2,ConfirmedRaw!BL:BL)</f>
        <v>0</v>
      </c>
      <c r="BJ2">
        <f>SUMIF(ConfirmedRaw!$B:$B,$A2,ConfirmedRaw!BM:BM)</f>
        <v>0</v>
      </c>
      <c r="BK2">
        <f>SUMIF(ConfirmedRaw!$B:$B,$A2,ConfirmedRaw!BN:BN)</f>
        <v>0</v>
      </c>
      <c r="BL2">
        <f>SUMIF(ConfirmedRaw!$B:$B,$A2,ConfirmedRaw!BO:BO)</f>
        <v>0</v>
      </c>
      <c r="BM2">
        <f>SUMIF(ConfirmedRaw!$B:$B,$A2,ConfirmedRaw!BP:BP)</f>
        <v>0</v>
      </c>
      <c r="BN2">
        <f>SUMIF(ConfirmedRaw!$B:$B,$A2,ConfirmedRaw!BQ:BQ)</f>
        <v>0</v>
      </c>
      <c r="BO2">
        <f>SUMIF(ConfirmedRaw!$B:$B,$A2,ConfirmedRaw!BR:BR)</f>
        <v>0</v>
      </c>
      <c r="BP2">
        <f>SUMIF(ConfirmedRaw!$B:$B,$A2,ConfirmedRaw!BS:BS)</f>
        <v>0</v>
      </c>
      <c r="BQ2">
        <f>SUMIF(ConfirmedRaw!$B:$B,$A2,ConfirmedRaw!BT:BT)</f>
        <v>0</v>
      </c>
      <c r="BR2">
        <f>SUMIF(ConfirmedRaw!$B:$B,$A2,ConfirmedRaw!BU:BU)</f>
        <v>0</v>
      </c>
      <c r="BS2">
        <f>SUMIF(ConfirmedRaw!$B:$B,$A2,ConfirmedRaw!BV:BV)</f>
        <v>0</v>
      </c>
      <c r="BT2">
        <f>SUMIF(ConfirmedRaw!$B:$B,$A2,ConfirmedRaw!BW:BW)</f>
        <v>0</v>
      </c>
    </row>
    <row r="3" spans="1:72" ht="15" thickBot="1" x14ac:dyDescent="0.35">
      <c r="A3" s="3" t="s">
        <v>58</v>
      </c>
      <c r="B3">
        <f>SUMIF(ConfirmedRaw!$B:$B,$A3,ConfirmedRaw!E:E)</f>
        <v>0</v>
      </c>
      <c r="C3">
        <f>SUMIF(ConfirmedRaw!$B:$B,$A3,ConfirmedRaw!F:F)</f>
        <v>0</v>
      </c>
      <c r="D3">
        <f>SUMIF(ConfirmedRaw!$B:$B,$A3,ConfirmedRaw!G:G)</f>
        <v>0</v>
      </c>
      <c r="E3">
        <f>SUMIF(ConfirmedRaw!$B:$B,$A3,ConfirmedRaw!H:H)</f>
        <v>0</v>
      </c>
      <c r="F3">
        <f>SUMIF(ConfirmedRaw!$B:$B,$A3,ConfirmedRaw!I:I)</f>
        <v>0</v>
      </c>
      <c r="G3">
        <f>SUMIF(ConfirmedRaw!$B:$B,$A3,ConfirmedRaw!J:J)</f>
        <v>0</v>
      </c>
      <c r="H3">
        <f>SUMIF(ConfirmedRaw!$B:$B,$A3,ConfirmedRaw!K:K)</f>
        <v>0</v>
      </c>
      <c r="I3">
        <f>SUMIF(ConfirmedRaw!$B:$B,$A3,ConfirmedRaw!L:L)</f>
        <v>0</v>
      </c>
      <c r="J3">
        <f>SUMIF(ConfirmedRaw!$B:$B,$A3,ConfirmedRaw!M:M)</f>
        <v>0</v>
      </c>
      <c r="K3">
        <f>SUMIF(ConfirmedRaw!$B:$B,$A3,ConfirmedRaw!N:N)</f>
        <v>2</v>
      </c>
      <c r="L3">
        <f>SUMIF(ConfirmedRaw!$B:$B,$A3,ConfirmedRaw!O:O)</f>
        <v>2</v>
      </c>
      <c r="M3">
        <f>SUMIF(ConfirmedRaw!$B:$B,$A3,ConfirmedRaw!P:P)</f>
        <v>2</v>
      </c>
      <c r="N3">
        <f>SUMIF(ConfirmedRaw!$B:$B,$A3,ConfirmedRaw!Q:Q)</f>
        <v>2</v>
      </c>
      <c r="O3">
        <f>SUMIF(ConfirmedRaw!$B:$B,$A3,ConfirmedRaw!R:R)</f>
        <v>2</v>
      </c>
      <c r="P3">
        <f>SUMIF(ConfirmedRaw!$B:$B,$A3,ConfirmedRaw!S:S)</f>
        <v>2</v>
      </c>
      <c r="Q3">
        <f>SUMIF(ConfirmedRaw!$B:$B,$A3,ConfirmedRaw!T:T)</f>
        <v>2</v>
      </c>
      <c r="R3">
        <f>SUMIF(ConfirmedRaw!$B:$B,$A3,ConfirmedRaw!U:U)</f>
        <v>3</v>
      </c>
      <c r="S3">
        <f>SUMIF(ConfirmedRaw!$B:$B,$A3,ConfirmedRaw!V:V)</f>
        <v>3</v>
      </c>
      <c r="T3">
        <f>SUMIF(ConfirmedRaw!$B:$B,$A3,ConfirmedRaw!W:W)</f>
        <v>3</v>
      </c>
      <c r="U3">
        <f>SUMIF(ConfirmedRaw!$B:$B,$A3,ConfirmedRaw!X:X)</f>
        <v>3</v>
      </c>
      <c r="V3">
        <f>SUMIF(ConfirmedRaw!$B:$B,$A3,ConfirmedRaw!Y:Y)</f>
        <v>3</v>
      </c>
      <c r="W3">
        <f>SUMIF(ConfirmedRaw!$B:$B,$A3,ConfirmedRaw!Z:Z)</f>
        <v>3</v>
      </c>
      <c r="X3">
        <f>SUMIF(ConfirmedRaw!$B:$B,$A3,ConfirmedRaw!AA:AA)</f>
        <v>3</v>
      </c>
      <c r="Y3">
        <f>SUMIF(ConfirmedRaw!$B:$B,$A3,ConfirmedRaw!AB:AB)</f>
        <v>3</v>
      </c>
      <c r="Z3">
        <f>SUMIF(ConfirmedRaw!$B:$B,$A3,ConfirmedRaw!AC:AC)</f>
        <v>3</v>
      </c>
      <c r="AA3">
        <f>SUMIF(ConfirmedRaw!$B:$B,$A3,ConfirmedRaw!AD:AD)</f>
        <v>3</v>
      </c>
      <c r="AB3">
        <f>SUMIF(ConfirmedRaw!$B:$B,$A3,ConfirmedRaw!AE:AE)</f>
        <v>3</v>
      </c>
      <c r="AC3">
        <f>SUMIF(ConfirmedRaw!$B:$B,$A3,ConfirmedRaw!AF:AF)</f>
        <v>3</v>
      </c>
      <c r="AD3">
        <f>SUMIF(ConfirmedRaw!$B:$B,$A3,ConfirmedRaw!AG:AG)</f>
        <v>3</v>
      </c>
      <c r="AE3">
        <f>SUMIF(ConfirmedRaw!$B:$B,$A3,ConfirmedRaw!AH:AH)</f>
        <v>3</v>
      </c>
      <c r="AF3">
        <f>SUMIF(ConfirmedRaw!$B:$B,$A3,ConfirmedRaw!AI:AI)</f>
        <v>20</v>
      </c>
      <c r="AG3">
        <f>SUMIF(ConfirmedRaw!$B:$B,$A3,ConfirmedRaw!AJ:AJ)</f>
        <v>62</v>
      </c>
      <c r="AH3">
        <f>SUMIF(ConfirmedRaw!$B:$B,$A3,ConfirmedRaw!AK:AK)</f>
        <v>155</v>
      </c>
      <c r="AI3">
        <f>SUMIF(ConfirmedRaw!$B:$B,$A3,ConfirmedRaw!AL:AL)</f>
        <v>229</v>
      </c>
      <c r="AJ3">
        <f>SUMIF(ConfirmedRaw!$B:$B,$A3,ConfirmedRaw!AM:AM)</f>
        <v>322</v>
      </c>
      <c r="AK3">
        <f>SUMIF(ConfirmedRaw!$B:$B,$A3,ConfirmedRaw!AN:AN)</f>
        <v>453</v>
      </c>
      <c r="AL3">
        <f>SUMIF(ConfirmedRaw!$B:$B,$A3,ConfirmedRaw!AO:AO)</f>
        <v>655</v>
      </c>
      <c r="AM3">
        <f>SUMIF(ConfirmedRaw!$B:$B,$A3,ConfirmedRaw!AP:AP)</f>
        <v>888</v>
      </c>
      <c r="AN3">
        <f>SUMIF(ConfirmedRaw!$B:$B,$A3,ConfirmedRaw!AQ:AQ)</f>
        <v>1128</v>
      </c>
      <c r="AO3">
        <f>SUMIF(ConfirmedRaw!$B:$B,$A3,ConfirmedRaw!AR:AR)</f>
        <v>1694</v>
      </c>
      <c r="AP3">
        <f>SUMIF(ConfirmedRaw!$B:$B,$A3,ConfirmedRaw!AS:AS)</f>
        <v>2036</v>
      </c>
      <c r="AQ3">
        <f>SUMIF(ConfirmedRaw!$B:$B,$A3,ConfirmedRaw!AT:AT)</f>
        <v>2502</v>
      </c>
      <c r="AR3">
        <f>SUMIF(ConfirmedRaw!$B:$B,$A3,ConfirmedRaw!AU:AU)</f>
        <v>3089</v>
      </c>
      <c r="AS3">
        <f>SUMIF(ConfirmedRaw!$B:$B,$A3,ConfirmedRaw!AV:AV)</f>
        <v>3858</v>
      </c>
      <c r="AT3">
        <f>SUMIF(ConfirmedRaw!$B:$B,$A3,ConfirmedRaw!AW:AW)</f>
        <v>4636</v>
      </c>
      <c r="AU3">
        <f>SUMIF(ConfirmedRaw!$B:$B,$A3,ConfirmedRaw!AX:AX)</f>
        <v>5883</v>
      </c>
      <c r="AV3">
        <f>SUMIF(ConfirmedRaw!$B:$B,$A3,ConfirmedRaw!AY:AY)</f>
        <v>7375</v>
      </c>
      <c r="AW3">
        <f>SUMIF(ConfirmedRaw!$B:$B,$A3,ConfirmedRaw!AZ:AZ)</f>
        <v>9172</v>
      </c>
      <c r="AX3">
        <f>SUMIF(ConfirmedRaw!$B:$B,$A3,ConfirmedRaw!BA:BA)</f>
        <v>10149</v>
      </c>
      <c r="AY3">
        <f>SUMIF(ConfirmedRaw!$B:$B,$A3,ConfirmedRaw!BB:BB)</f>
        <v>12462</v>
      </c>
      <c r="AZ3">
        <f>SUMIF(ConfirmedRaw!$B:$B,$A3,ConfirmedRaw!BC:BC)</f>
        <v>12462</v>
      </c>
      <c r="BA3">
        <f>SUMIF(ConfirmedRaw!$B:$B,$A3,ConfirmedRaw!BD:BD)</f>
        <v>17660</v>
      </c>
      <c r="BB3">
        <f>SUMIF(ConfirmedRaw!$B:$B,$A3,ConfirmedRaw!BE:BE)</f>
        <v>21157</v>
      </c>
      <c r="BC3">
        <f>SUMIF(ConfirmedRaw!$B:$B,$A3,ConfirmedRaw!BF:BF)</f>
        <v>24747</v>
      </c>
      <c r="BD3">
        <f>SUMIF(ConfirmedRaw!$B:$B,$A3,ConfirmedRaw!BG:BG)</f>
        <v>27980</v>
      </c>
      <c r="BE3">
        <f>SUMIF(ConfirmedRaw!$B:$B,$A3,ConfirmedRaw!BH:BH)</f>
        <v>31506</v>
      </c>
      <c r="BF3">
        <f>SUMIF(ConfirmedRaw!$B:$B,$A3,ConfirmedRaw!BI:BI)</f>
        <v>35713</v>
      </c>
      <c r="BG3">
        <f>SUMIF(ConfirmedRaw!$B:$B,$A3,ConfirmedRaw!BJ:BJ)</f>
        <v>0</v>
      </c>
      <c r="BH3">
        <f>SUMIF(ConfirmedRaw!$B:$B,$A3,ConfirmedRaw!BK:BK)</f>
        <v>0</v>
      </c>
      <c r="BI3">
        <f>SUMIF(ConfirmedRaw!$B:$B,$A3,ConfirmedRaw!BL:BL)</f>
        <v>0</v>
      </c>
      <c r="BJ3">
        <f>SUMIF(ConfirmedRaw!$B:$B,$A3,ConfirmedRaw!BM:BM)</f>
        <v>0</v>
      </c>
      <c r="BK3">
        <f>SUMIF(ConfirmedRaw!$B:$B,$A3,ConfirmedRaw!BN:BN)</f>
        <v>0</v>
      </c>
      <c r="BL3">
        <f>SUMIF(ConfirmedRaw!$B:$B,$A3,ConfirmedRaw!BO:BO)</f>
        <v>0</v>
      </c>
      <c r="BM3">
        <f>SUMIF(ConfirmedRaw!$B:$B,$A3,ConfirmedRaw!BP:BP)</f>
        <v>0</v>
      </c>
      <c r="BN3">
        <f>SUMIF(ConfirmedRaw!$B:$B,$A3,ConfirmedRaw!BQ:BQ)</f>
        <v>0</v>
      </c>
      <c r="BO3">
        <f>SUMIF(ConfirmedRaw!$B:$B,$A3,ConfirmedRaw!BR:BR)</f>
        <v>0</v>
      </c>
      <c r="BP3">
        <f>SUMIF(ConfirmedRaw!$B:$B,$A3,ConfirmedRaw!BS:BS)</f>
        <v>0</v>
      </c>
      <c r="BQ3">
        <f>SUMIF(ConfirmedRaw!$B:$B,$A3,ConfirmedRaw!BT:BT)</f>
        <v>0</v>
      </c>
      <c r="BR3">
        <f>SUMIF(ConfirmedRaw!$B:$B,$A3,ConfirmedRaw!BU:BU)</f>
        <v>0</v>
      </c>
      <c r="BS3">
        <f>SUMIF(ConfirmedRaw!$B:$B,$A3,ConfirmedRaw!BV:BV)</f>
        <v>0</v>
      </c>
      <c r="BT3">
        <f>SUMIF(ConfirmedRaw!$B:$B,$A3,ConfirmedRaw!BW:BW)</f>
        <v>0</v>
      </c>
    </row>
    <row r="4" spans="1:72" ht="15" thickBot="1" x14ac:dyDescent="0.35">
      <c r="A4" s="4" t="s">
        <v>338</v>
      </c>
      <c r="B4">
        <f>SUMIF(ConfirmedRaw!$B:$B,$A4,ConfirmedRaw!E:E)</f>
        <v>0</v>
      </c>
      <c r="C4">
        <f>SUMIF(ConfirmedRaw!$B:$B,$A4,ConfirmedRaw!F:F)</f>
        <v>0</v>
      </c>
      <c r="D4">
        <f>SUMIF(ConfirmedRaw!$B:$B,$A4,ConfirmedRaw!G:G)</f>
        <v>0</v>
      </c>
      <c r="E4">
        <f>SUMIF(ConfirmedRaw!$B:$B,$A4,ConfirmedRaw!H:H)</f>
        <v>0</v>
      </c>
      <c r="F4">
        <f>SUMIF(ConfirmedRaw!$B:$B,$A4,ConfirmedRaw!I:I)</f>
        <v>0</v>
      </c>
      <c r="G4">
        <f>SUMIF(ConfirmedRaw!$B:$B,$A4,ConfirmedRaw!J:J)</f>
        <v>0</v>
      </c>
      <c r="H4">
        <f>SUMIF(ConfirmedRaw!$B:$B,$A4,ConfirmedRaw!K:K)</f>
        <v>0</v>
      </c>
      <c r="I4">
        <f>SUMIF(ConfirmedRaw!$B:$B,$A4,ConfirmedRaw!L:L)</f>
        <v>0</v>
      </c>
      <c r="J4">
        <f>SUMIF(ConfirmedRaw!$B:$B,$A4,ConfirmedRaw!M:M)</f>
        <v>0</v>
      </c>
      <c r="K4">
        <f>SUMIF(ConfirmedRaw!$B:$B,$A4,ConfirmedRaw!N:N)</f>
        <v>0</v>
      </c>
      <c r="L4">
        <f>SUMIF(ConfirmedRaw!$B:$B,$A4,ConfirmedRaw!O:O)</f>
        <v>0</v>
      </c>
      <c r="M4">
        <f>SUMIF(ConfirmedRaw!$B:$B,$A4,ConfirmedRaw!P:P)</f>
        <v>0</v>
      </c>
      <c r="N4">
        <f>SUMIF(ConfirmedRaw!$B:$B,$A4,ConfirmedRaw!Q:Q)</f>
        <v>0</v>
      </c>
      <c r="O4">
        <f>SUMIF(ConfirmedRaw!$B:$B,$A4,ConfirmedRaw!R:R)</f>
        <v>0</v>
      </c>
      <c r="P4">
        <f>SUMIF(ConfirmedRaw!$B:$B,$A4,ConfirmedRaw!S:S)</f>
        <v>0</v>
      </c>
      <c r="Q4">
        <f>SUMIF(ConfirmedRaw!$B:$B,$A4,ConfirmedRaw!T:T)</f>
        <v>0</v>
      </c>
      <c r="R4">
        <f>SUMIF(ConfirmedRaw!$B:$B,$A4,ConfirmedRaw!U:U)</f>
        <v>0</v>
      </c>
      <c r="S4">
        <f>SUMIF(ConfirmedRaw!$B:$B,$A4,ConfirmedRaw!V:V)</f>
        <v>0</v>
      </c>
      <c r="T4">
        <f>SUMIF(ConfirmedRaw!$B:$B,$A4,ConfirmedRaw!W:W)</f>
        <v>0</v>
      </c>
      <c r="U4">
        <f>SUMIF(ConfirmedRaw!$B:$B,$A4,ConfirmedRaw!X:X)</f>
        <v>0</v>
      </c>
      <c r="V4">
        <f>SUMIF(ConfirmedRaw!$B:$B,$A4,ConfirmedRaw!Y:Y)</f>
        <v>0</v>
      </c>
      <c r="W4">
        <f>SUMIF(ConfirmedRaw!$B:$B,$A4,ConfirmedRaw!Z:Z)</f>
        <v>0</v>
      </c>
      <c r="X4">
        <f>SUMIF(ConfirmedRaw!$B:$B,$A4,ConfirmedRaw!AA:AA)</f>
        <v>0</v>
      </c>
      <c r="Y4">
        <f>SUMIF(ConfirmedRaw!$B:$B,$A4,ConfirmedRaw!AB:AB)</f>
        <v>0</v>
      </c>
      <c r="Z4">
        <f>SUMIF(ConfirmedRaw!$B:$B,$A4,ConfirmedRaw!AC:AC)</f>
        <v>0</v>
      </c>
      <c r="AA4">
        <f>SUMIF(ConfirmedRaw!$B:$B,$A4,ConfirmedRaw!AD:AD)</f>
        <v>0</v>
      </c>
      <c r="AB4">
        <f>SUMIF(ConfirmedRaw!$B:$B,$A4,ConfirmedRaw!AE:AE)</f>
        <v>0</v>
      </c>
      <c r="AC4">
        <f>SUMIF(ConfirmedRaw!$B:$B,$A4,ConfirmedRaw!AF:AF)</f>
        <v>0</v>
      </c>
      <c r="AD4">
        <f>SUMIF(ConfirmedRaw!$B:$B,$A4,ConfirmedRaw!AG:AG)</f>
        <v>2</v>
      </c>
      <c r="AE4">
        <f>SUMIF(ConfirmedRaw!$B:$B,$A4,ConfirmedRaw!AH:AH)</f>
        <v>5</v>
      </c>
      <c r="AF4">
        <f>SUMIF(ConfirmedRaw!$B:$B,$A4,ConfirmedRaw!AI:AI)</f>
        <v>18</v>
      </c>
      <c r="AG4">
        <f>SUMIF(ConfirmedRaw!$B:$B,$A4,ConfirmedRaw!AJ:AJ)</f>
        <v>28</v>
      </c>
      <c r="AH4">
        <f>SUMIF(ConfirmedRaw!$B:$B,$A4,ConfirmedRaw!AK:AK)</f>
        <v>43</v>
      </c>
      <c r="AI4">
        <f>SUMIF(ConfirmedRaw!$B:$B,$A4,ConfirmedRaw!AL:AL)</f>
        <v>61</v>
      </c>
      <c r="AJ4">
        <f>SUMIF(ConfirmedRaw!$B:$B,$A4,ConfirmedRaw!AM:AM)</f>
        <v>95</v>
      </c>
      <c r="AK4">
        <f>SUMIF(ConfirmedRaw!$B:$B,$A4,ConfirmedRaw!AN:AN)</f>
        <v>139</v>
      </c>
      <c r="AL4">
        <f>SUMIF(ConfirmedRaw!$B:$B,$A4,ConfirmedRaw!AO:AO)</f>
        <v>245</v>
      </c>
      <c r="AM4">
        <f>SUMIF(ConfirmedRaw!$B:$B,$A4,ConfirmedRaw!AP:AP)</f>
        <v>388</v>
      </c>
      <c r="AN4">
        <f>SUMIF(ConfirmedRaw!$B:$B,$A4,ConfirmedRaw!AQ:AQ)</f>
        <v>593</v>
      </c>
      <c r="AO4">
        <f>SUMIF(ConfirmedRaw!$B:$B,$A4,ConfirmedRaw!AR:AR)</f>
        <v>978</v>
      </c>
      <c r="AP4">
        <f>SUMIF(ConfirmedRaw!$B:$B,$A4,ConfirmedRaw!AS:AS)</f>
        <v>1501</v>
      </c>
      <c r="AQ4">
        <f>SUMIF(ConfirmedRaw!$B:$B,$A4,ConfirmedRaw!AT:AT)</f>
        <v>2336</v>
      </c>
      <c r="AR4">
        <f>SUMIF(ConfirmedRaw!$B:$B,$A4,ConfirmedRaw!AU:AU)</f>
        <v>2922</v>
      </c>
      <c r="AS4">
        <f>SUMIF(ConfirmedRaw!$B:$B,$A4,ConfirmedRaw!AV:AV)</f>
        <v>3513</v>
      </c>
      <c r="AT4">
        <f>SUMIF(ConfirmedRaw!$B:$B,$A4,ConfirmedRaw!AW:AW)</f>
        <v>4747</v>
      </c>
      <c r="AU4">
        <f>SUMIF(ConfirmedRaw!$B:$B,$A4,ConfirmedRaw!AX:AX)</f>
        <v>5823</v>
      </c>
      <c r="AV4">
        <f>SUMIF(ConfirmedRaw!$B:$B,$A4,ConfirmedRaw!AY:AY)</f>
        <v>6566</v>
      </c>
      <c r="AW4">
        <f>SUMIF(ConfirmedRaw!$B:$B,$A4,ConfirmedRaw!AZ:AZ)</f>
        <v>7161</v>
      </c>
      <c r="AX4">
        <f>SUMIF(ConfirmedRaw!$B:$B,$A4,ConfirmedRaw!BA:BA)</f>
        <v>8042</v>
      </c>
      <c r="AY4">
        <f>SUMIF(ConfirmedRaw!$B:$B,$A4,ConfirmedRaw!BB:BB)</f>
        <v>9000</v>
      </c>
      <c r="AZ4">
        <f>SUMIF(ConfirmedRaw!$B:$B,$A4,ConfirmedRaw!BC:BC)</f>
        <v>10075</v>
      </c>
      <c r="BA4">
        <f>SUMIF(ConfirmedRaw!$B:$B,$A4,ConfirmedRaw!BD:BD)</f>
        <v>11364</v>
      </c>
      <c r="BB4">
        <f>SUMIF(ConfirmedRaw!$B:$B,$A4,ConfirmedRaw!BE:BE)</f>
        <v>12729</v>
      </c>
      <c r="BC4">
        <f>SUMIF(ConfirmedRaw!$B:$B,$A4,ConfirmedRaw!BF:BF)</f>
        <v>13938</v>
      </c>
      <c r="BD4">
        <f>SUMIF(ConfirmedRaw!$B:$B,$A4,ConfirmedRaw!BG:BG)</f>
        <v>14991</v>
      </c>
      <c r="BE4">
        <f>SUMIF(ConfirmedRaw!$B:$B,$A4,ConfirmedRaw!BH:BH)</f>
        <v>16169</v>
      </c>
      <c r="BF4">
        <f>SUMIF(ConfirmedRaw!$B:$B,$A4,ConfirmedRaw!BI:BI)</f>
        <v>17361</v>
      </c>
      <c r="BG4">
        <f>SUMIF(ConfirmedRaw!$B:$B,$A4,ConfirmedRaw!BJ:BJ)</f>
        <v>0</v>
      </c>
      <c r="BH4">
        <f>SUMIF(ConfirmedRaw!$B:$B,$A4,ConfirmedRaw!BK:BK)</f>
        <v>0</v>
      </c>
      <c r="BI4">
        <f>SUMIF(ConfirmedRaw!$B:$B,$A4,ConfirmedRaw!BL:BL)</f>
        <v>0</v>
      </c>
      <c r="BJ4">
        <f>SUMIF(ConfirmedRaw!$B:$B,$A4,ConfirmedRaw!BM:BM)</f>
        <v>0</v>
      </c>
      <c r="BK4">
        <f>SUMIF(ConfirmedRaw!$B:$B,$A4,ConfirmedRaw!BN:BN)</f>
        <v>0</v>
      </c>
      <c r="BL4">
        <f>SUMIF(ConfirmedRaw!$B:$B,$A4,ConfirmedRaw!BO:BO)</f>
        <v>0</v>
      </c>
      <c r="BM4">
        <f>SUMIF(ConfirmedRaw!$B:$B,$A4,ConfirmedRaw!BP:BP)</f>
        <v>0</v>
      </c>
      <c r="BN4">
        <f>SUMIF(ConfirmedRaw!$B:$B,$A4,ConfirmedRaw!BQ:BQ)</f>
        <v>0</v>
      </c>
      <c r="BO4">
        <f>SUMIF(ConfirmedRaw!$B:$B,$A4,ConfirmedRaw!BR:BR)</f>
        <v>0</v>
      </c>
      <c r="BP4">
        <f>SUMIF(ConfirmedRaw!$B:$B,$A4,ConfirmedRaw!BS:BS)</f>
        <v>0</v>
      </c>
      <c r="BQ4">
        <f>SUMIF(ConfirmedRaw!$B:$B,$A4,ConfirmedRaw!BT:BT)</f>
        <v>0</v>
      </c>
      <c r="BR4">
        <f>SUMIF(ConfirmedRaw!$B:$B,$A4,ConfirmedRaw!BU:BU)</f>
        <v>0</v>
      </c>
      <c r="BS4">
        <f>SUMIF(ConfirmedRaw!$B:$B,$A4,ConfirmedRaw!BV:BV)</f>
        <v>0</v>
      </c>
      <c r="BT4">
        <f>SUMIF(ConfirmedRaw!$B:$B,$A4,ConfirmedRaw!BW:BW)</f>
        <v>0</v>
      </c>
    </row>
    <row r="5" spans="1:72" ht="15" thickBot="1" x14ac:dyDescent="0.35">
      <c r="A5" s="3" t="s">
        <v>339</v>
      </c>
      <c r="B5">
        <f>SUMIF(ConfirmedRaw!$B:$B,$A5,ConfirmedRaw!E:E)</f>
        <v>1</v>
      </c>
      <c r="C5">
        <f>SUMIF(ConfirmedRaw!$B:$B,$A5,ConfirmedRaw!F:F)</f>
        <v>1</v>
      </c>
      <c r="D5">
        <f>SUMIF(ConfirmedRaw!$B:$B,$A5,ConfirmedRaw!G:G)</f>
        <v>2</v>
      </c>
      <c r="E5">
        <f>SUMIF(ConfirmedRaw!$B:$B,$A5,ConfirmedRaw!H:H)</f>
        <v>2</v>
      </c>
      <c r="F5">
        <f>SUMIF(ConfirmedRaw!$B:$B,$A5,ConfirmedRaw!I:I)</f>
        <v>3</v>
      </c>
      <c r="G5">
        <f>SUMIF(ConfirmedRaw!$B:$B,$A5,ConfirmedRaw!J:J)</f>
        <v>4</v>
      </c>
      <c r="H5">
        <f>SUMIF(ConfirmedRaw!$B:$B,$A5,ConfirmedRaw!K:K)</f>
        <v>4</v>
      </c>
      <c r="I5">
        <f>SUMIF(ConfirmedRaw!$B:$B,$A5,ConfirmedRaw!L:L)</f>
        <v>4</v>
      </c>
      <c r="J5">
        <f>SUMIF(ConfirmedRaw!$B:$B,$A5,ConfirmedRaw!M:M)</f>
        <v>4</v>
      </c>
      <c r="K5">
        <f>SUMIF(ConfirmedRaw!$B:$B,$A5,ConfirmedRaw!N:N)</f>
        <v>11</v>
      </c>
      <c r="L5">
        <f>SUMIF(ConfirmedRaw!$B:$B,$A5,ConfirmedRaw!O:O)</f>
        <v>12</v>
      </c>
      <c r="M5">
        <f>SUMIF(ConfirmedRaw!$B:$B,$A5,ConfirmedRaw!P:P)</f>
        <v>15</v>
      </c>
      <c r="N5">
        <f>SUMIF(ConfirmedRaw!$B:$B,$A5,ConfirmedRaw!Q:Q)</f>
        <v>15</v>
      </c>
      <c r="O5">
        <f>SUMIF(ConfirmedRaw!$B:$B,$A5,ConfirmedRaw!R:R)</f>
        <v>16</v>
      </c>
      <c r="P5">
        <f>SUMIF(ConfirmedRaw!$B:$B,$A5,ConfirmedRaw!S:S)</f>
        <v>19</v>
      </c>
      <c r="Q5">
        <f>SUMIF(ConfirmedRaw!$B:$B,$A5,ConfirmedRaw!T:T)</f>
        <v>23</v>
      </c>
      <c r="R5">
        <f>SUMIF(ConfirmedRaw!$B:$B,$A5,ConfirmedRaw!U:U)</f>
        <v>24</v>
      </c>
      <c r="S5">
        <f>SUMIF(ConfirmedRaw!$B:$B,$A5,ConfirmedRaw!V:V)</f>
        <v>24</v>
      </c>
      <c r="T5">
        <f>SUMIF(ConfirmedRaw!$B:$B,$A5,ConfirmedRaw!W:W)</f>
        <v>25</v>
      </c>
      <c r="U5">
        <f>SUMIF(ConfirmedRaw!$B:$B,$A5,ConfirmedRaw!X:X)</f>
        <v>27</v>
      </c>
      <c r="V5">
        <f>SUMIF(ConfirmedRaw!$B:$B,$A5,ConfirmedRaw!Y:Y)</f>
        <v>28</v>
      </c>
      <c r="W5">
        <f>SUMIF(ConfirmedRaw!$B:$B,$A5,ConfirmedRaw!Z:Z)</f>
        <v>28</v>
      </c>
      <c r="X5">
        <f>SUMIF(ConfirmedRaw!$B:$B,$A5,ConfirmedRaw!AA:AA)</f>
        <v>28</v>
      </c>
      <c r="Y5">
        <f>SUMIF(ConfirmedRaw!$B:$B,$A5,ConfirmedRaw!AB:AB)</f>
        <v>28</v>
      </c>
      <c r="Z5">
        <f>SUMIF(ConfirmedRaw!$B:$B,$A5,ConfirmedRaw!AC:AC)</f>
        <v>28</v>
      </c>
      <c r="AA5">
        <f>SUMIF(ConfirmedRaw!$B:$B,$A5,ConfirmedRaw!AD:AD)</f>
        <v>29</v>
      </c>
      <c r="AB5">
        <f>SUMIF(ConfirmedRaw!$B:$B,$A5,ConfirmedRaw!AE:AE)</f>
        <v>30</v>
      </c>
      <c r="AC5">
        <f>SUMIF(ConfirmedRaw!$B:$B,$A5,ConfirmedRaw!AF:AF)</f>
        <v>31</v>
      </c>
      <c r="AD5">
        <f>SUMIF(ConfirmedRaw!$B:$B,$A5,ConfirmedRaw!AG:AG)</f>
        <v>31</v>
      </c>
      <c r="AE5">
        <f>SUMIF(ConfirmedRaw!$B:$B,$A5,ConfirmedRaw!AH:AH)</f>
        <v>104</v>
      </c>
      <c r="AF5">
        <f>SUMIF(ConfirmedRaw!$B:$B,$A5,ConfirmedRaw!AI:AI)</f>
        <v>204</v>
      </c>
      <c r="AG5">
        <f>SUMIF(ConfirmedRaw!$B:$B,$A5,ConfirmedRaw!AJ:AJ)</f>
        <v>433</v>
      </c>
      <c r="AH5">
        <f>SUMIF(ConfirmedRaw!$B:$B,$A5,ConfirmedRaw!AK:AK)</f>
        <v>602</v>
      </c>
      <c r="AI5">
        <f>SUMIF(ConfirmedRaw!$B:$B,$A5,ConfirmedRaw!AL:AL)</f>
        <v>833</v>
      </c>
      <c r="AJ5">
        <f>SUMIF(ConfirmedRaw!$B:$B,$A5,ConfirmedRaw!AM:AM)</f>
        <v>977</v>
      </c>
      <c r="AK5">
        <f>SUMIF(ConfirmedRaw!$B:$B,$A5,ConfirmedRaw!AN:AN)</f>
        <v>1261</v>
      </c>
      <c r="AL5">
        <f>SUMIF(ConfirmedRaw!$B:$B,$A5,ConfirmedRaw!AO:AO)</f>
        <v>1766</v>
      </c>
      <c r="AM5">
        <f>SUMIF(ConfirmedRaw!$B:$B,$A5,ConfirmedRaw!AP:AP)</f>
        <v>2337</v>
      </c>
      <c r="AN5">
        <f>SUMIF(ConfirmedRaw!$B:$B,$A5,ConfirmedRaw!AQ:AQ)</f>
        <v>3150</v>
      </c>
      <c r="AO5">
        <f>SUMIF(ConfirmedRaw!$B:$B,$A5,ConfirmedRaw!AR:AR)</f>
        <v>3736</v>
      </c>
      <c r="AP5">
        <f>SUMIF(ConfirmedRaw!$B:$B,$A5,ConfirmedRaw!AS:AS)</f>
        <v>4335</v>
      </c>
      <c r="AQ5">
        <f>SUMIF(ConfirmedRaw!$B:$B,$A5,ConfirmedRaw!AT:AT)</f>
        <v>5186</v>
      </c>
      <c r="AR5">
        <f>SUMIF(ConfirmedRaw!$B:$B,$A5,ConfirmedRaw!AU:AU)</f>
        <v>5621</v>
      </c>
      <c r="AS5">
        <f>SUMIF(ConfirmedRaw!$B:$B,$A5,ConfirmedRaw!AV:AV)</f>
        <v>6088</v>
      </c>
      <c r="AT5">
        <f>SUMIF(ConfirmedRaw!$B:$B,$A5,ConfirmedRaw!AW:AW)</f>
        <v>6593</v>
      </c>
      <c r="AU5">
        <f>SUMIF(ConfirmedRaw!$B:$B,$A5,ConfirmedRaw!AX:AX)</f>
        <v>7041</v>
      </c>
      <c r="AV5">
        <f>SUMIF(ConfirmedRaw!$B:$B,$A5,ConfirmedRaw!AY:AY)</f>
        <v>7314</v>
      </c>
      <c r="AW5">
        <f>SUMIF(ConfirmedRaw!$B:$B,$A5,ConfirmedRaw!AZ:AZ)</f>
        <v>7478</v>
      </c>
      <c r="AX5">
        <f>SUMIF(ConfirmedRaw!$B:$B,$A5,ConfirmedRaw!BA:BA)</f>
        <v>7513</v>
      </c>
      <c r="AY5">
        <f>SUMIF(ConfirmedRaw!$B:$B,$A5,ConfirmedRaw!BB:BB)</f>
        <v>7755</v>
      </c>
      <c r="AZ5">
        <f>SUMIF(ConfirmedRaw!$B:$B,$A5,ConfirmedRaw!BC:BC)</f>
        <v>7869</v>
      </c>
      <c r="BA5">
        <f>SUMIF(ConfirmedRaw!$B:$B,$A5,ConfirmedRaw!BD:BD)</f>
        <v>7979</v>
      </c>
      <c r="BB5">
        <f>SUMIF(ConfirmedRaw!$B:$B,$A5,ConfirmedRaw!BE:BE)</f>
        <v>8086</v>
      </c>
      <c r="BC5">
        <f>SUMIF(ConfirmedRaw!$B:$B,$A5,ConfirmedRaw!BF:BF)</f>
        <v>8162</v>
      </c>
      <c r="BD5">
        <f>SUMIF(ConfirmedRaw!$B:$B,$A5,ConfirmedRaw!BG:BG)</f>
        <v>8236</v>
      </c>
      <c r="BE5">
        <f>SUMIF(ConfirmedRaw!$B:$B,$A5,ConfirmedRaw!BH:BH)</f>
        <v>8320</v>
      </c>
      <c r="BF5">
        <f>SUMIF(ConfirmedRaw!$B:$B,$A5,ConfirmedRaw!BI:BI)</f>
        <v>8413</v>
      </c>
      <c r="BG5">
        <f>SUMIF(ConfirmedRaw!$B:$B,$A5,ConfirmedRaw!BJ:BJ)</f>
        <v>0</v>
      </c>
      <c r="BH5">
        <f>SUMIF(ConfirmedRaw!$B:$B,$A5,ConfirmedRaw!BK:BK)</f>
        <v>0</v>
      </c>
      <c r="BI5">
        <f>SUMIF(ConfirmedRaw!$B:$B,$A5,ConfirmedRaw!BL:BL)</f>
        <v>0</v>
      </c>
      <c r="BJ5">
        <f>SUMIF(ConfirmedRaw!$B:$B,$A5,ConfirmedRaw!BM:BM)</f>
        <v>0</v>
      </c>
      <c r="BK5">
        <f>SUMIF(ConfirmedRaw!$B:$B,$A5,ConfirmedRaw!BN:BN)</f>
        <v>0</v>
      </c>
      <c r="BL5">
        <f>SUMIF(ConfirmedRaw!$B:$B,$A5,ConfirmedRaw!BO:BO)</f>
        <v>0</v>
      </c>
      <c r="BM5">
        <f>SUMIF(ConfirmedRaw!$B:$B,$A5,ConfirmedRaw!BP:BP)</f>
        <v>0</v>
      </c>
      <c r="BN5">
        <f>SUMIF(ConfirmedRaw!$B:$B,$A5,ConfirmedRaw!BQ:BQ)</f>
        <v>0</v>
      </c>
      <c r="BO5">
        <f>SUMIF(ConfirmedRaw!$B:$B,$A5,ConfirmedRaw!BR:BR)</f>
        <v>0</v>
      </c>
      <c r="BP5">
        <f>SUMIF(ConfirmedRaw!$B:$B,$A5,ConfirmedRaw!BS:BS)</f>
        <v>0</v>
      </c>
      <c r="BQ5">
        <f>SUMIF(ConfirmedRaw!$B:$B,$A5,ConfirmedRaw!BT:BT)</f>
        <v>0</v>
      </c>
      <c r="BR5">
        <f>SUMIF(ConfirmedRaw!$B:$B,$A5,ConfirmedRaw!BU:BU)</f>
        <v>0</v>
      </c>
      <c r="BS5">
        <f>SUMIF(ConfirmedRaw!$B:$B,$A5,ConfirmedRaw!BV:BV)</f>
        <v>0</v>
      </c>
      <c r="BT5">
        <f>SUMIF(ConfirmedRaw!$B:$B,$A5,ConfirmedRaw!BW:BW)</f>
        <v>0</v>
      </c>
    </row>
    <row r="6" spans="1:72" ht="15" thickBot="1" x14ac:dyDescent="0.35">
      <c r="A6" s="3" t="s">
        <v>60</v>
      </c>
      <c r="B6">
        <f>SUMIF(ConfirmedRaw!$B:$B,$A6,ConfirmedRaw!E:E)</f>
        <v>0</v>
      </c>
      <c r="C6">
        <f>SUMIF(ConfirmedRaw!$B:$B,$A6,ConfirmedRaw!F:F)</f>
        <v>0</v>
      </c>
      <c r="D6">
        <f>SUMIF(ConfirmedRaw!$B:$B,$A6,ConfirmedRaw!G:G)</f>
        <v>0</v>
      </c>
      <c r="E6">
        <f>SUMIF(ConfirmedRaw!$B:$B,$A6,ConfirmedRaw!H:H)</f>
        <v>0</v>
      </c>
      <c r="F6">
        <f>SUMIF(ConfirmedRaw!$B:$B,$A6,ConfirmedRaw!I:I)</f>
        <v>0</v>
      </c>
      <c r="G6">
        <f>SUMIF(ConfirmedRaw!$B:$B,$A6,ConfirmedRaw!J:J)</f>
        <v>0</v>
      </c>
      <c r="H6">
        <f>SUMIF(ConfirmedRaw!$B:$B,$A6,ConfirmedRaw!K:K)</f>
        <v>0</v>
      </c>
      <c r="I6">
        <f>SUMIF(ConfirmedRaw!$B:$B,$A6,ConfirmedRaw!L:L)</f>
        <v>0</v>
      </c>
      <c r="J6">
        <f>SUMIF(ConfirmedRaw!$B:$B,$A6,ConfirmedRaw!M:M)</f>
        <v>0</v>
      </c>
      <c r="K6">
        <f>SUMIF(ConfirmedRaw!$B:$B,$A6,ConfirmedRaw!N:N)</f>
        <v>0</v>
      </c>
      <c r="L6">
        <f>SUMIF(ConfirmedRaw!$B:$B,$A6,ConfirmedRaw!O:O)</f>
        <v>1</v>
      </c>
      <c r="M6">
        <f>SUMIF(ConfirmedRaw!$B:$B,$A6,ConfirmedRaw!P:P)</f>
        <v>1</v>
      </c>
      <c r="N6">
        <f>SUMIF(ConfirmedRaw!$B:$B,$A6,ConfirmedRaw!Q:Q)</f>
        <v>1</v>
      </c>
      <c r="O6">
        <f>SUMIF(ConfirmedRaw!$B:$B,$A6,ConfirmedRaw!R:R)</f>
        <v>1</v>
      </c>
      <c r="P6">
        <f>SUMIF(ConfirmedRaw!$B:$B,$A6,ConfirmedRaw!S:S)</f>
        <v>1</v>
      </c>
      <c r="Q6">
        <f>SUMIF(ConfirmedRaw!$B:$B,$A6,ConfirmedRaw!T:T)</f>
        <v>1</v>
      </c>
      <c r="R6">
        <f>SUMIF(ConfirmedRaw!$B:$B,$A6,ConfirmedRaw!U:U)</f>
        <v>1</v>
      </c>
      <c r="S6">
        <f>SUMIF(ConfirmedRaw!$B:$B,$A6,ConfirmedRaw!V:V)</f>
        <v>1</v>
      </c>
      <c r="T6">
        <f>SUMIF(ConfirmedRaw!$B:$B,$A6,ConfirmedRaw!W:W)</f>
        <v>2</v>
      </c>
      <c r="U6">
        <f>SUMIF(ConfirmedRaw!$B:$B,$A6,ConfirmedRaw!X:X)</f>
        <v>2</v>
      </c>
      <c r="V6">
        <f>SUMIF(ConfirmedRaw!$B:$B,$A6,ConfirmedRaw!Y:Y)</f>
        <v>2</v>
      </c>
      <c r="W6">
        <f>SUMIF(ConfirmedRaw!$B:$B,$A6,ConfirmedRaw!Z:Z)</f>
        <v>2</v>
      </c>
      <c r="X6">
        <f>SUMIF(ConfirmedRaw!$B:$B,$A6,ConfirmedRaw!AA:AA)</f>
        <v>2</v>
      </c>
      <c r="Y6">
        <f>SUMIF(ConfirmedRaw!$B:$B,$A6,ConfirmedRaw!AB:AB)</f>
        <v>2</v>
      </c>
      <c r="Z6">
        <f>SUMIF(ConfirmedRaw!$B:$B,$A6,ConfirmedRaw!AC:AC)</f>
        <v>2</v>
      </c>
      <c r="AA6">
        <f>SUMIF(ConfirmedRaw!$B:$B,$A6,ConfirmedRaw!AD:AD)</f>
        <v>2</v>
      </c>
      <c r="AB6">
        <f>SUMIF(ConfirmedRaw!$B:$B,$A6,ConfirmedRaw!AE:AE)</f>
        <v>2</v>
      </c>
      <c r="AC6">
        <f>SUMIF(ConfirmedRaw!$B:$B,$A6,ConfirmedRaw!AF:AF)</f>
        <v>2</v>
      </c>
      <c r="AD6">
        <f>SUMIF(ConfirmedRaw!$B:$B,$A6,ConfirmedRaw!AG:AG)</f>
        <v>2</v>
      </c>
      <c r="AE6">
        <f>SUMIF(ConfirmedRaw!$B:$B,$A6,ConfirmedRaw!AH:AH)</f>
        <v>2</v>
      </c>
      <c r="AF6">
        <f>SUMIF(ConfirmedRaw!$B:$B,$A6,ConfirmedRaw!AI:AI)</f>
        <v>2</v>
      </c>
      <c r="AG6">
        <f>SUMIF(ConfirmedRaw!$B:$B,$A6,ConfirmedRaw!AJ:AJ)</f>
        <v>2</v>
      </c>
      <c r="AH6">
        <f>SUMIF(ConfirmedRaw!$B:$B,$A6,ConfirmedRaw!AK:AK)</f>
        <v>2</v>
      </c>
      <c r="AI6">
        <f>SUMIF(ConfirmedRaw!$B:$B,$A6,ConfirmedRaw!AL:AL)</f>
        <v>2</v>
      </c>
      <c r="AJ6">
        <f>SUMIF(ConfirmedRaw!$B:$B,$A6,ConfirmedRaw!AM:AM)</f>
        <v>6</v>
      </c>
      <c r="AK6">
        <f>SUMIF(ConfirmedRaw!$B:$B,$A6,ConfirmedRaw!AN:AN)</f>
        <v>13</v>
      </c>
      <c r="AL6">
        <f>SUMIF(ConfirmedRaw!$B:$B,$A6,ConfirmedRaw!AO:AO)</f>
        <v>15</v>
      </c>
      <c r="AM6">
        <f>SUMIF(ConfirmedRaw!$B:$B,$A6,ConfirmedRaw!AP:AP)</f>
        <v>32</v>
      </c>
      <c r="AN6">
        <f>SUMIF(ConfirmedRaw!$B:$B,$A6,ConfirmedRaw!AQ:AQ)</f>
        <v>45</v>
      </c>
      <c r="AO6">
        <f>SUMIF(ConfirmedRaw!$B:$B,$A6,ConfirmedRaw!AR:AR)</f>
        <v>84</v>
      </c>
      <c r="AP6">
        <f>SUMIF(ConfirmedRaw!$B:$B,$A6,ConfirmedRaw!AS:AS)</f>
        <v>120</v>
      </c>
      <c r="AQ6">
        <f>SUMIF(ConfirmedRaw!$B:$B,$A6,ConfirmedRaw!AT:AT)</f>
        <v>165</v>
      </c>
      <c r="AR6">
        <f>SUMIF(ConfirmedRaw!$B:$B,$A6,ConfirmedRaw!AU:AU)</f>
        <v>222</v>
      </c>
      <c r="AS6">
        <f>SUMIF(ConfirmedRaw!$B:$B,$A6,ConfirmedRaw!AV:AV)</f>
        <v>259</v>
      </c>
      <c r="AT6">
        <f>SUMIF(ConfirmedRaw!$B:$B,$A6,ConfirmedRaw!AW:AW)</f>
        <v>400</v>
      </c>
      <c r="AU6">
        <f>SUMIF(ConfirmedRaw!$B:$B,$A6,ConfirmedRaw!AX:AX)</f>
        <v>500</v>
      </c>
      <c r="AV6">
        <f>SUMIF(ConfirmedRaw!$B:$B,$A6,ConfirmedRaw!AY:AY)</f>
        <v>673</v>
      </c>
      <c r="AW6">
        <f>SUMIF(ConfirmedRaw!$B:$B,$A6,ConfirmedRaw!AZ:AZ)</f>
        <v>1073</v>
      </c>
      <c r="AX6">
        <f>SUMIF(ConfirmedRaw!$B:$B,$A6,ConfirmedRaw!BA:BA)</f>
        <v>1695</v>
      </c>
      <c r="AY6">
        <f>SUMIF(ConfirmedRaw!$B:$B,$A6,ConfirmedRaw!BB:BB)</f>
        <v>2277</v>
      </c>
      <c r="AZ6">
        <f>SUMIF(ConfirmedRaw!$B:$B,$A6,ConfirmedRaw!BC:BC)</f>
        <v>2277</v>
      </c>
      <c r="BA6">
        <f>SUMIF(ConfirmedRaw!$B:$B,$A6,ConfirmedRaw!BD:BD)</f>
        <v>5232</v>
      </c>
      <c r="BB6">
        <f>SUMIF(ConfirmedRaw!$B:$B,$A6,ConfirmedRaw!BE:BE)</f>
        <v>6391</v>
      </c>
      <c r="BC6">
        <f>SUMIF(ConfirmedRaw!$B:$B,$A6,ConfirmedRaw!BF:BF)</f>
        <v>7798</v>
      </c>
      <c r="BD6">
        <f>SUMIF(ConfirmedRaw!$B:$B,$A6,ConfirmedRaw!BG:BG)</f>
        <v>9942</v>
      </c>
      <c r="BE6">
        <f>SUMIF(ConfirmedRaw!$B:$B,$A6,ConfirmedRaw!BH:BH)</f>
        <v>11748</v>
      </c>
      <c r="BF6">
        <f>SUMIF(ConfirmedRaw!$B:$B,$A6,ConfirmedRaw!BI:BI)</f>
        <v>13910</v>
      </c>
      <c r="BG6">
        <f>SUMIF(ConfirmedRaw!$B:$B,$A6,ConfirmedRaw!BJ:BJ)</f>
        <v>0</v>
      </c>
      <c r="BH6">
        <f>SUMIF(ConfirmedRaw!$B:$B,$A6,ConfirmedRaw!BK:BK)</f>
        <v>0</v>
      </c>
      <c r="BI6">
        <f>SUMIF(ConfirmedRaw!$B:$B,$A6,ConfirmedRaw!BL:BL)</f>
        <v>0</v>
      </c>
      <c r="BJ6">
        <f>SUMIF(ConfirmedRaw!$B:$B,$A6,ConfirmedRaw!BM:BM)</f>
        <v>0</v>
      </c>
      <c r="BK6">
        <f>SUMIF(ConfirmedRaw!$B:$B,$A6,ConfirmedRaw!BN:BN)</f>
        <v>0</v>
      </c>
      <c r="BL6">
        <f>SUMIF(ConfirmedRaw!$B:$B,$A6,ConfirmedRaw!BO:BO)</f>
        <v>0</v>
      </c>
      <c r="BM6">
        <f>SUMIF(ConfirmedRaw!$B:$B,$A6,ConfirmedRaw!BP:BP)</f>
        <v>0</v>
      </c>
      <c r="BN6">
        <f>SUMIF(ConfirmedRaw!$B:$B,$A6,ConfirmedRaw!BQ:BQ)</f>
        <v>0</v>
      </c>
      <c r="BO6">
        <f>SUMIF(ConfirmedRaw!$B:$B,$A6,ConfirmedRaw!BR:BR)</f>
        <v>0</v>
      </c>
      <c r="BP6">
        <f>SUMIF(ConfirmedRaw!$B:$B,$A6,ConfirmedRaw!BS:BS)</f>
        <v>0</v>
      </c>
      <c r="BQ6">
        <f>SUMIF(ConfirmedRaw!$B:$B,$A6,ConfirmedRaw!BT:BT)</f>
        <v>0</v>
      </c>
      <c r="BR6">
        <f>SUMIF(ConfirmedRaw!$B:$B,$A6,ConfirmedRaw!BU:BU)</f>
        <v>0</v>
      </c>
      <c r="BS6">
        <f>SUMIF(ConfirmedRaw!$B:$B,$A6,ConfirmedRaw!BV:BV)</f>
        <v>0</v>
      </c>
      <c r="BT6">
        <f>SUMIF(ConfirmedRaw!$B:$B,$A6,ConfirmedRaw!BW:BW)</f>
        <v>0</v>
      </c>
    </row>
    <row r="7" spans="1:72" ht="15" thickBot="1" x14ac:dyDescent="0.35">
      <c r="A7" s="4" t="s">
        <v>53</v>
      </c>
      <c r="B7">
        <f>SUMIF(ConfirmedRaw!$B:$B,$A7,ConfirmedRaw!E:E)</f>
        <v>0</v>
      </c>
      <c r="C7">
        <f>SUMIF(ConfirmedRaw!$B:$B,$A7,ConfirmedRaw!F:F)</f>
        <v>0</v>
      </c>
      <c r="D7">
        <f>SUMIF(ConfirmedRaw!$B:$B,$A7,ConfirmedRaw!G:G)</f>
        <v>0</v>
      </c>
      <c r="E7">
        <f>SUMIF(ConfirmedRaw!$B:$B,$A7,ConfirmedRaw!H:H)</f>
        <v>0</v>
      </c>
      <c r="F7">
        <f>SUMIF(ConfirmedRaw!$B:$B,$A7,ConfirmedRaw!I:I)</f>
        <v>0</v>
      </c>
      <c r="G7">
        <f>SUMIF(ConfirmedRaw!$B:$B,$A7,ConfirmedRaw!J:J)</f>
        <v>1</v>
      </c>
      <c r="H7">
        <f>SUMIF(ConfirmedRaw!$B:$B,$A7,ConfirmedRaw!K:K)</f>
        <v>4</v>
      </c>
      <c r="I7">
        <f>SUMIF(ConfirmedRaw!$B:$B,$A7,ConfirmedRaw!L:L)</f>
        <v>4</v>
      </c>
      <c r="J7">
        <f>SUMIF(ConfirmedRaw!$B:$B,$A7,ConfirmedRaw!M:M)</f>
        <v>4</v>
      </c>
      <c r="K7">
        <f>SUMIF(ConfirmedRaw!$B:$B,$A7,ConfirmedRaw!N:N)</f>
        <v>5</v>
      </c>
      <c r="L7">
        <f>SUMIF(ConfirmedRaw!$B:$B,$A7,ConfirmedRaw!O:O)</f>
        <v>8</v>
      </c>
      <c r="M7">
        <f>SUMIF(ConfirmedRaw!$B:$B,$A7,ConfirmedRaw!P:P)</f>
        <v>10</v>
      </c>
      <c r="N7">
        <f>SUMIF(ConfirmedRaw!$B:$B,$A7,ConfirmedRaw!Q:Q)</f>
        <v>12</v>
      </c>
      <c r="O7">
        <f>SUMIF(ConfirmedRaw!$B:$B,$A7,ConfirmedRaw!R:R)</f>
        <v>12</v>
      </c>
      <c r="P7">
        <f>SUMIF(ConfirmedRaw!$B:$B,$A7,ConfirmedRaw!S:S)</f>
        <v>12</v>
      </c>
      <c r="Q7">
        <f>SUMIF(ConfirmedRaw!$B:$B,$A7,ConfirmedRaw!T:T)</f>
        <v>12</v>
      </c>
      <c r="R7">
        <f>SUMIF(ConfirmedRaw!$B:$B,$A7,ConfirmedRaw!U:U)</f>
        <v>13</v>
      </c>
      <c r="S7">
        <f>SUMIF(ConfirmedRaw!$B:$B,$A7,ConfirmedRaw!V:V)</f>
        <v>13</v>
      </c>
      <c r="T7">
        <f>SUMIF(ConfirmedRaw!$B:$B,$A7,ConfirmedRaw!W:W)</f>
        <v>14</v>
      </c>
      <c r="U7">
        <f>SUMIF(ConfirmedRaw!$B:$B,$A7,ConfirmedRaw!X:X)</f>
        <v>14</v>
      </c>
      <c r="V7">
        <f>SUMIF(ConfirmedRaw!$B:$B,$A7,ConfirmedRaw!Y:Y)</f>
        <v>16</v>
      </c>
      <c r="W7">
        <f>SUMIF(ConfirmedRaw!$B:$B,$A7,ConfirmedRaw!Z:Z)</f>
        <v>16</v>
      </c>
      <c r="X7">
        <f>SUMIF(ConfirmedRaw!$B:$B,$A7,ConfirmedRaw!AA:AA)</f>
        <v>16</v>
      </c>
      <c r="Y7">
        <f>SUMIF(ConfirmedRaw!$B:$B,$A7,ConfirmedRaw!AB:AB)</f>
        <v>16</v>
      </c>
      <c r="Z7">
        <f>SUMIF(ConfirmedRaw!$B:$B,$A7,ConfirmedRaw!AC:AC)</f>
        <v>16</v>
      </c>
      <c r="AA7">
        <f>SUMIF(ConfirmedRaw!$B:$B,$A7,ConfirmedRaw!AD:AD)</f>
        <v>16</v>
      </c>
      <c r="AB7">
        <f>SUMIF(ConfirmedRaw!$B:$B,$A7,ConfirmedRaw!AE:AE)</f>
        <v>16</v>
      </c>
      <c r="AC7">
        <f>SUMIF(ConfirmedRaw!$B:$B,$A7,ConfirmedRaw!AF:AF)</f>
        <v>16</v>
      </c>
      <c r="AD7">
        <f>SUMIF(ConfirmedRaw!$B:$B,$A7,ConfirmedRaw!AG:AG)</f>
        <v>16</v>
      </c>
      <c r="AE7">
        <f>SUMIF(ConfirmedRaw!$B:$B,$A7,ConfirmedRaw!AH:AH)</f>
        <v>16</v>
      </c>
      <c r="AF7">
        <f>SUMIF(ConfirmedRaw!$B:$B,$A7,ConfirmedRaw!AI:AI)</f>
        <v>16</v>
      </c>
      <c r="AG7">
        <f>SUMIF(ConfirmedRaw!$B:$B,$A7,ConfirmedRaw!AJ:AJ)</f>
        <v>16</v>
      </c>
      <c r="AH7">
        <f>SUMIF(ConfirmedRaw!$B:$B,$A7,ConfirmedRaw!AK:AK)</f>
        <v>16</v>
      </c>
      <c r="AI7">
        <f>SUMIF(ConfirmedRaw!$B:$B,$A7,ConfirmedRaw!AL:AL)</f>
        <v>16</v>
      </c>
      <c r="AJ7">
        <f>SUMIF(ConfirmedRaw!$B:$B,$A7,ConfirmedRaw!AM:AM)</f>
        <v>17</v>
      </c>
      <c r="AK7">
        <f>SUMIF(ConfirmedRaw!$B:$B,$A7,ConfirmedRaw!AN:AN)</f>
        <v>27</v>
      </c>
      <c r="AL7">
        <f>SUMIF(ConfirmedRaw!$B:$B,$A7,ConfirmedRaw!AO:AO)</f>
        <v>46</v>
      </c>
      <c r="AM7">
        <f>SUMIF(ConfirmedRaw!$B:$B,$A7,ConfirmedRaw!AP:AP)</f>
        <v>48</v>
      </c>
      <c r="AN7">
        <f>SUMIF(ConfirmedRaw!$B:$B,$A7,ConfirmedRaw!AQ:AQ)</f>
        <v>79</v>
      </c>
      <c r="AO7">
        <f>SUMIF(ConfirmedRaw!$B:$B,$A7,ConfirmedRaw!AR:AR)</f>
        <v>130</v>
      </c>
      <c r="AP7">
        <f>SUMIF(ConfirmedRaw!$B:$B,$A7,ConfirmedRaw!AS:AS)</f>
        <v>159</v>
      </c>
      <c r="AQ7">
        <f>SUMIF(ConfirmedRaw!$B:$B,$A7,ConfirmedRaw!AT:AT)</f>
        <v>196</v>
      </c>
      <c r="AR7">
        <f>SUMIF(ConfirmedRaw!$B:$B,$A7,ConfirmedRaw!AU:AU)</f>
        <v>262</v>
      </c>
      <c r="AS7">
        <f>SUMIF(ConfirmedRaw!$B:$B,$A7,ConfirmedRaw!AV:AV)</f>
        <v>482</v>
      </c>
      <c r="AT7">
        <f>SUMIF(ConfirmedRaw!$B:$B,$A7,ConfirmedRaw!AW:AW)</f>
        <v>670</v>
      </c>
      <c r="AU7">
        <f>SUMIF(ConfirmedRaw!$B:$B,$A7,ConfirmedRaw!AX:AX)</f>
        <v>799</v>
      </c>
      <c r="AV7">
        <f>SUMIF(ConfirmedRaw!$B:$B,$A7,ConfirmedRaw!AY:AY)</f>
        <v>1040</v>
      </c>
      <c r="AW7">
        <f>SUMIF(ConfirmedRaw!$B:$B,$A7,ConfirmedRaw!AZ:AZ)</f>
        <v>1176</v>
      </c>
      <c r="AX7">
        <f>SUMIF(ConfirmedRaw!$B:$B,$A7,ConfirmedRaw!BA:BA)</f>
        <v>1457</v>
      </c>
      <c r="AY7">
        <f>SUMIF(ConfirmedRaw!$B:$B,$A7,ConfirmedRaw!BB:BB)</f>
        <v>1908</v>
      </c>
      <c r="AZ7">
        <f>SUMIF(ConfirmedRaw!$B:$B,$A7,ConfirmedRaw!BC:BC)</f>
        <v>2078</v>
      </c>
      <c r="BA7">
        <f>SUMIF(ConfirmedRaw!$B:$B,$A7,ConfirmedRaw!BD:BD)</f>
        <v>3675</v>
      </c>
      <c r="BB7">
        <f>SUMIF(ConfirmedRaw!$B:$B,$A7,ConfirmedRaw!BE:BE)</f>
        <v>4585</v>
      </c>
      <c r="BC7">
        <f>SUMIF(ConfirmedRaw!$B:$B,$A7,ConfirmedRaw!BF:BF)</f>
        <v>5795</v>
      </c>
      <c r="BD7">
        <f>SUMIF(ConfirmedRaw!$B:$B,$A7,ConfirmedRaw!BG:BG)</f>
        <v>7272</v>
      </c>
      <c r="BE7">
        <f>SUMIF(ConfirmedRaw!$B:$B,$A7,ConfirmedRaw!BH:BH)</f>
        <v>9257</v>
      </c>
      <c r="BF7">
        <f>SUMIF(ConfirmedRaw!$B:$B,$A7,ConfirmedRaw!BI:BI)</f>
        <v>12327</v>
      </c>
      <c r="BG7">
        <f>SUMIF(ConfirmedRaw!$B:$B,$A7,ConfirmedRaw!BJ:BJ)</f>
        <v>0</v>
      </c>
      <c r="BH7">
        <f>SUMIF(ConfirmedRaw!$B:$B,$A7,ConfirmedRaw!BK:BK)</f>
        <v>0</v>
      </c>
      <c r="BI7">
        <f>SUMIF(ConfirmedRaw!$B:$B,$A7,ConfirmedRaw!BL:BL)</f>
        <v>0</v>
      </c>
      <c r="BJ7">
        <f>SUMIF(ConfirmedRaw!$B:$B,$A7,ConfirmedRaw!BM:BM)</f>
        <v>0</v>
      </c>
      <c r="BK7">
        <f>SUMIF(ConfirmedRaw!$B:$B,$A7,ConfirmedRaw!BN:BN)</f>
        <v>0</v>
      </c>
      <c r="BL7">
        <f>SUMIF(ConfirmedRaw!$B:$B,$A7,ConfirmedRaw!BO:BO)</f>
        <v>0</v>
      </c>
      <c r="BM7">
        <f>SUMIF(ConfirmedRaw!$B:$B,$A7,ConfirmedRaw!BP:BP)</f>
        <v>0</v>
      </c>
      <c r="BN7">
        <f>SUMIF(ConfirmedRaw!$B:$B,$A7,ConfirmedRaw!BQ:BQ)</f>
        <v>0</v>
      </c>
      <c r="BO7">
        <f>SUMIF(ConfirmedRaw!$B:$B,$A7,ConfirmedRaw!BR:BR)</f>
        <v>0</v>
      </c>
      <c r="BP7">
        <f>SUMIF(ConfirmedRaw!$B:$B,$A7,ConfirmedRaw!BS:BS)</f>
        <v>0</v>
      </c>
      <c r="BQ7">
        <f>SUMIF(ConfirmedRaw!$B:$B,$A7,ConfirmedRaw!BT:BT)</f>
        <v>0</v>
      </c>
      <c r="BR7">
        <f>SUMIF(ConfirmedRaw!$B:$B,$A7,ConfirmedRaw!BU:BU)</f>
        <v>0</v>
      </c>
      <c r="BS7">
        <f>SUMIF(ConfirmedRaw!$B:$B,$A7,ConfirmedRaw!BV:BV)</f>
        <v>0</v>
      </c>
      <c r="BT7">
        <f>SUMIF(ConfirmedRaw!$B:$B,$A7,ConfirmedRaw!BW:BW)</f>
        <v>0</v>
      </c>
    </row>
    <row r="8" spans="1:72" ht="15" thickBot="1" x14ac:dyDescent="0.35">
      <c r="A8" s="4" t="s">
        <v>41</v>
      </c>
      <c r="B8">
        <f>SUMIF(ConfirmedRaw!$B:$B,$A8,ConfirmedRaw!E:E)</f>
        <v>0</v>
      </c>
      <c r="C8">
        <f>SUMIF(ConfirmedRaw!$B:$B,$A8,ConfirmedRaw!F:F)</f>
        <v>0</v>
      </c>
      <c r="D8">
        <f>SUMIF(ConfirmedRaw!$B:$B,$A8,ConfirmedRaw!G:G)</f>
        <v>2</v>
      </c>
      <c r="E8">
        <f>SUMIF(ConfirmedRaw!$B:$B,$A8,ConfirmedRaw!H:H)</f>
        <v>3</v>
      </c>
      <c r="F8">
        <f>SUMIF(ConfirmedRaw!$B:$B,$A8,ConfirmedRaw!I:I)</f>
        <v>3</v>
      </c>
      <c r="G8">
        <f>SUMIF(ConfirmedRaw!$B:$B,$A8,ConfirmedRaw!J:J)</f>
        <v>3</v>
      </c>
      <c r="H8">
        <f>SUMIF(ConfirmedRaw!$B:$B,$A8,ConfirmedRaw!K:K)</f>
        <v>4</v>
      </c>
      <c r="I8">
        <f>SUMIF(ConfirmedRaw!$B:$B,$A8,ConfirmedRaw!L:L)</f>
        <v>5</v>
      </c>
      <c r="J8">
        <f>SUMIF(ConfirmedRaw!$B:$B,$A8,ConfirmedRaw!M:M)</f>
        <v>5</v>
      </c>
      <c r="K8">
        <f>SUMIF(ConfirmedRaw!$B:$B,$A8,ConfirmedRaw!N:N)</f>
        <v>5</v>
      </c>
      <c r="L8">
        <f>SUMIF(ConfirmedRaw!$B:$B,$A8,ConfirmedRaw!O:O)</f>
        <v>6</v>
      </c>
      <c r="M8">
        <f>SUMIF(ConfirmedRaw!$B:$B,$A8,ConfirmedRaw!P:P)</f>
        <v>6</v>
      </c>
      <c r="N8">
        <f>SUMIF(ConfirmedRaw!$B:$B,$A8,ConfirmedRaw!Q:Q)</f>
        <v>6</v>
      </c>
      <c r="O8">
        <f>SUMIF(ConfirmedRaw!$B:$B,$A8,ConfirmedRaw!R:R)</f>
        <v>6</v>
      </c>
      <c r="P8">
        <f>SUMIF(ConfirmedRaw!$B:$B,$A8,ConfirmedRaw!S:S)</f>
        <v>6</v>
      </c>
      <c r="Q8">
        <f>SUMIF(ConfirmedRaw!$B:$B,$A8,ConfirmedRaw!T:T)</f>
        <v>6</v>
      </c>
      <c r="R8">
        <f>SUMIF(ConfirmedRaw!$B:$B,$A8,ConfirmedRaw!U:U)</f>
        <v>6</v>
      </c>
      <c r="S8">
        <f>SUMIF(ConfirmedRaw!$B:$B,$A8,ConfirmedRaw!V:V)</f>
        <v>11</v>
      </c>
      <c r="T8">
        <f>SUMIF(ConfirmedRaw!$B:$B,$A8,ConfirmedRaw!W:W)</f>
        <v>11</v>
      </c>
      <c r="U8">
        <f>SUMIF(ConfirmedRaw!$B:$B,$A8,ConfirmedRaw!X:X)</f>
        <v>11</v>
      </c>
      <c r="V8">
        <f>SUMIF(ConfirmedRaw!$B:$B,$A8,ConfirmedRaw!Y:Y)</f>
        <v>11</v>
      </c>
      <c r="W8">
        <f>SUMIF(ConfirmedRaw!$B:$B,$A8,ConfirmedRaw!Z:Z)</f>
        <v>11</v>
      </c>
      <c r="X8">
        <f>SUMIF(ConfirmedRaw!$B:$B,$A8,ConfirmedRaw!AA:AA)</f>
        <v>11</v>
      </c>
      <c r="Y8">
        <f>SUMIF(ConfirmedRaw!$B:$B,$A8,ConfirmedRaw!AB:AB)</f>
        <v>11</v>
      </c>
      <c r="Z8">
        <f>SUMIF(ConfirmedRaw!$B:$B,$A8,ConfirmedRaw!AC:AC)</f>
        <v>12</v>
      </c>
      <c r="AA8">
        <f>SUMIF(ConfirmedRaw!$B:$B,$A8,ConfirmedRaw!AD:AD)</f>
        <v>12</v>
      </c>
      <c r="AB8">
        <f>SUMIF(ConfirmedRaw!$B:$B,$A8,ConfirmedRaw!AE:AE)</f>
        <v>12</v>
      </c>
      <c r="AC8">
        <f>SUMIF(ConfirmedRaw!$B:$B,$A8,ConfirmedRaw!AF:AF)</f>
        <v>12</v>
      </c>
      <c r="AD8">
        <f>SUMIF(ConfirmedRaw!$B:$B,$A8,ConfirmedRaw!AG:AG)</f>
        <v>12</v>
      </c>
      <c r="AE8">
        <f>SUMIF(ConfirmedRaw!$B:$B,$A8,ConfirmedRaw!AH:AH)</f>
        <v>12</v>
      </c>
      <c r="AF8">
        <f>SUMIF(ConfirmedRaw!$B:$B,$A8,ConfirmedRaw!AI:AI)</f>
        <v>12</v>
      </c>
      <c r="AG8">
        <f>SUMIF(ConfirmedRaw!$B:$B,$A8,ConfirmedRaw!AJ:AJ)</f>
        <v>12</v>
      </c>
      <c r="AH8">
        <f>SUMIF(ConfirmedRaw!$B:$B,$A8,ConfirmedRaw!AK:AK)</f>
        <v>12</v>
      </c>
      <c r="AI8">
        <f>SUMIF(ConfirmedRaw!$B:$B,$A8,ConfirmedRaw!AL:AL)</f>
        <v>12</v>
      </c>
      <c r="AJ8">
        <f>SUMIF(ConfirmedRaw!$B:$B,$A8,ConfirmedRaw!AM:AM)</f>
        <v>14</v>
      </c>
      <c r="AK8">
        <f>SUMIF(ConfirmedRaw!$B:$B,$A8,ConfirmedRaw!AN:AN)</f>
        <v>18</v>
      </c>
      <c r="AL8">
        <f>SUMIF(ConfirmedRaw!$B:$B,$A8,ConfirmedRaw!AO:AO)</f>
        <v>38</v>
      </c>
      <c r="AM8">
        <f>SUMIF(ConfirmedRaw!$B:$B,$A8,ConfirmedRaw!AP:AP)</f>
        <v>57</v>
      </c>
      <c r="AN8">
        <f>SUMIF(ConfirmedRaw!$B:$B,$A8,ConfirmedRaw!AQ:AQ)</f>
        <v>100</v>
      </c>
      <c r="AO8">
        <f>SUMIF(ConfirmedRaw!$B:$B,$A8,ConfirmedRaw!AR:AR)</f>
        <v>130</v>
      </c>
      <c r="AP8">
        <f>SUMIF(ConfirmedRaw!$B:$B,$A8,ConfirmedRaw!AS:AS)</f>
        <v>191</v>
      </c>
      <c r="AQ8">
        <f>SUMIF(ConfirmedRaw!$B:$B,$A8,ConfirmedRaw!AT:AT)</f>
        <v>204</v>
      </c>
      <c r="AR8">
        <f>SUMIF(ConfirmedRaw!$B:$B,$A8,ConfirmedRaw!AU:AU)</f>
        <v>288</v>
      </c>
      <c r="AS8">
        <f>SUMIF(ConfirmedRaw!$B:$B,$A8,ConfirmedRaw!AV:AV)</f>
        <v>380</v>
      </c>
      <c r="AT8">
        <f>SUMIF(ConfirmedRaw!$B:$B,$A8,ConfirmedRaw!AW:AW)</f>
        <v>656</v>
      </c>
      <c r="AU8">
        <f>SUMIF(ConfirmedRaw!$B:$B,$A8,ConfirmedRaw!AX:AX)</f>
        <v>957</v>
      </c>
      <c r="AV8">
        <f>SUMIF(ConfirmedRaw!$B:$B,$A8,ConfirmedRaw!AY:AY)</f>
        <v>1134</v>
      </c>
      <c r="AW8">
        <f>SUMIF(ConfirmedRaw!$B:$B,$A8,ConfirmedRaw!AZ:AZ)</f>
        <v>1217</v>
      </c>
      <c r="AX8">
        <f>SUMIF(ConfirmedRaw!$B:$B,$A8,ConfirmedRaw!BA:BA)</f>
        <v>1792</v>
      </c>
      <c r="AY8">
        <f>SUMIF(ConfirmedRaw!$B:$B,$A8,ConfirmedRaw!BB:BB)</f>
        <v>2290</v>
      </c>
      <c r="AZ8">
        <f>SUMIF(ConfirmedRaw!$B:$B,$A8,ConfirmedRaw!BC:BC)</f>
        <v>2290</v>
      </c>
      <c r="BA8">
        <f>SUMIF(ConfirmedRaw!$B:$B,$A8,ConfirmedRaw!BD:BD)</f>
        <v>3678</v>
      </c>
      <c r="BB8">
        <f>SUMIF(ConfirmedRaw!$B:$B,$A8,ConfirmedRaw!BE:BE)</f>
        <v>4487</v>
      </c>
      <c r="BC8">
        <f>SUMIF(ConfirmedRaw!$B:$B,$A8,ConfirmedRaw!BF:BF)</f>
        <v>4523</v>
      </c>
      <c r="BD8">
        <f>SUMIF(ConfirmedRaw!$B:$B,$A8,ConfirmedRaw!BG:BG)</f>
        <v>6668</v>
      </c>
      <c r="BE8">
        <f>SUMIF(ConfirmedRaw!$B:$B,$A8,ConfirmedRaw!BH:BH)</f>
        <v>7699</v>
      </c>
      <c r="BF8">
        <f>SUMIF(ConfirmedRaw!$B:$B,$A8,ConfirmedRaw!BI:BI)</f>
        <v>9105</v>
      </c>
      <c r="BG8">
        <f>SUMIF(ConfirmedRaw!$B:$B,$A8,ConfirmedRaw!BJ:BJ)</f>
        <v>0</v>
      </c>
      <c r="BH8">
        <f>SUMIF(ConfirmedRaw!$B:$B,$A8,ConfirmedRaw!BK:BK)</f>
        <v>0</v>
      </c>
      <c r="BI8">
        <f>SUMIF(ConfirmedRaw!$B:$B,$A8,ConfirmedRaw!BL:BL)</f>
        <v>0</v>
      </c>
      <c r="BJ8">
        <f>SUMIF(ConfirmedRaw!$B:$B,$A8,ConfirmedRaw!BM:BM)</f>
        <v>0</v>
      </c>
      <c r="BK8">
        <f>SUMIF(ConfirmedRaw!$B:$B,$A8,ConfirmedRaw!BN:BN)</f>
        <v>0</v>
      </c>
      <c r="BL8">
        <f>SUMIF(ConfirmedRaw!$B:$B,$A8,ConfirmedRaw!BO:BO)</f>
        <v>0</v>
      </c>
      <c r="BM8">
        <f>SUMIF(ConfirmedRaw!$B:$B,$A8,ConfirmedRaw!BP:BP)</f>
        <v>0</v>
      </c>
      <c r="BN8">
        <f>SUMIF(ConfirmedRaw!$B:$B,$A8,ConfirmedRaw!BQ:BQ)</f>
        <v>0</v>
      </c>
      <c r="BO8">
        <f>SUMIF(ConfirmedRaw!$B:$B,$A8,ConfirmedRaw!BR:BR)</f>
        <v>0</v>
      </c>
      <c r="BP8">
        <f>SUMIF(ConfirmedRaw!$B:$B,$A8,ConfirmedRaw!BS:BS)</f>
        <v>0</v>
      </c>
      <c r="BQ8">
        <f>SUMIF(ConfirmedRaw!$B:$B,$A8,ConfirmedRaw!BT:BT)</f>
        <v>0</v>
      </c>
      <c r="BR8">
        <f>SUMIF(ConfirmedRaw!$B:$B,$A8,ConfirmedRaw!BU:BU)</f>
        <v>0</v>
      </c>
      <c r="BS8">
        <f>SUMIF(ConfirmedRaw!$B:$B,$A8,ConfirmedRaw!BV:BV)</f>
        <v>0</v>
      </c>
      <c r="BT8">
        <f>SUMIF(ConfirmedRaw!$B:$B,$A8,ConfirmedRaw!BW:BW)</f>
        <v>0</v>
      </c>
    </row>
    <row r="9" spans="1:72" ht="15" thickBot="1" x14ac:dyDescent="0.35">
      <c r="A9" s="3" t="s">
        <v>38</v>
      </c>
      <c r="B9">
        <f>SUMIF(ConfirmedRaw!$B:$B,$A9,ConfirmedRaw!E:E)</f>
        <v>1</v>
      </c>
      <c r="C9">
        <f>SUMIF(ConfirmedRaw!$B:$B,$A9,ConfirmedRaw!F:F)</f>
        <v>1</v>
      </c>
      <c r="D9">
        <f>SUMIF(ConfirmedRaw!$B:$B,$A9,ConfirmedRaw!G:G)</f>
        <v>2</v>
      </c>
      <c r="E9">
        <f>SUMIF(ConfirmedRaw!$B:$B,$A9,ConfirmedRaw!H:H)</f>
        <v>2</v>
      </c>
      <c r="F9">
        <f>SUMIF(ConfirmedRaw!$B:$B,$A9,ConfirmedRaw!I:I)</f>
        <v>5</v>
      </c>
      <c r="G9">
        <f>SUMIF(ConfirmedRaw!$B:$B,$A9,ConfirmedRaw!J:J)</f>
        <v>5</v>
      </c>
      <c r="H9">
        <f>SUMIF(ConfirmedRaw!$B:$B,$A9,ConfirmedRaw!K:K)</f>
        <v>5</v>
      </c>
      <c r="I9">
        <f>SUMIF(ConfirmedRaw!$B:$B,$A9,ConfirmedRaw!L:L)</f>
        <v>5</v>
      </c>
      <c r="J9">
        <f>SUMIF(ConfirmedRaw!$B:$B,$A9,ConfirmedRaw!M:M)</f>
        <v>5</v>
      </c>
      <c r="K9">
        <f>SUMIF(ConfirmedRaw!$B:$B,$A9,ConfirmedRaw!N:N)</f>
        <v>7</v>
      </c>
      <c r="L9">
        <f>SUMIF(ConfirmedRaw!$B:$B,$A9,ConfirmedRaw!O:O)</f>
        <v>8</v>
      </c>
      <c r="M9">
        <f>SUMIF(ConfirmedRaw!$B:$B,$A9,ConfirmedRaw!P:P)</f>
        <v>8</v>
      </c>
      <c r="N9">
        <f>SUMIF(ConfirmedRaw!$B:$B,$A9,ConfirmedRaw!Q:Q)</f>
        <v>11</v>
      </c>
      <c r="O9">
        <f>SUMIF(ConfirmedRaw!$B:$B,$A9,ConfirmedRaw!R:R)</f>
        <v>11</v>
      </c>
      <c r="P9">
        <f>SUMIF(ConfirmedRaw!$B:$B,$A9,ConfirmedRaw!S:S)</f>
        <v>11</v>
      </c>
      <c r="Q9">
        <f>SUMIF(ConfirmedRaw!$B:$B,$A9,ConfirmedRaw!T:T)</f>
        <v>11</v>
      </c>
      <c r="R9">
        <f>SUMIF(ConfirmedRaw!$B:$B,$A9,ConfirmedRaw!U:U)</f>
        <v>11</v>
      </c>
      <c r="S9">
        <f>SUMIF(ConfirmedRaw!$B:$B,$A9,ConfirmedRaw!V:V)</f>
        <v>11</v>
      </c>
      <c r="T9">
        <f>SUMIF(ConfirmedRaw!$B:$B,$A9,ConfirmedRaw!W:W)</f>
        <v>11</v>
      </c>
      <c r="U9">
        <f>SUMIF(ConfirmedRaw!$B:$B,$A9,ConfirmedRaw!X:X)</f>
        <v>11</v>
      </c>
      <c r="V9">
        <f>SUMIF(ConfirmedRaw!$B:$B,$A9,ConfirmedRaw!Y:Y)</f>
        <v>12</v>
      </c>
      <c r="W9">
        <f>SUMIF(ConfirmedRaw!$B:$B,$A9,ConfirmedRaw!Z:Z)</f>
        <v>12</v>
      </c>
      <c r="X9">
        <f>SUMIF(ConfirmedRaw!$B:$B,$A9,ConfirmedRaw!AA:AA)</f>
        <v>13</v>
      </c>
      <c r="Y9">
        <f>SUMIF(ConfirmedRaw!$B:$B,$A9,ConfirmedRaw!AB:AB)</f>
        <v>13</v>
      </c>
      <c r="Z9">
        <f>SUMIF(ConfirmedRaw!$B:$B,$A9,ConfirmedRaw!AC:AC)</f>
        <v>13</v>
      </c>
      <c r="AA9">
        <f>SUMIF(ConfirmedRaw!$B:$B,$A9,ConfirmedRaw!AD:AD)</f>
        <v>13</v>
      </c>
      <c r="AB9">
        <f>SUMIF(ConfirmedRaw!$B:$B,$A9,ConfirmedRaw!AE:AE)</f>
        <v>13</v>
      </c>
      <c r="AC9">
        <f>SUMIF(ConfirmedRaw!$B:$B,$A9,ConfirmedRaw!AF:AF)</f>
        <v>13</v>
      </c>
      <c r="AD9">
        <f>SUMIF(ConfirmedRaw!$B:$B,$A9,ConfirmedRaw!AG:AG)</f>
        <v>13</v>
      </c>
      <c r="AE9">
        <f>SUMIF(ConfirmedRaw!$B:$B,$A9,ConfirmedRaw!AH:AH)</f>
        <v>13</v>
      </c>
      <c r="AF9">
        <f>SUMIF(ConfirmedRaw!$B:$B,$A9,ConfirmedRaw!AI:AI)</f>
        <v>15</v>
      </c>
      <c r="AG9">
        <f>SUMIF(ConfirmedRaw!$B:$B,$A9,ConfirmedRaw!AJ:AJ)</f>
        <v>15</v>
      </c>
      <c r="AH9">
        <f>SUMIF(ConfirmedRaw!$B:$B,$A9,ConfirmedRaw!AK:AK)</f>
        <v>15</v>
      </c>
      <c r="AI9">
        <f>SUMIF(ConfirmedRaw!$B:$B,$A9,ConfirmedRaw!AL:AL)</f>
        <v>51</v>
      </c>
      <c r="AJ9">
        <f>SUMIF(ConfirmedRaw!$B:$B,$A9,ConfirmedRaw!AM:AM)</f>
        <v>51</v>
      </c>
      <c r="AK9">
        <f>SUMIF(ConfirmedRaw!$B:$B,$A9,ConfirmedRaw!AN:AN)</f>
        <v>57</v>
      </c>
      <c r="AL9">
        <f>SUMIF(ConfirmedRaw!$B:$B,$A9,ConfirmedRaw!AO:AO)</f>
        <v>58</v>
      </c>
      <c r="AM9">
        <f>SUMIF(ConfirmedRaw!$B:$B,$A9,ConfirmedRaw!AP:AP)</f>
        <v>60</v>
      </c>
      <c r="AN9">
        <f>SUMIF(ConfirmedRaw!$B:$B,$A9,ConfirmedRaw!AQ:AQ)</f>
        <v>68</v>
      </c>
      <c r="AO9">
        <f>SUMIF(ConfirmedRaw!$B:$B,$A9,ConfirmedRaw!AR:AR)</f>
        <v>74</v>
      </c>
      <c r="AP9">
        <f>SUMIF(ConfirmedRaw!$B:$B,$A9,ConfirmedRaw!AS:AS)</f>
        <v>98</v>
      </c>
      <c r="AQ9">
        <f>SUMIF(ConfirmedRaw!$B:$B,$A9,ConfirmedRaw!AT:AT)</f>
        <v>118</v>
      </c>
      <c r="AR9">
        <f>SUMIF(ConfirmedRaw!$B:$B,$A9,ConfirmedRaw!AU:AU)</f>
        <v>149</v>
      </c>
      <c r="AS9">
        <f>SUMIF(ConfirmedRaw!$B:$B,$A9,ConfirmedRaw!AV:AV)</f>
        <v>217</v>
      </c>
      <c r="AT9">
        <f>SUMIF(ConfirmedRaw!$B:$B,$A9,ConfirmedRaw!AW:AW)</f>
        <v>262</v>
      </c>
      <c r="AU9">
        <f>SUMIF(ConfirmedRaw!$B:$B,$A9,ConfirmedRaw!AX:AX)</f>
        <v>402</v>
      </c>
      <c r="AV9">
        <f>SUMIF(ConfirmedRaw!$B:$B,$A9,ConfirmedRaw!AY:AY)</f>
        <v>518</v>
      </c>
      <c r="AW9">
        <f>SUMIF(ConfirmedRaw!$B:$B,$A9,ConfirmedRaw!AZ:AZ)</f>
        <v>583</v>
      </c>
      <c r="AX9">
        <f>SUMIF(ConfirmedRaw!$B:$B,$A9,ConfirmedRaw!BA:BA)</f>
        <v>959</v>
      </c>
      <c r="AY9">
        <f>SUMIF(ConfirmedRaw!$B:$B,$A9,ConfirmedRaw!BB:BB)</f>
        <v>1281</v>
      </c>
      <c r="AZ9">
        <f>SUMIF(ConfirmedRaw!$B:$B,$A9,ConfirmedRaw!BC:BC)</f>
        <v>1663</v>
      </c>
      <c r="BA9">
        <f>SUMIF(ConfirmedRaw!$B:$B,$A9,ConfirmedRaw!BD:BD)</f>
        <v>2179</v>
      </c>
      <c r="BB9">
        <f>SUMIF(ConfirmedRaw!$B:$B,$A9,ConfirmedRaw!BE:BE)</f>
        <v>2727</v>
      </c>
      <c r="BC9">
        <f>SUMIF(ConfirmedRaw!$B:$B,$A9,ConfirmedRaw!BF:BF)</f>
        <v>3499</v>
      </c>
      <c r="BD9">
        <f>SUMIF(ConfirmedRaw!$B:$B,$A9,ConfirmedRaw!BG:BG)</f>
        <v>4632</v>
      </c>
      <c r="BE9">
        <f>SUMIF(ConfirmedRaw!$B:$B,$A9,ConfirmedRaw!BH:BH)</f>
        <v>6421</v>
      </c>
      <c r="BF9">
        <f>SUMIF(ConfirmedRaw!$B:$B,$A9,ConfirmedRaw!BI:BI)</f>
        <v>7783</v>
      </c>
      <c r="BG9">
        <f>SUMIF(ConfirmedRaw!$B:$B,$A9,ConfirmedRaw!BJ:BJ)</f>
        <v>0</v>
      </c>
      <c r="BH9">
        <f>SUMIF(ConfirmedRaw!$B:$B,$A9,ConfirmedRaw!BK:BK)</f>
        <v>0</v>
      </c>
      <c r="BI9">
        <f>SUMIF(ConfirmedRaw!$B:$B,$A9,ConfirmedRaw!BL:BL)</f>
        <v>0</v>
      </c>
      <c r="BJ9">
        <f>SUMIF(ConfirmedRaw!$B:$B,$A9,ConfirmedRaw!BM:BM)</f>
        <v>0</v>
      </c>
      <c r="BK9">
        <f>SUMIF(ConfirmedRaw!$B:$B,$A9,ConfirmedRaw!BN:BN)</f>
        <v>0</v>
      </c>
      <c r="BL9">
        <f>SUMIF(ConfirmedRaw!$B:$B,$A9,ConfirmedRaw!BO:BO)</f>
        <v>0</v>
      </c>
      <c r="BM9">
        <f>SUMIF(ConfirmedRaw!$B:$B,$A9,ConfirmedRaw!BP:BP)</f>
        <v>0</v>
      </c>
      <c r="BN9">
        <f>SUMIF(ConfirmedRaw!$B:$B,$A9,ConfirmedRaw!BQ:BQ)</f>
        <v>0</v>
      </c>
      <c r="BO9">
        <f>SUMIF(ConfirmedRaw!$B:$B,$A9,ConfirmedRaw!BR:BR)</f>
        <v>0</v>
      </c>
      <c r="BP9">
        <f>SUMIF(ConfirmedRaw!$B:$B,$A9,ConfirmedRaw!BS:BS)</f>
        <v>0</v>
      </c>
      <c r="BQ9">
        <f>SUMIF(ConfirmedRaw!$B:$B,$A9,ConfirmedRaw!BT:BT)</f>
        <v>0</v>
      </c>
      <c r="BR9">
        <f>SUMIF(ConfirmedRaw!$B:$B,$A9,ConfirmedRaw!BU:BU)</f>
        <v>0</v>
      </c>
      <c r="BS9">
        <f>SUMIF(ConfirmedRaw!$B:$B,$A9,ConfirmedRaw!BV:BV)</f>
        <v>0</v>
      </c>
      <c r="BT9">
        <f>SUMIF(ConfirmedRaw!$B:$B,$A9,ConfirmedRaw!BW:BW)</f>
        <v>0</v>
      </c>
    </row>
    <row r="10" spans="1:72" ht="15" thickBot="1" x14ac:dyDescent="0.35">
      <c r="A10" s="4" t="s">
        <v>77</v>
      </c>
      <c r="B10">
        <f>SUMIF(ConfirmedRaw!$B:$B,$A10,ConfirmedRaw!E:E)</f>
        <v>0</v>
      </c>
      <c r="C10">
        <f>SUMIF(ConfirmedRaw!$B:$B,$A10,ConfirmedRaw!F:F)</f>
        <v>0</v>
      </c>
      <c r="D10">
        <f>SUMIF(ConfirmedRaw!$B:$B,$A10,ConfirmedRaw!G:G)</f>
        <v>0</v>
      </c>
      <c r="E10">
        <f>SUMIF(ConfirmedRaw!$B:$B,$A10,ConfirmedRaw!H:H)</f>
        <v>0</v>
      </c>
      <c r="F10">
        <f>SUMIF(ConfirmedRaw!$B:$B,$A10,ConfirmedRaw!I:I)</f>
        <v>0</v>
      </c>
      <c r="G10">
        <f>SUMIF(ConfirmedRaw!$B:$B,$A10,ConfirmedRaw!J:J)</f>
        <v>0</v>
      </c>
      <c r="H10">
        <f>SUMIF(ConfirmedRaw!$B:$B,$A10,ConfirmedRaw!K:K)</f>
        <v>0</v>
      </c>
      <c r="I10">
        <f>SUMIF(ConfirmedRaw!$B:$B,$A10,ConfirmedRaw!L:L)</f>
        <v>0</v>
      </c>
      <c r="J10">
        <f>SUMIF(ConfirmedRaw!$B:$B,$A10,ConfirmedRaw!M:M)</f>
        <v>0</v>
      </c>
      <c r="K10">
        <f>SUMIF(ConfirmedRaw!$B:$B,$A10,ConfirmedRaw!N:N)</f>
        <v>0</v>
      </c>
      <c r="L10">
        <f>SUMIF(ConfirmedRaw!$B:$B,$A10,ConfirmedRaw!O:O)</f>
        <v>0</v>
      </c>
      <c r="M10">
        <f>SUMIF(ConfirmedRaw!$B:$B,$A10,ConfirmedRaw!P:P)</f>
        <v>0</v>
      </c>
      <c r="N10">
        <f>SUMIF(ConfirmedRaw!$B:$B,$A10,ConfirmedRaw!Q:Q)</f>
        <v>0</v>
      </c>
      <c r="O10">
        <f>SUMIF(ConfirmedRaw!$B:$B,$A10,ConfirmedRaw!R:R)</f>
        <v>0</v>
      </c>
      <c r="P10">
        <f>SUMIF(ConfirmedRaw!$B:$B,$A10,ConfirmedRaw!S:S)</f>
        <v>0</v>
      </c>
      <c r="Q10">
        <f>SUMIF(ConfirmedRaw!$B:$B,$A10,ConfirmedRaw!T:T)</f>
        <v>0</v>
      </c>
      <c r="R10">
        <f>SUMIF(ConfirmedRaw!$B:$B,$A10,ConfirmedRaw!U:U)</f>
        <v>0</v>
      </c>
      <c r="S10">
        <f>SUMIF(ConfirmedRaw!$B:$B,$A10,ConfirmedRaw!V:V)</f>
        <v>0</v>
      </c>
      <c r="T10">
        <f>SUMIF(ConfirmedRaw!$B:$B,$A10,ConfirmedRaw!W:W)</f>
        <v>0</v>
      </c>
      <c r="U10">
        <f>SUMIF(ConfirmedRaw!$B:$B,$A10,ConfirmedRaw!X:X)</f>
        <v>0</v>
      </c>
      <c r="V10">
        <f>SUMIF(ConfirmedRaw!$B:$B,$A10,ConfirmedRaw!Y:Y)</f>
        <v>0</v>
      </c>
      <c r="W10">
        <f>SUMIF(ConfirmedRaw!$B:$B,$A10,ConfirmedRaw!Z:Z)</f>
        <v>0</v>
      </c>
      <c r="X10">
        <f>SUMIF(ConfirmedRaw!$B:$B,$A10,ConfirmedRaw!AA:AA)</f>
        <v>0</v>
      </c>
      <c r="Y10">
        <f>SUMIF(ConfirmedRaw!$B:$B,$A10,ConfirmedRaw!AB:AB)</f>
        <v>0</v>
      </c>
      <c r="Z10">
        <f>SUMIF(ConfirmedRaw!$B:$B,$A10,ConfirmedRaw!AC:AC)</f>
        <v>0</v>
      </c>
      <c r="AA10">
        <f>SUMIF(ConfirmedRaw!$B:$B,$A10,ConfirmedRaw!AD:AD)</f>
        <v>0</v>
      </c>
      <c r="AB10">
        <f>SUMIF(ConfirmedRaw!$B:$B,$A10,ConfirmedRaw!AE:AE)</f>
        <v>0</v>
      </c>
      <c r="AC10">
        <f>SUMIF(ConfirmedRaw!$B:$B,$A10,ConfirmedRaw!AF:AF)</f>
        <v>0</v>
      </c>
      <c r="AD10">
        <f>SUMIF(ConfirmedRaw!$B:$B,$A10,ConfirmedRaw!AG:AG)</f>
        <v>0</v>
      </c>
      <c r="AE10">
        <f>SUMIF(ConfirmedRaw!$B:$B,$A10,ConfirmedRaw!AH:AH)</f>
        <v>0</v>
      </c>
      <c r="AF10">
        <f>SUMIF(ConfirmedRaw!$B:$B,$A10,ConfirmedRaw!AI:AI)</f>
        <v>0</v>
      </c>
      <c r="AG10">
        <f>SUMIF(ConfirmedRaw!$B:$B,$A10,ConfirmedRaw!AJ:AJ)</f>
        <v>0</v>
      </c>
      <c r="AH10">
        <f>SUMIF(ConfirmedRaw!$B:$B,$A10,ConfirmedRaw!AK:AK)</f>
        <v>0</v>
      </c>
      <c r="AI10">
        <f>SUMIF(ConfirmedRaw!$B:$B,$A10,ConfirmedRaw!AL:AL)</f>
        <v>0</v>
      </c>
      <c r="AJ10">
        <f>SUMIF(ConfirmedRaw!$B:$B,$A10,ConfirmedRaw!AM:AM)</f>
        <v>1</v>
      </c>
      <c r="AK10">
        <f>SUMIF(ConfirmedRaw!$B:$B,$A10,ConfirmedRaw!AN:AN)</f>
        <v>1</v>
      </c>
      <c r="AL10">
        <f>SUMIF(ConfirmedRaw!$B:$B,$A10,ConfirmedRaw!AO:AO)</f>
        <v>8</v>
      </c>
      <c r="AM10">
        <f>SUMIF(ConfirmedRaw!$B:$B,$A10,ConfirmedRaw!AP:AP)</f>
        <v>8</v>
      </c>
      <c r="AN10">
        <f>SUMIF(ConfirmedRaw!$B:$B,$A10,ConfirmedRaw!AQ:AQ)</f>
        <v>18</v>
      </c>
      <c r="AO10">
        <f>SUMIF(ConfirmedRaw!$B:$B,$A10,ConfirmedRaw!AR:AR)</f>
        <v>27</v>
      </c>
      <c r="AP10">
        <f>SUMIF(ConfirmedRaw!$B:$B,$A10,ConfirmedRaw!AS:AS)</f>
        <v>42</v>
      </c>
      <c r="AQ10">
        <f>SUMIF(ConfirmedRaw!$B:$B,$A10,ConfirmedRaw!AT:AT)</f>
        <v>56</v>
      </c>
      <c r="AR10">
        <f>SUMIF(ConfirmedRaw!$B:$B,$A10,ConfirmedRaw!AU:AU)</f>
        <v>90</v>
      </c>
      <c r="AS10">
        <f>SUMIF(ConfirmedRaw!$B:$B,$A10,ConfirmedRaw!AV:AV)</f>
        <v>114</v>
      </c>
      <c r="AT10">
        <f>SUMIF(ConfirmedRaw!$B:$B,$A10,ConfirmedRaw!AW:AW)</f>
        <v>214</v>
      </c>
      <c r="AU10">
        <f>SUMIF(ConfirmedRaw!$B:$B,$A10,ConfirmedRaw!AX:AX)</f>
        <v>268</v>
      </c>
      <c r="AV10">
        <f>SUMIF(ConfirmedRaw!$B:$B,$A10,ConfirmedRaw!AY:AY)</f>
        <v>337</v>
      </c>
      <c r="AW10">
        <f>SUMIF(ConfirmedRaw!$B:$B,$A10,ConfirmedRaw!AZ:AZ)</f>
        <v>374</v>
      </c>
      <c r="AX10">
        <f>SUMIF(ConfirmedRaw!$B:$B,$A10,ConfirmedRaw!BA:BA)</f>
        <v>491</v>
      </c>
      <c r="AY10">
        <f>SUMIF(ConfirmedRaw!$B:$B,$A10,ConfirmedRaw!BB:BB)</f>
        <v>652</v>
      </c>
      <c r="AZ10">
        <f>SUMIF(ConfirmedRaw!$B:$B,$A10,ConfirmedRaw!BC:BC)</f>
        <v>652</v>
      </c>
      <c r="BA10">
        <f>SUMIF(ConfirmedRaw!$B:$B,$A10,ConfirmedRaw!BD:BD)</f>
        <v>1139</v>
      </c>
      <c r="BB10">
        <f>SUMIF(ConfirmedRaw!$B:$B,$A10,ConfirmedRaw!BE:BE)</f>
        <v>1359</v>
      </c>
      <c r="BC10">
        <f>SUMIF(ConfirmedRaw!$B:$B,$A10,ConfirmedRaw!BF:BF)</f>
        <v>2200</v>
      </c>
      <c r="BD10">
        <f>SUMIF(ConfirmedRaw!$B:$B,$A10,ConfirmedRaw!BG:BG)</f>
        <v>2200</v>
      </c>
      <c r="BE10">
        <f>SUMIF(ConfirmedRaw!$B:$B,$A10,ConfirmedRaw!BH:BH)</f>
        <v>2700</v>
      </c>
      <c r="BF10">
        <f>SUMIF(ConfirmedRaw!$B:$B,$A10,ConfirmedRaw!BI:BI)</f>
        <v>3028</v>
      </c>
      <c r="BG10">
        <f>SUMIF(ConfirmedRaw!$B:$B,$A10,ConfirmedRaw!BJ:BJ)</f>
        <v>0</v>
      </c>
      <c r="BH10">
        <f>SUMIF(ConfirmedRaw!$B:$B,$A10,ConfirmedRaw!BK:BK)</f>
        <v>0</v>
      </c>
      <c r="BI10">
        <f>SUMIF(ConfirmedRaw!$B:$B,$A10,ConfirmedRaw!BL:BL)</f>
        <v>0</v>
      </c>
      <c r="BJ10">
        <f>SUMIF(ConfirmedRaw!$B:$B,$A10,ConfirmedRaw!BM:BM)</f>
        <v>0</v>
      </c>
      <c r="BK10">
        <f>SUMIF(ConfirmedRaw!$B:$B,$A10,ConfirmedRaw!BN:BN)</f>
        <v>0</v>
      </c>
      <c r="BL10">
        <f>SUMIF(ConfirmedRaw!$B:$B,$A10,ConfirmedRaw!BO:BO)</f>
        <v>0</v>
      </c>
      <c r="BM10">
        <f>SUMIF(ConfirmedRaw!$B:$B,$A10,ConfirmedRaw!BP:BP)</f>
        <v>0</v>
      </c>
      <c r="BN10">
        <f>SUMIF(ConfirmedRaw!$B:$B,$A10,ConfirmedRaw!BQ:BQ)</f>
        <v>0</v>
      </c>
      <c r="BO10">
        <f>SUMIF(ConfirmedRaw!$B:$B,$A10,ConfirmedRaw!BR:BR)</f>
        <v>0</v>
      </c>
      <c r="BP10">
        <f>SUMIF(ConfirmedRaw!$B:$B,$A10,ConfirmedRaw!BS:BS)</f>
        <v>0</v>
      </c>
      <c r="BQ10">
        <f>SUMIF(ConfirmedRaw!$B:$B,$A10,ConfirmedRaw!BT:BT)</f>
        <v>0</v>
      </c>
      <c r="BR10">
        <f>SUMIF(ConfirmedRaw!$B:$B,$A10,ConfirmedRaw!BU:BU)</f>
        <v>0</v>
      </c>
      <c r="BS10">
        <f>SUMIF(ConfirmedRaw!$B:$B,$A10,ConfirmedRaw!BV:BV)</f>
        <v>0</v>
      </c>
      <c r="BT10">
        <f>SUMIF(ConfirmedRaw!$B:$B,$A10,ConfirmedRaw!BW:BW)</f>
        <v>0</v>
      </c>
    </row>
    <row r="11" spans="1:72" ht="15" thickBot="1" x14ac:dyDescent="0.35">
      <c r="A11" s="4" t="s">
        <v>85</v>
      </c>
      <c r="B11">
        <f>SUMIF(ConfirmedRaw!$B:$B,$A11,ConfirmedRaw!E:E)</f>
        <v>0</v>
      </c>
      <c r="C11">
        <f>SUMIF(ConfirmedRaw!$B:$B,$A11,ConfirmedRaw!F:F)</f>
        <v>0</v>
      </c>
      <c r="D11">
        <f>SUMIF(ConfirmedRaw!$B:$B,$A11,ConfirmedRaw!G:G)</f>
        <v>0</v>
      </c>
      <c r="E11">
        <f>SUMIF(ConfirmedRaw!$B:$B,$A11,ConfirmedRaw!H:H)</f>
        <v>0</v>
      </c>
      <c r="F11">
        <f>SUMIF(ConfirmedRaw!$B:$B,$A11,ConfirmedRaw!I:I)</f>
        <v>0</v>
      </c>
      <c r="G11">
        <f>SUMIF(ConfirmedRaw!$B:$B,$A11,ConfirmedRaw!J:J)</f>
        <v>0</v>
      </c>
      <c r="H11">
        <f>SUMIF(ConfirmedRaw!$B:$B,$A11,ConfirmedRaw!K:K)</f>
        <v>0</v>
      </c>
      <c r="I11">
        <f>SUMIF(ConfirmedRaw!$B:$B,$A11,ConfirmedRaw!L:L)</f>
        <v>0</v>
      </c>
      <c r="J11">
        <f>SUMIF(ConfirmedRaw!$B:$B,$A11,ConfirmedRaw!M:M)</f>
        <v>0</v>
      </c>
      <c r="K11">
        <f>SUMIF(ConfirmedRaw!$B:$B,$A11,ConfirmedRaw!N:N)</f>
        <v>0</v>
      </c>
      <c r="L11">
        <f>SUMIF(ConfirmedRaw!$B:$B,$A11,ConfirmedRaw!O:O)</f>
        <v>0</v>
      </c>
      <c r="M11">
        <f>SUMIF(ConfirmedRaw!$B:$B,$A11,ConfirmedRaw!P:P)</f>
        <v>0</v>
      </c>
      <c r="N11">
        <f>SUMIF(ConfirmedRaw!$B:$B,$A11,ConfirmedRaw!Q:Q)</f>
        <v>0</v>
      </c>
      <c r="O11">
        <f>SUMIF(ConfirmedRaw!$B:$B,$A11,ConfirmedRaw!R:R)</f>
        <v>0</v>
      </c>
      <c r="P11">
        <f>SUMIF(ConfirmedRaw!$B:$B,$A11,ConfirmedRaw!S:S)</f>
        <v>0</v>
      </c>
      <c r="Q11">
        <f>SUMIF(ConfirmedRaw!$B:$B,$A11,ConfirmedRaw!T:T)</f>
        <v>0</v>
      </c>
      <c r="R11">
        <f>SUMIF(ConfirmedRaw!$B:$B,$A11,ConfirmedRaw!U:U)</f>
        <v>0</v>
      </c>
      <c r="S11">
        <f>SUMIF(ConfirmedRaw!$B:$B,$A11,ConfirmedRaw!V:V)</f>
        <v>0</v>
      </c>
      <c r="T11">
        <f>SUMIF(ConfirmedRaw!$B:$B,$A11,ConfirmedRaw!W:W)</f>
        <v>0</v>
      </c>
      <c r="U11">
        <f>SUMIF(ConfirmedRaw!$B:$B,$A11,ConfirmedRaw!X:X)</f>
        <v>0</v>
      </c>
      <c r="V11">
        <f>SUMIF(ConfirmedRaw!$B:$B,$A11,ConfirmedRaw!Y:Y)</f>
        <v>0</v>
      </c>
      <c r="W11">
        <f>SUMIF(ConfirmedRaw!$B:$B,$A11,ConfirmedRaw!Z:Z)</f>
        <v>0</v>
      </c>
      <c r="X11">
        <f>SUMIF(ConfirmedRaw!$B:$B,$A11,ConfirmedRaw!AA:AA)</f>
        <v>0</v>
      </c>
      <c r="Y11">
        <f>SUMIF(ConfirmedRaw!$B:$B,$A11,ConfirmedRaw!AB:AB)</f>
        <v>0</v>
      </c>
      <c r="Z11">
        <f>SUMIF(ConfirmedRaw!$B:$B,$A11,ConfirmedRaw!AC:AC)</f>
        <v>0</v>
      </c>
      <c r="AA11">
        <f>SUMIF(ConfirmedRaw!$B:$B,$A11,ConfirmedRaw!AD:AD)</f>
        <v>0</v>
      </c>
      <c r="AB11">
        <f>SUMIF(ConfirmedRaw!$B:$B,$A11,ConfirmedRaw!AE:AE)</f>
        <v>0</v>
      </c>
      <c r="AC11">
        <f>SUMIF(ConfirmedRaw!$B:$B,$A11,ConfirmedRaw!AF:AF)</f>
        <v>0</v>
      </c>
      <c r="AD11">
        <f>SUMIF(ConfirmedRaw!$B:$B,$A11,ConfirmedRaw!AG:AG)</f>
        <v>0</v>
      </c>
      <c r="AE11">
        <f>SUMIF(ConfirmedRaw!$B:$B,$A11,ConfirmedRaw!AH:AH)</f>
        <v>0</v>
      </c>
      <c r="AF11">
        <f>SUMIF(ConfirmedRaw!$B:$B,$A11,ConfirmedRaw!AI:AI)</f>
        <v>0</v>
      </c>
      <c r="AG11">
        <f>SUMIF(ConfirmedRaw!$B:$B,$A11,ConfirmedRaw!AJ:AJ)</f>
        <v>0</v>
      </c>
      <c r="AH11">
        <f>SUMIF(ConfirmedRaw!$B:$B,$A11,ConfirmedRaw!AK:AK)</f>
        <v>0</v>
      </c>
      <c r="AI11">
        <f>SUMIF(ConfirmedRaw!$B:$B,$A11,ConfirmedRaw!AL:AL)</f>
        <v>0</v>
      </c>
      <c r="AJ11">
        <f>SUMIF(ConfirmedRaw!$B:$B,$A11,ConfirmedRaw!AM:AM)</f>
        <v>0</v>
      </c>
      <c r="AK11">
        <f>SUMIF(ConfirmedRaw!$B:$B,$A11,ConfirmedRaw!AN:AN)</f>
        <v>1</v>
      </c>
      <c r="AL11">
        <f>SUMIF(ConfirmedRaw!$B:$B,$A11,ConfirmedRaw!AO:AO)</f>
        <v>1</v>
      </c>
      <c r="AM11">
        <f>SUMIF(ConfirmedRaw!$B:$B,$A11,ConfirmedRaw!AP:AP)</f>
        <v>6</v>
      </c>
      <c r="AN11">
        <f>SUMIF(ConfirmedRaw!$B:$B,$A11,ConfirmedRaw!AQ:AQ)</f>
        <v>15</v>
      </c>
      <c r="AO11">
        <f>SUMIF(ConfirmedRaw!$B:$B,$A11,ConfirmedRaw!AR:AR)</f>
        <v>19</v>
      </c>
      <c r="AP11">
        <f>SUMIF(ConfirmedRaw!$B:$B,$A11,ConfirmedRaw!AS:AS)</f>
        <v>25</v>
      </c>
      <c r="AQ11">
        <f>SUMIF(ConfirmedRaw!$B:$B,$A11,ConfirmedRaw!AT:AT)</f>
        <v>32</v>
      </c>
      <c r="AR11">
        <f>SUMIF(ConfirmedRaw!$B:$B,$A11,ConfirmedRaw!AU:AU)</f>
        <v>56</v>
      </c>
      <c r="AS11">
        <f>SUMIF(ConfirmedRaw!$B:$B,$A11,ConfirmedRaw!AV:AV)</f>
        <v>87</v>
      </c>
      <c r="AT11">
        <f>SUMIF(ConfirmedRaw!$B:$B,$A11,ConfirmedRaw!AW:AW)</f>
        <v>108</v>
      </c>
      <c r="AU11">
        <f>SUMIF(ConfirmedRaw!$B:$B,$A11,ConfirmedRaw!AX:AX)</f>
        <v>147</v>
      </c>
      <c r="AV11">
        <f>SUMIF(ConfirmedRaw!$B:$B,$A11,ConfirmedRaw!AY:AY)</f>
        <v>176</v>
      </c>
      <c r="AW11">
        <f>SUMIF(ConfirmedRaw!$B:$B,$A11,ConfirmedRaw!AZ:AZ)</f>
        <v>205</v>
      </c>
      <c r="AX11">
        <f>SUMIF(ConfirmedRaw!$B:$B,$A11,ConfirmedRaw!BA:BA)</f>
        <v>400</v>
      </c>
      <c r="AY11">
        <f>SUMIF(ConfirmedRaw!$B:$B,$A11,ConfirmedRaw!BB:BB)</f>
        <v>598</v>
      </c>
      <c r="AZ11">
        <f>SUMIF(ConfirmedRaw!$B:$B,$A11,ConfirmedRaw!BC:BC)</f>
        <v>702</v>
      </c>
      <c r="BA11">
        <f>SUMIF(ConfirmedRaw!$B:$B,$A11,ConfirmedRaw!BD:BD)</f>
        <v>996</v>
      </c>
      <c r="BB11">
        <f>SUMIF(ConfirmedRaw!$B:$B,$A11,ConfirmedRaw!BE:BE)</f>
        <v>1090</v>
      </c>
      <c r="BC11">
        <f>SUMIF(ConfirmedRaw!$B:$B,$A11,ConfirmedRaw!BF:BF)</f>
        <v>1221</v>
      </c>
      <c r="BD11">
        <f>SUMIF(ConfirmedRaw!$B:$B,$A11,ConfirmedRaw!BG:BG)</f>
        <v>1333</v>
      </c>
      <c r="BE11">
        <f>SUMIF(ConfirmedRaw!$B:$B,$A11,ConfirmedRaw!BH:BH)</f>
        <v>1463</v>
      </c>
      <c r="BF11">
        <f>SUMIF(ConfirmedRaw!$B:$B,$A11,ConfirmedRaw!BI:BI)</f>
        <v>1550</v>
      </c>
      <c r="BG11">
        <f>SUMIF(ConfirmedRaw!$B:$B,$A11,ConfirmedRaw!BJ:BJ)</f>
        <v>0</v>
      </c>
      <c r="BH11">
        <f>SUMIF(ConfirmedRaw!$B:$B,$A11,ConfirmedRaw!BK:BK)</f>
        <v>0</v>
      </c>
      <c r="BI11">
        <f>SUMIF(ConfirmedRaw!$B:$B,$A11,ConfirmedRaw!BL:BL)</f>
        <v>0</v>
      </c>
      <c r="BJ11">
        <f>SUMIF(ConfirmedRaw!$B:$B,$A11,ConfirmedRaw!BM:BM)</f>
        <v>0</v>
      </c>
      <c r="BK11">
        <f>SUMIF(ConfirmedRaw!$B:$B,$A11,ConfirmedRaw!BN:BN)</f>
        <v>0</v>
      </c>
      <c r="BL11">
        <f>SUMIF(ConfirmedRaw!$B:$B,$A11,ConfirmedRaw!BO:BO)</f>
        <v>0</v>
      </c>
      <c r="BM11">
        <f>SUMIF(ConfirmedRaw!$B:$B,$A11,ConfirmedRaw!BP:BP)</f>
        <v>0</v>
      </c>
      <c r="BN11">
        <f>SUMIF(ConfirmedRaw!$B:$B,$A11,ConfirmedRaw!BQ:BQ)</f>
        <v>0</v>
      </c>
      <c r="BO11">
        <f>SUMIF(ConfirmedRaw!$B:$B,$A11,ConfirmedRaw!BR:BR)</f>
        <v>0</v>
      </c>
      <c r="BP11">
        <f>SUMIF(ConfirmedRaw!$B:$B,$A11,ConfirmedRaw!BS:BS)</f>
        <v>0</v>
      </c>
      <c r="BQ11">
        <f>SUMIF(ConfirmedRaw!$B:$B,$A11,ConfirmedRaw!BT:BT)</f>
        <v>0</v>
      </c>
      <c r="BR11">
        <f>SUMIF(ConfirmedRaw!$B:$B,$A11,ConfirmedRaw!BU:BU)</f>
        <v>0</v>
      </c>
      <c r="BS11">
        <f>SUMIF(ConfirmedRaw!$B:$B,$A11,ConfirmedRaw!BV:BV)</f>
        <v>0</v>
      </c>
      <c r="BT11">
        <f>SUMIF(ConfirmedRaw!$B:$B,$A11,ConfirmedRaw!BW:BW)</f>
        <v>0</v>
      </c>
    </row>
    <row r="12" spans="1:72" ht="15" thickBot="1" x14ac:dyDescent="0.35">
      <c r="A12" s="4" t="s">
        <v>59</v>
      </c>
      <c r="B12">
        <f>SUMIF(ConfirmedRaw!$B:$B,$A12,ConfirmedRaw!E:E)</f>
        <v>0</v>
      </c>
      <c r="C12">
        <f>SUMIF(ConfirmedRaw!$B:$B,$A12,ConfirmedRaw!F:F)</f>
        <v>0</v>
      </c>
      <c r="D12">
        <f>SUMIF(ConfirmedRaw!$B:$B,$A12,ConfirmedRaw!G:G)</f>
        <v>0</v>
      </c>
      <c r="E12">
        <f>SUMIF(ConfirmedRaw!$B:$B,$A12,ConfirmedRaw!H:H)</f>
        <v>0</v>
      </c>
      <c r="F12">
        <f>SUMIF(ConfirmedRaw!$B:$B,$A12,ConfirmedRaw!I:I)</f>
        <v>0</v>
      </c>
      <c r="G12">
        <f>SUMIF(ConfirmedRaw!$B:$B,$A12,ConfirmedRaw!J:J)</f>
        <v>0</v>
      </c>
      <c r="H12">
        <f>SUMIF(ConfirmedRaw!$B:$B,$A12,ConfirmedRaw!K:K)</f>
        <v>0</v>
      </c>
      <c r="I12">
        <f>SUMIF(ConfirmedRaw!$B:$B,$A12,ConfirmedRaw!L:L)</f>
        <v>0</v>
      </c>
      <c r="J12">
        <f>SUMIF(ConfirmedRaw!$B:$B,$A12,ConfirmedRaw!M:M)</f>
        <v>0</v>
      </c>
      <c r="K12">
        <f>SUMIF(ConfirmedRaw!$B:$B,$A12,ConfirmedRaw!N:N)</f>
        <v>1</v>
      </c>
      <c r="L12">
        <f>SUMIF(ConfirmedRaw!$B:$B,$A12,ConfirmedRaw!O:O)</f>
        <v>1</v>
      </c>
      <c r="M12">
        <f>SUMIF(ConfirmedRaw!$B:$B,$A12,ConfirmedRaw!P:P)</f>
        <v>1</v>
      </c>
      <c r="N12">
        <f>SUMIF(ConfirmedRaw!$B:$B,$A12,ConfirmedRaw!Q:Q)</f>
        <v>1</v>
      </c>
      <c r="O12">
        <f>SUMIF(ConfirmedRaw!$B:$B,$A12,ConfirmedRaw!R:R)</f>
        <v>1</v>
      </c>
      <c r="P12">
        <f>SUMIF(ConfirmedRaw!$B:$B,$A12,ConfirmedRaw!S:S)</f>
        <v>1</v>
      </c>
      <c r="Q12">
        <f>SUMIF(ConfirmedRaw!$B:$B,$A12,ConfirmedRaw!T:T)</f>
        <v>1</v>
      </c>
      <c r="R12">
        <f>SUMIF(ConfirmedRaw!$B:$B,$A12,ConfirmedRaw!U:U)</f>
        <v>1</v>
      </c>
      <c r="S12">
        <f>SUMIF(ConfirmedRaw!$B:$B,$A12,ConfirmedRaw!V:V)</f>
        <v>1</v>
      </c>
      <c r="T12">
        <f>SUMIF(ConfirmedRaw!$B:$B,$A12,ConfirmedRaw!W:W)</f>
        <v>1</v>
      </c>
      <c r="U12">
        <f>SUMIF(ConfirmedRaw!$B:$B,$A12,ConfirmedRaw!X:X)</f>
        <v>1</v>
      </c>
      <c r="V12">
        <f>SUMIF(ConfirmedRaw!$B:$B,$A12,ConfirmedRaw!Y:Y)</f>
        <v>1</v>
      </c>
      <c r="W12">
        <f>SUMIF(ConfirmedRaw!$B:$B,$A12,ConfirmedRaw!Z:Z)</f>
        <v>1</v>
      </c>
      <c r="X12">
        <f>SUMIF(ConfirmedRaw!$B:$B,$A12,ConfirmedRaw!AA:AA)</f>
        <v>1</v>
      </c>
      <c r="Y12">
        <f>SUMIF(ConfirmedRaw!$B:$B,$A12,ConfirmedRaw!AB:AB)</f>
        <v>1</v>
      </c>
      <c r="Z12">
        <f>SUMIF(ConfirmedRaw!$B:$B,$A12,ConfirmedRaw!AC:AC)</f>
        <v>1</v>
      </c>
      <c r="AA12">
        <f>SUMIF(ConfirmedRaw!$B:$B,$A12,ConfirmedRaw!AD:AD)</f>
        <v>1</v>
      </c>
      <c r="AB12">
        <f>SUMIF(ConfirmedRaw!$B:$B,$A12,ConfirmedRaw!AE:AE)</f>
        <v>1</v>
      </c>
      <c r="AC12">
        <f>SUMIF(ConfirmedRaw!$B:$B,$A12,ConfirmedRaw!AF:AF)</f>
        <v>1</v>
      </c>
      <c r="AD12">
        <f>SUMIF(ConfirmedRaw!$B:$B,$A12,ConfirmedRaw!AG:AG)</f>
        <v>1</v>
      </c>
      <c r="AE12">
        <f>SUMIF(ConfirmedRaw!$B:$B,$A12,ConfirmedRaw!AH:AH)</f>
        <v>1</v>
      </c>
      <c r="AF12">
        <f>SUMIF(ConfirmedRaw!$B:$B,$A12,ConfirmedRaw!AI:AI)</f>
        <v>1</v>
      </c>
      <c r="AG12">
        <f>SUMIF(ConfirmedRaw!$B:$B,$A12,ConfirmedRaw!AJ:AJ)</f>
        <v>1</v>
      </c>
      <c r="AH12">
        <f>SUMIF(ConfirmedRaw!$B:$B,$A12,ConfirmedRaw!AK:AK)</f>
        <v>1</v>
      </c>
      <c r="AI12">
        <f>SUMIF(ConfirmedRaw!$B:$B,$A12,ConfirmedRaw!AL:AL)</f>
        <v>1</v>
      </c>
      <c r="AJ12">
        <f>SUMIF(ConfirmedRaw!$B:$B,$A12,ConfirmedRaw!AM:AM)</f>
        <v>1</v>
      </c>
      <c r="AK12">
        <f>SUMIF(ConfirmedRaw!$B:$B,$A12,ConfirmedRaw!AN:AN)</f>
        <v>2</v>
      </c>
      <c r="AL12">
        <f>SUMIF(ConfirmedRaw!$B:$B,$A12,ConfirmedRaw!AO:AO)</f>
        <v>7</v>
      </c>
      <c r="AM12">
        <f>SUMIF(ConfirmedRaw!$B:$B,$A12,ConfirmedRaw!AP:AP)</f>
        <v>7</v>
      </c>
      <c r="AN12">
        <f>SUMIF(ConfirmedRaw!$B:$B,$A12,ConfirmedRaw!AQ:AQ)</f>
        <v>12</v>
      </c>
      <c r="AO12">
        <f>SUMIF(ConfirmedRaw!$B:$B,$A12,ConfirmedRaw!AR:AR)</f>
        <v>14</v>
      </c>
      <c r="AP12">
        <f>SUMIF(ConfirmedRaw!$B:$B,$A12,ConfirmedRaw!AS:AS)</f>
        <v>15</v>
      </c>
      <c r="AQ12">
        <f>SUMIF(ConfirmedRaw!$B:$B,$A12,ConfirmedRaw!AT:AT)</f>
        <v>21</v>
      </c>
      <c r="AR12">
        <f>SUMIF(ConfirmedRaw!$B:$B,$A12,ConfirmedRaw!AU:AU)</f>
        <v>35</v>
      </c>
      <c r="AS12">
        <f>SUMIF(ConfirmedRaw!$B:$B,$A12,ConfirmedRaw!AV:AV)</f>
        <v>94</v>
      </c>
      <c r="AT12">
        <f>SUMIF(ConfirmedRaw!$B:$B,$A12,ConfirmedRaw!AW:AW)</f>
        <v>101</v>
      </c>
      <c r="AU12">
        <f>SUMIF(ConfirmedRaw!$B:$B,$A12,ConfirmedRaw!AX:AX)</f>
        <v>161</v>
      </c>
      <c r="AV12">
        <f>SUMIF(ConfirmedRaw!$B:$B,$A12,ConfirmedRaw!AY:AY)</f>
        <v>203</v>
      </c>
      <c r="AW12">
        <f>SUMIF(ConfirmedRaw!$B:$B,$A12,ConfirmedRaw!AZ:AZ)</f>
        <v>248</v>
      </c>
      <c r="AX12">
        <f>SUMIF(ConfirmedRaw!$B:$B,$A12,ConfirmedRaw!BA:BA)</f>
        <v>355</v>
      </c>
      <c r="AY12">
        <f>SUMIF(ConfirmedRaw!$B:$B,$A12,ConfirmedRaw!BB:BB)</f>
        <v>500</v>
      </c>
      <c r="AZ12">
        <f>SUMIF(ConfirmedRaw!$B:$B,$A12,ConfirmedRaw!BC:BC)</f>
        <v>599</v>
      </c>
      <c r="BA12">
        <f>SUMIF(ConfirmedRaw!$B:$B,$A12,ConfirmedRaw!BD:BD)</f>
        <v>814</v>
      </c>
      <c r="BB12">
        <f>SUMIF(ConfirmedRaw!$B:$B,$A12,ConfirmedRaw!BE:BE)</f>
        <v>961</v>
      </c>
      <c r="BC12">
        <f>SUMIF(ConfirmedRaw!$B:$B,$A12,ConfirmedRaw!BF:BF)</f>
        <v>1022</v>
      </c>
      <c r="BD12">
        <f>SUMIF(ConfirmedRaw!$B:$B,$A12,ConfirmedRaw!BG:BG)</f>
        <v>1103</v>
      </c>
      <c r="BE12">
        <f>SUMIF(ConfirmedRaw!$B:$B,$A12,ConfirmedRaw!BH:BH)</f>
        <v>1190</v>
      </c>
      <c r="BF12">
        <f>SUMIF(ConfirmedRaw!$B:$B,$A12,ConfirmedRaw!BI:BI)</f>
        <v>1279</v>
      </c>
      <c r="BG12">
        <f>SUMIF(ConfirmedRaw!$B:$B,$A12,ConfirmedRaw!BJ:BJ)</f>
        <v>0</v>
      </c>
      <c r="BH12">
        <f>SUMIF(ConfirmedRaw!$B:$B,$A12,ConfirmedRaw!BK:BK)</f>
        <v>0</v>
      </c>
      <c r="BI12">
        <f>SUMIF(ConfirmedRaw!$B:$B,$A12,ConfirmedRaw!BL:BL)</f>
        <v>0</v>
      </c>
      <c r="BJ12">
        <f>SUMIF(ConfirmedRaw!$B:$B,$A12,ConfirmedRaw!BM:BM)</f>
        <v>0</v>
      </c>
      <c r="BK12">
        <f>SUMIF(ConfirmedRaw!$B:$B,$A12,ConfirmedRaw!BN:BN)</f>
        <v>0</v>
      </c>
      <c r="BL12">
        <f>SUMIF(ConfirmedRaw!$B:$B,$A12,ConfirmedRaw!BO:BO)</f>
        <v>0</v>
      </c>
      <c r="BM12">
        <f>SUMIF(ConfirmedRaw!$B:$B,$A12,ConfirmedRaw!BP:BP)</f>
        <v>0</v>
      </c>
      <c r="BN12">
        <f>SUMIF(ConfirmedRaw!$B:$B,$A12,ConfirmedRaw!BQ:BQ)</f>
        <v>0</v>
      </c>
      <c r="BO12">
        <f>SUMIF(ConfirmedRaw!$B:$B,$A12,ConfirmedRaw!BR:BR)</f>
        <v>0</v>
      </c>
      <c r="BP12">
        <f>SUMIF(ConfirmedRaw!$B:$B,$A12,ConfirmedRaw!BS:BS)</f>
        <v>0</v>
      </c>
      <c r="BQ12">
        <f>SUMIF(ConfirmedRaw!$B:$B,$A12,ConfirmedRaw!BT:BT)</f>
        <v>0</v>
      </c>
      <c r="BR12">
        <f>SUMIF(ConfirmedRaw!$B:$B,$A12,ConfirmedRaw!BU:BU)</f>
        <v>0</v>
      </c>
      <c r="BS12">
        <f>SUMIF(ConfirmedRaw!$B:$B,$A12,ConfirmedRaw!BV:BV)</f>
        <v>0</v>
      </c>
      <c r="BT12">
        <f>SUMIF(ConfirmedRaw!$B:$B,$A12,ConfirmedRaw!BW:BW)</f>
        <v>0</v>
      </c>
    </row>
    <row r="13" spans="1:72" ht="15" thickBot="1" x14ac:dyDescent="0.35">
      <c r="A13" s="3" t="s">
        <v>87</v>
      </c>
      <c r="B13">
        <f>SUMIF(ConfirmedRaw!$B:$B,$A13,ConfirmedRaw!E:E)</f>
        <v>0</v>
      </c>
      <c r="C13">
        <f>SUMIF(ConfirmedRaw!$B:$B,$A13,ConfirmedRaw!F:F)</f>
        <v>0</v>
      </c>
      <c r="D13">
        <f>SUMIF(ConfirmedRaw!$B:$B,$A13,ConfirmedRaw!G:G)</f>
        <v>0</v>
      </c>
      <c r="E13">
        <f>SUMIF(ConfirmedRaw!$B:$B,$A13,ConfirmedRaw!H:H)</f>
        <v>0</v>
      </c>
      <c r="F13">
        <f>SUMIF(ConfirmedRaw!$B:$B,$A13,ConfirmedRaw!I:I)</f>
        <v>0</v>
      </c>
      <c r="G13">
        <f>SUMIF(ConfirmedRaw!$B:$B,$A13,ConfirmedRaw!J:J)</f>
        <v>0</v>
      </c>
      <c r="H13">
        <f>SUMIF(ConfirmedRaw!$B:$B,$A13,ConfirmedRaw!K:K)</f>
        <v>0</v>
      </c>
      <c r="I13">
        <f>SUMIF(ConfirmedRaw!$B:$B,$A13,ConfirmedRaw!L:L)</f>
        <v>0</v>
      </c>
      <c r="J13">
        <f>SUMIF(ConfirmedRaw!$B:$B,$A13,ConfirmedRaw!M:M)</f>
        <v>0</v>
      </c>
      <c r="K13">
        <f>SUMIF(ConfirmedRaw!$B:$B,$A13,ConfirmedRaw!N:N)</f>
        <v>0</v>
      </c>
      <c r="L13">
        <f>SUMIF(ConfirmedRaw!$B:$B,$A13,ConfirmedRaw!O:O)</f>
        <v>0</v>
      </c>
      <c r="M13">
        <f>SUMIF(ConfirmedRaw!$B:$B,$A13,ConfirmedRaw!P:P)</f>
        <v>0</v>
      </c>
      <c r="N13">
        <f>SUMIF(ConfirmedRaw!$B:$B,$A13,ConfirmedRaw!Q:Q)</f>
        <v>0</v>
      </c>
      <c r="O13">
        <f>SUMIF(ConfirmedRaw!$B:$B,$A13,ConfirmedRaw!R:R)</f>
        <v>0</v>
      </c>
      <c r="P13">
        <f>SUMIF(ConfirmedRaw!$B:$B,$A13,ConfirmedRaw!S:S)</f>
        <v>0</v>
      </c>
      <c r="Q13">
        <f>SUMIF(ConfirmedRaw!$B:$B,$A13,ConfirmedRaw!T:T)</f>
        <v>0</v>
      </c>
      <c r="R13">
        <f>SUMIF(ConfirmedRaw!$B:$B,$A13,ConfirmedRaw!U:U)</f>
        <v>0</v>
      </c>
      <c r="S13">
        <f>SUMIF(ConfirmedRaw!$B:$B,$A13,ConfirmedRaw!V:V)</f>
        <v>0</v>
      </c>
      <c r="T13">
        <f>SUMIF(ConfirmedRaw!$B:$B,$A13,ConfirmedRaw!W:W)</f>
        <v>0</v>
      </c>
      <c r="U13">
        <f>SUMIF(ConfirmedRaw!$B:$B,$A13,ConfirmedRaw!X:X)</f>
        <v>0</v>
      </c>
      <c r="V13">
        <f>SUMIF(ConfirmedRaw!$B:$B,$A13,ConfirmedRaw!Y:Y)</f>
        <v>0</v>
      </c>
      <c r="W13">
        <f>SUMIF(ConfirmedRaw!$B:$B,$A13,ConfirmedRaw!Z:Z)</f>
        <v>0</v>
      </c>
      <c r="X13">
        <f>SUMIF(ConfirmedRaw!$B:$B,$A13,ConfirmedRaw!AA:AA)</f>
        <v>0</v>
      </c>
      <c r="Y13">
        <f>SUMIF(ConfirmedRaw!$B:$B,$A13,ConfirmedRaw!AB:AB)</f>
        <v>0</v>
      </c>
      <c r="Z13">
        <f>SUMIF(ConfirmedRaw!$B:$B,$A13,ConfirmedRaw!AC:AC)</f>
        <v>0</v>
      </c>
      <c r="AA13">
        <f>SUMIF(ConfirmedRaw!$B:$B,$A13,ConfirmedRaw!AD:AD)</f>
        <v>0</v>
      </c>
      <c r="AB13">
        <f>SUMIF(ConfirmedRaw!$B:$B,$A13,ConfirmedRaw!AE:AE)</f>
        <v>0</v>
      </c>
      <c r="AC13">
        <f>SUMIF(ConfirmedRaw!$B:$B,$A13,ConfirmedRaw!AF:AF)</f>
        <v>0</v>
      </c>
      <c r="AD13">
        <f>SUMIF(ConfirmedRaw!$B:$B,$A13,ConfirmedRaw!AG:AG)</f>
        <v>0</v>
      </c>
      <c r="AE13">
        <f>SUMIF(ConfirmedRaw!$B:$B,$A13,ConfirmedRaw!AH:AH)</f>
        <v>0</v>
      </c>
      <c r="AF13">
        <f>SUMIF(ConfirmedRaw!$B:$B,$A13,ConfirmedRaw!AI:AI)</f>
        <v>0</v>
      </c>
      <c r="AG13">
        <f>SUMIF(ConfirmedRaw!$B:$B,$A13,ConfirmedRaw!AJ:AJ)</f>
        <v>0</v>
      </c>
      <c r="AH13">
        <f>SUMIF(ConfirmedRaw!$B:$B,$A13,ConfirmedRaw!AK:AK)</f>
        <v>0</v>
      </c>
      <c r="AI13">
        <f>SUMIF(ConfirmedRaw!$B:$B,$A13,ConfirmedRaw!AL:AL)</f>
        <v>0</v>
      </c>
      <c r="AJ13">
        <f>SUMIF(ConfirmedRaw!$B:$B,$A13,ConfirmedRaw!AM:AM)</f>
        <v>0</v>
      </c>
      <c r="AK13">
        <f>SUMIF(ConfirmedRaw!$B:$B,$A13,ConfirmedRaw!AN:AN)</f>
        <v>0</v>
      </c>
      <c r="AL13">
        <f>SUMIF(ConfirmedRaw!$B:$B,$A13,ConfirmedRaw!AO:AO)</f>
        <v>1</v>
      </c>
      <c r="AM13">
        <f>SUMIF(ConfirmedRaw!$B:$B,$A13,ConfirmedRaw!AP:AP)</f>
        <v>1</v>
      </c>
      <c r="AN13">
        <f>SUMIF(ConfirmedRaw!$B:$B,$A13,ConfirmedRaw!AQ:AQ)</f>
        <v>3</v>
      </c>
      <c r="AO13">
        <f>SUMIF(ConfirmedRaw!$B:$B,$A13,ConfirmedRaw!AR:AR)</f>
        <v>4</v>
      </c>
      <c r="AP13">
        <f>SUMIF(ConfirmedRaw!$B:$B,$A13,ConfirmedRaw!AS:AS)</f>
        <v>4</v>
      </c>
      <c r="AQ13">
        <f>SUMIF(ConfirmedRaw!$B:$B,$A13,ConfirmedRaw!AT:AT)</f>
        <v>6</v>
      </c>
      <c r="AR13">
        <f>SUMIF(ConfirmedRaw!$B:$B,$A13,ConfirmedRaw!AU:AU)</f>
        <v>11</v>
      </c>
      <c r="AS13">
        <f>SUMIF(ConfirmedRaw!$B:$B,$A13,ConfirmedRaw!AV:AV)</f>
        <v>11</v>
      </c>
      <c r="AT13">
        <f>SUMIF(ConfirmedRaw!$B:$B,$A13,ConfirmedRaw!AW:AW)</f>
        <v>24</v>
      </c>
      <c r="AU13">
        <f>SUMIF(ConfirmedRaw!$B:$B,$A13,ConfirmedRaw!AX:AX)</f>
        <v>24</v>
      </c>
      <c r="AV13">
        <f>SUMIF(ConfirmedRaw!$B:$B,$A13,ConfirmedRaw!AY:AY)</f>
        <v>37</v>
      </c>
      <c r="AW13">
        <f>SUMIF(ConfirmedRaw!$B:$B,$A13,ConfirmedRaw!AZ:AZ)</f>
        <v>92</v>
      </c>
      <c r="AX13">
        <f>SUMIF(ConfirmedRaw!$B:$B,$A13,ConfirmedRaw!BA:BA)</f>
        <v>264</v>
      </c>
      <c r="AY13">
        <f>SUMIF(ConfirmedRaw!$B:$B,$A13,ConfirmedRaw!BB:BB)</f>
        <v>444</v>
      </c>
      <c r="AZ13">
        <f>SUMIF(ConfirmedRaw!$B:$B,$A13,ConfirmedRaw!BC:BC)</f>
        <v>617</v>
      </c>
      <c r="BA13">
        <f>SUMIF(ConfirmedRaw!$B:$B,$A13,ConfirmedRaw!BD:BD)</f>
        <v>804</v>
      </c>
      <c r="BB13">
        <f>SUMIF(ConfirmedRaw!$B:$B,$A13,ConfirmedRaw!BE:BE)</f>
        <v>836</v>
      </c>
      <c r="BC13">
        <f>SUMIF(ConfirmedRaw!$B:$B,$A13,ConfirmedRaw!BF:BF)</f>
        <v>875</v>
      </c>
      <c r="BD13">
        <f>SUMIF(ConfirmedRaw!$B:$B,$A13,ConfirmedRaw!BG:BG)</f>
        <v>932</v>
      </c>
      <c r="BE13">
        <f>SUMIF(ConfirmedRaw!$B:$B,$A13,ConfirmedRaw!BH:BH)</f>
        <v>1024</v>
      </c>
      <c r="BF13">
        <f>SUMIF(ConfirmedRaw!$B:$B,$A13,ConfirmedRaw!BI:BI)</f>
        <v>1115</v>
      </c>
      <c r="BG13">
        <f>SUMIF(ConfirmedRaw!$B:$B,$A13,ConfirmedRaw!BJ:BJ)</f>
        <v>0</v>
      </c>
      <c r="BH13">
        <f>SUMIF(ConfirmedRaw!$B:$B,$A13,ConfirmedRaw!BK:BK)</f>
        <v>0</v>
      </c>
      <c r="BI13">
        <f>SUMIF(ConfirmedRaw!$B:$B,$A13,ConfirmedRaw!BL:BL)</f>
        <v>0</v>
      </c>
      <c r="BJ13">
        <f>SUMIF(ConfirmedRaw!$B:$B,$A13,ConfirmedRaw!BM:BM)</f>
        <v>0</v>
      </c>
      <c r="BK13">
        <f>SUMIF(ConfirmedRaw!$B:$B,$A13,ConfirmedRaw!BN:BN)</f>
        <v>0</v>
      </c>
      <c r="BL13">
        <f>SUMIF(ConfirmedRaw!$B:$B,$A13,ConfirmedRaw!BO:BO)</f>
        <v>0</v>
      </c>
      <c r="BM13">
        <f>SUMIF(ConfirmedRaw!$B:$B,$A13,ConfirmedRaw!BP:BP)</f>
        <v>0</v>
      </c>
      <c r="BN13">
        <f>SUMIF(ConfirmedRaw!$B:$B,$A13,ConfirmedRaw!BQ:BQ)</f>
        <v>0</v>
      </c>
      <c r="BO13">
        <f>SUMIF(ConfirmedRaw!$B:$B,$A13,ConfirmedRaw!BR:BR)</f>
        <v>0</v>
      </c>
      <c r="BP13">
        <f>SUMIF(ConfirmedRaw!$B:$B,$A13,ConfirmedRaw!BS:BS)</f>
        <v>0</v>
      </c>
      <c r="BQ13">
        <f>SUMIF(ConfirmedRaw!$B:$B,$A13,ConfirmedRaw!BT:BT)</f>
        <v>0</v>
      </c>
      <c r="BR13">
        <f>SUMIF(ConfirmedRaw!$B:$B,$A13,ConfirmedRaw!BU:BU)</f>
        <v>0</v>
      </c>
      <c r="BS13">
        <f>SUMIF(ConfirmedRaw!$B:$B,$A13,ConfirmedRaw!BV:BV)</f>
        <v>0</v>
      </c>
      <c r="BT13">
        <f>SUMIF(ConfirmedRaw!$B:$B,$A13,ConfirmedRaw!BW:BW)</f>
        <v>0</v>
      </c>
    </row>
    <row r="14" spans="1:72" ht="15" thickBot="1" x14ac:dyDescent="0.35">
      <c r="A14" s="3" t="s">
        <v>89</v>
      </c>
      <c r="B14">
        <f>SUMIF(ConfirmedRaw!$B:$B,$A14,ConfirmedRaw!E:E)</f>
        <v>0</v>
      </c>
      <c r="C14">
        <f>SUMIF(ConfirmedRaw!$B:$B,$A14,ConfirmedRaw!F:F)</f>
        <v>0</v>
      </c>
      <c r="D14">
        <f>SUMIF(ConfirmedRaw!$B:$B,$A14,ConfirmedRaw!G:G)</f>
        <v>0</v>
      </c>
      <c r="E14">
        <f>SUMIF(ConfirmedRaw!$B:$B,$A14,ConfirmedRaw!H:H)</f>
        <v>0</v>
      </c>
      <c r="F14">
        <f>SUMIF(ConfirmedRaw!$B:$B,$A14,ConfirmedRaw!I:I)</f>
        <v>0</v>
      </c>
      <c r="G14">
        <f>SUMIF(ConfirmedRaw!$B:$B,$A14,ConfirmedRaw!J:J)</f>
        <v>0</v>
      </c>
      <c r="H14">
        <f>SUMIF(ConfirmedRaw!$B:$B,$A14,ConfirmedRaw!K:K)</f>
        <v>0</v>
      </c>
      <c r="I14">
        <f>SUMIF(ConfirmedRaw!$B:$B,$A14,ConfirmedRaw!L:L)</f>
        <v>0</v>
      </c>
      <c r="J14">
        <f>SUMIF(ConfirmedRaw!$B:$B,$A14,ConfirmedRaw!M:M)</f>
        <v>0</v>
      </c>
      <c r="K14">
        <f>SUMIF(ConfirmedRaw!$B:$B,$A14,ConfirmedRaw!N:N)</f>
        <v>0</v>
      </c>
      <c r="L14">
        <f>SUMIF(ConfirmedRaw!$B:$B,$A14,ConfirmedRaw!O:O)</f>
        <v>0</v>
      </c>
      <c r="M14">
        <f>SUMIF(ConfirmedRaw!$B:$B,$A14,ConfirmedRaw!P:P)</f>
        <v>0</v>
      </c>
      <c r="N14">
        <f>SUMIF(ConfirmedRaw!$B:$B,$A14,ConfirmedRaw!Q:Q)</f>
        <v>0</v>
      </c>
      <c r="O14">
        <f>SUMIF(ConfirmedRaw!$B:$B,$A14,ConfirmedRaw!R:R)</f>
        <v>0</v>
      </c>
      <c r="P14">
        <f>SUMIF(ConfirmedRaw!$B:$B,$A14,ConfirmedRaw!S:S)</f>
        <v>0</v>
      </c>
      <c r="Q14">
        <f>SUMIF(ConfirmedRaw!$B:$B,$A14,ConfirmedRaw!T:T)</f>
        <v>0</v>
      </c>
      <c r="R14">
        <f>SUMIF(ConfirmedRaw!$B:$B,$A14,ConfirmedRaw!U:U)</f>
        <v>0</v>
      </c>
      <c r="S14">
        <f>SUMIF(ConfirmedRaw!$B:$B,$A14,ConfirmedRaw!V:V)</f>
        <v>0</v>
      </c>
      <c r="T14">
        <f>SUMIF(ConfirmedRaw!$B:$B,$A14,ConfirmedRaw!W:W)</f>
        <v>0</v>
      </c>
      <c r="U14">
        <f>SUMIF(ConfirmedRaw!$B:$B,$A14,ConfirmedRaw!X:X)</f>
        <v>0</v>
      </c>
      <c r="V14">
        <f>SUMIF(ConfirmedRaw!$B:$B,$A14,ConfirmedRaw!Y:Y)</f>
        <v>0</v>
      </c>
      <c r="W14">
        <f>SUMIF(ConfirmedRaw!$B:$B,$A14,ConfirmedRaw!Z:Z)</f>
        <v>0</v>
      </c>
      <c r="X14">
        <f>SUMIF(ConfirmedRaw!$B:$B,$A14,ConfirmedRaw!AA:AA)</f>
        <v>0</v>
      </c>
      <c r="Y14">
        <f>SUMIF(ConfirmedRaw!$B:$B,$A14,ConfirmedRaw!AB:AB)</f>
        <v>0</v>
      </c>
      <c r="Z14">
        <f>SUMIF(ConfirmedRaw!$B:$B,$A14,ConfirmedRaw!AC:AC)</f>
        <v>0</v>
      </c>
      <c r="AA14">
        <f>SUMIF(ConfirmedRaw!$B:$B,$A14,ConfirmedRaw!AD:AD)</f>
        <v>0</v>
      </c>
      <c r="AB14">
        <f>SUMIF(ConfirmedRaw!$B:$B,$A14,ConfirmedRaw!AE:AE)</f>
        <v>0</v>
      </c>
      <c r="AC14">
        <f>SUMIF(ConfirmedRaw!$B:$B,$A14,ConfirmedRaw!AF:AF)</f>
        <v>0</v>
      </c>
      <c r="AD14">
        <f>SUMIF(ConfirmedRaw!$B:$B,$A14,ConfirmedRaw!AG:AG)</f>
        <v>0</v>
      </c>
      <c r="AE14">
        <f>SUMIF(ConfirmedRaw!$B:$B,$A14,ConfirmedRaw!AH:AH)</f>
        <v>0</v>
      </c>
      <c r="AF14">
        <f>SUMIF(ConfirmedRaw!$B:$B,$A14,ConfirmedRaw!AI:AI)</f>
        <v>0</v>
      </c>
      <c r="AG14">
        <f>SUMIF(ConfirmedRaw!$B:$B,$A14,ConfirmedRaw!AJ:AJ)</f>
        <v>0</v>
      </c>
      <c r="AH14">
        <f>SUMIF(ConfirmedRaw!$B:$B,$A14,ConfirmedRaw!AK:AK)</f>
        <v>0</v>
      </c>
      <c r="AI14">
        <f>SUMIF(ConfirmedRaw!$B:$B,$A14,ConfirmedRaw!AL:AL)</f>
        <v>0</v>
      </c>
      <c r="AJ14">
        <f>SUMIF(ConfirmedRaw!$B:$B,$A14,ConfirmedRaw!AM:AM)</f>
        <v>0</v>
      </c>
      <c r="AK14">
        <f>SUMIF(ConfirmedRaw!$B:$B,$A14,ConfirmedRaw!AN:AN)</f>
        <v>0</v>
      </c>
      <c r="AL14">
        <f>SUMIF(ConfirmedRaw!$B:$B,$A14,ConfirmedRaw!AO:AO)</f>
        <v>1</v>
      </c>
      <c r="AM14">
        <f>SUMIF(ConfirmedRaw!$B:$B,$A14,ConfirmedRaw!AP:AP)</f>
        <v>1</v>
      </c>
      <c r="AN14">
        <f>SUMIF(ConfirmedRaw!$B:$B,$A14,ConfirmedRaw!AQ:AQ)</f>
        <v>6</v>
      </c>
      <c r="AO14">
        <f>SUMIF(ConfirmedRaw!$B:$B,$A14,ConfirmedRaw!AR:AR)</f>
        <v>10</v>
      </c>
      <c r="AP14">
        <f>SUMIF(ConfirmedRaw!$B:$B,$A14,ConfirmedRaw!AS:AS)</f>
        <v>18</v>
      </c>
      <c r="AQ14">
        <f>SUMIF(ConfirmedRaw!$B:$B,$A14,ConfirmedRaw!AT:AT)</f>
        <v>24</v>
      </c>
      <c r="AR14">
        <f>SUMIF(ConfirmedRaw!$B:$B,$A14,ConfirmedRaw!AU:AU)</f>
        <v>38</v>
      </c>
      <c r="AS14">
        <f>SUMIF(ConfirmedRaw!$B:$B,$A14,ConfirmedRaw!AV:AV)</f>
        <v>82</v>
      </c>
      <c r="AT14">
        <f>SUMIF(ConfirmedRaw!$B:$B,$A14,ConfirmedRaw!AW:AW)</f>
        <v>128</v>
      </c>
      <c r="AU14">
        <f>SUMIF(ConfirmedRaw!$B:$B,$A14,ConfirmedRaw!AX:AX)</f>
        <v>188</v>
      </c>
      <c r="AV14">
        <f>SUMIF(ConfirmedRaw!$B:$B,$A14,ConfirmedRaw!AY:AY)</f>
        <v>265</v>
      </c>
      <c r="AW14">
        <f>SUMIF(ConfirmedRaw!$B:$B,$A14,ConfirmedRaw!AZ:AZ)</f>
        <v>321</v>
      </c>
      <c r="AX14">
        <f>SUMIF(ConfirmedRaw!$B:$B,$A14,ConfirmedRaw!BA:BA)</f>
        <v>382</v>
      </c>
      <c r="AY14">
        <f>SUMIF(ConfirmedRaw!$B:$B,$A14,ConfirmedRaw!BB:BB)</f>
        <v>503</v>
      </c>
      <c r="AZ14">
        <f>SUMIF(ConfirmedRaw!$B:$B,$A14,ConfirmedRaw!BC:BC)</f>
        <v>503</v>
      </c>
      <c r="BA14">
        <f>SUMIF(ConfirmedRaw!$B:$B,$A14,ConfirmedRaw!BD:BD)</f>
        <v>806</v>
      </c>
      <c r="BB14">
        <f>SUMIF(ConfirmedRaw!$B:$B,$A14,ConfirmedRaw!BE:BE)</f>
        <v>962</v>
      </c>
      <c r="BC14">
        <f>SUMIF(ConfirmedRaw!$B:$B,$A14,ConfirmedRaw!BF:BF)</f>
        <v>1138</v>
      </c>
      <c r="BD14">
        <f>SUMIF(ConfirmedRaw!$B:$B,$A14,ConfirmedRaw!BG:BG)</f>
        <v>1416</v>
      </c>
      <c r="BE14">
        <f>SUMIF(ConfirmedRaw!$B:$B,$A14,ConfirmedRaw!BH:BH)</f>
        <v>1711</v>
      </c>
      <c r="BF14">
        <f>SUMIF(ConfirmedRaw!$B:$B,$A14,ConfirmedRaw!BI:BI)</f>
        <v>2058</v>
      </c>
      <c r="BG14">
        <f>SUMIF(ConfirmedRaw!$B:$B,$A14,ConfirmedRaw!BJ:BJ)</f>
        <v>0</v>
      </c>
      <c r="BH14">
        <f>SUMIF(ConfirmedRaw!$B:$B,$A14,ConfirmedRaw!BK:BK)</f>
        <v>0</v>
      </c>
      <c r="BI14">
        <f>SUMIF(ConfirmedRaw!$B:$B,$A14,ConfirmedRaw!BL:BL)</f>
        <v>0</v>
      </c>
      <c r="BJ14">
        <f>SUMIF(ConfirmedRaw!$B:$B,$A14,ConfirmedRaw!BM:BM)</f>
        <v>0</v>
      </c>
      <c r="BK14">
        <f>SUMIF(ConfirmedRaw!$B:$B,$A14,ConfirmedRaw!BN:BN)</f>
        <v>0</v>
      </c>
      <c r="BL14">
        <f>SUMIF(ConfirmedRaw!$B:$B,$A14,ConfirmedRaw!BO:BO)</f>
        <v>0</v>
      </c>
      <c r="BM14">
        <f>SUMIF(ConfirmedRaw!$B:$B,$A14,ConfirmedRaw!BP:BP)</f>
        <v>0</v>
      </c>
      <c r="BN14">
        <f>SUMIF(ConfirmedRaw!$B:$B,$A14,ConfirmedRaw!BQ:BQ)</f>
        <v>0</v>
      </c>
      <c r="BO14">
        <f>SUMIF(ConfirmedRaw!$B:$B,$A14,ConfirmedRaw!BR:BR)</f>
        <v>0</v>
      </c>
      <c r="BP14">
        <f>SUMIF(ConfirmedRaw!$B:$B,$A14,ConfirmedRaw!BS:BS)</f>
        <v>0</v>
      </c>
      <c r="BQ14">
        <f>SUMIF(ConfirmedRaw!$B:$B,$A14,ConfirmedRaw!BT:BT)</f>
        <v>0</v>
      </c>
      <c r="BR14">
        <f>SUMIF(ConfirmedRaw!$B:$B,$A14,ConfirmedRaw!BU:BU)</f>
        <v>0</v>
      </c>
      <c r="BS14">
        <f>SUMIF(ConfirmedRaw!$B:$B,$A14,ConfirmedRaw!BV:BV)</f>
        <v>0</v>
      </c>
      <c r="BT14">
        <f>SUMIF(ConfirmedRaw!$B:$B,$A14,ConfirmedRaw!BW:BW)</f>
        <v>0</v>
      </c>
    </row>
    <row r="15" spans="1:72" ht="15" thickBot="1" x14ac:dyDescent="0.35">
      <c r="A15" s="3" t="s">
        <v>349</v>
      </c>
      <c r="B15">
        <f>SUMIF(ConfirmedRaw!$B:$B,$A15,ConfirmedRaw!E:E)</f>
        <v>0</v>
      </c>
      <c r="C15">
        <f>SUMIF(ConfirmedRaw!$B:$B,$A15,ConfirmedRaw!F:F)</f>
        <v>0</v>
      </c>
      <c r="D15">
        <f>SUMIF(ConfirmedRaw!$B:$B,$A15,ConfirmedRaw!G:G)</f>
        <v>0</v>
      </c>
      <c r="E15">
        <f>SUMIF(ConfirmedRaw!$B:$B,$A15,ConfirmedRaw!H:H)</f>
        <v>0</v>
      </c>
      <c r="F15">
        <f>SUMIF(ConfirmedRaw!$B:$B,$A15,ConfirmedRaw!I:I)</f>
        <v>0</v>
      </c>
      <c r="G15">
        <f>SUMIF(ConfirmedRaw!$B:$B,$A15,ConfirmedRaw!J:J)</f>
        <v>0</v>
      </c>
      <c r="H15">
        <f>SUMIF(ConfirmedRaw!$B:$B,$A15,ConfirmedRaw!K:K)</f>
        <v>0</v>
      </c>
      <c r="I15">
        <f>SUMIF(ConfirmedRaw!$B:$B,$A15,ConfirmedRaw!L:L)</f>
        <v>0</v>
      </c>
      <c r="J15">
        <f>SUMIF(ConfirmedRaw!$B:$B,$A15,ConfirmedRaw!M:M)</f>
        <v>0</v>
      </c>
      <c r="K15">
        <f>SUMIF(ConfirmedRaw!$B:$B,$A15,ConfirmedRaw!N:N)</f>
        <v>2</v>
      </c>
      <c r="L15">
        <f>SUMIF(ConfirmedRaw!$B:$B,$A15,ConfirmedRaw!O:O)</f>
        <v>2</v>
      </c>
      <c r="M15">
        <f>SUMIF(ConfirmedRaw!$B:$B,$A15,ConfirmedRaw!P:P)</f>
        <v>2</v>
      </c>
      <c r="N15">
        <f>SUMIF(ConfirmedRaw!$B:$B,$A15,ConfirmedRaw!Q:Q)</f>
        <v>2</v>
      </c>
      <c r="O15">
        <f>SUMIF(ConfirmedRaw!$B:$B,$A15,ConfirmedRaw!R:R)</f>
        <v>2</v>
      </c>
      <c r="P15">
        <f>SUMIF(ConfirmedRaw!$B:$B,$A15,ConfirmedRaw!S:S)</f>
        <v>2</v>
      </c>
      <c r="Q15">
        <f>SUMIF(ConfirmedRaw!$B:$B,$A15,ConfirmedRaw!T:T)</f>
        <v>2</v>
      </c>
      <c r="R15">
        <f>SUMIF(ConfirmedRaw!$B:$B,$A15,ConfirmedRaw!U:U)</f>
        <v>3</v>
      </c>
      <c r="S15">
        <f>SUMIF(ConfirmedRaw!$B:$B,$A15,ConfirmedRaw!V:V)</f>
        <v>3</v>
      </c>
      <c r="T15">
        <f>SUMIF(ConfirmedRaw!$B:$B,$A15,ConfirmedRaw!W:W)</f>
        <v>3</v>
      </c>
      <c r="U15">
        <f>SUMIF(ConfirmedRaw!$B:$B,$A15,ConfirmedRaw!X:X)</f>
        <v>8</v>
      </c>
      <c r="V15">
        <f>SUMIF(ConfirmedRaw!$B:$B,$A15,ConfirmedRaw!Y:Y)</f>
        <v>8</v>
      </c>
      <c r="W15">
        <f>SUMIF(ConfirmedRaw!$B:$B,$A15,ConfirmedRaw!Z:Z)</f>
        <v>9</v>
      </c>
      <c r="X15">
        <f>SUMIF(ConfirmedRaw!$B:$B,$A15,ConfirmedRaw!AA:AA)</f>
        <v>9</v>
      </c>
      <c r="Y15">
        <f>SUMIF(ConfirmedRaw!$B:$B,$A15,ConfirmedRaw!AB:AB)</f>
        <v>9</v>
      </c>
      <c r="Z15">
        <f>SUMIF(ConfirmedRaw!$B:$B,$A15,ConfirmedRaw!AC:AC)</f>
        <v>9</v>
      </c>
      <c r="AA15">
        <f>SUMIF(ConfirmedRaw!$B:$B,$A15,ConfirmedRaw!AD:AD)</f>
        <v>9</v>
      </c>
      <c r="AB15">
        <f>SUMIF(ConfirmedRaw!$B:$B,$A15,ConfirmedRaw!AE:AE)</f>
        <v>9</v>
      </c>
      <c r="AC15">
        <f>SUMIF(ConfirmedRaw!$B:$B,$A15,ConfirmedRaw!AF:AF)</f>
        <v>9</v>
      </c>
      <c r="AD15">
        <f>SUMIF(ConfirmedRaw!$B:$B,$A15,ConfirmedRaw!AG:AG)</f>
        <v>9</v>
      </c>
      <c r="AE15">
        <f>SUMIF(ConfirmedRaw!$B:$B,$A15,ConfirmedRaw!AH:AH)</f>
        <v>9</v>
      </c>
      <c r="AF15">
        <f>SUMIF(ConfirmedRaw!$B:$B,$A15,ConfirmedRaw!AI:AI)</f>
        <v>9</v>
      </c>
      <c r="AG15">
        <f>SUMIF(ConfirmedRaw!$B:$B,$A15,ConfirmedRaw!AJ:AJ)</f>
        <v>9</v>
      </c>
      <c r="AH15">
        <f>SUMIF(ConfirmedRaw!$B:$B,$A15,ConfirmedRaw!AK:AK)</f>
        <v>9</v>
      </c>
      <c r="AI15">
        <f>SUMIF(ConfirmedRaw!$B:$B,$A15,ConfirmedRaw!AL:AL)</f>
        <v>13</v>
      </c>
      <c r="AJ15">
        <f>SUMIF(ConfirmedRaw!$B:$B,$A15,ConfirmedRaw!AM:AM)</f>
        <v>13</v>
      </c>
      <c r="AK15">
        <f>SUMIF(ConfirmedRaw!$B:$B,$A15,ConfirmedRaw!AN:AN)</f>
        <v>13</v>
      </c>
      <c r="AL15">
        <f>SUMIF(ConfirmedRaw!$B:$B,$A15,ConfirmedRaw!AO:AO)</f>
        <v>15</v>
      </c>
      <c r="AM15">
        <f>SUMIF(ConfirmedRaw!$B:$B,$A15,ConfirmedRaw!AP:AP)</f>
        <v>20</v>
      </c>
      <c r="AN15">
        <f>SUMIF(ConfirmedRaw!$B:$B,$A15,ConfirmedRaw!AQ:AQ)</f>
        <v>23</v>
      </c>
      <c r="AO15">
        <f>SUMIF(ConfirmedRaw!$B:$B,$A15,ConfirmedRaw!AR:AR)</f>
        <v>36</v>
      </c>
      <c r="AP15">
        <f>SUMIF(ConfirmedRaw!$B:$B,$A15,ConfirmedRaw!AS:AS)</f>
        <v>40</v>
      </c>
      <c r="AQ15">
        <f>SUMIF(ConfirmedRaw!$B:$B,$A15,ConfirmedRaw!AT:AT)</f>
        <v>51</v>
      </c>
      <c r="AR15">
        <f>SUMIF(ConfirmedRaw!$B:$B,$A15,ConfirmedRaw!AU:AU)</f>
        <v>86</v>
      </c>
      <c r="AS15">
        <f>SUMIF(ConfirmedRaw!$B:$B,$A15,ConfirmedRaw!AV:AV)</f>
        <v>116</v>
      </c>
      <c r="AT15">
        <f>SUMIF(ConfirmedRaw!$B:$B,$A15,ConfirmedRaw!AW:AW)</f>
        <v>164</v>
      </c>
      <c r="AU15">
        <f>SUMIF(ConfirmedRaw!$B:$B,$A15,ConfirmedRaw!AX:AX)</f>
        <v>207</v>
      </c>
      <c r="AV15">
        <f>SUMIF(ConfirmedRaw!$B:$B,$A15,ConfirmedRaw!AY:AY)</f>
        <v>274</v>
      </c>
      <c r="AW15">
        <f>SUMIF(ConfirmedRaw!$B:$B,$A15,ConfirmedRaw!AZ:AZ)</f>
        <v>322</v>
      </c>
      <c r="AX15">
        <f>SUMIF(ConfirmedRaw!$B:$B,$A15,ConfirmedRaw!BA:BA)</f>
        <v>384</v>
      </c>
      <c r="AY15">
        <f>SUMIF(ConfirmedRaw!$B:$B,$A15,ConfirmedRaw!BB:BB)</f>
        <v>459</v>
      </c>
      <c r="AZ15">
        <v>590</v>
      </c>
      <c r="BA15">
        <f>SUMIF(ConfirmedRaw!$B:$B,$A15,ConfirmedRaw!BD:BD)</f>
        <v>802</v>
      </c>
      <c r="BB15">
        <f>SUMIF(ConfirmedRaw!$B:$B,$A15,ConfirmedRaw!BE:BE)</f>
        <v>1144</v>
      </c>
      <c r="BC15">
        <v>1355</v>
      </c>
      <c r="BD15">
        <f>SUMIF(ConfirmedRaw!$B:$B,$A15,ConfirmedRaw!BG:BG)</f>
        <v>1551</v>
      </c>
      <c r="BE15">
        <f>SUMIF(ConfirmedRaw!$B:$B,$A15,ConfirmedRaw!BH:BH)</f>
        <v>1960</v>
      </c>
      <c r="BF15">
        <f>SUMIF(ConfirmedRaw!$B:$B,$A15,ConfirmedRaw!BI:BI)</f>
        <v>2642</v>
      </c>
      <c r="BG15">
        <f>SUMIF(ConfirmedRaw!$B:$B,$A15,ConfirmedRaw!BJ:BJ)</f>
        <v>0</v>
      </c>
      <c r="BH15">
        <f>SUMIF(ConfirmedRaw!$B:$B,$A15,ConfirmedRaw!BK:BK)</f>
        <v>0</v>
      </c>
      <c r="BI15">
        <f>SUMIF(ConfirmedRaw!$B:$B,$A15,ConfirmedRaw!BL:BL)</f>
        <v>0</v>
      </c>
      <c r="BJ15">
        <f>SUMIF(ConfirmedRaw!$B:$B,$A15,ConfirmedRaw!BM:BM)</f>
        <v>0</v>
      </c>
      <c r="BK15">
        <f>SUMIF(ConfirmedRaw!$B:$B,$A15,ConfirmedRaw!BN:BN)</f>
        <v>0</v>
      </c>
      <c r="BL15">
        <f>SUMIF(ConfirmedRaw!$B:$B,$A15,ConfirmedRaw!BO:BO)</f>
        <v>0</v>
      </c>
      <c r="BM15">
        <f>SUMIF(ConfirmedRaw!$B:$B,$A15,ConfirmedRaw!BP:BP)</f>
        <v>0</v>
      </c>
      <c r="BN15">
        <f>SUMIF(ConfirmedRaw!$B:$B,$A15,ConfirmedRaw!BQ:BQ)</f>
        <v>0</v>
      </c>
      <c r="BO15">
        <f>SUMIF(ConfirmedRaw!$B:$B,$A15,ConfirmedRaw!BR:BR)</f>
        <v>0</v>
      </c>
      <c r="BP15">
        <f>SUMIF(ConfirmedRaw!$B:$B,$A15,ConfirmedRaw!BS:BS)</f>
        <v>0</v>
      </c>
      <c r="BQ15">
        <f>SUMIF(ConfirmedRaw!$B:$B,$A15,ConfirmedRaw!BT:BT)</f>
        <v>0</v>
      </c>
      <c r="BR15">
        <f>SUMIF(ConfirmedRaw!$B:$B,$A15,ConfirmedRaw!BU:BU)</f>
        <v>0</v>
      </c>
      <c r="BS15">
        <f>SUMIF(ConfirmedRaw!$B:$B,$A15,ConfirmedRaw!BV:BV)</f>
        <v>0</v>
      </c>
      <c r="BT15">
        <f>SUMIF(ConfirmedRaw!$B:$B,$A15,ConfirmedRaw!BW:BW)</f>
        <v>0</v>
      </c>
    </row>
    <row r="16" spans="1:72" ht="15" thickBot="1" x14ac:dyDescent="0.35">
      <c r="A16" s="4" t="s">
        <v>36</v>
      </c>
      <c r="B16">
        <f>SUMIF(ConfirmedRaw!$B:$B,$A16,ConfirmedRaw!E:E)</f>
        <v>2</v>
      </c>
      <c r="C16">
        <f>SUMIF(ConfirmedRaw!$B:$B,$A16,ConfirmedRaw!F:F)</f>
        <v>1</v>
      </c>
      <c r="D16">
        <f>SUMIF(ConfirmedRaw!$B:$B,$A16,ConfirmedRaw!G:G)</f>
        <v>2</v>
      </c>
      <c r="E16">
        <f>SUMIF(ConfirmedRaw!$B:$B,$A16,ConfirmedRaw!H:H)</f>
        <v>2</v>
      </c>
      <c r="F16">
        <f>SUMIF(ConfirmedRaw!$B:$B,$A16,ConfirmedRaw!I:I)</f>
        <v>4</v>
      </c>
      <c r="G16">
        <f>SUMIF(ConfirmedRaw!$B:$B,$A16,ConfirmedRaw!J:J)</f>
        <v>4</v>
      </c>
      <c r="H16">
        <f>SUMIF(ConfirmedRaw!$B:$B,$A16,ConfirmedRaw!K:K)</f>
        <v>7</v>
      </c>
      <c r="I16">
        <f>SUMIF(ConfirmedRaw!$B:$B,$A16,ConfirmedRaw!L:L)</f>
        <v>7</v>
      </c>
      <c r="J16">
        <f>SUMIF(ConfirmedRaw!$B:$B,$A16,ConfirmedRaw!M:M)</f>
        <v>11</v>
      </c>
      <c r="K16">
        <f>SUMIF(ConfirmedRaw!$B:$B,$A16,ConfirmedRaw!N:N)</f>
        <v>15</v>
      </c>
      <c r="L16">
        <f>SUMIF(ConfirmedRaw!$B:$B,$A16,ConfirmedRaw!O:O)</f>
        <v>20</v>
      </c>
      <c r="M16">
        <f>SUMIF(ConfirmedRaw!$B:$B,$A16,ConfirmedRaw!P:P)</f>
        <v>20</v>
      </c>
      <c r="N16">
        <f>SUMIF(ConfirmedRaw!$B:$B,$A16,ConfirmedRaw!Q:Q)</f>
        <v>20</v>
      </c>
      <c r="O16">
        <f>SUMIF(ConfirmedRaw!$B:$B,$A16,ConfirmedRaw!R:R)</f>
        <v>22</v>
      </c>
      <c r="P16">
        <f>SUMIF(ConfirmedRaw!$B:$B,$A16,ConfirmedRaw!S:S)</f>
        <v>22</v>
      </c>
      <c r="Q16">
        <f>SUMIF(ConfirmedRaw!$B:$B,$A16,ConfirmedRaw!T:T)</f>
        <v>45</v>
      </c>
      <c r="R16">
        <f>SUMIF(ConfirmedRaw!$B:$B,$A16,ConfirmedRaw!U:U)</f>
        <v>25</v>
      </c>
      <c r="S16">
        <f>SUMIF(ConfirmedRaw!$B:$B,$A16,ConfirmedRaw!V:V)</f>
        <v>25</v>
      </c>
      <c r="T16">
        <f>SUMIF(ConfirmedRaw!$B:$B,$A16,ConfirmedRaw!W:W)</f>
        <v>26</v>
      </c>
      <c r="U16">
        <f>SUMIF(ConfirmedRaw!$B:$B,$A16,ConfirmedRaw!X:X)</f>
        <v>26</v>
      </c>
      <c r="V16">
        <f>SUMIF(ConfirmedRaw!$B:$B,$A16,ConfirmedRaw!Y:Y)</f>
        <v>26</v>
      </c>
      <c r="W16">
        <f>SUMIF(ConfirmedRaw!$B:$B,$A16,ConfirmedRaw!Z:Z)</f>
        <v>28</v>
      </c>
      <c r="X16">
        <f>SUMIF(ConfirmedRaw!$B:$B,$A16,ConfirmedRaw!AA:AA)</f>
        <v>28</v>
      </c>
      <c r="Y16">
        <f>SUMIF(ConfirmedRaw!$B:$B,$A16,ConfirmedRaw!AB:AB)</f>
        <v>29</v>
      </c>
      <c r="Z16">
        <f>SUMIF(ConfirmedRaw!$B:$B,$A16,ConfirmedRaw!AC:AC)</f>
        <v>43</v>
      </c>
      <c r="AA16">
        <f>SUMIF(ConfirmedRaw!$B:$B,$A16,ConfirmedRaw!AD:AD)</f>
        <v>59</v>
      </c>
      <c r="AB16">
        <f>SUMIF(ConfirmedRaw!$B:$B,$A16,ConfirmedRaw!AE:AE)</f>
        <v>66</v>
      </c>
      <c r="AC16">
        <f>SUMIF(ConfirmedRaw!$B:$B,$A16,ConfirmedRaw!AF:AF)</f>
        <v>74</v>
      </c>
      <c r="AD16">
        <f>SUMIF(ConfirmedRaw!$B:$B,$A16,ConfirmedRaw!AG:AG)</f>
        <v>84</v>
      </c>
      <c r="AE16">
        <f>SUMIF(ConfirmedRaw!$B:$B,$A16,ConfirmedRaw!AH:AH)</f>
        <v>94</v>
      </c>
      <c r="AF16">
        <f>SUMIF(ConfirmedRaw!$B:$B,$A16,ConfirmedRaw!AI:AI)</f>
        <v>105</v>
      </c>
      <c r="AG16">
        <f>SUMIF(ConfirmedRaw!$B:$B,$A16,ConfirmedRaw!AJ:AJ)</f>
        <v>122</v>
      </c>
      <c r="AH16">
        <f>SUMIF(ConfirmedRaw!$B:$B,$A16,ConfirmedRaw!AK:AK)</f>
        <v>147</v>
      </c>
      <c r="AI16">
        <f>SUMIF(ConfirmedRaw!$B:$B,$A16,ConfirmedRaw!AL:AL)</f>
        <v>159</v>
      </c>
      <c r="AJ16">
        <f>SUMIF(ConfirmedRaw!$B:$B,$A16,ConfirmedRaw!AM:AM)</f>
        <v>170</v>
      </c>
      <c r="AK16">
        <f>SUMIF(ConfirmedRaw!$B:$B,$A16,ConfirmedRaw!AN:AN)</f>
        <v>189</v>
      </c>
      <c r="AL16">
        <f>SUMIF(ConfirmedRaw!$B:$B,$A16,ConfirmedRaw!AO:AO)</f>
        <v>214</v>
      </c>
      <c r="AM16">
        <f>SUMIF(ConfirmedRaw!$B:$B,$A16,ConfirmedRaw!AP:AP)</f>
        <v>228</v>
      </c>
      <c r="AN16">
        <f>SUMIF(ConfirmedRaw!$B:$B,$A16,ConfirmedRaw!AQ:AQ)</f>
        <v>241</v>
      </c>
      <c r="AO16">
        <f>SUMIF(ConfirmedRaw!$B:$B,$A16,ConfirmedRaw!AR:AR)</f>
        <v>256</v>
      </c>
      <c r="AP16">
        <f>SUMIF(ConfirmedRaw!$B:$B,$A16,ConfirmedRaw!AS:AS)</f>
        <v>274</v>
      </c>
      <c r="AQ16">
        <f>SUMIF(ConfirmedRaw!$B:$B,$A16,ConfirmedRaw!AT:AT)</f>
        <v>293</v>
      </c>
      <c r="AR16">
        <f>SUMIF(ConfirmedRaw!$B:$B,$A16,ConfirmedRaw!AU:AU)</f>
        <v>331</v>
      </c>
      <c r="AS16">
        <f>SUMIF(ConfirmedRaw!$B:$B,$A16,ConfirmedRaw!AV:AV)</f>
        <v>360</v>
      </c>
      <c r="AT16">
        <f>SUMIF(ConfirmedRaw!$B:$B,$A16,ConfirmedRaw!AW:AW)</f>
        <v>420</v>
      </c>
      <c r="AU16">
        <f>SUMIF(ConfirmedRaw!$B:$B,$A16,ConfirmedRaw!AX:AX)</f>
        <v>461</v>
      </c>
      <c r="AV16">
        <f>SUMIF(ConfirmedRaw!$B:$B,$A16,ConfirmedRaw!AY:AY)</f>
        <v>502</v>
      </c>
      <c r="AW16">
        <f>SUMIF(ConfirmedRaw!$B:$B,$A16,ConfirmedRaw!AZ:AZ)</f>
        <v>511</v>
      </c>
      <c r="AX16">
        <f>SUMIF(ConfirmedRaw!$B:$B,$A16,ConfirmedRaw!BA:BA)</f>
        <v>581</v>
      </c>
      <c r="AY16">
        <f>SUMIF(ConfirmedRaw!$B:$B,$A16,ConfirmedRaw!BB:BB)</f>
        <v>639</v>
      </c>
      <c r="AZ16">
        <f>SUMIF(ConfirmedRaw!$B:$B,$A16,ConfirmedRaw!BC:BC)</f>
        <v>639</v>
      </c>
      <c r="BA16">
        <f>SUMIF(ConfirmedRaw!$B:$B,$A16,ConfirmedRaw!BD:BD)</f>
        <v>701</v>
      </c>
      <c r="BB16">
        <f>SUMIF(ConfirmedRaw!$B:$B,$A16,ConfirmedRaw!BE:BE)</f>
        <v>773</v>
      </c>
      <c r="BC16">
        <f>SUMIF(ConfirmedRaw!$B:$B,$A16,ConfirmedRaw!BF:BF)</f>
        <v>839</v>
      </c>
      <c r="BD16">
        <f>SUMIF(ConfirmedRaw!$B:$B,$A16,ConfirmedRaw!BG:BG)</f>
        <v>825</v>
      </c>
      <c r="BE16">
        <f>SUMIF(ConfirmedRaw!$B:$B,$A16,ConfirmedRaw!BH:BH)</f>
        <v>878</v>
      </c>
      <c r="BF16">
        <f>SUMIF(ConfirmedRaw!$B:$B,$A16,ConfirmedRaw!BI:BI)</f>
        <v>889</v>
      </c>
      <c r="BG16">
        <f>SUMIF(ConfirmedRaw!$B:$B,$A16,ConfirmedRaw!BJ:BJ)</f>
        <v>0</v>
      </c>
      <c r="BH16">
        <f>SUMIF(ConfirmedRaw!$B:$B,$A16,ConfirmedRaw!BK:BK)</f>
        <v>0</v>
      </c>
      <c r="BI16">
        <f>SUMIF(ConfirmedRaw!$B:$B,$A16,ConfirmedRaw!BL:BL)</f>
        <v>0</v>
      </c>
      <c r="BJ16">
        <f>SUMIF(ConfirmedRaw!$B:$B,$A16,ConfirmedRaw!BM:BM)</f>
        <v>0</v>
      </c>
      <c r="BK16">
        <f>SUMIF(ConfirmedRaw!$B:$B,$A16,ConfirmedRaw!BN:BN)</f>
        <v>0</v>
      </c>
      <c r="BL16">
        <f>SUMIF(ConfirmedRaw!$B:$B,$A16,ConfirmedRaw!BO:BO)</f>
        <v>0</v>
      </c>
      <c r="BM16">
        <f>SUMIF(ConfirmedRaw!$B:$B,$A16,ConfirmedRaw!BP:BP)</f>
        <v>0</v>
      </c>
      <c r="BN16">
        <f>SUMIF(ConfirmedRaw!$B:$B,$A16,ConfirmedRaw!BQ:BQ)</f>
        <v>0</v>
      </c>
      <c r="BO16">
        <f>SUMIF(ConfirmedRaw!$B:$B,$A16,ConfirmedRaw!BR:BR)</f>
        <v>0</v>
      </c>
      <c r="BP16">
        <f>SUMIF(ConfirmedRaw!$B:$B,$A16,ConfirmedRaw!BS:BS)</f>
        <v>0</v>
      </c>
      <c r="BQ16">
        <f>SUMIF(ConfirmedRaw!$B:$B,$A16,ConfirmedRaw!BT:BT)</f>
        <v>0</v>
      </c>
      <c r="BR16">
        <f>SUMIF(ConfirmedRaw!$B:$B,$A16,ConfirmedRaw!BU:BU)</f>
        <v>0</v>
      </c>
      <c r="BS16">
        <f>SUMIF(ConfirmedRaw!$B:$B,$A16,ConfirmedRaw!BV:BV)</f>
        <v>0</v>
      </c>
      <c r="BT16">
        <f>SUMIF(ConfirmedRaw!$B:$B,$A16,ConfirmedRaw!BW:BW)</f>
        <v>0</v>
      </c>
    </row>
    <row r="17" spans="1:72" ht="15" thickBot="1" x14ac:dyDescent="0.35">
      <c r="A17" s="4" t="s">
        <v>340</v>
      </c>
      <c r="B17">
        <f>SUMIF(ConfirmedRaw!$B:$B,$A17,ConfirmedRaw!E:E)</f>
        <v>0</v>
      </c>
      <c r="C17">
        <f>SUMIF(ConfirmedRaw!$B:$B,$A17,ConfirmedRaw!F:F)</f>
        <v>0</v>
      </c>
      <c r="D17">
        <f>SUMIF(ConfirmedRaw!$B:$B,$A17,ConfirmedRaw!G:G)</f>
        <v>0</v>
      </c>
      <c r="E17">
        <f>SUMIF(ConfirmedRaw!$B:$B,$A17,ConfirmedRaw!H:H)</f>
        <v>0</v>
      </c>
      <c r="F17">
        <f>SUMIF(ConfirmedRaw!$B:$B,$A17,ConfirmedRaw!I:I)</f>
        <v>0</v>
      </c>
      <c r="G17">
        <f>SUMIF(ConfirmedRaw!$B:$B,$A17,ConfirmedRaw!J:J)</f>
        <v>0</v>
      </c>
      <c r="H17">
        <f>SUMIF(ConfirmedRaw!$B:$B,$A17,ConfirmedRaw!K:K)</f>
        <v>0</v>
      </c>
      <c r="I17">
        <f>SUMIF(ConfirmedRaw!$B:$B,$A17,ConfirmedRaw!L:L)</f>
        <v>0</v>
      </c>
      <c r="J17">
        <f>SUMIF(ConfirmedRaw!$B:$B,$A17,ConfirmedRaw!M:M)</f>
        <v>0</v>
      </c>
      <c r="K17">
        <f>SUMIF(ConfirmedRaw!$B:$B,$A17,ConfirmedRaw!N:N)</f>
        <v>0</v>
      </c>
      <c r="L17">
        <f>SUMIF(ConfirmedRaw!$B:$B,$A17,ConfirmedRaw!O:O)</f>
        <v>0</v>
      </c>
      <c r="M17">
        <f>SUMIF(ConfirmedRaw!$B:$B,$A17,ConfirmedRaw!P:P)</f>
        <v>0</v>
      </c>
      <c r="N17">
        <f>SUMIF(ConfirmedRaw!$B:$B,$A17,ConfirmedRaw!Q:Q)</f>
        <v>0</v>
      </c>
      <c r="O17">
        <f>SUMIF(ConfirmedRaw!$B:$B,$A17,ConfirmedRaw!R:R)</f>
        <v>0</v>
      </c>
      <c r="P17">
        <f>SUMIF(ConfirmedRaw!$B:$B,$A17,ConfirmedRaw!S:S)</f>
        <v>0</v>
      </c>
      <c r="Q17">
        <f>SUMIF(ConfirmedRaw!$B:$B,$A17,ConfirmedRaw!T:T)</f>
        <v>0</v>
      </c>
      <c r="R17">
        <f>SUMIF(ConfirmedRaw!$B:$B,$A17,ConfirmedRaw!U:U)</f>
        <v>61</v>
      </c>
      <c r="S17">
        <f>SUMIF(ConfirmedRaw!$B:$B,$A17,ConfirmedRaw!V:V)</f>
        <v>61</v>
      </c>
      <c r="T17">
        <f>SUMIF(ConfirmedRaw!$B:$B,$A17,ConfirmedRaw!W:W)</f>
        <v>64</v>
      </c>
      <c r="U17">
        <f>SUMIF(ConfirmedRaw!$B:$B,$A17,ConfirmedRaw!X:X)</f>
        <v>135</v>
      </c>
      <c r="V17">
        <f>SUMIF(ConfirmedRaw!$B:$B,$A17,ConfirmedRaw!Y:Y)</f>
        <v>135</v>
      </c>
      <c r="W17">
        <f>SUMIF(ConfirmedRaw!$B:$B,$A17,ConfirmedRaw!Z:Z)</f>
        <v>175</v>
      </c>
      <c r="X17">
        <f>SUMIF(ConfirmedRaw!$B:$B,$A17,ConfirmedRaw!AA:AA)</f>
        <v>175</v>
      </c>
      <c r="Y17">
        <f>SUMIF(ConfirmedRaw!$B:$B,$A17,ConfirmedRaw!AB:AB)</f>
        <v>218</v>
      </c>
      <c r="Z17">
        <f>SUMIF(ConfirmedRaw!$B:$B,$A17,ConfirmedRaw!AC:AC)</f>
        <v>285</v>
      </c>
      <c r="AA17">
        <f>SUMIF(ConfirmedRaw!$B:$B,$A17,ConfirmedRaw!AD:AD)</f>
        <v>355</v>
      </c>
      <c r="AB17">
        <f>SUMIF(ConfirmedRaw!$B:$B,$A17,ConfirmedRaw!AE:AE)</f>
        <v>454</v>
      </c>
      <c r="AC17">
        <f>SUMIF(ConfirmedRaw!$B:$B,$A17,ConfirmedRaw!AF:AF)</f>
        <v>542</v>
      </c>
      <c r="AD17">
        <f>SUMIF(ConfirmedRaw!$B:$B,$A17,ConfirmedRaw!AG:AG)</f>
        <v>621</v>
      </c>
      <c r="AE17">
        <f>SUMIF(ConfirmedRaw!$B:$B,$A17,ConfirmedRaw!AH:AH)</f>
        <v>634</v>
      </c>
      <c r="AF17">
        <f>SUMIF(ConfirmedRaw!$B:$B,$A17,ConfirmedRaw!AI:AI)</f>
        <v>634</v>
      </c>
      <c r="AG17">
        <f>SUMIF(ConfirmedRaw!$B:$B,$A17,ConfirmedRaw!AJ:AJ)</f>
        <v>634</v>
      </c>
      <c r="AH17">
        <f>SUMIF(ConfirmedRaw!$B:$B,$A17,ConfirmedRaw!AK:AK)</f>
        <v>691</v>
      </c>
      <c r="AI17">
        <f>SUMIF(ConfirmedRaw!$B:$B,$A17,ConfirmedRaw!AL:AL)</f>
        <v>691</v>
      </c>
      <c r="AJ17">
        <f>SUMIF(ConfirmedRaw!$B:$B,$A17,ConfirmedRaw!AM:AM)</f>
        <v>691</v>
      </c>
      <c r="AK17">
        <f>SUMIF(ConfirmedRaw!$B:$B,$A17,ConfirmedRaw!AN:AN)</f>
        <v>705</v>
      </c>
      <c r="AL17">
        <f>SUMIF(ConfirmedRaw!$B:$B,$A17,ConfirmedRaw!AO:AO)</f>
        <v>705</v>
      </c>
      <c r="AM17">
        <f>SUMIF(ConfirmedRaw!$B:$B,$A17,ConfirmedRaw!AP:AP)</f>
        <v>705</v>
      </c>
      <c r="AN17">
        <f>SUMIF(ConfirmedRaw!$B:$B,$A17,ConfirmedRaw!AQ:AQ)</f>
        <v>705</v>
      </c>
      <c r="AO17">
        <f>SUMIF(ConfirmedRaw!$B:$B,$A17,ConfirmedRaw!AR:AR)</f>
        <v>705</v>
      </c>
      <c r="AP17">
        <f>SUMIF(ConfirmedRaw!$B:$B,$A17,ConfirmedRaw!AS:AS)</f>
        <v>705</v>
      </c>
      <c r="AQ17">
        <f>SUMIF(ConfirmedRaw!$B:$B,$A17,ConfirmedRaw!AT:AT)</f>
        <v>706</v>
      </c>
      <c r="AR17">
        <f>SUMIF(ConfirmedRaw!$B:$B,$A17,ConfirmedRaw!AU:AU)</f>
        <v>706</v>
      </c>
      <c r="AS17">
        <f>SUMIF(ConfirmedRaw!$B:$B,$A17,ConfirmedRaw!AV:AV)</f>
        <v>706</v>
      </c>
      <c r="AT17">
        <f>SUMIF(ConfirmedRaw!$B:$B,$A17,ConfirmedRaw!AW:AW)</f>
        <v>696</v>
      </c>
      <c r="AU17">
        <f>SUMIF(ConfirmedRaw!$B:$B,$A17,ConfirmedRaw!AX:AX)</f>
        <v>696</v>
      </c>
      <c r="AV17">
        <f>SUMIF(ConfirmedRaw!$B:$B,$A17,ConfirmedRaw!AY:AY)</f>
        <v>696</v>
      </c>
      <c r="AW17">
        <f>SUMIF(ConfirmedRaw!$B:$B,$A17,ConfirmedRaw!AZ:AZ)</f>
        <v>696</v>
      </c>
      <c r="AX17">
        <f>SUMIF(ConfirmedRaw!$B:$B,$A17,ConfirmedRaw!BA:BA)</f>
        <v>696</v>
      </c>
      <c r="AY17">
        <f>SUMIF(ConfirmedRaw!$B:$B,$A17,ConfirmedRaw!BB:BB)</f>
        <v>696</v>
      </c>
      <c r="AZ17">
        <f>SUMIF(ConfirmedRaw!$B:$B,$A17,ConfirmedRaw!BC:BC)</f>
        <v>696</v>
      </c>
      <c r="BA17">
        <f>SUMIF(ConfirmedRaw!$B:$B,$A17,ConfirmedRaw!BD:BD)</f>
        <v>696</v>
      </c>
      <c r="BB17">
        <f>SUMIF(ConfirmedRaw!$B:$B,$A17,ConfirmedRaw!BE:BE)</f>
        <v>696</v>
      </c>
      <c r="BC17">
        <f>SUMIF(ConfirmedRaw!$B:$B,$A17,ConfirmedRaw!BF:BF)</f>
        <v>696</v>
      </c>
      <c r="BD17">
        <f>SUMIF(ConfirmedRaw!$B:$B,$A17,ConfirmedRaw!BG:BG)</f>
        <v>696</v>
      </c>
      <c r="BE17">
        <f>SUMIF(ConfirmedRaw!$B:$B,$A17,ConfirmedRaw!BH:BH)</f>
        <v>696</v>
      </c>
      <c r="BF17">
        <f>SUMIF(ConfirmedRaw!$B:$B,$A17,ConfirmedRaw!BI:BI)</f>
        <v>712</v>
      </c>
      <c r="BG17">
        <f>SUMIF(ConfirmedRaw!$B:$B,$A17,ConfirmedRaw!BJ:BJ)</f>
        <v>0</v>
      </c>
      <c r="BH17">
        <f>SUMIF(ConfirmedRaw!$B:$B,$A17,ConfirmedRaw!BK:BK)</f>
        <v>0</v>
      </c>
      <c r="BI17">
        <f>SUMIF(ConfirmedRaw!$B:$B,$A17,ConfirmedRaw!BL:BL)</f>
        <v>0</v>
      </c>
      <c r="BJ17">
        <f>SUMIF(ConfirmedRaw!$B:$B,$A17,ConfirmedRaw!BM:BM)</f>
        <v>0</v>
      </c>
      <c r="BK17">
        <f>SUMIF(ConfirmedRaw!$B:$B,$A17,ConfirmedRaw!BN:BN)</f>
        <v>0</v>
      </c>
      <c r="BL17">
        <f>SUMIF(ConfirmedRaw!$B:$B,$A17,ConfirmedRaw!BO:BO)</f>
        <v>0</v>
      </c>
      <c r="BM17">
        <f>SUMIF(ConfirmedRaw!$B:$B,$A17,ConfirmedRaw!BP:BP)</f>
        <v>0</v>
      </c>
      <c r="BN17">
        <f>SUMIF(ConfirmedRaw!$B:$B,$A17,ConfirmedRaw!BQ:BQ)</f>
        <v>0</v>
      </c>
      <c r="BO17">
        <f>SUMIF(ConfirmedRaw!$B:$B,$A17,ConfirmedRaw!BR:BR)</f>
        <v>0</v>
      </c>
      <c r="BP17">
        <f>SUMIF(ConfirmedRaw!$B:$B,$A17,ConfirmedRaw!BS:BS)</f>
        <v>0</v>
      </c>
      <c r="BQ17">
        <f>SUMIF(ConfirmedRaw!$B:$B,$A17,ConfirmedRaw!BT:BT)</f>
        <v>0</v>
      </c>
      <c r="BR17">
        <f>SUMIF(ConfirmedRaw!$B:$B,$A17,ConfirmedRaw!BU:BU)</f>
        <v>0</v>
      </c>
      <c r="BS17">
        <f>SUMIF(ConfirmedRaw!$B:$B,$A17,ConfirmedRaw!BV:BV)</f>
        <v>0</v>
      </c>
      <c r="BT17">
        <f>SUMIF(ConfirmedRaw!$B:$B,$A17,ConfirmedRaw!BW:BW)</f>
        <v>0</v>
      </c>
    </row>
    <row r="18" spans="1:72" ht="15" thickBot="1" x14ac:dyDescent="0.35">
      <c r="A18" s="3" t="s">
        <v>63</v>
      </c>
      <c r="B18">
        <f>SUMIF(ConfirmedRaw!$B:$B,$A18,ConfirmedRaw!E:E)</f>
        <v>0</v>
      </c>
      <c r="C18">
        <f>SUMIF(ConfirmedRaw!$B:$B,$A18,ConfirmedRaw!F:F)</f>
        <v>0</v>
      </c>
      <c r="D18">
        <f>SUMIF(ConfirmedRaw!$B:$B,$A18,ConfirmedRaw!G:G)</f>
        <v>0</v>
      </c>
      <c r="E18">
        <f>SUMIF(ConfirmedRaw!$B:$B,$A18,ConfirmedRaw!H:H)</f>
        <v>0</v>
      </c>
      <c r="F18">
        <f>SUMIF(ConfirmedRaw!$B:$B,$A18,ConfirmedRaw!I:I)</f>
        <v>0</v>
      </c>
      <c r="G18">
        <f>SUMIF(ConfirmedRaw!$B:$B,$A18,ConfirmedRaw!J:J)</f>
        <v>0</v>
      </c>
      <c r="H18">
        <f>SUMIF(ConfirmedRaw!$B:$B,$A18,ConfirmedRaw!K:K)</f>
        <v>0</v>
      </c>
      <c r="I18">
        <f>SUMIF(ConfirmedRaw!$B:$B,$A18,ConfirmedRaw!L:L)</f>
        <v>0</v>
      </c>
      <c r="J18">
        <f>SUMIF(ConfirmedRaw!$B:$B,$A18,ConfirmedRaw!M:M)</f>
        <v>0</v>
      </c>
      <c r="K18">
        <f>SUMIF(ConfirmedRaw!$B:$B,$A18,ConfirmedRaw!N:N)</f>
        <v>0</v>
      </c>
      <c r="L18">
        <f>SUMIF(ConfirmedRaw!$B:$B,$A18,ConfirmedRaw!O:O)</f>
        <v>0</v>
      </c>
      <c r="M18">
        <f>SUMIF(ConfirmedRaw!$B:$B,$A18,ConfirmedRaw!P:P)</f>
        <v>0</v>
      </c>
      <c r="N18">
        <f>SUMIF(ConfirmedRaw!$B:$B,$A18,ConfirmedRaw!Q:Q)</f>
        <v>0</v>
      </c>
      <c r="O18">
        <f>SUMIF(ConfirmedRaw!$B:$B,$A18,ConfirmedRaw!R:R)</f>
        <v>1</v>
      </c>
      <c r="P18">
        <f>SUMIF(ConfirmedRaw!$B:$B,$A18,ConfirmedRaw!S:S)</f>
        <v>1</v>
      </c>
      <c r="Q18">
        <f>SUMIF(ConfirmedRaw!$B:$B,$A18,ConfirmedRaw!T:T)</f>
        <v>1</v>
      </c>
      <c r="R18">
        <f>SUMIF(ConfirmedRaw!$B:$B,$A18,ConfirmedRaw!U:U)</f>
        <v>1</v>
      </c>
      <c r="S18">
        <f>SUMIF(ConfirmedRaw!$B:$B,$A18,ConfirmedRaw!V:V)</f>
        <v>1</v>
      </c>
      <c r="T18">
        <f>SUMIF(ConfirmedRaw!$B:$B,$A18,ConfirmedRaw!W:W)</f>
        <v>1</v>
      </c>
      <c r="U18">
        <f>SUMIF(ConfirmedRaw!$B:$B,$A18,ConfirmedRaw!X:X)</f>
        <v>1</v>
      </c>
      <c r="V18">
        <f>SUMIF(ConfirmedRaw!$B:$B,$A18,ConfirmedRaw!Y:Y)</f>
        <v>1</v>
      </c>
      <c r="W18">
        <f>SUMIF(ConfirmedRaw!$B:$B,$A18,ConfirmedRaw!Z:Z)</f>
        <v>1</v>
      </c>
      <c r="X18">
        <f>SUMIF(ConfirmedRaw!$B:$B,$A18,ConfirmedRaw!AA:AA)</f>
        <v>1</v>
      </c>
      <c r="Y18">
        <f>SUMIF(ConfirmedRaw!$B:$B,$A18,ConfirmedRaw!AB:AB)</f>
        <v>1</v>
      </c>
      <c r="Z18">
        <f>SUMIF(ConfirmedRaw!$B:$B,$A18,ConfirmedRaw!AC:AC)</f>
        <v>1</v>
      </c>
      <c r="AA18">
        <f>SUMIF(ConfirmedRaw!$B:$B,$A18,ConfirmedRaw!AD:AD)</f>
        <v>1</v>
      </c>
      <c r="AB18">
        <f>SUMIF(ConfirmedRaw!$B:$B,$A18,ConfirmedRaw!AE:AE)</f>
        <v>1</v>
      </c>
      <c r="AC18">
        <f>SUMIF(ConfirmedRaw!$B:$B,$A18,ConfirmedRaw!AF:AF)</f>
        <v>1</v>
      </c>
      <c r="AD18">
        <f>SUMIF(ConfirmedRaw!$B:$B,$A18,ConfirmedRaw!AG:AG)</f>
        <v>1</v>
      </c>
      <c r="AE18">
        <f>SUMIF(ConfirmedRaw!$B:$B,$A18,ConfirmedRaw!AH:AH)</f>
        <v>1</v>
      </c>
      <c r="AF18">
        <f>SUMIF(ConfirmedRaw!$B:$B,$A18,ConfirmedRaw!AI:AI)</f>
        <v>1</v>
      </c>
      <c r="AG18">
        <f>SUMIF(ConfirmedRaw!$B:$B,$A18,ConfirmedRaw!AJ:AJ)</f>
        <v>1</v>
      </c>
      <c r="AH18">
        <f>SUMIF(ConfirmedRaw!$B:$B,$A18,ConfirmedRaw!AK:AK)</f>
        <v>1</v>
      </c>
      <c r="AI18">
        <f>SUMIF(ConfirmedRaw!$B:$B,$A18,ConfirmedRaw!AL:AL)</f>
        <v>1</v>
      </c>
      <c r="AJ18">
        <f>SUMIF(ConfirmedRaw!$B:$B,$A18,ConfirmedRaw!AM:AM)</f>
        <v>1</v>
      </c>
      <c r="AK18">
        <f>SUMIF(ConfirmedRaw!$B:$B,$A18,ConfirmedRaw!AN:AN)</f>
        <v>1</v>
      </c>
      <c r="AL18">
        <f>SUMIF(ConfirmedRaw!$B:$B,$A18,ConfirmedRaw!AO:AO)</f>
        <v>1</v>
      </c>
      <c r="AM18">
        <f>SUMIF(ConfirmedRaw!$B:$B,$A18,ConfirmedRaw!AP:AP)</f>
        <v>1</v>
      </c>
      <c r="AN18">
        <f>SUMIF(ConfirmedRaw!$B:$B,$A18,ConfirmedRaw!AQ:AQ)</f>
        <v>1</v>
      </c>
      <c r="AO18">
        <f>SUMIF(ConfirmedRaw!$B:$B,$A18,ConfirmedRaw!AR:AR)</f>
        <v>2</v>
      </c>
      <c r="AP18">
        <f>SUMIF(ConfirmedRaw!$B:$B,$A18,ConfirmedRaw!AS:AS)</f>
        <v>8</v>
      </c>
      <c r="AQ18">
        <f>SUMIF(ConfirmedRaw!$B:$B,$A18,ConfirmedRaw!AT:AT)</f>
        <v>13</v>
      </c>
      <c r="AR18">
        <f>SUMIF(ConfirmedRaw!$B:$B,$A18,ConfirmedRaw!AU:AU)</f>
        <v>23</v>
      </c>
      <c r="AS18">
        <f>SUMIF(ConfirmedRaw!$B:$B,$A18,ConfirmedRaw!AV:AV)</f>
        <v>50</v>
      </c>
      <c r="AT18">
        <f>SUMIF(ConfirmedRaw!$B:$B,$A18,ConfirmedRaw!AW:AW)</f>
        <v>109</v>
      </c>
      <c r="AU18">
        <f>SUMIF(ConfirmedRaw!$B:$B,$A18,ConfirmedRaw!AX:AX)</f>
        <v>169</v>
      </c>
      <c r="AV18">
        <f>SUMIF(ConfirmedRaw!$B:$B,$A18,ConfirmedRaw!AY:AY)</f>
        <v>200</v>
      </c>
      <c r="AW18">
        <f>SUMIF(ConfirmedRaw!$B:$B,$A18,ConfirmedRaw!AZ:AZ)</f>
        <v>239</v>
      </c>
      <c r="AX18">
        <f>SUMIF(ConfirmedRaw!$B:$B,$A18,ConfirmedRaw!BA:BA)</f>
        <v>267</v>
      </c>
      <c r="AY18">
        <f>SUMIF(ConfirmedRaw!$B:$B,$A18,ConfirmedRaw!BB:BB)</f>
        <v>314</v>
      </c>
      <c r="AZ18">
        <f>SUMIF(ConfirmedRaw!$B:$B,$A18,ConfirmedRaw!BC:BC)</f>
        <v>314</v>
      </c>
      <c r="BA18">
        <f>SUMIF(ConfirmedRaw!$B:$B,$A18,ConfirmedRaw!BD:BD)</f>
        <v>559</v>
      </c>
      <c r="BB18">
        <f>SUMIF(ConfirmedRaw!$B:$B,$A18,ConfirmedRaw!BE:BE)</f>
        <v>689</v>
      </c>
      <c r="BC18">
        <f>SUMIF(ConfirmedRaw!$B:$B,$A18,ConfirmedRaw!BF:BF)</f>
        <v>886</v>
      </c>
      <c r="BD18">
        <f>SUMIF(ConfirmedRaw!$B:$B,$A18,ConfirmedRaw!BG:BG)</f>
        <v>1058</v>
      </c>
      <c r="BE18">
        <f>SUMIF(ConfirmedRaw!$B:$B,$A18,ConfirmedRaw!BH:BH)</f>
        <v>1243</v>
      </c>
      <c r="BF18">
        <f>SUMIF(ConfirmedRaw!$B:$B,$A18,ConfirmedRaw!BI:BI)</f>
        <v>1486</v>
      </c>
      <c r="BG18">
        <f>SUMIF(ConfirmedRaw!$B:$B,$A18,ConfirmedRaw!BJ:BJ)</f>
        <v>0</v>
      </c>
      <c r="BH18">
        <f>SUMIF(ConfirmedRaw!$B:$B,$A18,ConfirmedRaw!BK:BK)</f>
        <v>0</v>
      </c>
      <c r="BI18">
        <f>SUMIF(ConfirmedRaw!$B:$B,$A18,ConfirmedRaw!BL:BL)</f>
        <v>0</v>
      </c>
      <c r="BJ18">
        <f>SUMIF(ConfirmedRaw!$B:$B,$A18,ConfirmedRaw!BM:BM)</f>
        <v>0</v>
      </c>
      <c r="BK18">
        <f>SUMIF(ConfirmedRaw!$B:$B,$A18,ConfirmedRaw!BN:BN)</f>
        <v>0</v>
      </c>
      <c r="BL18">
        <f>SUMIF(ConfirmedRaw!$B:$B,$A18,ConfirmedRaw!BO:BO)</f>
        <v>0</v>
      </c>
      <c r="BM18">
        <f>SUMIF(ConfirmedRaw!$B:$B,$A18,ConfirmedRaw!BP:BP)</f>
        <v>0</v>
      </c>
      <c r="BN18">
        <f>SUMIF(ConfirmedRaw!$B:$B,$A18,ConfirmedRaw!BQ:BQ)</f>
        <v>0</v>
      </c>
      <c r="BO18">
        <f>SUMIF(ConfirmedRaw!$B:$B,$A18,ConfirmedRaw!BR:BR)</f>
        <v>0</v>
      </c>
      <c r="BP18">
        <f>SUMIF(ConfirmedRaw!$B:$B,$A18,ConfirmedRaw!BS:BS)</f>
        <v>0</v>
      </c>
      <c r="BQ18">
        <f>SUMIF(ConfirmedRaw!$B:$B,$A18,ConfirmedRaw!BT:BT)</f>
        <v>0</v>
      </c>
      <c r="BR18">
        <f>SUMIF(ConfirmedRaw!$B:$B,$A18,ConfirmedRaw!BU:BU)</f>
        <v>0</v>
      </c>
      <c r="BS18">
        <f>SUMIF(ConfirmedRaw!$B:$B,$A18,ConfirmedRaw!BV:BV)</f>
        <v>0</v>
      </c>
      <c r="BT18">
        <f>SUMIF(ConfirmedRaw!$B:$B,$A18,ConfirmedRaw!BW:BW)</f>
        <v>0</v>
      </c>
    </row>
    <row r="19" spans="1:72" ht="15" thickBot="1" x14ac:dyDescent="0.35">
      <c r="A19" s="3" t="s">
        <v>78</v>
      </c>
      <c r="B19">
        <f>SUMIF(ConfirmedRaw!$B:$B,$A19,ConfirmedRaw!E:E)</f>
        <v>0</v>
      </c>
      <c r="C19">
        <f>SUMIF(ConfirmedRaw!$B:$B,$A19,ConfirmedRaw!F:F)</f>
        <v>0</v>
      </c>
      <c r="D19">
        <f>SUMIF(ConfirmedRaw!$B:$B,$A19,ConfirmedRaw!G:G)</f>
        <v>0</v>
      </c>
      <c r="E19">
        <f>SUMIF(ConfirmedRaw!$B:$B,$A19,ConfirmedRaw!H:H)</f>
        <v>0</v>
      </c>
      <c r="F19">
        <f>SUMIF(ConfirmedRaw!$B:$B,$A19,ConfirmedRaw!I:I)</f>
        <v>0</v>
      </c>
      <c r="G19">
        <f>SUMIF(ConfirmedRaw!$B:$B,$A19,ConfirmedRaw!J:J)</f>
        <v>0</v>
      </c>
      <c r="H19">
        <f>SUMIF(ConfirmedRaw!$B:$B,$A19,ConfirmedRaw!K:K)</f>
        <v>0</v>
      </c>
      <c r="I19">
        <f>SUMIF(ConfirmedRaw!$B:$B,$A19,ConfirmedRaw!L:L)</f>
        <v>0</v>
      </c>
      <c r="J19">
        <f>SUMIF(ConfirmedRaw!$B:$B,$A19,ConfirmedRaw!M:M)</f>
        <v>0</v>
      </c>
      <c r="K19">
        <f>SUMIF(ConfirmedRaw!$B:$B,$A19,ConfirmedRaw!N:N)</f>
        <v>0</v>
      </c>
      <c r="L19">
        <f>SUMIF(ConfirmedRaw!$B:$B,$A19,ConfirmedRaw!O:O)</f>
        <v>0</v>
      </c>
      <c r="M19">
        <f>SUMIF(ConfirmedRaw!$B:$B,$A19,ConfirmedRaw!P:P)</f>
        <v>0</v>
      </c>
      <c r="N19">
        <f>SUMIF(ConfirmedRaw!$B:$B,$A19,ConfirmedRaw!Q:Q)</f>
        <v>0</v>
      </c>
      <c r="O19">
        <f>SUMIF(ConfirmedRaw!$B:$B,$A19,ConfirmedRaw!R:R)</f>
        <v>0</v>
      </c>
      <c r="P19">
        <f>SUMIF(ConfirmedRaw!$B:$B,$A19,ConfirmedRaw!S:S)</f>
        <v>0</v>
      </c>
      <c r="Q19">
        <f>SUMIF(ConfirmedRaw!$B:$B,$A19,ConfirmedRaw!T:T)</f>
        <v>0</v>
      </c>
      <c r="R19">
        <f>SUMIF(ConfirmedRaw!$B:$B,$A19,ConfirmedRaw!U:U)</f>
        <v>0</v>
      </c>
      <c r="S19">
        <f>SUMIF(ConfirmedRaw!$B:$B,$A19,ConfirmedRaw!V:V)</f>
        <v>0</v>
      </c>
      <c r="T19">
        <f>SUMIF(ConfirmedRaw!$B:$B,$A19,ConfirmedRaw!W:W)</f>
        <v>0</v>
      </c>
      <c r="U19">
        <f>SUMIF(ConfirmedRaw!$B:$B,$A19,ConfirmedRaw!X:X)</f>
        <v>0</v>
      </c>
      <c r="V19">
        <f>SUMIF(ConfirmedRaw!$B:$B,$A19,ConfirmedRaw!Y:Y)</f>
        <v>0</v>
      </c>
      <c r="W19">
        <f>SUMIF(ConfirmedRaw!$B:$B,$A19,ConfirmedRaw!Z:Z)</f>
        <v>0</v>
      </c>
      <c r="X19">
        <f>SUMIF(ConfirmedRaw!$B:$B,$A19,ConfirmedRaw!AA:AA)</f>
        <v>0</v>
      </c>
      <c r="Y19">
        <f>SUMIF(ConfirmedRaw!$B:$B,$A19,ConfirmedRaw!AB:AB)</f>
        <v>0</v>
      </c>
      <c r="Z19">
        <f>SUMIF(ConfirmedRaw!$B:$B,$A19,ConfirmedRaw!AC:AC)</f>
        <v>0</v>
      </c>
      <c r="AA19">
        <f>SUMIF(ConfirmedRaw!$B:$B,$A19,ConfirmedRaw!AD:AD)</f>
        <v>0</v>
      </c>
      <c r="AB19">
        <f>SUMIF(ConfirmedRaw!$B:$B,$A19,ConfirmedRaw!AE:AE)</f>
        <v>0</v>
      </c>
      <c r="AC19">
        <f>SUMIF(ConfirmedRaw!$B:$B,$A19,ConfirmedRaw!AF:AF)</f>
        <v>0</v>
      </c>
      <c r="AD19">
        <f>SUMIF(ConfirmedRaw!$B:$B,$A19,ConfirmedRaw!AG:AG)</f>
        <v>0</v>
      </c>
      <c r="AE19">
        <f>SUMIF(ConfirmedRaw!$B:$B,$A19,ConfirmedRaw!AH:AH)</f>
        <v>0</v>
      </c>
      <c r="AF19">
        <f>SUMIF(ConfirmedRaw!$B:$B,$A19,ConfirmedRaw!AI:AI)</f>
        <v>0</v>
      </c>
      <c r="AG19">
        <f>SUMIF(ConfirmedRaw!$B:$B,$A19,ConfirmedRaw!AJ:AJ)</f>
        <v>0</v>
      </c>
      <c r="AH19">
        <f>SUMIF(ConfirmedRaw!$B:$B,$A19,ConfirmedRaw!AK:AK)</f>
        <v>0</v>
      </c>
      <c r="AI19">
        <f>SUMIF(ConfirmedRaw!$B:$B,$A19,ConfirmedRaw!AL:AL)</f>
        <v>0</v>
      </c>
      <c r="AJ19">
        <f>SUMIF(ConfirmedRaw!$B:$B,$A19,ConfirmedRaw!AM:AM)</f>
        <v>2</v>
      </c>
      <c r="AK19">
        <f>SUMIF(ConfirmedRaw!$B:$B,$A19,ConfirmedRaw!AN:AN)</f>
        <v>2</v>
      </c>
      <c r="AL19">
        <f>SUMIF(ConfirmedRaw!$B:$B,$A19,ConfirmedRaw!AO:AO)</f>
        <v>3</v>
      </c>
      <c r="AM19">
        <f>SUMIF(ConfirmedRaw!$B:$B,$A19,ConfirmedRaw!AP:AP)</f>
        <v>3</v>
      </c>
      <c r="AN19">
        <f>SUMIF(ConfirmedRaw!$B:$B,$A19,ConfirmedRaw!AQ:AQ)</f>
        <v>9</v>
      </c>
      <c r="AO19">
        <f>SUMIF(ConfirmedRaw!$B:$B,$A19,ConfirmedRaw!AR:AR)</f>
        <v>14</v>
      </c>
      <c r="AP19">
        <f>SUMIF(ConfirmedRaw!$B:$B,$A19,ConfirmedRaw!AS:AS)</f>
        <v>18</v>
      </c>
      <c r="AQ19">
        <f>SUMIF(ConfirmedRaw!$B:$B,$A19,ConfirmedRaw!AT:AT)</f>
        <v>21</v>
      </c>
      <c r="AR19">
        <f>SUMIF(ConfirmedRaw!$B:$B,$A19,ConfirmedRaw!AU:AU)</f>
        <v>29</v>
      </c>
      <c r="AS19">
        <f>SUMIF(ConfirmedRaw!$B:$B,$A19,ConfirmedRaw!AV:AV)</f>
        <v>41</v>
      </c>
      <c r="AT19">
        <f>SUMIF(ConfirmedRaw!$B:$B,$A19,ConfirmedRaw!AW:AW)</f>
        <v>55</v>
      </c>
      <c r="AU19">
        <f>SUMIF(ConfirmedRaw!$B:$B,$A19,ConfirmedRaw!AX:AX)</f>
        <v>79</v>
      </c>
      <c r="AV19">
        <f>SUMIF(ConfirmedRaw!$B:$B,$A19,ConfirmedRaw!AY:AY)</f>
        <v>104</v>
      </c>
      <c r="AW19">
        <f>SUMIF(ConfirmedRaw!$B:$B,$A19,ConfirmedRaw!AZ:AZ)</f>
        <v>131</v>
      </c>
      <c r="AX19">
        <f>SUMIF(ConfirmedRaw!$B:$B,$A19,ConfirmedRaw!BA:BA)</f>
        <v>182</v>
      </c>
      <c r="AY19">
        <f>SUMIF(ConfirmedRaw!$B:$B,$A19,ConfirmedRaw!BB:BB)</f>
        <v>246</v>
      </c>
      <c r="AZ19">
        <f>SUMIF(ConfirmedRaw!$B:$B,$A19,ConfirmedRaw!BC:BC)</f>
        <v>302</v>
      </c>
      <c r="BA19">
        <f>SUMIF(ConfirmedRaw!$B:$B,$A19,ConfirmedRaw!BD:BD)</f>
        <v>504</v>
      </c>
      <c r="BB19">
        <f>SUMIF(ConfirmedRaw!$B:$B,$A19,ConfirmedRaw!BE:BE)</f>
        <v>655</v>
      </c>
      <c r="BC19">
        <f>SUMIF(ConfirmedRaw!$B:$B,$A19,ConfirmedRaw!BF:BF)</f>
        <v>860</v>
      </c>
      <c r="BD19">
        <f>SUMIF(ConfirmedRaw!$B:$B,$A19,ConfirmedRaw!BG:BG)</f>
        <v>1018</v>
      </c>
      <c r="BE19">
        <f>SUMIF(ConfirmedRaw!$B:$B,$A19,ConfirmedRaw!BH:BH)</f>
        <v>1332</v>
      </c>
      <c r="BF19">
        <f>SUMIF(ConfirmedRaw!$B:$B,$A19,ConfirmedRaw!BI:BI)</f>
        <v>1646</v>
      </c>
      <c r="BG19">
        <f>SUMIF(ConfirmedRaw!$B:$B,$A19,ConfirmedRaw!BJ:BJ)</f>
        <v>0</v>
      </c>
      <c r="BH19">
        <f>SUMIF(ConfirmedRaw!$B:$B,$A19,ConfirmedRaw!BK:BK)</f>
        <v>0</v>
      </c>
      <c r="BI19">
        <f>SUMIF(ConfirmedRaw!$B:$B,$A19,ConfirmedRaw!BL:BL)</f>
        <v>0</v>
      </c>
      <c r="BJ19">
        <f>SUMIF(ConfirmedRaw!$B:$B,$A19,ConfirmedRaw!BM:BM)</f>
        <v>0</v>
      </c>
      <c r="BK19">
        <f>SUMIF(ConfirmedRaw!$B:$B,$A19,ConfirmedRaw!BN:BN)</f>
        <v>0</v>
      </c>
      <c r="BL19">
        <f>SUMIF(ConfirmedRaw!$B:$B,$A19,ConfirmedRaw!BO:BO)</f>
        <v>0</v>
      </c>
      <c r="BM19">
        <f>SUMIF(ConfirmedRaw!$B:$B,$A19,ConfirmedRaw!BP:BP)</f>
        <v>0</v>
      </c>
      <c r="BN19">
        <f>SUMIF(ConfirmedRaw!$B:$B,$A19,ConfirmedRaw!BQ:BQ)</f>
        <v>0</v>
      </c>
      <c r="BO19">
        <f>SUMIF(ConfirmedRaw!$B:$B,$A19,ConfirmedRaw!BR:BR)</f>
        <v>0</v>
      </c>
      <c r="BP19">
        <f>SUMIF(ConfirmedRaw!$B:$B,$A19,ConfirmedRaw!BS:BS)</f>
        <v>0</v>
      </c>
      <c r="BQ19">
        <f>SUMIF(ConfirmedRaw!$B:$B,$A19,ConfirmedRaw!BT:BT)</f>
        <v>0</v>
      </c>
      <c r="BR19">
        <f>SUMIF(ConfirmedRaw!$B:$B,$A19,ConfirmedRaw!BU:BU)</f>
        <v>0</v>
      </c>
      <c r="BS19">
        <f>SUMIF(ConfirmedRaw!$B:$B,$A19,ConfirmedRaw!BV:BV)</f>
        <v>0</v>
      </c>
      <c r="BT19">
        <f>SUMIF(ConfirmedRaw!$B:$B,$A19,ConfirmedRaw!BW:BW)</f>
        <v>0</v>
      </c>
    </row>
    <row r="20" spans="1:72" ht="15" thickBot="1" x14ac:dyDescent="0.35">
      <c r="A20" s="3" t="s">
        <v>101</v>
      </c>
      <c r="B20">
        <f>SUMIF(ConfirmedRaw!$B:$B,$A20,ConfirmedRaw!E:E)</f>
        <v>0</v>
      </c>
      <c r="C20">
        <f>SUMIF(ConfirmedRaw!$B:$B,$A20,ConfirmedRaw!F:F)</f>
        <v>0</v>
      </c>
      <c r="D20">
        <f>SUMIF(ConfirmedRaw!$B:$B,$A20,ConfirmedRaw!G:G)</f>
        <v>0</v>
      </c>
      <c r="E20">
        <f>SUMIF(ConfirmedRaw!$B:$B,$A20,ConfirmedRaw!H:H)</f>
        <v>0</v>
      </c>
      <c r="F20">
        <f>SUMIF(ConfirmedRaw!$B:$B,$A20,ConfirmedRaw!I:I)</f>
        <v>0</v>
      </c>
      <c r="G20">
        <f>SUMIF(ConfirmedRaw!$B:$B,$A20,ConfirmedRaw!J:J)</f>
        <v>0</v>
      </c>
      <c r="H20">
        <f>SUMIF(ConfirmedRaw!$B:$B,$A20,ConfirmedRaw!K:K)</f>
        <v>0</v>
      </c>
      <c r="I20">
        <f>SUMIF(ConfirmedRaw!$B:$B,$A20,ConfirmedRaw!L:L)</f>
        <v>0</v>
      </c>
      <c r="J20">
        <f>SUMIF(ConfirmedRaw!$B:$B,$A20,ConfirmedRaw!M:M)</f>
        <v>0</v>
      </c>
      <c r="K20">
        <f>SUMIF(ConfirmedRaw!$B:$B,$A20,ConfirmedRaw!N:N)</f>
        <v>0</v>
      </c>
      <c r="L20">
        <f>SUMIF(ConfirmedRaw!$B:$B,$A20,ConfirmedRaw!O:O)</f>
        <v>0</v>
      </c>
      <c r="M20">
        <f>SUMIF(ConfirmedRaw!$B:$B,$A20,ConfirmedRaw!P:P)</f>
        <v>0</v>
      </c>
      <c r="N20">
        <f>SUMIF(ConfirmedRaw!$B:$B,$A20,ConfirmedRaw!Q:Q)</f>
        <v>0</v>
      </c>
      <c r="O20">
        <f>SUMIF(ConfirmedRaw!$B:$B,$A20,ConfirmedRaw!R:R)</f>
        <v>0</v>
      </c>
      <c r="P20">
        <f>SUMIF(ConfirmedRaw!$B:$B,$A20,ConfirmedRaw!S:S)</f>
        <v>0</v>
      </c>
      <c r="Q20">
        <f>SUMIF(ConfirmedRaw!$B:$B,$A20,ConfirmedRaw!T:T)</f>
        <v>0</v>
      </c>
      <c r="R20">
        <f>SUMIF(ConfirmedRaw!$B:$B,$A20,ConfirmedRaw!U:U)</f>
        <v>0</v>
      </c>
      <c r="S20">
        <f>SUMIF(ConfirmedRaw!$B:$B,$A20,ConfirmedRaw!V:V)</f>
        <v>0</v>
      </c>
      <c r="T20">
        <f>SUMIF(ConfirmedRaw!$B:$B,$A20,ConfirmedRaw!W:W)</f>
        <v>0</v>
      </c>
      <c r="U20">
        <f>SUMIF(ConfirmedRaw!$B:$B,$A20,ConfirmedRaw!X:X)</f>
        <v>0</v>
      </c>
      <c r="V20">
        <f>SUMIF(ConfirmedRaw!$B:$B,$A20,ConfirmedRaw!Y:Y)</f>
        <v>0</v>
      </c>
      <c r="W20">
        <f>SUMIF(ConfirmedRaw!$B:$B,$A20,ConfirmedRaw!Z:Z)</f>
        <v>0</v>
      </c>
      <c r="X20">
        <f>SUMIF(ConfirmedRaw!$B:$B,$A20,ConfirmedRaw!AA:AA)</f>
        <v>0</v>
      </c>
      <c r="Y20">
        <f>SUMIF(ConfirmedRaw!$B:$B,$A20,ConfirmedRaw!AB:AB)</f>
        <v>0</v>
      </c>
      <c r="Z20">
        <f>SUMIF(ConfirmedRaw!$B:$B,$A20,ConfirmedRaw!AC:AC)</f>
        <v>0</v>
      </c>
      <c r="AA20">
        <f>SUMIF(ConfirmedRaw!$B:$B,$A20,ConfirmedRaw!AD:AD)</f>
        <v>0</v>
      </c>
      <c r="AB20">
        <f>SUMIF(ConfirmedRaw!$B:$B,$A20,ConfirmedRaw!AE:AE)</f>
        <v>0</v>
      </c>
      <c r="AC20">
        <f>SUMIF(ConfirmedRaw!$B:$B,$A20,ConfirmedRaw!AF:AF)</f>
        <v>0</v>
      </c>
      <c r="AD20">
        <f>SUMIF(ConfirmedRaw!$B:$B,$A20,ConfirmedRaw!AG:AG)</f>
        <v>0</v>
      </c>
      <c r="AE20">
        <f>SUMIF(ConfirmedRaw!$B:$B,$A20,ConfirmedRaw!AH:AH)</f>
        <v>0</v>
      </c>
      <c r="AF20">
        <f>SUMIF(ConfirmedRaw!$B:$B,$A20,ConfirmedRaw!AI:AI)</f>
        <v>0</v>
      </c>
      <c r="AG20">
        <f>SUMIF(ConfirmedRaw!$B:$B,$A20,ConfirmedRaw!AJ:AJ)</f>
        <v>0</v>
      </c>
      <c r="AH20">
        <f>SUMIF(ConfirmedRaw!$B:$B,$A20,ConfirmedRaw!AK:AK)</f>
        <v>0</v>
      </c>
      <c r="AI20">
        <f>SUMIF(ConfirmedRaw!$B:$B,$A20,ConfirmedRaw!AL:AL)</f>
        <v>0</v>
      </c>
      <c r="AJ20">
        <f>SUMIF(ConfirmedRaw!$B:$B,$A20,ConfirmedRaw!AM:AM)</f>
        <v>0</v>
      </c>
      <c r="AK20">
        <f>SUMIF(ConfirmedRaw!$B:$B,$A20,ConfirmedRaw!AN:AN)</f>
        <v>0</v>
      </c>
      <c r="AL20">
        <f>SUMIF(ConfirmedRaw!$B:$B,$A20,ConfirmedRaw!AO:AO)</f>
        <v>0</v>
      </c>
      <c r="AM20">
        <f>SUMIF(ConfirmedRaw!$B:$B,$A20,ConfirmedRaw!AP:AP)</f>
        <v>0</v>
      </c>
      <c r="AN20">
        <f>SUMIF(ConfirmedRaw!$B:$B,$A20,ConfirmedRaw!AQ:AQ)</f>
        <v>1</v>
      </c>
      <c r="AO20">
        <f>SUMIF(ConfirmedRaw!$B:$B,$A20,ConfirmedRaw!AR:AR)</f>
        <v>3</v>
      </c>
      <c r="AP20">
        <f>SUMIF(ConfirmedRaw!$B:$B,$A20,ConfirmedRaw!AS:AS)</f>
        <v>3</v>
      </c>
      <c r="AQ20">
        <f>SUMIF(ConfirmedRaw!$B:$B,$A20,ConfirmedRaw!AT:AT)</f>
        <v>7</v>
      </c>
      <c r="AR20">
        <f>SUMIF(ConfirmedRaw!$B:$B,$A20,ConfirmedRaw!AU:AU)</f>
        <v>8</v>
      </c>
      <c r="AS20">
        <f>SUMIF(ConfirmedRaw!$B:$B,$A20,ConfirmedRaw!AV:AV)</f>
        <v>8</v>
      </c>
      <c r="AT20">
        <f>SUMIF(ConfirmedRaw!$B:$B,$A20,ConfirmedRaw!AW:AW)</f>
        <v>8</v>
      </c>
      <c r="AU20">
        <f>SUMIF(ConfirmedRaw!$B:$B,$A20,ConfirmedRaw!AX:AX)</f>
        <v>8</v>
      </c>
      <c r="AV20">
        <f>SUMIF(ConfirmedRaw!$B:$B,$A20,ConfirmedRaw!AY:AY)</f>
        <v>15</v>
      </c>
      <c r="AW20">
        <f>SUMIF(ConfirmedRaw!$B:$B,$A20,ConfirmedRaw!AZ:AZ)</f>
        <v>18</v>
      </c>
      <c r="AX20">
        <f>SUMIF(ConfirmedRaw!$B:$B,$A20,ConfirmedRaw!BA:BA)</f>
        <v>24</v>
      </c>
      <c r="AY20">
        <f>SUMIF(ConfirmedRaw!$B:$B,$A20,ConfirmedRaw!BB:BB)</f>
        <v>262</v>
      </c>
      <c r="AZ20">
        <f>SUMIF(ConfirmedRaw!$B:$B,$A20,ConfirmedRaw!BC:BC)</f>
        <v>262</v>
      </c>
      <c r="BA20">
        <f>SUMIF(ConfirmedRaw!$B:$B,$A20,ConfirmedRaw!BD:BD)</f>
        <v>320</v>
      </c>
      <c r="BB20">
        <f>SUMIF(ConfirmedRaw!$B:$B,$A20,ConfirmedRaw!BE:BE)</f>
        <v>337</v>
      </c>
      <c r="BC20">
        <f>SUMIF(ConfirmedRaw!$B:$B,$A20,ConfirmedRaw!BF:BF)</f>
        <v>401</v>
      </c>
      <c r="BD20">
        <f>SUMIF(ConfirmedRaw!$B:$B,$A20,ConfirmedRaw!BG:BG)</f>
        <v>439</v>
      </c>
      <c r="BE20">
        <f>SUMIF(ConfirmedRaw!$B:$B,$A20,ConfirmedRaw!BH:BH)</f>
        <v>439</v>
      </c>
      <c r="BF20">
        <f>SUMIF(ConfirmedRaw!$B:$B,$A20,ConfirmedRaw!BI:BI)</f>
        <v>452</v>
      </c>
      <c r="BG20">
        <f>SUMIF(ConfirmedRaw!$B:$B,$A20,ConfirmedRaw!BJ:BJ)</f>
        <v>0</v>
      </c>
      <c r="BH20">
        <f>SUMIF(ConfirmedRaw!$B:$B,$A20,ConfirmedRaw!BK:BK)</f>
        <v>0</v>
      </c>
      <c r="BI20">
        <f>SUMIF(ConfirmedRaw!$B:$B,$A20,ConfirmedRaw!BL:BL)</f>
        <v>0</v>
      </c>
      <c r="BJ20">
        <f>SUMIF(ConfirmedRaw!$B:$B,$A20,ConfirmedRaw!BM:BM)</f>
        <v>0</v>
      </c>
      <c r="BK20">
        <f>SUMIF(ConfirmedRaw!$B:$B,$A20,ConfirmedRaw!BN:BN)</f>
        <v>0</v>
      </c>
      <c r="BL20">
        <f>SUMIF(ConfirmedRaw!$B:$B,$A20,ConfirmedRaw!BO:BO)</f>
        <v>0</v>
      </c>
      <c r="BM20">
        <f>SUMIF(ConfirmedRaw!$B:$B,$A20,ConfirmedRaw!BP:BP)</f>
        <v>0</v>
      </c>
      <c r="BN20">
        <f>SUMIF(ConfirmedRaw!$B:$B,$A20,ConfirmedRaw!BQ:BQ)</f>
        <v>0</v>
      </c>
      <c r="BO20">
        <f>SUMIF(ConfirmedRaw!$B:$B,$A20,ConfirmedRaw!BR:BR)</f>
        <v>0</v>
      </c>
      <c r="BP20">
        <f>SUMIF(ConfirmedRaw!$B:$B,$A20,ConfirmedRaw!BS:BS)</f>
        <v>0</v>
      </c>
      <c r="BQ20">
        <f>SUMIF(ConfirmedRaw!$B:$B,$A20,ConfirmedRaw!BT:BT)</f>
        <v>0</v>
      </c>
      <c r="BR20">
        <f>SUMIF(ConfirmedRaw!$B:$B,$A20,ConfirmedRaw!BU:BU)</f>
        <v>0</v>
      </c>
      <c r="BS20">
        <f>SUMIF(ConfirmedRaw!$B:$B,$A20,ConfirmedRaw!BV:BV)</f>
        <v>0</v>
      </c>
      <c r="BT20">
        <f>SUMIF(ConfirmedRaw!$B:$B,$A20,ConfirmedRaw!BW:BW)</f>
        <v>0</v>
      </c>
    </row>
    <row r="21" spans="1:72" ht="15" thickBot="1" x14ac:dyDescent="0.35">
      <c r="A21" s="3" t="s">
        <v>48</v>
      </c>
      <c r="B21">
        <f>SUMIF(ConfirmedRaw!$B:$B,$A21,ConfirmedRaw!E:E)</f>
        <v>0</v>
      </c>
      <c r="C21">
        <f>SUMIF(ConfirmedRaw!$B:$B,$A21,ConfirmedRaw!F:F)</f>
        <v>0</v>
      </c>
      <c r="D21">
        <f>SUMIF(ConfirmedRaw!$B:$B,$A21,ConfirmedRaw!G:G)</f>
        <v>0</v>
      </c>
      <c r="E21">
        <f>SUMIF(ConfirmedRaw!$B:$B,$A21,ConfirmedRaw!H:H)</f>
        <v>0</v>
      </c>
      <c r="F21">
        <f>SUMIF(ConfirmedRaw!$B:$B,$A21,ConfirmedRaw!I:I)</f>
        <v>4</v>
      </c>
      <c r="G21">
        <f>SUMIF(ConfirmedRaw!$B:$B,$A21,ConfirmedRaw!J:J)</f>
        <v>5</v>
      </c>
      <c r="H21">
        <f>SUMIF(ConfirmedRaw!$B:$B,$A21,ConfirmedRaw!K:K)</f>
        <v>5</v>
      </c>
      <c r="I21">
        <f>SUMIF(ConfirmedRaw!$B:$B,$A21,ConfirmedRaw!L:L)</f>
        <v>6</v>
      </c>
      <c r="J21">
        <f>SUMIF(ConfirmedRaw!$B:$B,$A21,ConfirmedRaw!M:M)</f>
        <v>9</v>
      </c>
      <c r="K21">
        <f>SUMIF(ConfirmedRaw!$B:$B,$A21,ConfirmedRaw!N:N)</f>
        <v>9</v>
      </c>
      <c r="L21">
        <f>SUMIF(ConfirmedRaw!$B:$B,$A21,ConfirmedRaw!O:O)</f>
        <v>12</v>
      </c>
      <c r="M21">
        <f>SUMIF(ConfirmedRaw!$B:$B,$A21,ConfirmedRaw!P:P)</f>
        <v>12</v>
      </c>
      <c r="N21">
        <f>SUMIF(ConfirmedRaw!$B:$B,$A21,ConfirmedRaw!Q:Q)</f>
        <v>12</v>
      </c>
      <c r="O21">
        <f>SUMIF(ConfirmedRaw!$B:$B,$A21,ConfirmedRaw!R:R)</f>
        <v>13</v>
      </c>
      <c r="P21">
        <f>SUMIF(ConfirmedRaw!$B:$B,$A21,ConfirmedRaw!S:S)</f>
        <v>13</v>
      </c>
      <c r="Q21">
        <f>SUMIF(ConfirmedRaw!$B:$B,$A21,ConfirmedRaw!T:T)</f>
        <v>14</v>
      </c>
      <c r="R21">
        <f>SUMIF(ConfirmedRaw!$B:$B,$A21,ConfirmedRaw!U:U)</f>
        <v>15</v>
      </c>
      <c r="S21">
        <f>SUMIF(ConfirmedRaw!$B:$B,$A21,ConfirmedRaw!V:V)</f>
        <v>15</v>
      </c>
      <c r="T21">
        <f>SUMIF(ConfirmedRaw!$B:$B,$A21,ConfirmedRaw!W:W)</f>
        <v>15</v>
      </c>
      <c r="U21">
        <f>SUMIF(ConfirmedRaw!$B:$B,$A21,ConfirmedRaw!X:X)</f>
        <v>15</v>
      </c>
      <c r="V21">
        <f>SUMIF(ConfirmedRaw!$B:$B,$A21,ConfirmedRaw!Y:Y)</f>
        <v>15</v>
      </c>
      <c r="W21">
        <f>SUMIF(ConfirmedRaw!$B:$B,$A21,ConfirmedRaw!Z:Z)</f>
        <v>15</v>
      </c>
      <c r="X21">
        <f>SUMIF(ConfirmedRaw!$B:$B,$A21,ConfirmedRaw!AA:AA)</f>
        <v>15</v>
      </c>
      <c r="Y21">
        <f>SUMIF(ConfirmedRaw!$B:$B,$A21,ConfirmedRaw!AB:AB)</f>
        <v>15</v>
      </c>
      <c r="Z21">
        <f>SUMIF(ConfirmedRaw!$B:$B,$A21,ConfirmedRaw!AC:AC)</f>
        <v>15</v>
      </c>
      <c r="AA21">
        <f>SUMIF(ConfirmedRaw!$B:$B,$A21,ConfirmedRaw!AD:AD)</f>
        <v>15</v>
      </c>
      <c r="AB21">
        <f>SUMIF(ConfirmedRaw!$B:$B,$A21,ConfirmedRaw!AE:AE)</f>
        <v>15</v>
      </c>
      <c r="AC21">
        <f>SUMIF(ConfirmedRaw!$B:$B,$A21,ConfirmedRaw!AF:AF)</f>
        <v>15</v>
      </c>
      <c r="AD21">
        <f>SUMIF(ConfirmedRaw!$B:$B,$A21,ConfirmedRaw!AG:AG)</f>
        <v>15</v>
      </c>
      <c r="AE21">
        <f>SUMIF(ConfirmedRaw!$B:$B,$A21,ConfirmedRaw!AH:AH)</f>
        <v>15</v>
      </c>
      <c r="AF21">
        <f>SUMIF(ConfirmedRaw!$B:$B,$A21,ConfirmedRaw!AI:AI)</f>
        <v>19</v>
      </c>
      <c r="AG21">
        <f>SUMIF(ConfirmedRaw!$B:$B,$A21,ConfirmedRaw!AJ:AJ)</f>
        <v>22</v>
      </c>
      <c r="AH21">
        <f>SUMIF(ConfirmedRaw!$B:$B,$A21,ConfirmedRaw!AK:AK)</f>
        <v>22</v>
      </c>
      <c r="AI21">
        <f>SUMIF(ConfirmedRaw!$B:$B,$A21,ConfirmedRaw!AL:AL)</f>
        <v>22</v>
      </c>
      <c r="AJ21">
        <f>SUMIF(ConfirmedRaw!$B:$B,$A21,ConfirmedRaw!AM:AM)</f>
        <v>22</v>
      </c>
      <c r="AK21">
        <f>SUMIF(ConfirmedRaw!$B:$B,$A21,ConfirmedRaw!AN:AN)</f>
        <v>22</v>
      </c>
      <c r="AL21">
        <f>SUMIF(ConfirmedRaw!$B:$B,$A21,ConfirmedRaw!AO:AO)</f>
        <v>23</v>
      </c>
      <c r="AM21">
        <f>SUMIF(ConfirmedRaw!$B:$B,$A21,ConfirmedRaw!AP:AP)</f>
        <v>23</v>
      </c>
      <c r="AN21">
        <f>SUMIF(ConfirmedRaw!$B:$B,$A21,ConfirmedRaw!AQ:AQ)</f>
        <v>25</v>
      </c>
      <c r="AO21">
        <f>SUMIF(ConfirmedRaw!$B:$B,$A21,ConfirmedRaw!AR:AR)</f>
        <v>27</v>
      </c>
      <c r="AP21">
        <f>SUMIF(ConfirmedRaw!$B:$B,$A21,ConfirmedRaw!AS:AS)</f>
        <v>30</v>
      </c>
      <c r="AQ21">
        <f>SUMIF(ConfirmedRaw!$B:$B,$A21,ConfirmedRaw!AT:AT)</f>
        <v>39</v>
      </c>
      <c r="AR21">
        <f>SUMIF(ConfirmedRaw!$B:$B,$A21,ConfirmedRaw!AU:AU)</f>
        <v>52</v>
      </c>
      <c r="AS21">
        <f>SUMIF(ConfirmedRaw!$B:$B,$A21,ConfirmedRaw!AV:AV)</f>
        <v>55</v>
      </c>
      <c r="AT21">
        <f>SUMIF(ConfirmedRaw!$B:$B,$A21,ConfirmedRaw!AW:AW)</f>
        <v>60</v>
      </c>
      <c r="AU21">
        <f>SUMIF(ConfirmedRaw!$B:$B,$A21,ConfirmedRaw!AX:AX)</f>
        <v>63</v>
      </c>
      <c r="AV21">
        <f>SUMIF(ConfirmedRaw!$B:$B,$A21,ConfirmedRaw!AY:AY)</f>
        <v>76</v>
      </c>
      <c r="AW21">
        <f>SUMIF(ConfirmedRaw!$B:$B,$A21,ConfirmedRaw!AZ:AZ)</f>
        <v>91</v>
      </c>
      <c r="AX21">
        <f>SUMIF(ConfirmedRaw!$B:$B,$A21,ConfirmedRaw!BA:BA)</f>
        <v>107</v>
      </c>
      <c r="AY21">
        <f>SUMIF(ConfirmedRaw!$B:$B,$A21,ConfirmedRaw!BB:BB)</f>
        <v>128</v>
      </c>
      <c r="AZ21">
        <f>SUMIF(ConfirmedRaw!$B:$B,$A21,ConfirmedRaw!BC:BC)</f>
        <v>128</v>
      </c>
      <c r="BA21">
        <f>SUMIF(ConfirmedRaw!$B:$B,$A21,ConfirmedRaw!BD:BD)</f>
        <v>200</v>
      </c>
      <c r="BB21">
        <f>SUMIF(ConfirmedRaw!$B:$B,$A21,ConfirmedRaw!BE:BE)</f>
        <v>250</v>
      </c>
      <c r="BC21">
        <f>SUMIF(ConfirmedRaw!$B:$B,$A21,ConfirmedRaw!BF:BF)</f>
        <v>297</v>
      </c>
      <c r="BD21">
        <f>SUMIF(ConfirmedRaw!$B:$B,$A21,ConfirmedRaw!BG:BG)</f>
        <v>377</v>
      </c>
      <c r="BE21">
        <f>SUMIF(ConfirmedRaw!$B:$B,$A21,ConfirmedRaw!BH:BH)</f>
        <v>452</v>
      </c>
      <c r="BF21">
        <f>SUMIF(ConfirmedRaw!$B:$B,$A21,ConfirmedRaw!BI:BI)</f>
        <v>568</v>
      </c>
      <c r="BG21">
        <f>SUMIF(ConfirmedRaw!$B:$B,$A21,ConfirmedRaw!BJ:BJ)</f>
        <v>0</v>
      </c>
      <c r="BH21">
        <f>SUMIF(ConfirmedRaw!$B:$B,$A21,ConfirmedRaw!BK:BK)</f>
        <v>0</v>
      </c>
      <c r="BI21">
        <f>SUMIF(ConfirmedRaw!$B:$B,$A21,ConfirmedRaw!BL:BL)</f>
        <v>0</v>
      </c>
      <c r="BJ21">
        <f>SUMIF(ConfirmedRaw!$B:$B,$A21,ConfirmedRaw!BM:BM)</f>
        <v>0</v>
      </c>
      <c r="BK21">
        <f>SUMIF(ConfirmedRaw!$B:$B,$A21,ConfirmedRaw!BN:BN)</f>
        <v>0</v>
      </c>
      <c r="BL21">
        <f>SUMIF(ConfirmedRaw!$B:$B,$A21,ConfirmedRaw!BO:BO)</f>
        <v>0</v>
      </c>
      <c r="BM21">
        <f>SUMIF(ConfirmedRaw!$B:$B,$A21,ConfirmedRaw!BP:BP)</f>
        <v>0</v>
      </c>
      <c r="BN21">
        <f>SUMIF(ConfirmedRaw!$B:$B,$A21,ConfirmedRaw!BQ:BQ)</f>
        <v>0</v>
      </c>
      <c r="BO21">
        <f>SUMIF(ConfirmedRaw!$B:$B,$A21,ConfirmedRaw!BR:BR)</f>
        <v>0</v>
      </c>
      <c r="BP21">
        <f>SUMIF(ConfirmedRaw!$B:$B,$A21,ConfirmedRaw!BS:BS)</f>
        <v>0</v>
      </c>
      <c r="BQ21">
        <f>SUMIF(ConfirmedRaw!$B:$B,$A21,ConfirmedRaw!BT:BT)</f>
        <v>0</v>
      </c>
      <c r="BR21">
        <f>SUMIF(ConfirmedRaw!$B:$B,$A21,ConfirmedRaw!BU:BU)</f>
        <v>0</v>
      </c>
      <c r="BS21">
        <f>SUMIF(ConfirmedRaw!$B:$B,$A21,ConfirmedRaw!BV:BV)</f>
        <v>0</v>
      </c>
      <c r="BT21">
        <f>SUMIF(ConfirmedRaw!$B:$B,$A21,ConfirmedRaw!BW:BW)</f>
        <v>0</v>
      </c>
    </row>
    <row r="22" spans="1:72" ht="15" thickBot="1" x14ac:dyDescent="0.35">
      <c r="A22" s="3" t="s">
        <v>40</v>
      </c>
      <c r="B22">
        <f>SUMIF(ConfirmedRaw!$B:$B,$A22,ConfirmedRaw!E:E)</f>
        <v>0</v>
      </c>
      <c r="C22">
        <f>SUMIF(ConfirmedRaw!$B:$B,$A22,ConfirmedRaw!F:F)</f>
        <v>1</v>
      </c>
      <c r="D22">
        <f>SUMIF(ConfirmedRaw!$B:$B,$A22,ConfirmedRaw!G:G)</f>
        <v>3</v>
      </c>
      <c r="E22">
        <f>SUMIF(ConfirmedRaw!$B:$B,$A22,ConfirmedRaw!H:H)</f>
        <v>3</v>
      </c>
      <c r="F22">
        <f>SUMIF(ConfirmedRaw!$B:$B,$A22,ConfirmedRaw!I:I)</f>
        <v>4</v>
      </c>
      <c r="G22">
        <f>SUMIF(ConfirmedRaw!$B:$B,$A22,ConfirmedRaw!J:J)</f>
        <v>5</v>
      </c>
      <c r="H22">
        <f>SUMIF(ConfirmedRaw!$B:$B,$A22,ConfirmedRaw!K:K)</f>
        <v>7</v>
      </c>
      <c r="I22">
        <f>SUMIF(ConfirmedRaw!$B:$B,$A22,ConfirmedRaw!L:L)</f>
        <v>7</v>
      </c>
      <c r="J22">
        <f>SUMIF(ConfirmedRaw!$B:$B,$A22,ConfirmedRaw!M:M)</f>
        <v>10</v>
      </c>
      <c r="K22">
        <f>SUMIF(ConfirmedRaw!$B:$B,$A22,ConfirmedRaw!N:N)</f>
        <v>13</v>
      </c>
      <c r="L22">
        <f>SUMIF(ConfirmedRaw!$B:$B,$A22,ConfirmedRaw!O:O)</f>
        <v>16</v>
      </c>
      <c r="M22">
        <f>SUMIF(ConfirmedRaw!$B:$B,$A22,ConfirmedRaw!P:P)</f>
        <v>18</v>
      </c>
      <c r="N22">
        <f>SUMIF(ConfirmedRaw!$B:$B,$A22,ConfirmedRaw!Q:Q)</f>
        <v>18</v>
      </c>
      <c r="O22">
        <f>SUMIF(ConfirmedRaw!$B:$B,$A22,ConfirmedRaw!R:R)</f>
        <v>24</v>
      </c>
      <c r="P22">
        <f>SUMIF(ConfirmedRaw!$B:$B,$A22,ConfirmedRaw!S:S)</f>
        <v>28</v>
      </c>
      <c r="Q22">
        <f>SUMIF(ConfirmedRaw!$B:$B,$A22,ConfirmedRaw!T:T)</f>
        <v>28</v>
      </c>
      <c r="R22">
        <f>SUMIF(ConfirmedRaw!$B:$B,$A22,ConfirmedRaw!U:U)</f>
        <v>30</v>
      </c>
      <c r="S22">
        <f>SUMIF(ConfirmedRaw!$B:$B,$A22,ConfirmedRaw!V:V)</f>
        <v>33</v>
      </c>
      <c r="T22">
        <f>SUMIF(ConfirmedRaw!$B:$B,$A22,ConfirmedRaw!W:W)</f>
        <v>40</v>
      </c>
      <c r="U22">
        <f>SUMIF(ConfirmedRaw!$B:$B,$A22,ConfirmedRaw!X:X)</f>
        <v>45</v>
      </c>
      <c r="V22">
        <f>SUMIF(ConfirmedRaw!$B:$B,$A22,ConfirmedRaw!Y:Y)</f>
        <v>47</v>
      </c>
      <c r="W22">
        <f>SUMIF(ConfirmedRaw!$B:$B,$A22,ConfirmedRaw!Z:Z)</f>
        <v>50</v>
      </c>
      <c r="X22">
        <f>SUMIF(ConfirmedRaw!$B:$B,$A22,ConfirmedRaw!AA:AA)</f>
        <v>58</v>
      </c>
      <c r="Y22">
        <f>SUMIF(ConfirmedRaw!$B:$B,$A22,ConfirmedRaw!AB:AB)</f>
        <v>67</v>
      </c>
      <c r="Z22">
        <f>SUMIF(ConfirmedRaw!$B:$B,$A22,ConfirmedRaw!AC:AC)</f>
        <v>72</v>
      </c>
      <c r="AA22">
        <f>SUMIF(ConfirmedRaw!$B:$B,$A22,ConfirmedRaw!AD:AD)</f>
        <v>75</v>
      </c>
      <c r="AB22">
        <f>SUMIF(ConfirmedRaw!$B:$B,$A22,ConfirmedRaw!AE:AE)</f>
        <v>77</v>
      </c>
      <c r="AC22">
        <f>SUMIF(ConfirmedRaw!$B:$B,$A22,ConfirmedRaw!AF:AF)</f>
        <v>81</v>
      </c>
      <c r="AD22">
        <f>SUMIF(ConfirmedRaw!$B:$B,$A22,ConfirmedRaw!AG:AG)</f>
        <v>84</v>
      </c>
      <c r="AE22">
        <f>SUMIF(ConfirmedRaw!$B:$B,$A22,ConfirmedRaw!AH:AH)</f>
        <v>84</v>
      </c>
      <c r="AF22">
        <f>SUMIF(ConfirmedRaw!$B:$B,$A22,ConfirmedRaw!AI:AI)</f>
        <v>85</v>
      </c>
      <c r="AG22">
        <f>SUMIF(ConfirmedRaw!$B:$B,$A22,ConfirmedRaw!AJ:AJ)</f>
        <v>85</v>
      </c>
      <c r="AH22">
        <f>SUMIF(ConfirmedRaw!$B:$B,$A22,ConfirmedRaw!AK:AK)</f>
        <v>89</v>
      </c>
      <c r="AI22">
        <f>SUMIF(ConfirmedRaw!$B:$B,$A22,ConfirmedRaw!AL:AL)</f>
        <v>89</v>
      </c>
      <c r="AJ22">
        <f>SUMIF(ConfirmedRaw!$B:$B,$A22,ConfirmedRaw!AM:AM)</f>
        <v>91</v>
      </c>
      <c r="AK22">
        <f>SUMIF(ConfirmedRaw!$B:$B,$A22,ConfirmedRaw!AN:AN)</f>
        <v>93</v>
      </c>
      <c r="AL22">
        <f>SUMIF(ConfirmedRaw!$B:$B,$A22,ConfirmedRaw!AO:AO)</f>
        <v>93</v>
      </c>
      <c r="AM22">
        <f>SUMIF(ConfirmedRaw!$B:$B,$A22,ConfirmedRaw!AP:AP)</f>
        <v>93</v>
      </c>
      <c r="AN22">
        <f>SUMIF(ConfirmedRaw!$B:$B,$A22,ConfirmedRaw!AQ:AQ)</f>
        <v>102</v>
      </c>
      <c r="AO22">
        <f>SUMIF(ConfirmedRaw!$B:$B,$A22,ConfirmedRaw!AR:AR)</f>
        <v>106</v>
      </c>
      <c r="AP22">
        <f>SUMIF(ConfirmedRaw!$B:$B,$A22,ConfirmedRaw!AS:AS)</f>
        <v>108</v>
      </c>
      <c r="AQ22">
        <f>SUMIF(ConfirmedRaw!$B:$B,$A22,ConfirmedRaw!AT:AT)</f>
        <v>110</v>
      </c>
      <c r="AR22">
        <f>SUMIF(ConfirmedRaw!$B:$B,$A22,ConfirmedRaw!AU:AU)</f>
        <v>110</v>
      </c>
      <c r="AS22">
        <f>SUMIF(ConfirmedRaw!$B:$B,$A22,ConfirmedRaw!AV:AV)</f>
        <v>117</v>
      </c>
      <c r="AT22">
        <f>SUMIF(ConfirmedRaw!$B:$B,$A22,ConfirmedRaw!AW:AW)</f>
        <v>130</v>
      </c>
      <c r="AU22">
        <f>SUMIF(ConfirmedRaw!$B:$B,$A22,ConfirmedRaw!AX:AX)</f>
        <v>138</v>
      </c>
      <c r="AV22">
        <f>SUMIF(ConfirmedRaw!$B:$B,$A22,ConfirmedRaw!AY:AY)</f>
        <v>150</v>
      </c>
      <c r="AW22">
        <f>SUMIF(ConfirmedRaw!$B:$B,$A22,ConfirmedRaw!AZ:AZ)</f>
        <v>150</v>
      </c>
      <c r="AX22">
        <f>SUMIF(ConfirmedRaw!$B:$B,$A22,ConfirmedRaw!BA:BA)</f>
        <v>160</v>
      </c>
      <c r="AY22">
        <f>SUMIF(ConfirmedRaw!$B:$B,$A22,ConfirmedRaw!BB:BB)</f>
        <v>178</v>
      </c>
      <c r="AZ22">
        <f>SUMIF(ConfirmedRaw!$B:$B,$A22,ConfirmedRaw!BC:BC)</f>
        <v>178</v>
      </c>
      <c r="BA22">
        <f>SUMIF(ConfirmedRaw!$B:$B,$A22,ConfirmedRaw!BD:BD)</f>
        <v>200</v>
      </c>
      <c r="BB22">
        <f>SUMIF(ConfirmedRaw!$B:$B,$A22,ConfirmedRaw!BE:BE)</f>
        <v>212</v>
      </c>
      <c r="BC22">
        <f>SUMIF(ConfirmedRaw!$B:$B,$A22,ConfirmedRaw!BF:BF)</f>
        <v>226</v>
      </c>
      <c r="BD22">
        <f>SUMIF(ConfirmedRaw!$B:$B,$A22,ConfirmedRaw!BG:BG)</f>
        <v>243</v>
      </c>
      <c r="BE22">
        <f>SUMIF(ConfirmedRaw!$B:$B,$A22,ConfirmedRaw!BH:BH)</f>
        <v>266</v>
      </c>
      <c r="BF22">
        <f>SUMIF(ConfirmedRaw!$B:$B,$A22,ConfirmedRaw!BI:BI)</f>
        <v>313</v>
      </c>
      <c r="BG22">
        <f>SUMIF(ConfirmedRaw!$B:$B,$A22,ConfirmedRaw!BJ:BJ)</f>
        <v>0</v>
      </c>
      <c r="BH22">
        <f>SUMIF(ConfirmedRaw!$B:$B,$A22,ConfirmedRaw!BK:BK)</f>
        <v>0</v>
      </c>
      <c r="BI22">
        <f>SUMIF(ConfirmedRaw!$B:$B,$A22,ConfirmedRaw!BL:BL)</f>
        <v>0</v>
      </c>
      <c r="BJ22">
        <f>SUMIF(ConfirmedRaw!$B:$B,$A22,ConfirmedRaw!BM:BM)</f>
        <v>0</v>
      </c>
      <c r="BK22">
        <f>SUMIF(ConfirmedRaw!$B:$B,$A22,ConfirmedRaw!BN:BN)</f>
        <v>0</v>
      </c>
      <c r="BL22">
        <f>SUMIF(ConfirmedRaw!$B:$B,$A22,ConfirmedRaw!BO:BO)</f>
        <v>0</v>
      </c>
      <c r="BM22">
        <f>SUMIF(ConfirmedRaw!$B:$B,$A22,ConfirmedRaw!BP:BP)</f>
        <v>0</v>
      </c>
      <c r="BN22">
        <f>SUMIF(ConfirmedRaw!$B:$B,$A22,ConfirmedRaw!BQ:BQ)</f>
        <v>0</v>
      </c>
      <c r="BO22">
        <f>SUMIF(ConfirmedRaw!$B:$B,$A22,ConfirmedRaw!BR:BR)</f>
        <v>0</v>
      </c>
      <c r="BP22">
        <f>SUMIF(ConfirmedRaw!$B:$B,$A22,ConfirmedRaw!BS:BS)</f>
        <v>0</v>
      </c>
      <c r="BQ22">
        <f>SUMIF(ConfirmedRaw!$B:$B,$A22,ConfirmedRaw!BT:BT)</f>
        <v>0</v>
      </c>
      <c r="BR22">
        <f>SUMIF(ConfirmedRaw!$B:$B,$A22,ConfirmedRaw!BU:BU)</f>
        <v>0</v>
      </c>
      <c r="BS22">
        <f>SUMIF(ConfirmedRaw!$B:$B,$A22,ConfirmedRaw!BV:BV)</f>
        <v>0</v>
      </c>
      <c r="BT22">
        <f>SUMIF(ConfirmedRaw!$B:$B,$A22,ConfirmedRaw!BW:BW)</f>
        <v>0</v>
      </c>
    </row>
    <row r="23" spans="1:72" ht="15" thickBot="1" x14ac:dyDescent="0.35">
      <c r="A23" s="3" t="s">
        <v>43</v>
      </c>
      <c r="B23">
        <f>SUMIF(ConfirmedRaw!$B:$B,$A23,ConfirmedRaw!E:E)</f>
        <v>0</v>
      </c>
      <c r="C23">
        <f>SUMIF(ConfirmedRaw!$B:$B,$A23,ConfirmedRaw!F:F)</f>
        <v>0</v>
      </c>
      <c r="D23">
        <f>SUMIF(ConfirmedRaw!$B:$B,$A23,ConfirmedRaw!G:G)</f>
        <v>0</v>
      </c>
      <c r="E23">
        <f>SUMIF(ConfirmedRaw!$B:$B,$A23,ConfirmedRaw!H:H)</f>
        <v>3</v>
      </c>
      <c r="F23">
        <f>SUMIF(ConfirmedRaw!$B:$B,$A23,ConfirmedRaw!I:I)</f>
        <v>4</v>
      </c>
      <c r="G23">
        <f>SUMIF(ConfirmedRaw!$B:$B,$A23,ConfirmedRaw!J:J)</f>
        <v>4</v>
      </c>
      <c r="H23">
        <f>SUMIF(ConfirmedRaw!$B:$B,$A23,ConfirmedRaw!K:K)</f>
        <v>4</v>
      </c>
      <c r="I23">
        <f>SUMIF(ConfirmedRaw!$B:$B,$A23,ConfirmedRaw!L:L)</f>
        <v>7</v>
      </c>
      <c r="J23">
        <f>SUMIF(ConfirmedRaw!$B:$B,$A23,ConfirmedRaw!M:M)</f>
        <v>8</v>
      </c>
      <c r="K23">
        <f>SUMIF(ConfirmedRaw!$B:$B,$A23,ConfirmedRaw!N:N)</f>
        <v>8</v>
      </c>
      <c r="L23">
        <f>SUMIF(ConfirmedRaw!$B:$B,$A23,ConfirmedRaw!O:O)</f>
        <v>8</v>
      </c>
      <c r="M23">
        <f>SUMIF(ConfirmedRaw!$B:$B,$A23,ConfirmedRaw!P:P)</f>
        <v>8</v>
      </c>
      <c r="N23">
        <f>SUMIF(ConfirmedRaw!$B:$B,$A23,ConfirmedRaw!Q:Q)</f>
        <v>8</v>
      </c>
      <c r="O23">
        <f>SUMIF(ConfirmedRaw!$B:$B,$A23,ConfirmedRaw!R:R)</f>
        <v>10</v>
      </c>
      <c r="P23">
        <f>SUMIF(ConfirmedRaw!$B:$B,$A23,ConfirmedRaw!S:S)</f>
        <v>12</v>
      </c>
      <c r="Q23">
        <f>SUMIF(ConfirmedRaw!$B:$B,$A23,ConfirmedRaw!T:T)</f>
        <v>12</v>
      </c>
      <c r="R23">
        <f>SUMIF(ConfirmedRaw!$B:$B,$A23,ConfirmedRaw!U:U)</f>
        <v>12</v>
      </c>
      <c r="S23">
        <f>SUMIF(ConfirmedRaw!$B:$B,$A23,ConfirmedRaw!V:V)</f>
        <v>16</v>
      </c>
      <c r="T23">
        <f>SUMIF(ConfirmedRaw!$B:$B,$A23,ConfirmedRaw!W:W)</f>
        <v>16</v>
      </c>
      <c r="U23">
        <f>SUMIF(ConfirmedRaw!$B:$B,$A23,ConfirmedRaw!X:X)</f>
        <v>18</v>
      </c>
      <c r="V23">
        <f>SUMIF(ConfirmedRaw!$B:$B,$A23,ConfirmedRaw!Y:Y)</f>
        <v>18</v>
      </c>
      <c r="W23">
        <f>SUMIF(ConfirmedRaw!$B:$B,$A23,ConfirmedRaw!Z:Z)</f>
        <v>18</v>
      </c>
      <c r="X23">
        <f>SUMIF(ConfirmedRaw!$B:$B,$A23,ConfirmedRaw!AA:AA)</f>
        <v>19</v>
      </c>
      <c r="Y23">
        <f>SUMIF(ConfirmedRaw!$B:$B,$A23,ConfirmedRaw!AB:AB)</f>
        <v>19</v>
      </c>
      <c r="Z23">
        <f>SUMIF(ConfirmedRaw!$B:$B,$A23,ConfirmedRaw!AC:AC)</f>
        <v>22</v>
      </c>
      <c r="AA23">
        <f>SUMIF(ConfirmedRaw!$B:$B,$A23,ConfirmedRaw!AD:AD)</f>
        <v>22</v>
      </c>
      <c r="AB23">
        <f>SUMIF(ConfirmedRaw!$B:$B,$A23,ConfirmedRaw!AE:AE)</f>
        <v>22</v>
      </c>
      <c r="AC23">
        <f>SUMIF(ConfirmedRaw!$B:$B,$A23,ConfirmedRaw!AF:AF)</f>
        <v>22</v>
      </c>
      <c r="AD23">
        <f>SUMIF(ConfirmedRaw!$B:$B,$A23,ConfirmedRaw!AG:AG)</f>
        <v>22</v>
      </c>
      <c r="AE23">
        <f>SUMIF(ConfirmedRaw!$B:$B,$A23,ConfirmedRaw!AH:AH)</f>
        <v>22</v>
      </c>
      <c r="AF23">
        <f>SUMIF(ConfirmedRaw!$B:$B,$A23,ConfirmedRaw!AI:AI)</f>
        <v>22</v>
      </c>
      <c r="AG23">
        <f>SUMIF(ConfirmedRaw!$B:$B,$A23,ConfirmedRaw!AJ:AJ)</f>
        <v>22</v>
      </c>
      <c r="AH23">
        <f>SUMIF(ConfirmedRaw!$B:$B,$A23,ConfirmedRaw!AK:AK)</f>
        <v>22</v>
      </c>
      <c r="AI23">
        <f>SUMIF(ConfirmedRaw!$B:$B,$A23,ConfirmedRaw!AL:AL)</f>
        <v>22</v>
      </c>
      <c r="AJ23">
        <f>SUMIF(ConfirmedRaw!$B:$B,$A23,ConfirmedRaw!AM:AM)</f>
        <v>22</v>
      </c>
      <c r="AK23">
        <f>SUMIF(ConfirmedRaw!$B:$B,$A23,ConfirmedRaw!AN:AN)</f>
        <v>22</v>
      </c>
      <c r="AL23">
        <f>SUMIF(ConfirmedRaw!$B:$B,$A23,ConfirmedRaw!AO:AO)</f>
        <v>23</v>
      </c>
      <c r="AM23">
        <f>SUMIF(ConfirmedRaw!$B:$B,$A23,ConfirmedRaw!AP:AP)</f>
        <v>23</v>
      </c>
      <c r="AN23">
        <f>SUMIF(ConfirmedRaw!$B:$B,$A23,ConfirmedRaw!AQ:AQ)</f>
        <v>25</v>
      </c>
      <c r="AO23">
        <f>SUMIF(ConfirmedRaw!$B:$B,$A23,ConfirmedRaw!AR:AR)</f>
        <v>29</v>
      </c>
      <c r="AP23">
        <f>SUMIF(ConfirmedRaw!$B:$B,$A23,ConfirmedRaw!AS:AS)</f>
        <v>29</v>
      </c>
      <c r="AQ23">
        <f>SUMIF(ConfirmedRaw!$B:$B,$A23,ConfirmedRaw!AT:AT)</f>
        <v>36</v>
      </c>
      <c r="AR23">
        <f>SUMIF(ConfirmedRaw!$B:$B,$A23,ConfirmedRaw!AU:AU)</f>
        <v>50</v>
      </c>
      <c r="AS23">
        <f>SUMIF(ConfirmedRaw!$B:$B,$A23,ConfirmedRaw!AV:AV)</f>
        <v>50</v>
      </c>
      <c r="AT23">
        <f>SUMIF(ConfirmedRaw!$B:$B,$A23,ConfirmedRaw!AW:AW)</f>
        <v>83</v>
      </c>
      <c r="AU23">
        <f>SUMIF(ConfirmedRaw!$B:$B,$A23,ConfirmedRaw!AX:AX)</f>
        <v>93</v>
      </c>
      <c r="AV23">
        <f>SUMIF(ConfirmedRaw!$B:$B,$A23,ConfirmedRaw!AY:AY)</f>
        <v>99</v>
      </c>
      <c r="AW23">
        <f>SUMIF(ConfirmedRaw!$B:$B,$A23,ConfirmedRaw!AZ:AZ)</f>
        <v>117</v>
      </c>
      <c r="AX23">
        <f>SUMIF(ConfirmedRaw!$B:$B,$A23,ConfirmedRaw!BA:BA)</f>
        <v>129</v>
      </c>
      <c r="AY23">
        <f>SUMIF(ConfirmedRaw!$B:$B,$A23,ConfirmedRaw!BB:BB)</f>
        <v>149</v>
      </c>
      <c r="AZ23">
        <f>SUMIF(ConfirmedRaw!$B:$B,$A23,ConfirmedRaw!BC:BC)</f>
        <v>149</v>
      </c>
      <c r="BA23">
        <f>SUMIF(ConfirmedRaw!$B:$B,$A23,ConfirmedRaw!BD:BD)</f>
        <v>197</v>
      </c>
      <c r="BB23">
        <f>SUMIF(ConfirmedRaw!$B:$B,$A23,ConfirmedRaw!BE:BE)</f>
        <v>238</v>
      </c>
      <c r="BC23">
        <f>SUMIF(ConfirmedRaw!$B:$B,$A23,ConfirmedRaw!BF:BF)</f>
        <v>428</v>
      </c>
      <c r="BD23">
        <f>SUMIF(ConfirmedRaw!$B:$B,$A23,ConfirmedRaw!BG:BG)</f>
        <v>566</v>
      </c>
      <c r="BE23">
        <f>SUMIF(ConfirmedRaw!$B:$B,$A23,ConfirmedRaw!BH:BH)</f>
        <v>673</v>
      </c>
      <c r="BF23">
        <f>SUMIF(ConfirmedRaw!$B:$B,$A23,ConfirmedRaw!BI:BI)</f>
        <v>790</v>
      </c>
      <c r="BG23">
        <f>SUMIF(ConfirmedRaw!$B:$B,$A23,ConfirmedRaw!BJ:BJ)</f>
        <v>0</v>
      </c>
      <c r="BH23">
        <f>SUMIF(ConfirmedRaw!$B:$B,$A23,ConfirmedRaw!BK:BK)</f>
        <v>0</v>
      </c>
      <c r="BI23">
        <f>SUMIF(ConfirmedRaw!$B:$B,$A23,ConfirmedRaw!BL:BL)</f>
        <v>0</v>
      </c>
      <c r="BJ23">
        <f>SUMIF(ConfirmedRaw!$B:$B,$A23,ConfirmedRaw!BM:BM)</f>
        <v>0</v>
      </c>
      <c r="BK23">
        <f>SUMIF(ConfirmedRaw!$B:$B,$A23,ConfirmedRaw!BN:BN)</f>
        <v>0</v>
      </c>
      <c r="BL23">
        <f>SUMIF(ConfirmedRaw!$B:$B,$A23,ConfirmedRaw!BO:BO)</f>
        <v>0</v>
      </c>
      <c r="BM23">
        <f>SUMIF(ConfirmedRaw!$B:$B,$A23,ConfirmedRaw!BP:BP)</f>
        <v>0</v>
      </c>
      <c r="BN23">
        <f>SUMIF(ConfirmedRaw!$B:$B,$A23,ConfirmedRaw!BQ:BQ)</f>
        <v>0</v>
      </c>
      <c r="BO23">
        <f>SUMIF(ConfirmedRaw!$B:$B,$A23,ConfirmedRaw!BR:BR)</f>
        <v>0</v>
      </c>
      <c r="BP23">
        <f>SUMIF(ConfirmedRaw!$B:$B,$A23,ConfirmedRaw!BS:BS)</f>
        <v>0</v>
      </c>
      <c r="BQ23">
        <f>SUMIF(ConfirmedRaw!$B:$B,$A23,ConfirmedRaw!BT:BT)</f>
        <v>0</v>
      </c>
      <c r="BR23">
        <f>SUMIF(ConfirmedRaw!$B:$B,$A23,ConfirmedRaw!BU:BU)</f>
        <v>0</v>
      </c>
      <c r="BS23">
        <f>SUMIF(ConfirmedRaw!$B:$B,$A23,ConfirmedRaw!BV:BV)</f>
        <v>0</v>
      </c>
      <c r="BT23">
        <f>SUMIF(ConfirmedRaw!$B:$B,$A23,ConfirmedRaw!BW:BW)</f>
        <v>0</v>
      </c>
    </row>
    <row r="24" spans="1:72" ht="15" thickBot="1" x14ac:dyDescent="0.35">
      <c r="A24" s="4" t="s">
        <v>45</v>
      </c>
      <c r="B24">
        <f>SUMIF(ConfirmedRaw!$B:$B,$A24,ConfirmedRaw!E:E)</f>
        <v>0</v>
      </c>
      <c r="C24">
        <f>SUMIF(ConfirmedRaw!$B:$B,$A24,ConfirmedRaw!F:F)</f>
        <v>0</v>
      </c>
      <c r="D24">
        <f>SUMIF(ConfirmedRaw!$B:$B,$A24,ConfirmedRaw!G:G)</f>
        <v>0</v>
      </c>
      <c r="E24">
        <f>SUMIF(ConfirmedRaw!$B:$B,$A24,ConfirmedRaw!H:H)</f>
        <v>0</v>
      </c>
      <c r="F24">
        <f>SUMIF(ConfirmedRaw!$B:$B,$A24,ConfirmedRaw!I:I)</f>
        <v>1</v>
      </c>
      <c r="G24">
        <f>SUMIF(ConfirmedRaw!$B:$B,$A24,ConfirmedRaw!J:J)</f>
        <v>1</v>
      </c>
      <c r="H24">
        <f>SUMIF(ConfirmedRaw!$B:$B,$A24,ConfirmedRaw!K:K)</f>
        <v>2</v>
      </c>
      <c r="I24">
        <f>SUMIF(ConfirmedRaw!$B:$B,$A24,ConfirmedRaw!L:L)</f>
        <v>2</v>
      </c>
      <c r="J24">
        <f>SUMIF(ConfirmedRaw!$B:$B,$A24,ConfirmedRaw!M:M)</f>
        <v>2</v>
      </c>
      <c r="K24">
        <f>SUMIF(ConfirmedRaw!$B:$B,$A24,ConfirmedRaw!N:N)</f>
        <v>4</v>
      </c>
      <c r="L24">
        <f>SUMIF(ConfirmedRaw!$B:$B,$A24,ConfirmedRaw!O:O)</f>
        <v>4</v>
      </c>
      <c r="M24">
        <f>SUMIF(ConfirmedRaw!$B:$B,$A24,ConfirmedRaw!P:P)</f>
        <v>4</v>
      </c>
      <c r="N24">
        <f>SUMIF(ConfirmedRaw!$B:$B,$A24,ConfirmedRaw!Q:Q)</f>
        <v>4</v>
      </c>
      <c r="O24">
        <f>SUMIF(ConfirmedRaw!$B:$B,$A24,ConfirmedRaw!R:R)</f>
        <v>4</v>
      </c>
      <c r="P24">
        <f>SUMIF(ConfirmedRaw!$B:$B,$A24,ConfirmedRaw!S:S)</f>
        <v>5</v>
      </c>
      <c r="Q24">
        <f>SUMIF(ConfirmedRaw!$B:$B,$A24,ConfirmedRaw!T:T)</f>
        <v>5</v>
      </c>
      <c r="R24">
        <f>SUMIF(ConfirmedRaw!$B:$B,$A24,ConfirmedRaw!U:U)</f>
        <v>7</v>
      </c>
      <c r="S24">
        <f>SUMIF(ConfirmedRaw!$B:$B,$A24,ConfirmedRaw!V:V)</f>
        <v>7</v>
      </c>
      <c r="T24">
        <f>SUMIF(ConfirmedRaw!$B:$B,$A24,ConfirmedRaw!W:W)</f>
        <v>7</v>
      </c>
      <c r="U24">
        <f>SUMIF(ConfirmedRaw!$B:$B,$A24,ConfirmedRaw!X:X)</f>
        <v>7</v>
      </c>
      <c r="V24">
        <f>SUMIF(ConfirmedRaw!$B:$B,$A24,ConfirmedRaw!Y:Y)</f>
        <v>7</v>
      </c>
      <c r="W24">
        <f>SUMIF(ConfirmedRaw!$B:$B,$A24,ConfirmedRaw!Z:Z)</f>
        <v>7</v>
      </c>
      <c r="X24">
        <f>SUMIF(ConfirmedRaw!$B:$B,$A24,ConfirmedRaw!AA:AA)</f>
        <v>7</v>
      </c>
      <c r="Y24">
        <f>SUMIF(ConfirmedRaw!$B:$B,$A24,ConfirmedRaw!AB:AB)</f>
        <v>7</v>
      </c>
      <c r="Z24">
        <f>SUMIF(ConfirmedRaw!$B:$B,$A24,ConfirmedRaw!AC:AC)</f>
        <v>7</v>
      </c>
      <c r="AA24">
        <f>SUMIF(ConfirmedRaw!$B:$B,$A24,ConfirmedRaw!AD:AD)</f>
        <v>7</v>
      </c>
      <c r="AB24">
        <f>SUMIF(ConfirmedRaw!$B:$B,$A24,ConfirmedRaw!AE:AE)</f>
        <v>8</v>
      </c>
      <c r="AC24">
        <f>SUMIF(ConfirmedRaw!$B:$B,$A24,ConfirmedRaw!AF:AF)</f>
        <v>8</v>
      </c>
      <c r="AD24">
        <f>SUMIF(ConfirmedRaw!$B:$B,$A24,ConfirmedRaw!AG:AG)</f>
        <v>8</v>
      </c>
      <c r="AE24">
        <f>SUMIF(ConfirmedRaw!$B:$B,$A24,ConfirmedRaw!AH:AH)</f>
        <v>8</v>
      </c>
      <c r="AF24">
        <f>SUMIF(ConfirmedRaw!$B:$B,$A24,ConfirmedRaw!AI:AI)</f>
        <v>9</v>
      </c>
      <c r="AG24">
        <f>SUMIF(ConfirmedRaw!$B:$B,$A24,ConfirmedRaw!AJ:AJ)</f>
        <v>9</v>
      </c>
      <c r="AH24">
        <f>SUMIF(ConfirmedRaw!$B:$B,$A24,ConfirmedRaw!AK:AK)</f>
        <v>9</v>
      </c>
      <c r="AI24">
        <f>SUMIF(ConfirmedRaw!$B:$B,$A24,ConfirmedRaw!AL:AL)</f>
        <v>10</v>
      </c>
      <c r="AJ24">
        <f>SUMIF(ConfirmedRaw!$B:$B,$A24,ConfirmedRaw!AM:AM)</f>
        <v>11</v>
      </c>
      <c r="AK24">
        <f>SUMIF(ConfirmedRaw!$B:$B,$A24,ConfirmedRaw!AN:AN)</f>
        <v>11</v>
      </c>
      <c r="AL24">
        <f>SUMIF(ConfirmedRaw!$B:$B,$A24,ConfirmedRaw!AO:AO)</f>
        <v>13</v>
      </c>
      <c r="AM24">
        <f>SUMIF(ConfirmedRaw!$B:$B,$A24,ConfirmedRaw!AP:AP)</f>
        <v>14</v>
      </c>
      <c r="AN24">
        <f>SUMIF(ConfirmedRaw!$B:$B,$A24,ConfirmedRaw!AQ:AQ)</f>
        <v>20</v>
      </c>
      <c r="AO24">
        <f>SUMIF(ConfirmedRaw!$B:$B,$A24,ConfirmedRaw!AR:AR)</f>
        <v>24</v>
      </c>
      <c r="AP24">
        <f>SUMIF(ConfirmedRaw!$B:$B,$A24,ConfirmedRaw!AS:AS)</f>
        <v>27</v>
      </c>
      <c r="AQ24">
        <f>SUMIF(ConfirmedRaw!$B:$B,$A24,ConfirmedRaw!AT:AT)</f>
        <v>30</v>
      </c>
      <c r="AR24">
        <f>SUMIF(ConfirmedRaw!$B:$B,$A24,ConfirmedRaw!AU:AU)</f>
        <v>33</v>
      </c>
      <c r="AS24">
        <f>SUMIF(ConfirmedRaw!$B:$B,$A24,ConfirmedRaw!AV:AV)</f>
        <v>37</v>
      </c>
      <c r="AT24">
        <f>SUMIF(ConfirmedRaw!$B:$B,$A24,ConfirmedRaw!AW:AW)</f>
        <v>49</v>
      </c>
      <c r="AU24">
        <f>SUMIF(ConfirmedRaw!$B:$B,$A24,ConfirmedRaw!AX:AX)</f>
        <v>54</v>
      </c>
      <c r="AV24">
        <f>SUMIF(ConfirmedRaw!$B:$B,$A24,ConfirmedRaw!AY:AY)</f>
        <v>64</v>
      </c>
      <c r="AW24">
        <f>SUMIF(ConfirmedRaw!$B:$B,$A24,ConfirmedRaw!AZ:AZ)</f>
        <v>77</v>
      </c>
      <c r="AX24">
        <f>SUMIF(ConfirmedRaw!$B:$B,$A24,ConfirmedRaw!BA:BA)</f>
        <v>79</v>
      </c>
      <c r="AY24">
        <f>SUMIF(ConfirmedRaw!$B:$B,$A24,ConfirmedRaw!BB:BB)</f>
        <v>108</v>
      </c>
      <c r="AZ24">
        <f>SUMIF(ConfirmedRaw!$B:$B,$A24,ConfirmedRaw!BC:BC)</f>
        <v>117</v>
      </c>
      <c r="BA24">
        <f>SUMIF(ConfirmedRaw!$B:$B,$A24,ConfirmedRaw!BD:BD)</f>
        <v>193</v>
      </c>
      <c r="BB24">
        <f>SUMIF(ConfirmedRaw!$B:$B,$A24,ConfirmedRaw!BE:BE)</f>
        <v>198</v>
      </c>
      <c r="BC24">
        <f>SUMIF(ConfirmedRaw!$B:$B,$A24,ConfirmedRaw!BF:BF)</f>
        <v>252</v>
      </c>
      <c r="BD24">
        <f>SUMIF(ConfirmedRaw!$B:$B,$A24,ConfirmedRaw!BG:BG)</f>
        <v>415</v>
      </c>
      <c r="BE24">
        <f>SUMIF(ConfirmedRaw!$B:$B,$A24,ConfirmedRaw!BH:BH)</f>
        <v>478</v>
      </c>
      <c r="BF24">
        <f>SUMIF(ConfirmedRaw!$B:$B,$A24,ConfirmedRaw!BI:BI)</f>
        <v>657</v>
      </c>
      <c r="BG24">
        <f>SUMIF(ConfirmedRaw!$B:$B,$A24,ConfirmedRaw!BJ:BJ)</f>
        <v>0</v>
      </c>
      <c r="BH24">
        <f>SUMIF(ConfirmedRaw!$B:$B,$A24,ConfirmedRaw!BK:BK)</f>
        <v>0</v>
      </c>
      <c r="BI24">
        <f>SUMIF(ConfirmedRaw!$B:$B,$A24,ConfirmedRaw!BL:BL)</f>
        <v>0</v>
      </c>
      <c r="BJ24">
        <f>SUMIF(ConfirmedRaw!$B:$B,$A24,ConfirmedRaw!BM:BM)</f>
        <v>0</v>
      </c>
      <c r="BK24">
        <f>SUMIF(ConfirmedRaw!$B:$B,$A24,ConfirmedRaw!BN:BN)</f>
        <v>0</v>
      </c>
      <c r="BL24">
        <f>SUMIF(ConfirmedRaw!$B:$B,$A24,ConfirmedRaw!BO:BO)</f>
        <v>0</v>
      </c>
      <c r="BM24">
        <f>SUMIF(ConfirmedRaw!$B:$B,$A24,ConfirmedRaw!BP:BP)</f>
        <v>0</v>
      </c>
      <c r="BN24">
        <f>SUMIF(ConfirmedRaw!$B:$B,$A24,ConfirmedRaw!BQ:BQ)</f>
        <v>0</v>
      </c>
      <c r="BO24">
        <f>SUMIF(ConfirmedRaw!$B:$B,$A24,ConfirmedRaw!BR:BR)</f>
        <v>0</v>
      </c>
      <c r="BP24">
        <f>SUMIF(ConfirmedRaw!$B:$B,$A24,ConfirmedRaw!BS:BS)</f>
        <v>0</v>
      </c>
      <c r="BQ24">
        <f>SUMIF(ConfirmedRaw!$B:$B,$A24,ConfirmedRaw!BT:BT)</f>
        <v>0</v>
      </c>
      <c r="BR24">
        <f>SUMIF(ConfirmedRaw!$B:$B,$A24,ConfirmedRaw!BU:BU)</f>
        <v>0</v>
      </c>
      <c r="BS24">
        <f>SUMIF(ConfirmedRaw!$B:$B,$A24,ConfirmedRaw!BV:BV)</f>
        <v>0</v>
      </c>
      <c r="BT24">
        <f>SUMIF(ConfirmedRaw!$B:$B,$A24,ConfirmedRaw!BW:BW)</f>
        <v>0</v>
      </c>
    </row>
    <row r="25" spans="1:72" ht="15" thickBot="1" x14ac:dyDescent="0.35">
      <c r="A25" s="4" t="s">
        <v>83</v>
      </c>
      <c r="B25">
        <f>SUMIF(ConfirmedRaw!$B:$B,$A25,ConfirmedRaw!E:E)</f>
        <v>0</v>
      </c>
      <c r="C25">
        <f>SUMIF(ConfirmedRaw!$B:$B,$A25,ConfirmedRaw!F:F)</f>
        <v>0</v>
      </c>
      <c r="D25">
        <f>SUMIF(ConfirmedRaw!$B:$B,$A25,ConfirmedRaw!G:G)</f>
        <v>0</v>
      </c>
      <c r="E25">
        <f>SUMIF(ConfirmedRaw!$B:$B,$A25,ConfirmedRaw!H:H)</f>
        <v>0</v>
      </c>
      <c r="F25">
        <f>SUMIF(ConfirmedRaw!$B:$B,$A25,ConfirmedRaw!I:I)</f>
        <v>0</v>
      </c>
      <c r="G25">
        <f>SUMIF(ConfirmedRaw!$B:$B,$A25,ConfirmedRaw!J:J)</f>
        <v>0</v>
      </c>
      <c r="H25">
        <f>SUMIF(ConfirmedRaw!$B:$B,$A25,ConfirmedRaw!K:K)</f>
        <v>0</v>
      </c>
      <c r="I25">
        <f>SUMIF(ConfirmedRaw!$B:$B,$A25,ConfirmedRaw!L:L)</f>
        <v>0</v>
      </c>
      <c r="J25">
        <f>SUMIF(ConfirmedRaw!$B:$B,$A25,ConfirmedRaw!M:M)</f>
        <v>0</v>
      </c>
      <c r="K25">
        <f>SUMIF(ConfirmedRaw!$B:$B,$A25,ConfirmedRaw!N:N)</f>
        <v>0</v>
      </c>
      <c r="L25">
        <f>SUMIF(ConfirmedRaw!$B:$B,$A25,ConfirmedRaw!O:O)</f>
        <v>0</v>
      </c>
      <c r="M25">
        <f>SUMIF(ConfirmedRaw!$B:$B,$A25,ConfirmedRaw!P:P)</f>
        <v>0</v>
      </c>
      <c r="N25">
        <f>SUMIF(ConfirmedRaw!$B:$B,$A25,ConfirmedRaw!Q:Q)</f>
        <v>0</v>
      </c>
      <c r="O25">
        <f>SUMIF(ConfirmedRaw!$B:$B,$A25,ConfirmedRaw!R:R)</f>
        <v>0</v>
      </c>
      <c r="P25">
        <f>SUMIF(ConfirmedRaw!$B:$B,$A25,ConfirmedRaw!S:S)</f>
        <v>0</v>
      </c>
      <c r="Q25">
        <f>SUMIF(ConfirmedRaw!$B:$B,$A25,ConfirmedRaw!T:T)</f>
        <v>0</v>
      </c>
      <c r="R25">
        <f>SUMIF(ConfirmedRaw!$B:$B,$A25,ConfirmedRaw!U:U)</f>
        <v>0</v>
      </c>
      <c r="S25">
        <f>SUMIF(ConfirmedRaw!$B:$B,$A25,ConfirmedRaw!V:V)</f>
        <v>0</v>
      </c>
      <c r="T25">
        <f>SUMIF(ConfirmedRaw!$B:$B,$A25,ConfirmedRaw!W:W)</f>
        <v>0</v>
      </c>
      <c r="U25">
        <f>SUMIF(ConfirmedRaw!$B:$B,$A25,ConfirmedRaw!X:X)</f>
        <v>0</v>
      </c>
      <c r="V25">
        <f>SUMIF(ConfirmedRaw!$B:$B,$A25,ConfirmedRaw!Y:Y)</f>
        <v>0</v>
      </c>
      <c r="W25">
        <f>SUMIF(ConfirmedRaw!$B:$B,$A25,ConfirmedRaw!Z:Z)</f>
        <v>0</v>
      </c>
      <c r="X25">
        <f>SUMIF(ConfirmedRaw!$B:$B,$A25,ConfirmedRaw!AA:AA)</f>
        <v>0</v>
      </c>
      <c r="Y25">
        <f>SUMIF(ConfirmedRaw!$B:$B,$A25,ConfirmedRaw!AB:AB)</f>
        <v>0</v>
      </c>
      <c r="Z25">
        <f>SUMIF(ConfirmedRaw!$B:$B,$A25,ConfirmedRaw!AC:AC)</f>
        <v>0</v>
      </c>
      <c r="AA25">
        <f>SUMIF(ConfirmedRaw!$B:$B,$A25,ConfirmedRaw!AD:AD)</f>
        <v>0</v>
      </c>
      <c r="AB25">
        <f>SUMIF(ConfirmedRaw!$B:$B,$A25,ConfirmedRaw!AE:AE)</f>
        <v>0</v>
      </c>
      <c r="AC25">
        <f>SUMIF(ConfirmedRaw!$B:$B,$A25,ConfirmedRaw!AF:AF)</f>
        <v>0</v>
      </c>
      <c r="AD25">
        <f>SUMIF(ConfirmedRaw!$B:$B,$A25,ConfirmedRaw!AG:AG)</f>
        <v>0</v>
      </c>
      <c r="AE25">
        <f>SUMIF(ConfirmedRaw!$B:$B,$A25,ConfirmedRaw!AH:AH)</f>
        <v>0</v>
      </c>
      <c r="AF25">
        <f>SUMIF(ConfirmedRaw!$B:$B,$A25,ConfirmedRaw!AI:AI)</f>
        <v>0</v>
      </c>
      <c r="AG25">
        <f>SUMIF(ConfirmedRaw!$B:$B,$A25,ConfirmedRaw!AJ:AJ)</f>
        <v>0</v>
      </c>
      <c r="AH25">
        <f>SUMIF(ConfirmedRaw!$B:$B,$A25,ConfirmedRaw!AK:AK)</f>
        <v>0</v>
      </c>
      <c r="AI25">
        <f>SUMIF(ConfirmedRaw!$B:$B,$A25,ConfirmedRaw!AL:AL)</f>
        <v>0</v>
      </c>
      <c r="AJ25">
        <f>SUMIF(ConfirmedRaw!$B:$B,$A25,ConfirmedRaw!AM:AM)</f>
        <v>0</v>
      </c>
      <c r="AK25">
        <f>SUMIF(ConfirmedRaw!$B:$B,$A25,ConfirmedRaw!AN:AN)</f>
        <v>1</v>
      </c>
      <c r="AL25">
        <f>SUMIF(ConfirmedRaw!$B:$B,$A25,ConfirmedRaw!AO:AO)</f>
        <v>3</v>
      </c>
      <c r="AM25">
        <f>SUMIF(ConfirmedRaw!$B:$B,$A25,ConfirmedRaw!AP:AP)</f>
        <v>4</v>
      </c>
      <c r="AN25">
        <f>SUMIF(ConfirmedRaw!$B:$B,$A25,ConfirmedRaw!AQ:AQ)</f>
        <v>4</v>
      </c>
      <c r="AO25">
        <f>SUMIF(ConfirmedRaw!$B:$B,$A25,ConfirmedRaw!AR:AR)</f>
        <v>7</v>
      </c>
      <c r="AP25">
        <f>SUMIF(ConfirmedRaw!$B:$B,$A25,ConfirmedRaw!AS:AS)</f>
        <v>7</v>
      </c>
      <c r="AQ25">
        <f>SUMIF(ConfirmedRaw!$B:$B,$A25,ConfirmedRaw!AT:AT)</f>
        <v>7</v>
      </c>
      <c r="AR25">
        <f>SUMIF(ConfirmedRaw!$B:$B,$A25,ConfirmedRaw!AU:AU)</f>
        <v>9</v>
      </c>
      <c r="AS25">
        <f>SUMIF(ConfirmedRaw!$B:$B,$A25,ConfirmedRaw!AV:AV)</f>
        <v>31</v>
      </c>
      <c r="AT25">
        <f>SUMIF(ConfirmedRaw!$B:$B,$A25,ConfirmedRaw!AW:AW)</f>
        <v>45</v>
      </c>
      <c r="AU25">
        <f>SUMIF(ConfirmedRaw!$B:$B,$A25,ConfirmedRaw!AX:AX)</f>
        <v>46</v>
      </c>
      <c r="AV25">
        <f>SUMIF(ConfirmedRaw!$B:$B,$A25,ConfirmedRaw!AY:AY)</f>
        <v>73</v>
      </c>
      <c r="AW25">
        <f>SUMIF(ConfirmedRaw!$B:$B,$A25,ConfirmedRaw!AZ:AZ)</f>
        <v>73</v>
      </c>
      <c r="AX25">
        <f>SUMIF(ConfirmedRaw!$B:$B,$A25,ConfirmedRaw!BA:BA)</f>
        <v>89</v>
      </c>
      <c r="AY25">
        <f>SUMIF(ConfirmedRaw!$B:$B,$A25,ConfirmedRaw!BB:BB)</f>
        <v>99</v>
      </c>
      <c r="AZ25">
        <f>SUMIF(ConfirmedRaw!$B:$B,$A25,ConfirmedRaw!BC:BC)</f>
        <v>99</v>
      </c>
      <c r="BA25">
        <f>SUMIF(ConfirmedRaw!$B:$B,$A25,ConfirmedRaw!BD:BD)</f>
        <v>190</v>
      </c>
      <c r="BB25">
        <f>SUMIF(ConfirmedRaw!$B:$B,$A25,ConfirmedRaw!BE:BE)</f>
        <v>228</v>
      </c>
      <c r="BC25">
        <f>SUMIF(ConfirmedRaw!$B:$B,$A25,ConfirmedRaw!BF:BF)</f>
        <v>331</v>
      </c>
      <c r="BD25">
        <f>SUMIF(ConfirmedRaw!$B:$B,$A25,ConfirmedRaw!BG:BG)</f>
        <v>331</v>
      </c>
      <c r="BE25">
        <f>SUMIF(ConfirmedRaw!$B:$B,$A25,ConfirmedRaw!BH:BH)</f>
        <v>387</v>
      </c>
      <c r="BF25">
        <f>SUMIF(ConfirmedRaw!$B:$B,$A25,ConfirmedRaw!BI:BI)</f>
        <v>418</v>
      </c>
      <c r="BG25">
        <f>SUMIF(ConfirmedRaw!$B:$B,$A25,ConfirmedRaw!BJ:BJ)</f>
        <v>0</v>
      </c>
      <c r="BH25">
        <f>SUMIF(ConfirmedRaw!$B:$B,$A25,ConfirmedRaw!BK:BK)</f>
        <v>0</v>
      </c>
      <c r="BI25">
        <f>SUMIF(ConfirmedRaw!$B:$B,$A25,ConfirmedRaw!BL:BL)</f>
        <v>0</v>
      </c>
      <c r="BJ25">
        <f>SUMIF(ConfirmedRaw!$B:$B,$A25,ConfirmedRaw!BM:BM)</f>
        <v>0</v>
      </c>
      <c r="BK25">
        <f>SUMIF(ConfirmedRaw!$B:$B,$A25,ConfirmedRaw!BN:BN)</f>
        <v>0</v>
      </c>
      <c r="BL25">
        <f>SUMIF(ConfirmedRaw!$B:$B,$A25,ConfirmedRaw!BO:BO)</f>
        <v>0</v>
      </c>
      <c r="BM25">
        <f>SUMIF(ConfirmedRaw!$B:$B,$A25,ConfirmedRaw!BP:BP)</f>
        <v>0</v>
      </c>
      <c r="BN25">
        <f>SUMIF(ConfirmedRaw!$B:$B,$A25,ConfirmedRaw!BQ:BQ)</f>
        <v>0</v>
      </c>
      <c r="BO25">
        <f>SUMIF(ConfirmedRaw!$B:$B,$A25,ConfirmedRaw!BR:BR)</f>
        <v>0</v>
      </c>
      <c r="BP25">
        <f>SUMIF(ConfirmedRaw!$B:$B,$A25,ConfirmedRaw!BS:BS)</f>
        <v>0</v>
      </c>
      <c r="BQ25">
        <f>SUMIF(ConfirmedRaw!$B:$B,$A25,ConfirmedRaw!BT:BT)</f>
        <v>0</v>
      </c>
      <c r="BR25">
        <f>SUMIF(ConfirmedRaw!$B:$B,$A25,ConfirmedRaw!BU:BU)</f>
        <v>0</v>
      </c>
      <c r="BS25">
        <f>SUMIF(ConfirmedRaw!$B:$B,$A25,ConfirmedRaw!BV:BV)</f>
        <v>0</v>
      </c>
      <c r="BT25">
        <f>SUMIF(ConfirmedRaw!$B:$B,$A25,ConfirmedRaw!BW:BW)</f>
        <v>0</v>
      </c>
    </row>
    <row r="26" spans="1:72" ht="15" thickBot="1" x14ac:dyDescent="0.35">
      <c r="A26" s="4" t="s">
        <v>73</v>
      </c>
      <c r="B26">
        <f>SUMIF(ConfirmedRaw!$B:$B,$A26,ConfirmedRaw!E:E)</f>
        <v>0</v>
      </c>
      <c r="C26">
        <f>SUMIF(ConfirmedRaw!$B:$B,$A26,ConfirmedRaw!F:F)</f>
        <v>0</v>
      </c>
      <c r="D26">
        <f>SUMIF(ConfirmedRaw!$B:$B,$A26,ConfirmedRaw!G:G)</f>
        <v>0</v>
      </c>
      <c r="E26">
        <f>SUMIF(ConfirmedRaw!$B:$B,$A26,ConfirmedRaw!H:H)</f>
        <v>0</v>
      </c>
      <c r="F26">
        <f>SUMIF(ConfirmedRaw!$B:$B,$A26,ConfirmedRaw!I:I)</f>
        <v>0</v>
      </c>
      <c r="G26">
        <f>SUMIF(ConfirmedRaw!$B:$B,$A26,ConfirmedRaw!J:J)</f>
        <v>0</v>
      </c>
      <c r="H26">
        <f>SUMIF(ConfirmedRaw!$B:$B,$A26,ConfirmedRaw!K:K)</f>
        <v>0</v>
      </c>
      <c r="I26">
        <f>SUMIF(ConfirmedRaw!$B:$B,$A26,ConfirmedRaw!L:L)</f>
        <v>0</v>
      </c>
      <c r="J26">
        <f>SUMIF(ConfirmedRaw!$B:$B,$A26,ConfirmedRaw!M:M)</f>
        <v>0</v>
      </c>
      <c r="K26">
        <f>SUMIF(ConfirmedRaw!$B:$B,$A26,ConfirmedRaw!N:N)</f>
        <v>0</v>
      </c>
      <c r="L26">
        <f>SUMIF(ConfirmedRaw!$B:$B,$A26,ConfirmedRaw!O:O)</f>
        <v>0</v>
      </c>
      <c r="M26">
        <f>SUMIF(ConfirmedRaw!$B:$B,$A26,ConfirmedRaw!P:P)</f>
        <v>0</v>
      </c>
      <c r="N26">
        <f>SUMIF(ConfirmedRaw!$B:$B,$A26,ConfirmedRaw!Q:Q)</f>
        <v>0</v>
      </c>
      <c r="O26">
        <f>SUMIF(ConfirmedRaw!$B:$B,$A26,ConfirmedRaw!R:R)</f>
        <v>0</v>
      </c>
      <c r="P26">
        <f>SUMIF(ConfirmedRaw!$B:$B,$A26,ConfirmedRaw!S:S)</f>
        <v>0</v>
      </c>
      <c r="Q26">
        <f>SUMIF(ConfirmedRaw!$B:$B,$A26,ConfirmedRaw!T:T)</f>
        <v>0</v>
      </c>
      <c r="R26">
        <f>SUMIF(ConfirmedRaw!$B:$B,$A26,ConfirmedRaw!U:U)</f>
        <v>0</v>
      </c>
      <c r="S26">
        <f>SUMIF(ConfirmedRaw!$B:$B,$A26,ConfirmedRaw!V:V)</f>
        <v>0</v>
      </c>
      <c r="T26">
        <f>SUMIF(ConfirmedRaw!$B:$B,$A26,ConfirmedRaw!W:W)</f>
        <v>0</v>
      </c>
      <c r="U26">
        <f>SUMIF(ConfirmedRaw!$B:$B,$A26,ConfirmedRaw!X:X)</f>
        <v>0</v>
      </c>
      <c r="V26">
        <f>SUMIF(ConfirmedRaw!$B:$B,$A26,ConfirmedRaw!Y:Y)</f>
        <v>0</v>
      </c>
      <c r="W26">
        <f>SUMIF(ConfirmedRaw!$B:$B,$A26,ConfirmedRaw!Z:Z)</f>
        <v>0</v>
      </c>
      <c r="X26">
        <f>SUMIF(ConfirmedRaw!$B:$B,$A26,ConfirmedRaw!AA:AA)</f>
        <v>0</v>
      </c>
      <c r="Y26">
        <f>SUMIF(ConfirmedRaw!$B:$B,$A26,ConfirmedRaw!AB:AB)</f>
        <v>0</v>
      </c>
      <c r="Z26">
        <f>SUMIF(ConfirmedRaw!$B:$B,$A26,ConfirmedRaw!AC:AC)</f>
        <v>0</v>
      </c>
      <c r="AA26">
        <f>SUMIF(ConfirmedRaw!$B:$B,$A26,ConfirmedRaw!AD:AD)</f>
        <v>0</v>
      </c>
      <c r="AB26">
        <f>SUMIF(ConfirmedRaw!$B:$B,$A26,ConfirmedRaw!AE:AE)</f>
        <v>0</v>
      </c>
      <c r="AC26">
        <f>SUMIF(ConfirmedRaw!$B:$B,$A26,ConfirmedRaw!AF:AF)</f>
        <v>0</v>
      </c>
      <c r="AD26">
        <f>SUMIF(ConfirmedRaw!$B:$B,$A26,ConfirmedRaw!AG:AG)</f>
        <v>0</v>
      </c>
      <c r="AE26">
        <f>SUMIF(ConfirmedRaw!$B:$B,$A26,ConfirmedRaw!AH:AH)</f>
        <v>0</v>
      </c>
      <c r="AF26">
        <f>SUMIF(ConfirmedRaw!$B:$B,$A26,ConfirmedRaw!AI:AI)</f>
        <v>0</v>
      </c>
      <c r="AG26">
        <f>SUMIF(ConfirmedRaw!$B:$B,$A26,ConfirmedRaw!AJ:AJ)</f>
        <v>0</v>
      </c>
      <c r="AH26">
        <f>SUMIF(ConfirmedRaw!$B:$B,$A26,ConfirmedRaw!AK:AK)</f>
        <v>0</v>
      </c>
      <c r="AI26">
        <f>SUMIF(ConfirmedRaw!$B:$B,$A26,ConfirmedRaw!AL:AL)</f>
        <v>1</v>
      </c>
      <c r="AJ26">
        <f>SUMIF(ConfirmedRaw!$B:$B,$A26,ConfirmedRaw!AM:AM)</f>
        <v>23</v>
      </c>
      <c r="AK26">
        <f>SUMIF(ConfirmedRaw!$B:$B,$A26,ConfirmedRaw!AN:AN)</f>
        <v>33</v>
      </c>
      <c r="AL26">
        <f>SUMIF(ConfirmedRaw!$B:$B,$A26,ConfirmedRaw!AO:AO)</f>
        <v>33</v>
      </c>
      <c r="AM26">
        <f>SUMIF(ConfirmedRaw!$B:$B,$A26,ConfirmedRaw!AP:AP)</f>
        <v>36</v>
      </c>
      <c r="AN26">
        <f>SUMIF(ConfirmedRaw!$B:$B,$A26,ConfirmedRaw!AQ:AQ)</f>
        <v>41</v>
      </c>
      <c r="AO26">
        <f>SUMIF(ConfirmedRaw!$B:$B,$A26,ConfirmedRaw!AR:AR)</f>
        <v>47</v>
      </c>
      <c r="AP26">
        <f>SUMIF(ConfirmedRaw!$B:$B,$A26,ConfirmedRaw!AS:AS)</f>
        <v>49</v>
      </c>
      <c r="AQ26">
        <f>SUMIF(ConfirmedRaw!$B:$B,$A26,ConfirmedRaw!AT:AT)</f>
        <v>49</v>
      </c>
      <c r="AR26">
        <f>SUMIF(ConfirmedRaw!$B:$B,$A26,ConfirmedRaw!AU:AU)</f>
        <v>52</v>
      </c>
      <c r="AS26">
        <f>SUMIF(ConfirmedRaw!$B:$B,$A26,ConfirmedRaw!AV:AV)</f>
        <v>55</v>
      </c>
      <c r="AT26">
        <f>SUMIF(ConfirmedRaw!$B:$B,$A26,ConfirmedRaw!AW:AW)</f>
        <v>60</v>
      </c>
      <c r="AU26">
        <f>SUMIF(ConfirmedRaw!$B:$B,$A26,ConfirmedRaw!AX:AX)</f>
        <v>85</v>
      </c>
      <c r="AV26">
        <f>SUMIF(ConfirmedRaw!$B:$B,$A26,ConfirmedRaw!AY:AY)</f>
        <v>85</v>
      </c>
      <c r="AW26">
        <f>SUMIF(ConfirmedRaw!$B:$B,$A26,ConfirmedRaw!AZ:AZ)</f>
        <v>95</v>
      </c>
      <c r="AX26">
        <f>SUMIF(ConfirmedRaw!$B:$B,$A26,ConfirmedRaw!BA:BA)</f>
        <v>110</v>
      </c>
      <c r="AY26">
        <f>SUMIF(ConfirmedRaw!$B:$B,$A26,ConfirmedRaw!BB:BB)</f>
        <v>195</v>
      </c>
      <c r="AZ26">
        <f>SUMIF(ConfirmedRaw!$B:$B,$A26,ConfirmedRaw!BC:BC)</f>
        <v>195</v>
      </c>
      <c r="BA26">
        <f>SUMIF(ConfirmedRaw!$B:$B,$A26,ConfirmedRaw!BD:BD)</f>
        <v>189</v>
      </c>
      <c r="BB26">
        <f>SUMIF(ConfirmedRaw!$B:$B,$A26,ConfirmedRaw!BE:BE)</f>
        <v>210</v>
      </c>
      <c r="BC26">
        <f>SUMIF(ConfirmedRaw!$B:$B,$A26,ConfirmedRaw!BF:BF)</f>
        <v>214</v>
      </c>
      <c r="BD26">
        <f>SUMIF(ConfirmedRaw!$B:$B,$A26,ConfirmedRaw!BG:BG)</f>
        <v>214</v>
      </c>
      <c r="BE26">
        <f>SUMIF(ConfirmedRaw!$B:$B,$A26,ConfirmedRaw!BH:BH)</f>
        <v>228</v>
      </c>
      <c r="BF26">
        <f>SUMIF(ConfirmedRaw!$B:$B,$A26,ConfirmedRaw!BI:BI)</f>
        <v>256</v>
      </c>
      <c r="BG26">
        <f>SUMIF(ConfirmedRaw!$B:$B,$A26,ConfirmedRaw!BJ:BJ)</f>
        <v>0</v>
      </c>
      <c r="BH26">
        <f>SUMIF(ConfirmedRaw!$B:$B,$A26,ConfirmedRaw!BK:BK)</f>
        <v>0</v>
      </c>
      <c r="BI26">
        <f>SUMIF(ConfirmedRaw!$B:$B,$A26,ConfirmedRaw!BL:BL)</f>
        <v>0</v>
      </c>
      <c r="BJ26">
        <f>SUMIF(ConfirmedRaw!$B:$B,$A26,ConfirmedRaw!BM:BM)</f>
        <v>0</v>
      </c>
      <c r="BK26">
        <f>SUMIF(ConfirmedRaw!$B:$B,$A26,ConfirmedRaw!BN:BN)</f>
        <v>0</v>
      </c>
      <c r="BL26">
        <f>SUMIF(ConfirmedRaw!$B:$B,$A26,ConfirmedRaw!BO:BO)</f>
        <v>0</v>
      </c>
      <c r="BM26">
        <f>SUMIF(ConfirmedRaw!$B:$B,$A26,ConfirmedRaw!BP:BP)</f>
        <v>0</v>
      </c>
      <c r="BN26">
        <f>SUMIF(ConfirmedRaw!$B:$B,$A26,ConfirmedRaw!BQ:BQ)</f>
        <v>0</v>
      </c>
      <c r="BO26">
        <f>SUMIF(ConfirmedRaw!$B:$B,$A26,ConfirmedRaw!BR:BR)</f>
        <v>0</v>
      </c>
      <c r="BP26">
        <f>SUMIF(ConfirmedRaw!$B:$B,$A26,ConfirmedRaw!BS:BS)</f>
        <v>0</v>
      </c>
      <c r="BQ26">
        <f>SUMIF(ConfirmedRaw!$B:$B,$A26,ConfirmedRaw!BT:BT)</f>
        <v>0</v>
      </c>
      <c r="BR26">
        <f>SUMIF(ConfirmedRaw!$B:$B,$A26,ConfirmedRaw!BU:BU)</f>
        <v>0</v>
      </c>
      <c r="BS26">
        <f>SUMIF(ConfirmedRaw!$B:$B,$A26,ConfirmedRaw!BV:BV)</f>
        <v>0</v>
      </c>
      <c r="BT26">
        <f>SUMIF(ConfirmedRaw!$B:$B,$A26,ConfirmedRaw!BW:BW)</f>
        <v>0</v>
      </c>
    </row>
    <row r="27" spans="1:72" ht="15" thickBot="1" x14ac:dyDescent="0.35">
      <c r="A27" s="4" t="s">
        <v>79</v>
      </c>
      <c r="B27">
        <f>SUMIF(ConfirmedRaw!$B:$B,$A27,ConfirmedRaw!E:E)</f>
        <v>0</v>
      </c>
      <c r="C27">
        <f>SUMIF(ConfirmedRaw!$B:$B,$A27,ConfirmedRaw!F:F)</f>
        <v>0</v>
      </c>
      <c r="D27">
        <f>SUMIF(ConfirmedRaw!$B:$B,$A27,ConfirmedRaw!G:G)</f>
        <v>0</v>
      </c>
      <c r="E27">
        <f>SUMIF(ConfirmedRaw!$B:$B,$A27,ConfirmedRaw!H:H)</f>
        <v>0</v>
      </c>
      <c r="F27">
        <f>SUMIF(ConfirmedRaw!$B:$B,$A27,ConfirmedRaw!I:I)</f>
        <v>0</v>
      </c>
      <c r="G27">
        <f>SUMIF(ConfirmedRaw!$B:$B,$A27,ConfirmedRaw!J:J)</f>
        <v>0</v>
      </c>
      <c r="H27">
        <f>SUMIF(ConfirmedRaw!$B:$B,$A27,ConfirmedRaw!K:K)</f>
        <v>0</v>
      </c>
      <c r="I27">
        <f>SUMIF(ConfirmedRaw!$B:$B,$A27,ConfirmedRaw!L:L)</f>
        <v>0</v>
      </c>
      <c r="J27">
        <f>SUMIF(ConfirmedRaw!$B:$B,$A27,ConfirmedRaw!M:M)</f>
        <v>0</v>
      </c>
      <c r="K27">
        <f>SUMIF(ConfirmedRaw!$B:$B,$A27,ConfirmedRaw!N:N)</f>
        <v>0</v>
      </c>
      <c r="L27">
        <f>SUMIF(ConfirmedRaw!$B:$B,$A27,ConfirmedRaw!O:O)</f>
        <v>0</v>
      </c>
      <c r="M27">
        <f>SUMIF(ConfirmedRaw!$B:$B,$A27,ConfirmedRaw!P:P)</f>
        <v>0</v>
      </c>
      <c r="N27">
        <f>SUMIF(ConfirmedRaw!$B:$B,$A27,ConfirmedRaw!Q:Q)</f>
        <v>0</v>
      </c>
      <c r="O27">
        <f>SUMIF(ConfirmedRaw!$B:$B,$A27,ConfirmedRaw!R:R)</f>
        <v>0</v>
      </c>
      <c r="P27">
        <f>SUMIF(ConfirmedRaw!$B:$B,$A27,ConfirmedRaw!S:S)</f>
        <v>0</v>
      </c>
      <c r="Q27">
        <f>SUMIF(ConfirmedRaw!$B:$B,$A27,ConfirmedRaw!T:T)</f>
        <v>0</v>
      </c>
      <c r="R27">
        <f>SUMIF(ConfirmedRaw!$B:$B,$A27,ConfirmedRaw!U:U)</f>
        <v>0</v>
      </c>
      <c r="S27">
        <f>SUMIF(ConfirmedRaw!$B:$B,$A27,ConfirmedRaw!V:V)</f>
        <v>0</v>
      </c>
      <c r="T27">
        <f>SUMIF(ConfirmedRaw!$B:$B,$A27,ConfirmedRaw!W:W)</f>
        <v>0</v>
      </c>
      <c r="U27">
        <f>SUMIF(ConfirmedRaw!$B:$B,$A27,ConfirmedRaw!X:X)</f>
        <v>0</v>
      </c>
      <c r="V27">
        <f>SUMIF(ConfirmedRaw!$B:$B,$A27,ConfirmedRaw!Y:Y)</f>
        <v>0</v>
      </c>
      <c r="W27">
        <f>SUMIF(ConfirmedRaw!$B:$B,$A27,ConfirmedRaw!Z:Z)</f>
        <v>0</v>
      </c>
      <c r="X27">
        <f>SUMIF(ConfirmedRaw!$B:$B,$A27,ConfirmedRaw!AA:AA)</f>
        <v>0</v>
      </c>
      <c r="Y27">
        <f>SUMIF(ConfirmedRaw!$B:$B,$A27,ConfirmedRaw!AB:AB)</f>
        <v>0</v>
      </c>
      <c r="Z27">
        <f>SUMIF(ConfirmedRaw!$B:$B,$A27,ConfirmedRaw!AC:AC)</f>
        <v>0</v>
      </c>
      <c r="AA27">
        <f>SUMIF(ConfirmedRaw!$B:$B,$A27,ConfirmedRaw!AD:AD)</f>
        <v>0</v>
      </c>
      <c r="AB27">
        <f>SUMIF(ConfirmedRaw!$B:$B,$A27,ConfirmedRaw!AE:AE)</f>
        <v>0</v>
      </c>
      <c r="AC27">
        <f>SUMIF(ConfirmedRaw!$B:$B,$A27,ConfirmedRaw!AF:AF)</f>
        <v>0</v>
      </c>
      <c r="AD27">
        <f>SUMIF(ConfirmedRaw!$B:$B,$A27,ConfirmedRaw!AG:AG)</f>
        <v>0</v>
      </c>
      <c r="AE27">
        <f>SUMIF(ConfirmedRaw!$B:$B,$A27,ConfirmedRaw!AH:AH)</f>
        <v>0</v>
      </c>
      <c r="AF27">
        <f>SUMIF(ConfirmedRaw!$B:$B,$A27,ConfirmedRaw!AI:AI)</f>
        <v>1</v>
      </c>
      <c r="AG27">
        <f>SUMIF(ConfirmedRaw!$B:$B,$A27,ConfirmedRaw!AJ:AJ)</f>
        <v>1</v>
      </c>
      <c r="AH27">
        <f>SUMIF(ConfirmedRaw!$B:$B,$A27,ConfirmedRaw!AK:AK)</f>
        <v>1</v>
      </c>
      <c r="AI27">
        <f>SUMIF(ConfirmedRaw!$B:$B,$A27,ConfirmedRaw!AL:AL)</f>
        <v>1</v>
      </c>
      <c r="AJ27">
        <f>SUMIF(ConfirmedRaw!$B:$B,$A27,ConfirmedRaw!AM:AM)</f>
        <v>1</v>
      </c>
      <c r="AK27">
        <f>SUMIF(ConfirmedRaw!$B:$B,$A27,ConfirmedRaw!AN:AN)</f>
        <v>2</v>
      </c>
      <c r="AL27">
        <f>SUMIF(ConfirmedRaw!$B:$B,$A27,ConfirmedRaw!AO:AO)</f>
        <v>3</v>
      </c>
      <c r="AM27">
        <f>SUMIF(ConfirmedRaw!$B:$B,$A27,ConfirmedRaw!AP:AP)</f>
        <v>4</v>
      </c>
      <c r="AN27">
        <f>SUMIF(ConfirmedRaw!$B:$B,$A27,ConfirmedRaw!AQ:AQ)</f>
        <v>7</v>
      </c>
      <c r="AO27">
        <f>SUMIF(ConfirmedRaw!$B:$B,$A27,ConfirmedRaw!AR:AR)</f>
        <v>10</v>
      </c>
      <c r="AP27">
        <f>SUMIF(ConfirmedRaw!$B:$B,$A27,ConfirmedRaw!AS:AS)</f>
        <v>10</v>
      </c>
      <c r="AQ27">
        <f>SUMIF(ConfirmedRaw!$B:$B,$A27,ConfirmedRaw!AT:AT)</f>
        <v>12</v>
      </c>
      <c r="AR27">
        <f>SUMIF(ConfirmedRaw!$B:$B,$A27,ConfirmedRaw!AU:AU)</f>
        <v>15</v>
      </c>
      <c r="AS27">
        <f>SUMIF(ConfirmedRaw!$B:$B,$A27,ConfirmedRaw!AV:AV)</f>
        <v>20</v>
      </c>
      <c r="AT27">
        <f>SUMIF(ConfirmedRaw!$B:$B,$A27,ConfirmedRaw!AW:AW)</f>
        <v>37</v>
      </c>
      <c r="AU27">
        <f>SUMIF(ConfirmedRaw!$B:$B,$A27,ConfirmedRaw!AX:AX)</f>
        <v>43</v>
      </c>
      <c r="AV27">
        <f>SUMIF(ConfirmedRaw!$B:$B,$A27,ConfirmedRaw!AY:AY)</f>
        <v>61</v>
      </c>
      <c r="AW27">
        <f>SUMIF(ConfirmedRaw!$B:$B,$A27,ConfirmedRaw!AZ:AZ)</f>
        <v>61</v>
      </c>
      <c r="AX27">
        <f>SUMIF(ConfirmedRaw!$B:$B,$A27,ConfirmedRaw!BA:BA)</f>
        <v>83</v>
      </c>
      <c r="AY27">
        <f>SUMIF(ConfirmedRaw!$B:$B,$A27,ConfirmedRaw!BB:BB)</f>
        <v>109</v>
      </c>
      <c r="AZ27">
        <f>SUMIF(ConfirmedRaw!$B:$B,$A27,ConfirmedRaw!BC:BC)</f>
        <v>131</v>
      </c>
      <c r="BA27">
        <f>SUMIF(ConfirmedRaw!$B:$B,$A27,ConfirmedRaw!BD:BD)</f>
        <v>161</v>
      </c>
      <c r="BB27">
        <f>SUMIF(ConfirmedRaw!$B:$B,$A27,ConfirmedRaw!BE:BE)</f>
        <v>193</v>
      </c>
      <c r="BC27">
        <f>SUMIF(ConfirmedRaw!$B:$B,$A27,ConfirmedRaw!BF:BF)</f>
        <v>251</v>
      </c>
      <c r="BD27">
        <f>SUMIF(ConfirmedRaw!$B:$B,$A27,ConfirmedRaw!BG:BG)</f>
        <v>255</v>
      </c>
      <c r="BE27">
        <f>SUMIF(ConfirmedRaw!$B:$B,$A27,ConfirmedRaw!BH:BH)</f>
        <v>337</v>
      </c>
      <c r="BF27">
        <f>SUMIF(ConfirmedRaw!$B:$B,$A27,ConfirmedRaw!BI:BI)</f>
        <v>433</v>
      </c>
      <c r="BG27">
        <f>SUMIF(ConfirmedRaw!$B:$B,$A27,ConfirmedRaw!BJ:BJ)</f>
        <v>0</v>
      </c>
      <c r="BH27">
        <f>SUMIF(ConfirmedRaw!$B:$B,$A27,ConfirmedRaw!BK:BK)</f>
        <v>0</v>
      </c>
      <c r="BI27">
        <f>SUMIF(ConfirmedRaw!$B:$B,$A27,ConfirmedRaw!BL:BL)</f>
        <v>0</v>
      </c>
      <c r="BJ27">
        <f>SUMIF(ConfirmedRaw!$B:$B,$A27,ConfirmedRaw!BM:BM)</f>
        <v>0</v>
      </c>
      <c r="BK27">
        <f>SUMIF(ConfirmedRaw!$B:$B,$A27,ConfirmedRaw!BN:BN)</f>
        <v>0</v>
      </c>
      <c r="BL27">
        <f>SUMIF(ConfirmedRaw!$B:$B,$A27,ConfirmedRaw!BO:BO)</f>
        <v>0</v>
      </c>
      <c r="BM27">
        <f>SUMIF(ConfirmedRaw!$B:$B,$A27,ConfirmedRaw!BP:BP)</f>
        <v>0</v>
      </c>
      <c r="BN27">
        <f>SUMIF(ConfirmedRaw!$B:$B,$A27,ConfirmedRaw!BQ:BQ)</f>
        <v>0</v>
      </c>
      <c r="BO27">
        <f>SUMIF(ConfirmedRaw!$B:$B,$A27,ConfirmedRaw!BR:BR)</f>
        <v>0</v>
      </c>
      <c r="BP27">
        <f>SUMIF(ConfirmedRaw!$B:$B,$A27,ConfirmedRaw!BS:BS)</f>
        <v>0</v>
      </c>
      <c r="BQ27">
        <f>SUMIF(ConfirmedRaw!$B:$B,$A27,ConfirmedRaw!BT:BT)</f>
        <v>0</v>
      </c>
      <c r="BR27">
        <f>SUMIF(ConfirmedRaw!$B:$B,$A27,ConfirmedRaw!BU:BU)</f>
        <v>0</v>
      </c>
      <c r="BS27">
        <f>SUMIF(ConfirmedRaw!$B:$B,$A27,ConfirmedRaw!BV:BV)</f>
        <v>0</v>
      </c>
      <c r="BT27">
        <f>SUMIF(ConfirmedRaw!$B:$B,$A27,ConfirmedRaw!BW:BW)</f>
        <v>0</v>
      </c>
    </row>
    <row r="28" spans="1:72" ht="15" thickBot="1" x14ac:dyDescent="0.35">
      <c r="A28" s="3" t="s">
        <v>54</v>
      </c>
      <c r="B28">
        <f>SUMIF(ConfirmedRaw!$B:$B,$A28,ConfirmedRaw!E:E)</f>
        <v>0</v>
      </c>
      <c r="C28">
        <f>SUMIF(ConfirmedRaw!$B:$B,$A28,ConfirmedRaw!F:F)</f>
        <v>0</v>
      </c>
      <c r="D28">
        <f>SUMIF(ConfirmedRaw!$B:$B,$A28,ConfirmedRaw!G:G)</f>
        <v>0</v>
      </c>
      <c r="E28">
        <f>SUMIF(ConfirmedRaw!$B:$B,$A28,ConfirmedRaw!H:H)</f>
        <v>0</v>
      </c>
      <c r="F28">
        <f>SUMIF(ConfirmedRaw!$B:$B,$A28,ConfirmedRaw!I:I)</f>
        <v>0</v>
      </c>
      <c r="G28">
        <f>SUMIF(ConfirmedRaw!$B:$B,$A28,ConfirmedRaw!J:J)</f>
        <v>0</v>
      </c>
      <c r="H28">
        <f>SUMIF(ConfirmedRaw!$B:$B,$A28,ConfirmedRaw!K:K)</f>
        <v>0</v>
      </c>
      <c r="I28">
        <f>SUMIF(ConfirmedRaw!$B:$B,$A28,ConfirmedRaw!L:L)</f>
        <v>1</v>
      </c>
      <c r="J28">
        <f>SUMIF(ConfirmedRaw!$B:$B,$A28,ConfirmedRaw!M:M)</f>
        <v>1</v>
      </c>
      <c r="K28">
        <f>SUMIF(ConfirmedRaw!$B:$B,$A28,ConfirmedRaw!N:N)</f>
        <v>1</v>
      </c>
      <c r="L28">
        <f>SUMIF(ConfirmedRaw!$B:$B,$A28,ConfirmedRaw!O:O)</f>
        <v>1</v>
      </c>
      <c r="M28">
        <f>SUMIF(ConfirmedRaw!$B:$B,$A28,ConfirmedRaw!P:P)</f>
        <v>1</v>
      </c>
      <c r="N28">
        <f>SUMIF(ConfirmedRaw!$B:$B,$A28,ConfirmedRaw!Q:Q)</f>
        <v>1</v>
      </c>
      <c r="O28">
        <f>SUMIF(ConfirmedRaw!$B:$B,$A28,ConfirmedRaw!R:R)</f>
        <v>1</v>
      </c>
      <c r="P28">
        <f>SUMIF(ConfirmedRaw!$B:$B,$A28,ConfirmedRaw!S:S)</f>
        <v>1</v>
      </c>
      <c r="Q28">
        <f>SUMIF(ConfirmedRaw!$B:$B,$A28,ConfirmedRaw!T:T)</f>
        <v>1</v>
      </c>
      <c r="R28">
        <f>SUMIF(ConfirmedRaw!$B:$B,$A28,ConfirmedRaw!U:U)</f>
        <v>1</v>
      </c>
      <c r="S28">
        <f>SUMIF(ConfirmedRaw!$B:$B,$A28,ConfirmedRaw!V:V)</f>
        <v>1</v>
      </c>
      <c r="T28">
        <f>SUMIF(ConfirmedRaw!$B:$B,$A28,ConfirmedRaw!W:W)</f>
        <v>1</v>
      </c>
      <c r="U28">
        <f>SUMIF(ConfirmedRaw!$B:$B,$A28,ConfirmedRaw!X:X)</f>
        <v>1</v>
      </c>
      <c r="V28">
        <f>SUMIF(ConfirmedRaw!$B:$B,$A28,ConfirmedRaw!Y:Y)</f>
        <v>1</v>
      </c>
      <c r="W28">
        <f>SUMIF(ConfirmedRaw!$B:$B,$A28,ConfirmedRaw!Z:Z)</f>
        <v>1</v>
      </c>
      <c r="X28">
        <f>SUMIF(ConfirmedRaw!$B:$B,$A28,ConfirmedRaw!AA:AA)</f>
        <v>1</v>
      </c>
      <c r="Y28">
        <f>SUMIF(ConfirmedRaw!$B:$B,$A28,ConfirmedRaw!AB:AB)</f>
        <v>1</v>
      </c>
      <c r="Z28">
        <f>SUMIF(ConfirmedRaw!$B:$B,$A28,ConfirmedRaw!AC:AC)</f>
        <v>1</v>
      </c>
      <c r="AA28">
        <f>SUMIF(ConfirmedRaw!$B:$B,$A28,ConfirmedRaw!AD:AD)</f>
        <v>1</v>
      </c>
      <c r="AB28">
        <f>SUMIF(ConfirmedRaw!$B:$B,$A28,ConfirmedRaw!AE:AE)</f>
        <v>1</v>
      </c>
      <c r="AC28">
        <f>SUMIF(ConfirmedRaw!$B:$B,$A28,ConfirmedRaw!AF:AF)</f>
        <v>1</v>
      </c>
      <c r="AD28">
        <f>SUMIF(ConfirmedRaw!$B:$B,$A28,ConfirmedRaw!AG:AG)</f>
        <v>1</v>
      </c>
      <c r="AE28">
        <f>SUMIF(ConfirmedRaw!$B:$B,$A28,ConfirmedRaw!AH:AH)</f>
        <v>1</v>
      </c>
      <c r="AF28">
        <f>SUMIF(ConfirmedRaw!$B:$B,$A28,ConfirmedRaw!AI:AI)</f>
        <v>1</v>
      </c>
      <c r="AG28">
        <f>SUMIF(ConfirmedRaw!$B:$B,$A28,ConfirmedRaw!AJ:AJ)</f>
        <v>1</v>
      </c>
      <c r="AH28">
        <f>SUMIF(ConfirmedRaw!$B:$B,$A28,ConfirmedRaw!AK:AK)</f>
        <v>1</v>
      </c>
      <c r="AI28">
        <f>SUMIF(ConfirmedRaw!$B:$B,$A28,ConfirmedRaw!AL:AL)</f>
        <v>1</v>
      </c>
      <c r="AJ28">
        <f>SUMIF(ConfirmedRaw!$B:$B,$A28,ConfirmedRaw!AM:AM)</f>
        <v>1</v>
      </c>
      <c r="AK28">
        <f>SUMIF(ConfirmedRaw!$B:$B,$A28,ConfirmedRaw!AN:AN)</f>
        <v>2</v>
      </c>
      <c r="AL28">
        <f>SUMIF(ConfirmedRaw!$B:$B,$A28,ConfirmedRaw!AO:AO)</f>
        <v>2</v>
      </c>
      <c r="AM28">
        <f>SUMIF(ConfirmedRaw!$B:$B,$A28,ConfirmedRaw!AP:AP)</f>
        <v>2</v>
      </c>
      <c r="AN28">
        <f>SUMIF(ConfirmedRaw!$B:$B,$A28,ConfirmedRaw!AQ:AQ)</f>
        <v>3</v>
      </c>
      <c r="AO28">
        <f>SUMIF(ConfirmedRaw!$B:$B,$A28,ConfirmedRaw!AR:AR)</f>
        <v>6</v>
      </c>
      <c r="AP28">
        <f>SUMIF(ConfirmedRaw!$B:$B,$A28,ConfirmedRaw!AS:AS)</f>
        <v>6</v>
      </c>
      <c r="AQ28">
        <f>SUMIF(ConfirmedRaw!$B:$B,$A28,ConfirmedRaw!AT:AT)</f>
        <v>6</v>
      </c>
      <c r="AR28">
        <f>SUMIF(ConfirmedRaw!$B:$B,$A28,ConfirmedRaw!AU:AU)</f>
        <v>6</v>
      </c>
      <c r="AS28">
        <f>SUMIF(ConfirmedRaw!$B:$B,$A28,ConfirmedRaw!AV:AV)</f>
        <v>12</v>
      </c>
      <c r="AT28">
        <f>SUMIF(ConfirmedRaw!$B:$B,$A28,ConfirmedRaw!AW:AW)</f>
        <v>15</v>
      </c>
      <c r="AU28">
        <f>SUMIF(ConfirmedRaw!$B:$B,$A28,ConfirmedRaw!AX:AX)</f>
        <v>15</v>
      </c>
      <c r="AV28">
        <f>SUMIF(ConfirmedRaw!$B:$B,$A28,ConfirmedRaw!AY:AY)</f>
        <v>23</v>
      </c>
      <c r="AW28">
        <f>SUMIF(ConfirmedRaw!$B:$B,$A28,ConfirmedRaw!AZ:AZ)</f>
        <v>30</v>
      </c>
      <c r="AX28">
        <f>SUMIF(ConfirmedRaw!$B:$B,$A28,ConfirmedRaw!BA:BA)</f>
        <v>40</v>
      </c>
      <c r="AY28">
        <f>SUMIF(ConfirmedRaw!$B:$B,$A28,ConfirmedRaw!BB:BB)</f>
        <v>59</v>
      </c>
      <c r="AZ28">
        <f>SUMIF(ConfirmedRaw!$B:$B,$A28,ConfirmedRaw!BC:BC)</f>
        <v>59</v>
      </c>
      <c r="BA28">
        <f>SUMIF(ConfirmedRaw!$B:$B,$A28,ConfirmedRaw!BD:BD)</f>
        <v>155</v>
      </c>
      <c r="BB28">
        <f>SUMIF(ConfirmedRaw!$B:$B,$A28,ConfirmedRaw!BE:BE)</f>
        <v>225</v>
      </c>
      <c r="BC28">
        <f>SUMIF(ConfirmedRaw!$B:$B,$A28,ConfirmedRaw!BF:BF)</f>
        <v>244</v>
      </c>
      <c r="BD28">
        <f>SUMIF(ConfirmedRaw!$B:$B,$A28,ConfirmedRaw!BG:BG)</f>
        <v>277</v>
      </c>
      <c r="BE28">
        <f>SUMIF(ConfirmedRaw!$B:$B,$A28,ConfirmedRaw!BH:BH)</f>
        <v>321</v>
      </c>
      <c r="BF28">
        <f>SUMIF(ConfirmedRaw!$B:$B,$A28,ConfirmedRaw!BI:BI)</f>
        <v>336</v>
      </c>
      <c r="BG28">
        <f>SUMIF(ConfirmedRaw!$B:$B,$A28,ConfirmedRaw!BJ:BJ)</f>
        <v>0</v>
      </c>
      <c r="BH28">
        <f>SUMIF(ConfirmedRaw!$B:$B,$A28,ConfirmedRaw!BK:BK)</f>
        <v>0</v>
      </c>
      <c r="BI28">
        <f>SUMIF(ConfirmedRaw!$B:$B,$A28,ConfirmedRaw!BL:BL)</f>
        <v>0</v>
      </c>
      <c r="BJ28">
        <f>SUMIF(ConfirmedRaw!$B:$B,$A28,ConfirmedRaw!BM:BM)</f>
        <v>0</v>
      </c>
      <c r="BK28">
        <f>SUMIF(ConfirmedRaw!$B:$B,$A28,ConfirmedRaw!BN:BN)</f>
        <v>0</v>
      </c>
      <c r="BL28">
        <f>SUMIF(ConfirmedRaw!$B:$B,$A28,ConfirmedRaw!BO:BO)</f>
        <v>0</v>
      </c>
      <c r="BM28">
        <f>SUMIF(ConfirmedRaw!$B:$B,$A28,ConfirmedRaw!BP:BP)</f>
        <v>0</v>
      </c>
      <c r="BN28">
        <f>SUMIF(ConfirmedRaw!$B:$B,$A28,ConfirmedRaw!BQ:BQ)</f>
        <v>0</v>
      </c>
      <c r="BO28">
        <f>SUMIF(ConfirmedRaw!$B:$B,$A28,ConfirmedRaw!BR:BR)</f>
        <v>0</v>
      </c>
      <c r="BP28">
        <f>SUMIF(ConfirmedRaw!$B:$B,$A28,ConfirmedRaw!BS:BS)</f>
        <v>0</v>
      </c>
      <c r="BQ28">
        <f>SUMIF(ConfirmedRaw!$B:$B,$A28,ConfirmedRaw!BT:BT)</f>
        <v>0</v>
      </c>
      <c r="BR28">
        <f>SUMIF(ConfirmedRaw!$B:$B,$A28,ConfirmedRaw!BU:BU)</f>
        <v>0</v>
      </c>
      <c r="BS28">
        <f>SUMIF(ConfirmedRaw!$B:$B,$A28,ConfirmedRaw!BV:BV)</f>
        <v>0</v>
      </c>
      <c r="BT28">
        <f>SUMIF(ConfirmedRaw!$B:$B,$A28,ConfirmedRaw!BW:BW)</f>
        <v>0</v>
      </c>
    </row>
    <row r="29" spans="1:72" ht="15" thickBot="1" x14ac:dyDescent="0.35">
      <c r="A29" s="4" t="s">
        <v>81</v>
      </c>
      <c r="B29">
        <f>SUMIF(ConfirmedRaw!$B:$B,$A29,ConfirmedRaw!E:E)</f>
        <v>0</v>
      </c>
      <c r="C29">
        <f>SUMIF(ConfirmedRaw!$B:$B,$A29,ConfirmedRaw!F:F)</f>
        <v>0</v>
      </c>
      <c r="D29">
        <f>SUMIF(ConfirmedRaw!$B:$B,$A29,ConfirmedRaw!G:G)</f>
        <v>0</v>
      </c>
      <c r="E29">
        <f>SUMIF(ConfirmedRaw!$B:$B,$A29,ConfirmedRaw!H:H)</f>
        <v>0</v>
      </c>
      <c r="F29">
        <f>SUMIF(ConfirmedRaw!$B:$B,$A29,ConfirmedRaw!I:I)</f>
        <v>0</v>
      </c>
      <c r="G29">
        <f>SUMIF(ConfirmedRaw!$B:$B,$A29,ConfirmedRaw!J:J)</f>
        <v>0</v>
      </c>
      <c r="H29">
        <f>SUMIF(ConfirmedRaw!$B:$B,$A29,ConfirmedRaw!K:K)</f>
        <v>0</v>
      </c>
      <c r="I29">
        <f>SUMIF(ConfirmedRaw!$B:$B,$A29,ConfirmedRaw!L:L)</f>
        <v>0</v>
      </c>
      <c r="J29">
        <f>SUMIF(ConfirmedRaw!$B:$B,$A29,ConfirmedRaw!M:M)</f>
        <v>0</v>
      </c>
      <c r="K29">
        <f>SUMIF(ConfirmedRaw!$B:$B,$A29,ConfirmedRaw!N:N)</f>
        <v>0</v>
      </c>
      <c r="L29">
        <f>SUMIF(ConfirmedRaw!$B:$B,$A29,ConfirmedRaw!O:O)</f>
        <v>0</v>
      </c>
      <c r="M29">
        <f>SUMIF(ConfirmedRaw!$B:$B,$A29,ConfirmedRaw!P:P)</f>
        <v>0</v>
      </c>
      <c r="N29">
        <f>SUMIF(ConfirmedRaw!$B:$B,$A29,ConfirmedRaw!Q:Q)</f>
        <v>0</v>
      </c>
      <c r="O29">
        <f>SUMIF(ConfirmedRaw!$B:$B,$A29,ConfirmedRaw!R:R)</f>
        <v>0</v>
      </c>
      <c r="P29">
        <f>SUMIF(ConfirmedRaw!$B:$B,$A29,ConfirmedRaw!S:S)</f>
        <v>0</v>
      </c>
      <c r="Q29">
        <f>SUMIF(ConfirmedRaw!$B:$B,$A29,ConfirmedRaw!T:T)</f>
        <v>0</v>
      </c>
      <c r="R29">
        <f>SUMIF(ConfirmedRaw!$B:$B,$A29,ConfirmedRaw!U:U)</f>
        <v>0</v>
      </c>
      <c r="S29">
        <f>SUMIF(ConfirmedRaw!$B:$B,$A29,ConfirmedRaw!V:V)</f>
        <v>0</v>
      </c>
      <c r="T29">
        <f>SUMIF(ConfirmedRaw!$B:$B,$A29,ConfirmedRaw!W:W)</f>
        <v>0</v>
      </c>
      <c r="U29">
        <f>SUMIF(ConfirmedRaw!$B:$B,$A29,ConfirmedRaw!X:X)</f>
        <v>0</v>
      </c>
      <c r="V29">
        <f>SUMIF(ConfirmedRaw!$B:$B,$A29,ConfirmedRaw!Y:Y)</f>
        <v>0</v>
      </c>
      <c r="W29">
        <f>SUMIF(ConfirmedRaw!$B:$B,$A29,ConfirmedRaw!Z:Z)</f>
        <v>0</v>
      </c>
      <c r="X29">
        <f>SUMIF(ConfirmedRaw!$B:$B,$A29,ConfirmedRaw!AA:AA)</f>
        <v>0</v>
      </c>
      <c r="Y29">
        <f>SUMIF(ConfirmedRaw!$B:$B,$A29,ConfirmedRaw!AB:AB)</f>
        <v>0</v>
      </c>
      <c r="Z29">
        <f>SUMIF(ConfirmedRaw!$B:$B,$A29,ConfirmedRaw!AC:AC)</f>
        <v>0</v>
      </c>
      <c r="AA29">
        <f>SUMIF(ConfirmedRaw!$B:$B,$A29,ConfirmedRaw!AD:AD)</f>
        <v>0</v>
      </c>
      <c r="AB29">
        <f>SUMIF(ConfirmedRaw!$B:$B,$A29,ConfirmedRaw!AE:AE)</f>
        <v>0</v>
      </c>
      <c r="AC29">
        <f>SUMIF(ConfirmedRaw!$B:$B,$A29,ConfirmedRaw!AF:AF)</f>
        <v>0</v>
      </c>
      <c r="AD29">
        <f>SUMIF(ConfirmedRaw!$B:$B,$A29,ConfirmedRaw!AG:AG)</f>
        <v>0</v>
      </c>
      <c r="AE29">
        <f>SUMIF(ConfirmedRaw!$B:$B,$A29,ConfirmedRaw!AH:AH)</f>
        <v>0</v>
      </c>
      <c r="AF29">
        <f>SUMIF(ConfirmedRaw!$B:$B,$A29,ConfirmedRaw!AI:AI)</f>
        <v>0</v>
      </c>
      <c r="AG29">
        <f>SUMIF(ConfirmedRaw!$B:$B,$A29,ConfirmedRaw!AJ:AJ)</f>
        <v>0</v>
      </c>
      <c r="AH29">
        <f>SUMIF(ConfirmedRaw!$B:$B,$A29,ConfirmedRaw!AK:AK)</f>
        <v>0</v>
      </c>
      <c r="AI29">
        <f>SUMIF(ConfirmedRaw!$B:$B,$A29,ConfirmedRaw!AL:AL)</f>
        <v>0</v>
      </c>
      <c r="AJ29">
        <f>SUMIF(ConfirmedRaw!$B:$B,$A29,ConfirmedRaw!AM:AM)</f>
        <v>0</v>
      </c>
      <c r="AK29">
        <f>SUMIF(ConfirmedRaw!$B:$B,$A29,ConfirmedRaw!AN:AN)</f>
        <v>1</v>
      </c>
      <c r="AL29">
        <f>SUMIF(ConfirmedRaw!$B:$B,$A29,ConfirmedRaw!AO:AO)</f>
        <v>1</v>
      </c>
      <c r="AM29">
        <f>SUMIF(ConfirmedRaw!$B:$B,$A29,ConfirmedRaw!AP:AP)</f>
        <v>1</v>
      </c>
      <c r="AN29">
        <f>SUMIF(ConfirmedRaw!$B:$B,$A29,ConfirmedRaw!AQ:AQ)</f>
        <v>2</v>
      </c>
      <c r="AO29">
        <f>SUMIF(ConfirmedRaw!$B:$B,$A29,ConfirmedRaw!AR:AR)</f>
        <v>2</v>
      </c>
      <c r="AP29">
        <f>SUMIF(ConfirmedRaw!$B:$B,$A29,ConfirmedRaw!AS:AS)</f>
        <v>2</v>
      </c>
      <c r="AQ29">
        <f>SUMIF(ConfirmedRaw!$B:$B,$A29,ConfirmedRaw!AT:AT)</f>
        <v>2</v>
      </c>
      <c r="AR29">
        <f>SUMIF(ConfirmedRaw!$B:$B,$A29,ConfirmedRaw!AU:AU)</f>
        <v>4</v>
      </c>
      <c r="AS29">
        <f>SUMIF(ConfirmedRaw!$B:$B,$A29,ConfirmedRaw!AV:AV)</f>
        <v>4</v>
      </c>
      <c r="AT29">
        <f>SUMIF(ConfirmedRaw!$B:$B,$A29,ConfirmedRaw!AW:AW)</f>
        <v>13</v>
      </c>
      <c r="AU29">
        <f>SUMIF(ConfirmedRaw!$B:$B,$A29,ConfirmedRaw!AX:AX)</f>
        <v>13</v>
      </c>
      <c r="AV29">
        <f>SUMIF(ConfirmedRaw!$B:$B,$A29,ConfirmedRaw!AY:AY)</f>
        <v>20</v>
      </c>
      <c r="AW29">
        <f>SUMIF(ConfirmedRaw!$B:$B,$A29,ConfirmedRaw!AZ:AZ)</f>
        <v>25</v>
      </c>
      <c r="AX29">
        <f>SUMIF(ConfirmedRaw!$B:$B,$A29,ConfirmedRaw!BA:BA)</f>
        <v>31</v>
      </c>
      <c r="AY29">
        <f>SUMIF(ConfirmedRaw!$B:$B,$A29,ConfirmedRaw!BB:BB)</f>
        <v>38</v>
      </c>
      <c r="AZ29">
        <f>SUMIF(ConfirmedRaw!$B:$B,$A29,ConfirmedRaw!BC:BC)</f>
        <v>52</v>
      </c>
      <c r="BA29">
        <f>SUMIF(ConfirmedRaw!$B:$B,$A29,ConfirmedRaw!BD:BD)</f>
        <v>151</v>
      </c>
      <c r="BB29">
        <f>SUMIF(ConfirmedRaw!$B:$B,$A29,ConfirmedRaw!BE:BE)</f>
        <v>151</v>
      </c>
      <c r="BC29">
        <f>SUMIF(ConfirmedRaw!$B:$B,$A29,ConfirmedRaw!BF:BF)</f>
        <v>162</v>
      </c>
      <c r="BD29">
        <f>SUMIF(ConfirmedRaw!$B:$B,$A29,ConfirmedRaw!BG:BG)</f>
        <v>200</v>
      </c>
      <c r="BE29">
        <f>SUMIF(ConfirmedRaw!$B:$B,$A29,ConfirmedRaw!BH:BH)</f>
        <v>321</v>
      </c>
      <c r="BF29">
        <f>SUMIF(ConfirmedRaw!$B:$B,$A29,ConfirmedRaw!BI:BI)</f>
        <v>372</v>
      </c>
      <c r="BG29">
        <f>SUMIF(ConfirmedRaw!$B:$B,$A29,ConfirmedRaw!BJ:BJ)</f>
        <v>0</v>
      </c>
      <c r="BH29">
        <f>SUMIF(ConfirmedRaw!$B:$B,$A29,ConfirmedRaw!BK:BK)</f>
        <v>0</v>
      </c>
      <c r="BI29">
        <f>SUMIF(ConfirmedRaw!$B:$B,$A29,ConfirmedRaw!BL:BL)</f>
        <v>0</v>
      </c>
      <c r="BJ29">
        <f>SUMIF(ConfirmedRaw!$B:$B,$A29,ConfirmedRaw!BM:BM)</f>
        <v>0</v>
      </c>
      <c r="BK29">
        <f>SUMIF(ConfirmedRaw!$B:$B,$A29,ConfirmedRaw!BN:BN)</f>
        <v>0</v>
      </c>
      <c r="BL29">
        <f>SUMIF(ConfirmedRaw!$B:$B,$A29,ConfirmedRaw!BO:BO)</f>
        <v>0</v>
      </c>
      <c r="BM29">
        <f>SUMIF(ConfirmedRaw!$B:$B,$A29,ConfirmedRaw!BP:BP)</f>
        <v>0</v>
      </c>
      <c r="BN29">
        <f>SUMIF(ConfirmedRaw!$B:$B,$A29,ConfirmedRaw!BQ:BQ)</f>
        <v>0</v>
      </c>
      <c r="BO29">
        <f>SUMIF(ConfirmedRaw!$B:$B,$A29,ConfirmedRaw!BR:BR)</f>
        <v>0</v>
      </c>
      <c r="BP29">
        <f>SUMIF(ConfirmedRaw!$B:$B,$A29,ConfirmedRaw!BS:BS)</f>
        <v>0</v>
      </c>
      <c r="BQ29">
        <f>SUMIF(ConfirmedRaw!$B:$B,$A29,ConfirmedRaw!BT:BT)</f>
        <v>0</v>
      </c>
      <c r="BR29">
        <f>SUMIF(ConfirmedRaw!$B:$B,$A29,ConfirmedRaw!BU:BU)</f>
        <v>0</v>
      </c>
      <c r="BS29">
        <f>SUMIF(ConfirmedRaw!$B:$B,$A29,ConfirmedRaw!BV:BV)</f>
        <v>0</v>
      </c>
      <c r="BT29">
        <f>SUMIF(ConfirmedRaw!$B:$B,$A29,ConfirmedRaw!BW:BW)</f>
        <v>0</v>
      </c>
    </row>
    <row r="30" spans="1:72" ht="15" thickBot="1" x14ac:dyDescent="0.35">
      <c r="A30" s="3" t="s">
        <v>341</v>
      </c>
      <c r="B30">
        <f>SUMIF(ConfirmedRaw!$B:$B,$A30,ConfirmedRaw!E:E)</f>
        <v>0</v>
      </c>
      <c r="C30">
        <f>SUMIF(ConfirmedRaw!$B:$B,$A30,ConfirmedRaw!F:F)</f>
        <v>0</v>
      </c>
      <c r="D30">
        <f>SUMIF(ConfirmedRaw!$B:$B,$A30,ConfirmedRaw!G:G)</f>
        <v>0</v>
      </c>
      <c r="E30">
        <f>SUMIF(ConfirmedRaw!$B:$B,$A30,ConfirmedRaw!H:H)</f>
        <v>0</v>
      </c>
      <c r="F30">
        <f>SUMIF(ConfirmedRaw!$B:$B,$A30,ConfirmedRaw!I:I)</f>
        <v>0</v>
      </c>
      <c r="G30">
        <f>SUMIF(ConfirmedRaw!$B:$B,$A30,ConfirmedRaw!J:J)</f>
        <v>0</v>
      </c>
      <c r="H30">
        <f>SUMIF(ConfirmedRaw!$B:$B,$A30,ConfirmedRaw!K:K)</f>
        <v>0</v>
      </c>
      <c r="I30">
        <f>SUMIF(ConfirmedRaw!$B:$B,$A30,ConfirmedRaw!L:L)</f>
        <v>0</v>
      </c>
      <c r="J30">
        <f>SUMIF(ConfirmedRaw!$B:$B,$A30,ConfirmedRaw!M:M)</f>
        <v>0</v>
      </c>
      <c r="K30">
        <f>SUMIF(ConfirmedRaw!$B:$B,$A30,ConfirmedRaw!N:N)</f>
        <v>0</v>
      </c>
      <c r="L30">
        <f>SUMIF(ConfirmedRaw!$B:$B,$A30,ConfirmedRaw!O:O)</f>
        <v>0</v>
      </c>
      <c r="M30">
        <f>SUMIF(ConfirmedRaw!$B:$B,$A30,ConfirmedRaw!P:P)</f>
        <v>0</v>
      </c>
      <c r="N30">
        <f>SUMIF(ConfirmedRaw!$B:$B,$A30,ConfirmedRaw!Q:Q)</f>
        <v>0</v>
      </c>
      <c r="O30">
        <f>SUMIF(ConfirmedRaw!$B:$B,$A30,ConfirmedRaw!R:R)</f>
        <v>0</v>
      </c>
      <c r="P30">
        <f>SUMIF(ConfirmedRaw!$B:$B,$A30,ConfirmedRaw!S:S)</f>
        <v>0</v>
      </c>
      <c r="Q30">
        <f>SUMIF(ConfirmedRaw!$B:$B,$A30,ConfirmedRaw!T:T)</f>
        <v>0</v>
      </c>
      <c r="R30">
        <f>SUMIF(ConfirmedRaw!$B:$B,$A30,ConfirmedRaw!U:U)</f>
        <v>0</v>
      </c>
      <c r="S30">
        <f>SUMIF(ConfirmedRaw!$B:$B,$A30,ConfirmedRaw!V:V)</f>
        <v>0</v>
      </c>
      <c r="T30">
        <f>SUMIF(ConfirmedRaw!$B:$B,$A30,ConfirmedRaw!W:W)</f>
        <v>0</v>
      </c>
      <c r="U30">
        <f>SUMIF(ConfirmedRaw!$B:$B,$A30,ConfirmedRaw!X:X)</f>
        <v>0</v>
      </c>
      <c r="V30">
        <f>SUMIF(ConfirmedRaw!$B:$B,$A30,ConfirmedRaw!Y:Y)</f>
        <v>0</v>
      </c>
      <c r="W30">
        <f>SUMIF(ConfirmedRaw!$B:$B,$A30,ConfirmedRaw!Z:Z)</f>
        <v>0</v>
      </c>
      <c r="X30">
        <f>SUMIF(ConfirmedRaw!$B:$B,$A30,ConfirmedRaw!AA:AA)</f>
        <v>0</v>
      </c>
      <c r="Y30">
        <f>SUMIF(ConfirmedRaw!$B:$B,$A30,ConfirmedRaw!AB:AB)</f>
        <v>0</v>
      </c>
      <c r="Z30">
        <f>SUMIF(ConfirmedRaw!$B:$B,$A30,ConfirmedRaw!AC:AC)</f>
        <v>0</v>
      </c>
      <c r="AA30">
        <f>SUMIF(ConfirmedRaw!$B:$B,$A30,ConfirmedRaw!AD:AD)</f>
        <v>0</v>
      </c>
      <c r="AB30">
        <f>SUMIF(ConfirmedRaw!$B:$B,$A30,ConfirmedRaw!AE:AE)</f>
        <v>0</v>
      </c>
      <c r="AC30">
        <f>SUMIF(ConfirmedRaw!$B:$B,$A30,ConfirmedRaw!AF:AF)</f>
        <v>0</v>
      </c>
      <c r="AD30">
        <f>SUMIF(ConfirmedRaw!$B:$B,$A30,ConfirmedRaw!AG:AG)</f>
        <v>0</v>
      </c>
      <c r="AE30">
        <f>SUMIF(ConfirmedRaw!$B:$B,$A30,ConfirmedRaw!AH:AH)</f>
        <v>0</v>
      </c>
      <c r="AF30">
        <f>SUMIF(ConfirmedRaw!$B:$B,$A30,ConfirmedRaw!AI:AI)</f>
        <v>0</v>
      </c>
      <c r="AG30">
        <f>SUMIF(ConfirmedRaw!$B:$B,$A30,ConfirmedRaw!AJ:AJ)</f>
        <v>0</v>
      </c>
      <c r="AH30">
        <f>SUMIF(ConfirmedRaw!$B:$B,$A30,ConfirmedRaw!AK:AK)</f>
        <v>0</v>
      </c>
      <c r="AI30">
        <f>SUMIF(ConfirmedRaw!$B:$B,$A30,ConfirmedRaw!AL:AL)</f>
        <v>0</v>
      </c>
      <c r="AJ30">
        <f>SUMIF(ConfirmedRaw!$B:$B,$A30,ConfirmedRaw!AM:AM)</f>
        <v>0</v>
      </c>
      <c r="AK30">
        <f>SUMIF(ConfirmedRaw!$B:$B,$A30,ConfirmedRaw!AN:AN)</f>
        <v>0</v>
      </c>
      <c r="AL30">
        <f>SUMIF(ConfirmedRaw!$B:$B,$A30,ConfirmedRaw!AO:AO)</f>
        <v>0</v>
      </c>
      <c r="AM30">
        <f>SUMIF(ConfirmedRaw!$B:$B,$A30,ConfirmedRaw!AP:AP)</f>
        <v>0</v>
      </c>
      <c r="AN30">
        <f>SUMIF(ConfirmedRaw!$B:$B,$A30,ConfirmedRaw!AQ:AQ)</f>
        <v>0</v>
      </c>
      <c r="AO30">
        <f>SUMIF(ConfirmedRaw!$B:$B,$A30,ConfirmedRaw!AR:AR)</f>
        <v>3</v>
      </c>
      <c r="AP30">
        <f>SUMIF(ConfirmedRaw!$B:$B,$A30,ConfirmedRaw!AS:AS)</f>
        <v>3</v>
      </c>
      <c r="AQ30">
        <f>SUMIF(ConfirmedRaw!$B:$B,$A30,ConfirmedRaw!AT:AT)</f>
        <v>5</v>
      </c>
      <c r="AR30">
        <f>SUMIF(ConfirmedRaw!$B:$B,$A30,ConfirmedRaw!AU:AU)</f>
        <v>8</v>
      </c>
      <c r="AS30">
        <f>SUMIF(ConfirmedRaw!$B:$B,$A30,ConfirmedRaw!AV:AV)</f>
        <v>12</v>
      </c>
      <c r="AT30">
        <f>SUMIF(ConfirmedRaw!$B:$B,$A30,ConfirmedRaw!AW:AW)</f>
        <v>18</v>
      </c>
      <c r="AU30">
        <f>SUMIF(ConfirmedRaw!$B:$B,$A30,ConfirmedRaw!AX:AX)</f>
        <v>19</v>
      </c>
      <c r="AV30">
        <f>SUMIF(ConfirmedRaw!$B:$B,$A30,ConfirmedRaw!AY:AY)</f>
        <v>31</v>
      </c>
      <c r="AW30">
        <f>SUMIF(ConfirmedRaw!$B:$B,$A30,ConfirmedRaw!AZ:AZ)</f>
        <v>31</v>
      </c>
      <c r="AX30">
        <f>SUMIF(ConfirmedRaw!$B:$B,$A30,ConfirmedRaw!BA:BA)</f>
        <v>41</v>
      </c>
      <c r="AY30">
        <f>SUMIF(ConfirmedRaw!$B:$B,$A30,ConfirmedRaw!BB:BB)</f>
        <v>91</v>
      </c>
      <c r="AZ30">
        <f>SUMIF(ConfirmedRaw!$B:$B,$A30,ConfirmedRaw!BC:BC)</f>
        <v>94</v>
      </c>
      <c r="BA30">
        <f>SUMIF(ConfirmedRaw!$B:$B,$A30,ConfirmedRaw!BD:BD)</f>
        <v>141</v>
      </c>
      <c r="BB30">
        <f>SUMIF(ConfirmedRaw!$B:$B,$A30,ConfirmedRaw!BE:BE)</f>
        <v>189</v>
      </c>
      <c r="BC30">
        <f>SUMIF(ConfirmedRaw!$B:$B,$A30,ConfirmedRaw!BF:BF)</f>
        <v>253</v>
      </c>
      <c r="BD30">
        <f>SUMIF(ConfirmedRaw!$B:$B,$A30,ConfirmedRaw!BG:BG)</f>
        <v>298</v>
      </c>
      <c r="BE30">
        <f>SUMIF(ConfirmedRaw!$B:$B,$A30,ConfirmedRaw!BH:BH)</f>
        <v>396</v>
      </c>
      <c r="BF30">
        <f>SUMIF(ConfirmedRaw!$B:$B,$A30,ConfirmedRaw!BI:BI)</f>
        <v>464</v>
      </c>
      <c r="BG30">
        <f>SUMIF(ConfirmedRaw!$B:$B,$A30,ConfirmedRaw!BJ:BJ)</f>
        <v>0</v>
      </c>
      <c r="BH30">
        <f>SUMIF(ConfirmedRaw!$B:$B,$A30,ConfirmedRaw!BK:BK)</f>
        <v>0</v>
      </c>
      <c r="BI30">
        <f>SUMIF(ConfirmedRaw!$B:$B,$A30,ConfirmedRaw!BL:BL)</f>
        <v>0</v>
      </c>
      <c r="BJ30">
        <f>SUMIF(ConfirmedRaw!$B:$B,$A30,ConfirmedRaw!BM:BM)</f>
        <v>0</v>
      </c>
      <c r="BK30">
        <f>SUMIF(ConfirmedRaw!$B:$B,$A30,ConfirmedRaw!BN:BN)</f>
        <v>0</v>
      </c>
      <c r="BL30">
        <f>SUMIF(ConfirmedRaw!$B:$B,$A30,ConfirmedRaw!BO:BO)</f>
        <v>0</v>
      </c>
      <c r="BM30">
        <f>SUMIF(ConfirmedRaw!$B:$B,$A30,ConfirmedRaw!BP:BP)</f>
        <v>0</v>
      </c>
      <c r="BN30">
        <f>SUMIF(ConfirmedRaw!$B:$B,$A30,ConfirmedRaw!BQ:BQ)</f>
        <v>0</v>
      </c>
      <c r="BO30">
        <f>SUMIF(ConfirmedRaw!$B:$B,$A30,ConfirmedRaw!BR:BR)</f>
        <v>0</v>
      </c>
      <c r="BP30">
        <f>SUMIF(ConfirmedRaw!$B:$B,$A30,ConfirmedRaw!BS:BS)</f>
        <v>0</v>
      </c>
      <c r="BQ30">
        <f>SUMIF(ConfirmedRaw!$B:$B,$A30,ConfirmedRaw!BT:BT)</f>
        <v>0</v>
      </c>
      <c r="BR30">
        <f>SUMIF(ConfirmedRaw!$B:$B,$A30,ConfirmedRaw!BU:BU)</f>
        <v>0</v>
      </c>
      <c r="BS30">
        <f>SUMIF(ConfirmedRaw!$B:$B,$A30,ConfirmedRaw!BV:BV)</f>
        <v>0</v>
      </c>
      <c r="BT30">
        <f>SUMIF(ConfirmedRaw!$B:$B,$A30,ConfirmedRaw!BW:BW)</f>
        <v>0</v>
      </c>
    </row>
    <row r="31" spans="1:72" ht="15" thickBot="1" x14ac:dyDescent="0.35">
      <c r="A31" s="4" t="s">
        <v>141</v>
      </c>
      <c r="B31">
        <f>SUMIF(ConfirmedRaw!$B:$B,$A31,ConfirmedRaw!E:E)</f>
        <v>0</v>
      </c>
      <c r="C31">
        <f>SUMIF(ConfirmedRaw!$B:$B,$A31,ConfirmedRaw!F:F)</f>
        <v>0</v>
      </c>
      <c r="D31">
        <f>SUMIF(ConfirmedRaw!$B:$B,$A31,ConfirmedRaw!G:G)</f>
        <v>0</v>
      </c>
      <c r="E31">
        <f>SUMIF(ConfirmedRaw!$B:$B,$A31,ConfirmedRaw!H:H)</f>
        <v>0</v>
      </c>
      <c r="F31">
        <f>SUMIF(ConfirmedRaw!$B:$B,$A31,ConfirmedRaw!I:I)</f>
        <v>0</v>
      </c>
      <c r="G31">
        <f>SUMIF(ConfirmedRaw!$B:$B,$A31,ConfirmedRaw!J:J)</f>
        <v>0</v>
      </c>
      <c r="H31">
        <f>SUMIF(ConfirmedRaw!$B:$B,$A31,ConfirmedRaw!K:K)</f>
        <v>0</v>
      </c>
      <c r="I31">
        <f>SUMIF(ConfirmedRaw!$B:$B,$A31,ConfirmedRaw!L:L)</f>
        <v>0</v>
      </c>
      <c r="J31">
        <f>SUMIF(ConfirmedRaw!$B:$B,$A31,ConfirmedRaw!M:M)</f>
        <v>0</v>
      </c>
      <c r="K31">
        <f>SUMIF(ConfirmedRaw!$B:$B,$A31,ConfirmedRaw!N:N)</f>
        <v>0</v>
      </c>
      <c r="L31">
        <f>SUMIF(ConfirmedRaw!$B:$B,$A31,ConfirmedRaw!O:O)</f>
        <v>0</v>
      </c>
      <c r="M31">
        <f>SUMIF(ConfirmedRaw!$B:$B,$A31,ConfirmedRaw!P:P)</f>
        <v>0</v>
      </c>
      <c r="N31">
        <f>SUMIF(ConfirmedRaw!$B:$B,$A31,ConfirmedRaw!Q:Q)</f>
        <v>0</v>
      </c>
      <c r="O31">
        <f>SUMIF(ConfirmedRaw!$B:$B,$A31,ConfirmedRaw!R:R)</f>
        <v>0</v>
      </c>
      <c r="P31">
        <f>SUMIF(ConfirmedRaw!$B:$B,$A31,ConfirmedRaw!S:S)</f>
        <v>0</v>
      </c>
      <c r="Q31">
        <f>SUMIF(ConfirmedRaw!$B:$B,$A31,ConfirmedRaw!T:T)</f>
        <v>0</v>
      </c>
      <c r="R31">
        <f>SUMIF(ConfirmedRaw!$B:$B,$A31,ConfirmedRaw!U:U)</f>
        <v>0</v>
      </c>
      <c r="S31">
        <f>SUMIF(ConfirmedRaw!$B:$B,$A31,ConfirmedRaw!V:V)</f>
        <v>0</v>
      </c>
      <c r="T31">
        <f>SUMIF(ConfirmedRaw!$B:$B,$A31,ConfirmedRaw!W:W)</f>
        <v>0</v>
      </c>
      <c r="U31">
        <f>SUMIF(ConfirmedRaw!$B:$B,$A31,ConfirmedRaw!X:X)</f>
        <v>0</v>
      </c>
      <c r="V31">
        <f>SUMIF(ConfirmedRaw!$B:$B,$A31,ConfirmedRaw!Y:Y)</f>
        <v>0</v>
      </c>
      <c r="W31">
        <f>SUMIF(ConfirmedRaw!$B:$B,$A31,ConfirmedRaw!Z:Z)</f>
        <v>0</v>
      </c>
      <c r="X31">
        <f>SUMIF(ConfirmedRaw!$B:$B,$A31,ConfirmedRaw!AA:AA)</f>
        <v>0</v>
      </c>
      <c r="Y31">
        <f>SUMIF(ConfirmedRaw!$B:$B,$A31,ConfirmedRaw!AB:AB)</f>
        <v>0</v>
      </c>
      <c r="Z31">
        <f>SUMIF(ConfirmedRaw!$B:$B,$A31,ConfirmedRaw!AC:AC)</f>
        <v>0</v>
      </c>
      <c r="AA31">
        <f>SUMIF(ConfirmedRaw!$B:$B,$A31,ConfirmedRaw!AD:AD)</f>
        <v>0</v>
      </c>
      <c r="AB31">
        <f>SUMIF(ConfirmedRaw!$B:$B,$A31,ConfirmedRaw!AE:AE)</f>
        <v>0</v>
      </c>
      <c r="AC31">
        <f>SUMIF(ConfirmedRaw!$B:$B,$A31,ConfirmedRaw!AF:AF)</f>
        <v>0</v>
      </c>
      <c r="AD31">
        <f>SUMIF(ConfirmedRaw!$B:$B,$A31,ConfirmedRaw!AG:AG)</f>
        <v>0</v>
      </c>
      <c r="AE31">
        <f>SUMIF(ConfirmedRaw!$B:$B,$A31,ConfirmedRaw!AH:AH)</f>
        <v>0</v>
      </c>
      <c r="AF31">
        <f>SUMIF(ConfirmedRaw!$B:$B,$A31,ConfirmedRaw!AI:AI)</f>
        <v>0</v>
      </c>
      <c r="AG31">
        <f>SUMIF(ConfirmedRaw!$B:$B,$A31,ConfirmedRaw!AJ:AJ)</f>
        <v>0</v>
      </c>
      <c r="AH31">
        <f>SUMIF(ConfirmedRaw!$B:$B,$A31,ConfirmedRaw!AK:AK)</f>
        <v>0</v>
      </c>
      <c r="AI31">
        <f>SUMIF(ConfirmedRaw!$B:$B,$A31,ConfirmedRaw!AL:AL)</f>
        <v>0</v>
      </c>
      <c r="AJ31">
        <f>SUMIF(ConfirmedRaw!$B:$B,$A31,ConfirmedRaw!AM:AM)</f>
        <v>0</v>
      </c>
      <c r="AK31">
        <f>SUMIF(ConfirmedRaw!$B:$B,$A31,ConfirmedRaw!AN:AN)</f>
        <v>0</v>
      </c>
      <c r="AL31">
        <f>SUMIF(ConfirmedRaw!$B:$B,$A31,ConfirmedRaw!AO:AO)</f>
        <v>0</v>
      </c>
      <c r="AM31">
        <f>SUMIF(ConfirmedRaw!$B:$B,$A31,ConfirmedRaw!AP:AP)</f>
        <v>0</v>
      </c>
      <c r="AN31">
        <f>SUMIF(ConfirmedRaw!$B:$B,$A31,ConfirmedRaw!AQ:AQ)</f>
        <v>0</v>
      </c>
      <c r="AO31">
        <f>SUMIF(ConfirmedRaw!$B:$B,$A31,ConfirmedRaw!AR:AR)</f>
        <v>0</v>
      </c>
      <c r="AP31">
        <f>SUMIF(ConfirmedRaw!$B:$B,$A31,ConfirmedRaw!AS:AS)</f>
        <v>0</v>
      </c>
      <c r="AQ31">
        <f>SUMIF(ConfirmedRaw!$B:$B,$A31,ConfirmedRaw!AT:AT)</f>
        <v>0</v>
      </c>
      <c r="AR31">
        <f>SUMIF(ConfirmedRaw!$B:$B,$A31,ConfirmedRaw!AU:AU)</f>
        <v>0</v>
      </c>
      <c r="AS31">
        <f>SUMIF(ConfirmedRaw!$B:$B,$A31,ConfirmedRaw!AV:AV)</f>
        <v>2</v>
      </c>
      <c r="AT31">
        <f>SUMIF(ConfirmedRaw!$B:$B,$A31,ConfirmedRaw!AW:AW)</f>
        <v>7</v>
      </c>
      <c r="AU31">
        <f>SUMIF(ConfirmedRaw!$B:$B,$A31,ConfirmedRaw!AX:AX)</f>
        <v>7</v>
      </c>
      <c r="AV31">
        <f>SUMIF(ConfirmedRaw!$B:$B,$A31,ConfirmedRaw!AY:AY)</f>
        <v>16</v>
      </c>
      <c r="AW31">
        <f>SUMIF(ConfirmedRaw!$B:$B,$A31,ConfirmedRaw!AZ:AZ)</f>
        <v>16</v>
      </c>
      <c r="AX31">
        <f>SUMIF(ConfirmedRaw!$B:$B,$A31,ConfirmedRaw!BA:BA)</f>
        <v>31</v>
      </c>
      <c r="AY31">
        <f>SUMIF(ConfirmedRaw!$B:$B,$A31,ConfirmedRaw!BB:BB)</f>
        <v>57</v>
      </c>
      <c r="AZ31">
        <f>SUMIF(ConfirmedRaw!$B:$B,$A31,ConfirmedRaw!BC:BC)</f>
        <v>89</v>
      </c>
      <c r="BA31">
        <f>SUMIF(ConfirmedRaw!$B:$B,$A31,ConfirmedRaw!BD:BD)</f>
        <v>141</v>
      </c>
      <c r="BB31">
        <f>SUMIF(ConfirmedRaw!$B:$B,$A31,ConfirmedRaw!BE:BE)</f>
        <v>181</v>
      </c>
      <c r="BC31">
        <f>SUMIF(ConfirmedRaw!$B:$B,$A31,ConfirmedRaw!BF:BF)</f>
        <v>219</v>
      </c>
      <c r="BD31">
        <f>SUMIF(ConfirmedRaw!$B:$B,$A31,ConfirmedRaw!BG:BG)</f>
        <v>253</v>
      </c>
      <c r="BE31">
        <f>SUMIF(ConfirmedRaw!$B:$B,$A31,ConfirmedRaw!BH:BH)</f>
        <v>275</v>
      </c>
      <c r="BF31">
        <f>SUMIF(ConfirmedRaw!$B:$B,$A31,ConfirmedRaw!BI:BI)</f>
        <v>275</v>
      </c>
      <c r="BG31">
        <f>SUMIF(ConfirmedRaw!$B:$B,$A31,ConfirmedRaw!BJ:BJ)</f>
        <v>0</v>
      </c>
      <c r="BH31">
        <f>SUMIF(ConfirmedRaw!$B:$B,$A31,ConfirmedRaw!BK:BK)</f>
        <v>0</v>
      </c>
      <c r="BI31">
        <f>SUMIF(ConfirmedRaw!$B:$B,$A31,ConfirmedRaw!BL:BL)</f>
        <v>0</v>
      </c>
      <c r="BJ31">
        <f>SUMIF(ConfirmedRaw!$B:$B,$A31,ConfirmedRaw!BM:BM)</f>
        <v>0</v>
      </c>
      <c r="BK31">
        <f>SUMIF(ConfirmedRaw!$B:$B,$A31,ConfirmedRaw!BN:BN)</f>
        <v>0</v>
      </c>
      <c r="BL31">
        <f>SUMIF(ConfirmedRaw!$B:$B,$A31,ConfirmedRaw!BO:BO)</f>
        <v>0</v>
      </c>
      <c r="BM31">
        <f>SUMIF(ConfirmedRaw!$B:$B,$A31,ConfirmedRaw!BP:BP)</f>
        <v>0</v>
      </c>
      <c r="BN31">
        <f>SUMIF(ConfirmedRaw!$B:$B,$A31,ConfirmedRaw!BQ:BQ)</f>
        <v>0</v>
      </c>
      <c r="BO31">
        <f>SUMIF(ConfirmedRaw!$B:$B,$A31,ConfirmedRaw!BR:BR)</f>
        <v>0</v>
      </c>
      <c r="BP31">
        <f>SUMIF(ConfirmedRaw!$B:$B,$A31,ConfirmedRaw!BS:BS)</f>
        <v>0</v>
      </c>
      <c r="BQ31">
        <f>SUMIF(ConfirmedRaw!$B:$B,$A31,ConfirmedRaw!BT:BT)</f>
        <v>0</v>
      </c>
      <c r="BR31">
        <f>SUMIF(ConfirmedRaw!$B:$B,$A31,ConfirmedRaw!BU:BU)</f>
        <v>0</v>
      </c>
      <c r="BS31">
        <f>SUMIF(ConfirmedRaw!$B:$B,$A31,ConfirmedRaw!BV:BV)</f>
        <v>0</v>
      </c>
      <c r="BT31">
        <f>SUMIF(ConfirmedRaw!$B:$B,$A31,ConfirmedRaw!BW:BW)</f>
        <v>0</v>
      </c>
    </row>
    <row r="32" spans="1:72" ht="15" thickBot="1" x14ac:dyDescent="0.35">
      <c r="A32" s="4" t="s">
        <v>92</v>
      </c>
      <c r="B32">
        <f>SUMIF(ConfirmedRaw!$B:$B,$A32,ConfirmedRaw!E:E)</f>
        <v>0</v>
      </c>
      <c r="C32">
        <f>SUMIF(ConfirmedRaw!$B:$B,$A32,ConfirmedRaw!F:F)</f>
        <v>0</v>
      </c>
      <c r="D32">
        <f>SUMIF(ConfirmedRaw!$B:$B,$A32,ConfirmedRaw!G:G)</f>
        <v>0</v>
      </c>
      <c r="E32">
        <f>SUMIF(ConfirmedRaw!$B:$B,$A32,ConfirmedRaw!H:H)</f>
        <v>0</v>
      </c>
      <c r="F32">
        <f>SUMIF(ConfirmedRaw!$B:$B,$A32,ConfirmedRaw!I:I)</f>
        <v>0</v>
      </c>
      <c r="G32">
        <f>SUMIF(ConfirmedRaw!$B:$B,$A32,ConfirmedRaw!J:J)</f>
        <v>0</v>
      </c>
      <c r="H32">
        <f>SUMIF(ConfirmedRaw!$B:$B,$A32,ConfirmedRaw!K:K)</f>
        <v>0</v>
      </c>
      <c r="I32">
        <f>SUMIF(ConfirmedRaw!$B:$B,$A32,ConfirmedRaw!L:L)</f>
        <v>0</v>
      </c>
      <c r="J32">
        <f>SUMIF(ConfirmedRaw!$B:$B,$A32,ConfirmedRaw!M:M)</f>
        <v>0</v>
      </c>
      <c r="K32">
        <f>SUMIF(ConfirmedRaw!$B:$B,$A32,ConfirmedRaw!N:N)</f>
        <v>0</v>
      </c>
      <c r="L32">
        <f>SUMIF(ConfirmedRaw!$B:$B,$A32,ConfirmedRaw!O:O)</f>
        <v>0</v>
      </c>
      <c r="M32">
        <f>SUMIF(ConfirmedRaw!$B:$B,$A32,ConfirmedRaw!P:P)</f>
        <v>0</v>
      </c>
      <c r="N32">
        <f>SUMIF(ConfirmedRaw!$B:$B,$A32,ConfirmedRaw!Q:Q)</f>
        <v>0</v>
      </c>
      <c r="O32">
        <f>SUMIF(ConfirmedRaw!$B:$B,$A32,ConfirmedRaw!R:R)</f>
        <v>0</v>
      </c>
      <c r="P32">
        <f>SUMIF(ConfirmedRaw!$B:$B,$A32,ConfirmedRaw!S:S)</f>
        <v>0</v>
      </c>
      <c r="Q32">
        <f>SUMIF(ConfirmedRaw!$B:$B,$A32,ConfirmedRaw!T:T)</f>
        <v>0</v>
      </c>
      <c r="R32">
        <f>SUMIF(ConfirmedRaw!$B:$B,$A32,ConfirmedRaw!U:U)</f>
        <v>0</v>
      </c>
      <c r="S32">
        <f>SUMIF(ConfirmedRaw!$B:$B,$A32,ConfirmedRaw!V:V)</f>
        <v>0</v>
      </c>
      <c r="T32">
        <f>SUMIF(ConfirmedRaw!$B:$B,$A32,ConfirmedRaw!W:W)</f>
        <v>0</v>
      </c>
      <c r="U32">
        <f>SUMIF(ConfirmedRaw!$B:$B,$A32,ConfirmedRaw!X:X)</f>
        <v>0</v>
      </c>
      <c r="V32">
        <f>SUMIF(ConfirmedRaw!$B:$B,$A32,ConfirmedRaw!Y:Y)</f>
        <v>0</v>
      </c>
      <c r="W32">
        <f>SUMIF(ConfirmedRaw!$B:$B,$A32,ConfirmedRaw!Z:Z)</f>
        <v>0</v>
      </c>
      <c r="X32">
        <f>SUMIF(ConfirmedRaw!$B:$B,$A32,ConfirmedRaw!AA:AA)</f>
        <v>0</v>
      </c>
      <c r="Y32">
        <f>SUMIF(ConfirmedRaw!$B:$B,$A32,ConfirmedRaw!AB:AB)</f>
        <v>0</v>
      </c>
      <c r="Z32">
        <f>SUMIF(ConfirmedRaw!$B:$B,$A32,ConfirmedRaw!AC:AC)</f>
        <v>0</v>
      </c>
      <c r="AA32">
        <f>SUMIF(ConfirmedRaw!$B:$B,$A32,ConfirmedRaw!AD:AD)</f>
        <v>0</v>
      </c>
      <c r="AB32">
        <f>SUMIF(ConfirmedRaw!$B:$B,$A32,ConfirmedRaw!AE:AE)</f>
        <v>0</v>
      </c>
      <c r="AC32">
        <f>SUMIF(ConfirmedRaw!$B:$B,$A32,ConfirmedRaw!AF:AF)</f>
        <v>0</v>
      </c>
      <c r="AD32">
        <f>SUMIF(ConfirmedRaw!$B:$B,$A32,ConfirmedRaw!AG:AG)</f>
        <v>0</v>
      </c>
      <c r="AE32">
        <f>SUMIF(ConfirmedRaw!$B:$B,$A32,ConfirmedRaw!AH:AH)</f>
        <v>0</v>
      </c>
      <c r="AF32">
        <f>SUMIF(ConfirmedRaw!$B:$B,$A32,ConfirmedRaw!AI:AI)</f>
        <v>0</v>
      </c>
      <c r="AG32">
        <f>SUMIF(ConfirmedRaw!$B:$B,$A32,ConfirmedRaw!AJ:AJ)</f>
        <v>0</v>
      </c>
      <c r="AH32">
        <f>SUMIF(ConfirmedRaw!$B:$B,$A32,ConfirmedRaw!AK:AK)</f>
        <v>0</v>
      </c>
      <c r="AI32">
        <f>SUMIF(ConfirmedRaw!$B:$B,$A32,ConfirmedRaw!AL:AL)</f>
        <v>0</v>
      </c>
      <c r="AJ32">
        <f>SUMIF(ConfirmedRaw!$B:$B,$A32,ConfirmedRaw!AM:AM)</f>
        <v>0</v>
      </c>
      <c r="AK32">
        <f>SUMIF(ConfirmedRaw!$B:$B,$A32,ConfirmedRaw!AN:AN)</f>
        <v>0</v>
      </c>
      <c r="AL32">
        <f>SUMIF(ConfirmedRaw!$B:$B,$A32,ConfirmedRaw!AO:AO)</f>
        <v>0</v>
      </c>
      <c r="AM32">
        <f>SUMIF(ConfirmedRaw!$B:$B,$A32,ConfirmedRaw!AP:AP)</f>
        <v>1</v>
      </c>
      <c r="AN32">
        <f>SUMIF(ConfirmedRaw!$B:$B,$A32,ConfirmedRaw!AQ:AQ)</f>
        <v>1</v>
      </c>
      <c r="AO32">
        <f>SUMIF(ConfirmedRaw!$B:$B,$A32,ConfirmedRaw!AR:AR)</f>
        <v>3</v>
      </c>
      <c r="AP32">
        <f>SUMIF(ConfirmedRaw!$B:$B,$A32,ConfirmedRaw!AS:AS)</f>
        <v>6</v>
      </c>
      <c r="AQ32">
        <f>SUMIF(ConfirmedRaw!$B:$B,$A32,ConfirmedRaw!AT:AT)</f>
        <v>11</v>
      </c>
      <c r="AR32">
        <f>SUMIF(ConfirmedRaw!$B:$B,$A32,ConfirmedRaw!AU:AU)</f>
        <v>26</v>
      </c>
      <c r="AS32">
        <f>SUMIF(ConfirmedRaw!$B:$B,$A32,ConfirmedRaw!AV:AV)</f>
        <v>34</v>
      </c>
      <c r="AT32">
        <f>SUMIF(ConfirmedRaw!$B:$B,$A32,ConfirmedRaw!AW:AW)</f>
        <v>43</v>
      </c>
      <c r="AU32">
        <f>SUMIF(ConfirmedRaw!$B:$B,$A32,ConfirmedRaw!AX:AX)</f>
        <v>50</v>
      </c>
      <c r="AV32">
        <f>SUMIF(ConfirmedRaw!$B:$B,$A32,ConfirmedRaw!AY:AY)</f>
        <v>50</v>
      </c>
      <c r="AW32">
        <f>SUMIF(ConfirmedRaw!$B:$B,$A32,ConfirmedRaw!AZ:AZ)</f>
        <v>58</v>
      </c>
      <c r="AX32">
        <f>SUMIF(ConfirmedRaw!$B:$B,$A32,ConfirmedRaw!BA:BA)</f>
        <v>69</v>
      </c>
      <c r="AY32">
        <f>SUMIF(ConfirmedRaw!$B:$B,$A32,ConfirmedRaw!BB:BB)</f>
        <v>85</v>
      </c>
      <c r="AZ32">
        <f>SUMIF(ConfirmedRaw!$B:$B,$A32,ConfirmedRaw!BC:BC)</f>
        <v>103</v>
      </c>
      <c r="BA32">
        <f>SUMIF(ConfirmedRaw!$B:$B,$A32,ConfirmedRaw!BD:BD)</f>
        <v>134</v>
      </c>
      <c r="BB32">
        <f>SUMIF(ConfirmedRaw!$B:$B,$A32,ConfirmedRaw!BE:BE)</f>
        <v>156</v>
      </c>
      <c r="BC32">
        <f>SUMIF(ConfirmedRaw!$B:$B,$A32,ConfirmedRaw!BF:BF)</f>
        <v>171</v>
      </c>
      <c r="BD32">
        <f>SUMIF(ConfirmedRaw!$B:$B,$A32,ConfirmedRaw!BG:BG)</f>
        <v>180</v>
      </c>
      <c r="BE32">
        <f>SUMIF(ConfirmedRaw!$B:$B,$A32,ConfirmedRaw!BH:BH)</f>
        <v>220</v>
      </c>
      <c r="BF32">
        <f>SUMIF(ConfirmedRaw!$B:$B,$A32,ConfirmedRaw!BI:BI)</f>
        <v>250</v>
      </c>
      <c r="BG32">
        <f>SUMIF(ConfirmedRaw!$B:$B,$A32,ConfirmedRaw!BJ:BJ)</f>
        <v>0</v>
      </c>
      <c r="BH32">
        <f>SUMIF(ConfirmedRaw!$B:$B,$A32,ConfirmedRaw!BK:BK)</f>
        <v>0</v>
      </c>
      <c r="BI32">
        <f>SUMIF(ConfirmedRaw!$B:$B,$A32,ConfirmedRaw!BL:BL)</f>
        <v>0</v>
      </c>
      <c r="BJ32">
        <f>SUMIF(ConfirmedRaw!$B:$B,$A32,ConfirmedRaw!BM:BM)</f>
        <v>0</v>
      </c>
      <c r="BK32">
        <f>SUMIF(ConfirmedRaw!$B:$B,$A32,ConfirmedRaw!BN:BN)</f>
        <v>0</v>
      </c>
      <c r="BL32">
        <f>SUMIF(ConfirmedRaw!$B:$B,$A32,ConfirmedRaw!BO:BO)</f>
        <v>0</v>
      </c>
      <c r="BM32">
        <f>SUMIF(ConfirmedRaw!$B:$B,$A32,ConfirmedRaw!BP:BP)</f>
        <v>0</v>
      </c>
      <c r="BN32">
        <f>SUMIF(ConfirmedRaw!$B:$B,$A32,ConfirmedRaw!BQ:BQ)</f>
        <v>0</v>
      </c>
      <c r="BO32">
        <f>SUMIF(ConfirmedRaw!$B:$B,$A32,ConfirmedRaw!BR:BR)</f>
        <v>0</v>
      </c>
      <c r="BP32">
        <f>SUMIF(ConfirmedRaw!$B:$B,$A32,ConfirmedRaw!BS:BS)</f>
        <v>0</v>
      </c>
      <c r="BQ32">
        <f>SUMIF(ConfirmedRaw!$B:$B,$A32,ConfirmedRaw!BT:BT)</f>
        <v>0</v>
      </c>
      <c r="BR32">
        <f>SUMIF(ConfirmedRaw!$B:$B,$A32,ConfirmedRaw!BU:BU)</f>
        <v>0</v>
      </c>
      <c r="BS32">
        <f>SUMIF(ConfirmedRaw!$B:$B,$A32,ConfirmedRaw!BV:BV)</f>
        <v>0</v>
      </c>
      <c r="BT32">
        <f>SUMIF(ConfirmedRaw!$B:$B,$A32,ConfirmedRaw!BW:BW)</f>
        <v>0</v>
      </c>
    </row>
    <row r="33" spans="1:72" ht="15" thickBot="1" x14ac:dyDescent="0.35">
      <c r="A33" s="3" t="s">
        <v>108</v>
      </c>
      <c r="B33">
        <f>SUMIF(ConfirmedRaw!$B:$B,$A33,ConfirmedRaw!E:E)</f>
        <v>0</v>
      </c>
      <c r="C33">
        <f>SUMIF(ConfirmedRaw!$B:$B,$A33,ConfirmedRaw!F:F)</f>
        <v>0</v>
      </c>
      <c r="D33">
        <f>SUMIF(ConfirmedRaw!$B:$B,$A33,ConfirmedRaw!G:G)</f>
        <v>0</v>
      </c>
      <c r="E33">
        <f>SUMIF(ConfirmedRaw!$B:$B,$A33,ConfirmedRaw!H:H)</f>
        <v>0</v>
      </c>
      <c r="F33">
        <f>SUMIF(ConfirmedRaw!$B:$B,$A33,ConfirmedRaw!I:I)</f>
        <v>0</v>
      </c>
      <c r="G33">
        <f>SUMIF(ConfirmedRaw!$B:$B,$A33,ConfirmedRaw!J:J)</f>
        <v>0</v>
      </c>
      <c r="H33">
        <f>SUMIF(ConfirmedRaw!$B:$B,$A33,ConfirmedRaw!K:K)</f>
        <v>0</v>
      </c>
      <c r="I33">
        <f>SUMIF(ConfirmedRaw!$B:$B,$A33,ConfirmedRaw!L:L)</f>
        <v>0</v>
      </c>
      <c r="J33">
        <f>SUMIF(ConfirmedRaw!$B:$B,$A33,ConfirmedRaw!M:M)</f>
        <v>0</v>
      </c>
      <c r="K33">
        <f>SUMIF(ConfirmedRaw!$B:$B,$A33,ConfirmedRaw!N:N)</f>
        <v>0</v>
      </c>
      <c r="L33">
        <f>SUMIF(ConfirmedRaw!$B:$B,$A33,ConfirmedRaw!O:O)</f>
        <v>0</v>
      </c>
      <c r="M33">
        <f>SUMIF(ConfirmedRaw!$B:$B,$A33,ConfirmedRaw!P:P)</f>
        <v>0</v>
      </c>
      <c r="N33">
        <f>SUMIF(ConfirmedRaw!$B:$B,$A33,ConfirmedRaw!Q:Q)</f>
        <v>0</v>
      </c>
      <c r="O33">
        <f>SUMIF(ConfirmedRaw!$B:$B,$A33,ConfirmedRaw!R:R)</f>
        <v>0</v>
      </c>
      <c r="P33">
        <f>SUMIF(ConfirmedRaw!$B:$B,$A33,ConfirmedRaw!S:S)</f>
        <v>0</v>
      </c>
      <c r="Q33">
        <f>SUMIF(ConfirmedRaw!$B:$B,$A33,ConfirmedRaw!T:T)</f>
        <v>0</v>
      </c>
      <c r="R33">
        <f>SUMIF(ConfirmedRaw!$B:$B,$A33,ConfirmedRaw!U:U)</f>
        <v>0</v>
      </c>
      <c r="S33">
        <f>SUMIF(ConfirmedRaw!$B:$B,$A33,ConfirmedRaw!V:V)</f>
        <v>0</v>
      </c>
      <c r="T33">
        <f>SUMIF(ConfirmedRaw!$B:$B,$A33,ConfirmedRaw!W:W)</f>
        <v>0</v>
      </c>
      <c r="U33">
        <f>SUMIF(ConfirmedRaw!$B:$B,$A33,ConfirmedRaw!X:X)</f>
        <v>0</v>
      </c>
      <c r="V33">
        <f>SUMIF(ConfirmedRaw!$B:$B,$A33,ConfirmedRaw!Y:Y)</f>
        <v>0</v>
      </c>
      <c r="W33">
        <f>SUMIF(ConfirmedRaw!$B:$B,$A33,ConfirmedRaw!Z:Z)</f>
        <v>0</v>
      </c>
      <c r="X33">
        <f>SUMIF(ConfirmedRaw!$B:$B,$A33,ConfirmedRaw!AA:AA)</f>
        <v>0</v>
      </c>
      <c r="Y33">
        <f>SUMIF(ConfirmedRaw!$B:$B,$A33,ConfirmedRaw!AB:AB)</f>
        <v>0</v>
      </c>
      <c r="Z33">
        <f>SUMIF(ConfirmedRaw!$B:$B,$A33,ConfirmedRaw!AC:AC)</f>
        <v>0</v>
      </c>
      <c r="AA33">
        <f>SUMIF(ConfirmedRaw!$B:$B,$A33,ConfirmedRaw!AD:AD)</f>
        <v>0</v>
      </c>
      <c r="AB33">
        <f>SUMIF(ConfirmedRaw!$B:$B,$A33,ConfirmedRaw!AE:AE)</f>
        <v>0</v>
      </c>
      <c r="AC33">
        <f>SUMIF(ConfirmedRaw!$B:$B,$A33,ConfirmedRaw!AF:AF)</f>
        <v>0</v>
      </c>
      <c r="AD33">
        <f>SUMIF(ConfirmedRaw!$B:$B,$A33,ConfirmedRaw!AG:AG)</f>
        <v>0</v>
      </c>
      <c r="AE33">
        <f>SUMIF(ConfirmedRaw!$B:$B,$A33,ConfirmedRaw!AH:AH)</f>
        <v>0</v>
      </c>
      <c r="AF33">
        <f>SUMIF(ConfirmedRaw!$B:$B,$A33,ConfirmedRaw!AI:AI)</f>
        <v>0</v>
      </c>
      <c r="AG33">
        <f>SUMIF(ConfirmedRaw!$B:$B,$A33,ConfirmedRaw!AJ:AJ)</f>
        <v>0</v>
      </c>
      <c r="AH33">
        <f>SUMIF(ConfirmedRaw!$B:$B,$A33,ConfirmedRaw!AK:AK)</f>
        <v>0</v>
      </c>
      <c r="AI33">
        <f>SUMIF(ConfirmedRaw!$B:$B,$A33,ConfirmedRaw!AL:AL)</f>
        <v>0</v>
      </c>
      <c r="AJ33">
        <f>SUMIF(ConfirmedRaw!$B:$B,$A33,ConfirmedRaw!AM:AM)</f>
        <v>0</v>
      </c>
      <c r="AK33">
        <f>SUMIF(ConfirmedRaw!$B:$B,$A33,ConfirmedRaw!AN:AN)</f>
        <v>0</v>
      </c>
      <c r="AL33">
        <f>SUMIF(ConfirmedRaw!$B:$B,$A33,ConfirmedRaw!AO:AO)</f>
        <v>0</v>
      </c>
      <c r="AM33">
        <f>SUMIF(ConfirmedRaw!$B:$B,$A33,ConfirmedRaw!AP:AP)</f>
        <v>0</v>
      </c>
      <c r="AN33">
        <f>SUMIF(ConfirmedRaw!$B:$B,$A33,ConfirmedRaw!AQ:AQ)</f>
        <v>0</v>
      </c>
      <c r="AO33">
        <f>SUMIF(ConfirmedRaw!$B:$B,$A33,ConfirmedRaw!AR:AR)</f>
        <v>0</v>
      </c>
      <c r="AP33">
        <f>SUMIF(ConfirmedRaw!$B:$B,$A33,ConfirmedRaw!AS:AS)</f>
        <v>2</v>
      </c>
      <c r="AQ33">
        <f>SUMIF(ConfirmedRaw!$B:$B,$A33,ConfirmedRaw!AT:AT)</f>
        <v>2</v>
      </c>
      <c r="AR33">
        <f>SUMIF(ConfirmedRaw!$B:$B,$A33,ConfirmedRaw!AU:AU)</f>
        <v>5</v>
      </c>
      <c r="AS33">
        <f>SUMIF(ConfirmedRaw!$B:$B,$A33,ConfirmedRaw!AV:AV)</f>
        <v>8</v>
      </c>
      <c r="AT33">
        <f>SUMIF(ConfirmedRaw!$B:$B,$A33,ConfirmedRaw!AW:AW)</f>
        <v>13</v>
      </c>
      <c r="AU33">
        <f>SUMIF(ConfirmedRaw!$B:$B,$A33,ConfirmedRaw!AX:AX)</f>
        <v>20</v>
      </c>
      <c r="AV33">
        <f>SUMIF(ConfirmedRaw!$B:$B,$A33,ConfirmedRaw!AY:AY)</f>
        <v>30</v>
      </c>
      <c r="AW33">
        <f>SUMIF(ConfirmedRaw!$B:$B,$A33,ConfirmedRaw!AZ:AZ)</f>
        <v>30</v>
      </c>
      <c r="AX33">
        <f>SUMIF(ConfirmedRaw!$B:$B,$A33,ConfirmedRaw!BA:BA)</f>
        <v>41</v>
      </c>
      <c r="AY33">
        <f>SUMIF(ConfirmedRaw!$B:$B,$A33,ConfirmedRaw!BB:BB)</f>
        <v>59</v>
      </c>
      <c r="AZ33">
        <f>SUMIF(ConfirmedRaw!$B:$B,$A33,ConfirmedRaw!BC:BC)</f>
        <v>59</v>
      </c>
      <c r="BA33">
        <f>SUMIF(ConfirmedRaw!$B:$B,$A33,ConfirmedRaw!BD:BD)</f>
        <v>112</v>
      </c>
      <c r="BB33">
        <f>SUMIF(ConfirmedRaw!$B:$B,$A33,ConfirmedRaw!BE:BE)</f>
        <v>169</v>
      </c>
      <c r="BC33">
        <f>SUMIF(ConfirmedRaw!$B:$B,$A33,ConfirmedRaw!BF:BF)</f>
        <v>245</v>
      </c>
      <c r="BD33">
        <f>SUMIF(ConfirmedRaw!$B:$B,$A33,ConfirmedRaw!BG:BG)</f>
        <v>331</v>
      </c>
      <c r="BE33">
        <f>SUMIF(ConfirmedRaw!$B:$B,$A33,ConfirmedRaw!BH:BH)</f>
        <v>448</v>
      </c>
      <c r="BF33">
        <f>SUMIF(ConfirmedRaw!$B:$B,$A33,ConfirmedRaw!BI:BI)</f>
        <v>448</v>
      </c>
      <c r="BG33">
        <f>SUMIF(ConfirmedRaw!$B:$B,$A33,ConfirmedRaw!BJ:BJ)</f>
        <v>0</v>
      </c>
      <c r="BH33">
        <f>SUMIF(ConfirmedRaw!$B:$B,$A33,ConfirmedRaw!BK:BK)</f>
        <v>0</v>
      </c>
      <c r="BI33">
        <f>SUMIF(ConfirmedRaw!$B:$B,$A33,ConfirmedRaw!BL:BL)</f>
        <v>0</v>
      </c>
      <c r="BJ33">
        <f>SUMIF(ConfirmedRaw!$B:$B,$A33,ConfirmedRaw!BM:BM)</f>
        <v>0</v>
      </c>
      <c r="BK33">
        <f>SUMIF(ConfirmedRaw!$B:$B,$A33,ConfirmedRaw!BN:BN)</f>
        <v>0</v>
      </c>
      <c r="BL33">
        <f>SUMIF(ConfirmedRaw!$B:$B,$A33,ConfirmedRaw!BO:BO)</f>
        <v>0</v>
      </c>
      <c r="BM33">
        <f>SUMIF(ConfirmedRaw!$B:$B,$A33,ConfirmedRaw!BP:BP)</f>
        <v>0</v>
      </c>
      <c r="BN33">
        <f>SUMIF(ConfirmedRaw!$B:$B,$A33,ConfirmedRaw!BQ:BQ)</f>
        <v>0</v>
      </c>
      <c r="BO33">
        <f>SUMIF(ConfirmedRaw!$B:$B,$A33,ConfirmedRaw!BR:BR)</f>
        <v>0</v>
      </c>
      <c r="BP33">
        <f>SUMIF(ConfirmedRaw!$B:$B,$A33,ConfirmedRaw!BS:BS)</f>
        <v>0</v>
      </c>
      <c r="BQ33">
        <f>SUMIF(ConfirmedRaw!$B:$B,$A33,ConfirmedRaw!BT:BT)</f>
        <v>0</v>
      </c>
      <c r="BR33">
        <f>SUMIF(ConfirmedRaw!$B:$B,$A33,ConfirmedRaw!BU:BU)</f>
        <v>0</v>
      </c>
      <c r="BS33">
        <f>SUMIF(ConfirmedRaw!$B:$B,$A33,ConfirmedRaw!BV:BV)</f>
        <v>0</v>
      </c>
      <c r="BT33">
        <f>SUMIF(ConfirmedRaw!$B:$B,$A33,ConfirmedRaw!BW:BW)</f>
        <v>0</v>
      </c>
    </row>
    <row r="34" spans="1:72" ht="15" thickBot="1" x14ac:dyDescent="0.35">
      <c r="A34" s="3" t="s">
        <v>70</v>
      </c>
      <c r="B34">
        <f>SUMIF(ConfirmedRaw!$B:$B,$A34,ConfirmedRaw!E:E)</f>
        <v>0</v>
      </c>
      <c r="C34">
        <f>SUMIF(ConfirmedRaw!$B:$B,$A34,ConfirmedRaw!F:F)</f>
        <v>0</v>
      </c>
      <c r="D34">
        <f>SUMIF(ConfirmedRaw!$B:$B,$A34,ConfirmedRaw!G:G)</f>
        <v>0</v>
      </c>
      <c r="E34">
        <f>SUMIF(ConfirmedRaw!$B:$B,$A34,ConfirmedRaw!H:H)</f>
        <v>0</v>
      </c>
      <c r="F34">
        <f>SUMIF(ConfirmedRaw!$B:$B,$A34,ConfirmedRaw!I:I)</f>
        <v>0</v>
      </c>
      <c r="G34">
        <f>SUMIF(ConfirmedRaw!$B:$B,$A34,ConfirmedRaw!J:J)</f>
        <v>0</v>
      </c>
      <c r="H34">
        <f>SUMIF(ConfirmedRaw!$B:$B,$A34,ConfirmedRaw!K:K)</f>
        <v>0</v>
      </c>
      <c r="I34">
        <f>SUMIF(ConfirmedRaw!$B:$B,$A34,ConfirmedRaw!L:L)</f>
        <v>0</v>
      </c>
      <c r="J34">
        <f>SUMIF(ConfirmedRaw!$B:$B,$A34,ConfirmedRaw!M:M)</f>
        <v>0</v>
      </c>
      <c r="K34">
        <f>SUMIF(ConfirmedRaw!$B:$B,$A34,ConfirmedRaw!N:N)</f>
        <v>0</v>
      </c>
      <c r="L34">
        <f>SUMIF(ConfirmedRaw!$B:$B,$A34,ConfirmedRaw!O:O)</f>
        <v>0</v>
      </c>
      <c r="M34">
        <f>SUMIF(ConfirmedRaw!$B:$B,$A34,ConfirmedRaw!P:P)</f>
        <v>0</v>
      </c>
      <c r="N34">
        <f>SUMIF(ConfirmedRaw!$B:$B,$A34,ConfirmedRaw!Q:Q)</f>
        <v>0</v>
      </c>
      <c r="O34">
        <f>SUMIF(ConfirmedRaw!$B:$B,$A34,ConfirmedRaw!R:R)</f>
        <v>0</v>
      </c>
      <c r="P34">
        <f>SUMIF(ConfirmedRaw!$B:$B,$A34,ConfirmedRaw!S:S)</f>
        <v>0</v>
      </c>
      <c r="Q34">
        <f>SUMIF(ConfirmedRaw!$B:$B,$A34,ConfirmedRaw!T:T)</f>
        <v>0</v>
      </c>
      <c r="R34">
        <f>SUMIF(ConfirmedRaw!$B:$B,$A34,ConfirmedRaw!U:U)</f>
        <v>0</v>
      </c>
      <c r="S34">
        <f>SUMIF(ConfirmedRaw!$B:$B,$A34,ConfirmedRaw!V:V)</f>
        <v>0</v>
      </c>
      <c r="T34">
        <f>SUMIF(ConfirmedRaw!$B:$B,$A34,ConfirmedRaw!W:W)</f>
        <v>0</v>
      </c>
      <c r="U34">
        <f>SUMIF(ConfirmedRaw!$B:$B,$A34,ConfirmedRaw!X:X)</f>
        <v>0</v>
      </c>
      <c r="V34">
        <f>SUMIF(ConfirmedRaw!$B:$B,$A34,ConfirmedRaw!Y:Y)</f>
        <v>0</v>
      </c>
      <c r="W34">
        <f>SUMIF(ConfirmedRaw!$B:$B,$A34,ConfirmedRaw!Z:Z)</f>
        <v>0</v>
      </c>
      <c r="X34">
        <f>SUMIF(ConfirmedRaw!$B:$B,$A34,ConfirmedRaw!AA:AA)</f>
        <v>0</v>
      </c>
      <c r="Y34">
        <f>SUMIF(ConfirmedRaw!$B:$B,$A34,ConfirmedRaw!AB:AB)</f>
        <v>0</v>
      </c>
      <c r="Z34">
        <f>SUMIF(ConfirmedRaw!$B:$B,$A34,ConfirmedRaw!AC:AC)</f>
        <v>0</v>
      </c>
      <c r="AA34">
        <f>SUMIF(ConfirmedRaw!$B:$B,$A34,ConfirmedRaw!AD:AD)</f>
        <v>0</v>
      </c>
      <c r="AB34">
        <f>SUMIF(ConfirmedRaw!$B:$B,$A34,ConfirmedRaw!AE:AE)</f>
        <v>0</v>
      </c>
      <c r="AC34">
        <f>SUMIF(ConfirmedRaw!$B:$B,$A34,ConfirmedRaw!AF:AF)</f>
        <v>0</v>
      </c>
      <c r="AD34">
        <f>SUMIF(ConfirmedRaw!$B:$B,$A34,ConfirmedRaw!AG:AG)</f>
        <v>0</v>
      </c>
      <c r="AE34">
        <f>SUMIF(ConfirmedRaw!$B:$B,$A34,ConfirmedRaw!AH:AH)</f>
        <v>0</v>
      </c>
      <c r="AF34">
        <f>SUMIF(ConfirmedRaw!$B:$B,$A34,ConfirmedRaw!AI:AI)</f>
        <v>0</v>
      </c>
      <c r="AG34">
        <f>SUMIF(ConfirmedRaw!$B:$B,$A34,ConfirmedRaw!AJ:AJ)</f>
        <v>0</v>
      </c>
      <c r="AH34">
        <f>SUMIF(ConfirmedRaw!$B:$B,$A34,ConfirmedRaw!AK:AK)</f>
        <v>0</v>
      </c>
      <c r="AI34">
        <f>SUMIF(ConfirmedRaw!$B:$B,$A34,ConfirmedRaw!AL:AL)</f>
        <v>1</v>
      </c>
      <c r="AJ34">
        <f>SUMIF(ConfirmedRaw!$B:$B,$A34,ConfirmedRaw!AM:AM)</f>
        <v>1</v>
      </c>
      <c r="AK34">
        <f>SUMIF(ConfirmedRaw!$B:$B,$A34,ConfirmedRaw!AN:AN)</f>
        <v>5</v>
      </c>
      <c r="AL34">
        <f>SUMIF(ConfirmedRaw!$B:$B,$A34,ConfirmedRaw!AO:AO)</f>
        <v>7</v>
      </c>
      <c r="AM34">
        <f>SUMIF(ConfirmedRaw!$B:$B,$A34,ConfirmedRaw!AP:AP)</f>
        <v>7</v>
      </c>
      <c r="AN34">
        <f>SUMIF(ConfirmedRaw!$B:$B,$A34,ConfirmedRaw!AQ:AQ)</f>
        <v>13</v>
      </c>
      <c r="AO34">
        <f>SUMIF(ConfirmedRaw!$B:$B,$A34,ConfirmedRaw!AR:AR)</f>
        <v>19</v>
      </c>
      <c r="AP34">
        <f>SUMIF(ConfirmedRaw!$B:$B,$A34,ConfirmedRaw!AS:AS)</f>
        <v>26</v>
      </c>
      <c r="AQ34">
        <f>SUMIF(ConfirmedRaw!$B:$B,$A34,ConfirmedRaw!AT:AT)</f>
        <v>32</v>
      </c>
      <c r="AR34">
        <f>SUMIF(ConfirmedRaw!$B:$B,$A34,ConfirmedRaw!AU:AU)</f>
        <v>35</v>
      </c>
      <c r="AS34">
        <f>SUMIF(ConfirmedRaw!$B:$B,$A34,ConfirmedRaw!AV:AV)</f>
        <v>35</v>
      </c>
      <c r="AT34">
        <f>SUMIF(ConfirmedRaw!$B:$B,$A34,ConfirmedRaw!AW:AW)</f>
        <v>40</v>
      </c>
      <c r="AU34">
        <f>SUMIF(ConfirmedRaw!$B:$B,$A34,ConfirmedRaw!AX:AX)</f>
        <v>54</v>
      </c>
      <c r="AV34">
        <f>SUMIF(ConfirmedRaw!$B:$B,$A34,ConfirmedRaw!AY:AY)</f>
        <v>60</v>
      </c>
      <c r="AW34">
        <f>SUMIF(ConfirmedRaw!$B:$B,$A34,ConfirmedRaw!AZ:AZ)</f>
        <v>60</v>
      </c>
      <c r="AX34">
        <f>SUMIF(ConfirmedRaw!$B:$B,$A34,ConfirmedRaw!BA:BA)</f>
        <v>71</v>
      </c>
      <c r="AY34">
        <f>SUMIF(ConfirmedRaw!$B:$B,$A34,ConfirmedRaw!BB:BB)</f>
        <v>71</v>
      </c>
      <c r="AZ34">
        <f>SUMIF(ConfirmedRaw!$B:$B,$A34,ConfirmedRaw!BC:BC)</f>
        <v>71</v>
      </c>
      <c r="BA34">
        <f>SUMIF(ConfirmedRaw!$B:$B,$A34,ConfirmedRaw!BD:BD)</f>
        <v>101</v>
      </c>
      <c r="BB34">
        <f>SUMIF(ConfirmedRaw!$B:$B,$A34,ConfirmedRaw!BE:BE)</f>
        <v>110</v>
      </c>
      <c r="BC34">
        <f>SUMIF(ConfirmedRaw!$B:$B,$A34,ConfirmedRaw!BF:BF)</f>
        <v>116</v>
      </c>
      <c r="BD34">
        <f>SUMIF(ConfirmedRaw!$B:$B,$A34,ConfirmedRaw!BG:BG)</f>
        <v>124</v>
      </c>
      <c r="BE34">
        <f>SUMIF(ConfirmedRaw!$B:$B,$A34,ConfirmedRaw!BH:BH)</f>
        <v>154</v>
      </c>
      <c r="BF34">
        <f>SUMIF(ConfirmedRaw!$B:$B,$A34,ConfirmedRaw!BI:BI)</f>
        <v>164</v>
      </c>
      <c r="BG34">
        <f>SUMIF(ConfirmedRaw!$B:$B,$A34,ConfirmedRaw!BJ:BJ)</f>
        <v>0</v>
      </c>
      <c r="BH34">
        <f>SUMIF(ConfirmedRaw!$B:$B,$A34,ConfirmedRaw!BK:BK)</f>
        <v>0</v>
      </c>
      <c r="BI34">
        <f>SUMIF(ConfirmedRaw!$B:$B,$A34,ConfirmedRaw!BL:BL)</f>
        <v>0</v>
      </c>
      <c r="BJ34">
        <f>SUMIF(ConfirmedRaw!$B:$B,$A34,ConfirmedRaw!BM:BM)</f>
        <v>0</v>
      </c>
      <c r="BK34">
        <f>SUMIF(ConfirmedRaw!$B:$B,$A34,ConfirmedRaw!BN:BN)</f>
        <v>0</v>
      </c>
      <c r="BL34">
        <f>SUMIF(ConfirmedRaw!$B:$B,$A34,ConfirmedRaw!BO:BO)</f>
        <v>0</v>
      </c>
      <c r="BM34">
        <f>SUMIF(ConfirmedRaw!$B:$B,$A34,ConfirmedRaw!BP:BP)</f>
        <v>0</v>
      </c>
      <c r="BN34">
        <f>SUMIF(ConfirmedRaw!$B:$B,$A34,ConfirmedRaw!BQ:BQ)</f>
        <v>0</v>
      </c>
      <c r="BO34">
        <f>SUMIF(ConfirmedRaw!$B:$B,$A34,ConfirmedRaw!BR:BR)</f>
        <v>0</v>
      </c>
      <c r="BP34">
        <f>SUMIF(ConfirmedRaw!$B:$B,$A34,ConfirmedRaw!BS:BS)</f>
        <v>0</v>
      </c>
      <c r="BQ34">
        <f>SUMIF(ConfirmedRaw!$B:$B,$A34,ConfirmedRaw!BT:BT)</f>
        <v>0</v>
      </c>
      <c r="BR34">
        <f>SUMIF(ConfirmedRaw!$B:$B,$A34,ConfirmedRaw!BU:BU)</f>
        <v>0</v>
      </c>
      <c r="BS34">
        <f>SUMIF(ConfirmedRaw!$B:$B,$A34,ConfirmedRaw!BV:BV)</f>
        <v>0</v>
      </c>
      <c r="BT34">
        <f>SUMIF(ConfirmedRaw!$B:$B,$A34,ConfirmedRaw!BW:BW)</f>
        <v>0</v>
      </c>
    </row>
    <row r="35" spans="1:72" ht="15" thickBot="1" x14ac:dyDescent="0.35">
      <c r="A35" s="4" t="s">
        <v>98</v>
      </c>
      <c r="B35">
        <f>SUMIF(ConfirmedRaw!$B:$B,$A35,ConfirmedRaw!E:E)</f>
        <v>0</v>
      </c>
      <c r="C35">
        <f>SUMIF(ConfirmedRaw!$B:$B,$A35,ConfirmedRaw!F:F)</f>
        <v>0</v>
      </c>
      <c r="D35">
        <f>SUMIF(ConfirmedRaw!$B:$B,$A35,ConfirmedRaw!G:G)</f>
        <v>0</v>
      </c>
      <c r="E35">
        <f>SUMIF(ConfirmedRaw!$B:$B,$A35,ConfirmedRaw!H:H)</f>
        <v>0</v>
      </c>
      <c r="F35">
        <f>SUMIF(ConfirmedRaw!$B:$B,$A35,ConfirmedRaw!I:I)</f>
        <v>0</v>
      </c>
      <c r="G35">
        <f>SUMIF(ConfirmedRaw!$B:$B,$A35,ConfirmedRaw!J:J)</f>
        <v>0</v>
      </c>
      <c r="H35">
        <f>SUMIF(ConfirmedRaw!$B:$B,$A35,ConfirmedRaw!K:K)</f>
        <v>0</v>
      </c>
      <c r="I35">
        <f>SUMIF(ConfirmedRaw!$B:$B,$A35,ConfirmedRaw!L:L)</f>
        <v>0</v>
      </c>
      <c r="J35">
        <f>SUMIF(ConfirmedRaw!$B:$B,$A35,ConfirmedRaw!M:M)</f>
        <v>0</v>
      </c>
      <c r="K35">
        <f>SUMIF(ConfirmedRaw!$B:$B,$A35,ConfirmedRaw!N:N)</f>
        <v>0</v>
      </c>
      <c r="L35">
        <f>SUMIF(ConfirmedRaw!$B:$B,$A35,ConfirmedRaw!O:O)</f>
        <v>0</v>
      </c>
      <c r="M35">
        <f>SUMIF(ConfirmedRaw!$B:$B,$A35,ConfirmedRaw!P:P)</f>
        <v>0</v>
      </c>
      <c r="N35">
        <f>SUMIF(ConfirmedRaw!$B:$B,$A35,ConfirmedRaw!Q:Q)</f>
        <v>0</v>
      </c>
      <c r="O35">
        <f>SUMIF(ConfirmedRaw!$B:$B,$A35,ConfirmedRaw!R:R)</f>
        <v>0</v>
      </c>
      <c r="P35">
        <f>SUMIF(ConfirmedRaw!$B:$B,$A35,ConfirmedRaw!S:S)</f>
        <v>0</v>
      </c>
      <c r="Q35">
        <f>SUMIF(ConfirmedRaw!$B:$B,$A35,ConfirmedRaw!T:T)</f>
        <v>0</v>
      </c>
      <c r="R35">
        <f>SUMIF(ConfirmedRaw!$B:$B,$A35,ConfirmedRaw!U:U)</f>
        <v>0</v>
      </c>
      <c r="S35">
        <f>SUMIF(ConfirmedRaw!$B:$B,$A35,ConfirmedRaw!V:V)</f>
        <v>0</v>
      </c>
      <c r="T35">
        <f>SUMIF(ConfirmedRaw!$B:$B,$A35,ConfirmedRaw!W:W)</f>
        <v>0</v>
      </c>
      <c r="U35">
        <f>SUMIF(ConfirmedRaw!$B:$B,$A35,ConfirmedRaw!X:X)</f>
        <v>0</v>
      </c>
      <c r="V35">
        <f>SUMIF(ConfirmedRaw!$B:$B,$A35,ConfirmedRaw!Y:Y)</f>
        <v>0</v>
      </c>
      <c r="W35">
        <f>SUMIF(ConfirmedRaw!$B:$B,$A35,ConfirmedRaw!Z:Z)</f>
        <v>0</v>
      </c>
      <c r="X35">
        <f>SUMIF(ConfirmedRaw!$B:$B,$A35,ConfirmedRaw!AA:AA)</f>
        <v>0</v>
      </c>
      <c r="Y35">
        <f>SUMIF(ConfirmedRaw!$B:$B,$A35,ConfirmedRaw!AB:AB)</f>
        <v>0</v>
      </c>
      <c r="Z35">
        <f>SUMIF(ConfirmedRaw!$B:$B,$A35,ConfirmedRaw!AC:AC)</f>
        <v>0</v>
      </c>
      <c r="AA35">
        <f>SUMIF(ConfirmedRaw!$B:$B,$A35,ConfirmedRaw!AD:AD)</f>
        <v>0</v>
      </c>
      <c r="AB35">
        <f>SUMIF(ConfirmedRaw!$B:$B,$A35,ConfirmedRaw!AE:AE)</f>
        <v>0</v>
      </c>
      <c r="AC35">
        <f>SUMIF(ConfirmedRaw!$B:$B,$A35,ConfirmedRaw!AF:AF)</f>
        <v>0</v>
      </c>
      <c r="AD35">
        <f>SUMIF(ConfirmedRaw!$B:$B,$A35,ConfirmedRaw!AG:AG)</f>
        <v>0</v>
      </c>
      <c r="AE35">
        <f>SUMIF(ConfirmedRaw!$B:$B,$A35,ConfirmedRaw!AH:AH)</f>
        <v>0</v>
      </c>
      <c r="AF35">
        <f>SUMIF(ConfirmedRaw!$B:$B,$A35,ConfirmedRaw!AI:AI)</f>
        <v>0</v>
      </c>
      <c r="AG35">
        <f>SUMIF(ConfirmedRaw!$B:$B,$A35,ConfirmedRaw!AJ:AJ)</f>
        <v>0</v>
      </c>
      <c r="AH35">
        <f>SUMIF(ConfirmedRaw!$B:$B,$A35,ConfirmedRaw!AK:AK)</f>
        <v>0</v>
      </c>
      <c r="AI35">
        <f>SUMIF(ConfirmedRaw!$B:$B,$A35,ConfirmedRaw!AL:AL)</f>
        <v>0</v>
      </c>
      <c r="AJ35">
        <f>SUMIF(ConfirmedRaw!$B:$B,$A35,ConfirmedRaw!AM:AM)</f>
        <v>0</v>
      </c>
      <c r="AK35">
        <f>SUMIF(ConfirmedRaw!$B:$B,$A35,ConfirmedRaw!AN:AN)</f>
        <v>0</v>
      </c>
      <c r="AL35">
        <f>SUMIF(ConfirmedRaw!$B:$B,$A35,ConfirmedRaw!AO:AO)</f>
        <v>0</v>
      </c>
      <c r="AM35">
        <f>SUMIF(ConfirmedRaw!$B:$B,$A35,ConfirmedRaw!AP:AP)</f>
        <v>0</v>
      </c>
      <c r="AN35">
        <f>SUMIF(ConfirmedRaw!$B:$B,$A35,ConfirmedRaw!AQ:AQ)</f>
        <v>1</v>
      </c>
      <c r="AO35">
        <f>SUMIF(ConfirmedRaw!$B:$B,$A35,ConfirmedRaw!AR:AR)</f>
        <v>1</v>
      </c>
      <c r="AP35">
        <f>SUMIF(ConfirmedRaw!$B:$B,$A35,ConfirmedRaw!AS:AS)</f>
        <v>1</v>
      </c>
      <c r="AQ35">
        <f>SUMIF(ConfirmedRaw!$B:$B,$A35,ConfirmedRaw!AT:AT)</f>
        <v>2</v>
      </c>
      <c r="AR35">
        <f>SUMIF(ConfirmedRaw!$B:$B,$A35,ConfirmedRaw!AU:AU)</f>
        <v>6</v>
      </c>
      <c r="AS35">
        <f>SUMIF(ConfirmedRaw!$B:$B,$A35,ConfirmedRaw!AV:AV)</f>
        <v>6</v>
      </c>
      <c r="AT35">
        <f>SUMIF(ConfirmedRaw!$B:$B,$A35,ConfirmedRaw!AW:AW)</f>
        <v>18</v>
      </c>
      <c r="AU35">
        <f>SUMIF(ConfirmedRaw!$B:$B,$A35,ConfirmedRaw!AX:AX)</f>
        <v>18</v>
      </c>
      <c r="AV35">
        <f>SUMIF(ConfirmedRaw!$B:$B,$A35,ConfirmedRaw!AY:AY)</f>
        <v>19</v>
      </c>
      <c r="AW35">
        <f>SUMIF(ConfirmedRaw!$B:$B,$A35,ConfirmedRaw!AZ:AZ)</f>
        <v>21</v>
      </c>
      <c r="AX35">
        <f>SUMIF(ConfirmedRaw!$B:$B,$A35,ConfirmedRaw!BA:BA)</f>
        <v>34</v>
      </c>
      <c r="AY35">
        <f>SUMIF(ConfirmedRaw!$B:$B,$A35,ConfirmedRaw!BB:BB)</f>
        <v>43</v>
      </c>
      <c r="AZ35">
        <f>SUMIF(ConfirmedRaw!$B:$B,$A35,ConfirmedRaw!BC:BC)</f>
        <v>43</v>
      </c>
      <c r="BA35">
        <f>SUMIF(ConfirmedRaw!$B:$B,$A35,ConfirmedRaw!BD:BD)</f>
        <v>90</v>
      </c>
      <c r="BB35">
        <f>SUMIF(ConfirmedRaw!$B:$B,$A35,ConfirmedRaw!BE:BE)</f>
        <v>129</v>
      </c>
      <c r="BC35">
        <f>SUMIF(ConfirmedRaw!$B:$B,$A35,ConfirmedRaw!BF:BF)</f>
        <v>129</v>
      </c>
      <c r="BD35">
        <f>SUMIF(ConfirmedRaw!$B:$B,$A35,ConfirmedRaw!BG:BG)</f>
        <v>169</v>
      </c>
      <c r="BE35">
        <f>SUMIF(ConfirmedRaw!$B:$B,$A35,ConfirmedRaw!BH:BH)</f>
        <v>223</v>
      </c>
      <c r="BF35">
        <f>SUMIF(ConfirmedRaw!$B:$B,$A35,ConfirmedRaw!BI:BI)</f>
        <v>292</v>
      </c>
      <c r="BG35">
        <f>SUMIF(ConfirmedRaw!$B:$B,$A35,ConfirmedRaw!BJ:BJ)</f>
        <v>0</v>
      </c>
      <c r="BH35">
        <f>SUMIF(ConfirmedRaw!$B:$B,$A35,ConfirmedRaw!BK:BK)</f>
        <v>0</v>
      </c>
      <c r="BI35">
        <f>SUMIF(ConfirmedRaw!$B:$B,$A35,ConfirmedRaw!BL:BL)</f>
        <v>0</v>
      </c>
      <c r="BJ35">
        <f>SUMIF(ConfirmedRaw!$B:$B,$A35,ConfirmedRaw!BM:BM)</f>
        <v>0</v>
      </c>
      <c r="BK35">
        <f>SUMIF(ConfirmedRaw!$B:$B,$A35,ConfirmedRaw!BN:BN)</f>
        <v>0</v>
      </c>
      <c r="BL35">
        <f>SUMIF(ConfirmedRaw!$B:$B,$A35,ConfirmedRaw!BO:BO)</f>
        <v>0</v>
      </c>
      <c r="BM35">
        <f>SUMIF(ConfirmedRaw!$B:$B,$A35,ConfirmedRaw!BP:BP)</f>
        <v>0</v>
      </c>
      <c r="BN35">
        <f>SUMIF(ConfirmedRaw!$B:$B,$A35,ConfirmedRaw!BQ:BQ)</f>
        <v>0</v>
      </c>
      <c r="BO35">
        <f>SUMIF(ConfirmedRaw!$B:$B,$A35,ConfirmedRaw!BR:BR)</f>
        <v>0</v>
      </c>
      <c r="BP35">
        <f>SUMIF(ConfirmedRaw!$B:$B,$A35,ConfirmedRaw!BS:BS)</f>
        <v>0</v>
      </c>
      <c r="BQ35">
        <f>SUMIF(ConfirmedRaw!$B:$B,$A35,ConfirmedRaw!BT:BT)</f>
        <v>0</v>
      </c>
      <c r="BR35">
        <f>SUMIF(ConfirmedRaw!$B:$B,$A35,ConfirmedRaw!BU:BU)</f>
        <v>0</v>
      </c>
      <c r="BS35">
        <f>SUMIF(ConfirmedRaw!$B:$B,$A35,ConfirmedRaw!BV:BV)</f>
        <v>0</v>
      </c>
      <c r="BT35">
        <f>SUMIF(ConfirmedRaw!$B:$B,$A35,ConfirmedRaw!BW:BW)</f>
        <v>0</v>
      </c>
    </row>
    <row r="36" spans="1:72" ht="15" thickBot="1" x14ac:dyDescent="0.35">
      <c r="A36" s="3" t="s">
        <v>86</v>
      </c>
      <c r="B36">
        <f>SUMIF(ConfirmedRaw!$B:$B,$A36,ConfirmedRaw!E:E)</f>
        <v>0</v>
      </c>
      <c r="C36">
        <f>SUMIF(ConfirmedRaw!$B:$B,$A36,ConfirmedRaw!F:F)</f>
        <v>0</v>
      </c>
      <c r="D36">
        <f>SUMIF(ConfirmedRaw!$B:$B,$A36,ConfirmedRaw!G:G)</f>
        <v>0</v>
      </c>
      <c r="E36">
        <f>SUMIF(ConfirmedRaw!$B:$B,$A36,ConfirmedRaw!H:H)</f>
        <v>0</v>
      </c>
      <c r="F36">
        <f>SUMIF(ConfirmedRaw!$B:$B,$A36,ConfirmedRaw!I:I)</f>
        <v>0</v>
      </c>
      <c r="G36">
        <f>SUMIF(ConfirmedRaw!$B:$B,$A36,ConfirmedRaw!J:J)</f>
        <v>0</v>
      </c>
      <c r="H36">
        <f>SUMIF(ConfirmedRaw!$B:$B,$A36,ConfirmedRaw!K:K)</f>
        <v>0</v>
      </c>
      <c r="I36">
        <f>SUMIF(ConfirmedRaw!$B:$B,$A36,ConfirmedRaw!L:L)</f>
        <v>0</v>
      </c>
      <c r="J36">
        <f>SUMIF(ConfirmedRaw!$B:$B,$A36,ConfirmedRaw!M:M)</f>
        <v>0</v>
      </c>
      <c r="K36">
        <f>SUMIF(ConfirmedRaw!$B:$B,$A36,ConfirmedRaw!N:N)</f>
        <v>0</v>
      </c>
      <c r="L36">
        <f>SUMIF(ConfirmedRaw!$B:$B,$A36,ConfirmedRaw!O:O)</f>
        <v>0</v>
      </c>
      <c r="M36">
        <f>SUMIF(ConfirmedRaw!$B:$B,$A36,ConfirmedRaw!P:P)</f>
        <v>0</v>
      </c>
      <c r="N36">
        <f>SUMIF(ConfirmedRaw!$B:$B,$A36,ConfirmedRaw!Q:Q)</f>
        <v>0</v>
      </c>
      <c r="O36">
        <f>SUMIF(ConfirmedRaw!$B:$B,$A36,ConfirmedRaw!R:R)</f>
        <v>0</v>
      </c>
      <c r="P36">
        <f>SUMIF(ConfirmedRaw!$B:$B,$A36,ConfirmedRaw!S:S)</f>
        <v>0</v>
      </c>
      <c r="Q36">
        <f>SUMIF(ConfirmedRaw!$B:$B,$A36,ConfirmedRaw!T:T)</f>
        <v>0</v>
      </c>
      <c r="R36">
        <f>SUMIF(ConfirmedRaw!$B:$B,$A36,ConfirmedRaw!U:U)</f>
        <v>0</v>
      </c>
      <c r="S36">
        <f>SUMIF(ConfirmedRaw!$B:$B,$A36,ConfirmedRaw!V:V)</f>
        <v>0</v>
      </c>
      <c r="T36">
        <f>SUMIF(ConfirmedRaw!$B:$B,$A36,ConfirmedRaw!W:W)</f>
        <v>0</v>
      </c>
      <c r="U36">
        <f>SUMIF(ConfirmedRaw!$B:$B,$A36,ConfirmedRaw!X:X)</f>
        <v>0</v>
      </c>
      <c r="V36">
        <f>SUMIF(ConfirmedRaw!$B:$B,$A36,ConfirmedRaw!Y:Y)</f>
        <v>0</v>
      </c>
      <c r="W36">
        <f>SUMIF(ConfirmedRaw!$B:$B,$A36,ConfirmedRaw!Z:Z)</f>
        <v>0</v>
      </c>
      <c r="X36">
        <f>SUMIF(ConfirmedRaw!$B:$B,$A36,ConfirmedRaw!AA:AA)</f>
        <v>0</v>
      </c>
      <c r="Y36">
        <f>SUMIF(ConfirmedRaw!$B:$B,$A36,ConfirmedRaw!AB:AB)</f>
        <v>0</v>
      </c>
      <c r="Z36">
        <f>SUMIF(ConfirmedRaw!$B:$B,$A36,ConfirmedRaw!AC:AC)</f>
        <v>0</v>
      </c>
      <c r="AA36">
        <f>SUMIF(ConfirmedRaw!$B:$B,$A36,ConfirmedRaw!AD:AD)</f>
        <v>0</v>
      </c>
      <c r="AB36">
        <f>SUMIF(ConfirmedRaw!$B:$B,$A36,ConfirmedRaw!AE:AE)</f>
        <v>0</v>
      </c>
      <c r="AC36">
        <f>SUMIF(ConfirmedRaw!$B:$B,$A36,ConfirmedRaw!AF:AF)</f>
        <v>0</v>
      </c>
      <c r="AD36">
        <f>SUMIF(ConfirmedRaw!$B:$B,$A36,ConfirmedRaw!AG:AG)</f>
        <v>0</v>
      </c>
      <c r="AE36">
        <f>SUMIF(ConfirmedRaw!$B:$B,$A36,ConfirmedRaw!AH:AH)</f>
        <v>0</v>
      </c>
      <c r="AF36">
        <f>SUMIF(ConfirmedRaw!$B:$B,$A36,ConfirmedRaw!AI:AI)</f>
        <v>0</v>
      </c>
      <c r="AG36">
        <f>SUMIF(ConfirmedRaw!$B:$B,$A36,ConfirmedRaw!AJ:AJ)</f>
        <v>0</v>
      </c>
      <c r="AH36">
        <f>SUMIF(ConfirmedRaw!$B:$B,$A36,ConfirmedRaw!AK:AK)</f>
        <v>0</v>
      </c>
      <c r="AI36">
        <f>SUMIF(ConfirmedRaw!$B:$B,$A36,ConfirmedRaw!AL:AL)</f>
        <v>0</v>
      </c>
      <c r="AJ36">
        <f>SUMIF(ConfirmedRaw!$B:$B,$A36,ConfirmedRaw!AM:AM)</f>
        <v>0</v>
      </c>
      <c r="AK36">
        <f>SUMIF(ConfirmedRaw!$B:$B,$A36,ConfirmedRaw!AN:AN)</f>
        <v>1</v>
      </c>
      <c r="AL36">
        <f>SUMIF(ConfirmedRaw!$B:$B,$A36,ConfirmedRaw!AO:AO)</f>
        <v>1</v>
      </c>
      <c r="AM36">
        <f>SUMIF(ConfirmedRaw!$B:$B,$A36,ConfirmedRaw!AP:AP)</f>
        <v>3</v>
      </c>
      <c r="AN36">
        <f>SUMIF(ConfirmedRaw!$B:$B,$A36,ConfirmedRaw!AQ:AQ)</f>
        <v>3</v>
      </c>
      <c r="AO36">
        <f>SUMIF(ConfirmedRaw!$B:$B,$A36,ConfirmedRaw!AR:AR)</f>
        <v>3</v>
      </c>
      <c r="AP36">
        <f>SUMIF(ConfirmedRaw!$B:$B,$A36,ConfirmedRaw!AS:AS)</f>
        <v>3</v>
      </c>
      <c r="AQ36">
        <f>SUMIF(ConfirmedRaw!$B:$B,$A36,ConfirmedRaw!AT:AT)</f>
        <v>3</v>
      </c>
      <c r="AR36">
        <f>SUMIF(ConfirmedRaw!$B:$B,$A36,ConfirmedRaw!AU:AU)</f>
        <v>4</v>
      </c>
      <c r="AS36">
        <f>SUMIF(ConfirmedRaw!$B:$B,$A36,ConfirmedRaw!AV:AV)</f>
        <v>6</v>
      </c>
      <c r="AT36">
        <f>SUMIF(ConfirmedRaw!$B:$B,$A36,ConfirmedRaw!AW:AW)</f>
        <v>9</v>
      </c>
      <c r="AU36">
        <f>SUMIF(ConfirmedRaw!$B:$B,$A36,ConfirmedRaw!AX:AX)</f>
        <v>9</v>
      </c>
      <c r="AV36">
        <f>SUMIF(ConfirmedRaw!$B:$B,$A36,ConfirmedRaw!AY:AY)</f>
        <v>15</v>
      </c>
      <c r="AW36">
        <f>SUMIF(ConfirmedRaw!$B:$B,$A36,ConfirmedRaw!AZ:AZ)</f>
        <v>15</v>
      </c>
      <c r="AX36">
        <f>SUMIF(ConfirmedRaw!$B:$B,$A36,ConfirmedRaw!BA:BA)</f>
        <v>25</v>
      </c>
      <c r="AY36">
        <f>SUMIF(ConfirmedRaw!$B:$B,$A36,ConfirmedRaw!BB:BB)</f>
        <v>45</v>
      </c>
      <c r="AZ36">
        <f>SUMIF(ConfirmedRaw!$B:$B,$A36,ConfirmedRaw!BC:BC)</f>
        <v>49</v>
      </c>
      <c r="BA36">
        <f>SUMIF(ConfirmedRaw!$B:$B,$A36,ConfirmedRaw!BD:BD)</f>
        <v>89</v>
      </c>
      <c r="BB36">
        <f>SUMIF(ConfirmedRaw!$B:$B,$A36,ConfirmedRaw!BE:BE)</f>
        <v>123</v>
      </c>
      <c r="BC36">
        <f>SUMIF(ConfirmedRaw!$B:$B,$A36,ConfirmedRaw!BF:BF)</f>
        <v>131</v>
      </c>
      <c r="BD36">
        <f>SUMIF(ConfirmedRaw!$B:$B,$A36,ConfirmedRaw!BG:BG)</f>
        <v>158</v>
      </c>
      <c r="BE36">
        <f>SUMIF(ConfirmedRaw!$B:$B,$A36,ConfirmedRaw!BH:BH)</f>
        <v>184</v>
      </c>
      <c r="BF36">
        <f>SUMIF(ConfirmedRaw!$B:$B,$A36,ConfirmedRaw!BI:BI)</f>
        <v>260</v>
      </c>
      <c r="BG36">
        <f>SUMIF(ConfirmedRaw!$B:$B,$A36,ConfirmedRaw!BJ:BJ)</f>
        <v>0</v>
      </c>
      <c r="BH36">
        <f>SUMIF(ConfirmedRaw!$B:$B,$A36,ConfirmedRaw!BK:BK)</f>
        <v>0</v>
      </c>
      <c r="BI36">
        <f>SUMIF(ConfirmedRaw!$B:$B,$A36,ConfirmedRaw!BL:BL)</f>
        <v>0</v>
      </c>
      <c r="BJ36">
        <f>SUMIF(ConfirmedRaw!$B:$B,$A36,ConfirmedRaw!BM:BM)</f>
        <v>0</v>
      </c>
      <c r="BK36">
        <f>SUMIF(ConfirmedRaw!$B:$B,$A36,ConfirmedRaw!BN:BN)</f>
        <v>0</v>
      </c>
      <c r="BL36">
        <f>SUMIF(ConfirmedRaw!$B:$B,$A36,ConfirmedRaw!BO:BO)</f>
        <v>0</v>
      </c>
      <c r="BM36">
        <f>SUMIF(ConfirmedRaw!$B:$B,$A36,ConfirmedRaw!BP:BP)</f>
        <v>0</v>
      </c>
      <c r="BN36">
        <f>SUMIF(ConfirmedRaw!$B:$B,$A36,ConfirmedRaw!BQ:BQ)</f>
        <v>0</v>
      </c>
      <c r="BO36">
        <f>SUMIF(ConfirmedRaw!$B:$B,$A36,ConfirmedRaw!BR:BR)</f>
        <v>0</v>
      </c>
      <c r="BP36">
        <f>SUMIF(ConfirmedRaw!$B:$B,$A36,ConfirmedRaw!BS:BS)</f>
        <v>0</v>
      </c>
      <c r="BQ36">
        <f>SUMIF(ConfirmedRaw!$B:$B,$A36,ConfirmedRaw!BT:BT)</f>
        <v>0</v>
      </c>
      <c r="BR36">
        <f>SUMIF(ConfirmedRaw!$B:$B,$A36,ConfirmedRaw!BU:BU)</f>
        <v>0</v>
      </c>
      <c r="BS36">
        <f>SUMIF(ConfirmedRaw!$B:$B,$A36,ConfirmedRaw!BV:BV)</f>
        <v>0</v>
      </c>
      <c r="BT36">
        <f>SUMIF(ConfirmedRaw!$B:$B,$A36,ConfirmedRaw!BW:BW)</f>
        <v>0</v>
      </c>
    </row>
    <row r="37" spans="1:72" ht="15" thickBot="1" x14ac:dyDescent="0.35">
      <c r="A37" s="4" t="s">
        <v>113</v>
      </c>
      <c r="B37">
        <f>SUMIF(ConfirmedRaw!$B:$B,$A37,ConfirmedRaw!E:E)</f>
        <v>0</v>
      </c>
      <c r="C37">
        <f>SUMIF(ConfirmedRaw!$B:$B,$A37,ConfirmedRaw!F:F)</f>
        <v>0</v>
      </c>
      <c r="D37">
        <f>SUMIF(ConfirmedRaw!$B:$B,$A37,ConfirmedRaw!G:G)</f>
        <v>0</v>
      </c>
      <c r="E37">
        <f>SUMIF(ConfirmedRaw!$B:$B,$A37,ConfirmedRaw!H:H)</f>
        <v>0</v>
      </c>
      <c r="F37">
        <f>SUMIF(ConfirmedRaw!$B:$B,$A37,ConfirmedRaw!I:I)</f>
        <v>0</v>
      </c>
      <c r="G37">
        <f>SUMIF(ConfirmedRaw!$B:$B,$A37,ConfirmedRaw!J:J)</f>
        <v>0</v>
      </c>
      <c r="H37">
        <f>SUMIF(ConfirmedRaw!$B:$B,$A37,ConfirmedRaw!K:K)</f>
        <v>0</v>
      </c>
      <c r="I37">
        <f>SUMIF(ConfirmedRaw!$B:$B,$A37,ConfirmedRaw!L:L)</f>
        <v>0</v>
      </c>
      <c r="J37">
        <f>SUMIF(ConfirmedRaw!$B:$B,$A37,ConfirmedRaw!M:M)</f>
        <v>0</v>
      </c>
      <c r="K37">
        <f>SUMIF(ConfirmedRaw!$B:$B,$A37,ConfirmedRaw!N:N)</f>
        <v>0</v>
      </c>
      <c r="L37">
        <f>SUMIF(ConfirmedRaw!$B:$B,$A37,ConfirmedRaw!O:O)</f>
        <v>0</v>
      </c>
      <c r="M37">
        <f>SUMIF(ConfirmedRaw!$B:$B,$A37,ConfirmedRaw!P:P)</f>
        <v>0</v>
      </c>
      <c r="N37">
        <f>SUMIF(ConfirmedRaw!$B:$B,$A37,ConfirmedRaw!Q:Q)</f>
        <v>0</v>
      </c>
      <c r="O37">
        <f>SUMIF(ConfirmedRaw!$B:$B,$A37,ConfirmedRaw!R:R)</f>
        <v>0</v>
      </c>
      <c r="P37">
        <f>SUMIF(ConfirmedRaw!$B:$B,$A37,ConfirmedRaw!S:S)</f>
        <v>0</v>
      </c>
      <c r="Q37">
        <f>SUMIF(ConfirmedRaw!$B:$B,$A37,ConfirmedRaw!T:T)</f>
        <v>0</v>
      </c>
      <c r="R37">
        <f>SUMIF(ConfirmedRaw!$B:$B,$A37,ConfirmedRaw!U:U)</f>
        <v>0</v>
      </c>
      <c r="S37">
        <f>SUMIF(ConfirmedRaw!$B:$B,$A37,ConfirmedRaw!V:V)</f>
        <v>0</v>
      </c>
      <c r="T37">
        <f>SUMIF(ConfirmedRaw!$B:$B,$A37,ConfirmedRaw!W:W)</f>
        <v>0</v>
      </c>
      <c r="U37">
        <f>SUMIF(ConfirmedRaw!$B:$B,$A37,ConfirmedRaw!X:X)</f>
        <v>0</v>
      </c>
      <c r="V37">
        <f>SUMIF(ConfirmedRaw!$B:$B,$A37,ConfirmedRaw!Y:Y)</f>
        <v>0</v>
      </c>
      <c r="W37">
        <f>SUMIF(ConfirmedRaw!$B:$B,$A37,ConfirmedRaw!Z:Z)</f>
        <v>0</v>
      </c>
      <c r="X37">
        <f>SUMIF(ConfirmedRaw!$B:$B,$A37,ConfirmedRaw!AA:AA)</f>
        <v>0</v>
      </c>
      <c r="Y37">
        <f>SUMIF(ConfirmedRaw!$B:$B,$A37,ConfirmedRaw!AB:AB)</f>
        <v>0</v>
      </c>
      <c r="Z37">
        <f>SUMIF(ConfirmedRaw!$B:$B,$A37,ConfirmedRaw!AC:AC)</f>
        <v>0</v>
      </c>
      <c r="AA37">
        <f>SUMIF(ConfirmedRaw!$B:$B,$A37,ConfirmedRaw!AD:AD)</f>
        <v>0</v>
      </c>
      <c r="AB37">
        <f>SUMIF(ConfirmedRaw!$B:$B,$A37,ConfirmedRaw!AE:AE)</f>
        <v>0</v>
      </c>
      <c r="AC37">
        <f>SUMIF(ConfirmedRaw!$B:$B,$A37,ConfirmedRaw!AF:AF)</f>
        <v>0</v>
      </c>
      <c r="AD37">
        <f>SUMIF(ConfirmedRaw!$B:$B,$A37,ConfirmedRaw!AG:AG)</f>
        <v>0</v>
      </c>
      <c r="AE37">
        <f>SUMIF(ConfirmedRaw!$B:$B,$A37,ConfirmedRaw!AH:AH)</f>
        <v>0</v>
      </c>
      <c r="AF37">
        <f>SUMIF(ConfirmedRaw!$B:$B,$A37,ConfirmedRaw!AI:AI)</f>
        <v>0</v>
      </c>
      <c r="AG37">
        <f>SUMIF(ConfirmedRaw!$B:$B,$A37,ConfirmedRaw!AJ:AJ)</f>
        <v>0</v>
      </c>
      <c r="AH37">
        <f>SUMIF(ConfirmedRaw!$B:$B,$A37,ConfirmedRaw!AK:AK)</f>
        <v>0</v>
      </c>
      <c r="AI37">
        <f>SUMIF(ConfirmedRaw!$B:$B,$A37,ConfirmedRaw!AL:AL)</f>
        <v>0</v>
      </c>
      <c r="AJ37">
        <f>SUMIF(ConfirmedRaw!$B:$B,$A37,ConfirmedRaw!AM:AM)</f>
        <v>0</v>
      </c>
      <c r="AK37">
        <f>SUMIF(ConfirmedRaw!$B:$B,$A37,ConfirmedRaw!AN:AN)</f>
        <v>0</v>
      </c>
      <c r="AL37">
        <f>SUMIF(ConfirmedRaw!$B:$B,$A37,ConfirmedRaw!AO:AO)</f>
        <v>0</v>
      </c>
      <c r="AM37">
        <f>SUMIF(ConfirmedRaw!$B:$B,$A37,ConfirmedRaw!AP:AP)</f>
        <v>0</v>
      </c>
      <c r="AN37">
        <f>SUMIF(ConfirmedRaw!$B:$B,$A37,ConfirmedRaw!AQ:AQ)</f>
        <v>0</v>
      </c>
      <c r="AO37">
        <f>SUMIF(ConfirmedRaw!$B:$B,$A37,ConfirmedRaw!AR:AR)</f>
        <v>0</v>
      </c>
      <c r="AP37">
        <f>SUMIF(ConfirmedRaw!$B:$B,$A37,ConfirmedRaw!AS:AS)</f>
        <v>1</v>
      </c>
      <c r="AQ37">
        <f>SUMIF(ConfirmedRaw!$B:$B,$A37,ConfirmedRaw!AT:AT)</f>
        <v>1</v>
      </c>
      <c r="AR37">
        <f>SUMIF(ConfirmedRaw!$B:$B,$A37,ConfirmedRaw!AU:AU)</f>
        <v>1</v>
      </c>
      <c r="AS37">
        <f>SUMIF(ConfirmedRaw!$B:$B,$A37,ConfirmedRaw!AV:AV)</f>
        <v>5</v>
      </c>
      <c r="AT37">
        <f>SUMIF(ConfirmedRaw!$B:$B,$A37,ConfirmedRaw!AW:AW)</f>
        <v>5</v>
      </c>
      <c r="AU37">
        <f>SUMIF(ConfirmedRaw!$B:$B,$A37,ConfirmedRaw!AX:AX)</f>
        <v>5</v>
      </c>
      <c r="AV37">
        <f>SUMIF(ConfirmedRaw!$B:$B,$A37,ConfirmedRaw!AY:AY)</f>
        <v>11</v>
      </c>
      <c r="AW37">
        <f>SUMIF(ConfirmedRaw!$B:$B,$A37,ConfirmedRaw!AZ:AZ)</f>
        <v>15</v>
      </c>
      <c r="AX37">
        <f>SUMIF(ConfirmedRaw!$B:$B,$A37,ConfirmedRaw!BA:BA)</f>
        <v>20</v>
      </c>
      <c r="AY37">
        <f>SUMIF(ConfirmedRaw!$B:$B,$A37,ConfirmedRaw!BB:BB)</f>
        <v>21</v>
      </c>
      <c r="AZ37">
        <f>SUMIF(ConfirmedRaw!$B:$B,$A37,ConfirmedRaw!BC:BC)</f>
        <v>45</v>
      </c>
      <c r="BA37">
        <f>SUMIF(ConfirmedRaw!$B:$B,$A37,ConfirmedRaw!BD:BD)</f>
        <v>86</v>
      </c>
      <c r="BB37">
        <f>SUMIF(ConfirmedRaw!$B:$B,$A37,ConfirmedRaw!BE:BE)</f>
        <v>103</v>
      </c>
      <c r="BC37">
        <f>SUMIF(ConfirmedRaw!$B:$B,$A37,ConfirmedRaw!BF:BF)</f>
        <v>103</v>
      </c>
      <c r="BD37">
        <f>SUMIF(ConfirmedRaw!$B:$B,$A37,ConfirmedRaw!BG:BG)</f>
        <v>118</v>
      </c>
      <c r="BE37">
        <f>SUMIF(ConfirmedRaw!$B:$B,$A37,ConfirmedRaw!BH:BH)</f>
        <v>171</v>
      </c>
      <c r="BF37">
        <f>SUMIF(ConfirmedRaw!$B:$B,$A37,ConfirmedRaw!BI:BI)</f>
        <v>171</v>
      </c>
      <c r="BG37">
        <f>SUMIF(ConfirmedRaw!$B:$B,$A37,ConfirmedRaw!BJ:BJ)</f>
        <v>0</v>
      </c>
      <c r="BH37">
        <f>SUMIF(ConfirmedRaw!$B:$B,$A37,ConfirmedRaw!BK:BK)</f>
        <v>0</v>
      </c>
      <c r="BI37">
        <f>SUMIF(ConfirmedRaw!$B:$B,$A37,ConfirmedRaw!BL:BL)</f>
        <v>0</v>
      </c>
      <c r="BJ37">
        <f>SUMIF(ConfirmedRaw!$B:$B,$A37,ConfirmedRaw!BM:BM)</f>
        <v>0</v>
      </c>
      <c r="BK37">
        <f>SUMIF(ConfirmedRaw!$B:$B,$A37,ConfirmedRaw!BN:BN)</f>
        <v>0</v>
      </c>
      <c r="BL37">
        <f>SUMIF(ConfirmedRaw!$B:$B,$A37,ConfirmedRaw!BO:BO)</f>
        <v>0</v>
      </c>
      <c r="BM37">
        <f>SUMIF(ConfirmedRaw!$B:$B,$A37,ConfirmedRaw!BP:BP)</f>
        <v>0</v>
      </c>
      <c r="BN37">
        <f>SUMIF(ConfirmedRaw!$B:$B,$A37,ConfirmedRaw!BQ:BQ)</f>
        <v>0</v>
      </c>
      <c r="BO37">
        <f>SUMIF(ConfirmedRaw!$B:$B,$A37,ConfirmedRaw!BR:BR)</f>
        <v>0</v>
      </c>
      <c r="BP37">
        <f>SUMIF(ConfirmedRaw!$B:$B,$A37,ConfirmedRaw!BS:BS)</f>
        <v>0</v>
      </c>
      <c r="BQ37">
        <f>SUMIF(ConfirmedRaw!$B:$B,$A37,ConfirmedRaw!BT:BT)</f>
        <v>0</v>
      </c>
      <c r="BR37">
        <f>SUMIF(ConfirmedRaw!$B:$B,$A37,ConfirmedRaw!BU:BU)</f>
        <v>0</v>
      </c>
      <c r="BS37">
        <f>SUMIF(ConfirmedRaw!$B:$B,$A37,ConfirmedRaw!BV:BV)</f>
        <v>0</v>
      </c>
      <c r="BT37">
        <f>SUMIF(ConfirmedRaw!$B:$B,$A37,ConfirmedRaw!BW:BW)</f>
        <v>0</v>
      </c>
    </row>
    <row r="38" spans="1:72" ht="15" thickBot="1" x14ac:dyDescent="0.35">
      <c r="A38" s="4" t="s">
        <v>55</v>
      </c>
      <c r="B38">
        <f>SUMIF(ConfirmedRaw!$B:$B,$A38,ConfirmedRaw!E:E)</f>
        <v>0</v>
      </c>
      <c r="C38">
        <f>SUMIF(ConfirmedRaw!$B:$B,$A38,ConfirmedRaw!F:F)</f>
        <v>0</v>
      </c>
      <c r="D38">
        <f>SUMIF(ConfirmedRaw!$B:$B,$A38,ConfirmedRaw!G:G)</f>
        <v>0</v>
      </c>
      <c r="E38">
        <f>SUMIF(ConfirmedRaw!$B:$B,$A38,ConfirmedRaw!H:H)</f>
        <v>0</v>
      </c>
      <c r="F38">
        <f>SUMIF(ConfirmedRaw!$B:$B,$A38,ConfirmedRaw!I:I)</f>
        <v>0</v>
      </c>
      <c r="G38">
        <f>SUMIF(ConfirmedRaw!$B:$B,$A38,ConfirmedRaw!J:J)</f>
        <v>0</v>
      </c>
      <c r="H38">
        <f>SUMIF(ConfirmedRaw!$B:$B,$A38,ConfirmedRaw!K:K)</f>
        <v>0</v>
      </c>
      <c r="I38">
        <f>SUMIF(ConfirmedRaw!$B:$B,$A38,ConfirmedRaw!L:L)</f>
        <v>4</v>
      </c>
      <c r="J38">
        <f>SUMIF(ConfirmedRaw!$B:$B,$A38,ConfirmedRaw!M:M)</f>
        <v>4</v>
      </c>
      <c r="K38">
        <f>SUMIF(ConfirmedRaw!$B:$B,$A38,ConfirmedRaw!N:N)</f>
        <v>4</v>
      </c>
      <c r="L38">
        <f>SUMIF(ConfirmedRaw!$B:$B,$A38,ConfirmedRaw!O:O)</f>
        <v>4</v>
      </c>
      <c r="M38">
        <f>SUMIF(ConfirmedRaw!$B:$B,$A38,ConfirmedRaw!P:P)</f>
        <v>5</v>
      </c>
      <c r="N38">
        <f>SUMIF(ConfirmedRaw!$B:$B,$A38,ConfirmedRaw!Q:Q)</f>
        <v>5</v>
      </c>
      <c r="O38">
        <f>SUMIF(ConfirmedRaw!$B:$B,$A38,ConfirmedRaw!R:R)</f>
        <v>5</v>
      </c>
      <c r="P38">
        <f>SUMIF(ConfirmedRaw!$B:$B,$A38,ConfirmedRaw!S:S)</f>
        <v>5</v>
      </c>
      <c r="Q38">
        <f>SUMIF(ConfirmedRaw!$B:$B,$A38,ConfirmedRaw!T:T)</f>
        <v>5</v>
      </c>
      <c r="R38">
        <f>SUMIF(ConfirmedRaw!$B:$B,$A38,ConfirmedRaw!U:U)</f>
        <v>5</v>
      </c>
      <c r="S38">
        <f>SUMIF(ConfirmedRaw!$B:$B,$A38,ConfirmedRaw!V:V)</f>
        <v>7</v>
      </c>
      <c r="T38">
        <f>SUMIF(ConfirmedRaw!$B:$B,$A38,ConfirmedRaw!W:W)</f>
        <v>7</v>
      </c>
      <c r="U38">
        <f>SUMIF(ConfirmedRaw!$B:$B,$A38,ConfirmedRaw!X:X)</f>
        <v>8</v>
      </c>
      <c r="V38">
        <f>SUMIF(ConfirmedRaw!$B:$B,$A38,ConfirmedRaw!Y:Y)</f>
        <v>8</v>
      </c>
      <c r="W38">
        <f>SUMIF(ConfirmedRaw!$B:$B,$A38,ConfirmedRaw!Z:Z)</f>
        <v>8</v>
      </c>
      <c r="X38">
        <f>SUMIF(ConfirmedRaw!$B:$B,$A38,ConfirmedRaw!AA:AA)</f>
        <v>8</v>
      </c>
      <c r="Y38">
        <f>SUMIF(ConfirmedRaw!$B:$B,$A38,ConfirmedRaw!AB:AB)</f>
        <v>8</v>
      </c>
      <c r="Z38">
        <f>SUMIF(ConfirmedRaw!$B:$B,$A38,ConfirmedRaw!AC:AC)</f>
        <v>8</v>
      </c>
      <c r="AA38">
        <f>SUMIF(ConfirmedRaw!$B:$B,$A38,ConfirmedRaw!AD:AD)</f>
        <v>9</v>
      </c>
      <c r="AB38">
        <f>SUMIF(ConfirmedRaw!$B:$B,$A38,ConfirmedRaw!AE:AE)</f>
        <v>9</v>
      </c>
      <c r="AC38">
        <f>SUMIF(ConfirmedRaw!$B:$B,$A38,ConfirmedRaw!AF:AF)</f>
        <v>9</v>
      </c>
      <c r="AD38">
        <f>SUMIF(ConfirmedRaw!$B:$B,$A38,ConfirmedRaw!AG:AG)</f>
        <v>9</v>
      </c>
      <c r="AE38">
        <f>SUMIF(ConfirmedRaw!$B:$B,$A38,ConfirmedRaw!AH:AH)</f>
        <v>9</v>
      </c>
      <c r="AF38">
        <f>SUMIF(ConfirmedRaw!$B:$B,$A38,ConfirmedRaw!AI:AI)</f>
        <v>9</v>
      </c>
      <c r="AG38">
        <f>SUMIF(ConfirmedRaw!$B:$B,$A38,ConfirmedRaw!AJ:AJ)</f>
        <v>13</v>
      </c>
      <c r="AH38">
        <f>SUMIF(ConfirmedRaw!$B:$B,$A38,ConfirmedRaw!AK:AK)</f>
        <v>13</v>
      </c>
      <c r="AI38">
        <f>SUMIF(ConfirmedRaw!$B:$B,$A38,ConfirmedRaw!AL:AL)</f>
        <v>13</v>
      </c>
      <c r="AJ38">
        <f>SUMIF(ConfirmedRaw!$B:$B,$A38,ConfirmedRaw!AM:AM)</f>
        <v>13</v>
      </c>
      <c r="AK38">
        <f>SUMIF(ConfirmedRaw!$B:$B,$A38,ConfirmedRaw!AN:AN)</f>
        <v>13</v>
      </c>
      <c r="AL38">
        <f>SUMIF(ConfirmedRaw!$B:$B,$A38,ConfirmedRaw!AO:AO)</f>
        <v>13</v>
      </c>
      <c r="AM38">
        <f>SUMIF(ConfirmedRaw!$B:$B,$A38,ConfirmedRaw!AP:AP)</f>
        <v>19</v>
      </c>
      <c r="AN38">
        <f>SUMIF(ConfirmedRaw!$B:$B,$A38,ConfirmedRaw!AQ:AQ)</f>
        <v>21</v>
      </c>
      <c r="AO38">
        <f>SUMIF(ConfirmedRaw!$B:$B,$A38,ConfirmedRaw!AR:AR)</f>
        <v>21</v>
      </c>
      <c r="AP38">
        <f>SUMIF(ConfirmedRaw!$B:$B,$A38,ConfirmedRaw!AS:AS)</f>
        <v>21</v>
      </c>
      <c r="AQ38">
        <f>SUMIF(ConfirmedRaw!$B:$B,$A38,ConfirmedRaw!AT:AT)</f>
        <v>27</v>
      </c>
      <c r="AR38">
        <f>SUMIF(ConfirmedRaw!$B:$B,$A38,ConfirmedRaw!AU:AU)</f>
        <v>27</v>
      </c>
      <c r="AS38">
        <f>SUMIF(ConfirmedRaw!$B:$B,$A38,ConfirmedRaw!AV:AV)</f>
        <v>29</v>
      </c>
      <c r="AT38">
        <f>SUMIF(ConfirmedRaw!$B:$B,$A38,ConfirmedRaw!AW:AW)</f>
        <v>29</v>
      </c>
      <c r="AU38">
        <f>SUMIF(ConfirmedRaw!$B:$B,$A38,ConfirmedRaw!AX:AX)</f>
        <v>45</v>
      </c>
      <c r="AV38">
        <f>SUMIF(ConfirmedRaw!$B:$B,$A38,ConfirmedRaw!AY:AY)</f>
        <v>45</v>
      </c>
      <c r="AW38">
        <f>SUMIF(ConfirmedRaw!$B:$B,$A38,ConfirmedRaw!AZ:AZ)</f>
        <v>45</v>
      </c>
      <c r="AX38">
        <f>SUMIF(ConfirmedRaw!$B:$B,$A38,ConfirmedRaw!BA:BA)</f>
        <v>74</v>
      </c>
      <c r="AY38">
        <f>SUMIF(ConfirmedRaw!$B:$B,$A38,ConfirmedRaw!BB:BB)</f>
        <v>74</v>
      </c>
      <c r="AZ38">
        <f>SUMIF(ConfirmedRaw!$B:$B,$A38,ConfirmedRaw!BC:BC)</f>
        <v>85</v>
      </c>
      <c r="BA38">
        <f>SUMIF(ConfirmedRaw!$B:$B,$A38,ConfirmedRaw!BD:BD)</f>
        <v>85</v>
      </c>
      <c r="BB38">
        <f>SUMIF(ConfirmedRaw!$B:$B,$A38,ConfirmedRaw!BE:BE)</f>
        <v>85</v>
      </c>
      <c r="BC38">
        <f>SUMIF(ConfirmedRaw!$B:$B,$A38,ConfirmedRaw!BF:BF)</f>
        <v>98</v>
      </c>
      <c r="BD38">
        <f>SUMIF(ConfirmedRaw!$B:$B,$A38,ConfirmedRaw!BG:BG)</f>
        <v>98</v>
      </c>
      <c r="BE38">
        <f>SUMIF(ConfirmedRaw!$B:$B,$A38,ConfirmedRaw!BH:BH)</f>
        <v>98</v>
      </c>
      <c r="BF38">
        <f>SUMIF(ConfirmedRaw!$B:$B,$A38,ConfirmedRaw!BI:BI)</f>
        <v>113</v>
      </c>
      <c r="BG38">
        <f>SUMIF(ConfirmedRaw!$B:$B,$A38,ConfirmedRaw!BJ:BJ)</f>
        <v>0</v>
      </c>
      <c r="BH38">
        <f>SUMIF(ConfirmedRaw!$B:$B,$A38,ConfirmedRaw!BK:BK)</f>
        <v>0</v>
      </c>
      <c r="BI38">
        <f>SUMIF(ConfirmedRaw!$B:$B,$A38,ConfirmedRaw!BL:BL)</f>
        <v>0</v>
      </c>
      <c r="BJ38">
        <f>SUMIF(ConfirmedRaw!$B:$B,$A38,ConfirmedRaw!BM:BM)</f>
        <v>0</v>
      </c>
      <c r="BK38">
        <f>SUMIF(ConfirmedRaw!$B:$B,$A38,ConfirmedRaw!BN:BN)</f>
        <v>0</v>
      </c>
      <c r="BL38">
        <f>SUMIF(ConfirmedRaw!$B:$B,$A38,ConfirmedRaw!BO:BO)</f>
        <v>0</v>
      </c>
      <c r="BM38">
        <f>SUMIF(ConfirmedRaw!$B:$B,$A38,ConfirmedRaw!BP:BP)</f>
        <v>0</v>
      </c>
      <c r="BN38">
        <f>SUMIF(ConfirmedRaw!$B:$B,$A38,ConfirmedRaw!BQ:BQ)</f>
        <v>0</v>
      </c>
      <c r="BO38">
        <f>SUMIF(ConfirmedRaw!$B:$B,$A38,ConfirmedRaw!BR:BR)</f>
        <v>0</v>
      </c>
      <c r="BP38">
        <f>SUMIF(ConfirmedRaw!$B:$B,$A38,ConfirmedRaw!BS:BS)</f>
        <v>0</v>
      </c>
      <c r="BQ38">
        <f>SUMIF(ConfirmedRaw!$B:$B,$A38,ConfirmedRaw!BT:BT)</f>
        <v>0</v>
      </c>
      <c r="BR38">
        <f>SUMIF(ConfirmedRaw!$B:$B,$A38,ConfirmedRaw!BU:BU)</f>
        <v>0</v>
      </c>
      <c r="BS38">
        <f>SUMIF(ConfirmedRaw!$B:$B,$A38,ConfirmedRaw!BV:BV)</f>
        <v>0</v>
      </c>
      <c r="BT38">
        <f>SUMIF(ConfirmedRaw!$B:$B,$A38,ConfirmedRaw!BW:BW)</f>
        <v>0</v>
      </c>
    </row>
    <row r="39" spans="1:72" ht="15" thickBot="1" x14ac:dyDescent="0.35">
      <c r="A39" s="4" t="s">
        <v>57</v>
      </c>
      <c r="B39">
        <f>SUMIF(ConfirmedRaw!$B:$B,$A39,ConfirmedRaw!E:E)</f>
        <v>0</v>
      </c>
      <c r="C39">
        <f>SUMIF(ConfirmedRaw!$B:$B,$A39,ConfirmedRaw!F:F)</f>
        <v>0</v>
      </c>
      <c r="D39">
        <f>SUMIF(ConfirmedRaw!$B:$B,$A39,ConfirmedRaw!G:G)</f>
        <v>0</v>
      </c>
      <c r="E39">
        <f>SUMIF(ConfirmedRaw!$B:$B,$A39,ConfirmedRaw!H:H)</f>
        <v>0</v>
      </c>
      <c r="F39">
        <f>SUMIF(ConfirmedRaw!$B:$B,$A39,ConfirmedRaw!I:I)</f>
        <v>0</v>
      </c>
      <c r="G39">
        <f>SUMIF(ConfirmedRaw!$B:$B,$A39,ConfirmedRaw!J:J)</f>
        <v>0</v>
      </c>
      <c r="H39">
        <f>SUMIF(ConfirmedRaw!$B:$B,$A39,ConfirmedRaw!K:K)</f>
        <v>0</v>
      </c>
      <c r="I39">
        <f>SUMIF(ConfirmedRaw!$B:$B,$A39,ConfirmedRaw!L:L)</f>
        <v>0</v>
      </c>
      <c r="J39">
        <f>SUMIF(ConfirmedRaw!$B:$B,$A39,ConfirmedRaw!M:M)</f>
        <v>1</v>
      </c>
      <c r="K39">
        <f>SUMIF(ConfirmedRaw!$B:$B,$A39,ConfirmedRaw!N:N)</f>
        <v>1</v>
      </c>
      <c r="L39">
        <f>SUMIF(ConfirmedRaw!$B:$B,$A39,ConfirmedRaw!O:O)</f>
        <v>1</v>
      </c>
      <c r="M39">
        <f>SUMIF(ConfirmedRaw!$B:$B,$A39,ConfirmedRaw!P:P)</f>
        <v>2</v>
      </c>
      <c r="N39">
        <f>SUMIF(ConfirmedRaw!$B:$B,$A39,ConfirmedRaw!Q:Q)</f>
        <v>3</v>
      </c>
      <c r="O39">
        <f>SUMIF(ConfirmedRaw!$B:$B,$A39,ConfirmedRaw!R:R)</f>
        <v>3</v>
      </c>
      <c r="P39">
        <f>SUMIF(ConfirmedRaw!$B:$B,$A39,ConfirmedRaw!S:S)</f>
        <v>3</v>
      </c>
      <c r="Q39">
        <f>SUMIF(ConfirmedRaw!$B:$B,$A39,ConfirmedRaw!T:T)</f>
        <v>3</v>
      </c>
      <c r="R39">
        <f>SUMIF(ConfirmedRaw!$B:$B,$A39,ConfirmedRaw!U:U)</f>
        <v>3</v>
      </c>
      <c r="S39">
        <f>SUMIF(ConfirmedRaw!$B:$B,$A39,ConfirmedRaw!V:V)</f>
        <v>3</v>
      </c>
      <c r="T39">
        <f>SUMIF(ConfirmedRaw!$B:$B,$A39,ConfirmedRaw!W:W)</f>
        <v>3</v>
      </c>
      <c r="U39">
        <f>SUMIF(ConfirmedRaw!$B:$B,$A39,ConfirmedRaw!X:X)</f>
        <v>3</v>
      </c>
      <c r="V39">
        <f>SUMIF(ConfirmedRaw!$B:$B,$A39,ConfirmedRaw!Y:Y)</f>
        <v>3</v>
      </c>
      <c r="W39">
        <f>SUMIF(ConfirmedRaw!$B:$B,$A39,ConfirmedRaw!Z:Z)</f>
        <v>3</v>
      </c>
      <c r="X39">
        <f>SUMIF(ConfirmedRaw!$B:$B,$A39,ConfirmedRaw!AA:AA)</f>
        <v>3</v>
      </c>
      <c r="Y39">
        <f>SUMIF(ConfirmedRaw!$B:$B,$A39,ConfirmedRaw!AB:AB)</f>
        <v>3</v>
      </c>
      <c r="Z39">
        <f>SUMIF(ConfirmedRaw!$B:$B,$A39,ConfirmedRaw!AC:AC)</f>
        <v>3</v>
      </c>
      <c r="AA39">
        <f>SUMIF(ConfirmedRaw!$B:$B,$A39,ConfirmedRaw!AD:AD)</f>
        <v>3</v>
      </c>
      <c r="AB39">
        <f>SUMIF(ConfirmedRaw!$B:$B,$A39,ConfirmedRaw!AE:AE)</f>
        <v>3</v>
      </c>
      <c r="AC39">
        <f>SUMIF(ConfirmedRaw!$B:$B,$A39,ConfirmedRaw!AF:AF)</f>
        <v>3</v>
      </c>
      <c r="AD39">
        <f>SUMIF(ConfirmedRaw!$B:$B,$A39,ConfirmedRaw!AG:AG)</f>
        <v>3</v>
      </c>
      <c r="AE39">
        <f>SUMIF(ConfirmedRaw!$B:$B,$A39,ConfirmedRaw!AH:AH)</f>
        <v>3</v>
      </c>
      <c r="AF39">
        <f>SUMIF(ConfirmedRaw!$B:$B,$A39,ConfirmedRaw!AI:AI)</f>
        <v>3</v>
      </c>
      <c r="AG39">
        <f>SUMIF(ConfirmedRaw!$B:$B,$A39,ConfirmedRaw!AJ:AJ)</f>
        <v>3</v>
      </c>
      <c r="AH39">
        <f>SUMIF(ConfirmedRaw!$B:$B,$A39,ConfirmedRaw!AK:AK)</f>
        <v>3</v>
      </c>
      <c r="AI39">
        <f>SUMIF(ConfirmedRaw!$B:$B,$A39,ConfirmedRaw!AL:AL)</f>
        <v>3</v>
      </c>
      <c r="AJ39">
        <f>SUMIF(ConfirmedRaw!$B:$B,$A39,ConfirmedRaw!AM:AM)</f>
        <v>3</v>
      </c>
      <c r="AK39">
        <f>SUMIF(ConfirmedRaw!$B:$B,$A39,ConfirmedRaw!AN:AN)</f>
        <v>3</v>
      </c>
      <c r="AL39">
        <f>SUMIF(ConfirmedRaw!$B:$B,$A39,ConfirmedRaw!AO:AO)</f>
        <v>3</v>
      </c>
      <c r="AM39">
        <f>SUMIF(ConfirmedRaw!$B:$B,$A39,ConfirmedRaw!AP:AP)</f>
        <v>3</v>
      </c>
      <c r="AN39">
        <f>SUMIF(ConfirmedRaw!$B:$B,$A39,ConfirmedRaw!AQ:AQ)</f>
        <v>3</v>
      </c>
      <c r="AO39">
        <f>SUMIF(ConfirmedRaw!$B:$B,$A39,ConfirmedRaw!AR:AR)</f>
        <v>3</v>
      </c>
      <c r="AP39">
        <f>SUMIF(ConfirmedRaw!$B:$B,$A39,ConfirmedRaw!AS:AS)</f>
        <v>5</v>
      </c>
      <c r="AQ39">
        <f>SUMIF(ConfirmedRaw!$B:$B,$A39,ConfirmedRaw!AT:AT)</f>
        <v>5</v>
      </c>
      <c r="AR39">
        <f>SUMIF(ConfirmedRaw!$B:$B,$A39,ConfirmedRaw!AU:AU)</f>
        <v>28</v>
      </c>
      <c r="AS39">
        <f>SUMIF(ConfirmedRaw!$B:$B,$A39,ConfirmedRaw!AV:AV)</f>
        <v>30</v>
      </c>
      <c r="AT39">
        <f>SUMIF(ConfirmedRaw!$B:$B,$A39,ConfirmedRaw!AW:AW)</f>
        <v>31</v>
      </c>
      <c r="AU39">
        <f>SUMIF(ConfirmedRaw!$B:$B,$A39,ConfirmedRaw!AX:AX)</f>
        <v>34</v>
      </c>
      <c r="AV39">
        <f>SUMIF(ConfirmedRaw!$B:$B,$A39,ConfirmedRaw!AY:AY)</f>
        <v>39</v>
      </c>
      <c r="AW39">
        <f>SUMIF(ConfirmedRaw!$B:$B,$A39,ConfirmedRaw!AZ:AZ)</f>
        <v>43</v>
      </c>
      <c r="AX39">
        <f>SUMIF(ConfirmedRaw!$B:$B,$A39,ConfirmedRaw!BA:BA)</f>
        <v>56</v>
      </c>
      <c r="AY39">
        <f>SUMIF(ConfirmedRaw!$B:$B,$A39,ConfirmedRaw!BB:BB)</f>
        <v>62</v>
      </c>
      <c r="AZ39">
        <f>SUMIF(ConfirmedRaw!$B:$B,$A39,ConfirmedRaw!BC:BC)</f>
        <v>73</v>
      </c>
      <c r="BA39">
        <f>SUMIF(ConfirmedRaw!$B:$B,$A39,ConfirmedRaw!BD:BD)</f>
        <v>82</v>
      </c>
      <c r="BB39">
        <f>SUMIF(ConfirmedRaw!$B:$B,$A39,ConfirmedRaw!BE:BE)</f>
        <v>102</v>
      </c>
      <c r="BC39">
        <f>SUMIF(ConfirmedRaw!$B:$B,$A39,ConfirmedRaw!BF:BF)</f>
        <v>113</v>
      </c>
      <c r="BD39">
        <f>SUMIF(ConfirmedRaw!$B:$B,$A39,ConfirmedRaw!BG:BG)</f>
        <v>119</v>
      </c>
      <c r="BE39">
        <f>SUMIF(ConfirmedRaw!$B:$B,$A39,ConfirmedRaw!BH:BH)</f>
        <v>142</v>
      </c>
      <c r="BF39">
        <f>SUMIF(ConfirmedRaw!$B:$B,$A39,ConfirmedRaw!BI:BI)</f>
        <v>156</v>
      </c>
      <c r="BG39">
        <f>SUMIF(ConfirmedRaw!$B:$B,$A39,ConfirmedRaw!BJ:BJ)</f>
        <v>0</v>
      </c>
      <c r="BH39">
        <f>SUMIF(ConfirmedRaw!$B:$B,$A39,ConfirmedRaw!BK:BK)</f>
        <v>0</v>
      </c>
      <c r="BI39">
        <f>SUMIF(ConfirmedRaw!$B:$B,$A39,ConfirmedRaw!BL:BL)</f>
        <v>0</v>
      </c>
      <c r="BJ39">
        <f>SUMIF(ConfirmedRaw!$B:$B,$A39,ConfirmedRaw!BM:BM)</f>
        <v>0</v>
      </c>
      <c r="BK39">
        <f>SUMIF(ConfirmedRaw!$B:$B,$A39,ConfirmedRaw!BN:BN)</f>
        <v>0</v>
      </c>
      <c r="BL39">
        <f>SUMIF(ConfirmedRaw!$B:$B,$A39,ConfirmedRaw!BO:BO)</f>
        <v>0</v>
      </c>
      <c r="BM39">
        <f>SUMIF(ConfirmedRaw!$B:$B,$A39,ConfirmedRaw!BP:BP)</f>
        <v>0</v>
      </c>
      <c r="BN39">
        <f>SUMIF(ConfirmedRaw!$B:$B,$A39,ConfirmedRaw!BQ:BQ)</f>
        <v>0</v>
      </c>
      <c r="BO39">
        <f>SUMIF(ConfirmedRaw!$B:$B,$A39,ConfirmedRaw!BR:BR)</f>
        <v>0</v>
      </c>
      <c r="BP39">
        <f>SUMIF(ConfirmedRaw!$B:$B,$A39,ConfirmedRaw!BS:BS)</f>
        <v>0</v>
      </c>
      <c r="BQ39">
        <f>SUMIF(ConfirmedRaw!$B:$B,$A39,ConfirmedRaw!BT:BT)</f>
        <v>0</v>
      </c>
      <c r="BR39">
        <f>SUMIF(ConfirmedRaw!$B:$B,$A39,ConfirmedRaw!BU:BU)</f>
        <v>0</v>
      </c>
      <c r="BS39">
        <f>SUMIF(ConfirmedRaw!$B:$B,$A39,ConfirmedRaw!BV:BV)</f>
        <v>0</v>
      </c>
      <c r="BT39">
        <f>SUMIF(ConfirmedRaw!$B:$B,$A39,ConfirmedRaw!BW:BW)</f>
        <v>0</v>
      </c>
    </row>
    <row r="40" spans="1:72" ht="15" thickBot="1" x14ac:dyDescent="0.35">
      <c r="A40" s="4" t="s">
        <v>65</v>
      </c>
      <c r="B40">
        <f>SUMIF(ConfirmedRaw!$B:$B,$A40,ConfirmedRaw!E:E)</f>
        <v>0</v>
      </c>
      <c r="C40">
        <f>SUMIF(ConfirmedRaw!$B:$B,$A40,ConfirmedRaw!F:F)</f>
        <v>0</v>
      </c>
      <c r="D40">
        <f>SUMIF(ConfirmedRaw!$B:$B,$A40,ConfirmedRaw!G:G)</f>
        <v>0</v>
      </c>
      <c r="E40">
        <f>SUMIF(ConfirmedRaw!$B:$B,$A40,ConfirmedRaw!H:H)</f>
        <v>0</v>
      </c>
      <c r="F40">
        <f>SUMIF(ConfirmedRaw!$B:$B,$A40,ConfirmedRaw!I:I)</f>
        <v>0</v>
      </c>
      <c r="G40">
        <f>SUMIF(ConfirmedRaw!$B:$B,$A40,ConfirmedRaw!J:J)</f>
        <v>0</v>
      </c>
      <c r="H40">
        <f>SUMIF(ConfirmedRaw!$B:$B,$A40,ConfirmedRaw!K:K)</f>
        <v>0</v>
      </c>
      <c r="I40">
        <f>SUMIF(ConfirmedRaw!$B:$B,$A40,ConfirmedRaw!L:L)</f>
        <v>0</v>
      </c>
      <c r="J40">
        <f>SUMIF(ConfirmedRaw!$B:$B,$A40,ConfirmedRaw!M:M)</f>
        <v>0</v>
      </c>
      <c r="K40">
        <f>SUMIF(ConfirmedRaw!$B:$B,$A40,ConfirmedRaw!N:N)</f>
        <v>0</v>
      </c>
      <c r="L40">
        <f>SUMIF(ConfirmedRaw!$B:$B,$A40,ConfirmedRaw!O:O)</f>
        <v>0</v>
      </c>
      <c r="M40">
        <f>SUMIF(ConfirmedRaw!$B:$B,$A40,ConfirmedRaw!P:P)</f>
        <v>0</v>
      </c>
      <c r="N40">
        <f>SUMIF(ConfirmedRaw!$B:$B,$A40,ConfirmedRaw!Q:Q)</f>
        <v>0</v>
      </c>
      <c r="O40">
        <f>SUMIF(ConfirmedRaw!$B:$B,$A40,ConfirmedRaw!R:R)</f>
        <v>0</v>
      </c>
      <c r="P40">
        <f>SUMIF(ConfirmedRaw!$B:$B,$A40,ConfirmedRaw!S:S)</f>
        <v>0</v>
      </c>
      <c r="Q40">
        <f>SUMIF(ConfirmedRaw!$B:$B,$A40,ConfirmedRaw!T:T)</f>
        <v>0</v>
      </c>
      <c r="R40">
        <f>SUMIF(ConfirmedRaw!$B:$B,$A40,ConfirmedRaw!U:U)</f>
        <v>0</v>
      </c>
      <c r="S40">
        <f>SUMIF(ConfirmedRaw!$B:$B,$A40,ConfirmedRaw!V:V)</f>
        <v>0</v>
      </c>
      <c r="T40">
        <f>SUMIF(ConfirmedRaw!$B:$B,$A40,ConfirmedRaw!W:W)</f>
        <v>0</v>
      </c>
      <c r="U40">
        <f>SUMIF(ConfirmedRaw!$B:$B,$A40,ConfirmedRaw!X:X)</f>
        <v>0</v>
      </c>
      <c r="V40">
        <f>SUMIF(ConfirmedRaw!$B:$B,$A40,ConfirmedRaw!Y:Y)</f>
        <v>0</v>
      </c>
      <c r="W40">
        <f>SUMIF(ConfirmedRaw!$B:$B,$A40,ConfirmedRaw!Z:Z)</f>
        <v>0</v>
      </c>
      <c r="X40">
        <f>SUMIF(ConfirmedRaw!$B:$B,$A40,ConfirmedRaw!AA:AA)</f>
        <v>0</v>
      </c>
      <c r="Y40">
        <f>SUMIF(ConfirmedRaw!$B:$B,$A40,ConfirmedRaw!AB:AB)</f>
        <v>1</v>
      </c>
      <c r="Z40">
        <f>SUMIF(ConfirmedRaw!$B:$B,$A40,ConfirmedRaw!AC:AC)</f>
        <v>1</v>
      </c>
      <c r="AA40">
        <f>SUMIF(ConfirmedRaw!$B:$B,$A40,ConfirmedRaw!AD:AD)</f>
        <v>1</v>
      </c>
      <c r="AB40">
        <f>SUMIF(ConfirmedRaw!$B:$B,$A40,ConfirmedRaw!AE:AE)</f>
        <v>1</v>
      </c>
      <c r="AC40">
        <f>SUMIF(ConfirmedRaw!$B:$B,$A40,ConfirmedRaw!AF:AF)</f>
        <v>1</v>
      </c>
      <c r="AD40">
        <f>SUMIF(ConfirmedRaw!$B:$B,$A40,ConfirmedRaw!AG:AG)</f>
        <v>1</v>
      </c>
      <c r="AE40">
        <f>SUMIF(ConfirmedRaw!$B:$B,$A40,ConfirmedRaw!AH:AH)</f>
        <v>1</v>
      </c>
      <c r="AF40">
        <f>SUMIF(ConfirmedRaw!$B:$B,$A40,ConfirmedRaw!AI:AI)</f>
        <v>1</v>
      </c>
      <c r="AG40">
        <f>SUMIF(ConfirmedRaw!$B:$B,$A40,ConfirmedRaw!AJ:AJ)</f>
        <v>1</v>
      </c>
      <c r="AH40">
        <f>SUMIF(ConfirmedRaw!$B:$B,$A40,ConfirmedRaw!AK:AK)</f>
        <v>1</v>
      </c>
      <c r="AI40">
        <f>SUMIF(ConfirmedRaw!$B:$B,$A40,ConfirmedRaw!AL:AL)</f>
        <v>1</v>
      </c>
      <c r="AJ40">
        <f>SUMIF(ConfirmedRaw!$B:$B,$A40,ConfirmedRaw!AM:AM)</f>
        <v>1</v>
      </c>
      <c r="AK40">
        <f>SUMIF(ConfirmedRaw!$B:$B,$A40,ConfirmedRaw!AN:AN)</f>
        <v>1</v>
      </c>
      <c r="AL40">
        <f>SUMIF(ConfirmedRaw!$B:$B,$A40,ConfirmedRaw!AO:AO)</f>
        <v>1</v>
      </c>
      <c r="AM40">
        <f>SUMIF(ConfirmedRaw!$B:$B,$A40,ConfirmedRaw!AP:AP)</f>
        <v>1</v>
      </c>
      <c r="AN40">
        <f>SUMIF(ConfirmedRaw!$B:$B,$A40,ConfirmedRaw!AQ:AQ)</f>
        <v>1</v>
      </c>
      <c r="AO40">
        <f>SUMIF(ConfirmedRaw!$B:$B,$A40,ConfirmedRaw!AR:AR)</f>
        <v>2</v>
      </c>
      <c r="AP40">
        <f>SUMIF(ConfirmedRaw!$B:$B,$A40,ConfirmedRaw!AS:AS)</f>
        <v>2</v>
      </c>
      <c r="AQ40">
        <f>SUMIF(ConfirmedRaw!$B:$B,$A40,ConfirmedRaw!AT:AT)</f>
        <v>2</v>
      </c>
      <c r="AR40">
        <f>SUMIF(ConfirmedRaw!$B:$B,$A40,ConfirmedRaw!AU:AU)</f>
        <v>2</v>
      </c>
      <c r="AS40">
        <f>SUMIF(ConfirmedRaw!$B:$B,$A40,ConfirmedRaw!AV:AV)</f>
        <v>3</v>
      </c>
      <c r="AT40">
        <f>SUMIF(ConfirmedRaw!$B:$B,$A40,ConfirmedRaw!AW:AW)</f>
        <v>15</v>
      </c>
      <c r="AU40">
        <f>SUMIF(ConfirmedRaw!$B:$B,$A40,ConfirmedRaw!AX:AX)</f>
        <v>15</v>
      </c>
      <c r="AV40">
        <f>SUMIF(ConfirmedRaw!$B:$B,$A40,ConfirmedRaw!AY:AY)</f>
        <v>49</v>
      </c>
      <c r="AW40">
        <f>SUMIF(ConfirmedRaw!$B:$B,$A40,ConfirmedRaw!AZ:AZ)</f>
        <v>55</v>
      </c>
      <c r="AX40">
        <f>SUMIF(ConfirmedRaw!$B:$B,$A40,ConfirmedRaw!BA:BA)</f>
        <v>59</v>
      </c>
      <c r="AY40">
        <f>SUMIF(ConfirmedRaw!$B:$B,$A40,ConfirmedRaw!BB:BB)</f>
        <v>60</v>
      </c>
      <c r="AZ40">
        <f>SUMIF(ConfirmedRaw!$B:$B,$A40,ConfirmedRaw!BC:BC)</f>
        <v>67</v>
      </c>
      <c r="BA40">
        <f>SUMIF(ConfirmedRaw!$B:$B,$A40,ConfirmedRaw!BD:BD)</f>
        <v>80</v>
      </c>
      <c r="BB40">
        <f>SUMIF(ConfirmedRaw!$B:$B,$A40,ConfirmedRaw!BE:BE)</f>
        <v>109</v>
      </c>
      <c r="BC40">
        <f>SUMIF(ConfirmedRaw!$B:$B,$A40,ConfirmedRaw!BF:BF)</f>
        <v>110</v>
      </c>
      <c r="BD40">
        <f>SUMIF(ConfirmedRaw!$B:$B,$A40,ConfirmedRaw!BG:BG)</f>
        <v>150</v>
      </c>
      <c r="BE40">
        <f>SUMIF(ConfirmedRaw!$B:$B,$A40,ConfirmedRaw!BH:BH)</f>
        <v>196</v>
      </c>
      <c r="BF40">
        <f>SUMIF(ConfirmedRaw!$B:$B,$A40,ConfirmedRaw!BI:BI)</f>
        <v>196</v>
      </c>
      <c r="BG40">
        <f>SUMIF(ConfirmedRaw!$B:$B,$A40,ConfirmedRaw!BJ:BJ)</f>
        <v>0</v>
      </c>
      <c r="BH40">
        <f>SUMIF(ConfirmedRaw!$B:$B,$A40,ConfirmedRaw!BK:BK)</f>
        <v>0</v>
      </c>
      <c r="BI40">
        <f>SUMIF(ConfirmedRaw!$B:$B,$A40,ConfirmedRaw!BL:BL)</f>
        <v>0</v>
      </c>
      <c r="BJ40">
        <f>SUMIF(ConfirmedRaw!$B:$B,$A40,ConfirmedRaw!BM:BM)</f>
        <v>0</v>
      </c>
      <c r="BK40">
        <f>SUMIF(ConfirmedRaw!$B:$B,$A40,ConfirmedRaw!BN:BN)</f>
        <v>0</v>
      </c>
      <c r="BL40">
        <f>SUMIF(ConfirmedRaw!$B:$B,$A40,ConfirmedRaw!BO:BO)</f>
        <v>0</v>
      </c>
      <c r="BM40">
        <f>SUMIF(ConfirmedRaw!$B:$B,$A40,ConfirmedRaw!BP:BP)</f>
        <v>0</v>
      </c>
      <c r="BN40">
        <f>SUMIF(ConfirmedRaw!$B:$B,$A40,ConfirmedRaw!BQ:BQ)</f>
        <v>0</v>
      </c>
      <c r="BO40">
        <f>SUMIF(ConfirmedRaw!$B:$B,$A40,ConfirmedRaw!BR:BR)</f>
        <v>0</v>
      </c>
      <c r="BP40">
        <f>SUMIF(ConfirmedRaw!$B:$B,$A40,ConfirmedRaw!BS:BS)</f>
        <v>0</v>
      </c>
      <c r="BQ40">
        <f>SUMIF(ConfirmedRaw!$B:$B,$A40,ConfirmedRaw!BT:BT)</f>
        <v>0</v>
      </c>
      <c r="BR40">
        <f>SUMIF(ConfirmedRaw!$B:$B,$A40,ConfirmedRaw!BU:BU)</f>
        <v>0</v>
      </c>
      <c r="BS40">
        <f>SUMIF(ConfirmedRaw!$B:$B,$A40,ConfirmedRaw!BV:BV)</f>
        <v>0</v>
      </c>
      <c r="BT40">
        <f>SUMIF(ConfirmedRaw!$B:$B,$A40,ConfirmedRaw!BW:BW)</f>
        <v>0</v>
      </c>
    </row>
    <row r="41" spans="1:72" ht="15" thickBot="1" x14ac:dyDescent="0.35">
      <c r="A41" s="3" t="s">
        <v>74</v>
      </c>
      <c r="B41">
        <f>SUMIF(ConfirmedRaw!$B:$B,$A41,ConfirmedRaw!E:E)</f>
        <v>0</v>
      </c>
      <c r="C41">
        <f>SUMIF(ConfirmedRaw!$B:$B,$A41,ConfirmedRaw!F:F)</f>
        <v>0</v>
      </c>
      <c r="D41">
        <f>SUMIF(ConfirmedRaw!$B:$B,$A41,ConfirmedRaw!G:G)</f>
        <v>0</v>
      </c>
      <c r="E41">
        <f>SUMIF(ConfirmedRaw!$B:$B,$A41,ConfirmedRaw!H:H)</f>
        <v>0</v>
      </c>
      <c r="F41">
        <f>SUMIF(ConfirmedRaw!$B:$B,$A41,ConfirmedRaw!I:I)</f>
        <v>0</v>
      </c>
      <c r="G41">
        <f>SUMIF(ConfirmedRaw!$B:$B,$A41,ConfirmedRaw!J:J)</f>
        <v>0</v>
      </c>
      <c r="H41">
        <f>SUMIF(ConfirmedRaw!$B:$B,$A41,ConfirmedRaw!K:K)</f>
        <v>0</v>
      </c>
      <c r="I41">
        <f>SUMIF(ConfirmedRaw!$B:$B,$A41,ConfirmedRaw!L:L)</f>
        <v>0</v>
      </c>
      <c r="J41">
        <f>SUMIF(ConfirmedRaw!$B:$B,$A41,ConfirmedRaw!M:M)</f>
        <v>0</v>
      </c>
      <c r="K41">
        <f>SUMIF(ConfirmedRaw!$B:$B,$A41,ConfirmedRaw!N:N)</f>
        <v>0</v>
      </c>
      <c r="L41">
        <f>SUMIF(ConfirmedRaw!$B:$B,$A41,ConfirmedRaw!O:O)</f>
        <v>0</v>
      </c>
      <c r="M41">
        <f>SUMIF(ConfirmedRaw!$B:$B,$A41,ConfirmedRaw!P:P)</f>
        <v>0</v>
      </c>
      <c r="N41">
        <f>SUMIF(ConfirmedRaw!$B:$B,$A41,ConfirmedRaw!Q:Q)</f>
        <v>0</v>
      </c>
      <c r="O41">
        <f>SUMIF(ConfirmedRaw!$B:$B,$A41,ConfirmedRaw!R:R)</f>
        <v>0</v>
      </c>
      <c r="P41">
        <f>SUMIF(ConfirmedRaw!$B:$B,$A41,ConfirmedRaw!S:S)</f>
        <v>0</v>
      </c>
      <c r="Q41">
        <f>SUMIF(ConfirmedRaw!$B:$B,$A41,ConfirmedRaw!T:T)</f>
        <v>0</v>
      </c>
      <c r="R41">
        <f>SUMIF(ConfirmedRaw!$B:$B,$A41,ConfirmedRaw!U:U)</f>
        <v>0</v>
      </c>
      <c r="S41">
        <f>SUMIF(ConfirmedRaw!$B:$B,$A41,ConfirmedRaw!V:V)</f>
        <v>0</v>
      </c>
      <c r="T41">
        <f>SUMIF(ConfirmedRaw!$B:$B,$A41,ConfirmedRaw!W:W)</f>
        <v>0</v>
      </c>
      <c r="U41">
        <f>SUMIF(ConfirmedRaw!$B:$B,$A41,ConfirmedRaw!X:X)</f>
        <v>0</v>
      </c>
      <c r="V41">
        <f>SUMIF(ConfirmedRaw!$B:$B,$A41,ConfirmedRaw!Y:Y)</f>
        <v>0</v>
      </c>
      <c r="W41">
        <f>SUMIF(ConfirmedRaw!$B:$B,$A41,ConfirmedRaw!Z:Z)</f>
        <v>0</v>
      </c>
      <c r="X41">
        <f>SUMIF(ConfirmedRaw!$B:$B,$A41,ConfirmedRaw!AA:AA)</f>
        <v>0</v>
      </c>
      <c r="Y41">
        <f>SUMIF(ConfirmedRaw!$B:$B,$A41,ConfirmedRaw!AB:AB)</f>
        <v>0</v>
      </c>
      <c r="Z41">
        <f>SUMIF(ConfirmedRaw!$B:$B,$A41,ConfirmedRaw!AC:AC)</f>
        <v>0</v>
      </c>
      <c r="AA41">
        <f>SUMIF(ConfirmedRaw!$B:$B,$A41,ConfirmedRaw!AD:AD)</f>
        <v>0</v>
      </c>
      <c r="AB41">
        <f>SUMIF(ConfirmedRaw!$B:$B,$A41,ConfirmedRaw!AE:AE)</f>
        <v>0</v>
      </c>
      <c r="AC41">
        <f>SUMIF(ConfirmedRaw!$B:$B,$A41,ConfirmedRaw!AF:AF)</f>
        <v>0</v>
      </c>
      <c r="AD41">
        <f>SUMIF(ConfirmedRaw!$B:$B,$A41,ConfirmedRaw!AG:AG)</f>
        <v>0</v>
      </c>
      <c r="AE41">
        <f>SUMIF(ConfirmedRaw!$B:$B,$A41,ConfirmedRaw!AH:AH)</f>
        <v>0</v>
      </c>
      <c r="AF41">
        <f>SUMIF(ConfirmedRaw!$B:$B,$A41,ConfirmedRaw!AI:AI)</f>
        <v>0</v>
      </c>
      <c r="AG41">
        <f>SUMIF(ConfirmedRaw!$B:$B,$A41,ConfirmedRaw!AJ:AJ)</f>
        <v>0</v>
      </c>
      <c r="AH41">
        <f>SUMIF(ConfirmedRaw!$B:$B,$A41,ConfirmedRaw!AK:AK)</f>
        <v>0</v>
      </c>
      <c r="AI41">
        <f>SUMIF(ConfirmedRaw!$B:$B,$A41,ConfirmedRaw!AL:AL)</f>
        <v>1</v>
      </c>
      <c r="AJ41">
        <f>SUMIF(ConfirmedRaw!$B:$B,$A41,ConfirmedRaw!AM:AM)</f>
        <v>11</v>
      </c>
      <c r="AK41">
        <f>SUMIF(ConfirmedRaw!$B:$B,$A41,ConfirmedRaw!AN:AN)</f>
        <v>26</v>
      </c>
      <c r="AL41">
        <f>SUMIF(ConfirmedRaw!$B:$B,$A41,ConfirmedRaw!AO:AO)</f>
        <v>43</v>
      </c>
      <c r="AM41">
        <f>SUMIF(ConfirmedRaw!$B:$B,$A41,ConfirmedRaw!AP:AP)</f>
        <v>45</v>
      </c>
      <c r="AN41">
        <f>SUMIF(ConfirmedRaw!$B:$B,$A41,ConfirmedRaw!AQ:AQ)</f>
        <v>45</v>
      </c>
      <c r="AO41">
        <f>SUMIF(ConfirmedRaw!$B:$B,$A41,ConfirmedRaw!AR:AR)</f>
        <v>45</v>
      </c>
      <c r="AP41">
        <f>SUMIF(ConfirmedRaw!$B:$B,$A41,ConfirmedRaw!AS:AS)</f>
        <v>56</v>
      </c>
      <c r="AQ41">
        <f>SUMIF(ConfirmedRaw!$B:$B,$A41,ConfirmedRaw!AT:AT)</f>
        <v>56</v>
      </c>
      <c r="AR41">
        <f>SUMIF(ConfirmedRaw!$B:$B,$A41,ConfirmedRaw!AU:AU)</f>
        <v>56</v>
      </c>
      <c r="AS41">
        <f>SUMIF(ConfirmedRaw!$B:$B,$A41,ConfirmedRaw!AV:AV)</f>
        <v>58</v>
      </c>
      <c r="AT41">
        <f>SUMIF(ConfirmedRaw!$B:$B,$A41,ConfirmedRaw!AW:AW)</f>
        <v>58</v>
      </c>
      <c r="AU41">
        <f>SUMIF(ConfirmedRaw!$B:$B,$A41,ConfirmedRaw!AX:AX)</f>
        <v>61</v>
      </c>
      <c r="AV41">
        <f>SUMIF(ConfirmedRaw!$B:$B,$A41,ConfirmedRaw!AY:AY)</f>
        <v>64</v>
      </c>
      <c r="AW41">
        <f>SUMIF(ConfirmedRaw!$B:$B,$A41,ConfirmedRaw!AZ:AZ)</f>
        <v>64</v>
      </c>
      <c r="AX41">
        <f>SUMIF(ConfirmedRaw!$B:$B,$A41,ConfirmedRaw!BA:BA)</f>
        <v>69</v>
      </c>
      <c r="AY41">
        <f>SUMIF(ConfirmedRaw!$B:$B,$A41,ConfirmedRaw!BB:BB)</f>
        <v>72</v>
      </c>
      <c r="AZ41">
        <f>SUMIF(ConfirmedRaw!$B:$B,$A41,ConfirmedRaw!BC:BC)</f>
        <v>80</v>
      </c>
      <c r="BA41">
        <f>SUMIF(ConfirmedRaw!$B:$B,$A41,ConfirmedRaw!BD:BD)</f>
        <v>80</v>
      </c>
      <c r="BB41">
        <f>SUMIF(ConfirmedRaw!$B:$B,$A41,ConfirmedRaw!BE:BE)</f>
        <v>104</v>
      </c>
      <c r="BC41">
        <f>SUMIF(ConfirmedRaw!$B:$B,$A41,ConfirmedRaw!BF:BF)</f>
        <v>112</v>
      </c>
      <c r="BD41">
        <f>SUMIF(ConfirmedRaw!$B:$B,$A41,ConfirmedRaw!BG:BG)</f>
        <v>123</v>
      </c>
      <c r="BE41">
        <f>SUMIF(ConfirmedRaw!$B:$B,$A41,ConfirmedRaw!BH:BH)</f>
        <v>130</v>
      </c>
      <c r="BF41">
        <f>SUMIF(ConfirmedRaw!$B:$B,$A41,ConfirmedRaw!BI:BI)</f>
        <v>142</v>
      </c>
      <c r="BG41">
        <f>SUMIF(ConfirmedRaw!$B:$B,$A41,ConfirmedRaw!BJ:BJ)</f>
        <v>0</v>
      </c>
      <c r="BH41">
        <f>SUMIF(ConfirmedRaw!$B:$B,$A41,ConfirmedRaw!BK:BK)</f>
        <v>0</v>
      </c>
      <c r="BI41">
        <f>SUMIF(ConfirmedRaw!$B:$B,$A41,ConfirmedRaw!BL:BL)</f>
        <v>0</v>
      </c>
      <c r="BJ41">
        <f>SUMIF(ConfirmedRaw!$B:$B,$A41,ConfirmedRaw!BM:BM)</f>
        <v>0</v>
      </c>
      <c r="BK41">
        <f>SUMIF(ConfirmedRaw!$B:$B,$A41,ConfirmedRaw!BN:BN)</f>
        <v>0</v>
      </c>
      <c r="BL41">
        <f>SUMIF(ConfirmedRaw!$B:$B,$A41,ConfirmedRaw!BO:BO)</f>
        <v>0</v>
      </c>
      <c r="BM41">
        <f>SUMIF(ConfirmedRaw!$B:$B,$A41,ConfirmedRaw!BP:BP)</f>
        <v>0</v>
      </c>
      <c r="BN41">
        <f>SUMIF(ConfirmedRaw!$B:$B,$A41,ConfirmedRaw!BQ:BQ)</f>
        <v>0</v>
      </c>
      <c r="BO41">
        <f>SUMIF(ConfirmedRaw!$B:$B,$A41,ConfirmedRaw!BR:BR)</f>
        <v>0</v>
      </c>
      <c r="BP41">
        <f>SUMIF(ConfirmedRaw!$B:$B,$A41,ConfirmedRaw!BS:BS)</f>
        <v>0</v>
      </c>
      <c r="BQ41">
        <f>SUMIF(ConfirmedRaw!$B:$B,$A41,ConfirmedRaw!BT:BT)</f>
        <v>0</v>
      </c>
      <c r="BR41">
        <f>SUMIF(ConfirmedRaw!$B:$B,$A41,ConfirmedRaw!BU:BU)</f>
        <v>0</v>
      </c>
      <c r="BS41">
        <f>SUMIF(ConfirmedRaw!$B:$B,$A41,ConfirmedRaw!BV:BV)</f>
        <v>0</v>
      </c>
      <c r="BT41">
        <f>SUMIF(ConfirmedRaw!$B:$B,$A41,ConfirmedRaw!BW:BW)</f>
        <v>0</v>
      </c>
    </row>
    <row r="42" spans="1:72" ht="15" thickBot="1" x14ac:dyDescent="0.35">
      <c r="A42" s="4" t="s">
        <v>90</v>
      </c>
      <c r="B42">
        <f>SUMIF(ConfirmedRaw!$B:$B,$A42,ConfirmedRaw!E:E)</f>
        <v>0</v>
      </c>
      <c r="C42">
        <f>SUMIF(ConfirmedRaw!$B:$B,$A42,ConfirmedRaw!F:F)</f>
        <v>0</v>
      </c>
      <c r="D42">
        <f>SUMIF(ConfirmedRaw!$B:$B,$A42,ConfirmedRaw!G:G)</f>
        <v>0</v>
      </c>
      <c r="E42">
        <f>SUMIF(ConfirmedRaw!$B:$B,$A42,ConfirmedRaw!H:H)</f>
        <v>0</v>
      </c>
      <c r="F42">
        <f>SUMIF(ConfirmedRaw!$B:$B,$A42,ConfirmedRaw!I:I)</f>
        <v>0</v>
      </c>
      <c r="G42">
        <f>SUMIF(ConfirmedRaw!$B:$B,$A42,ConfirmedRaw!J:J)</f>
        <v>0</v>
      </c>
      <c r="H42">
        <f>SUMIF(ConfirmedRaw!$B:$B,$A42,ConfirmedRaw!K:K)</f>
        <v>0</v>
      </c>
      <c r="I42">
        <f>SUMIF(ConfirmedRaw!$B:$B,$A42,ConfirmedRaw!L:L)</f>
        <v>0</v>
      </c>
      <c r="J42">
        <f>SUMIF(ConfirmedRaw!$B:$B,$A42,ConfirmedRaw!M:M)</f>
        <v>0</v>
      </c>
      <c r="K42">
        <f>SUMIF(ConfirmedRaw!$B:$B,$A42,ConfirmedRaw!N:N)</f>
        <v>0</v>
      </c>
      <c r="L42">
        <f>SUMIF(ConfirmedRaw!$B:$B,$A42,ConfirmedRaw!O:O)</f>
        <v>0</v>
      </c>
      <c r="M42">
        <f>SUMIF(ConfirmedRaw!$B:$B,$A42,ConfirmedRaw!P:P)</f>
        <v>0</v>
      </c>
      <c r="N42">
        <f>SUMIF(ConfirmedRaw!$B:$B,$A42,ConfirmedRaw!Q:Q)</f>
        <v>0</v>
      </c>
      <c r="O42">
        <f>SUMIF(ConfirmedRaw!$B:$B,$A42,ConfirmedRaw!R:R)</f>
        <v>0</v>
      </c>
      <c r="P42">
        <f>SUMIF(ConfirmedRaw!$B:$B,$A42,ConfirmedRaw!S:S)</f>
        <v>0</v>
      </c>
      <c r="Q42">
        <f>SUMIF(ConfirmedRaw!$B:$B,$A42,ConfirmedRaw!T:T)</f>
        <v>0</v>
      </c>
      <c r="R42">
        <f>SUMIF(ConfirmedRaw!$B:$B,$A42,ConfirmedRaw!U:U)</f>
        <v>0</v>
      </c>
      <c r="S42">
        <f>SUMIF(ConfirmedRaw!$B:$B,$A42,ConfirmedRaw!V:V)</f>
        <v>0</v>
      </c>
      <c r="T42">
        <f>SUMIF(ConfirmedRaw!$B:$B,$A42,ConfirmedRaw!W:W)</f>
        <v>0</v>
      </c>
      <c r="U42">
        <f>SUMIF(ConfirmedRaw!$B:$B,$A42,ConfirmedRaw!X:X)</f>
        <v>0</v>
      </c>
      <c r="V42">
        <f>SUMIF(ConfirmedRaw!$B:$B,$A42,ConfirmedRaw!Y:Y)</f>
        <v>0</v>
      </c>
      <c r="W42">
        <f>SUMIF(ConfirmedRaw!$B:$B,$A42,ConfirmedRaw!Z:Z)</f>
        <v>0</v>
      </c>
      <c r="X42">
        <f>SUMIF(ConfirmedRaw!$B:$B,$A42,ConfirmedRaw!AA:AA)</f>
        <v>0</v>
      </c>
      <c r="Y42">
        <f>SUMIF(ConfirmedRaw!$B:$B,$A42,ConfirmedRaw!AB:AB)</f>
        <v>0</v>
      </c>
      <c r="Z42">
        <f>SUMIF(ConfirmedRaw!$B:$B,$A42,ConfirmedRaw!AC:AC)</f>
        <v>0</v>
      </c>
      <c r="AA42">
        <f>SUMIF(ConfirmedRaw!$B:$B,$A42,ConfirmedRaw!AD:AD)</f>
        <v>0</v>
      </c>
      <c r="AB42">
        <f>SUMIF(ConfirmedRaw!$B:$B,$A42,ConfirmedRaw!AE:AE)</f>
        <v>0</v>
      </c>
      <c r="AC42">
        <f>SUMIF(ConfirmedRaw!$B:$B,$A42,ConfirmedRaw!AF:AF)</f>
        <v>0</v>
      </c>
      <c r="AD42">
        <f>SUMIF(ConfirmedRaw!$B:$B,$A42,ConfirmedRaw!AG:AG)</f>
        <v>0</v>
      </c>
      <c r="AE42">
        <f>SUMIF(ConfirmedRaw!$B:$B,$A42,ConfirmedRaw!AH:AH)</f>
        <v>0</v>
      </c>
      <c r="AF42">
        <f>SUMIF(ConfirmedRaw!$B:$B,$A42,ConfirmedRaw!AI:AI)</f>
        <v>0</v>
      </c>
      <c r="AG42">
        <f>SUMIF(ConfirmedRaw!$B:$B,$A42,ConfirmedRaw!AJ:AJ)</f>
        <v>0</v>
      </c>
      <c r="AH42">
        <f>SUMIF(ConfirmedRaw!$B:$B,$A42,ConfirmedRaw!AK:AK)</f>
        <v>0</v>
      </c>
      <c r="AI42">
        <f>SUMIF(ConfirmedRaw!$B:$B,$A42,ConfirmedRaw!AL:AL)</f>
        <v>0</v>
      </c>
      <c r="AJ42">
        <f>SUMIF(ConfirmedRaw!$B:$B,$A42,ConfirmedRaw!AM:AM)</f>
        <v>0</v>
      </c>
      <c r="AK42">
        <f>SUMIF(ConfirmedRaw!$B:$B,$A42,ConfirmedRaw!AN:AN)</f>
        <v>0</v>
      </c>
      <c r="AL42">
        <f>SUMIF(ConfirmedRaw!$B:$B,$A42,ConfirmedRaw!AO:AO)</f>
        <v>1</v>
      </c>
      <c r="AM42">
        <f>SUMIF(ConfirmedRaw!$B:$B,$A42,ConfirmedRaw!AP:AP)</f>
        <v>1</v>
      </c>
      <c r="AN42">
        <f>SUMIF(ConfirmedRaw!$B:$B,$A42,ConfirmedRaw!AQ:AQ)</f>
        <v>1</v>
      </c>
      <c r="AO42">
        <f>SUMIF(ConfirmedRaw!$B:$B,$A42,ConfirmedRaw!AR:AR)</f>
        <v>1</v>
      </c>
      <c r="AP42">
        <f>SUMIF(ConfirmedRaw!$B:$B,$A42,ConfirmedRaw!AS:AS)</f>
        <v>8</v>
      </c>
      <c r="AQ42">
        <f>SUMIF(ConfirmedRaw!$B:$B,$A42,ConfirmedRaw!AT:AT)</f>
        <v>10</v>
      </c>
      <c r="AR42">
        <f>SUMIF(ConfirmedRaw!$B:$B,$A42,ConfirmedRaw!AU:AU)</f>
        <v>16</v>
      </c>
      <c r="AS42">
        <f>SUMIF(ConfirmedRaw!$B:$B,$A42,ConfirmedRaw!AV:AV)</f>
        <v>21</v>
      </c>
      <c r="AT42">
        <f>SUMIF(ConfirmedRaw!$B:$B,$A42,ConfirmedRaw!AW:AW)</f>
        <v>21</v>
      </c>
      <c r="AU42">
        <f>SUMIF(ConfirmedRaw!$B:$B,$A42,ConfirmedRaw!AX:AX)</f>
        <v>23</v>
      </c>
      <c r="AV42">
        <f>SUMIF(ConfirmedRaw!$B:$B,$A42,ConfirmedRaw!AY:AY)</f>
        <v>36</v>
      </c>
      <c r="AW42">
        <f>SUMIF(ConfirmedRaw!$B:$B,$A42,ConfirmedRaw!AZ:AZ)</f>
        <v>36</v>
      </c>
      <c r="AX42">
        <f>SUMIF(ConfirmedRaw!$B:$B,$A42,ConfirmedRaw!BA:BA)</f>
        <v>51</v>
      </c>
      <c r="AY42">
        <f>SUMIF(ConfirmedRaw!$B:$B,$A42,ConfirmedRaw!BB:BB)</f>
        <v>62</v>
      </c>
      <c r="AZ42">
        <f>SUMIF(ConfirmedRaw!$B:$B,$A42,ConfirmedRaw!BC:BC)</f>
        <v>69</v>
      </c>
      <c r="BA42">
        <f>SUMIF(ConfirmedRaw!$B:$B,$A42,ConfirmedRaw!BD:BD)</f>
        <v>80</v>
      </c>
      <c r="BB42">
        <f>SUMIF(ConfirmedRaw!$B:$B,$A42,ConfirmedRaw!BE:BE)</f>
        <v>80</v>
      </c>
      <c r="BC42">
        <f>SUMIF(ConfirmedRaw!$B:$B,$A42,ConfirmedRaw!BF:BF)</f>
        <v>101</v>
      </c>
      <c r="BD42">
        <f>SUMIF(ConfirmedRaw!$B:$B,$A42,ConfirmedRaw!BG:BG)</f>
        <v>109</v>
      </c>
      <c r="BE42">
        <f>SUMIF(ConfirmedRaw!$B:$B,$A42,ConfirmedRaw!BH:BH)</f>
        <v>109</v>
      </c>
      <c r="BF42">
        <f>SUMIF(ConfirmedRaw!$B:$B,$A42,ConfirmedRaw!BI:BI)</f>
        <v>119</v>
      </c>
      <c r="BG42">
        <f>SUMIF(ConfirmedRaw!$B:$B,$A42,ConfirmedRaw!BJ:BJ)</f>
        <v>0</v>
      </c>
      <c r="BH42">
        <f>SUMIF(ConfirmedRaw!$B:$B,$A42,ConfirmedRaw!BK:BK)</f>
        <v>0</v>
      </c>
      <c r="BI42">
        <f>SUMIF(ConfirmedRaw!$B:$B,$A42,ConfirmedRaw!BL:BL)</f>
        <v>0</v>
      </c>
      <c r="BJ42">
        <f>SUMIF(ConfirmedRaw!$B:$B,$A42,ConfirmedRaw!BM:BM)</f>
        <v>0</v>
      </c>
      <c r="BK42">
        <f>SUMIF(ConfirmedRaw!$B:$B,$A42,ConfirmedRaw!BN:BN)</f>
        <v>0</v>
      </c>
      <c r="BL42">
        <f>SUMIF(ConfirmedRaw!$B:$B,$A42,ConfirmedRaw!BO:BO)</f>
        <v>0</v>
      </c>
      <c r="BM42">
        <f>SUMIF(ConfirmedRaw!$B:$B,$A42,ConfirmedRaw!BP:BP)</f>
        <v>0</v>
      </c>
      <c r="BN42">
        <f>SUMIF(ConfirmedRaw!$B:$B,$A42,ConfirmedRaw!BQ:BQ)</f>
        <v>0</v>
      </c>
      <c r="BO42">
        <f>SUMIF(ConfirmedRaw!$B:$B,$A42,ConfirmedRaw!BR:BR)</f>
        <v>0</v>
      </c>
      <c r="BP42">
        <f>SUMIF(ConfirmedRaw!$B:$B,$A42,ConfirmedRaw!BS:BS)</f>
        <v>0</v>
      </c>
      <c r="BQ42">
        <f>SUMIF(ConfirmedRaw!$B:$B,$A42,ConfirmedRaw!BT:BT)</f>
        <v>0</v>
      </c>
      <c r="BR42">
        <f>SUMIF(ConfirmedRaw!$B:$B,$A42,ConfirmedRaw!BU:BU)</f>
        <v>0</v>
      </c>
      <c r="BS42">
        <f>SUMIF(ConfirmedRaw!$B:$B,$A42,ConfirmedRaw!BV:BV)</f>
        <v>0</v>
      </c>
      <c r="BT42">
        <f>SUMIF(ConfirmedRaw!$B:$B,$A42,ConfirmedRaw!BW:BW)</f>
        <v>0</v>
      </c>
    </row>
    <row r="43" spans="1:72" ht="15" thickBot="1" x14ac:dyDescent="0.35">
      <c r="A43" s="4" t="s">
        <v>88</v>
      </c>
      <c r="B43">
        <f>SUMIF(ConfirmedRaw!$B:$B,$A43,ConfirmedRaw!E:E)</f>
        <v>0</v>
      </c>
      <c r="C43">
        <f>SUMIF(ConfirmedRaw!$B:$B,$A43,ConfirmedRaw!F:F)</f>
        <v>0</v>
      </c>
      <c r="D43">
        <f>SUMIF(ConfirmedRaw!$B:$B,$A43,ConfirmedRaw!G:G)</f>
        <v>0</v>
      </c>
      <c r="E43">
        <f>SUMIF(ConfirmedRaw!$B:$B,$A43,ConfirmedRaw!H:H)</f>
        <v>0</v>
      </c>
      <c r="F43">
        <f>SUMIF(ConfirmedRaw!$B:$B,$A43,ConfirmedRaw!I:I)</f>
        <v>0</v>
      </c>
      <c r="G43">
        <f>SUMIF(ConfirmedRaw!$B:$B,$A43,ConfirmedRaw!J:J)</f>
        <v>0</v>
      </c>
      <c r="H43">
        <f>SUMIF(ConfirmedRaw!$B:$B,$A43,ConfirmedRaw!K:K)</f>
        <v>0</v>
      </c>
      <c r="I43">
        <f>SUMIF(ConfirmedRaw!$B:$B,$A43,ConfirmedRaw!L:L)</f>
        <v>0</v>
      </c>
      <c r="J43">
        <f>SUMIF(ConfirmedRaw!$B:$B,$A43,ConfirmedRaw!M:M)</f>
        <v>0</v>
      </c>
      <c r="K43">
        <f>SUMIF(ConfirmedRaw!$B:$B,$A43,ConfirmedRaw!N:N)</f>
        <v>0</v>
      </c>
      <c r="L43">
        <f>SUMIF(ConfirmedRaw!$B:$B,$A43,ConfirmedRaw!O:O)</f>
        <v>0</v>
      </c>
      <c r="M43">
        <f>SUMIF(ConfirmedRaw!$B:$B,$A43,ConfirmedRaw!P:P)</f>
        <v>0</v>
      </c>
      <c r="N43">
        <f>SUMIF(ConfirmedRaw!$B:$B,$A43,ConfirmedRaw!Q:Q)</f>
        <v>0</v>
      </c>
      <c r="O43">
        <f>SUMIF(ConfirmedRaw!$B:$B,$A43,ConfirmedRaw!R:R)</f>
        <v>0</v>
      </c>
      <c r="P43">
        <f>SUMIF(ConfirmedRaw!$B:$B,$A43,ConfirmedRaw!S:S)</f>
        <v>0</v>
      </c>
      <c r="Q43">
        <f>SUMIF(ConfirmedRaw!$B:$B,$A43,ConfirmedRaw!T:T)</f>
        <v>0</v>
      </c>
      <c r="R43">
        <f>SUMIF(ConfirmedRaw!$B:$B,$A43,ConfirmedRaw!U:U)</f>
        <v>0</v>
      </c>
      <c r="S43">
        <f>SUMIF(ConfirmedRaw!$B:$B,$A43,ConfirmedRaw!V:V)</f>
        <v>0</v>
      </c>
      <c r="T43">
        <f>SUMIF(ConfirmedRaw!$B:$B,$A43,ConfirmedRaw!W:W)</f>
        <v>0</v>
      </c>
      <c r="U43">
        <f>SUMIF(ConfirmedRaw!$B:$B,$A43,ConfirmedRaw!X:X)</f>
        <v>0</v>
      </c>
      <c r="V43">
        <f>SUMIF(ConfirmedRaw!$B:$B,$A43,ConfirmedRaw!Y:Y)</f>
        <v>0</v>
      </c>
      <c r="W43">
        <f>SUMIF(ConfirmedRaw!$B:$B,$A43,ConfirmedRaw!Z:Z)</f>
        <v>0</v>
      </c>
      <c r="X43">
        <f>SUMIF(ConfirmedRaw!$B:$B,$A43,ConfirmedRaw!AA:AA)</f>
        <v>0</v>
      </c>
      <c r="Y43">
        <f>SUMIF(ConfirmedRaw!$B:$B,$A43,ConfirmedRaw!AB:AB)</f>
        <v>0</v>
      </c>
      <c r="Z43">
        <f>SUMIF(ConfirmedRaw!$B:$B,$A43,ConfirmedRaw!AC:AC)</f>
        <v>0</v>
      </c>
      <c r="AA43">
        <f>SUMIF(ConfirmedRaw!$B:$B,$A43,ConfirmedRaw!AD:AD)</f>
        <v>0</v>
      </c>
      <c r="AB43">
        <f>SUMIF(ConfirmedRaw!$B:$B,$A43,ConfirmedRaw!AE:AE)</f>
        <v>0</v>
      </c>
      <c r="AC43">
        <f>SUMIF(ConfirmedRaw!$B:$B,$A43,ConfirmedRaw!AF:AF)</f>
        <v>0</v>
      </c>
      <c r="AD43">
        <f>SUMIF(ConfirmedRaw!$B:$B,$A43,ConfirmedRaw!AG:AG)</f>
        <v>0</v>
      </c>
      <c r="AE43">
        <f>SUMIF(ConfirmedRaw!$B:$B,$A43,ConfirmedRaw!AH:AH)</f>
        <v>0</v>
      </c>
      <c r="AF43">
        <f>SUMIF(ConfirmedRaw!$B:$B,$A43,ConfirmedRaw!AI:AI)</f>
        <v>0</v>
      </c>
      <c r="AG43">
        <f>SUMIF(ConfirmedRaw!$B:$B,$A43,ConfirmedRaw!AJ:AJ)</f>
        <v>0</v>
      </c>
      <c r="AH43">
        <f>SUMIF(ConfirmedRaw!$B:$B,$A43,ConfirmedRaw!AK:AK)</f>
        <v>0</v>
      </c>
      <c r="AI43">
        <f>SUMIF(ConfirmedRaw!$B:$B,$A43,ConfirmedRaw!AL:AL)</f>
        <v>0</v>
      </c>
      <c r="AJ43">
        <f>SUMIF(ConfirmedRaw!$B:$B,$A43,ConfirmedRaw!AM:AM)</f>
        <v>0</v>
      </c>
      <c r="AK43">
        <f>SUMIF(ConfirmedRaw!$B:$B,$A43,ConfirmedRaw!AN:AN)</f>
        <v>0</v>
      </c>
      <c r="AL43">
        <f>SUMIF(ConfirmedRaw!$B:$B,$A43,ConfirmedRaw!AO:AO)</f>
        <v>1</v>
      </c>
      <c r="AM43">
        <f>SUMIF(ConfirmedRaw!$B:$B,$A43,ConfirmedRaw!AP:AP)</f>
        <v>1</v>
      </c>
      <c r="AN43">
        <f>SUMIF(ConfirmedRaw!$B:$B,$A43,ConfirmedRaw!AQ:AQ)</f>
        <v>1</v>
      </c>
      <c r="AO43">
        <f>SUMIF(ConfirmedRaw!$B:$B,$A43,ConfirmedRaw!AR:AR)</f>
        <v>1</v>
      </c>
      <c r="AP43">
        <f>SUMIF(ConfirmedRaw!$B:$B,$A43,ConfirmedRaw!AS:AS)</f>
        <v>1</v>
      </c>
      <c r="AQ43">
        <f>SUMIF(ConfirmedRaw!$B:$B,$A43,ConfirmedRaw!AT:AT)</f>
        <v>2</v>
      </c>
      <c r="AR43">
        <f>SUMIF(ConfirmedRaw!$B:$B,$A43,ConfirmedRaw!AU:AU)</f>
        <v>2</v>
      </c>
      <c r="AS43">
        <f>SUMIF(ConfirmedRaw!$B:$B,$A43,ConfirmedRaw!AV:AV)</f>
        <v>3</v>
      </c>
      <c r="AT43">
        <f>SUMIF(ConfirmedRaw!$B:$B,$A43,ConfirmedRaw!AW:AW)</f>
        <v>10</v>
      </c>
      <c r="AU43">
        <f>SUMIF(ConfirmedRaw!$B:$B,$A43,ConfirmedRaw!AX:AX)</f>
        <v>10</v>
      </c>
      <c r="AV43">
        <f>SUMIF(ConfirmedRaw!$B:$B,$A43,ConfirmedRaw!AY:AY)</f>
        <v>10</v>
      </c>
      <c r="AW43">
        <f>SUMIF(ConfirmedRaw!$B:$B,$A43,ConfirmedRaw!AZ:AZ)</f>
        <v>10</v>
      </c>
      <c r="AX43">
        <f>SUMIF(ConfirmedRaw!$B:$B,$A43,ConfirmedRaw!BA:BA)</f>
        <v>12</v>
      </c>
      <c r="AY43">
        <f>SUMIF(ConfirmedRaw!$B:$B,$A43,ConfirmedRaw!BB:BB)</f>
        <v>16</v>
      </c>
      <c r="AZ43">
        <f>SUMIF(ConfirmedRaw!$B:$B,$A43,ConfirmedRaw!BC:BC)</f>
        <v>16</v>
      </c>
      <c r="BA43">
        <f>SUMIF(ConfirmedRaw!$B:$B,$A43,ConfirmedRaw!BD:BD)</f>
        <v>79</v>
      </c>
      <c r="BB43">
        <f>SUMIF(ConfirmedRaw!$B:$B,$A43,ConfirmedRaw!BE:BE)</f>
        <v>115</v>
      </c>
      <c r="BC43">
        <f>SUMIF(ConfirmedRaw!$B:$B,$A43,ConfirmedRaw!BF:BF)</f>
        <v>171</v>
      </c>
      <c r="BD43">
        <f>SUMIF(ConfirmedRaw!$B:$B,$A43,ConfirmedRaw!BG:BG)</f>
        <v>205</v>
      </c>
      <c r="BE43">
        <f>SUMIF(ConfirmedRaw!$B:$B,$A43,ConfirmedRaw!BH:BH)</f>
        <v>225</v>
      </c>
      <c r="BF43">
        <f>SUMIF(ConfirmedRaw!$B:$B,$A43,ConfirmedRaw!BI:BI)</f>
        <v>258</v>
      </c>
      <c r="BG43">
        <f>SUMIF(ConfirmedRaw!$B:$B,$A43,ConfirmedRaw!BJ:BJ)</f>
        <v>0</v>
      </c>
      <c r="BH43">
        <f>SUMIF(ConfirmedRaw!$B:$B,$A43,ConfirmedRaw!BK:BK)</f>
        <v>0</v>
      </c>
      <c r="BI43">
        <f>SUMIF(ConfirmedRaw!$B:$B,$A43,ConfirmedRaw!BL:BL)</f>
        <v>0</v>
      </c>
      <c r="BJ43">
        <f>SUMIF(ConfirmedRaw!$B:$B,$A43,ConfirmedRaw!BM:BM)</f>
        <v>0</v>
      </c>
      <c r="BK43">
        <f>SUMIF(ConfirmedRaw!$B:$B,$A43,ConfirmedRaw!BN:BN)</f>
        <v>0</v>
      </c>
      <c r="BL43">
        <f>SUMIF(ConfirmedRaw!$B:$B,$A43,ConfirmedRaw!BO:BO)</f>
        <v>0</v>
      </c>
      <c r="BM43">
        <f>SUMIF(ConfirmedRaw!$B:$B,$A43,ConfirmedRaw!BP:BP)</f>
        <v>0</v>
      </c>
      <c r="BN43">
        <f>SUMIF(ConfirmedRaw!$B:$B,$A43,ConfirmedRaw!BQ:BQ)</f>
        <v>0</v>
      </c>
      <c r="BO43">
        <f>SUMIF(ConfirmedRaw!$B:$B,$A43,ConfirmedRaw!BR:BR)</f>
        <v>0</v>
      </c>
      <c r="BP43">
        <f>SUMIF(ConfirmedRaw!$B:$B,$A43,ConfirmedRaw!BS:BS)</f>
        <v>0</v>
      </c>
      <c r="BQ43">
        <f>SUMIF(ConfirmedRaw!$B:$B,$A43,ConfirmedRaw!BT:BT)</f>
        <v>0</v>
      </c>
      <c r="BR43">
        <f>SUMIF(ConfirmedRaw!$B:$B,$A43,ConfirmedRaw!BU:BU)</f>
        <v>0</v>
      </c>
      <c r="BS43">
        <f>SUMIF(ConfirmedRaw!$B:$B,$A43,ConfirmedRaw!BV:BV)</f>
        <v>0</v>
      </c>
      <c r="BT43">
        <f>SUMIF(ConfirmedRaw!$B:$B,$A43,ConfirmedRaw!BW:BW)</f>
        <v>0</v>
      </c>
    </row>
    <row r="44" spans="1:72" ht="15" thickBot="1" x14ac:dyDescent="0.35">
      <c r="A44" s="4" t="s">
        <v>67</v>
      </c>
      <c r="B44">
        <f>SUMIF(ConfirmedRaw!$B:$B,$A44,ConfirmedRaw!E:E)</f>
        <v>0</v>
      </c>
      <c r="C44">
        <f>SUMIF(ConfirmedRaw!$B:$B,$A44,ConfirmedRaw!F:F)</f>
        <v>0</v>
      </c>
      <c r="D44">
        <f>SUMIF(ConfirmedRaw!$B:$B,$A44,ConfirmedRaw!G:G)</f>
        <v>0</v>
      </c>
      <c r="E44">
        <f>SUMIF(ConfirmedRaw!$B:$B,$A44,ConfirmedRaw!H:H)</f>
        <v>0</v>
      </c>
      <c r="F44">
        <f>SUMIF(ConfirmedRaw!$B:$B,$A44,ConfirmedRaw!I:I)</f>
        <v>0</v>
      </c>
      <c r="G44">
        <f>SUMIF(ConfirmedRaw!$B:$B,$A44,ConfirmedRaw!J:J)</f>
        <v>0</v>
      </c>
      <c r="H44">
        <f>SUMIF(ConfirmedRaw!$B:$B,$A44,ConfirmedRaw!K:K)</f>
        <v>0</v>
      </c>
      <c r="I44">
        <f>SUMIF(ConfirmedRaw!$B:$B,$A44,ConfirmedRaw!L:L)</f>
        <v>0</v>
      </c>
      <c r="J44">
        <f>SUMIF(ConfirmedRaw!$B:$B,$A44,ConfirmedRaw!M:M)</f>
        <v>0</v>
      </c>
      <c r="K44">
        <f>SUMIF(ConfirmedRaw!$B:$B,$A44,ConfirmedRaw!N:N)</f>
        <v>0</v>
      </c>
      <c r="L44">
        <f>SUMIF(ConfirmedRaw!$B:$B,$A44,ConfirmedRaw!O:O)</f>
        <v>0</v>
      </c>
      <c r="M44">
        <f>SUMIF(ConfirmedRaw!$B:$B,$A44,ConfirmedRaw!P:P)</f>
        <v>0</v>
      </c>
      <c r="N44">
        <f>SUMIF(ConfirmedRaw!$B:$B,$A44,ConfirmedRaw!Q:Q)</f>
        <v>0</v>
      </c>
      <c r="O44">
        <f>SUMIF(ConfirmedRaw!$B:$B,$A44,ConfirmedRaw!R:R)</f>
        <v>0</v>
      </c>
      <c r="P44">
        <f>SUMIF(ConfirmedRaw!$B:$B,$A44,ConfirmedRaw!S:S)</f>
        <v>0</v>
      </c>
      <c r="Q44">
        <f>SUMIF(ConfirmedRaw!$B:$B,$A44,ConfirmedRaw!T:T)</f>
        <v>0</v>
      </c>
      <c r="R44">
        <f>SUMIF(ConfirmedRaw!$B:$B,$A44,ConfirmedRaw!U:U)</f>
        <v>0</v>
      </c>
      <c r="S44">
        <f>SUMIF(ConfirmedRaw!$B:$B,$A44,ConfirmedRaw!V:V)</f>
        <v>0</v>
      </c>
      <c r="T44">
        <f>SUMIF(ConfirmedRaw!$B:$B,$A44,ConfirmedRaw!W:W)</f>
        <v>0</v>
      </c>
      <c r="U44">
        <f>SUMIF(ConfirmedRaw!$B:$B,$A44,ConfirmedRaw!X:X)</f>
        <v>0</v>
      </c>
      <c r="V44">
        <f>SUMIF(ConfirmedRaw!$B:$B,$A44,ConfirmedRaw!Y:Y)</f>
        <v>0</v>
      </c>
      <c r="W44">
        <f>SUMIF(ConfirmedRaw!$B:$B,$A44,ConfirmedRaw!Z:Z)</f>
        <v>0</v>
      </c>
      <c r="X44">
        <f>SUMIF(ConfirmedRaw!$B:$B,$A44,ConfirmedRaw!AA:AA)</f>
        <v>0</v>
      </c>
      <c r="Y44">
        <f>SUMIF(ConfirmedRaw!$B:$B,$A44,ConfirmedRaw!AB:AB)</f>
        <v>0</v>
      </c>
      <c r="Z44">
        <f>SUMIF(ConfirmedRaw!$B:$B,$A44,ConfirmedRaw!AC:AC)</f>
        <v>0</v>
      </c>
      <c r="AA44">
        <f>SUMIF(ConfirmedRaw!$B:$B,$A44,ConfirmedRaw!AD:AD)</f>
        <v>0</v>
      </c>
      <c r="AB44">
        <f>SUMIF(ConfirmedRaw!$B:$B,$A44,ConfirmedRaw!AE:AE)</f>
        <v>0</v>
      </c>
      <c r="AC44">
        <f>SUMIF(ConfirmedRaw!$B:$B,$A44,ConfirmedRaw!AF:AF)</f>
        <v>0</v>
      </c>
      <c r="AD44">
        <f>SUMIF(ConfirmedRaw!$B:$B,$A44,ConfirmedRaw!AG:AG)</f>
        <v>0</v>
      </c>
      <c r="AE44">
        <f>SUMIF(ConfirmedRaw!$B:$B,$A44,ConfirmedRaw!AH:AH)</f>
        <v>0</v>
      </c>
      <c r="AF44">
        <f>SUMIF(ConfirmedRaw!$B:$B,$A44,ConfirmedRaw!AI:AI)</f>
        <v>1</v>
      </c>
      <c r="AG44">
        <f>SUMIF(ConfirmedRaw!$B:$B,$A44,ConfirmedRaw!AJ:AJ)</f>
        <v>1</v>
      </c>
      <c r="AH44">
        <f>SUMIF(ConfirmedRaw!$B:$B,$A44,ConfirmedRaw!AK:AK)</f>
        <v>1</v>
      </c>
      <c r="AI44">
        <f>SUMIF(ConfirmedRaw!$B:$B,$A44,ConfirmedRaw!AL:AL)</f>
        <v>1</v>
      </c>
      <c r="AJ44">
        <f>SUMIF(ConfirmedRaw!$B:$B,$A44,ConfirmedRaw!AM:AM)</f>
        <v>1</v>
      </c>
      <c r="AK44">
        <f>SUMIF(ConfirmedRaw!$B:$B,$A44,ConfirmedRaw!AN:AN)</f>
        <v>2</v>
      </c>
      <c r="AL44">
        <f>SUMIF(ConfirmedRaw!$B:$B,$A44,ConfirmedRaw!AO:AO)</f>
        <v>2</v>
      </c>
      <c r="AM44">
        <f>SUMIF(ConfirmedRaw!$B:$B,$A44,ConfirmedRaw!AP:AP)</f>
        <v>2</v>
      </c>
      <c r="AN44">
        <f>SUMIF(ConfirmedRaw!$B:$B,$A44,ConfirmedRaw!AQ:AQ)</f>
        <v>4</v>
      </c>
      <c r="AO44">
        <f>SUMIF(ConfirmedRaw!$B:$B,$A44,ConfirmedRaw!AR:AR)</f>
        <v>10</v>
      </c>
      <c r="AP44">
        <f>SUMIF(ConfirmedRaw!$B:$B,$A44,ConfirmedRaw!AS:AS)</f>
        <v>13</v>
      </c>
      <c r="AQ44">
        <f>SUMIF(ConfirmedRaw!$B:$B,$A44,ConfirmedRaw!AT:AT)</f>
        <v>13</v>
      </c>
      <c r="AR44">
        <f>SUMIF(ConfirmedRaw!$B:$B,$A44,ConfirmedRaw!AU:AU)</f>
        <v>13</v>
      </c>
      <c r="AS44">
        <f>SUMIF(ConfirmedRaw!$B:$B,$A44,ConfirmedRaw!AV:AV)</f>
        <v>16</v>
      </c>
      <c r="AT44">
        <f>SUMIF(ConfirmedRaw!$B:$B,$A44,ConfirmedRaw!AW:AW)</f>
        <v>22</v>
      </c>
      <c r="AU44">
        <f>SUMIF(ConfirmedRaw!$B:$B,$A44,ConfirmedRaw!AX:AX)</f>
        <v>22</v>
      </c>
      <c r="AV44">
        <f>SUMIF(ConfirmedRaw!$B:$B,$A44,ConfirmedRaw!AY:AY)</f>
        <v>32</v>
      </c>
      <c r="AW44">
        <f>SUMIF(ConfirmedRaw!$B:$B,$A44,ConfirmedRaw!AZ:AZ)</f>
        <v>32</v>
      </c>
      <c r="AX44">
        <f>SUMIF(ConfirmedRaw!$B:$B,$A44,ConfirmedRaw!BA:BA)</f>
        <v>41</v>
      </c>
      <c r="AY44">
        <f>SUMIF(ConfirmedRaw!$B:$B,$A44,ConfirmedRaw!BB:BB)</f>
        <v>61</v>
      </c>
      <c r="AZ44">
        <f>SUMIF(ConfirmedRaw!$B:$B,$A44,ConfirmedRaw!BC:BC)</f>
        <v>61</v>
      </c>
      <c r="BA44">
        <f>SUMIF(ConfirmedRaw!$B:$B,$A44,ConfirmedRaw!BD:BD)</f>
        <v>77</v>
      </c>
      <c r="BB44">
        <f>SUMIF(ConfirmedRaw!$B:$B,$A44,ConfirmedRaw!BE:BE)</f>
        <v>93</v>
      </c>
      <c r="BC44">
        <f>SUMIF(ConfirmedRaw!$B:$B,$A44,ConfirmedRaw!BF:BF)</f>
        <v>110</v>
      </c>
      <c r="BD44">
        <f>SUMIF(ConfirmedRaw!$B:$B,$A44,ConfirmedRaw!BG:BG)</f>
        <v>99</v>
      </c>
      <c r="BE44">
        <f>SUMIF(ConfirmedRaw!$B:$B,$A44,ConfirmedRaw!BH:BH)</f>
        <v>120</v>
      </c>
      <c r="BF44">
        <f>SUMIF(ConfirmedRaw!$B:$B,$A44,ConfirmedRaw!BI:BI)</f>
        <v>133</v>
      </c>
      <c r="BG44">
        <f>SUMIF(ConfirmedRaw!$B:$B,$A44,ConfirmedRaw!BJ:BJ)</f>
        <v>0</v>
      </c>
      <c r="BH44">
        <f>SUMIF(ConfirmedRaw!$B:$B,$A44,ConfirmedRaw!BK:BK)</f>
        <v>0</v>
      </c>
      <c r="BI44">
        <f>SUMIF(ConfirmedRaw!$B:$B,$A44,ConfirmedRaw!BL:BL)</f>
        <v>0</v>
      </c>
      <c r="BJ44">
        <f>SUMIF(ConfirmedRaw!$B:$B,$A44,ConfirmedRaw!BM:BM)</f>
        <v>0</v>
      </c>
      <c r="BK44">
        <f>SUMIF(ConfirmedRaw!$B:$B,$A44,ConfirmedRaw!BN:BN)</f>
        <v>0</v>
      </c>
      <c r="BL44">
        <f>SUMIF(ConfirmedRaw!$B:$B,$A44,ConfirmedRaw!BO:BO)</f>
        <v>0</v>
      </c>
      <c r="BM44">
        <f>SUMIF(ConfirmedRaw!$B:$B,$A44,ConfirmedRaw!BP:BP)</f>
        <v>0</v>
      </c>
      <c r="BN44">
        <f>SUMIF(ConfirmedRaw!$B:$B,$A44,ConfirmedRaw!BQ:BQ)</f>
        <v>0</v>
      </c>
      <c r="BO44">
        <f>SUMIF(ConfirmedRaw!$B:$B,$A44,ConfirmedRaw!BR:BR)</f>
        <v>0</v>
      </c>
      <c r="BP44">
        <f>SUMIF(ConfirmedRaw!$B:$B,$A44,ConfirmedRaw!BS:BS)</f>
        <v>0</v>
      </c>
      <c r="BQ44">
        <f>SUMIF(ConfirmedRaw!$B:$B,$A44,ConfirmedRaw!BT:BT)</f>
        <v>0</v>
      </c>
      <c r="BR44">
        <f>SUMIF(ConfirmedRaw!$B:$B,$A44,ConfirmedRaw!BU:BU)</f>
        <v>0</v>
      </c>
      <c r="BS44">
        <f>SUMIF(ConfirmedRaw!$B:$B,$A44,ConfirmedRaw!BV:BV)</f>
        <v>0</v>
      </c>
      <c r="BT44">
        <f>SUMIF(ConfirmedRaw!$B:$B,$A44,ConfirmedRaw!BW:BW)</f>
        <v>0</v>
      </c>
    </row>
    <row r="45" spans="1:72" ht="15" thickBot="1" x14ac:dyDescent="0.35">
      <c r="A45" s="3" t="s">
        <v>35</v>
      </c>
      <c r="B45">
        <f>SUMIF(ConfirmedRaw!$B:$B,$A45,ConfirmedRaw!E:E)</f>
        <v>2</v>
      </c>
      <c r="C45">
        <f>SUMIF(ConfirmedRaw!$B:$B,$A45,ConfirmedRaw!F:F)</f>
        <v>3</v>
      </c>
      <c r="D45">
        <f>SUMIF(ConfirmedRaw!$B:$B,$A45,ConfirmedRaw!G:G)</f>
        <v>5</v>
      </c>
      <c r="E45">
        <f>SUMIF(ConfirmedRaw!$B:$B,$A45,ConfirmedRaw!H:H)</f>
        <v>7</v>
      </c>
      <c r="F45">
        <f>SUMIF(ConfirmedRaw!$B:$B,$A45,ConfirmedRaw!I:I)</f>
        <v>8</v>
      </c>
      <c r="G45">
        <f>SUMIF(ConfirmedRaw!$B:$B,$A45,ConfirmedRaw!J:J)</f>
        <v>8</v>
      </c>
      <c r="H45">
        <f>SUMIF(ConfirmedRaw!$B:$B,$A45,ConfirmedRaw!K:K)</f>
        <v>14</v>
      </c>
      <c r="I45">
        <f>SUMIF(ConfirmedRaw!$B:$B,$A45,ConfirmedRaw!L:L)</f>
        <v>14</v>
      </c>
      <c r="J45">
        <f>SUMIF(ConfirmedRaw!$B:$B,$A45,ConfirmedRaw!M:M)</f>
        <v>14</v>
      </c>
      <c r="K45">
        <f>SUMIF(ConfirmedRaw!$B:$B,$A45,ConfirmedRaw!N:N)</f>
        <v>19</v>
      </c>
      <c r="L45">
        <f>SUMIF(ConfirmedRaw!$B:$B,$A45,ConfirmedRaw!O:O)</f>
        <v>19</v>
      </c>
      <c r="M45">
        <f>SUMIF(ConfirmedRaw!$B:$B,$A45,ConfirmedRaw!P:P)</f>
        <v>19</v>
      </c>
      <c r="N45">
        <f>SUMIF(ConfirmedRaw!$B:$B,$A45,ConfirmedRaw!Q:Q)</f>
        <v>19</v>
      </c>
      <c r="O45">
        <f>SUMIF(ConfirmedRaw!$B:$B,$A45,ConfirmedRaw!R:R)</f>
        <v>25</v>
      </c>
      <c r="P45">
        <f>SUMIF(ConfirmedRaw!$B:$B,$A45,ConfirmedRaw!S:S)</f>
        <v>25</v>
      </c>
      <c r="Q45">
        <f>SUMIF(ConfirmedRaw!$B:$B,$A45,ConfirmedRaw!T:T)</f>
        <v>25</v>
      </c>
      <c r="R45">
        <f>SUMIF(ConfirmedRaw!$B:$B,$A45,ConfirmedRaw!U:U)</f>
        <v>25</v>
      </c>
      <c r="S45">
        <f>SUMIF(ConfirmedRaw!$B:$B,$A45,ConfirmedRaw!V:V)</f>
        <v>32</v>
      </c>
      <c r="T45">
        <f>SUMIF(ConfirmedRaw!$B:$B,$A45,ConfirmedRaw!W:W)</f>
        <v>32</v>
      </c>
      <c r="U45">
        <f>SUMIF(ConfirmedRaw!$B:$B,$A45,ConfirmedRaw!X:X)</f>
        <v>32</v>
      </c>
      <c r="V45">
        <f>SUMIF(ConfirmedRaw!$B:$B,$A45,ConfirmedRaw!Y:Y)</f>
        <v>33</v>
      </c>
      <c r="W45">
        <f>SUMIF(ConfirmedRaw!$B:$B,$A45,ConfirmedRaw!Z:Z)</f>
        <v>33</v>
      </c>
      <c r="X45">
        <f>SUMIF(ConfirmedRaw!$B:$B,$A45,ConfirmedRaw!AA:AA)</f>
        <v>33</v>
      </c>
      <c r="Y45">
        <f>SUMIF(ConfirmedRaw!$B:$B,$A45,ConfirmedRaw!AB:AB)</f>
        <v>33</v>
      </c>
      <c r="Z45">
        <f>SUMIF(ConfirmedRaw!$B:$B,$A45,ConfirmedRaw!AC:AC)</f>
        <v>33</v>
      </c>
      <c r="AA45">
        <f>SUMIF(ConfirmedRaw!$B:$B,$A45,ConfirmedRaw!AD:AD)</f>
        <v>34</v>
      </c>
      <c r="AB45">
        <f>SUMIF(ConfirmedRaw!$B:$B,$A45,ConfirmedRaw!AE:AE)</f>
        <v>35</v>
      </c>
      <c r="AC45">
        <f>SUMIF(ConfirmedRaw!$B:$B,$A45,ConfirmedRaw!AF:AF)</f>
        <v>35</v>
      </c>
      <c r="AD45">
        <f>SUMIF(ConfirmedRaw!$B:$B,$A45,ConfirmedRaw!AG:AG)</f>
        <v>35</v>
      </c>
      <c r="AE45">
        <f>SUMIF(ConfirmedRaw!$B:$B,$A45,ConfirmedRaw!AH:AH)</f>
        <v>35</v>
      </c>
      <c r="AF45">
        <f>SUMIF(ConfirmedRaw!$B:$B,$A45,ConfirmedRaw!AI:AI)</f>
        <v>35</v>
      </c>
      <c r="AG45">
        <f>SUMIF(ConfirmedRaw!$B:$B,$A45,ConfirmedRaw!AJ:AJ)</f>
        <v>35</v>
      </c>
      <c r="AH45">
        <f>SUMIF(ConfirmedRaw!$B:$B,$A45,ConfirmedRaw!AK:AK)</f>
        <v>35</v>
      </c>
      <c r="AI45">
        <f>SUMIF(ConfirmedRaw!$B:$B,$A45,ConfirmedRaw!AL:AL)</f>
        <v>35</v>
      </c>
      <c r="AJ45">
        <f>SUMIF(ConfirmedRaw!$B:$B,$A45,ConfirmedRaw!AM:AM)</f>
        <v>37</v>
      </c>
      <c r="AK45">
        <f>SUMIF(ConfirmedRaw!$B:$B,$A45,ConfirmedRaw!AN:AN)</f>
        <v>40</v>
      </c>
      <c r="AL45">
        <f>SUMIF(ConfirmedRaw!$B:$B,$A45,ConfirmedRaw!AO:AO)</f>
        <v>40</v>
      </c>
      <c r="AM45">
        <f>SUMIF(ConfirmedRaw!$B:$B,$A45,ConfirmedRaw!AP:AP)</f>
        <v>41</v>
      </c>
      <c r="AN45">
        <f>SUMIF(ConfirmedRaw!$B:$B,$A45,ConfirmedRaw!AQ:AQ)</f>
        <v>42</v>
      </c>
      <c r="AO45">
        <f>SUMIF(ConfirmedRaw!$B:$B,$A45,ConfirmedRaw!AR:AR)</f>
        <v>42</v>
      </c>
      <c r="AP45">
        <f>SUMIF(ConfirmedRaw!$B:$B,$A45,ConfirmedRaw!AS:AS)</f>
        <v>43</v>
      </c>
      <c r="AQ45">
        <f>SUMIF(ConfirmedRaw!$B:$B,$A45,ConfirmedRaw!AT:AT)</f>
        <v>43</v>
      </c>
      <c r="AR45">
        <f>SUMIF(ConfirmedRaw!$B:$B,$A45,ConfirmedRaw!AU:AU)</f>
        <v>43</v>
      </c>
      <c r="AS45">
        <f>SUMIF(ConfirmedRaw!$B:$B,$A45,ConfirmedRaw!AV:AV)</f>
        <v>47</v>
      </c>
      <c r="AT45">
        <f>SUMIF(ConfirmedRaw!$B:$B,$A45,ConfirmedRaw!AW:AW)</f>
        <v>48</v>
      </c>
      <c r="AU45">
        <f>SUMIF(ConfirmedRaw!$B:$B,$A45,ConfirmedRaw!AX:AX)</f>
        <v>50</v>
      </c>
      <c r="AV45">
        <f>SUMIF(ConfirmedRaw!$B:$B,$A45,ConfirmedRaw!AY:AY)</f>
        <v>50</v>
      </c>
      <c r="AW45">
        <f>SUMIF(ConfirmedRaw!$B:$B,$A45,ConfirmedRaw!AZ:AZ)</f>
        <v>50</v>
      </c>
      <c r="AX45">
        <f>SUMIF(ConfirmedRaw!$B:$B,$A45,ConfirmedRaw!BA:BA)</f>
        <v>53</v>
      </c>
      <c r="AY45">
        <f>SUMIF(ConfirmedRaw!$B:$B,$A45,ConfirmedRaw!BB:BB)</f>
        <v>59</v>
      </c>
      <c r="AZ45">
        <f>SUMIF(ConfirmedRaw!$B:$B,$A45,ConfirmedRaw!BC:BC)</f>
        <v>70</v>
      </c>
      <c r="BA45">
        <f>SUMIF(ConfirmedRaw!$B:$B,$A45,ConfirmedRaw!BD:BD)</f>
        <v>75</v>
      </c>
      <c r="BB45">
        <f>SUMIF(ConfirmedRaw!$B:$B,$A45,ConfirmedRaw!BE:BE)</f>
        <v>82</v>
      </c>
      <c r="BC45">
        <f>SUMIF(ConfirmedRaw!$B:$B,$A45,ConfirmedRaw!BF:BF)</f>
        <v>114</v>
      </c>
      <c r="BD45">
        <f>SUMIF(ConfirmedRaw!$B:$B,$A45,ConfirmedRaw!BG:BG)</f>
        <v>147</v>
      </c>
      <c r="BE45">
        <f>SUMIF(ConfirmedRaw!$B:$B,$A45,ConfirmedRaw!BH:BH)</f>
        <v>177</v>
      </c>
      <c r="BF45">
        <f>SUMIF(ConfirmedRaw!$B:$B,$A45,ConfirmedRaw!BI:BI)</f>
        <v>212</v>
      </c>
      <c r="BG45">
        <f>SUMIF(ConfirmedRaw!$B:$B,$A45,ConfirmedRaw!BJ:BJ)</f>
        <v>0</v>
      </c>
      <c r="BH45">
        <f>SUMIF(ConfirmedRaw!$B:$B,$A45,ConfirmedRaw!BK:BK)</f>
        <v>0</v>
      </c>
      <c r="BI45">
        <f>SUMIF(ConfirmedRaw!$B:$B,$A45,ConfirmedRaw!BL:BL)</f>
        <v>0</v>
      </c>
      <c r="BJ45">
        <f>SUMIF(ConfirmedRaw!$B:$B,$A45,ConfirmedRaw!BM:BM)</f>
        <v>0</v>
      </c>
      <c r="BK45">
        <f>SUMIF(ConfirmedRaw!$B:$B,$A45,ConfirmedRaw!BN:BN)</f>
        <v>0</v>
      </c>
      <c r="BL45">
        <f>SUMIF(ConfirmedRaw!$B:$B,$A45,ConfirmedRaw!BO:BO)</f>
        <v>0</v>
      </c>
      <c r="BM45">
        <f>SUMIF(ConfirmedRaw!$B:$B,$A45,ConfirmedRaw!BP:BP)</f>
        <v>0</v>
      </c>
      <c r="BN45">
        <f>SUMIF(ConfirmedRaw!$B:$B,$A45,ConfirmedRaw!BQ:BQ)</f>
        <v>0</v>
      </c>
      <c r="BO45">
        <f>SUMIF(ConfirmedRaw!$B:$B,$A45,ConfirmedRaw!BR:BR)</f>
        <v>0</v>
      </c>
      <c r="BP45">
        <f>SUMIF(ConfirmedRaw!$B:$B,$A45,ConfirmedRaw!BS:BS)</f>
        <v>0</v>
      </c>
      <c r="BQ45">
        <f>SUMIF(ConfirmedRaw!$B:$B,$A45,ConfirmedRaw!BT:BT)</f>
        <v>0</v>
      </c>
      <c r="BR45">
        <f>SUMIF(ConfirmedRaw!$B:$B,$A45,ConfirmedRaw!BU:BU)</f>
        <v>0</v>
      </c>
      <c r="BS45">
        <f>SUMIF(ConfirmedRaw!$B:$B,$A45,ConfirmedRaw!BV:BV)</f>
        <v>0</v>
      </c>
      <c r="BT45">
        <f>SUMIF(ConfirmedRaw!$B:$B,$A45,ConfirmedRaw!BW:BW)</f>
        <v>0</v>
      </c>
    </row>
    <row r="46" spans="1:72" ht="15" thickBot="1" x14ac:dyDescent="0.35">
      <c r="A46" s="4" t="s">
        <v>107</v>
      </c>
      <c r="B46">
        <f>SUMIF(ConfirmedRaw!$B:$B,$A46,ConfirmedRaw!E:E)</f>
        <v>0</v>
      </c>
      <c r="C46">
        <f>SUMIF(ConfirmedRaw!$B:$B,$A46,ConfirmedRaw!F:F)</f>
        <v>0</v>
      </c>
      <c r="D46">
        <f>SUMIF(ConfirmedRaw!$B:$B,$A46,ConfirmedRaw!G:G)</f>
        <v>0</v>
      </c>
      <c r="E46">
        <f>SUMIF(ConfirmedRaw!$B:$B,$A46,ConfirmedRaw!H:H)</f>
        <v>0</v>
      </c>
      <c r="F46">
        <f>SUMIF(ConfirmedRaw!$B:$B,$A46,ConfirmedRaw!I:I)</f>
        <v>0</v>
      </c>
      <c r="G46">
        <f>SUMIF(ConfirmedRaw!$B:$B,$A46,ConfirmedRaw!J:J)</f>
        <v>0</v>
      </c>
      <c r="H46">
        <f>SUMIF(ConfirmedRaw!$B:$B,$A46,ConfirmedRaw!K:K)</f>
        <v>0</v>
      </c>
      <c r="I46">
        <f>SUMIF(ConfirmedRaw!$B:$B,$A46,ConfirmedRaw!L:L)</f>
        <v>0</v>
      </c>
      <c r="J46">
        <f>SUMIF(ConfirmedRaw!$B:$B,$A46,ConfirmedRaw!M:M)</f>
        <v>0</v>
      </c>
      <c r="K46">
        <f>SUMIF(ConfirmedRaw!$B:$B,$A46,ConfirmedRaw!N:N)</f>
        <v>0</v>
      </c>
      <c r="L46">
        <f>SUMIF(ConfirmedRaw!$B:$B,$A46,ConfirmedRaw!O:O)</f>
        <v>0</v>
      </c>
      <c r="M46">
        <f>SUMIF(ConfirmedRaw!$B:$B,$A46,ConfirmedRaw!P:P)</f>
        <v>0</v>
      </c>
      <c r="N46">
        <f>SUMIF(ConfirmedRaw!$B:$B,$A46,ConfirmedRaw!Q:Q)</f>
        <v>0</v>
      </c>
      <c r="O46">
        <f>SUMIF(ConfirmedRaw!$B:$B,$A46,ConfirmedRaw!R:R)</f>
        <v>0</v>
      </c>
      <c r="P46">
        <f>SUMIF(ConfirmedRaw!$B:$B,$A46,ConfirmedRaw!S:S)</f>
        <v>0</v>
      </c>
      <c r="Q46">
        <f>SUMIF(ConfirmedRaw!$B:$B,$A46,ConfirmedRaw!T:T)</f>
        <v>0</v>
      </c>
      <c r="R46">
        <f>SUMIF(ConfirmedRaw!$B:$B,$A46,ConfirmedRaw!U:U)</f>
        <v>0</v>
      </c>
      <c r="S46">
        <f>SUMIF(ConfirmedRaw!$B:$B,$A46,ConfirmedRaw!V:V)</f>
        <v>0</v>
      </c>
      <c r="T46">
        <f>SUMIF(ConfirmedRaw!$B:$B,$A46,ConfirmedRaw!W:W)</f>
        <v>0</v>
      </c>
      <c r="U46">
        <f>SUMIF(ConfirmedRaw!$B:$B,$A46,ConfirmedRaw!X:X)</f>
        <v>0</v>
      </c>
      <c r="V46">
        <f>SUMIF(ConfirmedRaw!$B:$B,$A46,ConfirmedRaw!Y:Y)</f>
        <v>0</v>
      </c>
      <c r="W46">
        <f>SUMIF(ConfirmedRaw!$B:$B,$A46,ConfirmedRaw!Z:Z)</f>
        <v>0</v>
      </c>
      <c r="X46">
        <f>SUMIF(ConfirmedRaw!$B:$B,$A46,ConfirmedRaw!AA:AA)</f>
        <v>0</v>
      </c>
      <c r="Y46">
        <f>SUMIF(ConfirmedRaw!$B:$B,$A46,ConfirmedRaw!AB:AB)</f>
        <v>0</v>
      </c>
      <c r="Z46">
        <f>SUMIF(ConfirmedRaw!$B:$B,$A46,ConfirmedRaw!AC:AC)</f>
        <v>0</v>
      </c>
      <c r="AA46">
        <f>SUMIF(ConfirmedRaw!$B:$B,$A46,ConfirmedRaw!AD:AD)</f>
        <v>0</v>
      </c>
      <c r="AB46">
        <f>SUMIF(ConfirmedRaw!$B:$B,$A46,ConfirmedRaw!AE:AE)</f>
        <v>0</v>
      </c>
      <c r="AC46">
        <f>SUMIF(ConfirmedRaw!$B:$B,$A46,ConfirmedRaw!AF:AF)</f>
        <v>0</v>
      </c>
      <c r="AD46">
        <f>SUMIF(ConfirmedRaw!$B:$B,$A46,ConfirmedRaw!AG:AG)</f>
        <v>0</v>
      </c>
      <c r="AE46">
        <f>SUMIF(ConfirmedRaw!$B:$B,$A46,ConfirmedRaw!AH:AH)</f>
        <v>0</v>
      </c>
      <c r="AF46">
        <f>SUMIF(ConfirmedRaw!$B:$B,$A46,ConfirmedRaw!AI:AI)</f>
        <v>0</v>
      </c>
      <c r="AG46">
        <f>SUMIF(ConfirmedRaw!$B:$B,$A46,ConfirmedRaw!AJ:AJ)</f>
        <v>0</v>
      </c>
      <c r="AH46">
        <f>SUMIF(ConfirmedRaw!$B:$B,$A46,ConfirmedRaw!AK:AK)</f>
        <v>0</v>
      </c>
      <c r="AI46">
        <f>SUMIF(ConfirmedRaw!$B:$B,$A46,ConfirmedRaw!AL:AL)</f>
        <v>0</v>
      </c>
      <c r="AJ46">
        <f>SUMIF(ConfirmedRaw!$B:$B,$A46,ConfirmedRaw!AM:AM)</f>
        <v>0</v>
      </c>
      <c r="AK46">
        <f>SUMIF(ConfirmedRaw!$B:$B,$A46,ConfirmedRaw!AN:AN)</f>
        <v>0</v>
      </c>
      <c r="AL46">
        <f>SUMIF(ConfirmedRaw!$B:$B,$A46,ConfirmedRaw!AO:AO)</f>
        <v>0</v>
      </c>
      <c r="AM46">
        <f>SUMIF(ConfirmedRaw!$B:$B,$A46,ConfirmedRaw!AP:AP)</f>
        <v>0</v>
      </c>
      <c r="AN46">
        <f>SUMIF(ConfirmedRaw!$B:$B,$A46,ConfirmedRaw!AQ:AQ)</f>
        <v>0</v>
      </c>
      <c r="AO46">
        <f>SUMIF(ConfirmedRaw!$B:$B,$A46,ConfirmedRaw!AR:AR)</f>
        <v>0</v>
      </c>
      <c r="AP46">
        <f>SUMIF(ConfirmedRaw!$B:$B,$A46,ConfirmedRaw!AS:AS)</f>
        <v>2</v>
      </c>
      <c r="AQ46">
        <f>SUMIF(ConfirmedRaw!$B:$B,$A46,ConfirmedRaw!AT:AT)</f>
        <v>2</v>
      </c>
      <c r="AR46">
        <f>SUMIF(ConfirmedRaw!$B:$B,$A46,ConfirmedRaw!AU:AU)</f>
        <v>2</v>
      </c>
      <c r="AS46">
        <f>SUMIF(ConfirmedRaw!$B:$B,$A46,ConfirmedRaw!AV:AV)</f>
        <v>2</v>
      </c>
      <c r="AT46">
        <f>SUMIF(ConfirmedRaw!$B:$B,$A46,ConfirmedRaw!AW:AW)</f>
        <v>4</v>
      </c>
      <c r="AU46">
        <f>SUMIF(ConfirmedRaw!$B:$B,$A46,ConfirmedRaw!AX:AX)</f>
        <v>4</v>
      </c>
      <c r="AV46">
        <f>SUMIF(ConfirmedRaw!$B:$B,$A46,ConfirmedRaw!AY:AY)</f>
        <v>6</v>
      </c>
      <c r="AW46">
        <f>SUMIF(ConfirmedRaw!$B:$B,$A46,ConfirmedRaw!AZ:AZ)</f>
        <v>19</v>
      </c>
      <c r="AX46">
        <f>SUMIF(ConfirmedRaw!$B:$B,$A46,ConfirmedRaw!BA:BA)</f>
        <v>27</v>
      </c>
      <c r="AY46">
        <f>SUMIF(ConfirmedRaw!$B:$B,$A46,ConfirmedRaw!BB:BB)</f>
        <v>34</v>
      </c>
      <c r="AZ46">
        <f>SUMIF(ConfirmedRaw!$B:$B,$A46,ConfirmedRaw!BC:BC)</f>
        <v>34</v>
      </c>
      <c r="BA46">
        <f>SUMIF(ConfirmedRaw!$B:$B,$A46,ConfirmedRaw!BD:BD)</f>
        <v>69</v>
      </c>
      <c r="BB46">
        <f>SUMIF(ConfirmedRaw!$B:$B,$A46,ConfirmedRaw!BE:BE)</f>
        <v>96</v>
      </c>
      <c r="BC46">
        <f>SUMIF(ConfirmedRaw!$B:$B,$A46,ConfirmedRaw!BF:BF)</f>
        <v>117</v>
      </c>
      <c r="BD46">
        <f>SUMIF(ConfirmedRaw!$B:$B,$A46,ConfirmedRaw!BG:BG)</f>
        <v>134</v>
      </c>
      <c r="BE46">
        <f>SUMIF(ConfirmedRaw!$B:$B,$A46,ConfirmedRaw!BH:BH)</f>
        <v>172</v>
      </c>
      <c r="BF46">
        <f>SUMIF(ConfirmedRaw!$B:$B,$A46,ConfirmedRaw!BI:BI)</f>
        <v>227</v>
      </c>
      <c r="BG46">
        <f>SUMIF(ConfirmedRaw!$B:$B,$A46,ConfirmedRaw!BJ:BJ)</f>
        <v>0</v>
      </c>
      <c r="BH46">
        <f>SUMIF(ConfirmedRaw!$B:$B,$A46,ConfirmedRaw!BK:BK)</f>
        <v>0</v>
      </c>
      <c r="BI46">
        <f>SUMIF(ConfirmedRaw!$B:$B,$A46,ConfirmedRaw!BL:BL)</f>
        <v>0</v>
      </c>
      <c r="BJ46">
        <f>SUMIF(ConfirmedRaw!$B:$B,$A46,ConfirmedRaw!BM:BM)</f>
        <v>0</v>
      </c>
      <c r="BK46">
        <f>SUMIF(ConfirmedRaw!$B:$B,$A46,ConfirmedRaw!BN:BN)</f>
        <v>0</v>
      </c>
      <c r="BL46">
        <f>SUMIF(ConfirmedRaw!$B:$B,$A46,ConfirmedRaw!BO:BO)</f>
        <v>0</v>
      </c>
      <c r="BM46">
        <f>SUMIF(ConfirmedRaw!$B:$B,$A46,ConfirmedRaw!BP:BP)</f>
        <v>0</v>
      </c>
      <c r="BN46">
        <f>SUMIF(ConfirmedRaw!$B:$B,$A46,ConfirmedRaw!BQ:BQ)</f>
        <v>0</v>
      </c>
      <c r="BO46">
        <f>SUMIF(ConfirmedRaw!$B:$B,$A46,ConfirmedRaw!BR:BR)</f>
        <v>0</v>
      </c>
      <c r="BP46">
        <f>SUMIF(ConfirmedRaw!$B:$B,$A46,ConfirmedRaw!BS:BS)</f>
        <v>0</v>
      </c>
      <c r="BQ46">
        <f>SUMIF(ConfirmedRaw!$B:$B,$A46,ConfirmedRaw!BT:BT)</f>
        <v>0</v>
      </c>
      <c r="BR46">
        <f>SUMIF(ConfirmedRaw!$B:$B,$A46,ConfirmedRaw!BU:BU)</f>
        <v>0</v>
      </c>
      <c r="BS46">
        <f>SUMIF(ConfirmedRaw!$B:$B,$A46,ConfirmedRaw!BV:BV)</f>
        <v>0</v>
      </c>
      <c r="BT46">
        <f>SUMIF(ConfirmedRaw!$B:$B,$A46,ConfirmedRaw!BW:BW)</f>
        <v>0</v>
      </c>
    </row>
    <row r="47" spans="1:72" ht="15" thickBot="1" x14ac:dyDescent="0.35">
      <c r="A47" s="3" t="s">
        <v>137</v>
      </c>
      <c r="B47">
        <f>SUMIF(ConfirmedRaw!$B:$B,$A47,ConfirmedRaw!E:E)</f>
        <v>0</v>
      </c>
      <c r="C47">
        <f>SUMIF(ConfirmedRaw!$B:$B,$A47,ConfirmedRaw!F:F)</f>
        <v>0</v>
      </c>
      <c r="D47">
        <f>SUMIF(ConfirmedRaw!$B:$B,$A47,ConfirmedRaw!G:G)</f>
        <v>0</v>
      </c>
      <c r="E47">
        <f>SUMIF(ConfirmedRaw!$B:$B,$A47,ConfirmedRaw!H:H)</f>
        <v>0</v>
      </c>
      <c r="F47">
        <f>SUMIF(ConfirmedRaw!$B:$B,$A47,ConfirmedRaw!I:I)</f>
        <v>0</v>
      </c>
      <c r="G47">
        <f>SUMIF(ConfirmedRaw!$B:$B,$A47,ConfirmedRaw!J:J)</f>
        <v>0</v>
      </c>
      <c r="H47">
        <f>SUMIF(ConfirmedRaw!$B:$B,$A47,ConfirmedRaw!K:K)</f>
        <v>0</v>
      </c>
      <c r="I47">
        <f>SUMIF(ConfirmedRaw!$B:$B,$A47,ConfirmedRaw!L:L)</f>
        <v>0</v>
      </c>
      <c r="J47">
        <f>SUMIF(ConfirmedRaw!$B:$B,$A47,ConfirmedRaw!M:M)</f>
        <v>0</v>
      </c>
      <c r="K47">
        <f>SUMIF(ConfirmedRaw!$B:$B,$A47,ConfirmedRaw!N:N)</f>
        <v>0</v>
      </c>
      <c r="L47">
        <f>SUMIF(ConfirmedRaw!$B:$B,$A47,ConfirmedRaw!O:O)</f>
        <v>0</v>
      </c>
      <c r="M47">
        <f>SUMIF(ConfirmedRaw!$B:$B,$A47,ConfirmedRaw!P:P)</f>
        <v>0</v>
      </c>
      <c r="N47">
        <f>SUMIF(ConfirmedRaw!$B:$B,$A47,ConfirmedRaw!Q:Q)</f>
        <v>0</v>
      </c>
      <c r="O47">
        <f>SUMIF(ConfirmedRaw!$B:$B,$A47,ConfirmedRaw!R:R)</f>
        <v>0</v>
      </c>
      <c r="P47">
        <f>SUMIF(ConfirmedRaw!$B:$B,$A47,ConfirmedRaw!S:S)</f>
        <v>0</v>
      </c>
      <c r="Q47">
        <f>SUMIF(ConfirmedRaw!$B:$B,$A47,ConfirmedRaw!T:T)</f>
        <v>0</v>
      </c>
      <c r="R47">
        <f>SUMIF(ConfirmedRaw!$B:$B,$A47,ConfirmedRaw!U:U)</f>
        <v>0</v>
      </c>
      <c r="S47">
        <f>SUMIF(ConfirmedRaw!$B:$B,$A47,ConfirmedRaw!V:V)</f>
        <v>0</v>
      </c>
      <c r="T47">
        <f>SUMIF(ConfirmedRaw!$B:$B,$A47,ConfirmedRaw!W:W)</f>
        <v>0</v>
      </c>
      <c r="U47">
        <f>SUMIF(ConfirmedRaw!$B:$B,$A47,ConfirmedRaw!X:X)</f>
        <v>0</v>
      </c>
      <c r="V47">
        <f>SUMIF(ConfirmedRaw!$B:$B,$A47,ConfirmedRaw!Y:Y)</f>
        <v>0</v>
      </c>
      <c r="W47">
        <f>SUMIF(ConfirmedRaw!$B:$B,$A47,ConfirmedRaw!Z:Z)</f>
        <v>0</v>
      </c>
      <c r="X47">
        <f>SUMIF(ConfirmedRaw!$B:$B,$A47,ConfirmedRaw!AA:AA)</f>
        <v>0</v>
      </c>
      <c r="Y47">
        <f>SUMIF(ConfirmedRaw!$B:$B,$A47,ConfirmedRaw!AB:AB)</f>
        <v>0</v>
      </c>
      <c r="Z47">
        <f>SUMIF(ConfirmedRaw!$B:$B,$A47,ConfirmedRaw!AC:AC)</f>
        <v>0</v>
      </c>
      <c r="AA47">
        <f>SUMIF(ConfirmedRaw!$B:$B,$A47,ConfirmedRaw!AD:AD)</f>
        <v>0</v>
      </c>
      <c r="AB47">
        <f>SUMIF(ConfirmedRaw!$B:$B,$A47,ConfirmedRaw!AE:AE)</f>
        <v>0</v>
      </c>
      <c r="AC47">
        <f>SUMIF(ConfirmedRaw!$B:$B,$A47,ConfirmedRaw!AF:AF)</f>
        <v>0</v>
      </c>
      <c r="AD47">
        <f>SUMIF(ConfirmedRaw!$B:$B,$A47,ConfirmedRaw!AG:AG)</f>
        <v>0</v>
      </c>
      <c r="AE47">
        <f>SUMIF(ConfirmedRaw!$B:$B,$A47,ConfirmedRaw!AH:AH)</f>
        <v>0</v>
      </c>
      <c r="AF47">
        <f>SUMIF(ConfirmedRaw!$B:$B,$A47,ConfirmedRaw!AI:AI)</f>
        <v>0</v>
      </c>
      <c r="AG47">
        <f>SUMIF(ConfirmedRaw!$B:$B,$A47,ConfirmedRaw!AJ:AJ)</f>
        <v>0</v>
      </c>
      <c r="AH47">
        <f>SUMIF(ConfirmedRaw!$B:$B,$A47,ConfirmedRaw!AK:AK)</f>
        <v>0</v>
      </c>
      <c r="AI47">
        <f>SUMIF(ConfirmedRaw!$B:$B,$A47,ConfirmedRaw!AL:AL)</f>
        <v>0</v>
      </c>
      <c r="AJ47">
        <f>SUMIF(ConfirmedRaw!$B:$B,$A47,ConfirmedRaw!AM:AM)</f>
        <v>0</v>
      </c>
      <c r="AK47">
        <f>SUMIF(ConfirmedRaw!$B:$B,$A47,ConfirmedRaw!AN:AN)</f>
        <v>0</v>
      </c>
      <c r="AL47">
        <f>SUMIF(ConfirmedRaw!$B:$B,$A47,ConfirmedRaw!AO:AO)</f>
        <v>0</v>
      </c>
      <c r="AM47">
        <f>SUMIF(ConfirmedRaw!$B:$B,$A47,ConfirmedRaw!AP:AP)</f>
        <v>0</v>
      </c>
      <c r="AN47">
        <f>SUMIF(ConfirmedRaw!$B:$B,$A47,ConfirmedRaw!AQ:AQ)</f>
        <v>0</v>
      </c>
      <c r="AO47">
        <f>SUMIF(ConfirmedRaw!$B:$B,$A47,ConfirmedRaw!AR:AR)</f>
        <v>0</v>
      </c>
      <c r="AP47">
        <f>SUMIF(ConfirmedRaw!$B:$B,$A47,ConfirmedRaw!AS:AS)</f>
        <v>0</v>
      </c>
      <c r="AQ47">
        <f>SUMIF(ConfirmedRaw!$B:$B,$A47,ConfirmedRaw!AT:AT)</f>
        <v>0</v>
      </c>
      <c r="AR47">
        <f>SUMIF(ConfirmedRaw!$B:$B,$A47,ConfirmedRaw!AU:AU)</f>
        <v>1</v>
      </c>
      <c r="AS47">
        <f>SUMIF(ConfirmedRaw!$B:$B,$A47,ConfirmedRaw!AV:AV)</f>
        <v>1</v>
      </c>
      <c r="AT47">
        <f>SUMIF(ConfirmedRaw!$B:$B,$A47,ConfirmedRaw!AW:AW)</f>
        <v>5</v>
      </c>
      <c r="AU47">
        <f>SUMIF(ConfirmedRaw!$B:$B,$A47,ConfirmedRaw!AX:AX)</f>
        <v>5</v>
      </c>
      <c r="AV47">
        <f>SUMIF(ConfirmedRaw!$B:$B,$A47,ConfirmedRaw!AY:AY)</f>
        <v>11</v>
      </c>
      <c r="AW47">
        <f>SUMIF(ConfirmedRaw!$B:$B,$A47,ConfirmedRaw!AZ:AZ)</f>
        <v>16</v>
      </c>
      <c r="AX47">
        <f>SUMIF(ConfirmedRaw!$B:$B,$A47,ConfirmedRaw!BA:BA)</f>
        <v>22</v>
      </c>
      <c r="AY47">
        <f>SUMIF(ConfirmedRaw!$B:$B,$A47,ConfirmedRaw!BB:BB)</f>
        <v>31</v>
      </c>
      <c r="AZ47">
        <f>SUMIF(ConfirmedRaw!$B:$B,$A47,ConfirmedRaw!BC:BC)</f>
        <v>49</v>
      </c>
      <c r="BA47">
        <f>SUMIF(ConfirmedRaw!$B:$B,$A47,ConfirmedRaw!BD:BD)</f>
        <v>68</v>
      </c>
      <c r="BB47">
        <f>SUMIF(ConfirmedRaw!$B:$B,$A47,ConfirmedRaw!BE:BE)</f>
        <v>103</v>
      </c>
      <c r="BC47">
        <f>SUMIF(ConfirmedRaw!$B:$B,$A47,ConfirmedRaw!BF:BF)</f>
        <v>119</v>
      </c>
      <c r="BD47">
        <f>SUMIF(ConfirmedRaw!$B:$B,$A47,ConfirmedRaw!BG:BG)</f>
        <v>177</v>
      </c>
      <c r="BE47">
        <f>SUMIF(ConfirmedRaw!$B:$B,$A47,ConfirmedRaw!BH:BH)</f>
        <v>238</v>
      </c>
      <c r="BF47">
        <f>SUMIF(ConfirmedRaw!$B:$B,$A47,ConfirmedRaw!BI:BI)</f>
        <v>251</v>
      </c>
      <c r="BG47">
        <f>SUMIF(ConfirmedRaw!$B:$B,$A47,ConfirmedRaw!BJ:BJ)</f>
        <v>0</v>
      </c>
      <c r="BH47">
        <f>SUMIF(ConfirmedRaw!$B:$B,$A47,ConfirmedRaw!BK:BK)</f>
        <v>0</v>
      </c>
      <c r="BI47">
        <f>SUMIF(ConfirmedRaw!$B:$B,$A47,ConfirmedRaw!BL:BL)</f>
        <v>0</v>
      </c>
      <c r="BJ47">
        <f>SUMIF(ConfirmedRaw!$B:$B,$A47,ConfirmedRaw!BM:BM)</f>
        <v>0</v>
      </c>
      <c r="BK47">
        <f>SUMIF(ConfirmedRaw!$B:$B,$A47,ConfirmedRaw!BN:BN)</f>
        <v>0</v>
      </c>
      <c r="BL47">
        <f>SUMIF(ConfirmedRaw!$B:$B,$A47,ConfirmedRaw!BO:BO)</f>
        <v>0</v>
      </c>
      <c r="BM47">
        <f>SUMIF(ConfirmedRaw!$B:$B,$A47,ConfirmedRaw!BP:BP)</f>
        <v>0</v>
      </c>
      <c r="BN47">
        <f>SUMIF(ConfirmedRaw!$B:$B,$A47,ConfirmedRaw!BQ:BQ)</f>
        <v>0</v>
      </c>
      <c r="BO47">
        <f>SUMIF(ConfirmedRaw!$B:$B,$A47,ConfirmedRaw!BR:BR)</f>
        <v>0</v>
      </c>
      <c r="BP47">
        <f>SUMIF(ConfirmedRaw!$B:$B,$A47,ConfirmedRaw!BS:BS)</f>
        <v>0</v>
      </c>
      <c r="BQ47">
        <f>SUMIF(ConfirmedRaw!$B:$B,$A47,ConfirmedRaw!BT:BT)</f>
        <v>0</v>
      </c>
      <c r="BR47">
        <f>SUMIF(ConfirmedRaw!$B:$B,$A47,ConfirmedRaw!BU:BU)</f>
        <v>0</v>
      </c>
      <c r="BS47">
        <f>SUMIF(ConfirmedRaw!$B:$B,$A47,ConfirmedRaw!BV:BV)</f>
        <v>0</v>
      </c>
      <c r="BT47">
        <f>SUMIF(ConfirmedRaw!$B:$B,$A47,ConfirmedRaw!BW:BW)</f>
        <v>0</v>
      </c>
    </row>
    <row r="48" spans="1:72" ht="15" thickBot="1" x14ac:dyDescent="0.35">
      <c r="A48" s="3" t="s">
        <v>56</v>
      </c>
      <c r="B48">
        <f>SUMIF(ConfirmedRaw!$B:$B,$A48,ConfirmedRaw!E:E)</f>
        <v>0</v>
      </c>
      <c r="C48">
        <f>SUMIF(ConfirmedRaw!$B:$B,$A48,ConfirmedRaw!F:F)</f>
        <v>0</v>
      </c>
      <c r="D48">
        <f>SUMIF(ConfirmedRaw!$B:$B,$A48,ConfirmedRaw!G:G)</f>
        <v>0</v>
      </c>
      <c r="E48">
        <f>SUMIF(ConfirmedRaw!$B:$B,$A48,ConfirmedRaw!H:H)</f>
        <v>0</v>
      </c>
      <c r="F48">
        <f>SUMIF(ConfirmedRaw!$B:$B,$A48,ConfirmedRaw!I:I)</f>
        <v>0</v>
      </c>
      <c r="G48">
        <f>SUMIF(ConfirmedRaw!$B:$B,$A48,ConfirmedRaw!J:J)</f>
        <v>0</v>
      </c>
      <c r="H48">
        <f>SUMIF(ConfirmedRaw!$B:$B,$A48,ConfirmedRaw!K:K)</f>
        <v>0</v>
      </c>
      <c r="I48">
        <f>SUMIF(ConfirmedRaw!$B:$B,$A48,ConfirmedRaw!L:L)</f>
        <v>0</v>
      </c>
      <c r="J48">
        <f>SUMIF(ConfirmedRaw!$B:$B,$A48,ConfirmedRaw!M:M)</f>
        <v>1</v>
      </c>
      <c r="K48">
        <f>SUMIF(ConfirmedRaw!$B:$B,$A48,ConfirmedRaw!N:N)</f>
        <v>1</v>
      </c>
      <c r="L48">
        <f>SUMIF(ConfirmedRaw!$B:$B,$A48,ConfirmedRaw!O:O)</f>
        <v>1</v>
      </c>
      <c r="M48">
        <f>SUMIF(ConfirmedRaw!$B:$B,$A48,ConfirmedRaw!P:P)</f>
        <v>2</v>
      </c>
      <c r="N48">
        <f>SUMIF(ConfirmedRaw!$B:$B,$A48,ConfirmedRaw!Q:Q)</f>
        <v>2</v>
      </c>
      <c r="O48">
        <f>SUMIF(ConfirmedRaw!$B:$B,$A48,ConfirmedRaw!R:R)</f>
        <v>2</v>
      </c>
      <c r="P48">
        <f>SUMIF(ConfirmedRaw!$B:$B,$A48,ConfirmedRaw!S:S)</f>
        <v>2</v>
      </c>
      <c r="Q48">
        <f>SUMIF(ConfirmedRaw!$B:$B,$A48,ConfirmedRaw!T:T)</f>
        <v>2</v>
      </c>
      <c r="R48">
        <f>SUMIF(ConfirmedRaw!$B:$B,$A48,ConfirmedRaw!U:U)</f>
        <v>3</v>
      </c>
      <c r="S48">
        <f>SUMIF(ConfirmedRaw!$B:$B,$A48,ConfirmedRaw!V:V)</f>
        <v>3</v>
      </c>
      <c r="T48">
        <f>SUMIF(ConfirmedRaw!$B:$B,$A48,ConfirmedRaw!W:W)</f>
        <v>3</v>
      </c>
      <c r="U48">
        <f>SUMIF(ConfirmedRaw!$B:$B,$A48,ConfirmedRaw!X:X)</f>
        <v>3</v>
      </c>
      <c r="V48">
        <f>SUMIF(ConfirmedRaw!$B:$B,$A48,ConfirmedRaw!Y:Y)</f>
        <v>3</v>
      </c>
      <c r="W48">
        <f>SUMIF(ConfirmedRaw!$B:$B,$A48,ConfirmedRaw!Z:Z)</f>
        <v>3</v>
      </c>
      <c r="X48">
        <f>SUMIF(ConfirmedRaw!$B:$B,$A48,ConfirmedRaw!AA:AA)</f>
        <v>3</v>
      </c>
      <c r="Y48">
        <f>SUMIF(ConfirmedRaw!$B:$B,$A48,ConfirmedRaw!AB:AB)</f>
        <v>3</v>
      </c>
      <c r="Z48">
        <f>SUMIF(ConfirmedRaw!$B:$B,$A48,ConfirmedRaw!AC:AC)</f>
        <v>3</v>
      </c>
      <c r="AA48">
        <f>SUMIF(ConfirmedRaw!$B:$B,$A48,ConfirmedRaw!AD:AD)</f>
        <v>3</v>
      </c>
      <c r="AB48">
        <f>SUMIF(ConfirmedRaw!$B:$B,$A48,ConfirmedRaw!AE:AE)</f>
        <v>3</v>
      </c>
      <c r="AC48">
        <f>SUMIF(ConfirmedRaw!$B:$B,$A48,ConfirmedRaw!AF:AF)</f>
        <v>3</v>
      </c>
      <c r="AD48">
        <f>SUMIF(ConfirmedRaw!$B:$B,$A48,ConfirmedRaw!AG:AG)</f>
        <v>3</v>
      </c>
      <c r="AE48">
        <f>SUMIF(ConfirmedRaw!$B:$B,$A48,ConfirmedRaw!AH:AH)</f>
        <v>3</v>
      </c>
      <c r="AF48">
        <f>SUMIF(ConfirmedRaw!$B:$B,$A48,ConfirmedRaw!AI:AI)</f>
        <v>3</v>
      </c>
      <c r="AG48">
        <f>SUMIF(ConfirmedRaw!$B:$B,$A48,ConfirmedRaw!AJ:AJ)</f>
        <v>3</v>
      </c>
      <c r="AH48">
        <f>SUMIF(ConfirmedRaw!$B:$B,$A48,ConfirmedRaw!AK:AK)</f>
        <v>3</v>
      </c>
      <c r="AI48">
        <f>SUMIF(ConfirmedRaw!$B:$B,$A48,ConfirmedRaw!AL:AL)</f>
        <v>3</v>
      </c>
      <c r="AJ48">
        <f>SUMIF(ConfirmedRaw!$B:$B,$A48,ConfirmedRaw!AM:AM)</f>
        <v>3</v>
      </c>
      <c r="AK48">
        <f>SUMIF(ConfirmedRaw!$B:$B,$A48,ConfirmedRaw!AN:AN)</f>
        <v>3</v>
      </c>
      <c r="AL48">
        <f>SUMIF(ConfirmedRaw!$B:$B,$A48,ConfirmedRaw!AO:AO)</f>
        <v>3</v>
      </c>
      <c r="AM48">
        <f>SUMIF(ConfirmedRaw!$B:$B,$A48,ConfirmedRaw!AP:AP)</f>
        <v>3</v>
      </c>
      <c r="AN48">
        <f>SUMIF(ConfirmedRaw!$B:$B,$A48,ConfirmedRaw!AQ:AQ)</f>
        <v>3</v>
      </c>
      <c r="AO48">
        <f>SUMIF(ConfirmedRaw!$B:$B,$A48,ConfirmedRaw!AR:AR)</f>
        <v>3</v>
      </c>
      <c r="AP48">
        <f>SUMIF(ConfirmedRaw!$B:$B,$A48,ConfirmedRaw!AS:AS)</f>
        <v>3</v>
      </c>
      <c r="AQ48">
        <f>SUMIF(ConfirmedRaw!$B:$B,$A48,ConfirmedRaw!AT:AT)</f>
        <v>3</v>
      </c>
      <c r="AR48">
        <f>SUMIF(ConfirmedRaw!$B:$B,$A48,ConfirmedRaw!AU:AU)</f>
        <v>3</v>
      </c>
      <c r="AS48">
        <f>SUMIF(ConfirmedRaw!$B:$B,$A48,ConfirmedRaw!AV:AV)</f>
        <v>3</v>
      </c>
      <c r="AT48">
        <f>SUMIF(ConfirmedRaw!$B:$B,$A48,ConfirmedRaw!AW:AW)</f>
        <v>5</v>
      </c>
      <c r="AU48">
        <f>SUMIF(ConfirmedRaw!$B:$B,$A48,ConfirmedRaw!AX:AX)</f>
        <v>6</v>
      </c>
      <c r="AV48">
        <f>SUMIF(ConfirmedRaw!$B:$B,$A48,ConfirmedRaw!AY:AY)</f>
        <v>10</v>
      </c>
      <c r="AW48">
        <f>SUMIF(ConfirmedRaw!$B:$B,$A48,ConfirmedRaw!AZ:AZ)</f>
        <v>20</v>
      </c>
      <c r="AX48">
        <f>SUMIF(ConfirmedRaw!$B:$B,$A48,ConfirmedRaw!BA:BA)</f>
        <v>33</v>
      </c>
      <c r="AY48">
        <f>SUMIF(ConfirmedRaw!$B:$B,$A48,ConfirmedRaw!BB:BB)</f>
        <v>49</v>
      </c>
      <c r="AZ48">
        <f>SUMIF(ConfirmedRaw!$B:$B,$A48,ConfirmedRaw!BC:BC)</f>
        <v>52</v>
      </c>
      <c r="BA48">
        <f>SUMIF(ConfirmedRaw!$B:$B,$A48,ConfirmedRaw!BD:BD)</f>
        <v>64</v>
      </c>
      <c r="BB48">
        <f>SUMIF(ConfirmedRaw!$B:$B,$A48,ConfirmedRaw!BE:BE)</f>
        <v>111</v>
      </c>
      <c r="BC48">
        <f>SUMIF(ConfirmedRaw!$B:$B,$A48,ConfirmedRaw!BF:BF)</f>
        <v>140</v>
      </c>
      <c r="BD48">
        <f>SUMIF(ConfirmedRaw!$B:$B,$A48,ConfirmedRaw!BG:BG)</f>
        <v>142</v>
      </c>
      <c r="BE48">
        <f>SUMIF(ConfirmedRaw!$B:$B,$A48,ConfirmedRaw!BH:BH)</f>
        <v>187</v>
      </c>
      <c r="BF48">
        <f>SUMIF(ConfirmedRaw!$B:$B,$A48,ConfirmedRaw!BI:BI)</f>
        <v>202</v>
      </c>
      <c r="BG48">
        <f>SUMIF(ConfirmedRaw!$B:$B,$A48,ConfirmedRaw!BJ:BJ)</f>
        <v>0</v>
      </c>
      <c r="BH48">
        <f>SUMIF(ConfirmedRaw!$B:$B,$A48,ConfirmedRaw!BK:BK)</f>
        <v>0</v>
      </c>
      <c r="BI48">
        <f>SUMIF(ConfirmedRaw!$B:$B,$A48,ConfirmedRaw!BL:BL)</f>
        <v>0</v>
      </c>
      <c r="BJ48">
        <f>SUMIF(ConfirmedRaw!$B:$B,$A48,ConfirmedRaw!BM:BM)</f>
        <v>0</v>
      </c>
      <c r="BK48">
        <f>SUMIF(ConfirmedRaw!$B:$B,$A48,ConfirmedRaw!BN:BN)</f>
        <v>0</v>
      </c>
      <c r="BL48">
        <f>SUMIF(ConfirmedRaw!$B:$B,$A48,ConfirmedRaw!BO:BO)</f>
        <v>0</v>
      </c>
      <c r="BM48">
        <f>SUMIF(ConfirmedRaw!$B:$B,$A48,ConfirmedRaw!BP:BP)</f>
        <v>0</v>
      </c>
      <c r="BN48">
        <f>SUMIF(ConfirmedRaw!$B:$B,$A48,ConfirmedRaw!BQ:BQ)</f>
        <v>0</v>
      </c>
      <c r="BO48">
        <f>SUMIF(ConfirmedRaw!$B:$B,$A48,ConfirmedRaw!BR:BR)</f>
        <v>0</v>
      </c>
      <c r="BP48">
        <f>SUMIF(ConfirmedRaw!$B:$B,$A48,ConfirmedRaw!BS:BS)</f>
        <v>0</v>
      </c>
      <c r="BQ48">
        <f>SUMIF(ConfirmedRaw!$B:$B,$A48,ConfirmedRaw!BT:BT)</f>
        <v>0</v>
      </c>
      <c r="BR48">
        <f>SUMIF(ConfirmedRaw!$B:$B,$A48,ConfirmedRaw!BU:BU)</f>
        <v>0</v>
      </c>
      <c r="BS48">
        <f>SUMIF(ConfirmedRaw!$B:$B,$A48,ConfirmedRaw!BV:BV)</f>
        <v>0</v>
      </c>
      <c r="BT48">
        <f>SUMIF(ConfirmedRaw!$B:$B,$A48,ConfirmedRaw!BW:BW)</f>
        <v>0</v>
      </c>
    </row>
    <row r="49" spans="1:72" ht="15" thickBot="1" x14ac:dyDescent="0.35">
      <c r="A49" s="3" t="s">
        <v>342</v>
      </c>
      <c r="B49">
        <f>SUMIF(ConfirmedRaw!$B:$B,$A49,ConfirmedRaw!E:E)</f>
        <v>1</v>
      </c>
      <c r="C49">
        <f>SUMIF(ConfirmedRaw!$B:$B,$A49,ConfirmedRaw!F:F)</f>
        <v>1</v>
      </c>
      <c r="D49">
        <f>SUMIF(ConfirmedRaw!$B:$B,$A49,ConfirmedRaw!G:G)</f>
        <v>3</v>
      </c>
      <c r="E49">
        <f>SUMIF(ConfirmedRaw!$B:$B,$A49,ConfirmedRaw!H:H)</f>
        <v>3</v>
      </c>
      <c r="F49">
        <f>SUMIF(ConfirmedRaw!$B:$B,$A49,ConfirmedRaw!I:I)</f>
        <v>4</v>
      </c>
      <c r="G49">
        <f>SUMIF(ConfirmedRaw!$B:$B,$A49,ConfirmedRaw!J:J)</f>
        <v>5</v>
      </c>
      <c r="H49">
        <f>SUMIF(ConfirmedRaw!$B:$B,$A49,ConfirmedRaw!K:K)</f>
        <v>8</v>
      </c>
      <c r="I49">
        <f>SUMIF(ConfirmedRaw!$B:$B,$A49,ConfirmedRaw!L:L)</f>
        <v>8</v>
      </c>
      <c r="J49">
        <f>SUMIF(ConfirmedRaw!$B:$B,$A49,ConfirmedRaw!M:M)</f>
        <v>9</v>
      </c>
      <c r="K49">
        <f>SUMIF(ConfirmedRaw!$B:$B,$A49,ConfirmedRaw!N:N)</f>
        <v>10</v>
      </c>
      <c r="L49">
        <f>SUMIF(ConfirmedRaw!$B:$B,$A49,ConfirmedRaw!O:O)</f>
        <v>10</v>
      </c>
      <c r="M49">
        <f>SUMIF(ConfirmedRaw!$B:$B,$A49,ConfirmedRaw!P:P)</f>
        <v>10</v>
      </c>
      <c r="N49">
        <f>SUMIF(ConfirmedRaw!$B:$B,$A49,ConfirmedRaw!Q:Q)</f>
        <v>10</v>
      </c>
      <c r="O49">
        <f>SUMIF(ConfirmedRaw!$B:$B,$A49,ConfirmedRaw!R:R)</f>
        <v>11</v>
      </c>
      <c r="P49">
        <f>SUMIF(ConfirmedRaw!$B:$B,$A49,ConfirmedRaw!S:S)</f>
        <v>11</v>
      </c>
      <c r="Q49">
        <f>SUMIF(ConfirmedRaw!$B:$B,$A49,ConfirmedRaw!T:T)</f>
        <v>16</v>
      </c>
      <c r="R49">
        <f>SUMIF(ConfirmedRaw!$B:$B,$A49,ConfirmedRaw!U:U)</f>
        <v>16</v>
      </c>
      <c r="S49">
        <f>SUMIF(ConfirmedRaw!$B:$B,$A49,ConfirmedRaw!V:V)</f>
        <v>17</v>
      </c>
      <c r="T49">
        <f>SUMIF(ConfirmedRaw!$B:$B,$A49,ConfirmedRaw!W:W)</f>
        <v>18</v>
      </c>
      <c r="U49">
        <f>SUMIF(ConfirmedRaw!$B:$B,$A49,ConfirmedRaw!X:X)</f>
        <v>18</v>
      </c>
      <c r="V49">
        <f>SUMIF(ConfirmedRaw!$B:$B,$A49,ConfirmedRaw!Y:Y)</f>
        <v>18</v>
      </c>
      <c r="W49">
        <f>SUMIF(ConfirmedRaw!$B:$B,$A49,ConfirmedRaw!Z:Z)</f>
        <v>18</v>
      </c>
      <c r="X49">
        <f>SUMIF(ConfirmedRaw!$B:$B,$A49,ConfirmedRaw!AA:AA)</f>
        <v>18</v>
      </c>
      <c r="Y49">
        <f>SUMIF(ConfirmedRaw!$B:$B,$A49,ConfirmedRaw!AB:AB)</f>
        <v>18</v>
      </c>
      <c r="Z49">
        <f>SUMIF(ConfirmedRaw!$B:$B,$A49,ConfirmedRaw!AC:AC)</f>
        <v>18</v>
      </c>
      <c r="AA49">
        <f>SUMIF(ConfirmedRaw!$B:$B,$A49,ConfirmedRaw!AD:AD)</f>
        <v>20</v>
      </c>
      <c r="AB49">
        <f>SUMIF(ConfirmedRaw!$B:$B,$A49,ConfirmedRaw!AE:AE)</f>
        <v>22</v>
      </c>
      <c r="AC49">
        <f>SUMIF(ConfirmedRaw!$B:$B,$A49,ConfirmedRaw!AF:AF)</f>
        <v>22</v>
      </c>
      <c r="AD49">
        <f>SUMIF(ConfirmedRaw!$B:$B,$A49,ConfirmedRaw!AG:AG)</f>
        <v>23</v>
      </c>
      <c r="AE49">
        <f>SUMIF(ConfirmedRaw!$B:$B,$A49,ConfirmedRaw!AH:AH)</f>
        <v>24</v>
      </c>
      <c r="AF49">
        <f>SUMIF(ConfirmedRaw!$B:$B,$A49,ConfirmedRaw!AI:AI)</f>
        <v>26</v>
      </c>
      <c r="AG49">
        <f>SUMIF(ConfirmedRaw!$B:$B,$A49,ConfirmedRaw!AJ:AJ)</f>
        <v>26</v>
      </c>
      <c r="AH49">
        <f>SUMIF(ConfirmedRaw!$B:$B,$A49,ConfirmedRaw!AK:AK)</f>
        <v>28</v>
      </c>
      <c r="AI49">
        <f>SUMIF(ConfirmedRaw!$B:$B,$A49,ConfirmedRaw!AL:AL)</f>
        <v>30</v>
      </c>
      <c r="AJ49">
        <f>SUMIF(ConfirmedRaw!$B:$B,$A49,ConfirmedRaw!AM:AM)</f>
        <v>31</v>
      </c>
      <c r="AK49">
        <f>SUMIF(ConfirmedRaw!$B:$B,$A49,ConfirmedRaw!AN:AN)</f>
        <v>32</v>
      </c>
      <c r="AL49">
        <f>SUMIF(ConfirmedRaw!$B:$B,$A49,ConfirmedRaw!AO:AO)</f>
        <v>32</v>
      </c>
      <c r="AM49">
        <f>SUMIF(ConfirmedRaw!$B:$B,$A49,ConfirmedRaw!AP:AP)</f>
        <v>34</v>
      </c>
      <c r="AN49">
        <f>SUMIF(ConfirmedRaw!$B:$B,$A49,ConfirmedRaw!AQ:AQ)</f>
        <v>39</v>
      </c>
      <c r="AO49">
        <f>SUMIF(ConfirmedRaw!$B:$B,$A49,ConfirmedRaw!AR:AR)</f>
        <v>40</v>
      </c>
      <c r="AP49">
        <f>SUMIF(ConfirmedRaw!$B:$B,$A49,ConfirmedRaw!AS:AS)</f>
        <v>41</v>
      </c>
      <c r="AQ49">
        <f>SUMIF(ConfirmedRaw!$B:$B,$A49,ConfirmedRaw!AT:AT)</f>
        <v>42</v>
      </c>
      <c r="AR49">
        <f>SUMIF(ConfirmedRaw!$B:$B,$A49,ConfirmedRaw!AU:AU)</f>
        <v>42</v>
      </c>
      <c r="AS49">
        <f>SUMIF(ConfirmedRaw!$B:$B,$A49,ConfirmedRaw!AV:AV)</f>
        <v>44</v>
      </c>
      <c r="AT49">
        <f>SUMIF(ConfirmedRaw!$B:$B,$A49,ConfirmedRaw!AW:AW)</f>
        <v>45</v>
      </c>
      <c r="AU49">
        <f>SUMIF(ConfirmedRaw!$B:$B,$A49,ConfirmedRaw!AX:AX)</f>
        <v>45</v>
      </c>
      <c r="AV49">
        <f>SUMIF(ConfirmedRaw!$B:$B,$A49,ConfirmedRaw!AY:AY)</f>
        <v>45</v>
      </c>
      <c r="AW49">
        <f>SUMIF(ConfirmedRaw!$B:$B,$A49,ConfirmedRaw!AZ:AZ)</f>
        <v>45</v>
      </c>
      <c r="AX49">
        <f>SUMIF(ConfirmedRaw!$B:$B,$A49,ConfirmedRaw!BA:BA)</f>
        <v>47</v>
      </c>
      <c r="AY49">
        <f>SUMIF(ConfirmedRaw!$B:$B,$A49,ConfirmedRaw!BB:BB)</f>
        <v>48</v>
      </c>
      <c r="AZ49">
        <f>SUMIF(ConfirmedRaw!$B:$B,$A49,ConfirmedRaw!BC:BC)</f>
        <v>49</v>
      </c>
      <c r="BA49">
        <f>SUMIF(ConfirmedRaw!$B:$B,$A49,ConfirmedRaw!BD:BD)</f>
        <v>50</v>
      </c>
      <c r="BB49">
        <f>SUMIF(ConfirmedRaw!$B:$B,$A49,ConfirmedRaw!BE:BE)</f>
        <v>53</v>
      </c>
      <c r="BC49">
        <f>SUMIF(ConfirmedRaw!$B:$B,$A49,ConfirmedRaw!BF:BF)</f>
        <v>59</v>
      </c>
      <c r="BD49">
        <f>SUMIF(ConfirmedRaw!$B:$B,$A49,ConfirmedRaw!BG:BG)</f>
        <v>67</v>
      </c>
      <c r="BE49">
        <f>SUMIF(ConfirmedRaw!$B:$B,$A49,ConfirmedRaw!BH:BH)</f>
        <v>77</v>
      </c>
      <c r="BF49">
        <f>SUMIF(ConfirmedRaw!$B:$B,$A49,ConfirmedRaw!BI:BI)</f>
        <v>100</v>
      </c>
      <c r="BG49">
        <f>SUMIF(ConfirmedRaw!$B:$B,$A49,ConfirmedRaw!BJ:BJ)</f>
        <v>0</v>
      </c>
      <c r="BH49">
        <f>SUMIF(ConfirmedRaw!$B:$B,$A49,ConfirmedRaw!BK:BK)</f>
        <v>0</v>
      </c>
      <c r="BI49">
        <f>SUMIF(ConfirmedRaw!$B:$B,$A49,ConfirmedRaw!BL:BL)</f>
        <v>0</v>
      </c>
      <c r="BJ49">
        <f>SUMIF(ConfirmedRaw!$B:$B,$A49,ConfirmedRaw!BM:BM)</f>
        <v>0</v>
      </c>
      <c r="BK49">
        <f>SUMIF(ConfirmedRaw!$B:$B,$A49,ConfirmedRaw!BN:BN)</f>
        <v>0</v>
      </c>
      <c r="BL49">
        <f>SUMIF(ConfirmedRaw!$B:$B,$A49,ConfirmedRaw!BO:BO)</f>
        <v>0</v>
      </c>
      <c r="BM49">
        <f>SUMIF(ConfirmedRaw!$B:$B,$A49,ConfirmedRaw!BP:BP)</f>
        <v>0</v>
      </c>
      <c r="BN49">
        <f>SUMIF(ConfirmedRaw!$B:$B,$A49,ConfirmedRaw!BQ:BQ)</f>
        <v>0</v>
      </c>
      <c r="BO49">
        <f>SUMIF(ConfirmedRaw!$B:$B,$A49,ConfirmedRaw!BR:BR)</f>
        <v>0</v>
      </c>
      <c r="BP49">
        <f>SUMIF(ConfirmedRaw!$B:$B,$A49,ConfirmedRaw!BS:BS)</f>
        <v>0</v>
      </c>
      <c r="BQ49">
        <f>SUMIF(ConfirmedRaw!$B:$B,$A49,ConfirmedRaw!BT:BT)</f>
        <v>0</v>
      </c>
      <c r="BR49">
        <f>SUMIF(ConfirmedRaw!$B:$B,$A49,ConfirmedRaw!BU:BU)</f>
        <v>0</v>
      </c>
      <c r="BS49">
        <f>SUMIF(ConfirmedRaw!$B:$B,$A49,ConfirmedRaw!BV:BV)</f>
        <v>0</v>
      </c>
      <c r="BT49">
        <f>SUMIF(ConfirmedRaw!$B:$B,$A49,ConfirmedRaw!BW:BW)</f>
        <v>0</v>
      </c>
    </row>
    <row r="50" spans="1:72" ht="15" thickBot="1" x14ac:dyDescent="0.35">
      <c r="A50" s="4" t="s">
        <v>343</v>
      </c>
      <c r="B50">
        <f>SUMIF(ConfirmedRaw!$B:$B,$A50,ConfirmedRaw!E:E)</f>
        <v>0</v>
      </c>
      <c r="C50">
        <f>SUMIF(ConfirmedRaw!$B:$B,$A50,ConfirmedRaw!F:F)</f>
        <v>2</v>
      </c>
      <c r="D50">
        <f>SUMIF(ConfirmedRaw!$B:$B,$A50,ConfirmedRaw!G:G)</f>
        <v>2</v>
      </c>
      <c r="E50">
        <f>SUMIF(ConfirmedRaw!$B:$B,$A50,ConfirmedRaw!H:H)</f>
        <v>2</v>
      </c>
      <c r="F50">
        <f>SUMIF(ConfirmedRaw!$B:$B,$A50,ConfirmedRaw!I:I)</f>
        <v>2</v>
      </c>
      <c r="G50">
        <f>SUMIF(ConfirmedRaw!$B:$B,$A50,ConfirmedRaw!J:J)</f>
        <v>2</v>
      </c>
      <c r="H50">
        <f>SUMIF(ConfirmedRaw!$B:$B,$A50,ConfirmedRaw!K:K)</f>
        <v>2</v>
      </c>
      <c r="I50">
        <f>SUMIF(ConfirmedRaw!$B:$B,$A50,ConfirmedRaw!L:L)</f>
        <v>2</v>
      </c>
      <c r="J50">
        <f>SUMIF(ConfirmedRaw!$B:$B,$A50,ConfirmedRaw!M:M)</f>
        <v>2</v>
      </c>
      <c r="K50">
        <f>SUMIF(ConfirmedRaw!$B:$B,$A50,ConfirmedRaw!N:N)</f>
        <v>2</v>
      </c>
      <c r="L50">
        <f>SUMIF(ConfirmedRaw!$B:$B,$A50,ConfirmedRaw!O:O)</f>
        <v>6</v>
      </c>
      <c r="M50">
        <f>SUMIF(ConfirmedRaw!$B:$B,$A50,ConfirmedRaw!P:P)</f>
        <v>6</v>
      </c>
      <c r="N50">
        <f>SUMIF(ConfirmedRaw!$B:$B,$A50,ConfirmedRaw!Q:Q)</f>
        <v>8</v>
      </c>
      <c r="O50">
        <f>SUMIF(ConfirmedRaw!$B:$B,$A50,ConfirmedRaw!R:R)</f>
        <v>8</v>
      </c>
      <c r="P50">
        <f>SUMIF(ConfirmedRaw!$B:$B,$A50,ConfirmedRaw!S:S)</f>
        <v>8</v>
      </c>
      <c r="Q50">
        <f>SUMIF(ConfirmedRaw!$B:$B,$A50,ConfirmedRaw!T:T)</f>
        <v>10</v>
      </c>
      <c r="R50">
        <f>SUMIF(ConfirmedRaw!$B:$B,$A50,ConfirmedRaw!U:U)</f>
        <v>10</v>
      </c>
      <c r="S50">
        <f>SUMIF(ConfirmedRaw!$B:$B,$A50,ConfirmedRaw!V:V)</f>
        <v>13</v>
      </c>
      <c r="T50">
        <f>SUMIF(ConfirmedRaw!$B:$B,$A50,ConfirmedRaw!W:W)</f>
        <v>13</v>
      </c>
      <c r="U50">
        <f>SUMIF(ConfirmedRaw!$B:$B,$A50,ConfirmedRaw!X:X)</f>
        <v>14</v>
      </c>
      <c r="V50">
        <f>SUMIF(ConfirmedRaw!$B:$B,$A50,ConfirmedRaw!Y:Y)</f>
        <v>15</v>
      </c>
      <c r="W50">
        <f>SUMIF(ConfirmedRaw!$B:$B,$A50,ConfirmedRaw!Z:Z)</f>
        <v>15</v>
      </c>
      <c r="X50">
        <f>SUMIF(ConfirmedRaw!$B:$B,$A50,ConfirmedRaw!AA:AA)</f>
        <v>16</v>
      </c>
      <c r="Y50">
        <f>SUMIF(ConfirmedRaw!$B:$B,$A50,ConfirmedRaw!AB:AB)</f>
        <v>16</v>
      </c>
      <c r="Z50">
        <f>SUMIF(ConfirmedRaw!$B:$B,$A50,ConfirmedRaw!AC:AC)</f>
        <v>16</v>
      </c>
      <c r="AA50">
        <f>SUMIF(ConfirmedRaw!$B:$B,$A50,ConfirmedRaw!AD:AD)</f>
        <v>16</v>
      </c>
      <c r="AB50">
        <f>SUMIF(ConfirmedRaw!$B:$B,$A50,ConfirmedRaw!AE:AE)</f>
        <v>16</v>
      </c>
      <c r="AC50">
        <f>SUMIF(ConfirmedRaw!$B:$B,$A50,ConfirmedRaw!AF:AF)</f>
        <v>16</v>
      </c>
      <c r="AD50">
        <f>SUMIF(ConfirmedRaw!$B:$B,$A50,ConfirmedRaw!AG:AG)</f>
        <v>16</v>
      </c>
      <c r="AE50">
        <f>SUMIF(ConfirmedRaw!$B:$B,$A50,ConfirmedRaw!AH:AH)</f>
        <v>16</v>
      </c>
      <c r="AF50">
        <f>SUMIF(ConfirmedRaw!$B:$B,$A50,ConfirmedRaw!AI:AI)</f>
        <v>16</v>
      </c>
      <c r="AG50">
        <f>SUMIF(ConfirmedRaw!$B:$B,$A50,ConfirmedRaw!AJ:AJ)</f>
        <v>16</v>
      </c>
      <c r="AH50">
        <f>SUMIF(ConfirmedRaw!$B:$B,$A50,ConfirmedRaw!AK:AK)</f>
        <v>16</v>
      </c>
      <c r="AI50">
        <f>SUMIF(ConfirmedRaw!$B:$B,$A50,ConfirmedRaw!AL:AL)</f>
        <v>16</v>
      </c>
      <c r="AJ50">
        <f>SUMIF(ConfirmedRaw!$B:$B,$A50,ConfirmedRaw!AM:AM)</f>
        <v>16</v>
      </c>
      <c r="AK50">
        <f>SUMIF(ConfirmedRaw!$B:$B,$A50,ConfirmedRaw!AN:AN)</f>
        <v>16</v>
      </c>
      <c r="AL50">
        <f>SUMIF(ConfirmedRaw!$B:$B,$A50,ConfirmedRaw!AO:AO)</f>
        <v>16</v>
      </c>
      <c r="AM50">
        <f>SUMIF(ConfirmedRaw!$B:$B,$A50,ConfirmedRaw!AP:AP)</f>
        <v>16</v>
      </c>
      <c r="AN50">
        <f>SUMIF(ConfirmedRaw!$B:$B,$A50,ConfirmedRaw!AQ:AQ)</f>
        <v>16</v>
      </c>
      <c r="AO50">
        <f>SUMIF(ConfirmedRaw!$B:$B,$A50,ConfirmedRaw!AR:AR)</f>
        <v>16</v>
      </c>
      <c r="AP50">
        <f>SUMIF(ConfirmedRaw!$B:$B,$A50,ConfirmedRaw!AS:AS)</f>
        <v>16</v>
      </c>
      <c r="AQ50">
        <f>SUMIF(ConfirmedRaw!$B:$B,$A50,ConfirmedRaw!AT:AT)</f>
        <v>16</v>
      </c>
      <c r="AR50">
        <f>SUMIF(ConfirmedRaw!$B:$B,$A50,ConfirmedRaw!AU:AU)</f>
        <v>16</v>
      </c>
      <c r="AS50">
        <f>SUMIF(ConfirmedRaw!$B:$B,$A50,ConfirmedRaw!AV:AV)</f>
        <v>16</v>
      </c>
      <c r="AT50">
        <f>SUMIF(ConfirmedRaw!$B:$B,$A50,ConfirmedRaw!AW:AW)</f>
        <v>16</v>
      </c>
      <c r="AU50">
        <f>SUMIF(ConfirmedRaw!$B:$B,$A50,ConfirmedRaw!AX:AX)</f>
        <v>18</v>
      </c>
      <c r="AV50">
        <f>SUMIF(ConfirmedRaw!$B:$B,$A50,ConfirmedRaw!AY:AY)</f>
        <v>30</v>
      </c>
      <c r="AW50">
        <f>SUMIF(ConfirmedRaw!$B:$B,$A50,ConfirmedRaw!AZ:AZ)</f>
        <v>30</v>
      </c>
      <c r="AX50">
        <f>SUMIF(ConfirmedRaw!$B:$B,$A50,ConfirmedRaw!BA:BA)</f>
        <v>31</v>
      </c>
      <c r="AY50">
        <f>SUMIF(ConfirmedRaw!$B:$B,$A50,ConfirmedRaw!BB:BB)</f>
        <v>38</v>
      </c>
      <c r="AZ50">
        <f>SUMIF(ConfirmedRaw!$B:$B,$A50,ConfirmedRaw!BC:BC)</f>
        <v>39</v>
      </c>
      <c r="BA50">
        <f>SUMIF(ConfirmedRaw!$B:$B,$A50,ConfirmedRaw!BD:BD)</f>
        <v>47</v>
      </c>
      <c r="BB50">
        <f>SUMIF(ConfirmedRaw!$B:$B,$A50,ConfirmedRaw!BE:BE)</f>
        <v>53</v>
      </c>
      <c r="BC50">
        <f>SUMIF(ConfirmedRaw!$B:$B,$A50,ConfirmedRaw!BF:BF)</f>
        <v>56</v>
      </c>
      <c r="BD50">
        <f>SUMIF(ConfirmedRaw!$B:$B,$A50,ConfirmedRaw!BG:BG)</f>
        <v>61</v>
      </c>
      <c r="BE50">
        <f>SUMIF(ConfirmedRaw!$B:$B,$A50,ConfirmedRaw!BH:BH)</f>
        <v>66</v>
      </c>
      <c r="BF50">
        <f>SUMIF(ConfirmedRaw!$B:$B,$A50,ConfirmedRaw!BI:BI)</f>
        <v>75</v>
      </c>
      <c r="BG50">
        <f>SUMIF(ConfirmedRaw!$B:$B,$A50,ConfirmedRaw!BJ:BJ)</f>
        <v>0</v>
      </c>
      <c r="BH50">
        <f>SUMIF(ConfirmedRaw!$B:$B,$A50,ConfirmedRaw!BK:BK)</f>
        <v>0</v>
      </c>
      <c r="BI50">
        <f>SUMIF(ConfirmedRaw!$B:$B,$A50,ConfirmedRaw!BL:BL)</f>
        <v>0</v>
      </c>
      <c r="BJ50">
        <f>SUMIF(ConfirmedRaw!$B:$B,$A50,ConfirmedRaw!BM:BM)</f>
        <v>0</v>
      </c>
      <c r="BK50">
        <f>SUMIF(ConfirmedRaw!$B:$B,$A50,ConfirmedRaw!BN:BN)</f>
        <v>0</v>
      </c>
      <c r="BL50">
        <f>SUMIF(ConfirmedRaw!$B:$B,$A50,ConfirmedRaw!BO:BO)</f>
        <v>0</v>
      </c>
      <c r="BM50">
        <f>SUMIF(ConfirmedRaw!$B:$B,$A50,ConfirmedRaw!BP:BP)</f>
        <v>0</v>
      </c>
      <c r="BN50">
        <f>SUMIF(ConfirmedRaw!$B:$B,$A50,ConfirmedRaw!BQ:BQ)</f>
        <v>0</v>
      </c>
      <c r="BO50">
        <f>SUMIF(ConfirmedRaw!$B:$B,$A50,ConfirmedRaw!BR:BR)</f>
        <v>0</v>
      </c>
      <c r="BP50">
        <f>SUMIF(ConfirmedRaw!$B:$B,$A50,ConfirmedRaw!BS:BS)</f>
        <v>0</v>
      </c>
      <c r="BQ50">
        <f>SUMIF(ConfirmedRaw!$B:$B,$A50,ConfirmedRaw!BT:BT)</f>
        <v>0</v>
      </c>
      <c r="BR50">
        <f>SUMIF(ConfirmedRaw!$B:$B,$A50,ConfirmedRaw!BU:BU)</f>
        <v>0</v>
      </c>
      <c r="BS50">
        <f>SUMIF(ConfirmedRaw!$B:$B,$A50,ConfirmedRaw!BV:BV)</f>
        <v>0</v>
      </c>
      <c r="BT50">
        <f>SUMIF(ConfirmedRaw!$B:$B,$A50,ConfirmedRaw!BW:BW)</f>
        <v>0</v>
      </c>
    </row>
    <row r="51" spans="1:72" ht="15" thickBot="1" x14ac:dyDescent="0.35">
      <c r="A51" s="3" t="s">
        <v>344</v>
      </c>
      <c r="B51">
        <f>SUMIF(ConfirmedRaw!$B:$B,$A51,ConfirmedRaw!E:E)</f>
        <v>0</v>
      </c>
      <c r="C51">
        <f>SUMIF(ConfirmedRaw!$B:$B,$A51,ConfirmedRaw!F:F)</f>
        <v>0</v>
      </c>
      <c r="D51">
        <f>SUMIF(ConfirmedRaw!$B:$B,$A51,ConfirmedRaw!G:G)</f>
        <v>0</v>
      </c>
      <c r="E51">
        <f>SUMIF(ConfirmedRaw!$B:$B,$A51,ConfirmedRaw!H:H)</f>
        <v>0</v>
      </c>
      <c r="F51">
        <f>SUMIF(ConfirmedRaw!$B:$B,$A51,ConfirmedRaw!I:I)</f>
        <v>0</v>
      </c>
      <c r="G51">
        <f>SUMIF(ConfirmedRaw!$B:$B,$A51,ConfirmedRaw!J:J)</f>
        <v>0</v>
      </c>
      <c r="H51">
        <f>SUMIF(ConfirmedRaw!$B:$B,$A51,ConfirmedRaw!K:K)</f>
        <v>0</v>
      </c>
      <c r="I51">
        <f>SUMIF(ConfirmedRaw!$B:$B,$A51,ConfirmedRaw!L:L)</f>
        <v>0</v>
      </c>
      <c r="J51">
        <f>SUMIF(ConfirmedRaw!$B:$B,$A51,ConfirmedRaw!M:M)</f>
        <v>0</v>
      </c>
      <c r="K51">
        <f>SUMIF(ConfirmedRaw!$B:$B,$A51,ConfirmedRaw!N:N)</f>
        <v>2</v>
      </c>
      <c r="L51">
        <f>SUMIF(ConfirmedRaw!$B:$B,$A51,ConfirmedRaw!O:O)</f>
        <v>2</v>
      </c>
      <c r="M51">
        <f>SUMIF(ConfirmedRaw!$B:$B,$A51,ConfirmedRaw!P:P)</f>
        <v>2</v>
      </c>
      <c r="N51">
        <f>SUMIF(ConfirmedRaw!$B:$B,$A51,ConfirmedRaw!Q:Q)</f>
        <v>2</v>
      </c>
      <c r="O51">
        <f>SUMIF(ConfirmedRaw!$B:$B,$A51,ConfirmedRaw!R:R)</f>
        <v>2</v>
      </c>
      <c r="P51">
        <f>SUMIF(ConfirmedRaw!$B:$B,$A51,ConfirmedRaw!S:S)</f>
        <v>2</v>
      </c>
      <c r="Q51">
        <f>SUMIF(ConfirmedRaw!$B:$B,$A51,ConfirmedRaw!T:T)</f>
        <v>2</v>
      </c>
      <c r="R51">
        <f>SUMIF(ConfirmedRaw!$B:$B,$A51,ConfirmedRaw!U:U)</f>
        <v>2</v>
      </c>
      <c r="S51">
        <f>SUMIF(ConfirmedRaw!$B:$B,$A51,ConfirmedRaw!V:V)</f>
        <v>2</v>
      </c>
      <c r="T51">
        <f>SUMIF(ConfirmedRaw!$B:$B,$A51,ConfirmedRaw!W:W)</f>
        <v>2</v>
      </c>
      <c r="U51">
        <f>SUMIF(ConfirmedRaw!$B:$B,$A51,ConfirmedRaw!X:X)</f>
        <v>2</v>
      </c>
      <c r="V51">
        <f>SUMIF(ConfirmedRaw!$B:$B,$A51,ConfirmedRaw!Y:Y)</f>
        <v>2</v>
      </c>
      <c r="W51">
        <f>SUMIF(ConfirmedRaw!$B:$B,$A51,ConfirmedRaw!Z:Z)</f>
        <v>2</v>
      </c>
      <c r="X51">
        <f>SUMIF(ConfirmedRaw!$B:$B,$A51,ConfirmedRaw!AA:AA)</f>
        <v>2</v>
      </c>
      <c r="Y51">
        <f>SUMIF(ConfirmedRaw!$B:$B,$A51,ConfirmedRaw!AB:AB)</f>
        <v>2</v>
      </c>
      <c r="Z51">
        <f>SUMIF(ConfirmedRaw!$B:$B,$A51,ConfirmedRaw!AC:AC)</f>
        <v>2</v>
      </c>
      <c r="AA51">
        <f>SUMIF(ConfirmedRaw!$B:$B,$A51,ConfirmedRaw!AD:AD)</f>
        <v>2</v>
      </c>
      <c r="AB51">
        <f>SUMIF(ConfirmedRaw!$B:$B,$A51,ConfirmedRaw!AE:AE)</f>
        <v>2</v>
      </c>
      <c r="AC51">
        <f>SUMIF(ConfirmedRaw!$B:$B,$A51,ConfirmedRaw!AF:AF)</f>
        <v>2</v>
      </c>
      <c r="AD51">
        <f>SUMIF(ConfirmedRaw!$B:$B,$A51,ConfirmedRaw!AG:AG)</f>
        <v>2</v>
      </c>
      <c r="AE51">
        <f>SUMIF(ConfirmedRaw!$B:$B,$A51,ConfirmedRaw!AH:AH)</f>
        <v>2</v>
      </c>
      <c r="AF51">
        <f>SUMIF(ConfirmedRaw!$B:$B,$A51,ConfirmedRaw!AI:AI)</f>
        <v>2</v>
      </c>
      <c r="AG51">
        <f>SUMIF(ConfirmedRaw!$B:$B,$A51,ConfirmedRaw!AJ:AJ)</f>
        <v>2</v>
      </c>
      <c r="AH51">
        <f>SUMIF(ConfirmedRaw!$B:$B,$A51,ConfirmedRaw!AK:AK)</f>
        <v>2</v>
      </c>
      <c r="AI51">
        <f>SUMIF(ConfirmedRaw!$B:$B,$A51,ConfirmedRaw!AL:AL)</f>
        <v>2</v>
      </c>
      <c r="AJ51">
        <f>SUMIF(ConfirmedRaw!$B:$B,$A51,ConfirmedRaw!AM:AM)</f>
        <v>2</v>
      </c>
      <c r="AK51">
        <f>SUMIF(ConfirmedRaw!$B:$B,$A51,ConfirmedRaw!AN:AN)</f>
        <v>2</v>
      </c>
      <c r="AL51">
        <f>SUMIF(ConfirmedRaw!$B:$B,$A51,ConfirmedRaw!AO:AO)</f>
        <v>2</v>
      </c>
      <c r="AM51">
        <f>SUMIF(ConfirmedRaw!$B:$B,$A51,ConfirmedRaw!AP:AP)</f>
        <v>2</v>
      </c>
      <c r="AN51">
        <f>SUMIF(ConfirmedRaw!$B:$B,$A51,ConfirmedRaw!AQ:AQ)</f>
        <v>2</v>
      </c>
      <c r="AO51">
        <f>SUMIF(ConfirmedRaw!$B:$B,$A51,ConfirmedRaw!AR:AR)</f>
        <v>2</v>
      </c>
      <c r="AP51">
        <f>SUMIF(ConfirmedRaw!$B:$B,$A51,ConfirmedRaw!AS:AS)</f>
        <v>3</v>
      </c>
      <c r="AQ51">
        <f>SUMIF(ConfirmedRaw!$B:$B,$A51,ConfirmedRaw!AT:AT)</f>
        <v>3</v>
      </c>
      <c r="AR51">
        <f>SUMIF(ConfirmedRaw!$B:$B,$A51,ConfirmedRaw!AU:AU)</f>
        <v>3</v>
      </c>
      <c r="AS51">
        <f>SUMIF(ConfirmedRaw!$B:$B,$A51,ConfirmedRaw!AV:AV)</f>
        <v>4</v>
      </c>
      <c r="AT51">
        <f>SUMIF(ConfirmedRaw!$B:$B,$A51,ConfirmedRaw!AW:AW)</f>
        <v>13</v>
      </c>
      <c r="AU51">
        <f>SUMIF(ConfirmedRaw!$B:$B,$A51,ConfirmedRaw!AX:AX)</f>
        <v>13</v>
      </c>
      <c r="AV51">
        <f>SUMIF(ConfirmedRaw!$B:$B,$A51,ConfirmedRaw!AY:AY)</f>
        <v>17</v>
      </c>
      <c r="AW51">
        <f>SUMIF(ConfirmedRaw!$B:$B,$A51,ConfirmedRaw!AZ:AZ)</f>
        <v>17</v>
      </c>
      <c r="AX51">
        <f>SUMIF(ConfirmedRaw!$B:$B,$A51,ConfirmedRaw!BA:BA)</f>
        <v>20</v>
      </c>
      <c r="AY51">
        <f>SUMIF(ConfirmedRaw!$B:$B,$A51,ConfirmedRaw!BB:BB)</f>
        <v>20</v>
      </c>
      <c r="AZ51">
        <f>SUMIF(ConfirmedRaw!$B:$B,$A51,ConfirmedRaw!BC:BC)</f>
        <v>28</v>
      </c>
      <c r="BA51">
        <f>SUMIF(ConfirmedRaw!$B:$B,$A51,ConfirmedRaw!BD:BD)</f>
        <v>45</v>
      </c>
      <c r="BB51">
        <f>SUMIF(ConfirmedRaw!$B:$B,$A51,ConfirmedRaw!BE:BE)</f>
        <v>59</v>
      </c>
      <c r="BC51">
        <f>SUMIF(ConfirmedRaw!$B:$B,$A51,ConfirmedRaw!BF:BF)</f>
        <v>63</v>
      </c>
      <c r="BD51">
        <f>SUMIF(ConfirmedRaw!$B:$B,$A51,ConfirmedRaw!BG:BG)</f>
        <v>90</v>
      </c>
      <c r="BE51">
        <f>SUMIF(ConfirmedRaw!$B:$B,$A51,ConfirmedRaw!BH:BH)</f>
        <v>114</v>
      </c>
      <c r="BF51">
        <f>SUMIF(ConfirmedRaw!$B:$B,$A51,ConfirmedRaw!BI:BI)</f>
        <v>147</v>
      </c>
      <c r="BG51">
        <f>SUMIF(ConfirmedRaw!$B:$B,$A51,ConfirmedRaw!BJ:BJ)</f>
        <v>0</v>
      </c>
      <c r="BH51">
        <f>SUMIF(ConfirmedRaw!$B:$B,$A51,ConfirmedRaw!BK:BK)</f>
        <v>0</v>
      </c>
      <c r="BI51">
        <f>SUMIF(ConfirmedRaw!$B:$B,$A51,ConfirmedRaw!BL:BL)</f>
        <v>0</v>
      </c>
      <c r="BJ51">
        <f>SUMIF(ConfirmedRaw!$B:$B,$A51,ConfirmedRaw!BM:BM)</f>
        <v>0</v>
      </c>
      <c r="BK51">
        <f>SUMIF(ConfirmedRaw!$B:$B,$A51,ConfirmedRaw!BN:BN)</f>
        <v>0</v>
      </c>
      <c r="BL51">
        <f>SUMIF(ConfirmedRaw!$B:$B,$A51,ConfirmedRaw!BO:BO)</f>
        <v>0</v>
      </c>
      <c r="BM51">
        <f>SUMIF(ConfirmedRaw!$B:$B,$A51,ConfirmedRaw!BP:BP)</f>
        <v>0</v>
      </c>
      <c r="BN51">
        <f>SUMIF(ConfirmedRaw!$B:$B,$A51,ConfirmedRaw!BQ:BQ)</f>
        <v>0</v>
      </c>
      <c r="BO51">
        <f>SUMIF(ConfirmedRaw!$B:$B,$A51,ConfirmedRaw!BR:BR)</f>
        <v>0</v>
      </c>
      <c r="BP51">
        <f>SUMIF(ConfirmedRaw!$B:$B,$A51,ConfirmedRaw!BS:BS)</f>
        <v>0</v>
      </c>
      <c r="BQ51">
        <f>SUMIF(ConfirmedRaw!$B:$B,$A51,ConfirmedRaw!BT:BT)</f>
        <v>0</v>
      </c>
      <c r="BR51">
        <f>SUMIF(ConfirmedRaw!$B:$B,$A51,ConfirmedRaw!BU:BU)</f>
        <v>0</v>
      </c>
      <c r="BS51">
        <f>SUMIF(ConfirmedRaw!$B:$B,$A51,ConfirmedRaw!BV:BV)</f>
        <v>0</v>
      </c>
      <c r="BT51">
        <f>SUMIF(ConfirmedRaw!$B:$B,$A51,ConfirmedRaw!BW:BW)</f>
        <v>0</v>
      </c>
    </row>
    <row r="52" spans="1:72" ht="15" thickBot="1" x14ac:dyDescent="0.35">
      <c r="A52" s="3" t="s">
        <v>124</v>
      </c>
      <c r="B52">
        <f>SUMIF(ConfirmedRaw!$B:$B,$A52,ConfirmedRaw!E:E)</f>
        <v>0</v>
      </c>
      <c r="C52">
        <f>SUMIF(ConfirmedRaw!$B:$B,$A52,ConfirmedRaw!F:F)</f>
        <v>0</v>
      </c>
      <c r="D52">
        <f>SUMIF(ConfirmedRaw!$B:$B,$A52,ConfirmedRaw!G:G)</f>
        <v>0</v>
      </c>
      <c r="E52">
        <f>SUMIF(ConfirmedRaw!$B:$B,$A52,ConfirmedRaw!H:H)</f>
        <v>0</v>
      </c>
      <c r="F52">
        <f>SUMIF(ConfirmedRaw!$B:$B,$A52,ConfirmedRaw!I:I)</f>
        <v>0</v>
      </c>
      <c r="G52">
        <f>SUMIF(ConfirmedRaw!$B:$B,$A52,ConfirmedRaw!J:J)</f>
        <v>0</v>
      </c>
      <c r="H52">
        <f>SUMIF(ConfirmedRaw!$B:$B,$A52,ConfirmedRaw!K:K)</f>
        <v>0</v>
      </c>
      <c r="I52">
        <f>SUMIF(ConfirmedRaw!$B:$B,$A52,ConfirmedRaw!L:L)</f>
        <v>0</v>
      </c>
      <c r="J52">
        <f>SUMIF(ConfirmedRaw!$B:$B,$A52,ConfirmedRaw!M:M)</f>
        <v>0</v>
      </c>
      <c r="K52">
        <f>SUMIF(ConfirmedRaw!$B:$B,$A52,ConfirmedRaw!N:N)</f>
        <v>0</v>
      </c>
      <c r="L52">
        <f>SUMIF(ConfirmedRaw!$B:$B,$A52,ConfirmedRaw!O:O)</f>
        <v>0</v>
      </c>
      <c r="M52">
        <f>SUMIF(ConfirmedRaw!$B:$B,$A52,ConfirmedRaw!P:P)</f>
        <v>0</v>
      </c>
      <c r="N52">
        <f>SUMIF(ConfirmedRaw!$B:$B,$A52,ConfirmedRaw!Q:Q)</f>
        <v>0</v>
      </c>
      <c r="O52">
        <f>SUMIF(ConfirmedRaw!$B:$B,$A52,ConfirmedRaw!R:R)</f>
        <v>0</v>
      </c>
      <c r="P52">
        <f>SUMIF(ConfirmedRaw!$B:$B,$A52,ConfirmedRaw!S:S)</f>
        <v>0</v>
      </c>
      <c r="Q52">
        <f>SUMIF(ConfirmedRaw!$B:$B,$A52,ConfirmedRaw!T:T)</f>
        <v>0</v>
      </c>
      <c r="R52">
        <f>SUMIF(ConfirmedRaw!$B:$B,$A52,ConfirmedRaw!U:U)</f>
        <v>0</v>
      </c>
      <c r="S52">
        <f>SUMIF(ConfirmedRaw!$B:$B,$A52,ConfirmedRaw!V:V)</f>
        <v>0</v>
      </c>
      <c r="T52">
        <f>SUMIF(ConfirmedRaw!$B:$B,$A52,ConfirmedRaw!W:W)</f>
        <v>0</v>
      </c>
      <c r="U52">
        <f>SUMIF(ConfirmedRaw!$B:$B,$A52,ConfirmedRaw!X:X)</f>
        <v>0</v>
      </c>
      <c r="V52">
        <f>SUMIF(ConfirmedRaw!$B:$B,$A52,ConfirmedRaw!Y:Y)</f>
        <v>0</v>
      </c>
      <c r="W52">
        <f>SUMIF(ConfirmedRaw!$B:$B,$A52,ConfirmedRaw!Z:Z)</f>
        <v>0</v>
      </c>
      <c r="X52">
        <f>SUMIF(ConfirmedRaw!$B:$B,$A52,ConfirmedRaw!AA:AA)</f>
        <v>0</v>
      </c>
      <c r="Y52">
        <f>SUMIF(ConfirmedRaw!$B:$B,$A52,ConfirmedRaw!AB:AB)</f>
        <v>0</v>
      </c>
      <c r="Z52">
        <f>SUMIF(ConfirmedRaw!$B:$B,$A52,ConfirmedRaw!AC:AC)</f>
        <v>0</v>
      </c>
      <c r="AA52">
        <f>SUMIF(ConfirmedRaw!$B:$B,$A52,ConfirmedRaw!AD:AD)</f>
        <v>0</v>
      </c>
      <c r="AB52">
        <f>SUMIF(ConfirmedRaw!$B:$B,$A52,ConfirmedRaw!AE:AE)</f>
        <v>0</v>
      </c>
      <c r="AC52">
        <f>SUMIF(ConfirmedRaw!$B:$B,$A52,ConfirmedRaw!AF:AF)</f>
        <v>0</v>
      </c>
      <c r="AD52">
        <f>SUMIF(ConfirmedRaw!$B:$B,$A52,ConfirmedRaw!AG:AG)</f>
        <v>0</v>
      </c>
      <c r="AE52">
        <f>SUMIF(ConfirmedRaw!$B:$B,$A52,ConfirmedRaw!AH:AH)</f>
        <v>0</v>
      </c>
      <c r="AF52">
        <f>SUMIF(ConfirmedRaw!$B:$B,$A52,ConfirmedRaw!AI:AI)</f>
        <v>0</v>
      </c>
      <c r="AG52">
        <f>SUMIF(ConfirmedRaw!$B:$B,$A52,ConfirmedRaw!AJ:AJ)</f>
        <v>0</v>
      </c>
      <c r="AH52">
        <f>SUMIF(ConfirmedRaw!$B:$B,$A52,ConfirmedRaw!AK:AK)</f>
        <v>0</v>
      </c>
      <c r="AI52">
        <f>SUMIF(ConfirmedRaw!$B:$B,$A52,ConfirmedRaw!AL:AL)</f>
        <v>0</v>
      </c>
      <c r="AJ52">
        <f>SUMIF(ConfirmedRaw!$B:$B,$A52,ConfirmedRaw!AM:AM)</f>
        <v>0</v>
      </c>
      <c r="AK52">
        <f>SUMIF(ConfirmedRaw!$B:$B,$A52,ConfirmedRaw!AN:AN)</f>
        <v>0</v>
      </c>
      <c r="AL52">
        <f>SUMIF(ConfirmedRaw!$B:$B,$A52,ConfirmedRaw!AO:AO)</f>
        <v>0</v>
      </c>
      <c r="AM52">
        <f>SUMIF(ConfirmedRaw!$B:$B,$A52,ConfirmedRaw!AP:AP)</f>
        <v>0</v>
      </c>
      <c r="AN52">
        <f>SUMIF(ConfirmedRaw!$B:$B,$A52,ConfirmedRaw!AQ:AQ)</f>
        <v>0</v>
      </c>
      <c r="AO52">
        <f>SUMIF(ConfirmedRaw!$B:$B,$A52,ConfirmedRaw!AR:AR)</f>
        <v>0</v>
      </c>
      <c r="AP52">
        <f>SUMIF(ConfirmedRaw!$B:$B,$A52,ConfirmedRaw!AS:AS)</f>
        <v>0</v>
      </c>
      <c r="AQ52">
        <f>SUMIF(ConfirmedRaw!$B:$B,$A52,ConfirmedRaw!AT:AT)</f>
        <v>1</v>
      </c>
      <c r="AR52">
        <f>SUMIF(ConfirmedRaw!$B:$B,$A52,ConfirmedRaw!AU:AU)</f>
        <v>1</v>
      </c>
      <c r="AS52">
        <f>SUMIF(ConfirmedRaw!$B:$B,$A52,ConfirmedRaw!AV:AV)</f>
        <v>4</v>
      </c>
      <c r="AT52">
        <f>SUMIF(ConfirmedRaw!$B:$B,$A52,ConfirmedRaw!AW:AW)</f>
        <v>4</v>
      </c>
      <c r="AU52">
        <f>SUMIF(ConfirmedRaw!$B:$B,$A52,ConfirmedRaw!AX:AX)</f>
        <v>4</v>
      </c>
      <c r="AV52">
        <f>SUMIF(ConfirmedRaw!$B:$B,$A52,ConfirmedRaw!AY:AY)</f>
        <v>8</v>
      </c>
      <c r="AW52">
        <f>SUMIF(ConfirmedRaw!$B:$B,$A52,ConfirmedRaw!AZ:AZ)</f>
        <v>8</v>
      </c>
      <c r="AX52">
        <f>SUMIF(ConfirmedRaw!$B:$B,$A52,ConfirmedRaw!BA:BA)</f>
        <v>13</v>
      </c>
      <c r="AY52">
        <f>SUMIF(ConfirmedRaw!$B:$B,$A52,ConfirmedRaw!BB:BB)</f>
        <v>23</v>
      </c>
      <c r="AZ52">
        <f>SUMIF(ConfirmedRaw!$B:$B,$A52,ConfirmedRaw!BC:BC)</f>
        <v>23</v>
      </c>
      <c r="BA52">
        <f>SUMIF(ConfirmedRaw!$B:$B,$A52,ConfirmedRaw!BD:BD)</f>
        <v>43</v>
      </c>
      <c r="BB52">
        <f>SUMIF(ConfirmedRaw!$B:$B,$A52,ConfirmedRaw!BE:BE)</f>
        <v>61</v>
      </c>
      <c r="BC52">
        <f>SUMIF(ConfirmedRaw!$B:$B,$A52,ConfirmedRaw!BF:BF)</f>
        <v>74</v>
      </c>
      <c r="BD52">
        <f>SUMIF(ConfirmedRaw!$B:$B,$A52,ConfirmedRaw!BG:BG)</f>
        <v>155</v>
      </c>
      <c r="BE52">
        <f>SUMIF(ConfirmedRaw!$B:$B,$A52,ConfirmedRaw!BH:BH)</f>
        <v>201</v>
      </c>
      <c r="BF52">
        <f>SUMIF(ConfirmedRaw!$B:$B,$A52,ConfirmedRaw!BI:BI)</f>
        <v>238</v>
      </c>
      <c r="BG52">
        <f>SUMIF(ConfirmedRaw!$B:$B,$A52,ConfirmedRaw!BJ:BJ)</f>
        <v>0</v>
      </c>
      <c r="BH52">
        <f>SUMIF(ConfirmedRaw!$B:$B,$A52,ConfirmedRaw!BK:BK)</f>
        <v>0</v>
      </c>
      <c r="BI52">
        <f>SUMIF(ConfirmedRaw!$B:$B,$A52,ConfirmedRaw!BL:BL)</f>
        <v>0</v>
      </c>
      <c r="BJ52">
        <f>SUMIF(ConfirmedRaw!$B:$B,$A52,ConfirmedRaw!BM:BM)</f>
        <v>0</v>
      </c>
      <c r="BK52">
        <f>SUMIF(ConfirmedRaw!$B:$B,$A52,ConfirmedRaw!BN:BN)</f>
        <v>0</v>
      </c>
      <c r="BL52">
        <f>SUMIF(ConfirmedRaw!$B:$B,$A52,ConfirmedRaw!BO:BO)</f>
        <v>0</v>
      </c>
      <c r="BM52">
        <f>SUMIF(ConfirmedRaw!$B:$B,$A52,ConfirmedRaw!BP:BP)</f>
        <v>0</v>
      </c>
      <c r="BN52">
        <f>SUMIF(ConfirmedRaw!$B:$B,$A52,ConfirmedRaw!BQ:BQ)</f>
        <v>0</v>
      </c>
      <c r="BO52">
        <f>SUMIF(ConfirmedRaw!$B:$B,$A52,ConfirmedRaw!BR:BR)</f>
        <v>0</v>
      </c>
      <c r="BP52">
        <f>SUMIF(ConfirmedRaw!$B:$B,$A52,ConfirmedRaw!BS:BS)</f>
        <v>0</v>
      </c>
      <c r="BQ52">
        <f>SUMIF(ConfirmedRaw!$B:$B,$A52,ConfirmedRaw!BT:BT)</f>
        <v>0</v>
      </c>
      <c r="BR52">
        <f>SUMIF(ConfirmedRaw!$B:$B,$A52,ConfirmedRaw!BU:BU)</f>
        <v>0</v>
      </c>
      <c r="BS52">
        <f>SUMIF(ConfirmedRaw!$B:$B,$A52,ConfirmedRaw!BV:BV)</f>
        <v>0</v>
      </c>
      <c r="BT52">
        <f>SUMIF(ConfirmedRaw!$B:$B,$A52,ConfirmedRaw!BW:BW)</f>
        <v>0</v>
      </c>
    </row>
    <row r="53" spans="1:72" ht="15" thickBot="1" x14ac:dyDescent="0.35">
      <c r="A53" s="4" t="s">
        <v>233</v>
      </c>
      <c r="B53">
        <f>SUMIF(ConfirmedRaw!$B:$B,$A53,ConfirmedRaw!E:E)</f>
        <v>0</v>
      </c>
      <c r="C53">
        <f>SUMIF(ConfirmedRaw!$B:$B,$A53,ConfirmedRaw!F:F)</f>
        <v>0</v>
      </c>
      <c r="D53">
        <f>SUMIF(ConfirmedRaw!$B:$B,$A53,ConfirmedRaw!G:G)</f>
        <v>0</v>
      </c>
      <c r="E53">
        <f>SUMIF(ConfirmedRaw!$B:$B,$A53,ConfirmedRaw!H:H)</f>
        <v>0</v>
      </c>
      <c r="F53">
        <f>SUMIF(ConfirmedRaw!$B:$B,$A53,ConfirmedRaw!I:I)</f>
        <v>0</v>
      </c>
      <c r="G53">
        <f>SUMIF(ConfirmedRaw!$B:$B,$A53,ConfirmedRaw!J:J)</f>
        <v>0</v>
      </c>
      <c r="H53">
        <f>SUMIF(ConfirmedRaw!$B:$B,$A53,ConfirmedRaw!K:K)</f>
        <v>0</v>
      </c>
      <c r="I53">
        <f>SUMIF(ConfirmedRaw!$B:$B,$A53,ConfirmedRaw!L:L)</f>
        <v>0</v>
      </c>
      <c r="J53">
        <f>SUMIF(ConfirmedRaw!$B:$B,$A53,ConfirmedRaw!M:M)</f>
        <v>0</v>
      </c>
      <c r="K53">
        <f>SUMIF(ConfirmedRaw!$B:$B,$A53,ConfirmedRaw!N:N)</f>
        <v>0</v>
      </c>
      <c r="L53">
        <f>SUMIF(ConfirmedRaw!$B:$B,$A53,ConfirmedRaw!O:O)</f>
        <v>0</v>
      </c>
      <c r="M53">
        <f>SUMIF(ConfirmedRaw!$B:$B,$A53,ConfirmedRaw!P:P)</f>
        <v>0</v>
      </c>
      <c r="N53">
        <f>SUMIF(ConfirmedRaw!$B:$B,$A53,ConfirmedRaw!Q:Q)</f>
        <v>0</v>
      </c>
      <c r="O53">
        <f>SUMIF(ConfirmedRaw!$B:$B,$A53,ConfirmedRaw!R:R)</f>
        <v>0</v>
      </c>
      <c r="P53">
        <f>SUMIF(ConfirmedRaw!$B:$B,$A53,ConfirmedRaw!S:S)</f>
        <v>0</v>
      </c>
      <c r="Q53">
        <f>SUMIF(ConfirmedRaw!$B:$B,$A53,ConfirmedRaw!T:T)</f>
        <v>0</v>
      </c>
      <c r="R53">
        <f>SUMIF(ConfirmedRaw!$B:$B,$A53,ConfirmedRaw!U:U)</f>
        <v>0</v>
      </c>
      <c r="S53">
        <f>SUMIF(ConfirmedRaw!$B:$B,$A53,ConfirmedRaw!V:V)</f>
        <v>0</v>
      </c>
      <c r="T53">
        <f>SUMIF(ConfirmedRaw!$B:$B,$A53,ConfirmedRaw!W:W)</f>
        <v>0</v>
      </c>
      <c r="U53">
        <f>SUMIF(ConfirmedRaw!$B:$B,$A53,ConfirmedRaw!X:X)</f>
        <v>0</v>
      </c>
      <c r="V53">
        <f>SUMIF(ConfirmedRaw!$B:$B,$A53,ConfirmedRaw!Y:Y)</f>
        <v>0</v>
      </c>
      <c r="W53">
        <f>SUMIF(ConfirmedRaw!$B:$B,$A53,ConfirmedRaw!Z:Z)</f>
        <v>0</v>
      </c>
      <c r="X53">
        <f>SUMIF(ConfirmedRaw!$B:$B,$A53,ConfirmedRaw!AA:AA)</f>
        <v>0</v>
      </c>
      <c r="Y53">
        <f>SUMIF(ConfirmedRaw!$B:$B,$A53,ConfirmedRaw!AB:AB)</f>
        <v>0</v>
      </c>
      <c r="Z53">
        <f>SUMIF(ConfirmedRaw!$B:$B,$A53,ConfirmedRaw!AC:AC)</f>
        <v>0</v>
      </c>
      <c r="AA53">
        <f>SUMIF(ConfirmedRaw!$B:$B,$A53,ConfirmedRaw!AD:AD)</f>
        <v>0</v>
      </c>
      <c r="AB53">
        <f>SUMIF(ConfirmedRaw!$B:$B,$A53,ConfirmedRaw!AE:AE)</f>
        <v>0</v>
      </c>
      <c r="AC53">
        <f>SUMIF(ConfirmedRaw!$B:$B,$A53,ConfirmedRaw!AF:AF)</f>
        <v>0</v>
      </c>
      <c r="AD53">
        <f>SUMIF(ConfirmedRaw!$B:$B,$A53,ConfirmedRaw!AG:AG)</f>
        <v>0</v>
      </c>
      <c r="AE53">
        <f>SUMIF(ConfirmedRaw!$B:$B,$A53,ConfirmedRaw!AH:AH)</f>
        <v>0</v>
      </c>
      <c r="AF53">
        <f>SUMIF(ConfirmedRaw!$B:$B,$A53,ConfirmedRaw!AI:AI)</f>
        <v>0</v>
      </c>
      <c r="AG53">
        <f>SUMIF(ConfirmedRaw!$B:$B,$A53,ConfirmedRaw!AJ:AJ)</f>
        <v>0</v>
      </c>
      <c r="AH53">
        <f>SUMIF(ConfirmedRaw!$B:$B,$A53,ConfirmedRaw!AK:AK)</f>
        <v>0</v>
      </c>
      <c r="AI53">
        <f>SUMIF(ConfirmedRaw!$B:$B,$A53,ConfirmedRaw!AL:AL)</f>
        <v>0</v>
      </c>
      <c r="AJ53">
        <f>SUMIF(ConfirmedRaw!$B:$B,$A53,ConfirmedRaw!AM:AM)</f>
        <v>0</v>
      </c>
      <c r="AK53">
        <f>SUMIF(ConfirmedRaw!$B:$B,$A53,ConfirmedRaw!AN:AN)</f>
        <v>0</v>
      </c>
      <c r="AL53">
        <f>SUMIF(ConfirmedRaw!$B:$B,$A53,ConfirmedRaw!AO:AO)</f>
        <v>0</v>
      </c>
      <c r="AM53">
        <f>SUMIF(ConfirmedRaw!$B:$B,$A53,ConfirmedRaw!AP:AP)</f>
        <v>0</v>
      </c>
      <c r="AN53">
        <f>SUMIF(ConfirmedRaw!$B:$B,$A53,ConfirmedRaw!AQ:AQ)</f>
        <v>0</v>
      </c>
      <c r="AO53">
        <f>SUMIF(ConfirmedRaw!$B:$B,$A53,ConfirmedRaw!AR:AR)</f>
        <v>0</v>
      </c>
      <c r="AP53">
        <f>SUMIF(ConfirmedRaw!$B:$B,$A53,ConfirmedRaw!AS:AS)</f>
        <v>0</v>
      </c>
      <c r="AQ53">
        <f>SUMIF(ConfirmedRaw!$B:$B,$A53,ConfirmedRaw!AT:AT)</f>
        <v>0</v>
      </c>
      <c r="AR53">
        <f>SUMIF(ConfirmedRaw!$B:$B,$A53,ConfirmedRaw!AU:AU)</f>
        <v>0</v>
      </c>
      <c r="AS53">
        <f>SUMIF(ConfirmedRaw!$B:$B,$A53,ConfirmedRaw!AV:AV)</f>
        <v>0</v>
      </c>
      <c r="AT53">
        <f>SUMIF(ConfirmedRaw!$B:$B,$A53,ConfirmedRaw!AW:AW)</f>
        <v>0</v>
      </c>
      <c r="AU53">
        <f>SUMIF(ConfirmedRaw!$B:$B,$A53,ConfirmedRaw!AX:AX)</f>
        <v>0</v>
      </c>
      <c r="AV53">
        <f>SUMIF(ConfirmedRaw!$B:$B,$A53,ConfirmedRaw!AY:AY)</f>
        <v>0</v>
      </c>
      <c r="AW53">
        <f>SUMIF(ConfirmedRaw!$B:$B,$A53,ConfirmedRaw!AZ:AZ)</f>
        <v>1</v>
      </c>
      <c r="AX53">
        <f>SUMIF(ConfirmedRaw!$B:$B,$A53,ConfirmedRaw!BA:BA)</f>
        <v>1</v>
      </c>
      <c r="AY53">
        <f>SUMIF(ConfirmedRaw!$B:$B,$A53,ConfirmedRaw!BB:BB)</f>
        <v>11</v>
      </c>
      <c r="AZ53">
        <f>SUMIF(ConfirmedRaw!$B:$B,$A53,ConfirmedRaw!BC:BC)</f>
        <v>11</v>
      </c>
      <c r="BA53">
        <f>SUMIF(ConfirmedRaw!$B:$B,$A53,ConfirmedRaw!BD:BD)</f>
        <v>37</v>
      </c>
      <c r="BB53">
        <f>SUMIF(ConfirmedRaw!$B:$B,$A53,ConfirmedRaw!BE:BE)</f>
        <v>40</v>
      </c>
      <c r="BC53">
        <f>SUMIF(ConfirmedRaw!$B:$B,$A53,ConfirmedRaw!BF:BF)</f>
        <v>50</v>
      </c>
      <c r="BD53">
        <f>SUMIF(ConfirmedRaw!$B:$B,$A53,ConfirmedRaw!BG:BG)</f>
        <v>54</v>
      </c>
      <c r="BE53">
        <f>SUMIF(ConfirmedRaw!$B:$B,$A53,ConfirmedRaw!BH:BH)</f>
        <v>56</v>
      </c>
      <c r="BF53">
        <f>SUMIF(ConfirmedRaw!$B:$B,$A53,ConfirmedRaw!BI:BI)</f>
        <v>68</v>
      </c>
      <c r="BG53">
        <f>SUMIF(ConfirmedRaw!$B:$B,$A53,ConfirmedRaw!BJ:BJ)</f>
        <v>0</v>
      </c>
      <c r="BH53">
        <f>SUMIF(ConfirmedRaw!$B:$B,$A53,ConfirmedRaw!BK:BK)</f>
        <v>0</v>
      </c>
      <c r="BI53">
        <f>SUMIF(ConfirmedRaw!$B:$B,$A53,ConfirmedRaw!BL:BL)</f>
        <v>0</v>
      </c>
      <c r="BJ53">
        <f>SUMIF(ConfirmedRaw!$B:$B,$A53,ConfirmedRaw!BM:BM)</f>
        <v>0</v>
      </c>
      <c r="BK53">
        <f>SUMIF(ConfirmedRaw!$B:$B,$A53,ConfirmedRaw!BN:BN)</f>
        <v>0</v>
      </c>
      <c r="BL53">
        <f>SUMIF(ConfirmedRaw!$B:$B,$A53,ConfirmedRaw!BO:BO)</f>
        <v>0</v>
      </c>
      <c r="BM53">
        <f>SUMIF(ConfirmedRaw!$B:$B,$A53,ConfirmedRaw!BP:BP)</f>
        <v>0</v>
      </c>
      <c r="BN53">
        <f>SUMIF(ConfirmedRaw!$B:$B,$A53,ConfirmedRaw!BQ:BQ)</f>
        <v>0</v>
      </c>
      <c r="BO53">
        <f>SUMIF(ConfirmedRaw!$B:$B,$A53,ConfirmedRaw!BR:BR)</f>
        <v>0</v>
      </c>
      <c r="BP53">
        <f>SUMIF(ConfirmedRaw!$B:$B,$A53,ConfirmedRaw!BS:BS)</f>
        <v>0</v>
      </c>
      <c r="BQ53">
        <f>SUMIF(ConfirmedRaw!$B:$B,$A53,ConfirmedRaw!BT:BT)</f>
        <v>0</v>
      </c>
      <c r="BR53">
        <f>SUMIF(ConfirmedRaw!$B:$B,$A53,ConfirmedRaw!BU:BU)</f>
        <v>0</v>
      </c>
      <c r="BS53">
        <f>SUMIF(ConfirmedRaw!$B:$B,$A53,ConfirmedRaw!BV:BV)</f>
        <v>0</v>
      </c>
      <c r="BT53">
        <f>SUMIF(ConfirmedRaw!$B:$B,$A53,ConfirmedRaw!BW:BW)</f>
        <v>0</v>
      </c>
    </row>
    <row r="54" spans="1:72" ht="15" thickBot="1" x14ac:dyDescent="0.35">
      <c r="A54" s="3" t="s">
        <v>161</v>
      </c>
      <c r="B54">
        <f>SUMIF(ConfirmedRaw!$B:$B,$A54,ConfirmedRaw!E:E)</f>
        <v>0</v>
      </c>
      <c r="C54">
        <f>SUMIF(ConfirmedRaw!$B:$B,$A54,ConfirmedRaw!F:F)</f>
        <v>0</v>
      </c>
      <c r="D54">
        <f>SUMIF(ConfirmedRaw!$B:$B,$A54,ConfirmedRaw!G:G)</f>
        <v>0</v>
      </c>
      <c r="E54">
        <f>SUMIF(ConfirmedRaw!$B:$B,$A54,ConfirmedRaw!H:H)</f>
        <v>0</v>
      </c>
      <c r="F54">
        <f>SUMIF(ConfirmedRaw!$B:$B,$A54,ConfirmedRaw!I:I)</f>
        <v>0</v>
      </c>
      <c r="G54">
        <f>SUMIF(ConfirmedRaw!$B:$B,$A54,ConfirmedRaw!J:J)</f>
        <v>0</v>
      </c>
      <c r="H54">
        <f>SUMIF(ConfirmedRaw!$B:$B,$A54,ConfirmedRaw!K:K)</f>
        <v>0</v>
      </c>
      <c r="I54">
        <f>SUMIF(ConfirmedRaw!$B:$B,$A54,ConfirmedRaw!L:L)</f>
        <v>0</v>
      </c>
      <c r="J54">
        <f>SUMIF(ConfirmedRaw!$B:$B,$A54,ConfirmedRaw!M:M)</f>
        <v>0</v>
      </c>
      <c r="K54">
        <f>SUMIF(ConfirmedRaw!$B:$B,$A54,ConfirmedRaw!N:N)</f>
        <v>0</v>
      </c>
      <c r="L54">
        <f>SUMIF(ConfirmedRaw!$B:$B,$A54,ConfirmedRaw!O:O)</f>
        <v>0</v>
      </c>
      <c r="M54">
        <f>SUMIF(ConfirmedRaw!$B:$B,$A54,ConfirmedRaw!P:P)</f>
        <v>0</v>
      </c>
      <c r="N54">
        <f>SUMIF(ConfirmedRaw!$B:$B,$A54,ConfirmedRaw!Q:Q)</f>
        <v>0</v>
      </c>
      <c r="O54">
        <f>SUMIF(ConfirmedRaw!$B:$B,$A54,ConfirmedRaw!R:R)</f>
        <v>0</v>
      </c>
      <c r="P54">
        <f>SUMIF(ConfirmedRaw!$B:$B,$A54,ConfirmedRaw!S:S)</f>
        <v>0</v>
      </c>
      <c r="Q54">
        <f>SUMIF(ConfirmedRaw!$B:$B,$A54,ConfirmedRaw!T:T)</f>
        <v>0</v>
      </c>
      <c r="R54">
        <f>SUMIF(ConfirmedRaw!$B:$B,$A54,ConfirmedRaw!U:U)</f>
        <v>0</v>
      </c>
      <c r="S54">
        <f>SUMIF(ConfirmedRaw!$B:$B,$A54,ConfirmedRaw!V:V)</f>
        <v>0</v>
      </c>
      <c r="T54">
        <f>SUMIF(ConfirmedRaw!$B:$B,$A54,ConfirmedRaw!W:W)</f>
        <v>0</v>
      </c>
      <c r="U54">
        <f>SUMIF(ConfirmedRaw!$B:$B,$A54,ConfirmedRaw!X:X)</f>
        <v>0</v>
      </c>
      <c r="V54">
        <f>SUMIF(ConfirmedRaw!$B:$B,$A54,ConfirmedRaw!Y:Y)</f>
        <v>0</v>
      </c>
      <c r="W54">
        <f>SUMIF(ConfirmedRaw!$B:$B,$A54,ConfirmedRaw!Z:Z)</f>
        <v>0</v>
      </c>
      <c r="X54">
        <f>SUMIF(ConfirmedRaw!$B:$B,$A54,ConfirmedRaw!AA:AA)</f>
        <v>0</v>
      </c>
      <c r="Y54">
        <f>SUMIF(ConfirmedRaw!$B:$B,$A54,ConfirmedRaw!AB:AB)</f>
        <v>0</v>
      </c>
      <c r="Z54">
        <f>SUMIF(ConfirmedRaw!$B:$B,$A54,ConfirmedRaw!AC:AC)</f>
        <v>0</v>
      </c>
      <c r="AA54">
        <f>SUMIF(ConfirmedRaw!$B:$B,$A54,ConfirmedRaw!AD:AD)</f>
        <v>0</v>
      </c>
      <c r="AB54">
        <f>SUMIF(ConfirmedRaw!$B:$B,$A54,ConfirmedRaw!AE:AE)</f>
        <v>0</v>
      </c>
      <c r="AC54">
        <f>SUMIF(ConfirmedRaw!$B:$B,$A54,ConfirmedRaw!AF:AF)</f>
        <v>0</v>
      </c>
      <c r="AD54">
        <f>SUMIF(ConfirmedRaw!$B:$B,$A54,ConfirmedRaw!AG:AG)</f>
        <v>0</v>
      </c>
      <c r="AE54">
        <f>SUMIF(ConfirmedRaw!$B:$B,$A54,ConfirmedRaw!AH:AH)</f>
        <v>0</v>
      </c>
      <c r="AF54">
        <f>SUMIF(ConfirmedRaw!$B:$B,$A54,ConfirmedRaw!AI:AI)</f>
        <v>0</v>
      </c>
      <c r="AG54">
        <f>SUMIF(ConfirmedRaw!$B:$B,$A54,ConfirmedRaw!AJ:AJ)</f>
        <v>0</v>
      </c>
      <c r="AH54">
        <f>SUMIF(ConfirmedRaw!$B:$B,$A54,ConfirmedRaw!AK:AK)</f>
        <v>0</v>
      </c>
      <c r="AI54">
        <f>SUMIF(ConfirmedRaw!$B:$B,$A54,ConfirmedRaw!AL:AL)</f>
        <v>0</v>
      </c>
      <c r="AJ54">
        <f>SUMIF(ConfirmedRaw!$B:$B,$A54,ConfirmedRaw!AM:AM)</f>
        <v>0</v>
      </c>
      <c r="AK54">
        <f>SUMIF(ConfirmedRaw!$B:$B,$A54,ConfirmedRaw!AN:AN)</f>
        <v>0</v>
      </c>
      <c r="AL54">
        <f>SUMIF(ConfirmedRaw!$B:$B,$A54,ConfirmedRaw!AO:AO)</f>
        <v>0</v>
      </c>
      <c r="AM54">
        <f>SUMIF(ConfirmedRaw!$B:$B,$A54,ConfirmedRaw!AP:AP)</f>
        <v>0</v>
      </c>
      <c r="AN54">
        <f>SUMIF(ConfirmedRaw!$B:$B,$A54,ConfirmedRaw!AQ:AQ)</f>
        <v>0</v>
      </c>
      <c r="AO54">
        <f>SUMIF(ConfirmedRaw!$B:$B,$A54,ConfirmedRaw!AR:AR)</f>
        <v>0</v>
      </c>
      <c r="AP54">
        <f>SUMIF(ConfirmedRaw!$B:$B,$A54,ConfirmedRaw!AS:AS)</f>
        <v>0</v>
      </c>
      <c r="AQ54">
        <f>SUMIF(ConfirmedRaw!$B:$B,$A54,ConfirmedRaw!AT:AT)</f>
        <v>0</v>
      </c>
      <c r="AR54">
        <f>SUMIF(ConfirmedRaw!$B:$B,$A54,ConfirmedRaw!AU:AU)</f>
        <v>0</v>
      </c>
      <c r="AS54">
        <f>SUMIF(ConfirmedRaw!$B:$B,$A54,ConfirmedRaw!AV:AV)</f>
        <v>0</v>
      </c>
      <c r="AT54">
        <f>SUMIF(ConfirmedRaw!$B:$B,$A54,ConfirmedRaw!AW:AW)</f>
        <v>1</v>
      </c>
      <c r="AU54">
        <f>SUMIF(ConfirmedRaw!$B:$B,$A54,ConfirmedRaw!AX:AX)</f>
        <v>1</v>
      </c>
      <c r="AV54">
        <f>SUMIF(ConfirmedRaw!$B:$B,$A54,ConfirmedRaw!AY:AY)</f>
        <v>1</v>
      </c>
      <c r="AW54">
        <f>SUMIF(ConfirmedRaw!$B:$B,$A54,ConfirmedRaw!AZ:AZ)</f>
        <v>1</v>
      </c>
      <c r="AX54">
        <f>SUMIF(ConfirmedRaw!$B:$B,$A54,ConfirmedRaw!BA:BA)</f>
        <v>5</v>
      </c>
      <c r="AY54">
        <f>SUMIF(ConfirmedRaw!$B:$B,$A54,ConfirmedRaw!BB:BB)</f>
        <v>12</v>
      </c>
      <c r="AZ54">
        <f>SUMIF(ConfirmedRaw!$B:$B,$A54,ConfirmedRaw!BC:BC)</f>
        <v>19</v>
      </c>
      <c r="BA54">
        <f>SUMIF(ConfirmedRaw!$B:$B,$A54,ConfirmedRaw!BD:BD)</f>
        <v>35</v>
      </c>
      <c r="BB54">
        <f>SUMIF(ConfirmedRaw!$B:$B,$A54,ConfirmedRaw!BE:BE)</f>
        <v>46</v>
      </c>
      <c r="BC54">
        <f>SUMIF(ConfirmedRaw!$B:$B,$A54,ConfirmedRaw!BF:BF)</f>
        <v>48</v>
      </c>
      <c r="BD54">
        <f>SUMIF(ConfirmedRaw!$B:$B,$A54,ConfirmedRaw!BG:BG)</f>
        <v>55</v>
      </c>
      <c r="BE54">
        <f>SUMIF(ConfirmedRaw!$B:$B,$A54,ConfirmedRaw!BH:BH)</f>
        <v>65</v>
      </c>
      <c r="BF54">
        <f>SUMIF(ConfirmedRaw!$B:$B,$A54,ConfirmedRaw!BI:BI)</f>
        <v>83</v>
      </c>
      <c r="BG54">
        <f>SUMIF(ConfirmedRaw!$B:$B,$A54,ConfirmedRaw!BJ:BJ)</f>
        <v>0</v>
      </c>
      <c r="BH54">
        <f>SUMIF(ConfirmedRaw!$B:$B,$A54,ConfirmedRaw!BK:BK)</f>
        <v>0</v>
      </c>
      <c r="BI54">
        <f>SUMIF(ConfirmedRaw!$B:$B,$A54,ConfirmedRaw!BL:BL)</f>
        <v>0</v>
      </c>
      <c r="BJ54">
        <f>SUMIF(ConfirmedRaw!$B:$B,$A54,ConfirmedRaw!BM:BM)</f>
        <v>0</v>
      </c>
      <c r="BK54">
        <f>SUMIF(ConfirmedRaw!$B:$B,$A54,ConfirmedRaw!BN:BN)</f>
        <v>0</v>
      </c>
      <c r="BL54">
        <f>SUMIF(ConfirmedRaw!$B:$B,$A54,ConfirmedRaw!BO:BO)</f>
        <v>0</v>
      </c>
      <c r="BM54">
        <f>SUMIF(ConfirmedRaw!$B:$B,$A54,ConfirmedRaw!BP:BP)</f>
        <v>0</v>
      </c>
      <c r="BN54">
        <f>SUMIF(ConfirmedRaw!$B:$B,$A54,ConfirmedRaw!BQ:BQ)</f>
        <v>0</v>
      </c>
      <c r="BO54">
        <f>SUMIF(ConfirmedRaw!$B:$B,$A54,ConfirmedRaw!BR:BR)</f>
        <v>0</v>
      </c>
      <c r="BP54">
        <f>SUMIF(ConfirmedRaw!$B:$B,$A54,ConfirmedRaw!BS:BS)</f>
        <v>0</v>
      </c>
      <c r="BQ54">
        <f>SUMIF(ConfirmedRaw!$B:$B,$A54,ConfirmedRaw!BT:BT)</f>
        <v>0</v>
      </c>
      <c r="BR54">
        <f>SUMIF(ConfirmedRaw!$B:$B,$A54,ConfirmedRaw!BU:BU)</f>
        <v>0</v>
      </c>
      <c r="BS54">
        <f>SUMIF(ConfirmedRaw!$B:$B,$A54,ConfirmedRaw!BV:BV)</f>
        <v>0</v>
      </c>
      <c r="BT54">
        <f>SUMIF(ConfirmedRaw!$B:$B,$A54,ConfirmedRaw!BW:BW)</f>
        <v>0</v>
      </c>
    </row>
    <row r="55" spans="1:72" ht="15" thickBot="1" x14ac:dyDescent="0.35">
      <c r="A55" s="3" t="s">
        <v>99</v>
      </c>
      <c r="B55">
        <f>SUMIF(ConfirmedRaw!$B:$B,$A55,ConfirmedRaw!E:E)</f>
        <v>0</v>
      </c>
      <c r="C55">
        <f>SUMIF(ConfirmedRaw!$B:$B,$A55,ConfirmedRaw!F:F)</f>
        <v>0</v>
      </c>
      <c r="D55">
        <f>SUMIF(ConfirmedRaw!$B:$B,$A55,ConfirmedRaw!G:G)</f>
        <v>0</v>
      </c>
      <c r="E55">
        <f>SUMIF(ConfirmedRaw!$B:$B,$A55,ConfirmedRaw!H:H)</f>
        <v>0</v>
      </c>
      <c r="F55">
        <f>SUMIF(ConfirmedRaw!$B:$B,$A55,ConfirmedRaw!I:I)</f>
        <v>0</v>
      </c>
      <c r="G55">
        <f>SUMIF(ConfirmedRaw!$B:$B,$A55,ConfirmedRaw!J:J)</f>
        <v>0</v>
      </c>
      <c r="H55">
        <f>SUMIF(ConfirmedRaw!$B:$B,$A55,ConfirmedRaw!K:K)</f>
        <v>0</v>
      </c>
      <c r="I55">
        <f>SUMIF(ConfirmedRaw!$B:$B,$A55,ConfirmedRaw!L:L)</f>
        <v>0</v>
      </c>
      <c r="J55">
        <f>SUMIF(ConfirmedRaw!$B:$B,$A55,ConfirmedRaw!M:M)</f>
        <v>0</v>
      </c>
      <c r="K55">
        <f>SUMIF(ConfirmedRaw!$B:$B,$A55,ConfirmedRaw!N:N)</f>
        <v>0</v>
      </c>
      <c r="L55">
        <f>SUMIF(ConfirmedRaw!$B:$B,$A55,ConfirmedRaw!O:O)</f>
        <v>0</v>
      </c>
      <c r="M55">
        <f>SUMIF(ConfirmedRaw!$B:$B,$A55,ConfirmedRaw!P:P)</f>
        <v>0</v>
      </c>
      <c r="N55">
        <f>SUMIF(ConfirmedRaw!$B:$B,$A55,ConfirmedRaw!Q:Q)</f>
        <v>0</v>
      </c>
      <c r="O55">
        <f>SUMIF(ConfirmedRaw!$B:$B,$A55,ConfirmedRaw!R:R)</f>
        <v>0</v>
      </c>
      <c r="P55">
        <f>SUMIF(ConfirmedRaw!$B:$B,$A55,ConfirmedRaw!S:S)</f>
        <v>0</v>
      </c>
      <c r="Q55">
        <f>SUMIF(ConfirmedRaw!$B:$B,$A55,ConfirmedRaw!T:T)</f>
        <v>0</v>
      </c>
      <c r="R55">
        <f>SUMIF(ConfirmedRaw!$B:$B,$A55,ConfirmedRaw!U:U)</f>
        <v>0</v>
      </c>
      <c r="S55">
        <f>SUMIF(ConfirmedRaw!$B:$B,$A55,ConfirmedRaw!V:V)</f>
        <v>0</v>
      </c>
      <c r="T55">
        <f>SUMIF(ConfirmedRaw!$B:$B,$A55,ConfirmedRaw!W:W)</f>
        <v>0</v>
      </c>
      <c r="U55">
        <f>SUMIF(ConfirmedRaw!$B:$B,$A55,ConfirmedRaw!X:X)</f>
        <v>0</v>
      </c>
      <c r="V55">
        <f>SUMIF(ConfirmedRaw!$B:$B,$A55,ConfirmedRaw!Y:Y)</f>
        <v>0</v>
      </c>
      <c r="W55">
        <f>SUMIF(ConfirmedRaw!$B:$B,$A55,ConfirmedRaw!Z:Z)</f>
        <v>0</v>
      </c>
      <c r="X55">
        <f>SUMIF(ConfirmedRaw!$B:$B,$A55,ConfirmedRaw!AA:AA)</f>
        <v>0</v>
      </c>
      <c r="Y55">
        <f>SUMIF(ConfirmedRaw!$B:$B,$A55,ConfirmedRaw!AB:AB)</f>
        <v>0</v>
      </c>
      <c r="Z55">
        <f>SUMIF(ConfirmedRaw!$B:$B,$A55,ConfirmedRaw!AC:AC)</f>
        <v>0</v>
      </c>
      <c r="AA55">
        <f>SUMIF(ConfirmedRaw!$B:$B,$A55,ConfirmedRaw!AD:AD)</f>
        <v>0</v>
      </c>
      <c r="AB55">
        <f>SUMIF(ConfirmedRaw!$B:$B,$A55,ConfirmedRaw!AE:AE)</f>
        <v>0</v>
      </c>
      <c r="AC55">
        <f>SUMIF(ConfirmedRaw!$B:$B,$A55,ConfirmedRaw!AF:AF)</f>
        <v>0</v>
      </c>
      <c r="AD55">
        <f>SUMIF(ConfirmedRaw!$B:$B,$A55,ConfirmedRaw!AG:AG)</f>
        <v>0</v>
      </c>
      <c r="AE55">
        <f>SUMIF(ConfirmedRaw!$B:$B,$A55,ConfirmedRaw!AH:AH)</f>
        <v>0</v>
      </c>
      <c r="AF55">
        <f>SUMIF(ConfirmedRaw!$B:$B,$A55,ConfirmedRaw!AI:AI)</f>
        <v>0</v>
      </c>
      <c r="AG55">
        <f>SUMIF(ConfirmedRaw!$B:$B,$A55,ConfirmedRaw!AJ:AJ)</f>
        <v>0</v>
      </c>
      <c r="AH55">
        <f>SUMIF(ConfirmedRaw!$B:$B,$A55,ConfirmedRaw!AK:AK)</f>
        <v>0</v>
      </c>
      <c r="AI55">
        <f>SUMIF(ConfirmedRaw!$B:$B,$A55,ConfirmedRaw!AL:AL)</f>
        <v>0</v>
      </c>
      <c r="AJ55">
        <f>SUMIF(ConfirmedRaw!$B:$B,$A55,ConfirmedRaw!AM:AM)</f>
        <v>0</v>
      </c>
      <c r="AK55">
        <f>SUMIF(ConfirmedRaw!$B:$B,$A55,ConfirmedRaw!AN:AN)</f>
        <v>0</v>
      </c>
      <c r="AL55">
        <f>SUMIF(ConfirmedRaw!$B:$B,$A55,ConfirmedRaw!AO:AO)</f>
        <v>0</v>
      </c>
      <c r="AM55">
        <f>SUMIF(ConfirmedRaw!$B:$B,$A55,ConfirmedRaw!AP:AP)</f>
        <v>0</v>
      </c>
      <c r="AN55">
        <f>SUMIF(ConfirmedRaw!$B:$B,$A55,ConfirmedRaw!AQ:AQ)</f>
        <v>1</v>
      </c>
      <c r="AO55">
        <f>SUMIF(ConfirmedRaw!$B:$B,$A55,ConfirmedRaw!AR:AR)</f>
        <v>1</v>
      </c>
      <c r="AP55">
        <f>SUMIF(ConfirmedRaw!$B:$B,$A55,ConfirmedRaw!AS:AS)</f>
        <v>1</v>
      </c>
      <c r="AQ55">
        <f>SUMIF(ConfirmedRaw!$B:$B,$A55,ConfirmedRaw!AT:AT)</f>
        <v>1</v>
      </c>
      <c r="AR55">
        <f>SUMIF(ConfirmedRaw!$B:$B,$A55,ConfirmedRaw!AU:AU)</f>
        <v>1</v>
      </c>
      <c r="AS55">
        <f>SUMIF(ConfirmedRaw!$B:$B,$A55,ConfirmedRaw!AV:AV)</f>
        <v>1</v>
      </c>
      <c r="AT55">
        <f>SUMIF(ConfirmedRaw!$B:$B,$A55,ConfirmedRaw!AW:AW)</f>
        <v>2</v>
      </c>
      <c r="AU55">
        <f>SUMIF(ConfirmedRaw!$B:$B,$A55,ConfirmedRaw!AX:AX)</f>
        <v>2</v>
      </c>
      <c r="AV55">
        <f>SUMIF(ConfirmedRaw!$B:$B,$A55,ConfirmedRaw!AY:AY)</f>
        <v>3</v>
      </c>
      <c r="AW55">
        <f>SUMIF(ConfirmedRaw!$B:$B,$A55,ConfirmedRaw!AZ:AZ)</f>
        <v>3</v>
      </c>
      <c r="AX55">
        <f>SUMIF(ConfirmedRaw!$B:$B,$A55,ConfirmedRaw!BA:BA)</f>
        <v>5</v>
      </c>
      <c r="AY55">
        <f>SUMIF(ConfirmedRaw!$B:$B,$A55,ConfirmedRaw!BB:BB)</f>
        <v>7</v>
      </c>
      <c r="AZ55">
        <f>SUMIF(ConfirmedRaw!$B:$B,$A55,ConfirmedRaw!BC:BC)</f>
        <v>19</v>
      </c>
      <c r="BA55">
        <f>SUMIF(ConfirmedRaw!$B:$B,$A55,ConfirmedRaw!BD:BD)</f>
        <v>34</v>
      </c>
      <c r="BB55">
        <f>SUMIF(ConfirmedRaw!$B:$B,$A55,ConfirmedRaw!BE:BE)</f>
        <v>51</v>
      </c>
      <c r="BC55">
        <f>SUMIF(ConfirmedRaw!$B:$B,$A55,ConfirmedRaw!BF:BF)</f>
        <v>59</v>
      </c>
      <c r="BD55">
        <f>SUMIF(ConfirmedRaw!$B:$B,$A55,ConfirmedRaw!BG:BG)</f>
        <v>77</v>
      </c>
      <c r="BE55">
        <f>SUMIF(ConfirmedRaw!$B:$B,$A55,ConfirmedRaw!BH:BH)</f>
        <v>140</v>
      </c>
      <c r="BF55">
        <f>SUMIF(ConfirmedRaw!$B:$B,$A55,ConfirmedRaw!BI:BI)</f>
        <v>203</v>
      </c>
      <c r="BG55">
        <f>SUMIF(ConfirmedRaw!$B:$B,$A55,ConfirmedRaw!BJ:BJ)</f>
        <v>0</v>
      </c>
      <c r="BH55">
        <f>SUMIF(ConfirmedRaw!$B:$B,$A55,ConfirmedRaw!BK:BK)</f>
        <v>0</v>
      </c>
      <c r="BI55">
        <f>SUMIF(ConfirmedRaw!$B:$B,$A55,ConfirmedRaw!BL:BL)</f>
        <v>0</v>
      </c>
      <c r="BJ55">
        <f>SUMIF(ConfirmedRaw!$B:$B,$A55,ConfirmedRaw!BM:BM)</f>
        <v>0</v>
      </c>
      <c r="BK55">
        <f>SUMIF(ConfirmedRaw!$B:$B,$A55,ConfirmedRaw!BN:BN)</f>
        <v>0</v>
      </c>
      <c r="BL55">
        <f>SUMIF(ConfirmedRaw!$B:$B,$A55,ConfirmedRaw!BO:BO)</f>
        <v>0</v>
      </c>
      <c r="BM55">
        <f>SUMIF(ConfirmedRaw!$B:$B,$A55,ConfirmedRaw!BP:BP)</f>
        <v>0</v>
      </c>
      <c r="BN55">
        <f>SUMIF(ConfirmedRaw!$B:$B,$A55,ConfirmedRaw!BQ:BQ)</f>
        <v>0</v>
      </c>
      <c r="BO55">
        <f>SUMIF(ConfirmedRaw!$B:$B,$A55,ConfirmedRaw!BR:BR)</f>
        <v>0</v>
      </c>
      <c r="BP55">
        <f>SUMIF(ConfirmedRaw!$B:$B,$A55,ConfirmedRaw!BS:BS)</f>
        <v>0</v>
      </c>
      <c r="BQ55">
        <f>SUMIF(ConfirmedRaw!$B:$B,$A55,ConfirmedRaw!BT:BT)</f>
        <v>0</v>
      </c>
      <c r="BR55">
        <f>SUMIF(ConfirmedRaw!$B:$B,$A55,ConfirmedRaw!BU:BU)</f>
        <v>0</v>
      </c>
      <c r="BS55">
        <f>SUMIF(ConfirmedRaw!$B:$B,$A55,ConfirmedRaw!BV:BV)</f>
        <v>0</v>
      </c>
      <c r="BT55">
        <f>SUMIF(ConfirmedRaw!$B:$B,$A55,ConfirmedRaw!BW:BW)</f>
        <v>0</v>
      </c>
    </row>
    <row r="56" spans="1:72" ht="15" thickBot="1" x14ac:dyDescent="0.35">
      <c r="A56" s="4" t="s">
        <v>230</v>
      </c>
      <c r="B56">
        <f>SUMIF(ConfirmedRaw!$B:$B,$A56,ConfirmedRaw!E:E)</f>
        <v>0</v>
      </c>
      <c r="C56">
        <f>SUMIF(ConfirmedRaw!$B:$B,$A56,ConfirmedRaw!F:F)</f>
        <v>0</v>
      </c>
      <c r="D56">
        <f>SUMIF(ConfirmedRaw!$B:$B,$A56,ConfirmedRaw!G:G)</f>
        <v>0</v>
      </c>
      <c r="E56">
        <f>SUMIF(ConfirmedRaw!$B:$B,$A56,ConfirmedRaw!H:H)</f>
        <v>0</v>
      </c>
      <c r="F56">
        <f>SUMIF(ConfirmedRaw!$B:$B,$A56,ConfirmedRaw!I:I)</f>
        <v>0</v>
      </c>
      <c r="G56">
        <f>SUMIF(ConfirmedRaw!$B:$B,$A56,ConfirmedRaw!J:J)</f>
        <v>0</v>
      </c>
      <c r="H56">
        <f>SUMIF(ConfirmedRaw!$B:$B,$A56,ConfirmedRaw!K:K)</f>
        <v>0</v>
      </c>
      <c r="I56">
        <f>SUMIF(ConfirmedRaw!$B:$B,$A56,ConfirmedRaw!L:L)</f>
        <v>0</v>
      </c>
      <c r="J56">
        <f>SUMIF(ConfirmedRaw!$B:$B,$A56,ConfirmedRaw!M:M)</f>
        <v>0</v>
      </c>
      <c r="K56">
        <f>SUMIF(ConfirmedRaw!$B:$B,$A56,ConfirmedRaw!N:N)</f>
        <v>0</v>
      </c>
      <c r="L56">
        <f>SUMIF(ConfirmedRaw!$B:$B,$A56,ConfirmedRaw!O:O)</f>
        <v>0</v>
      </c>
      <c r="M56">
        <f>SUMIF(ConfirmedRaw!$B:$B,$A56,ConfirmedRaw!P:P)</f>
        <v>0</v>
      </c>
      <c r="N56">
        <f>SUMIF(ConfirmedRaw!$B:$B,$A56,ConfirmedRaw!Q:Q)</f>
        <v>0</v>
      </c>
      <c r="O56">
        <f>SUMIF(ConfirmedRaw!$B:$B,$A56,ConfirmedRaw!R:R)</f>
        <v>0</v>
      </c>
      <c r="P56">
        <f>SUMIF(ConfirmedRaw!$B:$B,$A56,ConfirmedRaw!S:S)</f>
        <v>0</v>
      </c>
      <c r="Q56">
        <f>SUMIF(ConfirmedRaw!$B:$B,$A56,ConfirmedRaw!T:T)</f>
        <v>0</v>
      </c>
      <c r="R56">
        <f>SUMIF(ConfirmedRaw!$B:$B,$A56,ConfirmedRaw!U:U)</f>
        <v>0</v>
      </c>
      <c r="S56">
        <f>SUMIF(ConfirmedRaw!$B:$B,$A56,ConfirmedRaw!V:V)</f>
        <v>0</v>
      </c>
      <c r="T56">
        <f>SUMIF(ConfirmedRaw!$B:$B,$A56,ConfirmedRaw!W:W)</f>
        <v>0</v>
      </c>
      <c r="U56">
        <f>SUMIF(ConfirmedRaw!$B:$B,$A56,ConfirmedRaw!X:X)</f>
        <v>0</v>
      </c>
      <c r="V56">
        <f>SUMIF(ConfirmedRaw!$B:$B,$A56,ConfirmedRaw!Y:Y)</f>
        <v>0</v>
      </c>
      <c r="W56">
        <f>SUMIF(ConfirmedRaw!$B:$B,$A56,ConfirmedRaw!Z:Z)</f>
        <v>0</v>
      </c>
      <c r="X56">
        <f>SUMIF(ConfirmedRaw!$B:$B,$A56,ConfirmedRaw!AA:AA)</f>
        <v>0</v>
      </c>
      <c r="Y56">
        <f>SUMIF(ConfirmedRaw!$B:$B,$A56,ConfirmedRaw!AB:AB)</f>
        <v>0</v>
      </c>
      <c r="Z56">
        <f>SUMIF(ConfirmedRaw!$B:$B,$A56,ConfirmedRaw!AC:AC)</f>
        <v>0</v>
      </c>
      <c r="AA56">
        <f>SUMIF(ConfirmedRaw!$B:$B,$A56,ConfirmedRaw!AD:AD)</f>
        <v>0</v>
      </c>
      <c r="AB56">
        <f>SUMIF(ConfirmedRaw!$B:$B,$A56,ConfirmedRaw!AE:AE)</f>
        <v>0</v>
      </c>
      <c r="AC56">
        <f>SUMIF(ConfirmedRaw!$B:$B,$A56,ConfirmedRaw!AF:AF)</f>
        <v>0</v>
      </c>
      <c r="AD56">
        <f>SUMIF(ConfirmedRaw!$B:$B,$A56,ConfirmedRaw!AG:AG)</f>
        <v>0</v>
      </c>
      <c r="AE56">
        <f>SUMIF(ConfirmedRaw!$B:$B,$A56,ConfirmedRaw!AH:AH)</f>
        <v>0</v>
      </c>
      <c r="AF56">
        <f>SUMIF(ConfirmedRaw!$B:$B,$A56,ConfirmedRaw!AI:AI)</f>
        <v>0</v>
      </c>
      <c r="AG56">
        <f>SUMIF(ConfirmedRaw!$B:$B,$A56,ConfirmedRaw!AJ:AJ)</f>
        <v>0</v>
      </c>
      <c r="AH56">
        <f>SUMIF(ConfirmedRaw!$B:$B,$A56,ConfirmedRaw!AK:AK)</f>
        <v>0</v>
      </c>
      <c r="AI56">
        <f>SUMIF(ConfirmedRaw!$B:$B,$A56,ConfirmedRaw!AL:AL)</f>
        <v>0</v>
      </c>
      <c r="AJ56">
        <f>SUMIF(ConfirmedRaw!$B:$B,$A56,ConfirmedRaw!AM:AM)</f>
        <v>0</v>
      </c>
      <c r="AK56">
        <f>SUMIF(ConfirmedRaw!$B:$B,$A56,ConfirmedRaw!AN:AN)</f>
        <v>0</v>
      </c>
      <c r="AL56">
        <f>SUMIF(ConfirmedRaw!$B:$B,$A56,ConfirmedRaw!AO:AO)</f>
        <v>0</v>
      </c>
      <c r="AM56">
        <f>SUMIF(ConfirmedRaw!$B:$B,$A56,ConfirmedRaw!AP:AP)</f>
        <v>0</v>
      </c>
      <c r="AN56">
        <f>SUMIF(ConfirmedRaw!$B:$B,$A56,ConfirmedRaw!AQ:AQ)</f>
        <v>0</v>
      </c>
      <c r="AO56">
        <f>SUMIF(ConfirmedRaw!$B:$B,$A56,ConfirmedRaw!AR:AR)</f>
        <v>0</v>
      </c>
      <c r="AP56">
        <f>SUMIF(ConfirmedRaw!$B:$B,$A56,ConfirmedRaw!AS:AS)</f>
        <v>0</v>
      </c>
      <c r="AQ56">
        <f>SUMIF(ConfirmedRaw!$B:$B,$A56,ConfirmedRaw!AT:AT)</f>
        <v>0</v>
      </c>
      <c r="AR56">
        <f>SUMIF(ConfirmedRaw!$B:$B,$A56,ConfirmedRaw!AU:AU)</f>
        <v>0</v>
      </c>
      <c r="AS56">
        <f>SUMIF(ConfirmedRaw!$B:$B,$A56,ConfirmedRaw!AV:AV)</f>
        <v>0</v>
      </c>
      <c r="AT56">
        <f>SUMIF(ConfirmedRaw!$B:$B,$A56,ConfirmedRaw!AW:AW)</f>
        <v>0</v>
      </c>
      <c r="AU56">
        <f>SUMIF(ConfirmedRaw!$B:$B,$A56,ConfirmedRaw!AX:AX)</f>
        <v>0</v>
      </c>
      <c r="AV56">
        <f>SUMIF(ConfirmedRaw!$B:$B,$A56,ConfirmedRaw!AY:AY)</f>
        <v>0</v>
      </c>
      <c r="AW56">
        <f>SUMIF(ConfirmedRaw!$B:$B,$A56,ConfirmedRaw!AZ:AZ)</f>
        <v>2</v>
      </c>
      <c r="AX56">
        <f>SUMIF(ConfirmedRaw!$B:$B,$A56,ConfirmedRaw!BA:BA)</f>
        <v>10</v>
      </c>
      <c r="AY56">
        <f>SUMIF(ConfirmedRaw!$B:$B,$A56,ConfirmedRaw!BB:BB)</f>
        <v>12</v>
      </c>
      <c r="AZ56">
        <f>SUMIF(ConfirmedRaw!$B:$B,$A56,ConfirmedRaw!BC:BC)</f>
        <v>23</v>
      </c>
      <c r="BA56">
        <f>SUMIF(ConfirmedRaw!$B:$B,$A56,ConfirmedRaw!BD:BD)</f>
        <v>33</v>
      </c>
      <c r="BB56">
        <f>SUMIF(ConfirmedRaw!$B:$B,$A56,ConfirmedRaw!BE:BE)</f>
        <v>38</v>
      </c>
      <c r="BC56">
        <f>SUMIF(ConfirmedRaw!$B:$B,$A56,ConfirmedRaw!BF:BF)</f>
        <v>42</v>
      </c>
      <c r="BD56">
        <f>SUMIF(ConfirmedRaw!$B:$B,$A56,ConfirmedRaw!BG:BG)</f>
        <v>51</v>
      </c>
      <c r="BE56">
        <f>SUMIF(ConfirmedRaw!$B:$B,$A56,ConfirmedRaw!BH:BH)</f>
        <v>55</v>
      </c>
      <c r="BF56">
        <f>SUMIF(ConfirmedRaw!$B:$B,$A56,ConfirmedRaw!BI:BI)</f>
        <v>59</v>
      </c>
      <c r="BG56">
        <f>SUMIF(ConfirmedRaw!$B:$B,$A56,ConfirmedRaw!BJ:BJ)</f>
        <v>0</v>
      </c>
      <c r="BH56">
        <f>SUMIF(ConfirmedRaw!$B:$B,$A56,ConfirmedRaw!BK:BK)</f>
        <v>0</v>
      </c>
      <c r="BI56">
        <f>SUMIF(ConfirmedRaw!$B:$B,$A56,ConfirmedRaw!BL:BL)</f>
        <v>0</v>
      </c>
      <c r="BJ56">
        <f>SUMIF(ConfirmedRaw!$B:$B,$A56,ConfirmedRaw!BM:BM)</f>
        <v>0</v>
      </c>
      <c r="BK56">
        <f>SUMIF(ConfirmedRaw!$B:$B,$A56,ConfirmedRaw!BN:BN)</f>
        <v>0</v>
      </c>
      <c r="BL56">
        <f>SUMIF(ConfirmedRaw!$B:$B,$A56,ConfirmedRaw!BO:BO)</f>
        <v>0</v>
      </c>
      <c r="BM56">
        <f>SUMIF(ConfirmedRaw!$B:$B,$A56,ConfirmedRaw!BP:BP)</f>
        <v>0</v>
      </c>
      <c r="BN56">
        <f>SUMIF(ConfirmedRaw!$B:$B,$A56,ConfirmedRaw!BQ:BQ)</f>
        <v>0</v>
      </c>
      <c r="BO56">
        <f>SUMIF(ConfirmedRaw!$B:$B,$A56,ConfirmedRaw!BR:BR)</f>
        <v>0</v>
      </c>
      <c r="BP56">
        <f>SUMIF(ConfirmedRaw!$B:$B,$A56,ConfirmedRaw!BS:BS)</f>
        <v>0</v>
      </c>
      <c r="BQ56">
        <f>SUMIF(ConfirmedRaw!$B:$B,$A56,ConfirmedRaw!BT:BT)</f>
        <v>0</v>
      </c>
      <c r="BR56">
        <f>SUMIF(ConfirmedRaw!$B:$B,$A56,ConfirmedRaw!BU:BU)</f>
        <v>0</v>
      </c>
      <c r="BS56">
        <f>SUMIF(ConfirmedRaw!$B:$B,$A56,ConfirmedRaw!BV:BV)</f>
        <v>0</v>
      </c>
      <c r="BT56">
        <f>SUMIF(ConfirmedRaw!$B:$B,$A56,ConfirmedRaw!BW:BW)</f>
        <v>0</v>
      </c>
    </row>
    <row r="57" spans="1:72" ht="15" thickBot="1" x14ac:dyDescent="0.35">
      <c r="A57" s="3" t="s">
        <v>76</v>
      </c>
      <c r="B57">
        <f>SUMIF(ConfirmedRaw!$B:$B,$A57,ConfirmedRaw!E:E)</f>
        <v>0</v>
      </c>
      <c r="C57">
        <f>SUMIF(ConfirmedRaw!$B:$B,$A57,ConfirmedRaw!F:F)</f>
        <v>0</v>
      </c>
      <c r="D57">
        <f>SUMIF(ConfirmedRaw!$B:$B,$A57,ConfirmedRaw!G:G)</f>
        <v>0</v>
      </c>
      <c r="E57">
        <f>SUMIF(ConfirmedRaw!$B:$B,$A57,ConfirmedRaw!H:H)</f>
        <v>0</v>
      </c>
      <c r="F57">
        <f>SUMIF(ConfirmedRaw!$B:$B,$A57,ConfirmedRaw!I:I)</f>
        <v>0</v>
      </c>
      <c r="G57">
        <f>SUMIF(ConfirmedRaw!$B:$B,$A57,ConfirmedRaw!J:J)</f>
        <v>0</v>
      </c>
      <c r="H57">
        <f>SUMIF(ConfirmedRaw!$B:$B,$A57,ConfirmedRaw!K:K)</f>
        <v>0</v>
      </c>
      <c r="I57">
        <f>SUMIF(ConfirmedRaw!$B:$B,$A57,ConfirmedRaw!L:L)</f>
        <v>0</v>
      </c>
      <c r="J57">
        <f>SUMIF(ConfirmedRaw!$B:$B,$A57,ConfirmedRaw!M:M)</f>
        <v>0</v>
      </c>
      <c r="K57">
        <f>SUMIF(ConfirmedRaw!$B:$B,$A57,ConfirmedRaw!N:N)</f>
        <v>0</v>
      </c>
      <c r="L57">
        <f>SUMIF(ConfirmedRaw!$B:$B,$A57,ConfirmedRaw!O:O)</f>
        <v>0</v>
      </c>
      <c r="M57">
        <f>SUMIF(ConfirmedRaw!$B:$B,$A57,ConfirmedRaw!P:P)</f>
        <v>0</v>
      </c>
      <c r="N57">
        <f>SUMIF(ConfirmedRaw!$B:$B,$A57,ConfirmedRaw!Q:Q)</f>
        <v>0</v>
      </c>
      <c r="O57">
        <f>SUMIF(ConfirmedRaw!$B:$B,$A57,ConfirmedRaw!R:R)</f>
        <v>0</v>
      </c>
      <c r="P57">
        <f>SUMIF(ConfirmedRaw!$B:$B,$A57,ConfirmedRaw!S:S)</f>
        <v>0</v>
      </c>
      <c r="Q57">
        <f>SUMIF(ConfirmedRaw!$B:$B,$A57,ConfirmedRaw!T:T)</f>
        <v>0</v>
      </c>
      <c r="R57">
        <f>SUMIF(ConfirmedRaw!$B:$B,$A57,ConfirmedRaw!U:U)</f>
        <v>0</v>
      </c>
      <c r="S57">
        <f>SUMIF(ConfirmedRaw!$B:$B,$A57,ConfirmedRaw!V:V)</f>
        <v>0</v>
      </c>
      <c r="T57">
        <f>SUMIF(ConfirmedRaw!$B:$B,$A57,ConfirmedRaw!W:W)</f>
        <v>0</v>
      </c>
      <c r="U57">
        <f>SUMIF(ConfirmedRaw!$B:$B,$A57,ConfirmedRaw!X:X)</f>
        <v>0</v>
      </c>
      <c r="V57">
        <f>SUMIF(ConfirmedRaw!$B:$B,$A57,ConfirmedRaw!Y:Y)</f>
        <v>0</v>
      </c>
      <c r="W57">
        <f>SUMIF(ConfirmedRaw!$B:$B,$A57,ConfirmedRaw!Z:Z)</f>
        <v>0</v>
      </c>
      <c r="X57">
        <f>SUMIF(ConfirmedRaw!$B:$B,$A57,ConfirmedRaw!AA:AA)</f>
        <v>0</v>
      </c>
      <c r="Y57">
        <f>SUMIF(ConfirmedRaw!$B:$B,$A57,ConfirmedRaw!AB:AB)</f>
        <v>0</v>
      </c>
      <c r="Z57">
        <f>SUMIF(ConfirmedRaw!$B:$B,$A57,ConfirmedRaw!AC:AC)</f>
        <v>0</v>
      </c>
      <c r="AA57">
        <f>SUMIF(ConfirmedRaw!$B:$B,$A57,ConfirmedRaw!AD:AD)</f>
        <v>0</v>
      </c>
      <c r="AB57">
        <f>SUMIF(ConfirmedRaw!$B:$B,$A57,ConfirmedRaw!AE:AE)</f>
        <v>0</v>
      </c>
      <c r="AC57">
        <f>SUMIF(ConfirmedRaw!$B:$B,$A57,ConfirmedRaw!AF:AF)</f>
        <v>0</v>
      </c>
      <c r="AD57">
        <f>SUMIF(ConfirmedRaw!$B:$B,$A57,ConfirmedRaw!AG:AG)</f>
        <v>0</v>
      </c>
      <c r="AE57">
        <f>SUMIF(ConfirmedRaw!$B:$B,$A57,ConfirmedRaw!AH:AH)</f>
        <v>0</v>
      </c>
      <c r="AF57">
        <f>SUMIF(ConfirmedRaw!$B:$B,$A57,ConfirmedRaw!AI:AI)</f>
        <v>0</v>
      </c>
      <c r="AG57">
        <f>SUMIF(ConfirmedRaw!$B:$B,$A57,ConfirmedRaw!AJ:AJ)</f>
        <v>0</v>
      </c>
      <c r="AH57">
        <f>SUMIF(ConfirmedRaw!$B:$B,$A57,ConfirmedRaw!AK:AK)</f>
        <v>0</v>
      </c>
      <c r="AI57">
        <f>SUMIF(ConfirmedRaw!$B:$B,$A57,ConfirmedRaw!AL:AL)</f>
        <v>0</v>
      </c>
      <c r="AJ57">
        <f>SUMIF(ConfirmedRaw!$B:$B,$A57,ConfirmedRaw!AM:AM)</f>
        <v>1</v>
      </c>
      <c r="AK57">
        <f>SUMIF(ConfirmedRaw!$B:$B,$A57,ConfirmedRaw!AN:AN)</f>
        <v>3</v>
      </c>
      <c r="AL57">
        <f>SUMIF(ConfirmedRaw!$B:$B,$A57,ConfirmedRaw!AO:AO)</f>
        <v>3</v>
      </c>
      <c r="AM57">
        <f>SUMIF(ConfirmedRaw!$B:$B,$A57,ConfirmedRaw!AP:AP)</f>
        <v>5</v>
      </c>
      <c r="AN57">
        <f>SUMIF(ConfirmedRaw!$B:$B,$A57,ConfirmedRaw!AQ:AQ)</f>
        <v>6</v>
      </c>
      <c r="AO57">
        <f>SUMIF(ConfirmedRaw!$B:$B,$A57,ConfirmedRaw!AR:AR)</f>
        <v>7</v>
      </c>
      <c r="AP57">
        <f>SUMIF(ConfirmedRaw!$B:$B,$A57,ConfirmedRaw!AS:AS)</f>
        <v>7</v>
      </c>
      <c r="AQ57">
        <f>SUMIF(ConfirmedRaw!$B:$B,$A57,ConfirmedRaw!AT:AT)</f>
        <v>9</v>
      </c>
      <c r="AR57">
        <f>SUMIF(ConfirmedRaw!$B:$B,$A57,ConfirmedRaw!AU:AU)</f>
        <v>10</v>
      </c>
      <c r="AS57">
        <f>SUMIF(ConfirmedRaw!$B:$B,$A57,ConfirmedRaw!AV:AV)</f>
        <v>10</v>
      </c>
      <c r="AT57">
        <f>SUMIF(ConfirmedRaw!$B:$B,$A57,ConfirmedRaw!AW:AW)</f>
        <v>11</v>
      </c>
      <c r="AU57">
        <f>SUMIF(ConfirmedRaw!$B:$B,$A57,ConfirmedRaw!AX:AX)</f>
        <v>12</v>
      </c>
      <c r="AV57">
        <f>SUMIF(ConfirmedRaw!$B:$B,$A57,ConfirmedRaw!AY:AY)</f>
        <v>12</v>
      </c>
      <c r="AW57">
        <f>SUMIF(ConfirmedRaw!$B:$B,$A57,ConfirmedRaw!AZ:AZ)</f>
        <v>12</v>
      </c>
      <c r="AX57">
        <f>SUMIF(ConfirmedRaw!$B:$B,$A57,ConfirmedRaw!BA:BA)</f>
        <v>14</v>
      </c>
      <c r="AY57">
        <f>SUMIF(ConfirmedRaw!$B:$B,$A57,ConfirmedRaw!BB:BB)</f>
        <v>19</v>
      </c>
      <c r="AZ57">
        <f>SUMIF(ConfirmedRaw!$B:$B,$A57,ConfirmedRaw!BC:BC)</f>
        <v>19</v>
      </c>
      <c r="BA57">
        <f>SUMIF(ConfirmedRaw!$B:$B,$A57,ConfirmedRaw!BD:BD)</f>
        <v>32</v>
      </c>
      <c r="BB57">
        <f>SUMIF(ConfirmedRaw!$B:$B,$A57,ConfirmedRaw!BE:BE)</f>
        <v>38</v>
      </c>
      <c r="BC57">
        <f>SUMIF(ConfirmedRaw!$B:$B,$A57,ConfirmedRaw!BF:BF)</f>
        <v>49</v>
      </c>
      <c r="BD57">
        <f>SUMIF(ConfirmedRaw!$B:$B,$A57,ConfirmedRaw!BG:BG)</f>
        <v>57</v>
      </c>
      <c r="BE57">
        <f>SUMIF(ConfirmedRaw!$B:$B,$A57,ConfirmedRaw!BH:BH)</f>
        <v>65</v>
      </c>
      <c r="BF57">
        <f>SUMIF(ConfirmedRaw!$B:$B,$A57,ConfirmedRaw!BI:BI)</f>
        <v>81</v>
      </c>
      <c r="BG57">
        <f>SUMIF(ConfirmedRaw!$B:$B,$A57,ConfirmedRaw!BJ:BJ)</f>
        <v>0</v>
      </c>
      <c r="BH57">
        <f>SUMIF(ConfirmedRaw!$B:$B,$A57,ConfirmedRaw!BK:BK)</f>
        <v>0</v>
      </c>
      <c r="BI57">
        <f>SUMIF(ConfirmedRaw!$B:$B,$A57,ConfirmedRaw!BL:BL)</f>
        <v>0</v>
      </c>
      <c r="BJ57">
        <f>SUMIF(ConfirmedRaw!$B:$B,$A57,ConfirmedRaw!BM:BM)</f>
        <v>0</v>
      </c>
      <c r="BK57">
        <f>SUMIF(ConfirmedRaw!$B:$B,$A57,ConfirmedRaw!BN:BN)</f>
        <v>0</v>
      </c>
      <c r="BL57">
        <f>SUMIF(ConfirmedRaw!$B:$B,$A57,ConfirmedRaw!BO:BO)</f>
        <v>0</v>
      </c>
      <c r="BM57">
        <f>SUMIF(ConfirmedRaw!$B:$B,$A57,ConfirmedRaw!BP:BP)</f>
        <v>0</v>
      </c>
      <c r="BN57">
        <f>SUMIF(ConfirmedRaw!$B:$B,$A57,ConfirmedRaw!BQ:BQ)</f>
        <v>0</v>
      </c>
      <c r="BO57">
        <f>SUMIF(ConfirmedRaw!$B:$B,$A57,ConfirmedRaw!BR:BR)</f>
        <v>0</v>
      </c>
      <c r="BP57">
        <f>SUMIF(ConfirmedRaw!$B:$B,$A57,ConfirmedRaw!BS:BS)</f>
        <v>0</v>
      </c>
      <c r="BQ57">
        <f>SUMIF(ConfirmedRaw!$B:$B,$A57,ConfirmedRaw!BT:BT)</f>
        <v>0</v>
      </c>
      <c r="BR57">
        <f>SUMIF(ConfirmedRaw!$B:$B,$A57,ConfirmedRaw!BU:BU)</f>
        <v>0</v>
      </c>
      <c r="BS57">
        <f>SUMIF(ConfirmedRaw!$B:$B,$A57,ConfirmedRaw!BV:BV)</f>
        <v>0</v>
      </c>
      <c r="BT57">
        <f>SUMIF(ConfirmedRaw!$B:$B,$A57,ConfirmedRaw!BW:BW)</f>
        <v>0</v>
      </c>
    </row>
    <row r="58" spans="1:72" ht="15" thickBot="1" x14ac:dyDescent="0.35">
      <c r="A58" s="4" t="s">
        <v>162</v>
      </c>
      <c r="B58">
        <f>SUMIF(ConfirmedRaw!$B:$B,$A58,ConfirmedRaw!E:E)</f>
        <v>0</v>
      </c>
      <c r="C58">
        <f>SUMIF(ConfirmedRaw!$B:$B,$A58,ConfirmedRaw!F:F)</f>
        <v>0</v>
      </c>
      <c r="D58">
        <f>SUMIF(ConfirmedRaw!$B:$B,$A58,ConfirmedRaw!G:G)</f>
        <v>0</v>
      </c>
      <c r="E58">
        <f>SUMIF(ConfirmedRaw!$B:$B,$A58,ConfirmedRaw!H:H)</f>
        <v>0</v>
      </c>
      <c r="F58">
        <f>SUMIF(ConfirmedRaw!$B:$B,$A58,ConfirmedRaw!I:I)</f>
        <v>0</v>
      </c>
      <c r="G58">
        <f>SUMIF(ConfirmedRaw!$B:$B,$A58,ConfirmedRaw!J:J)</f>
        <v>0</v>
      </c>
      <c r="H58">
        <f>SUMIF(ConfirmedRaw!$B:$B,$A58,ConfirmedRaw!K:K)</f>
        <v>0</v>
      </c>
      <c r="I58">
        <f>SUMIF(ConfirmedRaw!$B:$B,$A58,ConfirmedRaw!L:L)</f>
        <v>0</v>
      </c>
      <c r="J58">
        <f>SUMIF(ConfirmedRaw!$B:$B,$A58,ConfirmedRaw!M:M)</f>
        <v>0</v>
      </c>
      <c r="K58">
        <f>SUMIF(ConfirmedRaw!$B:$B,$A58,ConfirmedRaw!N:N)</f>
        <v>0</v>
      </c>
      <c r="L58">
        <f>SUMIF(ConfirmedRaw!$B:$B,$A58,ConfirmedRaw!O:O)</f>
        <v>0</v>
      </c>
      <c r="M58">
        <f>SUMIF(ConfirmedRaw!$B:$B,$A58,ConfirmedRaw!P:P)</f>
        <v>0</v>
      </c>
      <c r="N58">
        <f>SUMIF(ConfirmedRaw!$B:$B,$A58,ConfirmedRaw!Q:Q)</f>
        <v>0</v>
      </c>
      <c r="O58">
        <f>SUMIF(ConfirmedRaw!$B:$B,$A58,ConfirmedRaw!R:R)</f>
        <v>0</v>
      </c>
      <c r="P58">
        <f>SUMIF(ConfirmedRaw!$B:$B,$A58,ConfirmedRaw!S:S)</f>
        <v>0</v>
      </c>
      <c r="Q58">
        <f>SUMIF(ConfirmedRaw!$B:$B,$A58,ConfirmedRaw!T:T)</f>
        <v>0</v>
      </c>
      <c r="R58">
        <f>SUMIF(ConfirmedRaw!$B:$B,$A58,ConfirmedRaw!U:U)</f>
        <v>0</v>
      </c>
      <c r="S58">
        <f>SUMIF(ConfirmedRaw!$B:$B,$A58,ConfirmedRaw!V:V)</f>
        <v>0</v>
      </c>
      <c r="T58">
        <f>SUMIF(ConfirmedRaw!$B:$B,$A58,ConfirmedRaw!W:W)</f>
        <v>0</v>
      </c>
      <c r="U58">
        <f>SUMIF(ConfirmedRaw!$B:$B,$A58,ConfirmedRaw!X:X)</f>
        <v>0</v>
      </c>
      <c r="V58">
        <f>SUMIF(ConfirmedRaw!$B:$B,$A58,ConfirmedRaw!Y:Y)</f>
        <v>0</v>
      </c>
      <c r="W58">
        <f>SUMIF(ConfirmedRaw!$B:$B,$A58,ConfirmedRaw!Z:Z)</f>
        <v>0</v>
      </c>
      <c r="X58">
        <f>SUMIF(ConfirmedRaw!$B:$B,$A58,ConfirmedRaw!AA:AA)</f>
        <v>0</v>
      </c>
      <c r="Y58">
        <f>SUMIF(ConfirmedRaw!$B:$B,$A58,ConfirmedRaw!AB:AB)</f>
        <v>0</v>
      </c>
      <c r="Z58">
        <f>SUMIF(ConfirmedRaw!$B:$B,$A58,ConfirmedRaw!AC:AC)</f>
        <v>0</v>
      </c>
      <c r="AA58">
        <f>SUMIF(ConfirmedRaw!$B:$B,$A58,ConfirmedRaw!AD:AD)</f>
        <v>0</v>
      </c>
      <c r="AB58">
        <f>SUMIF(ConfirmedRaw!$B:$B,$A58,ConfirmedRaw!AE:AE)</f>
        <v>0</v>
      </c>
      <c r="AC58">
        <f>SUMIF(ConfirmedRaw!$B:$B,$A58,ConfirmedRaw!AF:AF)</f>
        <v>0</v>
      </c>
      <c r="AD58">
        <f>SUMIF(ConfirmedRaw!$B:$B,$A58,ConfirmedRaw!AG:AG)</f>
        <v>0</v>
      </c>
      <c r="AE58">
        <f>SUMIF(ConfirmedRaw!$B:$B,$A58,ConfirmedRaw!AH:AH)</f>
        <v>0</v>
      </c>
      <c r="AF58">
        <f>SUMIF(ConfirmedRaw!$B:$B,$A58,ConfirmedRaw!AI:AI)</f>
        <v>0</v>
      </c>
      <c r="AG58">
        <f>SUMIF(ConfirmedRaw!$B:$B,$A58,ConfirmedRaw!AJ:AJ)</f>
        <v>0</v>
      </c>
      <c r="AH58">
        <f>SUMIF(ConfirmedRaw!$B:$B,$A58,ConfirmedRaw!AK:AK)</f>
        <v>0</v>
      </c>
      <c r="AI58">
        <f>SUMIF(ConfirmedRaw!$B:$B,$A58,ConfirmedRaw!AL:AL)</f>
        <v>0</v>
      </c>
      <c r="AJ58">
        <f>SUMIF(ConfirmedRaw!$B:$B,$A58,ConfirmedRaw!AM:AM)</f>
        <v>0</v>
      </c>
      <c r="AK58">
        <f>SUMIF(ConfirmedRaw!$B:$B,$A58,ConfirmedRaw!AN:AN)</f>
        <v>0</v>
      </c>
      <c r="AL58">
        <f>SUMIF(ConfirmedRaw!$B:$B,$A58,ConfirmedRaw!AO:AO)</f>
        <v>0</v>
      </c>
      <c r="AM58">
        <f>SUMIF(ConfirmedRaw!$B:$B,$A58,ConfirmedRaw!AP:AP)</f>
        <v>0</v>
      </c>
      <c r="AN58">
        <f>SUMIF(ConfirmedRaw!$B:$B,$A58,ConfirmedRaw!AQ:AQ)</f>
        <v>0</v>
      </c>
      <c r="AO58">
        <f>SUMIF(ConfirmedRaw!$B:$B,$A58,ConfirmedRaw!AR:AR)</f>
        <v>0</v>
      </c>
      <c r="AP58">
        <f>SUMIF(ConfirmedRaw!$B:$B,$A58,ConfirmedRaw!AS:AS)</f>
        <v>0</v>
      </c>
      <c r="AQ58">
        <f>SUMIF(ConfirmedRaw!$B:$B,$A58,ConfirmedRaw!AT:AT)</f>
        <v>0</v>
      </c>
      <c r="AR58">
        <f>SUMIF(ConfirmedRaw!$B:$B,$A58,ConfirmedRaw!AU:AU)</f>
        <v>0</v>
      </c>
      <c r="AS58">
        <f>SUMIF(ConfirmedRaw!$B:$B,$A58,ConfirmedRaw!AV:AV)</f>
        <v>0</v>
      </c>
      <c r="AT58">
        <f>SUMIF(ConfirmedRaw!$B:$B,$A58,ConfirmedRaw!AW:AW)</f>
        <v>1</v>
      </c>
      <c r="AU58">
        <f>SUMIF(ConfirmedRaw!$B:$B,$A58,ConfirmedRaw!AX:AX)</f>
        <v>1</v>
      </c>
      <c r="AV58">
        <f>SUMIF(ConfirmedRaw!$B:$B,$A58,ConfirmedRaw!AY:AY)</f>
        <v>3</v>
      </c>
      <c r="AW58">
        <f>SUMIF(ConfirmedRaw!$B:$B,$A58,ConfirmedRaw!AZ:AZ)</f>
        <v>3</v>
      </c>
      <c r="AX58">
        <f>SUMIF(ConfirmedRaw!$B:$B,$A58,ConfirmedRaw!BA:BA)</f>
        <v>7</v>
      </c>
      <c r="AY58">
        <f>SUMIF(ConfirmedRaw!$B:$B,$A58,ConfirmedRaw!BB:BB)</f>
        <v>10</v>
      </c>
      <c r="AZ58">
        <f>SUMIF(ConfirmedRaw!$B:$B,$A58,ConfirmedRaw!BC:BC)</f>
        <v>16</v>
      </c>
      <c r="BA58">
        <f>SUMIF(ConfirmedRaw!$B:$B,$A58,ConfirmedRaw!BD:BD)</f>
        <v>32</v>
      </c>
      <c r="BB58">
        <f>SUMIF(ConfirmedRaw!$B:$B,$A58,ConfirmedRaw!BE:BE)</f>
        <v>44</v>
      </c>
      <c r="BC58">
        <f>SUMIF(ConfirmedRaw!$B:$B,$A58,ConfirmedRaw!BF:BF)</f>
        <v>54</v>
      </c>
      <c r="BD58">
        <f>SUMIF(ConfirmedRaw!$B:$B,$A58,ConfirmedRaw!BG:BG)</f>
        <v>63</v>
      </c>
      <c r="BE58">
        <f>SUMIF(ConfirmedRaw!$B:$B,$A58,ConfirmedRaw!BH:BH)</f>
        <v>72</v>
      </c>
      <c r="BF58">
        <f>SUMIF(ConfirmedRaw!$B:$B,$A58,ConfirmedRaw!BI:BI)</f>
        <v>105</v>
      </c>
      <c r="BG58">
        <f>SUMIF(ConfirmedRaw!$B:$B,$A58,ConfirmedRaw!BJ:BJ)</f>
        <v>0</v>
      </c>
      <c r="BH58">
        <f>SUMIF(ConfirmedRaw!$B:$B,$A58,ConfirmedRaw!BK:BK)</f>
        <v>0</v>
      </c>
      <c r="BI58">
        <f>SUMIF(ConfirmedRaw!$B:$B,$A58,ConfirmedRaw!BL:BL)</f>
        <v>0</v>
      </c>
      <c r="BJ58">
        <f>SUMIF(ConfirmedRaw!$B:$B,$A58,ConfirmedRaw!BM:BM)</f>
        <v>0</v>
      </c>
      <c r="BK58">
        <f>SUMIF(ConfirmedRaw!$B:$B,$A58,ConfirmedRaw!BN:BN)</f>
        <v>0</v>
      </c>
      <c r="BL58">
        <f>SUMIF(ConfirmedRaw!$B:$B,$A58,ConfirmedRaw!BO:BO)</f>
        <v>0</v>
      </c>
      <c r="BM58">
        <f>SUMIF(ConfirmedRaw!$B:$B,$A58,ConfirmedRaw!BP:BP)</f>
        <v>0</v>
      </c>
      <c r="BN58">
        <f>SUMIF(ConfirmedRaw!$B:$B,$A58,ConfirmedRaw!BQ:BQ)</f>
        <v>0</v>
      </c>
      <c r="BO58">
        <f>SUMIF(ConfirmedRaw!$B:$B,$A58,ConfirmedRaw!BR:BR)</f>
        <v>0</v>
      </c>
      <c r="BP58">
        <f>SUMIF(ConfirmedRaw!$B:$B,$A58,ConfirmedRaw!BS:BS)</f>
        <v>0</v>
      </c>
      <c r="BQ58">
        <f>SUMIF(ConfirmedRaw!$B:$B,$A58,ConfirmedRaw!BT:BT)</f>
        <v>0</v>
      </c>
      <c r="BR58">
        <f>SUMIF(ConfirmedRaw!$B:$B,$A58,ConfirmedRaw!BU:BU)</f>
        <v>0</v>
      </c>
      <c r="BS58">
        <f>SUMIF(ConfirmedRaw!$B:$B,$A58,ConfirmedRaw!BV:BV)</f>
        <v>0</v>
      </c>
      <c r="BT58">
        <f>SUMIF(ConfirmedRaw!$B:$B,$A58,ConfirmedRaw!BW:BW)</f>
        <v>0</v>
      </c>
    </row>
    <row r="59" spans="1:72" ht="15" thickBot="1" x14ac:dyDescent="0.35">
      <c r="A59" s="4" t="s">
        <v>123</v>
      </c>
      <c r="B59">
        <f>SUMIF(ConfirmedRaw!$B:$B,$A59,ConfirmedRaw!E:E)</f>
        <v>0</v>
      </c>
      <c r="C59">
        <f>SUMIF(ConfirmedRaw!$B:$B,$A59,ConfirmedRaw!F:F)</f>
        <v>0</v>
      </c>
      <c r="D59">
        <f>SUMIF(ConfirmedRaw!$B:$B,$A59,ConfirmedRaw!G:G)</f>
        <v>0</v>
      </c>
      <c r="E59">
        <f>SUMIF(ConfirmedRaw!$B:$B,$A59,ConfirmedRaw!H:H)</f>
        <v>0</v>
      </c>
      <c r="F59">
        <f>SUMIF(ConfirmedRaw!$B:$B,$A59,ConfirmedRaw!I:I)</f>
        <v>0</v>
      </c>
      <c r="G59">
        <f>SUMIF(ConfirmedRaw!$B:$B,$A59,ConfirmedRaw!J:J)</f>
        <v>0</v>
      </c>
      <c r="H59">
        <f>SUMIF(ConfirmedRaw!$B:$B,$A59,ConfirmedRaw!K:K)</f>
        <v>0</v>
      </c>
      <c r="I59">
        <f>SUMIF(ConfirmedRaw!$B:$B,$A59,ConfirmedRaw!L:L)</f>
        <v>0</v>
      </c>
      <c r="J59">
        <f>SUMIF(ConfirmedRaw!$B:$B,$A59,ConfirmedRaw!M:M)</f>
        <v>0</v>
      </c>
      <c r="K59">
        <f>SUMIF(ConfirmedRaw!$B:$B,$A59,ConfirmedRaw!N:N)</f>
        <v>0</v>
      </c>
      <c r="L59">
        <f>SUMIF(ConfirmedRaw!$B:$B,$A59,ConfirmedRaw!O:O)</f>
        <v>0</v>
      </c>
      <c r="M59">
        <f>SUMIF(ConfirmedRaw!$B:$B,$A59,ConfirmedRaw!P:P)</f>
        <v>0</v>
      </c>
      <c r="N59">
        <f>SUMIF(ConfirmedRaw!$B:$B,$A59,ConfirmedRaw!Q:Q)</f>
        <v>0</v>
      </c>
      <c r="O59">
        <f>SUMIF(ConfirmedRaw!$B:$B,$A59,ConfirmedRaw!R:R)</f>
        <v>0</v>
      </c>
      <c r="P59">
        <f>SUMIF(ConfirmedRaw!$B:$B,$A59,ConfirmedRaw!S:S)</f>
        <v>0</v>
      </c>
      <c r="Q59">
        <f>SUMIF(ConfirmedRaw!$B:$B,$A59,ConfirmedRaw!T:T)</f>
        <v>0</v>
      </c>
      <c r="R59">
        <f>SUMIF(ConfirmedRaw!$B:$B,$A59,ConfirmedRaw!U:U)</f>
        <v>0</v>
      </c>
      <c r="S59">
        <f>SUMIF(ConfirmedRaw!$B:$B,$A59,ConfirmedRaw!V:V)</f>
        <v>0</v>
      </c>
      <c r="T59">
        <f>SUMIF(ConfirmedRaw!$B:$B,$A59,ConfirmedRaw!W:W)</f>
        <v>0</v>
      </c>
      <c r="U59">
        <f>SUMIF(ConfirmedRaw!$B:$B,$A59,ConfirmedRaw!X:X)</f>
        <v>0</v>
      </c>
      <c r="V59">
        <f>SUMIF(ConfirmedRaw!$B:$B,$A59,ConfirmedRaw!Y:Y)</f>
        <v>0</v>
      </c>
      <c r="W59">
        <f>SUMIF(ConfirmedRaw!$B:$B,$A59,ConfirmedRaw!Z:Z)</f>
        <v>0</v>
      </c>
      <c r="X59">
        <f>SUMIF(ConfirmedRaw!$B:$B,$A59,ConfirmedRaw!AA:AA)</f>
        <v>0</v>
      </c>
      <c r="Y59">
        <f>SUMIF(ConfirmedRaw!$B:$B,$A59,ConfirmedRaw!AB:AB)</f>
        <v>0</v>
      </c>
      <c r="Z59">
        <f>SUMIF(ConfirmedRaw!$B:$B,$A59,ConfirmedRaw!AC:AC)</f>
        <v>0</v>
      </c>
      <c r="AA59">
        <f>SUMIF(ConfirmedRaw!$B:$B,$A59,ConfirmedRaw!AD:AD)</f>
        <v>0</v>
      </c>
      <c r="AB59">
        <f>SUMIF(ConfirmedRaw!$B:$B,$A59,ConfirmedRaw!AE:AE)</f>
        <v>0</v>
      </c>
      <c r="AC59">
        <f>SUMIF(ConfirmedRaw!$B:$B,$A59,ConfirmedRaw!AF:AF)</f>
        <v>0</v>
      </c>
      <c r="AD59">
        <f>SUMIF(ConfirmedRaw!$B:$B,$A59,ConfirmedRaw!AG:AG)</f>
        <v>0</v>
      </c>
      <c r="AE59">
        <f>SUMIF(ConfirmedRaw!$B:$B,$A59,ConfirmedRaw!AH:AH)</f>
        <v>0</v>
      </c>
      <c r="AF59">
        <f>SUMIF(ConfirmedRaw!$B:$B,$A59,ConfirmedRaw!AI:AI)</f>
        <v>0</v>
      </c>
      <c r="AG59">
        <f>SUMIF(ConfirmedRaw!$B:$B,$A59,ConfirmedRaw!AJ:AJ)</f>
        <v>0</v>
      </c>
      <c r="AH59">
        <f>SUMIF(ConfirmedRaw!$B:$B,$A59,ConfirmedRaw!AK:AK)</f>
        <v>0</v>
      </c>
      <c r="AI59">
        <f>SUMIF(ConfirmedRaw!$B:$B,$A59,ConfirmedRaw!AL:AL)</f>
        <v>0</v>
      </c>
      <c r="AJ59">
        <f>SUMIF(ConfirmedRaw!$B:$B,$A59,ConfirmedRaw!AM:AM)</f>
        <v>0</v>
      </c>
      <c r="AK59">
        <f>SUMIF(ConfirmedRaw!$B:$B,$A59,ConfirmedRaw!AN:AN)</f>
        <v>0</v>
      </c>
      <c r="AL59">
        <f>SUMIF(ConfirmedRaw!$B:$B,$A59,ConfirmedRaw!AO:AO)</f>
        <v>0</v>
      </c>
      <c r="AM59">
        <f>SUMIF(ConfirmedRaw!$B:$B,$A59,ConfirmedRaw!AP:AP)</f>
        <v>0</v>
      </c>
      <c r="AN59">
        <f>SUMIF(ConfirmedRaw!$B:$B,$A59,ConfirmedRaw!AQ:AQ)</f>
        <v>0</v>
      </c>
      <c r="AO59">
        <f>SUMIF(ConfirmedRaw!$B:$B,$A59,ConfirmedRaw!AR:AR)</f>
        <v>0</v>
      </c>
      <c r="AP59">
        <f>SUMIF(ConfirmedRaw!$B:$B,$A59,ConfirmedRaw!AS:AS)</f>
        <v>0</v>
      </c>
      <c r="AQ59">
        <f>SUMIF(ConfirmedRaw!$B:$B,$A59,ConfirmedRaw!AT:AT)</f>
        <v>1</v>
      </c>
      <c r="AR59">
        <f>SUMIF(ConfirmedRaw!$B:$B,$A59,ConfirmedRaw!AU:AU)</f>
        <v>1</v>
      </c>
      <c r="AS59">
        <f>SUMIF(ConfirmedRaw!$B:$B,$A59,ConfirmedRaw!AV:AV)</f>
        <v>1</v>
      </c>
      <c r="AT59">
        <f>SUMIF(ConfirmedRaw!$B:$B,$A59,ConfirmedRaw!AW:AW)</f>
        <v>2</v>
      </c>
      <c r="AU59">
        <f>SUMIF(ConfirmedRaw!$B:$B,$A59,ConfirmedRaw!AX:AX)</f>
        <v>8</v>
      </c>
      <c r="AV59">
        <f>SUMIF(ConfirmedRaw!$B:$B,$A59,ConfirmedRaw!AY:AY)</f>
        <v>12</v>
      </c>
      <c r="AW59">
        <f>SUMIF(ConfirmedRaw!$B:$B,$A59,ConfirmedRaw!AZ:AZ)</f>
        <v>12</v>
      </c>
      <c r="AX59">
        <f>SUMIF(ConfirmedRaw!$B:$B,$A59,ConfirmedRaw!BA:BA)</f>
        <v>17</v>
      </c>
      <c r="AY59">
        <f>SUMIF(ConfirmedRaw!$B:$B,$A59,ConfirmedRaw!BB:BB)</f>
        <v>19</v>
      </c>
      <c r="AZ59">
        <f>SUMIF(ConfirmedRaw!$B:$B,$A59,ConfirmedRaw!BC:BC)</f>
        <v>19</v>
      </c>
      <c r="BA59">
        <f>SUMIF(ConfirmedRaw!$B:$B,$A59,ConfirmedRaw!BD:BD)</f>
        <v>31</v>
      </c>
      <c r="BB59">
        <f>SUMIF(ConfirmedRaw!$B:$B,$A59,ConfirmedRaw!BE:BE)</f>
        <v>34</v>
      </c>
      <c r="BC59">
        <f>SUMIF(ConfirmedRaw!$B:$B,$A59,ConfirmedRaw!BF:BF)</f>
        <v>45</v>
      </c>
      <c r="BD59">
        <f>SUMIF(ConfirmedRaw!$B:$B,$A59,ConfirmedRaw!BG:BG)</f>
        <v>56</v>
      </c>
      <c r="BE59">
        <f>SUMIF(ConfirmedRaw!$B:$B,$A59,ConfirmedRaw!BH:BH)</f>
        <v>68</v>
      </c>
      <c r="BF59">
        <f>SUMIF(ConfirmedRaw!$B:$B,$A59,ConfirmedRaw!BI:BI)</f>
        <v>79</v>
      </c>
      <c r="BG59">
        <f>SUMIF(ConfirmedRaw!$B:$B,$A59,ConfirmedRaw!BJ:BJ)</f>
        <v>0</v>
      </c>
      <c r="BH59">
        <f>SUMIF(ConfirmedRaw!$B:$B,$A59,ConfirmedRaw!BK:BK)</f>
        <v>0</v>
      </c>
      <c r="BI59">
        <f>SUMIF(ConfirmedRaw!$B:$B,$A59,ConfirmedRaw!BL:BL)</f>
        <v>0</v>
      </c>
      <c r="BJ59">
        <f>SUMIF(ConfirmedRaw!$B:$B,$A59,ConfirmedRaw!BM:BM)</f>
        <v>0</v>
      </c>
      <c r="BK59">
        <f>SUMIF(ConfirmedRaw!$B:$B,$A59,ConfirmedRaw!BN:BN)</f>
        <v>0</v>
      </c>
      <c r="BL59">
        <f>SUMIF(ConfirmedRaw!$B:$B,$A59,ConfirmedRaw!BO:BO)</f>
        <v>0</v>
      </c>
      <c r="BM59">
        <f>SUMIF(ConfirmedRaw!$B:$B,$A59,ConfirmedRaw!BP:BP)</f>
        <v>0</v>
      </c>
      <c r="BN59">
        <f>SUMIF(ConfirmedRaw!$B:$B,$A59,ConfirmedRaw!BQ:BQ)</f>
        <v>0</v>
      </c>
      <c r="BO59">
        <f>SUMIF(ConfirmedRaw!$B:$B,$A59,ConfirmedRaw!BR:BR)</f>
        <v>0</v>
      </c>
      <c r="BP59">
        <f>SUMIF(ConfirmedRaw!$B:$B,$A59,ConfirmedRaw!BS:BS)</f>
        <v>0</v>
      </c>
      <c r="BQ59">
        <f>SUMIF(ConfirmedRaw!$B:$B,$A59,ConfirmedRaw!BT:BT)</f>
        <v>0</v>
      </c>
      <c r="BR59">
        <f>SUMIF(ConfirmedRaw!$B:$B,$A59,ConfirmedRaw!BU:BU)</f>
        <v>0</v>
      </c>
      <c r="BS59">
        <f>SUMIF(ConfirmedRaw!$B:$B,$A59,ConfirmedRaw!BV:BV)</f>
        <v>0</v>
      </c>
      <c r="BT59">
        <f>SUMIF(ConfirmedRaw!$B:$B,$A59,ConfirmedRaw!BW:BW)</f>
        <v>0</v>
      </c>
    </row>
    <row r="60" spans="1:72" ht="15" thickBot="1" x14ac:dyDescent="0.35">
      <c r="A60" s="3" t="s">
        <v>80</v>
      </c>
      <c r="B60">
        <f>SUMIF(ConfirmedRaw!$B:$B,$A60,ConfirmedRaw!E:E)</f>
        <v>0</v>
      </c>
      <c r="C60">
        <f>SUMIF(ConfirmedRaw!$B:$B,$A60,ConfirmedRaw!F:F)</f>
        <v>0</v>
      </c>
      <c r="D60">
        <f>SUMIF(ConfirmedRaw!$B:$B,$A60,ConfirmedRaw!G:G)</f>
        <v>0</v>
      </c>
      <c r="E60">
        <f>SUMIF(ConfirmedRaw!$B:$B,$A60,ConfirmedRaw!H:H)</f>
        <v>0</v>
      </c>
      <c r="F60">
        <f>SUMIF(ConfirmedRaw!$B:$B,$A60,ConfirmedRaw!I:I)</f>
        <v>0</v>
      </c>
      <c r="G60">
        <f>SUMIF(ConfirmedRaw!$B:$B,$A60,ConfirmedRaw!J:J)</f>
        <v>0</v>
      </c>
      <c r="H60">
        <f>SUMIF(ConfirmedRaw!$B:$B,$A60,ConfirmedRaw!K:K)</f>
        <v>0</v>
      </c>
      <c r="I60">
        <f>SUMIF(ConfirmedRaw!$B:$B,$A60,ConfirmedRaw!L:L)</f>
        <v>0</v>
      </c>
      <c r="J60">
        <f>SUMIF(ConfirmedRaw!$B:$B,$A60,ConfirmedRaw!M:M)</f>
        <v>0</v>
      </c>
      <c r="K60">
        <f>SUMIF(ConfirmedRaw!$B:$B,$A60,ConfirmedRaw!N:N)</f>
        <v>0</v>
      </c>
      <c r="L60">
        <f>SUMIF(ConfirmedRaw!$B:$B,$A60,ConfirmedRaw!O:O)</f>
        <v>0</v>
      </c>
      <c r="M60">
        <f>SUMIF(ConfirmedRaw!$B:$B,$A60,ConfirmedRaw!P:P)</f>
        <v>0</v>
      </c>
      <c r="N60">
        <f>SUMIF(ConfirmedRaw!$B:$B,$A60,ConfirmedRaw!Q:Q)</f>
        <v>0</v>
      </c>
      <c r="O60">
        <f>SUMIF(ConfirmedRaw!$B:$B,$A60,ConfirmedRaw!R:R)</f>
        <v>0</v>
      </c>
      <c r="P60">
        <f>SUMIF(ConfirmedRaw!$B:$B,$A60,ConfirmedRaw!S:S)</f>
        <v>0</v>
      </c>
      <c r="Q60">
        <f>SUMIF(ConfirmedRaw!$B:$B,$A60,ConfirmedRaw!T:T)</f>
        <v>0</v>
      </c>
      <c r="R60">
        <f>SUMIF(ConfirmedRaw!$B:$B,$A60,ConfirmedRaw!U:U)</f>
        <v>0</v>
      </c>
      <c r="S60">
        <f>SUMIF(ConfirmedRaw!$B:$B,$A60,ConfirmedRaw!V:V)</f>
        <v>0</v>
      </c>
      <c r="T60">
        <f>SUMIF(ConfirmedRaw!$B:$B,$A60,ConfirmedRaw!W:W)</f>
        <v>0</v>
      </c>
      <c r="U60">
        <f>SUMIF(ConfirmedRaw!$B:$B,$A60,ConfirmedRaw!X:X)</f>
        <v>0</v>
      </c>
      <c r="V60">
        <f>SUMIF(ConfirmedRaw!$B:$B,$A60,ConfirmedRaw!Y:Y)</f>
        <v>0</v>
      </c>
      <c r="W60">
        <f>SUMIF(ConfirmedRaw!$B:$B,$A60,ConfirmedRaw!Z:Z)</f>
        <v>0</v>
      </c>
      <c r="X60">
        <f>SUMIF(ConfirmedRaw!$B:$B,$A60,ConfirmedRaw!AA:AA)</f>
        <v>0</v>
      </c>
      <c r="Y60">
        <f>SUMIF(ConfirmedRaw!$B:$B,$A60,ConfirmedRaw!AB:AB)</f>
        <v>0</v>
      </c>
      <c r="Z60">
        <f>SUMIF(ConfirmedRaw!$B:$B,$A60,ConfirmedRaw!AC:AC)</f>
        <v>0</v>
      </c>
      <c r="AA60">
        <f>SUMIF(ConfirmedRaw!$B:$B,$A60,ConfirmedRaw!AD:AD)</f>
        <v>0</v>
      </c>
      <c r="AB60">
        <f>SUMIF(ConfirmedRaw!$B:$B,$A60,ConfirmedRaw!AE:AE)</f>
        <v>0</v>
      </c>
      <c r="AC60">
        <f>SUMIF(ConfirmedRaw!$B:$B,$A60,ConfirmedRaw!AF:AF)</f>
        <v>0</v>
      </c>
      <c r="AD60">
        <f>SUMIF(ConfirmedRaw!$B:$B,$A60,ConfirmedRaw!AG:AG)</f>
        <v>0</v>
      </c>
      <c r="AE60">
        <f>SUMIF(ConfirmedRaw!$B:$B,$A60,ConfirmedRaw!AH:AH)</f>
        <v>0</v>
      </c>
      <c r="AF60">
        <f>SUMIF(ConfirmedRaw!$B:$B,$A60,ConfirmedRaw!AI:AI)</f>
        <v>0</v>
      </c>
      <c r="AG60">
        <f>SUMIF(ConfirmedRaw!$B:$B,$A60,ConfirmedRaw!AJ:AJ)</f>
        <v>0</v>
      </c>
      <c r="AH60">
        <f>SUMIF(ConfirmedRaw!$B:$B,$A60,ConfirmedRaw!AK:AK)</f>
        <v>0</v>
      </c>
      <c r="AI60">
        <f>SUMIF(ConfirmedRaw!$B:$B,$A60,ConfirmedRaw!AL:AL)</f>
        <v>0</v>
      </c>
      <c r="AJ60">
        <f>SUMIF(ConfirmedRaw!$B:$B,$A60,ConfirmedRaw!AM:AM)</f>
        <v>0</v>
      </c>
      <c r="AK60">
        <f>SUMIF(ConfirmedRaw!$B:$B,$A60,ConfirmedRaw!AN:AN)</f>
        <v>2</v>
      </c>
      <c r="AL60">
        <f>SUMIF(ConfirmedRaw!$B:$B,$A60,ConfirmedRaw!AO:AO)</f>
        <v>2</v>
      </c>
      <c r="AM60">
        <f>SUMIF(ConfirmedRaw!$B:$B,$A60,ConfirmedRaw!AP:AP)</f>
        <v>2</v>
      </c>
      <c r="AN60">
        <f>SUMIF(ConfirmedRaw!$B:$B,$A60,ConfirmedRaw!AQ:AQ)</f>
        <v>4</v>
      </c>
      <c r="AO60">
        <f>SUMIF(ConfirmedRaw!$B:$B,$A60,ConfirmedRaw!AR:AR)</f>
        <v>4</v>
      </c>
      <c r="AP60">
        <f>SUMIF(ConfirmedRaw!$B:$B,$A60,ConfirmedRaw!AS:AS)</f>
        <v>4</v>
      </c>
      <c r="AQ60">
        <f>SUMIF(ConfirmedRaw!$B:$B,$A60,ConfirmedRaw!AT:AT)</f>
        <v>5</v>
      </c>
      <c r="AR60">
        <f>SUMIF(ConfirmedRaw!$B:$B,$A60,ConfirmedRaw!AU:AU)</f>
        <v>5</v>
      </c>
      <c r="AS60">
        <f>SUMIF(ConfirmedRaw!$B:$B,$A60,ConfirmedRaw!AV:AV)</f>
        <v>5</v>
      </c>
      <c r="AT60">
        <f>SUMIF(ConfirmedRaw!$B:$B,$A60,ConfirmedRaw!AW:AW)</f>
        <v>6</v>
      </c>
      <c r="AU60">
        <f>SUMIF(ConfirmedRaw!$B:$B,$A60,ConfirmedRaw!AX:AX)</f>
        <v>6</v>
      </c>
      <c r="AV60">
        <f>SUMIF(ConfirmedRaw!$B:$B,$A60,ConfirmedRaw!AY:AY)</f>
        <v>6</v>
      </c>
      <c r="AW60">
        <f>SUMIF(ConfirmedRaw!$B:$B,$A60,ConfirmedRaw!AZ:AZ)</f>
        <v>6</v>
      </c>
      <c r="AX60">
        <f>SUMIF(ConfirmedRaw!$B:$B,$A60,ConfirmedRaw!BA:BA)</f>
        <v>16</v>
      </c>
      <c r="AY60">
        <f>SUMIF(ConfirmedRaw!$B:$B,$A60,ConfirmedRaw!BB:BB)</f>
        <v>19</v>
      </c>
      <c r="AZ60">
        <f>SUMIF(ConfirmedRaw!$B:$B,$A60,ConfirmedRaw!BC:BC)</f>
        <v>20</v>
      </c>
      <c r="BA60">
        <f>SUMIF(ConfirmedRaw!$B:$B,$A60,ConfirmedRaw!BD:BD)</f>
        <v>28</v>
      </c>
      <c r="BB60">
        <f>SUMIF(ConfirmedRaw!$B:$B,$A60,ConfirmedRaw!BE:BE)</f>
        <v>31</v>
      </c>
      <c r="BC60">
        <f>SUMIF(ConfirmedRaw!$B:$B,$A60,ConfirmedRaw!BF:BF)</f>
        <v>53</v>
      </c>
      <c r="BD60">
        <f>SUMIF(ConfirmedRaw!$B:$B,$A60,ConfirmedRaw!BG:BG)</f>
        <v>136</v>
      </c>
      <c r="BE60">
        <f>SUMIF(ConfirmedRaw!$B:$B,$A60,ConfirmedRaw!BH:BH)</f>
        <v>236</v>
      </c>
      <c r="BF60">
        <f>SUMIF(ConfirmedRaw!$B:$B,$A60,ConfirmedRaw!BI:BI)</f>
        <v>299</v>
      </c>
      <c r="BG60">
        <f>SUMIF(ConfirmedRaw!$B:$B,$A60,ConfirmedRaw!BJ:BJ)</f>
        <v>0</v>
      </c>
      <c r="BH60">
        <f>SUMIF(ConfirmedRaw!$B:$B,$A60,ConfirmedRaw!BK:BK)</f>
        <v>0</v>
      </c>
      <c r="BI60">
        <f>SUMIF(ConfirmedRaw!$B:$B,$A60,ConfirmedRaw!BL:BL)</f>
        <v>0</v>
      </c>
      <c r="BJ60">
        <f>SUMIF(ConfirmedRaw!$B:$B,$A60,ConfirmedRaw!BM:BM)</f>
        <v>0</v>
      </c>
      <c r="BK60">
        <f>SUMIF(ConfirmedRaw!$B:$B,$A60,ConfirmedRaw!BN:BN)</f>
        <v>0</v>
      </c>
      <c r="BL60">
        <f>SUMIF(ConfirmedRaw!$B:$B,$A60,ConfirmedRaw!BO:BO)</f>
        <v>0</v>
      </c>
      <c r="BM60">
        <f>SUMIF(ConfirmedRaw!$B:$B,$A60,ConfirmedRaw!BP:BP)</f>
        <v>0</v>
      </c>
      <c r="BN60">
        <f>SUMIF(ConfirmedRaw!$B:$B,$A60,ConfirmedRaw!BQ:BQ)</f>
        <v>0</v>
      </c>
      <c r="BO60">
        <f>SUMIF(ConfirmedRaw!$B:$B,$A60,ConfirmedRaw!BR:BR)</f>
        <v>0</v>
      </c>
      <c r="BP60">
        <f>SUMIF(ConfirmedRaw!$B:$B,$A60,ConfirmedRaw!BS:BS)</f>
        <v>0</v>
      </c>
      <c r="BQ60">
        <f>SUMIF(ConfirmedRaw!$B:$B,$A60,ConfirmedRaw!BT:BT)</f>
        <v>0</v>
      </c>
      <c r="BR60">
        <f>SUMIF(ConfirmedRaw!$B:$B,$A60,ConfirmedRaw!BU:BU)</f>
        <v>0</v>
      </c>
      <c r="BS60">
        <f>SUMIF(ConfirmedRaw!$B:$B,$A60,ConfirmedRaw!BV:BV)</f>
        <v>0</v>
      </c>
      <c r="BT60">
        <f>SUMIF(ConfirmedRaw!$B:$B,$A60,ConfirmedRaw!BW:BW)</f>
        <v>0</v>
      </c>
    </row>
    <row r="61" spans="1:72" ht="15" thickBot="1" x14ac:dyDescent="0.35">
      <c r="A61" s="4" t="s">
        <v>160</v>
      </c>
      <c r="B61">
        <f>SUMIF(ConfirmedRaw!$B:$B,$A61,ConfirmedRaw!E:E)</f>
        <v>0</v>
      </c>
      <c r="C61">
        <f>SUMIF(ConfirmedRaw!$B:$B,$A61,ConfirmedRaw!F:F)</f>
        <v>0</v>
      </c>
      <c r="D61">
        <f>SUMIF(ConfirmedRaw!$B:$B,$A61,ConfirmedRaw!G:G)</f>
        <v>0</v>
      </c>
      <c r="E61">
        <f>SUMIF(ConfirmedRaw!$B:$B,$A61,ConfirmedRaw!H:H)</f>
        <v>0</v>
      </c>
      <c r="F61">
        <f>SUMIF(ConfirmedRaw!$B:$B,$A61,ConfirmedRaw!I:I)</f>
        <v>0</v>
      </c>
      <c r="G61">
        <f>SUMIF(ConfirmedRaw!$B:$B,$A61,ConfirmedRaw!J:J)</f>
        <v>0</v>
      </c>
      <c r="H61">
        <f>SUMIF(ConfirmedRaw!$B:$B,$A61,ConfirmedRaw!K:K)</f>
        <v>0</v>
      </c>
      <c r="I61">
        <f>SUMIF(ConfirmedRaw!$B:$B,$A61,ConfirmedRaw!L:L)</f>
        <v>0</v>
      </c>
      <c r="J61">
        <f>SUMIF(ConfirmedRaw!$B:$B,$A61,ConfirmedRaw!M:M)</f>
        <v>0</v>
      </c>
      <c r="K61">
        <f>SUMIF(ConfirmedRaw!$B:$B,$A61,ConfirmedRaw!N:N)</f>
        <v>0</v>
      </c>
      <c r="L61">
        <f>SUMIF(ConfirmedRaw!$B:$B,$A61,ConfirmedRaw!O:O)</f>
        <v>0</v>
      </c>
      <c r="M61">
        <f>SUMIF(ConfirmedRaw!$B:$B,$A61,ConfirmedRaw!P:P)</f>
        <v>0</v>
      </c>
      <c r="N61">
        <f>SUMIF(ConfirmedRaw!$B:$B,$A61,ConfirmedRaw!Q:Q)</f>
        <v>0</v>
      </c>
      <c r="O61">
        <f>SUMIF(ConfirmedRaw!$B:$B,$A61,ConfirmedRaw!R:R)</f>
        <v>0</v>
      </c>
      <c r="P61">
        <f>SUMIF(ConfirmedRaw!$B:$B,$A61,ConfirmedRaw!S:S)</f>
        <v>0</v>
      </c>
      <c r="Q61">
        <f>SUMIF(ConfirmedRaw!$B:$B,$A61,ConfirmedRaw!T:T)</f>
        <v>0</v>
      </c>
      <c r="R61">
        <f>SUMIF(ConfirmedRaw!$B:$B,$A61,ConfirmedRaw!U:U)</f>
        <v>0</v>
      </c>
      <c r="S61">
        <f>SUMIF(ConfirmedRaw!$B:$B,$A61,ConfirmedRaw!V:V)</f>
        <v>0</v>
      </c>
      <c r="T61">
        <f>SUMIF(ConfirmedRaw!$B:$B,$A61,ConfirmedRaw!W:W)</f>
        <v>0</v>
      </c>
      <c r="U61">
        <f>SUMIF(ConfirmedRaw!$B:$B,$A61,ConfirmedRaw!X:X)</f>
        <v>0</v>
      </c>
      <c r="V61">
        <f>SUMIF(ConfirmedRaw!$B:$B,$A61,ConfirmedRaw!Y:Y)</f>
        <v>0</v>
      </c>
      <c r="W61">
        <f>SUMIF(ConfirmedRaw!$B:$B,$A61,ConfirmedRaw!Z:Z)</f>
        <v>0</v>
      </c>
      <c r="X61">
        <f>SUMIF(ConfirmedRaw!$B:$B,$A61,ConfirmedRaw!AA:AA)</f>
        <v>0</v>
      </c>
      <c r="Y61">
        <f>SUMIF(ConfirmedRaw!$B:$B,$A61,ConfirmedRaw!AB:AB)</f>
        <v>0</v>
      </c>
      <c r="Z61">
        <f>SUMIF(ConfirmedRaw!$B:$B,$A61,ConfirmedRaw!AC:AC)</f>
        <v>0</v>
      </c>
      <c r="AA61">
        <f>SUMIF(ConfirmedRaw!$B:$B,$A61,ConfirmedRaw!AD:AD)</f>
        <v>0</v>
      </c>
      <c r="AB61">
        <f>SUMIF(ConfirmedRaw!$B:$B,$A61,ConfirmedRaw!AE:AE)</f>
        <v>0</v>
      </c>
      <c r="AC61">
        <f>SUMIF(ConfirmedRaw!$B:$B,$A61,ConfirmedRaw!AF:AF)</f>
        <v>0</v>
      </c>
      <c r="AD61">
        <f>SUMIF(ConfirmedRaw!$B:$B,$A61,ConfirmedRaw!AG:AG)</f>
        <v>0</v>
      </c>
      <c r="AE61">
        <f>SUMIF(ConfirmedRaw!$B:$B,$A61,ConfirmedRaw!AH:AH)</f>
        <v>0</v>
      </c>
      <c r="AF61">
        <f>SUMIF(ConfirmedRaw!$B:$B,$A61,ConfirmedRaw!AI:AI)</f>
        <v>0</v>
      </c>
      <c r="AG61">
        <f>SUMIF(ConfirmedRaw!$B:$B,$A61,ConfirmedRaw!AJ:AJ)</f>
        <v>0</v>
      </c>
      <c r="AH61">
        <f>SUMIF(ConfirmedRaw!$B:$B,$A61,ConfirmedRaw!AK:AK)</f>
        <v>0</v>
      </c>
      <c r="AI61">
        <f>SUMIF(ConfirmedRaw!$B:$B,$A61,ConfirmedRaw!AL:AL)</f>
        <v>0</v>
      </c>
      <c r="AJ61">
        <f>SUMIF(ConfirmedRaw!$B:$B,$A61,ConfirmedRaw!AM:AM)</f>
        <v>0</v>
      </c>
      <c r="AK61">
        <f>SUMIF(ConfirmedRaw!$B:$B,$A61,ConfirmedRaw!AN:AN)</f>
        <v>0</v>
      </c>
      <c r="AL61">
        <f>SUMIF(ConfirmedRaw!$B:$B,$A61,ConfirmedRaw!AO:AO)</f>
        <v>0</v>
      </c>
      <c r="AM61">
        <f>SUMIF(ConfirmedRaw!$B:$B,$A61,ConfirmedRaw!AP:AP)</f>
        <v>0</v>
      </c>
      <c r="AN61">
        <f>SUMIF(ConfirmedRaw!$B:$B,$A61,ConfirmedRaw!AQ:AQ)</f>
        <v>0</v>
      </c>
      <c r="AO61">
        <f>SUMIF(ConfirmedRaw!$B:$B,$A61,ConfirmedRaw!AR:AR)</f>
        <v>0</v>
      </c>
      <c r="AP61">
        <f>SUMIF(ConfirmedRaw!$B:$B,$A61,ConfirmedRaw!AS:AS)</f>
        <v>0</v>
      </c>
      <c r="AQ61">
        <f>SUMIF(ConfirmedRaw!$B:$B,$A61,ConfirmedRaw!AT:AT)</f>
        <v>0</v>
      </c>
      <c r="AR61">
        <f>SUMIF(ConfirmedRaw!$B:$B,$A61,ConfirmedRaw!AU:AU)</f>
        <v>0</v>
      </c>
      <c r="AS61">
        <f>SUMIF(ConfirmedRaw!$B:$B,$A61,ConfirmedRaw!AV:AV)</f>
        <v>0</v>
      </c>
      <c r="AT61">
        <f>SUMIF(ConfirmedRaw!$B:$B,$A61,ConfirmedRaw!AW:AW)</f>
        <v>1</v>
      </c>
      <c r="AU61">
        <f>SUMIF(ConfirmedRaw!$B:$B,$A61,ConfirmedRaw!AX:AX)</f>
        <v>1</v>
      </c>
      <c r="AV61">
        <f>SUMIF(ConfirmedRaw!$B:$B,$A61,ConfirmedRaw!AY:AY)</f>
        <v>6</v>
      </c>
      <c r="AW61">
        <f>SUMIF(ConfirmedRaw!$B:$B,$A61,ConfirmedRaw!AZ:AZ)</f>
        <v>7</v>
      </c>
      <c r="AX61">
        <f>SUMIF(ConfirmedRaw!$B:$B,$A61,ConfirmedRaw!BA:BA)</f>
        <v>11</v>
      </c>
      <c r="AY61">
        <f>SUMIF(ConfirmedRaw!$B:$B,$A61,ConfirmedRaw!BB:BB)</f>
        <v>11</v>
      </c>
      <c r="AZ61">
        <f>SUMIF(ConfirmedRaw!$B:$B,$A61,ConfirmedRaw!BC:BC)</f>
        <v>15</v>
      </c>
      <c r="BA61">
        <f>SUMIF(ConfirmedRaw!$B:$B,$A61,ConfirmedRaw!BD:BD)</f>
        <v>28</v>
      </c>
      <c r="BB61">
        <f>SUMIF(ConfirmedRaw!$B:$B,$A61,ConfirmedRaw!BE:BE)</f>
        <v>38</v>
      </c>
      <c r="BC61">
        <f>SUMIF(ConfirmedRaw!$B:$B,$A61,ConfirmedRaw!BF:BF)</f>
        <v>43</v>
      </c>
      <c r="BD61">
        <f>SUMIF(ConfirmedRaw!$B:$B,$A61,ConfirmedRaw!BG:BG)</f>
        <v>86</v>
      </c>
      <c r="BE61">
        <f>SUMIF(ConfirmedRaw!$B:$B,$A61,ConfirmedRaw!BH:BH)</f>
        <v>117</v>
      </c>
      <c r="BF61">
        <f>SUMIF(ConfirmedRaw!$B:$B,$A61,ConfirmedRaw!BI:BI)</f>
        <v>145</v>
      </c>
      <c r="BG61">
        <f>SUMIF(ConfirmedRaw!$B:$B,$A61,ConfirmedRaw!BJ:BJ)</f>
        <v>0</v>
      </c>
      <c r="BH61">
        <f>SUMIF(ConfirmedRaw!$B:$B,$A61,ConfirmedRaw!BK:BK)</f>
        <v>0</v>
      </c>
      <c r="BI61">
        <f>SUMIF(ConfirmedRaw!$B:$B,$A61,ConfirmedRaw!BL:BL)</f>
        <v>0</v>
      </c>
      <c r="BJ61">
        <f>SUMIF(ConfirmedRaw!$B:$B,$A61,ConfirmedRaw!BM:BM)</f>
        <v>0</v>
      </c>
      <c r="BK61">
        <f>SUMIF(ConfirmedRaw!$B:$B,$A61,ConfirmedRaw!BN:BN)</f>
        <v>0</v>
      </c>
      <c r="BL61">
        <f>SUMIF(ConfirmedRaw!$B:$B,$A61,ConfirmedRaw!BO:BO)</f>
        <v>0</v>
      </c>
      <c r="BM61">
        <f>SUMIF(ConfirmedRaw!$B:$B,$A61,ConfirmedRaw!BP:BP)</f>
        <v>0</v>
      </c>
      <c r="BN61">
        <f>SUMIF(ConfirmedRaw!$B:$B,$A61,ConfirmedRaw!BQ:BQ)</f>
        <v>0</v>
      </c>
      <c r="BO61">
        <f>SUMIF(ConfirmedRaw!$B:$B,$A61,ConfirmedRaw!BR:BR)</f>
        <v>0</v>
      </c>
      <c r="BP61">
        <f>SUMIF(ConfirmedRaw!$B:$B,$A61,ConfirmedRaw!BS:BS)</f>
        <v>0</v>
      </c>
      <c r="BQ61">
        <f>SUMIF(ConfirmedRaw!$B:$B,$A61,ConfirmedRaw!BT:BT)</f>
        <v>0</v>
      </c>
      <c r="BR61">
        <f>SUMIF(ConfirmedRaw!$B:$B,$A61,ConfirmedRaw!BU:BU)</f>
        <v>0</v>
      </c>
      <c r="BS61">
        <f>SUMIF(ConfirmedRaw!$B:$B,$A61,ConfirmedRaw!BV:BV)</f>
        <v>0</v>
      </c>
      <c r="BT61">
        <f>SUMIF(ConfirmedRaw!$B:$B,$A61,ConfirmedRaw!BW:BW)</f>
        <v>0</v>
      </c>
    </row>
    <row r="62" spans="1:72" ht="15" thickBot="1" x14ac:dyDescent="0.35">
      <c r="A62" s="3" t="s">
        <v>91</v>
      </c>
      <c r="B62">
        <f>SUMIF(ConfirmedRaw!$B:$B,$A62,ConfirmedRaw!E:E)</f>
        <v>0</v>
      </c>
      <c r="C62">
        <f>SUMIF(ConfirmedRaw!$B:$B,$A62,ConfirmedRaw!F:F)</f>
        <v>0</v>
      </c>
      <c r="D62">
        <f>SUMIF(ConfirmedRaw!$B:$B,$A62,ConfirmedRaw!G:G)</f>
        <v>0</v>
      </c>
      <c r="E62">
        <f>SUMIF(ConfirmedRaw!$B:$B,$A62,ConfirmedRaw!H:H)</f>
        <v>0</v>
      </c>
      <c r="F62">
        <f>SUMIF(ConfirmedRaw!$B:$B,$A62,ConfirmedRaw!I:I)</f>
        <v>0</v>
      </c>
      <c r="G62">
        <f>SUMIF(ConfirmedRaw!$B:$B,$A62,ConfirmedRaw!J:J)</f>
        <v>0</v>
      </c>
      <c r="H62">
        <f>SUMIF(ConfirmedRaw!$B:$B,$A62,ConfirmedRaw!K:K)</f>
        <v>0</v>
      </c>
      <c r="I62">
        <f>SUMIF(ConfirmedRaw!$B:$B,$A62,ConfirmedRaw!L:L)</f>
        <v>0</v>
      </c>
      <c r="J62">
        <f>SUMIF(ConfirmedRaw!$B:$B,$A62,ConfirmedRaw!M:M)</f>
        <v>0</v>
      </c>
      <c r="K62">
        <f>SUMIF(ConfirmedRaw!$B:$B,$A62,ConfirmedRaw!N:N)</f>
        <v>0</v>
      </c>
      <c r="L62">
        <f>SUMIF(ConfirmedRaw!$B:$B,$A62,ConfirmedRaw!O:O)</f>
        <v>0</v>
      </c>
      <c r="M62">
        <f>SUMIF(ConfirmedRaw!$B:$B,$A62,ConfirmedRaw!P:P)</f>
        <v>0</v>
      </c>
      <c r="N62">
        <f>SUMIF(ConfirmedRaw!$B:$B,$A62,ConfirmedRaw!Q:Q)</f>
        <v>0</v>
      </c>
      <c r="O62">
        <f>SUMIF(ConfirmedRaw!$B:$B,$A62,ConfirmedRaw!R:R)</f>
        <v>0</v>
      </c>
      <c r="P62">
        <f>SUMIF(ConfirmedRaw!$B:$B,$A62,ConfirmedRaw!S:S)</f>
        <v>0</v>
      </c>
      <c r="Q62">
        <f>SUMIF(ConfirmedRaw!$B:$B,$A62,ConfirmedRaw!T:T)</f>
        <v>0</v>
      </c>
      <c r="R62">
        <f>SUMIF(ConfirmedRaw!$B:$B,$A62,ConfirmedRaw!U:U)</f>
        <v>0</v>
      </c>
      <c r="S62">
        <f>SUMIF(ConfirmedRaw!$B:$B,$A62,ConfirmedRaw!V:V)</f>
        <v>0</v>
      </c>
      <c r="T62">
        <f>SUMIF(ConfirmedRaw!$B:$B,$A62,ConfirmedRaw!W:W)</f>
        <v>0</v>
      </c>
      <c r="U62">
        <f>SUMIF(ConfirmedRaw!$B:$B,$A62,ConfirmedRaw!X:X)</f>
        <v>0</v>
      </c>
      <c r="V62">
        <f>SUMIF(ConfirmedRaw!$B:$B,$A62,ConfirmedRaw!Y:Y)</f>
        <v>0</v>
      </c>
      <c r="W62">
        <f>SUMIF(ConfirmedRaw!$B:$B,$A62,ConfirmedRaw!Z:Z)</f>
        <v>0</v>
      </c>
      <c r="X62">
        <f>SUMIF(ConfirmedRaw!$B:$B,$A62,ConfirmedRaw!AA:AA)</f>
        <v>0</v>
      </c>
      <c r="Y62">
        <f>SUMIF(ConfirmedRaw!$B:$B,$A62,ConfirmedRaw!AB:AB)</f>
        <v>0</v>
      </c>
      <c r="Z62">
        <f>SUMIF(ConfirmedRaw!$B:$B,$A62,ConfirmedRaw!AC:AC)</f>
        <v>0</v>
      </c>
      <c r="AA62">
        <f>SUMIF(ConfirmedRaw!$B:$B,$A62,ConfirmedRaw!AD:AD)</f>
        <v>0</v>
      </c>
      <c r="AB62">
        <f>SUMIF(ConfirmedRaw!$B:$B,$A62,ConfirmedRaw!AE:AE)</f>
        <v>0</v>
      </c>
      <c r="AC62">
        <f>SUMIF(ConfirmedRaw!$B:$B,$A62,ConfirmedRaw!AF:AF)</f>
        <v>0</v>
      </c>
      <c r="AD62">
        <f>SUMIF(ConfirmedRaw!$B:$B,$A62,ConfirmedRaw!AG:AG)</f>
        <v>0</v>
      </c>
      <c r="AE62">
        <f>SUMIF(ConfirmedRaw!$B:$B,$A62,ConfirmedRaw!AH:AH)</f>
        <v>0</v>
      </c>
      <c r="AF62">
        <f>SUMIF(ConfirmedRaw!$B:$B,$A62,ConfirmedRaw!AI:AI)</f>
        <v>0</v>
      </c>
      <c r="AG62">
        <f>SUMIF(ConfirmedRaw!$B:$B,$A62,ConfirmedRaw!AJ:AJ)</f>
        <v>0</v>
      </c>
      <c r="AH62">
        <f>SUMIF(ConfirmedRaw!$B:$B,$A62,ConfirmedRaw!AK:AK)</f>
        <v>0</v>
      </c>
      <c r="AI62">
        <f>SUMIF(ConfirmedRaw!$B:$B,$A62,ConfirmedRaw!AL:AL)</f>
        <v>0</v>
      </c>
      <c r="AJ62">
        <f>SUMIF(ConfirmedRaw!$B:$B,$A62,ConfirmedRaw!AM:AM)</f>
        <v>0</v>
      </c>
      <c r="AK62">
        <f>SUMIF(ConfirmedRaw!$B:$B,$A62,ConfirmedRaw!AN:AN)</f>
        <v>0</v>
      </c>
      <c r="AL62">
        <f>SUMIF(ConfirmedRaw!$B:$B,$A62,ConfirmedRaw!AO:AO)</f>
        <v>0</v>
      </c>
      <c r="AM62">
        <f>SUMIF(ConfirmedRaw!$B:$B,$A62,ConfirmedRaw!AP:AP)</f>
        <v>1</v>
      </c>
      <c r="AN62">
        <f>SUMIF(ConfirmedRaw!$B:$B,$A62,ConfirmedRaw!AQ:AQ)</f>
        <v>1</v>
      </c>
      <c r="AO62">
        <f>SUMIF(ConfirmedRaw!$B:$B,$A62,ConfirmedRaw!AR:AR)</f>
        <v>1</v>
      </c>
      <c r="AP62">
        <f>SUMIF(ConfirmedRaw!$B:$B,$A62,ConfirmedRaw!AS:AS)</f>
        <v>1</v>
      </c>
      <c r="AQ62">
        <f>SUMIF(ConfirmedRaw!$B:$B,$A62,ConfirmedRaw!AT:AT)</f>
        <v>1</v>
      </c>
      <c r="AR62">
        <f>SUMIF(ConfirmedRaw!$B:$B,$A62,ConfirmedRaw!AU:AU)</f>
        <v>6</v>
      </c>
      <c r="AS62">
        <f>SUMIF(ConfirmedRaw!$B:$B,$A62,ConfirmedRaw!AV:AV)</f>
        <v>6</v>
      </c>
      <c r="AT62">
        <f>SUMIF(ConfirmedRaw!$B:$B,$A62,ConfirmedRaw!AW:AW)</f>
        <v>6</v>
      </c>
      <c r="AU62">
        <f>SUMIF(ConfirmedRaw!$B:$B,$A62,ConfirmedRaw!AX:AX)</f>
        <v>6</v>
      </c>
      <c r="AV62">
        <f>SUMIF(ConfirmedRaw!$B:$B,$A62,ConfirmedRaw!AY:AY)</f>
        <v>6</v>
      </c>
      <c r="AW62">
        <f>SUMIF(ConfirmedRaw!$B:$B,$A62,ConfirmedRaw!AZ:AZ)</f>
        <v>6</v>
      </c>
      <c r="AX62">
        <f>SUMIF(ConfirmedRaw!$B:$B,$A62,ConfirmedRaw!BA:BA)</f>
        <v>9</v>
      </c>
      <c r="AY62">
        <f>SUMIF(ConfirmedRaw!$B:$B,$A62,ConfirmedRaw!BB:BB)</f>
        <v>9</v>
      </c>
      <c r="AZ62">
        <f>SUMIF(ConfirmedRaw!$B:$B,$A62,ConfirmedRaw!BC:BC)</f>
        <v>12</v>
      </c>
      <c r="BA62">
        <f>SUMIF(ConfirmedRaw!$B:$B,$A62,ConfirmedRaw!BD:BD)</f>
        <v>27</v>
      </c>
      <c r="BB62">
        <f>SUMIF(ConfirmedRaw!$B:$B,$A62,ConfirmedRaw!BE:BE)</f>
        <v>27</v>
      </c>
      <c r="BC62">
        <f>SUMIF(ConfirmedRaw!$B:$B,$A62,ConfirmedRaw!BF:BF)</f>
        <v>27</v>
      </c>
      <c r="BD62">
        <f>SUMIF(ConfirmedRaw!$B:$B,$A62,ConfirmedRaw!BG:BG)</f>
        <v>36</v>
      </c>
      <c r="BE62">
        <f>SUMIF(ConfirmedRaw!$B:$B,$A62,ConfirmedRaw!BH:BH)</f>
        <v>36</v>
      </c>
      <c r="BF62">
        <f>SUMIF(ConfirmedRaw!$B:$B,$A62,ConfirmedRaw!BI:BI)</f>
        <v>51</v>
      </c>
      <c r="BG62">
        <f>SUMIF(ConfirmedRaw!$B:$B,$A62,ConfirmedRaw!BJ:BJ)</f>
        <v>0</v>
      </c>
      <c r="BH62">
        <f>SUMIF(ConfirmedRaw!$B:$B,$A62,ConfirmedRaw!BK:BK)</f>
        <v>0</v>
      </c>
      <c r="BI62">
        <f>SUMIF(ConfirmedRaw!$B:$B,$A62,ConfirmedRaw!BL:BL)</f>
        <v>0</v>
      </c>
      <c r="BJ62">
        <f>SUMIF(ConfirmedRaw!$B:$B,$A62,ConfirmedRaw!BM:BM)</f>
        <v>0</v>
      </c>
      <c r="BK62">
        <f>SUMIF(ConfirmedRaw!$B:$B,$A62,ConfirmedRaw!BN:BN)</f>
        <v>0</v>
      </c>
      <c r="BL62">
        <f>SUMIF(ConfirmedRaw!$B:$B,$A62,ConfirmedRaw!BO:BO)</f>
        <v>0</v>
      </c>
      <c r="BM62">
        <f>SUMIF(ConfirmedRaw!$B:$B,$A62,ConfirmedRaw!BP:BP)</f>
        <v>0</v>
      </c>
      <c r="BN62">
        <f>SUMIF(ConfirmedRaw!$B:$B,$A62,ConfirmedRaw!BQ:BQ)</f>
        <v>0</v>
      </c>
      <c r="BO62">
        <f>SUMIF(ConfirmedRaw!$B:$B,$A62,ConfirmedRaw!BR:BR)</f>
        <v>0</v>
      </c>
      <c r="BP62">
        <f>SUMIF(ConfirmedRaw!$B:$B,$A62,ConfirmedRaw!BS:BS)</f>
        <v>0</v>
      </c>
      <c r="BQ62">
        <f>SUMIF(ConfirmedRaw!$B:$B,$A62,ConfirmedRaw!BT:BT)</f>
        <v>0</v>
      </c>
      <c r="BR62">
        <f>SUMIF(ConfirmedRaw!$B:$B,$A62,ConfirmedRaw!BU:BU)</f>
        <v>0</v>
      </c>
      <c r="BS62">
        <f>SUMIF(ConfirmedRaw!$B:$B,$A62,ConfirmedRaw!BV:BV)</f>
        <v>0</v>
      </c>
      <c r="BT62">
        <f>SUMIF(ConfirmedRaw!$B:$B,$A62,ConfirmedRaw!BW:BW)</f>
        <v>0</v>
      </c>
    </row>
    <row r="63" spans="1:72" ht="15" thickBot="1" x14ac:dyDescent="0.35">
      <c r="A63" s="3" t="s">
        <v>283</v>
      </c>
      <c r="B63">
        <f>SUMIF(ConfirmedRaw!$B:$B,$A63,ConfirmedRaw!E:E)</f>
        <v>0</v>
      </c>
      <c r="C63">
        <f>SUMIF(ConfirmedRaw!$B:$B,$A63,ConfirmedRaw!F:F)</f>
        <v>0</v>
      </c>
      <c r="D63">
        <f>SUMIF(ConfirmedRaw!$B:$B,$A63,ConfirmedRaw!G:G)</f>
        <v>0</v>
      </c>
      <c r="E63">
        <f>SUMIF(ConfirmedRaw!$B:$B,$A63,ConfirmedRaw!H:H)</f>
        <v>0</v>
      </c>
      <c r="F63">
        <f>SUMIF(ConfirmedRaw!$B:$B,$A63,ConfirmedRaw!I:I)</f>
        <v>0</v>
      </c>
      <c r="G63">
        <f>SUMIF(ConfirmedRaw!$B:$B,$A63,ConfirmedRaw!J:J)</f>
        <v>0</v>
      </c>
      <c r="H63">
        <f>SUMIF(ConfirmedRaw!$B:$B,$A63,ConfirmedRaw!K:K)</f>
        <v>0</v>
      </c>
      <c r="I63">
        <f>SUMIF(ConfirmedRaw!$B:$B,$A63,ConfirmedRaw!L:L)</f>
        <v>0</v>
      </c>
      <c r="J63">
        <f>SUMIF(ConfirmedRaw!$B:$B,$A63,ConfirmedRaw!M:M)</f>
        <v>0</v>
      </c>
      <c r="K63">
        <f>SUMIF(ConfirmedRaw!$B:$B,$A63,ConfirmedRaw!N:N)</f>
        <v>0</v>
      </c>
      <c r="L63">
        <f>SUMIF(ConfirmedRaw!$B:$B,$A63,ConfirmedRaw!O:O)</f>
        <v>0</v>
      </c>
      <c r="M63">
        <f>SUMIF(ConfirmedRaw!$B:$B,$A63,ConfirmedRaw!P:P)</f>
        <v>0</v>
      </c>
      <c r="N63">
        <f>SUMIF(ConfirmedRaw!$B:$B,$A63,ConfirmedRaw!Q:Q)</f>
        <v>0</v>
      </c>
      <c r="O63">
        <f>SUMIF(ConfirmedRaw!$B:$B,$A63,ConfirmedRaw!R:R)</f>
        <v>0</v>
      </c>
      <c r="P63">
        <f>SUMIF(ConfirmedRaw!$B:$B,$A63,ConfirmedRaw!S:S)</f>
        <v>0</v>
      </c>
      <c r="Q63">
        <f>SUMIF(ConfirmedRaw!$B:$B,$A63,ConfirmedRaw!T:T)</f>
        <v>0</v>
      </c>
      <c r="R63">
        <f>SUMIF(ConfirmedRaw!$B:$B,$A63,ConfirmedRaw!U:U)</f>
        <v>0</v>
      </c>
      <c r="S63">
        <f>SUMIF(ConfirmedRaw!$B:$B,$A63,ConfirmedRaw!V:V)</f>
        <v>0</v>
      </c>
      <c r="T63">
        <f>SUMIF(ConfirmedRaw!$B:$B,$A63,ConfirmedRaw!W:W)</f>
        <v>0</v>
      </c>
      <c r="U63">
        <f>SUMIF(ConfirmedRaw!$B:$B,$A63,ConfirmedRaw!X:X)</f>
        <v>0</v>
      </c>
      <c r="V63">
        <f>SUMIF(ConfirmedRaw!$B:$B,$A63,ConfirmedRaw!Y:Y)</f>
        <v>0</v>
      </c>
      <c r="W63">
        <f>SUMIF(ConfirmedRaw!$B:$B,$A63,ConfirmedRaw!Z:Z)</f>
        <v>0</v>
      </c>
      <c r="X63">
        <f>SUMIF(ConfirmedRaw!$B:$B,$A63,ConfirmedRaw!AA:AA)</f>
        <v>0</v>
      </c>
      <c r="Y63">
        <f>SUMIF(ConfirmedRaw!$B:$B,$A63,ConfirmedRaw!AB:AB)</f>
        <v>0</v>
      </c>
      <c r="Z63">
        <f>SUMIF(ConfirmedRaw!$B:$B,$A63,ConfirmedRaw!AC:AC)</f>
        <v>0</v>
      </c>
      <c r="AA63">
        <f>SUMIF(ConfirmedRaw!$B:$B,$A63,ConfirmedRaw!AD:AD)</f>
        <v>0</v>
      </c>
      <c r="AB63">
        <f>SUMIF(ConfirmedRaw!$B:$B,$A63,ConfirmedRaw!AE:AE)</f>
        <v>0</v>
      </c>
      <c r="AC63">
        <f>SUMIF(ConfirmedRaw!$B:$B,$A63,ConfirmedRaw!AF:AF)</f>
        <v>0</v>
      </c>
      <c r="AD63">
        <f>SUMIF(ConfirmedRaw!$B:$B,$A63,ConfirmedRaw!AG:AG)</f>
        <v>0</v>
      </c>
      <c r="AE63">
        <f>SUMIF(ConfirmedRaw!$B:$B,$A63,ConfirmedRaw!AH:AH)</f>
        <v>0</v>
      </c>
      <c r="AF63">
        <f>SUMIF(ConfirmedRaw!$B:$B,$A63,ConfirmedRaw!AI:AI)</f>
        <v>0</v>
      </c>
      <c r="AG63">
        <f>SUMIF(ConfirmedRaw!$B:$B,$A63,ConfirmedRaw!AJ:AJ)</f>
        <v>0</v>
      </c>
      <c r="AH63">
        <f>SUMIF(ConfirmedRaw!$B:$B,$A63,ConfirmedRaw!AK:AK)</f>
        <v>0</v>
      </c>
      <c r="AI63">
        <f>SUMIF(ConfirmedRaw!$B:$B,$A63,ConfirmedRaw!AL:AL)</f>
        <v>0</v>
      </c>
      <c r="AJ63">
        <f>SUMIF(ConfirmedRaw!$B:$B,$A63,ConfirmedRaw!AM:AM)</f>
        <v>0</v>
      </c>
      <c r="AK63">
        <f>SUMIF(ConfirmedRaw!$B:$B,$A63,ConfirmedRaw!AN:AN)</f>
        <v>0</v>
      </c>
      <c r="AL63">
        <f>SUMIF(ConfirmedRaw!$B:$B,$A63,ConfirmedRaw!AO:AO)</f>
        <v>0</v>
      </c>
      <c r="AM63">
        <f>SUMIF(ConfirmedRaw!$B:$B,$A63,ConfirmedRaw!AP:AP)</f>
        <v>0</v>
      </c>
      <c r="AN63">
        <f>SUMIF(ConfirmedRaw!$B:$B,$A63,ConfirmedRaw!AQ:AQ)</f>
        <v>0</v>
      </c>
      <c r="AO63">
        <f>SUMIF(ConfirmedRaw!$B:$B,$A63,ConfirmedRaw!AR:AR)</f>
        <v>0</v>
      </c>
      <c r="AP63">
        <f>SUMIF(ConfirmedRaw!$B:$B,$A63,ConfirmedRaw!AS:AS)</f>
        <v>0</v>
      </c>
      <c r="AQ63">
        <f>SUMIF(ConfirmedRaw!$B:$B,$A63,ConfirmedRaw!AT:AT)</f>
        <v>0</v>
      </c>
      <c r="AR63">
        <f>SUMIF(ConfirmedRaw!$B:$B,$A63,ConfirmedRaw!AU:AU)</f>
        <v>0</v>
      </c>
      <c r="AS63">
        <f>SUMIF(ConfirmedRaw!$B:$B,$A63,ConfirmedRaw!AV:AV)</f>
        <v>0</v>
      </c>
      <c r="AT63">
        <f>SUMIF(ConfirmedRaw!$B:$B,$A63,ConfirmedRaw!AW:AW)</f>
        <v>0</v>
      </c>
      <c r="AU63">
        <f>SUMIF(ConfirmedRaw!$B:$B,$A63,ConfirmedRaw!AX:AX)</f>
        <v>0</v>
      </c>
      <c r="AV63">
        <f>SUMIF(ConfirmedRaw!$B:$B,$A63,ConfirmedRaw!AY:AY)</f>
        <v>0</v>
      </c>
      <c r="AW63">
        <f>SUMIF(ConfirmedRaw!$B:$B,$A63,ConfirmedRaw!AZ:AZ)</f>
        <v>0</v>
      </c>
      <c r="AX63">
        <f>SUMIF(ConfirmedRaw!$B:$B,$A63,ConfirmedRaw!BA:BA)</f>
        <v>1</v>
      </c>
      <c r="AY63">
        <f>SUMIF(ConfirmedRaw!$B:$B,$A63,ConfirmedRaw!BB:BB)</f>
        <v>8</v>
      </c>
      <c r="AZ63">
        <f>SUMIF(ConfirmedRaw!$B:$B,$A63,ConfirmedRaw!BC:BC)</f>
        <v>11</v>
      </c>
      <c r="BA63">
        <f>SUMIF(ConfirmedRaw!$B:$B,$A63,ConfirmedRaw!BD:BD)</f>
        <v>27</v>
      </c>
      <c r="BB63">
        <f>SUMIF(ConfirmedRaw!$B:$B,$A63,ConfirmedRaw!BE:BE)</f>
        <v>36</v>
      </c>
      <c r="BC63">
        <f>SUMIF(ConfirmedRaw!$B:$B,$A63,ConfirmedRaw!BF:BF)</f>
        <v>43</v>
      </c>
      <c r="BD63">
        <f>SUMIF(ConfirmedRaw!$B:$B,$A63,ConfirmedRaw!BG:BG)</f>
        <v>55</v>
      </c>
      <c r="BE63">
        <f>SUMIF(ConfirmedRaw!$B:$B,$A63,ConfirmedRaw!BH:BH)</f>
        <v>69</v>
      </c>
      <c r="BF63">
        <f>SUMIF(ConfirmedRaw!$B:$B,$A63,ConfirmedRaw!BI:BI)</f>
        <v>86</v>
      </c>
      <c r="BG63">
        <f>SUMIF(ConfirmedRaw!$B:$B,$A63,ConfirmedRaw!BJ:BJ)</f>
        <v>0</v>
      </c>
      <c r="BH63">
        <f>SUMIF(ConfirmedRaw!$B:$B,$A63,ConfirmedRaw!BK:BK)</f>
        <v>0</v>
      </c>
      <c r="BI63">
        <f>SUMIF(ConfirmedRaw!$B:$B,$A63,ConfirmedRaw!BL:BL)</f>
        <v>0</v>
      </c>
      <c r="BJ63">
        <f>SUMIF(ConfirmedRaw!$B:$B,$A63,ConfirmedRaw!BM:BM)</f>
        <v>0</v>
      </c>
      <c r="BK63">
        <f>SUMIF(ConfirmedRaw!$B:$B,$A63,ConfirmedRaw!BN:BN)</f>
        <v>0</v>
      </c>
      <c r="BL63">
        <f>SUMIF(ConfirmedRaw!$B:$B,$A63,ConfirmedRaw!BO:BO)</f>
        <v>0</v>
      </c>
      <c r="BM63">
        <f>SUMIF(ConfirmedRaw!$B:$B,$A63,ConfirmedRaw!BP:BP)</f>
        <v>0</v>
      </c>
      <c r="BN63">
        <f>SUMIF(ConfirmedRaw!$B:$B,$A63,ConfirmedRaw!BQ:BQ)</f>
        <v>0</v>
      </c>
      <c r="BO63">
        <f>SUMIF(ConfirmedRaw!$B:$B,$A63,ConfirmedRaw!BR:BR)</f>
        <v>0</v>
      </c>
      <c r="BP63">
        <f>SUMIF(ConfirmedRaw!$B:$B,$A63,ConfirmedRaw!BS:BS)</f>
        <v>0</v>
      </c>
      <c r="BQ63">
        <f>SUMIF(ConfirmedRaw!$B:$B,$A63,ConfirmedRaw!BT:BT)</f>
        <v>0</v>
      </c>
      <c r="BR63">
        <f>SUMIF(ConfirmedRaw!$B:$B,$A63,ConfirmedRaw!BU:BU)</f>
        <v>0</v>
      </c>
      <c r="BS63">
        <f>SUMIF(ConfirmedRaw!$B:$B,$A63,ConfirmedRaw!BV:BV)</f>
        <v>0</v>
      </c>
      <c r="BT63">
        <f>SUMIF(ConfirmedRaw!$B:$B,$A63,ConfirmedRaw!BW:BW)</f>
        <v>0</v>
      </c>
    </row>
    <row r="64" spans="1:72" ht="15" thickBot="1" x14ac:dyDescent="0.35">
      <c r="A64" s="4" t="s">
        <v>75</v>
      </c>
      <c r="B64">
        <f>SUMIF(ConfirmedRaw!$B:$B,$A64,ConfirmedRaw!E:E)</f>
        <v>0</v>
      </c>
      <c r="C64">
        <f>SUMIF(ConfirmedRaw!$B:$B,$A64,ConfirmedRaw!F:F)</f>
        <v>0</v>
      </c>
      <c r="D64">
        <f>SUMIF(ConfirmedRaw!$B:$B,$A64,ConfirmedRaw!G:G)</f>
        <v>0</v>
      </c>
      <c r="E64">
        <f>SUMIF(ConfirmedRaw!$B:$B,$A64,ConfirmedRaw!H:H)</f>
        <v>0</v>
      </c>
      <c r="F64">
        <f>SUMIF(ConfirmedRaw!$B:$B,$A64,ConfirmedRaw!I:I)</f>
        <v>0</v>
      </c>
      <c r="G64">
        <f>SUMIF(ConfirmedRaw!$B:$B,$A64,ConfirmedRaw!J:J)</f>
        <v>0</v>
      </c>
      <c r="H64">
        <f>SUMIF(ConfirmedRaw!$B:$B,$A64,ConfirmedRaw!K:K)</f>
        <v>0</v>
      </c>
      <c r="I64">
        <f>SUMIF(ConfirmedRaw!$B:$B,$A64,ConfirmedRaw!L:L)</f>
        <v>0</v>
      </c>
      <c r="J64">
        <f>SUMIF(ConfirmedRaw!$B:$B,$A64,ConfirmedRaw!M:M)</f>
        <v>0</v>
      </c>
      <c r="K64">
        <f>SUMIF(ConfirmedRaw!$B:$B,$A64,ConfirmedRaw!N:N)</f>
        <v>0</v>
      </c>
      <c r="L64">
        <f>SUMIF(ConfirmedRaw!$B:$B,$A64,ConfirmedRaw!O:O)</f>
        <v>0</v>
      </c>
      <c r="M64">
        <f>SUMIF(ConfirmedRaw!$B:$B,$A64,ConfirmedRaw!P:P)</f>
        <v>0</v>
      </c>
      <c r="N64">
        <f>SUMIF(ConfirmedRaw!$B:$B,$A64,ConfirmedRaw!Q:Q)</f>
        <v>0</v>
      </c>
      <c r="O64">
        <f>SUMIF(ConfirmedRaw!$B:$B,$A64,ConfirmedRaw!R:R)</f>
        <v>0</v>
      </c>
      <c r="P64">
        <f>SUMIF(ConfirmedRaw!$B:$B,$A64,ConfirmedRaw!S:S)</f>
        <v>0</v>
      </c>
      <c r="Q64">
        <f>SUMIF(ConfirmedRaw!$B:$B,$A64,ConfirmedRaw!T:T)</f>
        <v>0</v>
      </c>
      <c r="R64">
        <f>SUMIF(ConfirmedRaw!$B:$B,$A64,ConfirmedRaw!U:U)</f>
        <v>0</v>
      </c>
      <c r="S64">
        <f>SUMIF(ConfirmedRaw!$B:$B,$A64,ConfirmedRaw!V:V)</f>
        <v>0</v>
      </c>
      <c r="T64">
        <f>SUMIF(ConfirmedRaw!$B:$B,$A64,ConfirmedRaw!W:W)</f>
        <v>0</v>
      </c>
      <c r="U64">
        <f>SUMIF(ConfirmedRaw!$B:$B,$A64,ConfirmedRaw!X:X)</f>
        <v>0</v>
      </c>
      <c r="V64">
        <f>SUMIF(ConfirmedRaw!$B:$B,$A64,ConfirmedRaw!Y:Y)</f>
        <v>0</v>
      </c>
      <c r="W64">
        <f>SUMIF(ConfirmedRaw!$B:$B,$A64,ConfirmedRaw!Z:Z)</f>
        <v>0</v>
      </c>
      <c r="X64">
        <f>SUMIF(ConfirmedRaw!$B:$B,$A64,ConfirmedRaw!AA:AA)</f>
        <v>0</v>
      </c>
      <c r="Y64">
        <f>SUMIF(ConfirmedRaw!$B:$B,$A64,ConfirmedRaw!AB:AB)</f>
        <v>0</v>
      </c>
      <c r="Z64">
        <f>SUMIF(ConfirmedRaw!$B:$B,$A64,ConfirmedRaw!AC:AC)</f>
        <v>0</v>
      </c>
      <c r="AA64">
        <f>SUMIF(ConfirmedRaw!$B:$B,$A64,ConfirmedRaw!AD:AD)</f>
        <v>0</v>
      </c>
      <c r="AB64">
        <f>SUMIF(ConfirmedRaw!$B:$B,$A64,ConfirmedRaw!AE:AE)</f>
        <v>0</v>
      </c>
      <c r="AC64">
        <f>SUMIF(ConfirmedRaw!$B:$B,$A64,ConfirmedRaw!AF:AF)</f>
        <v>0</v>
      </c>
      <c r="AD64">
        <f>SUMIF(ConfirmedRaw!$B:$B,$A64,ConfirmedRaw!AG:AG)</f>
        <v>0</v>
      </c>
      <c r="AE64">
        <f>SUMIF(ConfirmedRaw!$B:$B,$A64,ConfirmedRaw!AH:AH)</f>
        <v>0</v>
      </c>
      <c r="AF64">
        <f>SUMIF(ConfirmedRaw!$B:$B,$A64,ConfirmedRaw!AI:AI)</f>
        <v>0</v>
      </c>
      <c r="AG64">
        <f>SUMIF(ConfirmedRaw!$B:$B,$A64,ConfirmedRaw!AJ:AJ)</f>
        <v>0</v>
      </c>
      <c r="AH64">
        <f>SUMIF(ConfirmedRaw!$B:$B,$A64,ConfirmedRaw!AK:AK)</f>
        <v>0</v>
      </c>
      <c r="AI64">
        <f>SUMIF(ConfirmedRaw!$B:$B,$A64,ConfirmedRaw!AL:AL)</f>
        <v>0</v>
      </c>
      <c r="AJ64">
        <f>SUMIF(ConfirmedRaw!$B:$B,$A64,ConfirmedRaw!AM:AM)</f>
        <v>1</v>
      </c>
      <c r="AK64">
        <f>SUMIF(ConfirmedRaw!$B:$B,$A64,ConfirmedRaw!AN:AN)</f>
        <v>1</v>
      </c>
      <c r="AL64">
        <f>SUMIF(ConfirmedRaw!$B:$B,$A64,ConfirmedRaw!AO:AO)</f>
        <v>1</v>
      </c>
      <c r="AM64">
        <f>SUMIF(ConfirmedRaw!$B:$B,$A64,ConfirmedRaw!AP:AP)</f>
        <v>1</v>
      </c>
      <c r="AN64">
        <f>SUMIF(ConfirmedRaw!$B:$B,$A64,ConfirmedRaw!AQ:AQ)</f>
        <v>1</v>
      </c>
      <c r="AO64">
        <f>SUMIF(ConfirmedRaw!$B:$B,$A64,ConfirmedRaw!AR:AR)</f>
        <v>1</v>
      </c>
      <c r="AP64">
        <f>SUMIF(ConfirmedRaw!$B:$B,$A64,ConfirmedRaw!AS:AS)</f>
        <v>3</v>
      </c>
      <c r="AQ64">
        <f>SUMIF(ConfirmedRaw!$B:$B,$A64,ConfirmedRaw!AT:AT)</f>
        <v>5</v>
      </c>
      <c r="AR64">
        <f>SUMIF(ConfirmedRaw!$B:$B,$A64,ConfirmedRaw!AU:AU)</f>
        <v>12</v>
      </c>
      <c r="AS64">
        <f>SUMIF(ConfirmedRaw!$B:$B,$A64,ConfirmedRaw!AV:AV)</f>
        <v>12</v>
      </c>
      <c r="AT64">
        <f>SUMIF(ConfirmedRaw!$B:$B,$A64,ConfirmedRaw!AW:AW)</f>
        <v>17</v>
      </c>
      <c r="AU64">
        <f>SUMIF(ConfirmedRaw!$B:$B,$A64,ConfirmedRaw!AX:AX)</f>
        <v>17</v>
      </c>
      <c r="AV64">
        <f>SUMIF(ConfirmedRaw!$B:$B,$A64,ConfirmedRaw!AY:AY)</f>
        <v>19</v>
      </c>
      <c r="AW64">
        <f>SUMIF(ConfirmedRaw!$B:$B,$A64,ConfirmedRaw!AZ:AZ)</f>
        <v>20</v>
      </c>
      <c r="AX64">
        <f>SUMIF(ConfirmedRaw!$B:$B,$A64,ConfirmedRaw!BA:BA)</f>
        <v>20</v>
      </c>
      <c r="AY64">
        <f>SUMIF(ConfirmedRaw!$B:$B,$A64,ConfirmedRaw!BB:BB)</f>
        <v>20</v>
      </c>
      <c r="AZ64">
        <f>SUMIF(ConfirmedRaw!$B:$B,$A64,ConfirmedRaw!BC:BC)</f>
        <v>24</v>
      </c>
      <c r="BA64">
        <f>SUMIF(ConfirmedRaw!$B:$B,$A64,ConfirmedRaw!BD:BD)</f>
        <v>26</v>
      </c>
      <c r="BB64">
        <f>SUMIF(ConfirmedRaw!$B:$B,$A64,ConfirmedRaw!BE:BE)</f>
        <v>37</v>
      </c>
      <c r="BC64">
        <f>SUMIF(ConfirmedRaw!$B:$B,$A64,ConfirmedRaw!BF:BF)</f>
        <v>48</v>
      </c>
      <c r="BD64">
        <f>SUMIF(ConfirmedRaw!$B:$B,$A64,ConfirmedRaw!BG:BG)</f>
        <v>54</v>
      </c>
      <c r="BE64">
        <f>SUMIF(ConfirmedRaw!$B:$B,$A64,ConfirmedRaw!BH:BH)</f>
        <v>60</v>
      </c>
      <c r="BF64">
        <f>SUMIF(ConfirmedRaw!$B:$B,$A64,ConfirmedRaw!BI:BI)</f>
        <v>74</v>
      </c>
      <c r="BG64">
        <f>SUMIF(ConfirmedRaw!$B:$B,$A64,ConfirmedRaw!BJ:BJ)</f>
        <v>0</v>
      </c>
      <c r="BH64">
        <f>SUMIF(ConfirmedRaw!$B:$B,$A64,ConfirmedRaw!BK:BK)</f>
        <v>0</v>
      </c>
      <c r="BI64">
        <f>SUMIF(ConfirmedRaw!$B:$B,$A64,ConfirmedRaw!BL:BL)</f>
        <v>0</v>
      </c>
      <c r="BJ64">
        <f>SUMIF(ConfirmedRaw!$B:$B,$A64,ConfirmedRaw!BM:BM)</f>
        <v>0</v>
      </c>
      <c r="BK64">
        <f>SUMIF(ConfirmedRaw!$B:$B,$A64,ConfirmedRaw!BN:BN)</f>
        <v>0</v>
      </c>
      <c r="BL64">
        <f>SUMIF(ConfirmedRaw!$B:$B,$A64,ConfirmedRaw!BO:BO)</f>
        <v>0</v>
      </c>
      <c r="BM64">
        <f>SUMIF(ConfirmedRaw!$B:$B,$A64,ConfirmedRaw!BP:BP)</f>
        <v>0</v>
      </c>
      <c r="BN64">
        <f>SUMIF(ConfirmedRaw!$B:$B,$A64,ConfirmedRaw!BQ:BQ)</f>
        <v>0</v>
      </c>
      <c r="BO64">
        <f>SUMIF(ConfirmedRaw!$B:$B,$A64,ConfirmedRaw!BR:BR)</f>
        <v>0</v>
      </c>
      <c r="BP64">
        <f>SUMIF(ConfirmedRaw!$B:$B,$A64,ConfirmedRaw!BS:BS)</f>
        <v>0</v>
      </c>
      <c r="BQ64">
        <f>SUMIF(ConfirmedRaw!$B:$B,$A64,ConfirmedRaw!BT:BT)</f>
        <v>0</v>
      </c>
      <c r="BR64">
        <f>SUMIF(ConfirmedRaw!$B:$B,$A64,ConfirmedRaw!BU:BU)</f>
        <v>0</v>
      </c>
      <c r="BS64">
        <f>SUMIF(ConfirmedRaw!$B:$B,$A64,ConfirmedRaw!BV:BV)</f>
        <v>0</v>
      </c>
      <c r="BT64">
        <f>SUMIF(ConfirmedRaw!$B:$B,$A64,ConfirmedRaw!BW:BW)</f>
        <v>0</v>
      </c>
    </row>
    <row r="65" spans="1:72" ht="15" thickBot="1" x14ac:dyDescent="0.35">
      <c r="A65" s="3" t="s">
        <v>82</v>
      </c>
      <c r="B65">
        <f>SUMIF(ConfirmedRaw!$B:$B,$A65,ConfirmedRaw!E:E)</f>
        <v>0</v>
      </c>
      <c r="C65">
        <f>SUMIF(ConfirmedRaw!$B:$B,$A65,ConfirmedRaw!F:F)</f>
        <v>0</v>
      </c>
      <c r="D65">
        <f>SUMIF(ConfirmedRaw!$B:$B,$A65,ConfirmedRaw!G:G)</f>
        <v>0</v>
      </c>
      <c r="E65">
        <f>SUMIF(ConfirmedRaw!$B:$B,$A65,ConfirmedRaw!H:H)</f>
        <v>0</v>
      </c>
      <c r="F65">
        <f>SUMIF(ConfirmedRaw!$B:$B,$A65,ConfirmedRaw!I:I)</f>
        <v>0</v>
      </c>
      <c r="G65">
        <f>SUMIF(ConfirmedRaw!$B:$B,$A65,ConfirmedRaw!J:J)</f>
        <v>0</v>
      </c>
      <c r="H65">
        <f>SUMIF(ConfirmedRaw!$B:$B,$A65,ConfirmedRaw!K:K)</f>
        <v>0</v>
      </c>
      <c r="I65">
        <f>SUMIF(ConfirmedRaw!$B:$B,$A65,ConfirmedRaw!L:L)</f>
        <v>0</v>
      </c>
      <c r="J65">
        <f>SUMIF(ConfirmedRaw!$B:$B,$A65,ConfirmedRaw!M:M)</f>
        <v>0</v>
      </c>
      <c r="K65">
        <f>SUMIF(ConfirmedRaw!$B:$B,$A65,ConfirmedRaw!N:N)</f>
        <v>0</v>
      </c>
      <c r="L65">
        <f>SUMIF(ConfirmedRaw!$B:$B,$A65,ConfirmedRaw!O:O)</f>
        <v>0</v>
      </c>
      <c r="M65">
        <f>SUMIF(ConfirmedRaw!$B:$B,$A65,ConfirmedRaw!P:P)</f>
        <v>0</v>
      </c>
      <c r="N65">
        <f>SUMIF(ConfirmedRaw!$B:$B,$A65,ConfirmedRaw!Q:Q)</f>
        <v>0</v>
      </c>
      <c r="O65">
        <f>SUMIF(ConfirmedRaw!$B:$B,$A65,ConfirmedRaw!R:R)</f>
        <v>0</v>
      </c>
      <c r="P65">
        <f>SUMIF(ConfirmedRaw!$B:$B,$A65,ConfirmedRaw!S:S)</f>
        <v>0</v>
      </c>
      <c r="Q65">
        <f>SUMIF(ConfirmedRaw!$B:$B,$A65,ConfirmedRaw!T:T)</f>
        <v>0</v>
      </c>
      <c r="R65">
        <f>SUMIF(ConfirmedRaw!$B:$B,$A65,ConfirmedRaw!U:U)</f>
        <v>0</v>
      </c>
      <c r="S65">
        <f>SUMIF(ConfirmedRaw!$B:$B,$A65,ConfirmedRaw!V:V)</f>
        <v>0</v>
      </c>
      <c r="T65">
        <f>SUMIF(ConfirmedRaw!$B:$B,$A65,ConfirmedRaw!W:W)</f>
        <v>0</v>
      </c>
      <c r="U65">
        <f>SUMIF(ConfirmedRaw!$B:$B,$A65,ConfirmedRaw!X:X)</f>
        <v>0</v>
      </c>
      <c r="V65">
        <f>SUMIF(ConfirmedRaw!$B:$B,$A65,ConfirmedRaw!Y:Y)</f>
        <v>0</v>
      </c>
      <c r="W65">
        <f>SUMIF(ConfirmedRaw!$B:$B,$A65,ConfirmedRaw!Z:Z)</f>
        <v>0</v>
      </c>
      <c r="X65">
        <f>SUMIF(ConfirmedRaw!$B:$B,$A65,ConfirmedRaw!AA:AA)</f>
        <v>0</v>
      </c>
      <c r="Y65">
        <f>SUMIF(ConfirmedRaw!$B:$B,$A65,ConfirmedRaw!AB:AB)</f>
        <v>0</v>
      </c>
      <c r="Z65">
        <f>SUMIF(ConfirmedRaw!$B:$B,$A65,ConfirmedRaw!AC:AC)</f>
        <v>0</v>
      </c>
      <c r="AA65">
        <f>SUMIF(ConfirmedRaw!$B:$B,$A65,ConfirmedRaw!AD:AD)</f>
        <v>0</v>
      </c>
      <c r="AB65">
        <f>SUMIF(ConfirmedRaw!$B:$B,$A65,ConfirmedRaw!AE:AE)</f>
        <v>0</v>
      </c>
      <c r="AC65">
        <f>SUMIF(ConfirmedRaw!$B:$B,$A65,ConfirmedRaw!AF:AF)</f>
        <v>0</v>
      </c>
      <c r="AD65">
        <f>SUMIF(ConfirmedRaw!$B:$B,$A65,ConfirmedRaw!AG:AG)</f>
        <v>0</v>
      </c>
      <c r="AE65">
        <f>SUMIF(ConfirmedRaw!$B:$B,$A65,ConfirmedRaw!AH:AH)</f>
        <v>0</v>
      </c>
      <c r="AF65">
        <f>SUMIF(ConfirmedRaw!$B:$B,$A65,ConfirmedRaw!AI:AI)</f>
        <v>0</v>
      </c>
      <c r="AG65">
        <f>SUMIF(ConfirmedRaw!$B:$B,$A65,ConfirmedRaw!AJ:AJ)</f>
        <v>0</v>
      </c>
      <c r="AH65">
        <f>SUMIF(ConfirmedRaw!$B:$B,$A65,ConfirmedRaw!AK:AK)</f>
        <v>0</v>
      </c>
      <c r="AI65">
        <f>SUMIF(ConfirmedRaw!$B:$B,$A65,ConfirmedRaw!AL:AL)</f>
        <v>0</v>
      </c>
      <c r="AJ65">
        <f>SUMIF(ConfirmedRaw!$B:$B,$A65,ConfirmedRaw!AM:AM)</f>
        <v>0</v>
      </c>
      <c r="AK65">
        <f>SUMIF(ConfirmedRaw!$B:$B,$A65,ConfirmedRaw!AN:AN)</f>
        <v>1</v>
      </c>
      <c r="AL65">
        <f>SUMIF(ConfirmedRaw!$B:$B,$A65,ConfirmedRaw!AO:AO)</f>
        <v>1</v>
      </c>
      <c r="AM65">
        <f>SUMIF(ConfirmedRaw!$B:$B,$A65,ConfirmedRaw!AP:AP)</f>
        <v>1</v>
      </c>
      <c r="AN65">
        <f>SUMIF(ConfirmedRaw!$B:$B,$A65,ConfirmedRaw!AQ:AQ)</f>
        <v>1</v>
      </c>
      <c r="AO65">
        <f>SUMIF(ConfirmedRaw!$B:$B,$A65,ConfirmedRaw!AR:AR)</f>
        <v>3</v>
      </c>
      <c r="AP65">
        <f>SUMIF(ConfirmedRaw!$B:$B,$A65,ConfirmedRaw!AS:AS)</f>
        <v>3</v>
      </c>
      <c r="AQ65">
        <f>SUMIF(ConfirmedRaw!$B:$B,$A65,ConfirmedRaw!AT:AT)</f>
        <v>3</v>
      </c>
      <c r="AR65">
        <f>SUMIF(ConfirmedRaw!$B:$B,$A65,ConfirmedRaw!AU:AU)</f>
        <v>3</v>
      </c>
      <c r="AS65">
        <f>SUMIF(ConfirmedRaw!$B:$B,$A65,ConfirmedRaw!AV:AV)</f>
        <v>4</v>
      </c>
      <c r="AT65">
        <f>SUMIF(ConfirmedRaw!$B:$B,$A65,ConfirmedRaw!AW:AW)</f>
        <v>4</v>
      </c>
      <c r="AU65">
        <f>SUMIF(ConfirmedRaw!$B:$B,$A65,ConfirmedRaw!AX:AX)</f>
        <v>4</v>
      </c>
      <c r="AV65">
        <f>SUMIF(ConfirmedRaw!$B:$B,$A65,ConfirmedRaw!AY:AY)</f>
        <v>13</v>
      </c>
      <c r="AW65">
        <f>SUMIF(ConfirmedRaw!$B:$B,$A65,ConfirmedRaw!AZ:AZ)</f>
        <v>15</v>
      </c>
      <c r="AX65">
        <f>SUMIF(ConfirmedRaw!$B:$B,$A65,ConfirmedRaw!BA:BA)</f>
        <v>15</v>
      </c>
      <c r="AY65">
        <f>SUMIF(ConfirmedRaw!$B:$B,$A65,ConfirmedRaw!BB:BB)</f>
        <v>24</v>
      </c>
      <c r="AZ65">
        <f>SUMIF(ConfirmedRaw!$B:$B,$A65,ConfirmedRaw!BC:BC)</f>
        <v>24</v>
      </c>
      <c r="BA65">
        <f>SUMIF(ConfirmedRaw!$B:$B,$A65,ConfirmedRaw!BD:BD)</f>
        <v>25</v>
      </c>
      <c r="BB65">
        <f>SUMIF(ConfirmedRaw!$B:$B,$A65,ConfirmedRaw!BE:BE)</f>
        <v>30</v>
      </c>
      <c r="BC65">
        <f>SUMIF(ConfirmedRaw!$B:$B,$A65,ConfirmedRaw!BF:BF)</f>
        <v>33</v>
      </c>
      <c r="BD65">
        <f>SUMIF(ConfirmedRaw!$B:$B,$A65,ConfirmedRaw!BG:BG)</f>
        <v>33</v>
      </c>
      <c r="BE65">
        <f>SUMIF(ConfirmedRaw!$B:$B,$A65,ConfirmedRaw!BH:BH)</f>
        <v>34</v>
      </c>
      <c r="BF65">
        <f>SUMIF(ConfirmedRaw!$B:$B,$A65,ConfirmedRaw!BI:BI)</f>
        <v>38</v>
      </c>
      <c r="BG65">
        <f>SUMIF(ConfirmedRaw!$B:$B,$A65,ConfirmedRaw!BJ:BJ)</f>
        <v>0</v>
      </c>
      <c r="BH65">
        <f>SUMIF(ConfirmedRaw!$B:$B,$A65,ConfirmedRaw!BK:BK)</f>
        <v>0</v>
      </c>
      <c r="BI65">
        <f>SUMIF(ConfirmedRaw!$B:$B,$A65,ConfirmedRaw!BL:BL)</f>
        <v>0</v>
      </c>
      <c r="BJ65">
        <f>SUMIF(ConfirmedRaw!$B:$B,$A65,ConfirmedRaw!BM:BM)</f>
        <v>0</v>
      </c>
      <c r="BK65">
        <f>SUMIF(ConfirmedRaw!$B:$B,$A65,ConfirmedRaw!BN:BN)</f>
        <v>0</v>
      </c>
      <c r="BL65">
        <f>SUMIF(ConfirmedRaw!$B:$B,$A65,ConfirmedRaw!BO:BO)</f>
        <v>0</v>
      </c>
      <c r="BM65">
        <f>SUMIF(ConfirmedRaw!$B:$B,$A65,ConfirmedRaw!BP:BP)</f>
        <v>0</v>
      </c>
      <c r="BN65">
        <f>SUMIF(ConfirmedRaw!$B:$B,$A65,ConfirmedRaw!BQ:BQ)</f>
        <v>0</v>
      </c>
      <c r="BO65">
        <f>SUMIF(ConfirmedRaw!$B:$B,$A65,ConfirmedRaw!BR:BR)</f>
        <v>0</v>
      </c>
      <c r="BP65">
        <f>SUMIF(ConfirmedRaw!$B:$B,$A65,ConfirmedRaw!BS:BS)</f>
        <v>0</v>
      </c>
      <c r="BQ65">
        <f>SUMIF(ConfirmedRaw!$B:$B,$A65,ConfirmedRaw!BT:BT)</f>
        <v>0</v>
      </c>
      <c r="BR65">
        <f>SUMIF(ConfirmedRaw!$B:$B,$A65,ConfirmedRaw!BU:BU)</f>
        <v>0</v>
      </c>
      <c r="BS65">
        <f>SUMIF(ConfirmedRaw!$B:$B,$A65,ConfirmedRaw!BV:BV)</f>
        <v>0</v>
      </c>
      <c r="BT65">
        <f>SUMIF(ConfirmedRaw!$B:$B,$A65,ConfirmedRaw!BW:BW)</f>
        <v>0</v>
      </c>
    </row>
    <row r="66" spans="1:72" ht="15" thickBot="1" x14ac:dyDescent="0.35">
      <c r="A66" s="3" t="s">
        <v>145</v>
      </c>
      <c r="B66">
        <f>SUMIF(ConfirmedRaw!$B:$B,$A66,ConfirmedRaw!E:E)</f>
        <v>0</v>
      </c>
      <c r="C66">
        <f>SUMIF(ConfirmedRaw!$B:$B,$A66,ConfirmedRaw!F:F)</f>
        <v>0</v>
      </c>
      <c r="D66">
        <f>SUMIF(ConfirmedRaw!$B:$B,$A66,ConfirmedRaw!G:G)</f>
        <v>0</v>
      </c>
      <c r="E66">
        <f>SUMIF(ConfirmedRaw!$B:$B,$A66,ConfirmedRaw!H:H)</f>
        <v>0</v>
      </c>
      <c r="F66">
        <f>SUMIF(ConfirmedRaw!$B:$B,$A66,ConfirmedRaw!I:I)</f>
        <v>0</v>
      </c>
      <c r="G66">
        <f>SUMIF(ConfirmedRaw!$B:$B,$A66,ConfirmedRaw!J:J)</f>
        <v>0</v>
      </c>
      <c r="H66">
        <f>SUMIF(ConfirmedRaw!$B:$B,$A66,ConfirmedRaw!K:K)</f>
        <v>0</v>
      </c>
      <c r="I66">
        <f>SUMIF(ConfirmedRaw!$B:$B,$A66,ConfirmedRaw!L:L)</f>
        <v>0</v>
      </c>
      <c r="J66">
        <f>SUMIF(ConfirmedRaw!$B:$B,$A66,ConfirmedRaw!M:M)</f>
        <v>0</v>
      </c>
      <c r="K66">
        <f>SUMIF(ConfirmedRaw!$B:$B,$A66,ConfirmedRaw!N:N)</f>
        <v>0</v>
      </c>
      <c r="L66">
        <f>SUMIF(ConfirmedRaw!$B:$B,$A66,ConfirmedRaw!O:O)</f>
        <v>0</v>
      </c>
      <c r="M66">
        <f>SUMIF(ConfirmedRaw!$B:$B,$A66,ConfirmedRaw!P:P)</f>
        <v>0</v>
      </c>
      <c r="N66">
        <f>SUMIF(ConfirmedRaw!$B:$B,$A66,ConfirmedRaw!Q:Q)</f>
        <v>0</v>
      </c>
      <c r="O66">
        <f>SUMIF(ConfirmedRaw!$B:$B,$A66,ConfirmedRaw!R:R)</f>
        <v>0</v>
      </c>
      <c r="P66">
        <f>SUMIF(ConfirmedRaw!$B:$B,$A66,ConfirmedRaw!S:S)</f>
        <v>0</v>
      </c>
      <c r="Q66">
        <f>SUMIF(ConfirmedRaw!$B:$B,$A66,ConfirmedRaw!T:T)</f>
        <v>0</v>
      </c>
      <c r="R66">
        <f>SUMIF(ConfirmedRaw!$B:$B,$A66,ConfirmedRaw!U:U)</f>
        <v>0</v>
      </c>
      <c r="S66">
        <f>SUMIF(ConfirmedRaw!$B:$B,$A66,ConfirmedRaw!V:V)</f>
        <v>0</v>
      </c>
      <c r="T66">
        <f>SUMIF(ConfirmedRaw!$B:$B,$A66,ConfirmedRaw!W:W)</f>
        <v>0</v>
      </c>
      <c r="U66">
        <f>SUMIF(ConfirmedRaw!$B:$B,$A66,ConfirmedRaw!X:X)</f>
        <v>0</v>
      </c>
      <c r="V66">
        <f>SUMIF(ConfirmedRaw!$B:$B,$A66,ConfirmedRaw!Y:Y)</f>
        <v>0</v>
      </c>
      <c r="W66">
        <f>SUMIF(ConfirmedRaw!$B:$B,$A66,ConfirmedRaw!Z:Z)</f>
        <v>0</v>
      </c>
      <c r="X66">
        <f>SUMIF(ConfirmedRaw!$B:$B,$A66,ConfirmedRaw!AA:AA)</f>
        <v>0</v>
      </c>
      <c r="Y66">
        <f>SUMIF(ConfirmedRaw!$B:$B,$A66,ConfirmedRaw!AB:AB)</f>
        <v>0</v>
      </c>
      <c r="Z66">
        <f>SUMIF(ConfirmedRaw!$B:$B,$A66,ConfirmedRaw!AC:AC)</f>
        <v>0</v>
      </c>
      <c r="AA66">
        <f>SUMIF(ConfirmedRaw!$B:$B,$A66,ConfirmedRaw!AD:AD)</f>
        <v>0</v>
      </c>
      <c r="AB66">
        <f>SUMIF(ConfirmedRaw!$B:$B,$A66,ConfirmedRaw!AE:AE)</f>
        <v>0</v>
      </c>
      <c r="AC66">
        <f>SUMIF(ConfirmedRaw!$B:$B,$A66,ConfirmedRaw!AF:AF)</f>
        <v>0</v>
      </c>
      <c r="AD66">
        <f>SUMIF(ConfirmedRaw!$B:$B,$A66,ConfirmedRaw!AG:AG)</f>
        <v>0</v>
      </c>
      <c r="AE66">
        <f>SUMIF(ConfirmedRaw!$B:$B,$A66,ConfirmedRaw!AH:AH)</f>
        <v>0</v>
      </c>
      <c r="AF66">
        <f>SUMIF(ConfirmedRaw!$B:$B,$A66,ConfirmedRaw!AI:AI)</f>
        <v>0</v>
      </c>
      <c r="AG66">
        <f>SUMIF(ConfirmedRaw!$B:$B,$A66,ConfirmedRaw!AJ:AJ)</f>
        <v>0</v>
      </c>
      <c r="AH66">
        <f>SUMIF(ConfirmedRaw!$B:$B,$A66,ConfirmedRaw!AK:AK)</f>
        <v>0</v>
      </c>
      <c r="AI66">
        <f>SUMIF(ConfirmedRaw!$B:$B,$A66,ConfirmedRaw!AL:AL)</f>
        <v>0</v>
      </c>
      <c r="AJ66">
        <f>SUMIF(ConfirmedRaw!$B:$B,$A66,ConfirmedRaw!AM:AM)</f>
        <v>0</v>
      </c>
      <c r="AK66">
        <f>SUMIF(ConfirmedRaw!$B:$B,$A66,ConfirmedRaw!AN:AN)</f>
        <v>0</v>
      </c>
      <c r="AL66">
        <f>SUMIF(ConfirmedRaw!$B:$B,$A66,ConfirmedRaw!AO:AO)</f>
        <v>0</v>
      </c>
      <c r="AM66">
        <f>SUMIF(ConfirmedRaw!$B:$B,$A66,ConfirmedRaw!AP:AP)</f>
        <v>0</v>
      </c>
      <c r="AN66">
        <f>SUMIF(ConfirmedRaw!$B:$B,$A66,ConfirmedRaw!AQ:AQ)</f>
        <v>0</v>
      </c>
      <c r="AO66">
        <f>SUMIF(ConfirmedRaw!$B:$B,$A66,ConfirmedRaw!AR:AR)</f>
        <v>0</v>
      </c>
      <c r="AP66">
        <f>SUMIF(ConfirmedRaw!$B:$B,$A66,ConfirmedRaw!AS:AS)</f>
        <v>0</v>
      </c>
      <c r="AQ66">
        <f>SUMIF(ConfirmedRaw!$B:$B,$A66,ConfirmedRaw!AT:AT)</f>
        <v>0</v>
      </c>
      <c r="AR66">
        <f>SUMIF(ConfirmedRaw!$B:$B,$A66,ConfirmedRaw!AU:AU)</f>
        <v>0</v>
      </c>
      <c r="AS66">
        <f>SUMIF(ConfirmedRaw!$B:$B,$A66,ConfirmedRaw!AV:AV)</f>
        <v>1</v>
      </c>
      <c r="AT66">
        <f>SUMIF(ConfirmedRaw!$B:$B,$A66,ConfirmedRaw!AW:AW)</f>
        <v>1</v>
      </c>
      <c r="AU66">
        <f>SUMIF(ConfirmedRaw!$B:$B,$A66,ConfirmedRaw!AX:AX)</f>
        <v>1</v>
      </c>
      <c r="AV66">
        <f>SUMIF(ConfirmedRaw!$B:$B,$A66,ConfirmedRaw!AY:AY)</f>
        <v>3</v>
      </c>
      <c r="AW66">
        <f>SUMIF(ConfirmedRaw!$B:$B,$A66,ConfirmedRaw!AZ:AZ)</f>
        <v>3</v>
      </c>
      <c r="AX66">
        <f>SUMIF(ConfirmedRaw!$B:$B,$A66,ConfirmedRaw!BA:BA)</f>
        <v>7</v>
      </c>
      <c r="AY66">
        <f>SUMIF(ConfirmedRaw!$B:$B,$A66,ConfirmedRaw!BB:BB)</f>
        <v>13</v>
      </c>
      <c r="AZ66">
        <f>SUMIF(ConfirmedRaw!$B:$B,$A66,ConfirmedRaw!BC:BC)</f>
        <v>17</v>
      </c>
      <c r="BA66">
        <f>SUMIF(ConfirmedRaw!$B:$B,$A66,ConfirmedRaw!BD:BD)</f>
        <v>24</v>
      </c>
      <c r="BB66">
        <f>SUMIF(ConfirmedRaw!$B:$B,$A66,ConfirmedRaw!BE:BE)</f>
        <v>38</v>
      </c>
      <c r="BC66">
        <f>SUMIF(ConfirmedRaw!$B:$B,$A66,ConfirmedRaw!BF:BF)</f>
        <v>51</v>
      </c>
      <c r="BD66">
        <f>SUMIF(ConfirmedRaw!$B:$B,$A66,ConfirmedRaw!BG:BG)</f>
        <v>62</v>
      </c>
      <c r="BE66">
        <f>SUMIF(ConfirmedRaw!$B:$B,$A66,ConfirmedRaw!BH:BH)</f>
        <v>62</v>
      </c>
      <c r="BF66">
        <f>SUMIF(ConfirmedRaw!$B:$B,$A66,ConfirmedRaw!BI:BI)</f>
        <v>116</v>
      </c>
      <c r="BG66">
        <f>SUMIF(ConfirmedRaw!$B:$B,$A66,ConfirmedRaw!BJ:BJ)</f>
        <v>0</v>
      </c>
      <c r="BH66">
        <f>SUMIF(ConfirmedRaw!$B:$B,$A66,ConfirmedRaw!BK:BK)</f>
        <v>0</v>
      </c>
      <c r="BI66">
        <f>SUMIF(ConfirmedRaw!$B:$B,$A66,ConfirmedRaw!BL:BL)</f>
        <v>0</v>
      </c>
      <c r="BJ66">
        <f>SUMIF(ConfirmedRaw!$B:$B,$A66,ConfirmedRaw!BM:BM)</f>
        <v>0</v>
      </c>
      <c r="BK66">
        <f>SUMIF(ConfirmedRaw!$B:$B,$A66,ConfirmedRaw!BN:BN)</f>
        <v>0</v>
      </c>
      <c r="BL66">
        <f>SUMIF(ConfirmedRaw!$B:$B,$A66,ConfirmedRaw!BO:BO)</f>
        <v>0</v>
      </c>
      <c r="BM66">
        <f>SUMIF(ConfirmedRaw!$B:$B,$A66,ConfirmedRaw!BP:BP)</f>
        <v>0</v>
      </c>
      <c r="BN66">
        <f>SUMIF(ConfirmedRaw!$B:$B,$A66,ConfirmedRaw!BQ:BQ)</f>
        <v>0</v>
      </c>
      <c r="BO66">
        <f>SUMIF(ConfirmedRaw!$B:$B,$A66,ConfirmedRaw!BR:BR)</f>
        <v>0</v>
      </c>
      <c r="BP66">
        <f>SUMIF(ConfirmedRaw!$B:$B,$A66,ConfirmedRaw!BS:BS)</f>
        <v>0</v>
      </c>
      <c r="BQ66">
        <f>SUMIF(ConfirmedRaw!$B:$B,$A66,ConfirmedRaw!BT:BT)</f>
        <v>0</v>
      </c>
      <c r="BR66">
        <f>SUMIF(ConfirmedRaw!$B:$B,$A66,ConfirmedRaw!BU:BU)</f>
        <v>0</v>
      </c>
      <c r="BS66">
        <f>SUMIF(ConfirmedRaw!$B:$B,$A66,ConfirmedRaw!BV:BV)</f>
        <v>0</v>
      </c>
      <c r="BT66">
        <f>SUMIF(ConfirmedRaw!$B:$B,$A66,ConfirmedRaw!BW:BW)</f>
        <v>0</v>
      </c>
    </row>
    <row r="67" spans="1:72" ht="15" thickBot="1" x14ac:dyDescent="0.35">
      <c r="A67" s="3" t="s">
        <v>199</v>
      </c>
      <c r="B67">
        <f>SUMIF(ConfirmedRaw!$B:$B,$A67,ConfirmedRaw!E:E)</f>
        <v>0</v>
      </c>
      <c r="C67">
        <f>SUMIF(ConfirmedRaw!$B:$B,$A67,ConfirmedRaw!F:F)</f>
        <v>0</v>
      </c>
      <c r="D67">
        <f>SUMIF(ConfirmedRaw!$B:$B,$A67,ConfirmedRaw!G:G)</f>
        <v>0</v>
      </c>
      <c r="E67">
        <f>SUMIF(ConfirmedRaw!$B:$B,$A67,ConfirmedRaw!H:H)</f>
        <v>0</v>
      </c>
      <c r="F67">
        <f>SUMIF(ConfirmedRaw!$B:$B,$A67,ConfirmedRaw!I:I)</f>
        <v>0</v>
      </c>
      <c r="G67">
        <f>SUMIF(ConfirmedRaw!$B:$B,$A67,ConfirmedRaw!J:J)</f>
        <v>0</v>
      </c>
      <c r="H67">
        <f>SUMIF(ConfirmedRaw!$B:$B,$A67,ConfirmedRaw!K:K)</f>
        <v>0</v>
      </c>
      <c r="I67">
        <f>SUMIF(ConfirmedRaw!$B:$B,$A67,ConfirmedRaw!L:L)</f>
        <v>0</v>
      </c>
      <c r="J67">
        <f>SUMIF(ConfirmedRaw!$B:$B,$A67,ConfirmedRaw!M:M)</f>
        <v>0</v>
      </c>
      <c r="K67">
        <f>SUMIF(ConfirmedRaw!$B:$B,$A67,ConfirmedRaw!N:N)</f>
        <v>0</v>
      </c>
      <c r="L67">
        <f>SUMIF(ConfirmedRaw!$B:$B,$A67,ConfirmedRaw!O:O)</f>
        <v>0</v>
      </c>
      <c r="M67">
        <f>SUMIF(ConfirmedRaw!$B:$B,$A67,ConfirmedRaw!P:P)</f>
        <v>0</v>
      </c>
      <c r="N67">
        <f>SUMIF(ConfirmedRaw!$B:$B,$A67,ConfirmedRaw!Q:Q)</f>
        <v>0</v>
      </c>
      <c r="O67">
        <f>SUMIF(ConfirmedRaw!$B:$B,$A67,ConfirmedRaw!R:R)</f>
        <v>0</v>
      </c>
      <c r="P67">
        <f>SUMIF(ConfirmedRaw!$B:$B,$A67,ConfirmedRaw!S:S)</f>
        <v>0</v>
      </c>
      <c r="Q67">
        <f>SUMIF(ConfirmedRaw!$B:$B,$A67,ConfirmedRaw!T:T)</f>
        <v>0</v>
      </c>
      <c r="R67">
        <f>SUMIF(ConfirmedRaw!$B:$B,$A67,ConfirmedRaw!U:U)</f>
        <v>0</v>
      </c>
      <c r="S67">
        <f>SUMIF(ConfirmedRaw!$B:$B,$A67,ConfirmedRaw!V:V)</f>
        <v>0</v>
      </c>
      <c r="T67">
        <f>SUMIF(ConfirmedRaw!$B:$B,$A67,ConfirmedRaw!W:W)</f>
        <v>0</v>
      </c>
      <c r="U67">
        <f>SUMIF(ConfirmedRaw!$B:$B,$A67,ConfirmedRaw!X:X)</f>
        <v>0</v>
      </c>
      <c r="V67">
        <f>SUMIF(ConfirmedRaw!$B:$B,$A67,ConfirmedRaw!Y:Y)</f>
        <v>0</v>
      </c>
      <c r="W67">
        <f>SUMIF(ConfirmedRaw!$B:$B,$A67,ConfirmedRaw!Z:Z)</f>
        <v>0</v>
      </c>
      <c r="X67">
        <f>SUMIF(ConfirmedRaw!$B:$B,$A67,ConfirmedRaw!AA:AA)</f>
        <v>0</v>
      </c>
      <c r="Y67">
        <f>SUMIF(ConfirmedRaw!$B:$B,$A67,ConfirmedRaw!AB:AB)</f>
        <v>0</v>
      </c>
      <c r="Z67">
        <f>SUMIF(ConfirmedRaw!$B:$B,$A67,ConfirmedRaw!AC:AC)</f>
        <v>0</v>
      </c>
      <c r="AA67">
        <f>SUMIF(ConfirmedRaw!$B:$B,$A67,ConfirmedRaw!AD:AD)</f>
        <v>0</v>
      </c>
      <c r="AB67">
        <f>SUMIF(ConfirmedRaw!$B:$B,$A67,ConfirmedRaw!AE:AE)</f>
        <v>0</v>
      </c>
      <c r="AC67">
        <f>SUMIF(ConfirmedRaw!$B:$B,$A67,ConfirmedRaw!AF:AF)</f>
        <v>0</v>
      </c>
      <c r="AD67">
        <f>SUMIF(ConfirmedRaw!$B:$B,$A67,ConfirmedRaw!AG:AG)</f>
        <v>0</v>
      </c>
      <c r="AE67">
        <f>SUMIF(ConfirmedRaw!$B:$B,$A67,ConfirmedRaw!AH:AH)</f>
        <v>0</v>
      </c>
      <c r="AF67">
        <f>SUMIF(ConfirmedRaw!$B:$B,$A67,ConfirmedRaw!AI:AI)</f>
        <v>0</v>
      </c>
      <c r="AG67">
        <f>SUMIF(ConfirmedRaw!$B:$B,$A67,ConfirmedRaw!AJ:AJ)</f>
        <v>0</v>
      </c>
      <c r="AH67">
        <f>SUMIF(ConfirmedRaw!$B:$B,$A67,ConfirmedRaw!AK:AK)</f>
        <v>0</v>
      </c>
      <c r="AI67">
        <f>SUMIF(ConfirmedRaw!$B:$B,$A67,ConfirmedRaw!AL:AL)</f>
        <v>0</v>
      </c>
      <c r="AJ67">
        <f>SUMIF(ConfirmedRaw!$B:$B,$A67,ConfirmedRaw!AM:AM)</f>
        <v>0</v>
      </c>
      <c r="AK67">
        <f>SUMIF(ConfirmedRaw!$B:$B,$A67,ConfirmedRaw!AN:AN)</f>
        <v>0</v>
      </c>
      <c r="AL67">
        <f>SUMIF(ConfirmedRaw!$B:$B,$A67,ConfirmedRaw!AO:AO)</f>
        <v>0</v>
      </c>
      <c r="AM67">
        <f>SUMIF(ConfirmedRaw!$B:$B,$A67,ConfirmedRaw!AP:AP)</f>
        <v>0</v>
      </c>
      <c r="AN67">
        <f>SUMIF(ConfirmedRaw!$B:$B,$A67,ConfirmedRaw!AQ:AQ)</f>
        <v>0</v>
      </c>
      <c r="AO67">
        <f>SUMIF(ConfirmedRaw!$B:$B,$A67,ConfirmedRaw!AR:AR)</f>
        <v>0</v>
      </c>
      <c r="AP67">
        <f>SUMIF(ConfirmedRaw!$B:$B,$A67,ConfirmedRaw!AS:AS)</f>
        <v>0</v>
      </c>
      <c r="AQ67">
        <f>SUMIF(ConfirmedRaw!$B:$B,$A67,ConfirmedRaw!AT:AT)</f>
        <v>0</v>
      </c>
      <c r="AR67">
        <f>SUMIF(ConfirmedRaw!$B:$B,$A67,ConfirmedRaw!AU:AU)</f>
        <v>0</v>
      </c>
      <c r="AS67">
        <f>SUMIF(ConfirmedRaw!$B:$B,$A67,ConfirmedRaw!AV:AV)</f>
        <v>0</v>
      </c>
      <c r="AT67">
        <f>SUMIF(ConfirmedRaw!$B:$B,$A67,ConfirmedRaw!AW:AW)</f>
        <v>0</v>
      </c>
      <c r="AU67">
        <f>SUMIF(ConfirmedRaw!$B:$B,$A67,ConfirmedRaw!AX:AX)</f>
        <v>0</v>
      </c>
      <c r="AV67">
        <f>SUMIF(ConfirmedRaw!$B:$B,$A67,ConfirmedRaw!AY:AY)</f>
        <v>4</v>
      </c>
      <c r="AW67">
        <f>SUMIF(ConfirmedRaw!$B:$B,$A67,ConfirmedRaw!AZ:AZ)</f>
        <v>4</v>
      </c>
      <c r="AX67">
        <f>SUMIF(ConfirmedRaw!$B:$B,$A67,ConfirmedRaw!BA:BA)</f>
        <v>4</v>
      </c>
      <c r="AY67">
        <f>SUMIF(ConfirmedRaw!$B:$B,$A67,ConfirmedRaw!BB:BB)</f>
        <v>7</v>
      </c>
      <c r="AZ67">
        <f>SUMIF(ConfirmedRaw!$B:$B,$A67,ConfirmedRaw!BC:BC)</f>
        <v>7</v>
      </c>
      <c r="BA67">
        <f>SUMIF(ConfirmedRaw!$B:$B,$A67,ConfirmedRaw!BD:BD)</f>
        <v>23</v>
      </c>
      <c r="BB67">
        <f>SUMIF(ConfirmedRaw!$B:$B,$A67,ConfirmedRaw!BE:BE)</f>
        <v>41</v>
      </c>
      <c r="BC67">
        <f>SUMIF(ConfirmedRaw!$B:$B,$A67,ConfirmedRaw!BF:BF)</f>
        <v>51</v>
      </c>
      <c r="BD67">
        <f>SUMIF(ConfirmedRaw!$B:$B,$A67,ConfirmedRaw!BG:BG)</f>
        <v>52</v>
      </c>
      <c r="BE67">
        <f>SUMIF(ConfirmedRaw!$B:$B,$A67,ConfirmedRaw!BH:BH)</f>
        <v>67</v>
      </c>
      <c r="BF67">
        <f>SUMIF(ConfirmedRaw!$B:$B,$A67,ConfirmedRaw!BI:BI)</f>
        <v>92</v>
      </c>
      <c r="BG67">
        <f>SUMIF(ConfirmedRaw!$B:$B,$A67,ConfirmedRaw!BJ:BJ)</f>
        <v>0</v>
      </c>
      <c r="BH67">
        <f>SUMIF(ConfirmedRaw!$B:$B,$A67,ConfirmedRaw!BK:BK)</f>
        <v>0</v>
      </c>
      <c r="BI67">
        <f>SUMIF(ConfirmedRaw!$B:$B,$A67,ConfirmedRaw!BL:BL)</f>
        <v>0</v>
      </c>
      <c r="BJ67">
        <f>SUMIF(ConfirmedRaw!$B:$B,$A67,ConfirmedRaw!BM:BM)</f>
        <v>0</v>
      </c>
      <c r="BK67">
        <f>SUMIF(ConfirmedRaw!$B:$B,$A67,ConfirmedRaw!BN:BN)</f>
        <v>0</v>
      </c>
      <c r="BL67">
        <f>SUMIF(ConfirmedRaw!$B:$B,$A67,ConfirmedRaw!BO:BO)</f>
        <v>0</v>
      </c>
      <c r="BM67">
        <f>SUMIF(ConfirmedRaw!$B:$B,$A67,ConfirmedRaw!BP:BP)</f>
        <v>0</v>
      </c>
      <c r="BN67">
        <f>SUMIF(ConfirmedRaw!$B:$B,$A67,ConfirmedRaw!BQ:BQ)</f>
        <v>0</v>
      </c>
      <c r="BO67">
        <f>SUMIF(ConfirmedRaw!$B:$B,$A67,ConfirmedRaw!BR:BR)</f>
        <v>0</v>
      </c>
      <c r="BP67">
        <f>SUMIF(ConfirmedRaw!$B:$B,$A67,ConfirmedRaw!BS:BS)</f>
        <v>0</v>
      </c>
      <c r="BQ67">
        <f>SUMIF(ConfirmedRaw!$B:$B,$A67,ConfirmedRaw!BT:BT)</f>
        <v>0</v>
      </c>
      <c r="BR67">
        <f>SUMIF(ConfirmedRaw!$B:$B,$A67,ConfirmedRaw!BU:BU)</f>
        <v>0</v>
      </c>
      <c r="BS67">
        <f>SUMIF(ConfirmedRaw!$B:$B,$A67,ConfirmedRaw!BV:BV)</f>
        <v>0</v>
      </c>
      <c r="BT67">
        <f>SUMIF(ConfirmedRaw!$B:$B,$A67,ConfirmedRaw!BW:BW)</f>
        <v>0</v>
      </c>
    </row>
    <row r="68" spans="1:72" ht="15" thickBot="1" x14ac:dyDescent="0.35">
      <c r="A68" s="3" t="s">
        <v>159</v>
      </c>
      <c r="B68">
        <f>SUMIF(ConfirmedRaw!$B:$B,$A68,ConfirmedRaw!E:E)</f>
        <v>0</v>
      </c>
      <c r="C68">
        <f>SUMIF(ConfirmedRaw!$B:$B,$A68,ConfirmedRaw!F:F)</f>
        <v>0</v>
      </c>
      <c r="D68">
        <f>SUMIF(ConfirmedRaw!$B:$B,$A68,ConfirmedRaw!G:G)</f>
        <v>0</v>
      </c>
      <c r="E68">
        <f>SUMIF(ConfirmedRaw!$B:$B,$A68,ConfirmedRaw!H:H)</f>
        <v>0</v>
      </c>
      <c r="F68">
        <f>SUMIF(ConfirmedRaw!$B:$B,$A68,ConfirmedRaw!I:I)</f>
        <v>0</v>
      </c>
      <c r="G68">
        <f>SUMIF(ConfirmedRaw!$B:$B,$A68,ConfirmedRaw!J:J)</f>
        <v>0</v>
      </c>
      <c r="H68">
        <f>SUMIF(ConfirmedRaw!$B:$B,$A68,ConfirmedRaw!K:K)</f>
        <v>0</v>
      </c>
      <c r="I68">
        <f>SUMIF(ConfirmedRaw!$B:$B,$A68,ConfirmedRaw!L:L)</f>
        <v>0</v>
      </c>
      <c r="J68">
        <f>SUMIF(ConfirmedRaw!$B:$B,$A68,ConfirmedRaw!M:M)</f>
        <v>0</v>
      </c>
      <c r="K68">
        <f>SUMIF(ConfirmedRaw!$B:$B,$A68,ConfirmedRaw!N:N)</f>
        <v>0</v>
      </c>
      <c r="L68">
        <f>SUMIF(ConfirmedRaw!$B:$B,$A68,ConfirmedRaw!O:O)</f>
        <v>0</v>
      </c>
      <c r="M68">
        <f>SUMIF(ConfirmedRaw!$B:$B,$A68,ConfirmedRaw!P:P)</f>
        <v>0</v>
      </c>
      <c r="N68">
        <f>SUMIF(ConfirmedRaw!$B:$B,$A68,ConfirmedRaw!Q:Q)</f>
        <v>0</v>
      </c>
      <c r="O68">
        <f>SUMIF(ConfirmedRaw!$B:$B,$A68,ConfirmedRaw!R:R)</f>
        <v>0</v>
      </c>
      <c r="P68">
        <f>SUMIF(ConfirmedRaw!$B:$B,$A68,ConfirmedRaw!S:S)</f>
        <v>0</v>
      </c>
      <c r="Q68">
        <f>SUMIF(ConfirmedRaw!$B:$B,$A68,ConfirmedRaw!T:T)</f>
        <v>0</v>
      </c>
      <c r="R68">
        <f>SUMIF(ConfirmedRaw!$B:$B,$A68,ConfirmedRaw!U:U)</f>
        <v>0</v>
      </c>
      <c r="S68">
        <f>SUMIF(ConfirmedRaw!$B:$B,$A68,ConfirmedRaw!V:V)</f>
        <v>0</v>
      </c>
      <c r="T68">
        <f>SUMIF(ConfirmedRaw!$B:$B,$A68,ConfirmedRaw!W:W)</f>
        <v>0</v>
      </c>
      <c r="U68">
        <f>SUMIF(ConfirmedRaw!$B:$B,$A68,ConfirmedRaw!X:X)</f>
        <v>0</v>
      </c>
      <c r="V68">
        <f>SUMIF(ConfirmedRaw!$B:$B,$A68,ConfirmedRaw!Y:Y)</f>
        <v>0</v>
      </c>
      <c r="W68">
        <f>SUMIF(ConfirmedRaw!$B:$B,$A68,ConfirmedRaw!Z:Z)</f>
        <v>0</v>
      </c>
      <c r="X68">
        <f>SUMIF(ConfirmedRaw!$B:$B,$A68,ConfirmedRaw!AA:AA)</f>
        <v>0</v>
      </c>
      <c r="Y68">
        <f>SUMIF(ConfirmedRaw!$B:$B,$A68,ConfirmedRaw!AB:AB)</f>
        <v>0</v>
      </c>
      <c r="Z68">
        <f>SUMIF(ConfirmedRaw!$B:$B,$A68,ConfirmedRaw!AC:AC)</f>
        <v>0</v>
      </c>
      <c r="AA68">
        <f>SUMIF(ConfirmedRaw!$B:$B,$A68,ConfirmedRaw!AD:AD)</f>
        <v>0</v>
      </c>
      <c r="AB68">
        <f>SUMIF(ConfirmedRaw!$B:$B,$A68,ConfirmedRaw!AE:AE)</f>
        <v>0</v>
      </c>
      <c r="AC68">
        <f>SUMIF(ConfirmedRaw!$B:$B,$A68,ConfirmedRaw!AF:AF)</f>
        <v>0</v>
      </c>
      <c r="AD68">
        <f>SUMIF(ConfirmedRaw!$B:$B,$A68,ConfirmedRaw!AG:AG)</f>
        <v>0</v>
      </c>
      <c r="AE68">
        <f>SUMIF(ConfirmedRaw!$B:$B,$A68,ConfirmedRaw!AH:AH)</f>
        <v>0</v>
      </c>
      <c r="AF68">
        <f>SUMIF(ConfirmedRaw!$B:$B,$A68,ConfirmedRaw!AI:AI)</f>
        <v>0</v>
      </c>
      <c r="AG68">
        <f>SUMIF(ConfirmedRaw!$B:$B,$A68,ConfirmedRaw!AJ:AJ)</f>
        <v>0</v>
      </c>
      <c r="AH68">
        <f>SUMIF(ConfirmedRaw!$B:$B,$A68,ConfirmedRaw!AK:AK)</f>
        <v>0</v>
      </c>
      <c r="AI68">
        <f>SUMIF(ConfirmedRaw!$B:$B,$A68,ConfirmedRaw!AL:AL)</f>
        <v>0</v>
      </c>
      <c r="AJ68">
        <f>SUMIF(ConfirmedRaw!$B:$B,$A68,ConfirmedRaw!AM:AM)</f>
        <v>0</v>
      </c>
      <c r="AK68">
        <f>SUMIF(ConfirmedRaw!$B:$B,$A68,ConfirmedRaw!AN:AN)</f>
        <v>0</v>
      </c>
      <c r="AL68">
        <f>SUMIF(ConfirmedRaw!$B:$B,$A68,ConfirmedRaw!AO:AO)</f>
        <v>0</v>
      </c>
      <c r="AM68">
        <f>SUMIF(ConfirmedRaw!$B:$B,$A68,ConfirmedRaw!AP:AP)</f>
        <v>0</v>
      </c>
      <c r="AN68">
        <f>SUMIF(ConfirmedRaw!$B:$B,$A68,ConfirmedRaw!AQ:AQ)</f>
        <v>0</v>
      </c>
      <c r="AO68">
        <f>SUMIF(ConfirmedRaw!$B:$B,$A68,ConfirmedRaw!AR:AR)</f>
        <v>0</v>
      </c>
      <c r="AP68">
        <f>SUMIF(ConfirmedRaw!$B:$B,$A68,ConfirmedRaw!AS:AS)</f>
        <v>0</v>
      </c>
      <c r="AQ68">
        <f>SUMIF(ConfirmedRaw!$B:$B,$A68,ConfirmedRaw!AT:AT)</f>
        <v>0</v>
      </c>
      <c r="AR68">
        <f>SUMIF(ConfirmedRaw!$B:$B,$A68,ConfirmedRaw!AU:AU)</f>
        <v>0</v>
      </c>
      <c r="AS68">
        <f>SUMIF(ConfirmedRaw!$B:$B,$A68,ConfirmedRaw!AV:AV)</f>
        <v>0</v>
      </c>
      <c r="AT68">
        <f>SUMIF(ConfirmedRaw!$B:$B,$A68,ConfirmedRaw!AW:AW)</f>
        <v>1</v>
      </c>
      <c r="AU68">
        <f>SUMIF(ConfirmedRaw!$B:$B,$A68,ConfirmedRaw!AX:AX)</f>
        <v>1</v>
      </c>
      <c r="AV68">
        <f>SUMIF(ConfirmedRaw!$B:$B,$A68,ConfirmedRaw!AY:AY)</f>
        <v>5</v>
      </c>
      <c r="AW68">
        <f>SUMIF(ConfirmedRaw!$B:$B,$A68,ConfirmedRaw!AZ:AZ)</f>
        <v>9</v>
      </c>
      <c r="AX68">
        <f>SUMIF(ConfirmedRaw!$B:$B,$A68,ConfirmedRaw!BA:BA)</f>
        <v>9</v>
      </c>
      <c r="AY68">
        <f>SUMIF(ConfirmedRaw!$B:$B,$A68,ConfirmedRaw!BB:BB)</f>
        <v>13</v>
      </c>
      <c r="AZ68">
        <f>SUMIF(ConfirmedRaw!$B:$B,$A68,ConfirmedRaw!BC:BC)</f>
        <v>22</v>
      </c>
      <c r="BA68">
        <f>SUMIF(ConfirmedRaw!$B:$B,$A68,ConfirmedRaw!BD:BD)</f>
        <v>23</v>
      </c>
      <c r="BB68">
        <f>SUMIF(ConfirmedRaw!$B:$B,$A68,ConfirmedRaw!BE:BE)</f>
        <v>26</v>
      </c>
      <c r="BC68">
        <f>SUMIF(ConfirmedRaw!$B:$B,$A68,ConfirmedRaw!BF:BF)</f>
        <v>27</v>
      </c>
      <c r="BD68">
        <f>SUMIF(ConfirmedRaw!$B:$B,$A68,ConfirmedRaw!BG:BG)</f>
        <v>35</v>
      </c>
      <c r="BE68">
        <f>SUMIF(ConfirmedRaw!$B:$B,$A68,ConfirmedRaw!BH:BH)</f>
        <v>41</v>
      </c>
      <c r="BF68">
        <f>SUMIF(ConfirmedRaw!$B:$B,$A68,ConfirmedRaw!BI:BI)</f>
        <v>50</v>
      </c>
      <c r="BG68">
        <f>SUMIF(ConfirmedRaw!$B:$B,$A68,ConfirmedRaw!BJ:BJ)</f>
        <v>0</v>
      </c>
      <c r="BH68">
        <f>SUMIF(ConfirmedRaw!$B:$B,$A68,ConfirmedRaw!BK:BK)</f>
        <v>0</v>
      </c>
      <c r="BI68">
        <f>SUMIF(ConfirmedRaw!$B:$B,$A68,ConfirmedRaw!BL:BL)</f>
        <v>0</v>
      </c>
      <c r="BJ68">
        <f>SUMIF(ConfirmedRaw!$B:$B,$A68,ConfirmedRaw!BM:BM)</f>
        <v>0</v>
      </c>
      <c r="BK68">
        <f>SUMIF(ConfirmedRaw!$B:$B,$A68,ConfirmedRaw!BN:BN)</f>
        <v>0</v>
      </c>
      <c r="BL68">
        <f>SUMIF(ConfirmedRaw!$B:$B,$A68,ConfirmedRaw!BO:BO)</f>
        <v>0</v>
      </c>
      <c r="BM68">
        <f>SUMIF(ConfirmedRaw!$B:$B,$A68,ConfirmedRaw!BP:BP)</f>
        <v>0</v>
      </c>
      <c r="BN68">
        <f>SUMIF(ConfirmedRaw!$B:$B,$A68,ConfirmedRaw!BQ:BQ)</f>
        <v>0</v>
      </c>
      <c r="BO68">
        <f>SUMIF(ConfirmedRaw!$B:$B,$A68,ConfirmedRaw!BR:BR)</f>
        <v>0</v>
      </c>
      <c r="BP68">
        <f>SUMIF(ConfirmedRaw!$B:$B,$A68,ConfirmedRaw!BS:BS)</f>
        <v>0</v>
      </c>
      <c r="BQ68">
        <f>SUMIF(ConfirmedRaw!$B:$B,$A68,ConfirmedRaw!BT:BT)</f>
        <v>0</v>
      </c>
      <c r="BR68">
        <f>SUMIF(ConfirmedRaw!$B:$B,$A68,ConfirmedRaw!BU:BU)</f>
        <v>0</v>
      </c>
      <c r="BS68">
        <f>SUMIF(ConfirmedRaw!$B:$B,$A68,ConfirmedRaw!BV:BV)</f>
        <v>0</v>
      </c>
      <c r="BT68">
        <f>SUMIF(ConfirmedRaw!$B:$B,$A68,ConfirmedRaw!BW:BW)</f>
        <v>0</v>
      </c>
    </row>
    <row r="69" spans="1:72" ht="15" thickBot="1" x14ac:dyDescent="0.35">
      <c r="A69" s="4" t="s">
        <v>132</v>
      </c>
      <c r="B69">
        <f>SUMIF(ConfirmedRaw!$B:$B,$A69,ConfirmedRaw!E:E)</f>
        <v>0</v>
      </c>
      <c r="C69">
        <f>SUMIF(ConfirmedRaw!$B:$B,$A69,ConfirmedRaw!F:F)</f>
        <v>0</v>
      </c>
      <c r="D69">
        <f>SUMIF(ConfirmedRaw!$B:$B,$A69,ConfirmedRaw!G:G)</f>
        <v>0</v>
      </c>
      <c r="E69">
        <f>SUMIF(ConfirmedRaw!$B:$B,$A69,ConfirmedRaw!H:H)</f>
        <v>0</v>
      </c>
      <c r="F69">
        <f>SUMIF(ConfirmedRaw!$B:$B,$A69,ConfirmedRaw!I:I)</f>
        <v>0</v>
      </c>
      <c r="G69">
        <f>SUMIF(ConfirmedRaw!$B:$B,$A69,ConfirmedRaw!J:J)</f>
        <v>0</v>
      </c>
      <c r="H69">
        <f>SUMIF(ConfirmedRaw!$B:$B,$A69,ConfirmedRaw!K:K)</f>
        <v>0</v>
      </c>
      <c r="I69">
        <f>SUMIF(ConfirmedRaw!$B:$B,$A69,ConfirmedRaw!L:L)</f>
        <v>0</v>
      </c>
      <c r="J69">
        <f>SUMIF(ConfirmedRaw!$B:$B,$A69,ConfirmedRaw!M:M)</f>
        <v>0</v>
      </c>
      <c r="K69">
        <f>SUMIF(ConfirmedRaw!$B:$B,$A69,ConfirmedRaw!N:N)</f>
        <v>0</v>
      </c>
      <c r="L69">
        <f>SUMIF(ConfirmedRaw!$B:$B,$A69,ConfirmedRaw!O:O)</f>
        <v>0</v>
      </c>
      <c r="M69">
        <f>SUMIF(ConfirmedRaw!$B:$B,$A69,ConfirmedRaw!P:P)</f>
        <v>0</v>
      </c>
      <c r="N69">
        <f>SUMIF(ConfirmedRaw!$B:$B,$A69,ConfirmedRaw!Q:Q)</f>
        <v>0</v>
      </c>
      <c r="O69">
        <f>SUMIF(ConfirmedRaw!$B:$B,$A69,ConfirmedRaw!R:R)</f>
        <v>0</v>
      </c>
      <c r="P69">
        <f>SUMIF(ConfirmedRaw!$B:$B,$A69,ConfirmedRaw!S:S)</f>
        <v>0</v>
      </c>
      <c r="Q69">
        <f>SUMIF(ConfirmedRaw!$B:$B,$A69,ConfirmedRaw!T:T)</f>
        <v>0</v>
      </c>
      <c r="R69">
        <f>SUMIF(ConfirmedRaw!$B:$B,$A69,ConfirmedRaw!U:U)</f>
        <v>0</v>
      </c>
      <c r="S69">
        <f>SUMIF(ConfirmedRaw!$B:$B,$A69,ConfirmedRaw!V:V)</f>
        <v>0</v>
      </c>
      <c r="T69">
        <f>SUMIF(ConfirmedRaw!$B:$B,$A69,ConfirmedRaw!W:W)</f>
        <v>0</v>
      </c>
      <c r="U69">
        <f>SUMIF(ConfirmedRaw!$B:$B,$A69,ConfirmedRaw!X:X)</f>
        <v>0</v>
      </c>
      <c r="V69">
        <f>SUMIF(ConfirmedRaw!$B:$B,$A69,ConfirmedRaw!Y:Y)</f>
        <v>0</v>
      </c>
      <c r="W69">
        <f>SUMIF(ConfirmedRaw!$B:$B,$A69,ConfirmedRaw!Z:Z)</f>
        <v>0</v>
      </c>
      <c r="X69">
        <f>SUMIF(ConfirmedRaw!$B:$B,$A69,ConfirmedRaw!AA:AA)</f>
        <v>0</v>
      </c>
      <c r="Y69">
        <f>SUMIF(ConfirmedRaw!$B:$B,$A69,ConfirmedRaw!AB:AB)</f>
        <v>0</v>
      </c>
      <c r="Z69">
        <f>SUMIF(ConfirmedRaw!$B:$B,$A69,ConfirmedRaw!AC:AC)</f>
        <v>0</v>
      </c>
      <c r="AA69">
        <f>SUMIF(ConfirmedRaw!$B:$B,$A69,ConfirmedRaw!AD:AD)</f>
        <v>0</v>
      </c>
      <c r="AB69">
        <f>SUMIF(ConfirmedRaw!$B:$B,$A69,ConfirmedRaw!AE:AE)</f>
        <v>0</v>
      </c>
      <c r="AC69">
        <f>SUMIF(ConfirmedRaw!$B:$B,$A69,ConfirmedRaw!AF:AF)</f>
        <v>0</v>
      </c>
      <c r="AD69">
        <f>SUMIF(ConfirmedRaw!$B:$B,$A69,ConfirmedRaw!AG:AG)</f>
        <v>0</v>
      </c>
      <c r="AE69">
        <f>SUMIF(ConfirmedRaw!$B:$B,$A69,ConfirmedRaw!AH:AH)</f>
        <v>0</v>
      </c>
      <c r="AF69">
        <f>SUMIF(ConfirmedRaw!$B:$B,$A69,ConfirmedRaw!AI:AI)</f>
        <v>0</v>
      </c>
      <c r="AG69">
        <f>SUMIF(ConfirmedRaw!$B:$B,$A69,ConfirmedRaw!AJ:AJ)</f>
        <v>0</v>
      </c>
      <c r="AH69">
        <f>SUMIF(ConfirmedRaw!$B:$B,$A69,ConfirmedRaw!AK:AK)</f>
        <v>0</v>
      </c>
      <c r="AI69">
        <f>SUMIF(ConfirmedRaw!$B:$B,$A69,ConfirmedRaw!AL:AL)</f>
        <v>0</v>
      </c>
      <c r="AJ69">
        <f>SUMIF(ConfirmedRaw!$B:$B,$A69,ConfirmedRaw!AM:AM)</f>
        <v>0</v>
      </c>
      <c r="AK69">
        <f>SUMIF(ConfirmedRaw!$B:$B,$A69,ConfirmedRaw!AN:AN)</f>
        <v>0</v>
      </c>
      <c r="AL69">
        <f>SUMIF(ConfirmedRaw!$B:$B,$A69,ConfirmedRaw!AO:AO)</f>
        <v>0</v>
      </c>
      <c r="AM69">
        <f>SUMIF(ConfirmedRaw!$B:$B,$A69,ConfirmedRaw!AP:AP)</f>
        <v>0</v>
      </c>
      <c r="AN69">
        <f>SUMIF(ConfirmedRaw!$B:$B,$A69,ConfirmedRaw!AQ:AQ)</f>
        <v>0</v>
      </c>
      <c r="AO69">
        <f>SUMIF(ConfirmedRaw!$B:$B,$A69,ConfirmedRaw!AR:AR)</f>
        <v>0</v>
      </c>
      <c r="AP69">
        <f>SUMIF(ConfirmedRaw!$B:$B,$A69,ConfirmedRaw!AS:AS)</f>
        <v>0</v>
      </c>
      <c r="AQ69">
        <f>SUMIF(ConfirmedRaw!$B:$B,$A69,ConfirmedRaw!AT:AT)</f>
        <v>0</v>
      </c>
      <c r="AR69">
        <f>SUMIF(ConfirmedRaw!$B:$B,$A69,ConfirmedRaw!AU:AU)</f>
        <v>2</v>
      </c>
      <c r="AS69">
        <f>SUMIF(ConfirmedRaw!$B:$B,$A69,ConfirmedRaw!AV:AV)</f>
        <v>2</v>
      </c>
      <c r="AT69">
        <f>SUMIF(ConfirmedRaw!$B:$B,$A69,ConfirmedRaw!AW:AW)</f>
        <v>2</v>
      </c>
      <c r="AU69">
        <f>SUMIF(ConfirmedRaw!$B:$B,$A69,ConfirmedRaw!AX:AX)</f>
        <v>4</v>
      </c>
      <c r="AV69">
        <f>SUMIF(ConfirmedRaw!$B:$B,$A69,ConfirmedRaw!AY:AY)</f>
        <v>7</v>
      </c>
      <c r="AW69">
        <f>SUMIF(ConfirmedRaw!$B:$B,$A69,ConfirmedRaw!AZ:AZ)</f>
        <v>9</v>
      </c>
      <c r="AX69">
        <f>SUMIF(ConfirmedRaw!$B:$B,$A69,ConfirmedRaw!BA:BA)</f>
        <v>9</v>
      </c>
      <c r="AY69">
        <f>SUMIF(ConfirmedRaw!$B:$B,$A69,ConfirmedRaw!BB:BB)</f>
        <v>13</v>
      </c>
      <c r="AZ69">
        <f>SUMIF(ConfirmedRaw!$B:$B,$A69,ConfirmedRaw!BC:BC)</f>
        <v>13</v>
      </c>
      <c r="BA69">
        <f>SUMIF(ConfirmedRaw!$B:$B,$A69,ConfirmedRaw!BD:BD)</f>
        <v>19</v>
      </c>
      <c r="BB69">
        <f>SUMIF(ConfirmedRaw!$B:$B,$A69,ConfirmedRaw!BE:BE)</f>
        <v>30</v>
      </c>
      <c r="BC69">
        <f>SUMIF(ConfirmedRaw!$B:$B,$A69,ConfirmedRaw!BF:BF)</f>
        <v>32</v>
      </c>
      <c r="BD69">
        <f>SUMIF(ConfirmedRaw!$B:$B,$A69,ConfirmedRaw!BG:BG)</f>
        <v>39</v>
      </c>
      <c r="BE69">
        <f>SUMIF(ConfirmedRaw!$B:$B,$A69,ConfirmedRaw!BH:BH)</f>
        <v>50</v>
      </c>
      <c r="BF69">
        <f>SUMIF(ConfirmedRaw!$B:$B,$A69,ConfirmedRaw!BI:BI)</f>
        <v>58</v>
      </c>
      <c r="BG69">
        <f>SUMIF(ConfirmedRaw!$B:$B,$A69,ConfirmedRaw!BJ:BJ)</f>
        <v>0</v>
      </c>
      <c r="BH69">
        <f>SUMIF(ConfirmedRaw!$B:$B,$A69,ConfirmedRaw!BK:BK)</f>
        <v>0</v>
      </c>
      <c r="BI69">
        <f>SUMIF(ConfirmedRaw!$B:$B,$A69,ConfirmedRaw!BL:BL)</f>
        <v>0</v>
      </c>
      <c r="BJ69">
        <f>SUMIF(ConfirmedRaw!$B:$B,$A69,ConfirmedRaw!BM:BM)</f>
        <v>0</v>
      </c>
      <c r="BK69">
        <f>SUMIF(ConfirmedRaw!$B:$B,$A69,ConfirmedRaw!BN:BN)</f>
        <v>0</v>
      </c>
      <c r="BL69">
        <f>SUMIF(ConfirmedRaw!$B:$B,$A69,ConfirmedRaw!BO:BO)</f>
        <v>0</v>
      </c>
      <c r="BM69">
        <f>SUMIF(ConfirmedRaw!$B:$B,$A69,ConfirmedRaw!BP:BP)</f>
        <v>0</v>
      </c>
      <c r="BN69">
        <f>SUMIF(ConfirmedRaw!$B:$B,$A69,ConfirmedRaw!BQ:BQ)</f>
        <v>0</v>
      </c>
      <c r="BO69">
        <f>SUMIF(ConfirmedRaw!$B:$B,$A69,ConfirmedRaw!BR:BR)</f>
        <v>0</v>
      </c>
      <c r="BP69">
        <f>SUMIF(ConfirmedRaw!$B:$B,$A69,ConfirmedRaw!BS:BS)</f>
        <v>0</v>
      </c>
      <c r="BQ69">
        <f>SUMIF(ConfirmedRaw!$B:$B,$A69,ConfirmedRaw!BT:BT)</f>
        <v>0</v>
      </c>
      <c r="BR69">
        <f>SUMIF(ConfirmedRaw!$B:$B,$A69,ConfirmedRaw!BU:BU)</f>
        <v>0</v>
      </c>
      <c r="BS69">
        <f>SUMIF(ConfirmedRaw!$B:$B,$A69,ConfirmedRaw!BV:BV)</f>
        <v>0</v>
      </c>
      <c r="BT69">
        <f>SUMIF(ConfirmedRaw!$B:$B,$A69,ConfirmedRaw!BW:BW)</f>
        <v>0</v>
      </c>
    </row>
    <row r="70" spans="1:72" ht="15" thickBot="1" x14ac:dyDescent="0.35">
      <c r="A70" s="4" t="s">
        <v>71</v>
      </c>
      <c r="B70">
        <f>SUMIF(ConfirmedRaw!$B:$B,$A70,ConfirmedRaw!E:E)</f>
        <v>0</v>
      </c>
      <c r="C70">
        <f>SUMIF(ConfirmedRaw!$B:$B,$A70,ConfirmedRaw!F:F)</f>
        <v>0</v>
      </c>
      <c r="D70">
        <f>SUMIF(ConfirmedRaw!$B:$B,$A70,ConfirmedRaw!G:G)</f>
        <v>0</v>
      </c>
      <c r="E70">
        <f>SUMIF(ConfirmedRaw!$B:$B,$A70,ConfirmedRaw!H:H)</f>
        <v>0</v>
      </c>
      <c r="F70">
        <f>SUMIF(ConfirmedRaw!$B:$B,$A70,ConfirmedRaw!I:I)</f>
        <v>0</v>
      </c>
      <c r="G70">
        <f>SUMIF(ConfirmedRaw!$B:$B,$A70,ConfirmedRaw!J:J)</f>
        <v>0</v>
      </c>
      <c r="H70">
        <f>SUMIF(ConfirmedRaw!$B:$B,$A70,ConfirmedRaw!K:K)</f>
        <v>0</v>
      </c>
      <c r="I70">
        <f>SUMIF(ConfirmedRaw!$B:$B,$A70,ConfirmedRaw!L:L)</f>
        <v>0</v>
      </c>
      <c r="J70">
        <f>SUMIF(ConfirmedRaw!$B:$B,$A70,ConfirmedRaw!M:M)</f>
        <v>0</v>
      </c>
      <c r="K70">
        <f>SUMIF(ConfirmedRaw!$B:$B,$A70,ConfirmedRaw!N:N)</f>
        <v>0</v>
      </c>
      <c r="L70">
        <f>SUMIF(ConfirmedRaw!$B:$B,$A70,ConfirmedRaw!O:O)</f>
        <v>0</v>
      </c>
      <c r="M70">
        <f>SUMIF(ConfirmedRaw!$B:$B,$A70,ConfirmedRaw!P:P)</f>
        <v>0</v>
      </c>
      <c r="N70">
        <f>SUMIF(ConfirmedRaw!$B:$B,$A70,ConfirmedRaw!Q:Q)</f>
        <v>0</v>
      </c>
      <c r="O70">
        <f>SUMIF(ConfirmedRaw!$B:$B,$A70,ConfirmedRaw!R:R)</f>
        <v>0</v>
      </c>
      <c r="P70">
        <f>SUMIF(ConfirmedRaw!$B:$B,$A70,ConfirmedRaw!S:S)</f>
        <v>0</v>
      </c>
      <c r="Q70">
        <f>SUMIF(ConfirmedRaw!$B:$B,$A70,ConfirmedRaw!T:T)</f>
        <v>0</v>
      </c>
      <c r="R70">
        <f>SUMIF(ConfirmedRaw!$B:$B,$A70,ConfirmedRaw!U:U)</f>
        <v>0</v>
      </c>
      <c r="S70">
        <f>SUMIF(ConfirmedRaw!$B:$B,$A70,ConfirmedRaw!V:V)</f>
        <v>0</v>
      </c>
      <c r="T70">
        <f>SUMIF(ConfirmedRaw!$B:$B,$A70,ConfirmedRaw!W:W)</f>
        <v>0</v>
      </c>
      <c r="U70">
        <f>SUMIF(ConfirmedRaw!$B:$B,$A70,ConfirmedRaw!X:X)</f>
        <v>0</v>
      </c>
      <c r="V70">
        <f>SUMIF(ConfirmedRaw!$B:$B,$A70,ConfirmedRaw!Y:Y)</f>
        <v>0</v>
      </c>
      <c r="W70">
        <f>SUMIF(ConfirmedRaw!$B:$B,$A70,ConfirmedRaw!Z:Z)</f>
        <v>0</v>
      </c>
      <c r="X70">
        <f>SUMIF(ConfirmedRaw!$B:$B,$A70,ConfirmedRaw!AA:AA)</f>
        <v>0</v>
      </c>
      <c r="Y70">
        <f>SUMIF(ConfirmedRaw!$B:$B,$A70,ConfirmedRaw!AB:AB)</f>
        <v>0</v>
      </c>
      <c r="Z70">
        <f>SUMIF(ConfirmedRaw!$B:$B,$A70,ConfirmedRaw!AC:AC)</f>
        <v>0</v>
      </c>
      <c r="AA70">
        <f>SUMIF(ConfirmedRaw!$B:$B,$A70,ConfirmedRaw!AD:AD)</f>
        <v>0</v>
      </c>
      <c r="AB70">
        <f>SUMIF(ConfirmedRaw!$B:$B,$A70,ConfirmedRaw!AE:AE)</f>
        <v>0</v>
      </c>
      <c r="AC70">
        <f>SUMIF(ConfirmedRaw!$B:$B,$A70,ConfirmedRaw!AF:AF)</f>
        <v>0</v>
      </c>
      <c r="AD70">
        <f>SUMIF(ConfirmedRaw!$B:$B,$A70,ConfirmedRaw!AG:AG)</f>
        <v>0</v>
      </c>
      <c r="AE70">
        <f>SUMIF(ConfirmedRaw!$B:$B,$A70,ConfirmedRaw!AH:AH)</f>
        <v>0</v>
      </c>
      <c r="AF70">
        <f>SUMIF(ConfirmedRaw!$B:$B,$A70,ConfirmedRaw!AI:AI)</f>
        <v>0</v>
      </c>
      <c r="AG70">
        <f>SUMIF(ConfirmedRaw!$B:$B,$A70,ConfirmedRaw!AJ:AJ)</f>
        <v>0</v>
      </c>
      <c r="AH70">
        <f>SUMIF(ConfirmedRaw!$B:$B,$A70,ConfirmedRaw!AK:AK)</f>
        <v>0</v>
      </c>
      <c r="AI70">
        <f>SUMIF(ConfirmedRaw!$B:$B,$A70,ConfirmedRaw!AL:AL)</f>
        <v>2</v>
      </c>
      <c r="AJ70">
        <f>SUMIF(ConfirmedRaw!$B:$B,$A70,ConfirmedRaw!AM:AM)</f>
        <v>2</v>
      </c>
      <c r="AK70">
        <f>SUMIF(ConfirmedRaw!$B:$B,$A70,ConfirmedRaw!AN:AN)</f>
        <v>4</v>
      </c>
      <c r="AL70">
        <f>SUMIF(ConfirmedRaw!$B:$B,$A70,ConfirmedRaw!AO:AO)</f>
        <v>4</v>
      </c>
      <c r="AM70">
        <f>SUMIF(ConfirmedRaw!$B:$B,$A70,ConfirmedRaw!AP:AP)</f>
        <v>4</v>
      </c>
      <c r="AN70">
        <f>SUMIF(ConfirmedRaw!$B:$B,$A70,ConfirmedRaw!AQ:AQ)</f>
        <v>6</v>
      </c>
      <c r="AO70">
        <f>SUMIF(ConfirmedRaw!$B:$B,$A70,ConfirmedRaw!AR:AR)</f>
        <v>6</v>
      </c>
      <c r="AP70">
        <f>SUMIF(ConfirmedRaw!$B:$B,$A70,ConfirmedRaw!AS:AS)</f>
        <v>6</v>
      </c>
      <c r="AQ70">
        <f>SUMIF(ConfirmedRaw!$B:$B,$A70,ConfirmedRaw!AT:AT)</f>
        <v>12</v>
      </c>
      <c r="AR70">
        <f>SUMIF(ConfirmedRaw!$B:$B,$A70,ConfirmedRaw!AU:AU)</f>
        <v>15</v>
      </c>
      <c r="AS70">
        <f>SUMIF(ConfirmedRaw!$B:$B,$A70,ConfirmedRaw!AV:AV)</f>
        <v>16</v>
      </c>
      <c r="AT70">
        <f>SUMIF(ConfirmedRaw!$B:$B,$A70,ConfirmedRaw!AW:AW)</f>
        <v>16</v>
      </c>
      <c r="AU70">
        <f>SUMIF(ConfirmedRaw!$B:$B,$A70,ConfirmedRaw!AX:AX)</f>
        <v>16</v>
      </c>
      <c r="AV70">
        <f>SUMIF(ConfirmedRaw!$B:$B,$A70,ConfirmedRaw!AY:AY)</f>
        <v>16</v>
      </c>
      <c r="AW70">
        <f>SUMIF(ConfirmedRaw!$B:$B,$A70,ConfirmedRaw!AZ:AZ)</f>
        <v>16</v>
      </c>
      <c r="AX70">
        <f>SUMIF(ConfirmedRaw!$B:$B,$A70,ConfirmedRaw!BA:BA)</f>
        <v>18</v>
      </c>
      <c r="AY70">
        <f>SUMIF(ConfirmedRaw!$B:$B,$A70,ConfirmedRaw!BB:BB)</f>
        <v>18</v>
      </c>
      <c r="AZ70">
        <f>SUMIF(ConfirmedRaw!$B:$B,$A70,ConfirmedRaw!BC:BC)</f>
        <v>18</v>
      </c>
      <c r="BA70">
        <f>SUMIF(ConfirmedRaw!$B:$B,$A70,ConfirmedRaw!BD:BD)</f>
        <v>19</v>
      </c>
      <c r="BB70">
        <f>SUMIF(ConfirmedRaw!$B:$B,$A70,ConfirmedRaw!BE:BE)</f>
        <v>19</v>
      </c>
      <c r="BC70">
        <f>SUMIF(ConfirmedRaw!$B:$B,$A70,ConfirmedRaw!BF:BF)</f>
        <v>22</v>
      </c>
      <c r="BD70">
        <f>SUMIF(ConfirmedRaw!$B:$B,$A70,ConfirmedRaw!BG:BG)</f>
        <v>22</v>
      </c>
      <c r="BE70">
        <f>SUMIF(ConfirmedRaw!$B:$B,$A70,ConfirmedRaw!BH:BH)</f>
        <v>24</v>
      </c>
      <c r="BF70">
        <f>SUMIF(ConfirmedRaw!$B:$B,$A70,ConfirmedRaw!BI:BI)</f>
        <v>39</v>
      </c>
      <c r="BG70">
        <f>SUMIF(ConfirmedRaw!$B:$B,$A70,ConfirmedRaw!BJ:BJ)</f>
        <v>0</v>
      </c>
      <c r="BH70">
        <f>SUMIF(ConfirmedRaw!$B:$B,$A70,ConfirmedRaw!BK:BK)</f>
        <v>0</v>
      </c>
      <c r="BI70">
        <f>SUMIF(ConfirmedRaw!$B:$B,$A70,ConfirmedRaw!BL:BL)</f>
        <v>0</v>
      </c>
      <c r="BJ70">
        <f>SUMIF(ConfirmedRaw!$B:$B,$A70,ConfirmedRaw!BM:BM)</f>
        <v>0</v>
      </c>
      <c r="BK70">
        <f>SUMIF(ConfirmedRaw!$B:$B,$A70,ConfirmedRaw!BN:BN)</f>
        <v>0</v>
      </c>
      <c r="BL70">
        <f>SUMIF(ConfirmedRaw!$B:$B,$A70,ConfirmedRaw!BO:BO)</f>
        <v>0</v>
      </c>
      <c r="BM70">
        <f>SUMIF(ConfirmedRaw!$B:$B,$A70,ConfirmedRaw!BP:BP)</f>
        <v>0</v>
      </c>
      <c r="BN70">
        <f>SUMIF(ConfirmedRaw!$B:$B,$A70,ConfirmedRaw!BQ:BQ)</f>
        <v>0</v>
      </c>
      <c r="BO70">
        <f>SUMIF(ConfirmedRaw!$B:$B,$A70,ConfirmedRaw!BR:BR)</f>
        <v>0</v>
      </c>
      <c r="BP70">
        <f>SUMIF(ConfirmedRaw!$B:$B,$A70,ConfirmedRaw!BS:BS)</f>
        <v>0</v>
      </c>
      <c r="BQ70">
        <f>SUMIF(ConfirmedRaw!$B:$B,$A70,ConfirmedRaw!BT:BT)</f>
        <v>0</v>
      </c>
      <c r="BR70">
        <f>SUMIF(ConfirmedRaw!$B:$B,$A70,ConfirmedRaw!BU:BU)</f>
        <v>0</v>
      </c>
      <c r="BS70">
        <f>SUMIF(ConfirmedRaw!$B:$B,$A70,ConfirmedRaw!BV:BV)</f>
        <v>0</v>
      </c>
      <c r="BT70">
        <f>SUMIF(ConfirmedRaw!$B:$B,$A70,ConfirmedRaw!BW:BW)</f>
        <v>0</v>
      </c>
    </row>
    <row r="71" spans="1:72" ht="15" thickBot="1" x14ac:dyDescent="0.35">
      <c r="A71" s="4" t="s">
        <v>103</v>
      </c>
      <c r="B71">
        <f>SUMIF(ConfirmedRaw!$B:$B,$A71,ConfirmedRaw!E:E)</f>
        <v>0</v>
      </c>
      <c r="C71">
        <f>SUMIF(ConfirmedRaw!$B:$B,$A71,ConfirmedRaw!F:F)</f>
        <v>0</v>
      </c>
      <c r="D71">
        <f>SUMIF(ConfirmedRaw!$B:$B,$A71,ConfirmedRaw!G:G)</f>
        <v>0</v>
      </c>
      <c r="E71">
        <f>SUMIF(ConfirmedRaw!$B:$B,$A71,ConfirmedRaw!H:H)</f>
        <v>0</v>
      </c>
      <c r="F71">
        <f>SUMIF(ConfirmedRaw!$B:$B,$A71,ConfirmedRaw!I:I)</f>
        <v>0</v>
      </c>
      <c r="G71">
        <f>SUMIF(ConfirmedRaw!$B:$B,$A71,ConfirmedRaw!J:J)</f>
        <v>0</v>
      </c>
      <c r="H71">
        <f>SUMIF(ConfirmedRaw!$B:$B,$A71,ConfirmedRaw!K:K)</f>
        <v>0</v>
      </c>
      <c r="I71">
        <f>SUMIF(ConfirmedRaw!$B:$B,$A71,ConfirmedRaw!L:L)</f>
        <v>0</v>
      </c>
      <c r="J71">
        <f>SUMIF(ConfirmedRaw!$B:$B,$A71,ConfirmedRaw!M:M)</f>
        <v>0</v>
      </c>
      <c r="K71">
        <f>SUMIF(ConfirmedRaw!$B:$B,$A71,ConfirmedRaw!N:N)</f>
        <v>0</v>
      </c>
      <c r="L71">
        <f>SUMIF(ConfirmedRaw!$B:$B,$A71,ConfirmedRaw!O:O)</f>
        <v>0</v>
      </c>
      <c r="M71">
        <f>SUMIF(ConfirmedRaw!$B:$B,$A71,ConfirmedRaw!P:P)</f>
        <v>0</v>
      </c>
      <c r="N71">
        <f>SUMIF(ConfirmedRaw!$B:$B,$A71,ConfirmedRaw!Q:Q)</f>
        <v>0</v>
      </c>
      <c r="O71">
        <f>SUMIF(ConfirmedRaw!$B:$B,$A71,ConfirmedRaw!R:R)</f>
        <v>0</v>
      </c>
      <c r="P71">
        <f>SUMIF(ConfirmedRaw!$B:$B,$A71,ConfirmedRaw!S:S)</f>
        <v>0</v>
      </c>
      <c r="Q71">
        <f>SUMIF(ConfirmedRaw!$B:$B,$A71,ConfirmedRaw!T:T)</f>
        <v>0</v>
      </c>
      <c r="R71">
        <f>SUMIF(ConfirmedRaw!$B:$B,$A71,ConfirmedRaw!U:U)</f>
        <v>0</v>
      </c>
      <c r="S71">
        <f>SUMIF(ConfirmedRaw!$B:$B,$A71,ConfirmedRaw!V:V)</f>
        <v>0</v>
      </c>
      <c r="T71">
        <f>SUMIF(ConfirmedRaw!$B:$B,$A71,ConfirmedRaw!W:W)</f>
        <v>0</v>
      </c>
      <c r="U71">
        <f>SUMIF(ConfirmedRaw!$B:$B,$A71,ConfirmedRaw!X:X)</f>
        <v>0</v>
      </c>
      <c r="V71">
        <f>SUMIF(ConfirmedRaw!$B:$B,$A71,ConfirmedRaw!Y:Y)</f>
        <v>0</v>
      </c>
      <c r="W71">
        <f>SUMIF(ConfirmedRaw!$B:$B,$A71,ConfirmedRaw!Z:Z)</f>
        <v>0</v>
      </c>
      <c r="X71">
        <f>SUMIF(ConfirmedRaw!$B:$B,$A71,ConfirmedRaw!AA:AA)</f>
        <v>0</v>
      </c>
      <c r="Y71">
        <f>SUMIF(ConfirmedRaw!$B:$B,$A71,ConfirmedRaw!AB:AB)</f>
        <v>0</v>
      </c>
      <c r="Z71">
        <f>SUMIF(ConfirmedRaw!$B:$B,$A71,ConfirmedRaw!AC:AC)</f>
        <v>0</v>
      </c>
      <c r="AA71">
        <f>SUMIF(ConfirmedRaw!$B:$B,$A71,ConfirmedRaw!AD:AD)</f>
        <v>0</v>
      </c>
      <c r="AB71">
        <f>SUMIF(ConfirmedRaw!$B:$B,$A71,ConfirmedRaw!AE:AE)</f>
        <v>0</v>
      </c>
      <c r="AC71">
        <f>SUMIF(ConfirmedRaw!$B:$B,$A71,ConfirmedRaw!AF:AF)</f>
        <v>0</v>
      </c>
      <c r="AD71">
        <f>SUMIF(ConfirmedRaw!$B:$B,$A71,ConfirmedRaw!AG:AG)</f>
        <v>0</v>
      </c>
      <c r="AE71">
        <f>SUMIF(ConfirmedRaw!$B:$B,$A71,ConfirmedRaw!AH:AH)</f>
        <v>0</v>
      </c>
      <c r="AF71">
        <f>SUMIF(ConfirmedRaw!$B:$B,$A71,ConfirmedRaw!AI:AI)</f>
        <v>0</v>
      </c>
      <c r="AG71">
        <f>SUMIF(ConfirmedRaw!$B:$B,$A71,ConfirmedRaw!AJ:AJ)</f>
        <v>0</v>
      </c>
      <c r="AH71">
        <f>SUMIF(ConfirmedRaw!$B:$B,$A71,ConfirmedRaw!AK:AK)</f>
        <v>0</v>
      </c>
      <c r="AI71">
        <f>SUMIF(ConfirmedRaw!$B:$B,$A71,ConfirmedRaw!AL:AL)</f>
        <v>0</v>
      </c>
      <c r="AJ71">
        <f>SUMIF(ConfirmedRaw!$B:$B,$A71,ConfirmedRaw!AM:AM)</f>
        <v>0</v>
      </c>
      <c r="AK71">
        <f>SUMIF(ConfirmedRaw!$B:$B,$A71,ConfirmedRaw!AN:AN)</f>
        <v>0</v>
      </c>
      <c r="AL71">
        <f>SUMIF(ConfirmedRaw!$B:$B,$A71,ConfirmedRaw!AO:AO)</f>
        <v>0</v>
      </c>
      <c r="AM71">
        <f>SUMIF(ConfirmedRaw!$B:$B,$A71,ConfirmedRaw!AP:AP)</f>
        <v>0</v>
      </c>
      <c r="AN71">
        <f>SUMIF(ConfirmedRaw!$B:$B,$A71,ConfirmedRaw!AQ:AQ)</f>
        <v>0</v>
      </c>
      <c r="AO71">
        <f>SUMIF(ConfirmedRaw!$B:$B,$A71,ConfirmedRaw!AR:AR)</f>
        <v>6</v>
      </c>
      <c r="AP71">
        <f>SUMIF(ConfirmedRaw!$B:$B,$A71,ConfirmedRaw!AS:AS)</f>
        <v>6</v>
      </c>
      <c r="AQ71">
        <f>SUMIF(ConfirmedRaw!$B:$B,$A71,ConfirmedRaw!AT:AT)</f>
        <v>7</v>
      </c>
      <c r="AR71">
        <f>SUMIF(ConfirmedRaw!$B:$B,$A71,ConfirmedRaw!AU:AU)</f>
        <v>10</v>
      </c>
      <c r="AS71">
        <f>SUMIF(ConfirmedRaw!$B:$B,$A71,ConfirmedRaw!AV:AV)</f>
        <v>13</v>
      </c>
      <c r="AT71">
        <f>SUMIF(ConfirmedRaw!$B:$B,$A71,ConfirmedRaw!AW:AW)</f>
        <v>13</v>
      </c>
      <c r="AU71">
        <f>SUMIF(ConfirmedRaw!$B:$B,$A71,ConfirmedRaw!AX:AX)</f>
        <v>13</v>
      </c>
      <c r="AV71">
        <f>SUMIF(ConfirmedRaw!$B:$B,$A71,ConfirmedRaw!AY:AY)</f>
        <v>14</v>
      </c>
      <c r="AW71">
        <f>SUMIF(ConfirmedRaw!$B:$B,$A71,ConfirmedRaw!AZ:AZ)</f>
        <v>15</v>
      </c>
      <c r="AX71">
        <f>SUMIF(ConfirmedRaw!$B:$B,$A71,ConfirmedRaw!BA:BA)</f>
        <v>15</v>
      </c>
      <c r="AY71">
        <f>SUMIF(ConfirmedRaw!$B:$B,$A71,ConfirmedRaw!BB:BB)</f>
        <v>17</v>
      </c>
      <c r="AZ71">
        <f>SUMIF(ConfirmedRaw!$B:$B,$A71,ConfirmedRaw!BC:BC)</f>
        <v>17</v>
      </c>
      <c r="BA71">
        <f>SUMIF(ConfirmedRaw!$B:$B,$A71,ConfirmedRaw!BD:BD)</f>
        <v>17</v>
      </c>
      <c r="BB71">
        <f>SUMIF(ConfirmedRaw!$B:$B,$A71,ConfirmedRaw!BE:BE)</f>
        <v>28</v>
      </c>
      <c r="BC71">
        <f>SUMIF(ConfirmedRaw!$B:$B,$A71,ConfirmedRaw!BF:BF)</f>
        <v>28</v>
      </c>
      <c r="BD71">
        <f>SUMIF(ConfirmedRaw!$B:$B,$A71,ConfirmedRaw!BG:BG)</f>
        <v>37</v>
      </c>
      <c r="BE71">
        <f>SUMIF(ConfirmedRaw!$B:$B,$A71,ConfirmedRaw!BH:BH)</f>
        <v>58</v>
      </c>
      <c r="BF71">
        <f>SUMIF(ConfirmedRaw!$B:$B,$A71,ConfirmedRaw!BI:BI)</f>
        <v>111</v>
      </c>
      <c r="BG71">
        <f>SUMIF(ConfirmedRaw!$B:$B,$A71,ConfirmedRaw!BJ:BJ)</f>
        <v>0</v>
      </c>
      <c r="BH71">
        <f>SUMIF(ConfirmedRaw!$B:$B,$A71,ConfirmedRaw!BK:BK)</f>
        <v>0</v>
      </c>
      <c r="BI71">
        <f>SUMIF(ConfirmedRaw!$B:$B,$A71,ConfirmedRaw!BL:BL)</f>
        <v>0</v>
      </c>
      <c r="BJ71">
        <f>SUMIF(ConfirmedRaw!$B:$B,$A71,ConfirmedRaw!BM:BM)</f>
        <v>0</v>
      </c>
      <c r="BK71">
        <f>SUMIF(ConfirmedRaw!$B:$B,$A71,ConfirmedRaw!BN:BN)</f>
        <v>0</v>
      </c>
      <c r="BL71">
        <f>SUMIF(ConfirmedRaw!$B:$B,$A71,ConfirmedRaw!BO:BO)</f>
        <v>0</v>
      </c>
      <c r="BM71">
        <f>SUMIF(ConfirmedRaw!$B:$B,$A71,ConfirmedRaw!BP:BP)</f>
        <v>0</v>
      </c>
      <c r="BN71">
        <f>SUMIF(ConfirmedRaw!$B:$B,$A71,ConfirmedRaw!BQ:BQ)</f>
        <v>0</v>
      </c>
      <c r="BO71">
        <f>SUMIF(ConfirmedRaw!$B:$B,$A71,ConfirmedRaw!BR:BR)</f>
        <v>0</v>
      </c>
      <c r="BP71">
        <f>SUMIF(ConfirmedRaw!$B:$B,$A71,ConfirmedRaw!BS:BS)</f>
        <v>0</v>
      </c>
      <c r="BQ71">
        <f>SUMIF(ConfirmedRaw!$B:$B,$A71,ConfirmedRaw!BT:BT)</f>
        <v>0</v>
      </c>
      <c r="BR71">
        <f>SUMIF(ConfirmedRaw!$B:$B,$A71,ConfirmedRaw!BU:BU)</f>
        <v>0</v>
      </c>
      <c r="BS71">
        <f>SUMIF(ConfirmedRaw!$B:$B,$A71,ConfirmedRaw!BV:BV)</f>
        <v>0</v>
      </c>
      <c r="BT71">
        <f>SUMIF(ConfirmedRaw!$B:$B,$A71,ConfirmedRaw!BW:BW)</f>
        <v>0</v>
      </c>
    </row>
    <row r="72" spans="1:72" ht="15" thickBot="1" x14ac:dyDescent="0.35">
      <c r="A72" s="4" t="s">
        <v>111</v>
      </c>
      <c r="B72">
        <f>SUMIF(ConfirmedRaw!$B:$B,$A72,ConfirmedRaw!E:E)</f>
        <v>0</v>
      </c>
      <c r="C72">
        <f>SUMIF(ConfirmedRaw!$B:$B,$A72,ConfirmedRaw!F:F)</f>
        <v>0</v>
      </c>
      <c r="D72">
        <f>SUMIF(ConfirmedRaw!$B:$B,$A72,ConfirmedRaw!G:G)</f>
        <v>0</v>
      </c>
      <c r="E72">
        <f>SUMIF(ConfirmedRaw!$B:$B,$A72,ConfirmedRaw!H:H)</f>
        <v>0</v>
      </c>
      <c r="F72">
        <f>SUMIF(ConfirmedRaw!$B:$B,$A72,ConfirmedRaw!I:I)</f>
        <v>0</v>
      </c>
      <c r="G72">
        <f>SUMIF(ConfirmedRaw!$B:$B,$A72,ConfirmedRaw!J:J)</f>
        <v>0</v>
      </c>
      <c r="H72">
        <f>SUMIF(ConfirmedRaw!$B:$B,$A72,ConfirmedRaw!K:K)</f>
        <v>0</v>
      </c>
      <c r="I72">
        <f>SUMIF(ConfirmedRaw!$B:$B,$A72,ConfirmedRaw!L:L)</f>
        <v>0</v>
      </c>
      <c r="J72">
        <f>SUMIF(ConfirmedRaw!$B:$B,$A72,ConfirmedRaw!M:M)</f>
        <v>0</v>
      </c>
      <c r="K72">
        <f>SUMIF(ConfirmedRaw!$B:$B,$A72,ConfirmedRaw!N:N)</f>
        <v>0</v>
      </c>
      <c r="L72">
        <f>SUMIF(ConfirmedRaw!$B:$B,$A72,ConfirmedRaw!O:O)</f>
        <v>0</v>
      </c>
      <c r="M72">
        <f>SUMIF(ConfirmedRaw!$B:$B,$A72,ConfirmedRaw!P:P)</f>
        <v>0</v>
      </c>
      <c r="N72">
        <f>SUMIF(ConfirmedRaw!$B:$B,$A72,ConfirmedRaw!Q:Q)</f>
        <v>0</v>
      </c>
      <c r="O72">
        <f>SUMIF(ConfirmedRaw!$B:$B,$A72,ConfirmedRaw!R:R)</f>
        <v>0</v>
      </c>
      <c r="P72">
        <f>SUMIF(ConfirmedRaw!$B:$B,$A72,ConfirmedRaw!S:S)</f>
        <v>0</v>
      </c>
      <c r="Q72">
        <f>SUMIF(ConfirmedRaw!$B:$B,$A72,ConfirmedRaw!T:T)</f>
        <v>0</v>
      </c>
      <c r="R72">
        <f>SUMIF(ConfirmedRaw!$B:$B,$A72,ConfirmedRaw!U:U)</f>
        <v>0</v>
      </c>
      <c r="S72">
        <f>SUMIF(ConfirmedRaw!$B:$B,$A72,ConfirmedRaw!V:V)</f>
        <v>0</v>
      </c>
      <c r="T72">
        <f>SUMIF(ConfirmedRaw!$B:$B,$A72,ConfirmedRaw!W:W)</f>
        <v>0</v>
      </c>
      <c r="U72">
        <f>SUMIF(ConfirmedRaw!$B:$B,$A72,ConfirmedRaw!X:X)</f>
        <v>0</v>
      </c>
      <c r="V72">
        <f>SUMIF(ConfirmedRaw!$B:$B,$A72,ConfirmedRaw!Y:Y)</f>
        <v>0</v>
      </c>
      <c r="W72">
        <f>SUMIF(ConfirmedRaw!$B:$B,$A72,ConfirmedRaw!Z:Z)</f>
        <v>0</v>
      </c>
      <c r="X72">
        <f>SUMIF(ConfirmedRaw!$B:$B,$A72,ConfirmedRaw!AA:AA)</f>
        <v>0</v>
      </c>
      <c r="Y72">
        <f>SUMIF(ConfirmedRaw!$B:$B,$A72,ConfirmedRaw!AB:AB)</f>
        <v>0</v>
      </c>
      <c r="Z72">
        <f>SUMIF(ConfirmedRaw!$B:$B,$A72,ConfirmedRaw!AC:AC)</f>
        <v>0</v>
      </c>
      <c r="AA72">
        <f>SUMIF(ConfirmedRaw!$B:$B,$A72,ConfirmedRaw!AD:AD)</f>
        <v>0</v>
      </c>
      <c r="AB72">
        <f>SUMIF(ConfirmedRaw!$B:$B,$A72,ConfirmedRaw!AE:AE)</f>
        <v>0</v>
      </c>
      <c r="AC72">
        <f>SUMIF(ConfirmedRaw!$B:$B,$A72,ConfirmedRaw!AF:AF)</f>
        <v>0</v>
      </c>
      <c r="AD72">
        <f>SUMIF(ConfirmedRaw!$B:$B,$A72,ConfirmedRaw!AG:AG)</f>
        <v>0</v>
      </c>
      <c r="AE72">
        <f>SUMIF(ConfirmedRaw!$B:$B,$A72,ConfirmedRaw!AH:AH)</f>
        <v>0</v>
      </c>
      <c r="AF72">
        <f>SUMIF(ConfirmedRaw!$B:$B,$A72,ConfirmedRaw!AI:AI)</f>
        <v>0</v>
      </c>
      <c r="AG72">
        <f>SUMIF(ConfirmedRaw!$B:$B,$A72,ConfirmedRaw!AJ:AJ)</f>
        <v>0</v>
      </c>
      <c r="AH72">
        <f>SUMIF(ConfirmedRaw!$B:$B,$A72,ConfirmedRaw!AK:AK)</f>
        <v>0</v>
      </c>
      <c r="AI72">
        <f>SUMIF(ConfirmedRaw!$B:$B,$A72,ConfirmedRaw!AL:AL)</f>
        <v>0</v>
      </c>
      <c r="AJ72">
        <f>SUMIF(ConfirmedRaw!$B:$B,$A72,ConfirmedRaw!AM:AM)</f>
        <v>0</v>
      </c>
      <c r="AK72">
        <f>SUMIF(ConfirmedRaw!$B:$B,$A72,ConfirmedRaw!AN:AN)</f>
        <v>0</v>
      </c>
      <c r="AL72">
        <f>SUMIF(ConfirmedRaw!$B:$B,$A72,ConfirmedRaw!AO:AO)</f>
        <v>0</v>
      </c>
      <c r="AM72">
        <f>SUMIF(ConfirmedRaw!$B:$B,$A72,ConfirmedRaw!AP:AP)</f>
        <v>0</v>
      </c>
      <c r="AN72">
        <f>SUMIF(ConfirmedRaw!$B:$B,$A72,ConfirmedRaw!AQ:AQ)</f>
        <v>0</v>
      </c>
      <c r="AO72">
        <f>SUMIF(ConfirmedRaw!$B:$B,$A72,ConfirmedRaw!AR:AR)</f>
        <v>0</v>
      </c>
      <c r="AP72">
        <f>SUMIF(ConfirmedRaw!$B:$B,$A72,ConfirmedRaw!AS:AS)</f>
        <v>1</v>
      </c>
      <c r="AQ72">
        <f>SUMIF(ConfirmedRaw!$B:$B,$A72,ConfirmedRaw!AT:AT)</f>
        <v>1</v>
      </c>
      <c r="AR72">
        <f>SUMIF(ConfirmedRaw!$B:$B,$A72,ConfirmedRaw!AU:AU)</f>
        <v>1</v>
      </c>
      <c r="AS72">
        <f>SUMIF(ConfirmedRaw!$B:$B,$A72,ConfirmedRaw!AV:AV)</f>
        <v>1</v>
      </c>
      <c r="AT72">
        <f>SUMIF(ConfirmedRaw!$B:$B,$A72,ConfirmedRaw!AW:AW)</f>
        <v>1</v>
      </c>
      <c r="AU72">
        <f>SUMIF(ConfirmedRaw!$B:$B,$A72,ConfirmedRaw!AX:AX)</f>
        <v>1</v>
      </c>
      <c r="AV72">
        <f>SUMIF(ConfirmedRaw!$B:$B,$A72,ConfirmedRaw!AY:AY)</f>
        <v>2</v>
      </c>
      <c r="AW72">
        <f>SUMIF(ConfirmedRaw!$B:$B,$A72,ConfirmedRaw!AZ:AZ)</f>
        <v>6</v>
      </c>
      <c r="AX72">
        <f>SUMIF(ConfirmedRaw!$B:$B,$A72,ConfirmedRaw!BA:BA)</f>
        <v>8</v>
      </c>
      <c r="AY72">
        <f>SUMIF(ConfirmedRaw!$B:$B,$A72,ConfirmedRaw!BB:BB)</f>
        <v>10</v>
      </c>
      <c r="AZ72">
        <f>SUMIF(ConfirmedRaw!$B:$B,$A72,ConfirmedRaw!BC:BC)</f>
        <v>10</v>
      </c>
      <c r="BA72">
        <f>SUMIF(ConfirmedRaw!$B:$B,$A72,ConfirmedRaw!BD:BD)</f>
        <v>17</v>
      </c>
      <c r="BB72">
        <f>SUMIF(ConfirmedRaw!$B:$B,$A72,ConfirmedRaw!BE:BE)</f>
        <v>26</v>
      </c>
      <c r="BC72">
        <f>SUMIF(ConfirmedRaw!$B:$B,$A72,ConfirmedRaw!BF:BF)</f>
        <v>30</v>
      </c>
      <c r="BD72">
        <f>SUMIF(ConfirmedRaw!$B:$B,$A72,ConfirmedRaw!BG:BG)</f>
        <v>34</v>
      </c>
      <c r="BE72">
        <f>SUMIF(ConfirmedRaw!$B:$B,$A72,ConfirmedRaw!BH:BH)</f>
        <v>49</v>
      </c>
      <c r="BF72">
        <f>SUMIF(ConfirmedRaw!$B:$B,$A72,ConfirmedRaw!BI:BI)</f>
        <v>71</v>
      </c>
      <c r="BG72">
        <f>SUMIF(ConfirmedRaw!$B:$B,$A72,ConfirmedRaw!BJ:BJ)</f>
        <v>0</v>
      </c>
      <c r="BH72">
        <f>SUMIF(ConfirmedRaw!$B:$B,$A72,ConfirmedRaw!BK:BK)</f>
        <v>0</v>
      </c>
      <c r="BI72">
        <f>SUMIF(ConfirmedRaw!$B:$B,$A72,ConfirmedRaw!BL:BL)</f>
        <v>0</v>
      </c>
      <c r="BJ72">
        <f>SUMIF(ConfirmedRaw!$B:$B,$A72,ConfirmedRaw!BM:BM)</f>
        <v>0</v>
      </c>
      <c r="BK72">
        <f>SUMIF(ConfirmedRaw!$B:$B,$A72,ConfirmedRaw!BN:BN)</f>
        <v>0</v>
      </c>
      <c r="BL72">
        <f>SUMIF(ConfirmedRaw!$B:$B,$A72,ConfirmedRaw!BO:BO)</f>
        <v>0</v>
      </c>
      <c r="BM72">
        <f>SUMIF(ConfirmedRaw!$B:$B,$A72,ConfirmedRaw!BP:BP)</f>
        <v>0</v>
      </c>
      <c r="BN72">
        <f>SUMIF(ConfirmedRaw!$B:$B,$A72,ConfirmedRaw!BQ:BQ)</f>
        <v>0</v>
      </c>
      <c r="BO72">
        <f>SUMIF(ConfirmedRaw!$B:$B,$A72,ConfirmedRaw!BR:BR)</f>
        <v>0</v>
      </c>
      <c r="BP72">
        <f>SUMIF(ConfirmedRaw!$B:$B,$A72,ConfirmedRaw!BS:BS)</f>
        <v>0</v>
      </c>
      <c r="BQ72">
        <f>SUMIF(ConfirmedRaw!$B:$B,$A72,ConfirmedRaw!BT:BT)</f>
        <v>0</v>
      </c>
      <c r="BR72">
        <f>SUMIF(ConfirmedRaw!$B:$B,$A72,ConfirmedRaw!BU:BU)</f>
        <v>0</v>
      </c>
      <c r="BS72">
        <f>SUMIF(ConfirmedRaw!$B:$B,$A72,ConfirmedRaw!BV:BV)</f>
        <v>0</v>
      </c>
      <c r="BT72">
        <f>SUMIF(ConfirmedRaw!$B:$B,$A72,ConfirmedRaw!BW:BW)</f>
        <v>0</v>
      </c>
    </row>
    <row r="73" spans="1:72" ht="15" thickBot="1" x14ac:dyDescent="0.35">
      <c r="A73" s="4" t="s">
        <v>138</v>
      </c>
      <c r="B73">
        <f>SUMIF(ConfirmedRaw!$B:$B,$A73,ConfirmedRaw!E:E)</f>
        <v>0</v>
      </c>
      <c r="C73">
        <f>SUMIF(ConfirmedRaw!$B:$B,$A73,ConfirmedRaw!F:F)</f>
        <v>0</v>
      </c>
      <c r="D73">
        <f>SUMIF(ConfirmedRaw!$B:$B,$A73,ConfirmedRaw!G:G)</f>
        <v>0</v>
      </c>
      <c r="E73">
        <f>SUMIF(ConfirmedRaw!$B:$B,$A73,ConfirmedRaw!H:H)</f>
        <v>0</v>
      </c>
      <c r="F73">
        <f>SUMIF(ConfirmedRaw!$B:$B,$A73,ConfirmedRaw!I:I)</f>
        <v>0</v>
      </c>
      <c r="G73">
        <f>SUMIF(ConfirmedRaw!$B:$B,$A73,ConfirmedRaw!J:J)</f>
        <v>0</v>
      </c>
      <c r="H73">
        <f>SUMIF(ConfirmedRaw!$B:$B,$A73,ConfirmedRaw!K:K)</f>
        <v>0</v>
      </c>
      <c r="I73">
        <f>SUMIF(ConfirmedRaw!$B:$B,$A73,ConfirmedRaw!L:L)</f>
        <v>0</v>
      </c>
      <c r="J73">
        <f>SUMIF(ConfirmedRaw!$B:$B,$A73,ConfirmedRaw!M:M)</f>
        <v>0</v>
      </c>
      <c r="K73">
        <f>SUMIF(ConfirmedRaw!$B:$B,$A73,ConfirmedRaw!N:N)</f>
        <v>0</v>
      </c>
      <c r="L73">
        <f>SUMIF(ConfirmedRaw!$B:$B,$A73,ConfirmedRaw!O:O)</f>
        <v>0</v>
      </c>
      <c r="M73">
        <f>SUMIF(ConfirmedRaw!$B:$B,$A73,ConfirmedRaw!P:P)</f>
        <v>0</v>
      </c>
      <c r="N73">
        <f>SUMIF(ConfirmedRaw!$B:$B,$A73,ConfirmedRaw!Q:Q)</f>
        <v>0</v>
      </c>
      <c r="O73">
        <f>SUMIF(ConfirmedRaw!$B:$B,$A73,ConfirmedRaw!R:R)</f>
        <v>0</v>
      </c>
      <c r="P73">
        <f>SUMIF(ConfirmedRaw!$B:$B,$A73,ConfirmedRaw!S:S)</f>
        <v>0</v>
      </c>
      <c r="Q73">
        <f>SUMIF(ConfirmedRaw!$B:$B,$A73,ConfirmedRaw!T:T)</f>
        <v>0</v>
      </c>
      <c r="R73">
        <f>SUMIF(ConfirmedRaw!$B:$B,$A73,ConfirmedRaw!U:U)</f>
        <v>0</v>
      </c>
      <c r="S73">
        <f>SUMIF(ConfirmedRaw!$B:$B,$A73,ConfirmedRaw!V:V)</f>
        <v>0</v>
      </c>
      <c r="T73">
        <f>SUMIF(ConfirmedRaw!$B:$B,$A73,ConfirmedRaw!W:W)</f>
        <v>0</v>
      </c>
      <c r="U73">
        <f>SUMIF(ConfirmedRaw!$B:$B,$A73,ConfirmedRaw!X:X)</f>
        <v>0</v>
      </c>
      <c r="V73">
        <f>SUMIF(ConfirmedRaw!$B:$B,$A73,ConfirmedRaw!Y:Y)</f>
        <v>0</v>
      </c>
      <c r="W73">
        <f>SUMIF(ConfirmedRaw!$B:$B,$A73,ConfirmedRaw!Z:Z)</f>
        <v>0</v>
      </c>
      <c r="X73">
        <f>SUMIF(ConfirmedRaw!$B:$B,$A73,ConfirmedRaw!AA:AA)</f>
        <v>0</v>
      </c>
      <c r="Y73">
        <f>SUMIF(ConfirmedRaw!$B:$B,$A73,ConfirmedRaw!AB:AB)</f>
        <v>0</v>
      </c>
      <c r="Z73">
        <f>SUMIF(ConfirmedRaw!$B:$B,$A73,ConfirmedRaw!AC:AC)</f>
        <v>0</v>
      </c>
      <c r="AA73">
        <f>SUMIF(ConfirmedRaw!$B:$B,$A73,ConfirmedRaw!AD:AD)</f>
        <v>0</v>
      </c>
      <c r="AB73">
        <f>SUMIF(ConfirmedRaw!$B:$B,$A73,ConfirmedRaw!AE:AE)</f>
        <v>0</v>
      </c>
      <c r="AC73">
        <f>SUMIF(ConfirmedRaw!$B:$B,$A73,ConfirmedRaw!AF:AF)</f>
        <v>0</v>
      </c>
      <c r="AD73">
        <f>SUMIF(ConfirmedRaw!$B:$B,$A73,ConfirmedRaw!AG:AG)</f>
        <v>0</v>
      </c>
      <c r="AE73">
        <f>SUMIF(ConfirmedRaw!$B:$B,$A73,ConfirmedRaw!AH:AH)</f>
        <v>0</v>
      </c>
      <c r="AF73">
        <f>SUMIF(ConfirmedRaw!$B:$B,$A73,ConfirmedRaw!AI:AI)</f>
        <v>0</v>
      </c>
      <c r="AG73">
        <f>SUMIF(ConfirmedRaw!$B:$B,$A73,ConfirmedRaw!AJ:AJ)</f>
        <v>0</v>
      </c>
      <c r="AH73">
        <f>SUMIF(ConfirmedRaw!$B:$B,$A73,ConfirmedRaw!AK:AK)</f>
        <v>0</v>
      </c>
      <c r="AI73">
        <f>SUMIF(ConfirmedRaw!$B:$B,$A73,ConfirmedRaw!AL:AL)</f>
        <v>0</v>
      </c>
      <c r="AJ73">
        <f>SUMIF(ConfirmedRaw!$B:$B,$A73,ConfirmedRaw!AM:AM)</f>
        <v>0</v>
      </c>
      <c r="AK73">
        <f>SUMIF(ConfirmedRaw!$B:$B,$A73,ConfirmedRaw!AN:AN)</f>
        <v>0</v>
      </c>
      <c r="AL73">
        <f>SUMIF(ConfirmedRaw!$B:$B,$A73,ConfirmedRaw!AO:AO)</f>
        <v>0</v>
      </c>
      <c r="AM73">
        <f>SUMIF(ConfirmedRaw!$B:$B,$A73,ConfirmedRaw!AP:AP)</f>
        <v>0</v>
      </c>
      <c r="AN73">
        <f>SUMIF(ConfirmedRaw!$B:$B,$A73,ConfirmedRaw!AQ:AQ)</f>
        <v>0</v>
      </c>
      <c r="AO73">
        <f>SUMIF(ConfirmedRaw!$B:$B,$A73,ConfirmedRaw!AR:AR)</f>
        <v>0</v>
      </c>
      <c r="AP73">
        <f>SUMIF(ConfirmedRaw!$B:$B,$A73,ConfirmedRaw!AS:AS)</f>
        <v>0</v>
      </c>
      <c r="AQ73">
        <f>SUMIF(ConfirmedRaw!$B:$B,$A73,ConfirmedRaw!AT:AT)</f>
        <v>0</v>
      </c>
      <c r="AR73">
        <f>SUMIF(ConfirmedRaw!$B:$B,$A73,ConfirmedRaw!AU:AU)</f>
        <v>1</v>
      </c>
      <c r="AS73">
        <f>SUMIF(ConfirmedRaw!$B:$B,$A73,ConfirmedRaw!AV:AV)</f>
        <v>1</v>
      </c>
      <c r="AT73">
        <f>SUMIF(ConfirmedRaw!$B:$B,$A73,ConfirmedRaw!AW:AW)</f>
        <v>1</v>
      </c>
      <c r="AU73">
        <f>SUMIF(ConfirmedRaw!$B:$B,$A73,ConfirmedRaw!AX:AX)</f>
        <v>1</v>
      </c>
      <c r="AV73">
        <f>SUMIF(ConfirmedRaw!$B:$B,$A73,ConfirmedRaw!AY:AY)</f>
        <v>2</v>
      </c>
      <c r="AW73">
        <f>SUMIF(ConfirmedRaw!$B:$B,$A73,ConfirmedRaw!AZ:AZ)</f>
        <v>2</v>
      </c>
      <c r="AX73">
        <f>SUMIF(ConfirmedRaw!$B:$B,$A73,ConfirmedRaw!BA:BA)</f>
        <v>5</v>
      </c>
      <c r="AY73">
        <f>SUMIF(ConfirmedRaw!$B:$B,$A73,ConfirmedRaw!BB:BB)</f>
        <v>7</v>
      </c>
      <c r="AZ73">
        <f>SUMIF(ConfirmedRaw!$B:$B,$A73,ConfirmedRaw!BC:BC)</f>
        <v>7</v>
      </c>
      <c r="BA73">
        <f>SUMIF(ConfirmedRaw!$B:$B,$A73,ConfirmedRaw!BD:BD)</f>
        <v>16</v>
      </c>
      <c r="BB73">
        <f>SUMIF(ConfirmedRaw!$B:$B,$A73,ConfirmedRaw!BE:BE)</f>
        <v>18</v>
      </c>
      <c r="BC73">
        <f>SUMIF(ConfirmedRaw!$B:$B,$A73,ConfirmedRaw!BF:BF)</f>
        <v>18</v>
      </c>
      <c r="BD73">
        <f>SUMIF(ConfirmedRaw!$B:$B,$A73,ConfirmedRaw!BG:BG)</f>
        <v>20</v>
      </c>
      <c r="BE73">
        <f>SUMIF(ConfirmedRaw!$B:$B,$A73,ConfirmedRaw!BH:BH)</f>
        <v>24</v>
      </c>
      <c r="BF73">
        <f>SUMIF(ConfirmedRaw!$B:$B,$A73,ConfirmedRaw!BI:BI)</f>
        <v>29</v>
      </c>
      <c r="BG73">
        <f>SUMIF(ConfirmedRaw!$B:$B,$A73,ConfirmedRaw!BJ:BJ)</f>
        <v>0</v>
      </c>
      <c r="BH73">
        <f>SUMIF(ConfirmedRaw!$B:$B,$A73,ConfirmedRaw!BK:BK)</f>
        <v>0</v>
      </c>
      <c r="BI73">
        <f>SUMIF(ConfirmedRaw!$B:$B,$A73,ConfirmedRaw!BL:BL)</f>
        <v>0</v>
      </c>
      <c r="BJ73">
        <f>SUMIF(ConfirmedRaw!$B:$B,$A73,ConfirmedRaw!BM:BM)</f>
        <v>0</v>
      </c>
      <c r="BK73">
        <f>SUMIF(ConfirmedRaw!$B:$B,$A73,ConfirmedRaw!BN:BN)</f>
        <v>0</v>
      </c>
      <c r="BL73">
        <f>SUMIF(ConfirmedRaw!$B:$B,$A73,ConfirmedRaw!BO:BO)</f>
        <v>0</v>
      </c>
      <c r="BM73">
        <f>SUMIF(ConfirmedRaw!$B:$B,$A73,ConfirmedRaw!BP:BP)</f>
        <v>0</v>
      </c>
      <c r="BN73">
        <f>SUMIF(ConfirmedRaw!$B:$B,$A73,ConfirmedRaw!BQ:BQ)</f>
        <v>0</v>
      </c>
      <c r="BO73">
        <f>SUMIF(ConfirmedRaw!$B:$B,$A73,ConfirmedRaw!BR:BR)</f>
        <v>0</v>
      </c>
      <c r="BP73">
        <f>SUMIF(ConfirmedRaw!$B:$B,$A73,ConfirmedRaw!BS:BS)</f>
        <v>0</v>
      </c>
      <c r="BQ73">
        <f>SUMIF(ConfirmedRaw!$B:$B,$A73,ConfirmedRaw!BT:BT)</f>
        <v>0</v>
      </c>
      <c r="BR73">
        <f>SUMIF(ConfirmedRaw!$B:$B,$A73,ConfirmedRaw!BU:BU)</f>
        <v>0</v>
      </c>
      <c r="BS73">
        <f>SUMIF(ConfirmedRaw!$B:$B,$A73,ConfirmedRaw!BV:BV)</f>
        <v>0</v>
      </c>
      <c r="BT73">
        <f>SUMIF(ConfirmedRaw!$B:$B,$A73,ConfirmedRaw!BW:BW)</f>
        <v>0</v>
      </c>
    </row>
    <row r="74" spans="1:72" ht="15" thickBot="1" x14ac:dyDescent="0.35">
      <c r="A74" s="3" t="s">
        <v>104</v>
      </c>
      <c r="B74">
        <f>SUMIF(ConfirmedRaw!$B:$B,$A74,ConfirmedRaw!E:E)</f>
        <v>0</v>
      </c>
      <c r="C74">
        <f>SUMIF(ConfirmedRaw!$B:$B,$A74,ConfirmedRaw!F:F)</f>
        <v>0</v>
      </c>
      <c r="D74">
        <f>SUMIF(ConfirmedRaw!$B:$B,$A74,ConfirmedRaw!G:G)</f>
        <v>0</v>
      </c>
      <c r="E74">
        <f>SUMIF(ConfirmedRaw!$B:$B,$A74,ConfirmedRaw!H:H)</f>
        <v>0</v>
      </c>
      <c r="F74">
        <f>SUMIF(ConfirmedRaw!$B:$B,$A74,ConfirmedRaw!I:I)</f>
        <v>0</v>
      </c>
      <c r="G74">
        <f>SUMIF(ConfirmedRaw!$B:$B,$A74,ConfirmedRaw!J:J)</f>
        <v>0</v>
      </c>
      <c r="H74">
        <f>SUMIF(ConfirmedRaw!$B:$B,$A74,ConfirmedRaw!K:K)</f>
        <v>0</v>
      </c>
      <c r="I74">
        <f>SUMIF(ConfirmedRaw!$B:$B,$A74,ConfirmedRaw!L:L)</f>
        <v>0</v>
      </c>
      <c r="J74">
        <f>SUMIF(ConfirmedRaw!$B:$B,$A74,ConfirmedRaw!M:M)</f>
        <v>0</v>
      </c>
      <c r="K74">
        <f>SUMIF(ConfirmedRaw!$B:$B,$A74,ConfirmedRaw!N:N)</f>
        <v>0</v>
      </c>
      <c r="L74">
        <f>SUMIF(ConfirmedRaw!$B:$B,$A74,ConfirmedRaw!O:O)</f>
        <v>0</v>
      </c>
      <c r="M74">
        <f>SUMIF(ConfirmedRaw!$B:$B,$A74,ConfirmedRaw!P:P)</f>
        <v>0</v>
      </c>
      <c r="N74">
        <f>SUMIF(ConfirmedRaw!$B:$B,$A74,ConfirmedRaw!Q:Q)</f>
        <v>0</v>
      </c>
      <c r="O74">
        <f>SUMIF(ConfirmedRaw!$B:$B,$A74,ConfirmedRaw!R:R)</f>
        <v>0</v>
      </c>
      <c r="P74">
        <f>SUMIF(ConfirmedRaw!$B:$B,$A74,ConfirmedRaw!S:S)</f>
        <v>0</v>
      </c>
      <c r="Q74">
        <f>SUMIF(ConfirmedRaw!$B:$B,$A74,ConfirmedRaw!T:T)</f>
        <v>0</v>
      </c>
      <c r="R74">
        <f>SUMIF(ConfirmedRaw!$B:$B,$A74,ConfirmedRaw!U:U)</f>
        <v>0</v>
      </c>
      <c r="S74">
        <f>SUMIF(ConfirmedRaw!$B:$B,$A74,ConfirmedRaw!V:V)</f>
        <v>0</v>
      </c>
      <c r="T74">
        <f>SUMIF(ConfirmedRaw!$B:$B,$A74,ConfirmedRaw!W:W)</f>
        <v>0</v>
      </c>
      <c r="U74">
        <f>SUMIF(ConfirmedRaw!$B:$B,$A74,ConfirmedRaw!X:X)</f>
        <v>0</v>
      </c>
      <c r="V74">
        <f>SUMIF(ConfirmedRaw!$B:$B,$A74,ConfirmedRaw!Y:Y)</f>
        <v>0</v>
      </c>
      <c r="W74">
        <f>SUMIF(ConfirmedRaw!$B:$B,$A74,ConfirmedRaw!Z:Z)</f>
        <v>0</v>
      </c>
      <c r="X74">
        <f>SUMIF(ConfirmedRaw!$B:$B,$A74,ConfirmedRaw!AA:AA)</f>
        <v>0</v>
      </c>
      <c r="Y74">
        <f>SUMIF(ConfirmedRaw!$B:$B,$A74,ConfirmedRaw!AB:AB)</f>
        <v>0</v>
      </c>
      <c r="Z74">
        <f>SUMIF(ConfirmedRaw!$B:$B,$A74,ConfirmedRaw!AC:AC)</f>
        <v>0</v>
      </c>
      <c r="AA74">
        <f>SUMIF(ConfirmedRaw!$B:$B,$A74,ConfirmedRaw!AD:AD)</f>
        <v>0</v>
      </c>
      <c r="AB74">
        <f>SUMIF(ConfirmedRaw!$B:$B,$A74,ConfirmedRaw!AE:AE)</f>
        <v>0</v>
      </c>
      <c r="AC74">
        <f>SUMIF(ConfirmedRaw!$B:$B,$A74,ConfirmedRaw!AF:AF)</f>
        <v>0</v>
      </c>
      <c r="AD74">
        <f>SUMIF(ConfirmedRaw!$B:$B,$A74,ConfirmedRaw!AG:AG)</f>
        <v>0</v>
      </c>
      <c r="AE74">
        <f>SUMIF(ConfirmedRaw!$B:$B,$A74,ConfirmedRaw!AH:AH)</f>
        <v>0</v>
      </c>
      <c r="AF74">
        <f>SUMIF(ConfirmedRaw!$B:$B,$A74,ConfirmedRaw!AI:AI)</f>
        <v>0</v>
      </c>
      <c r="AG74">
        <f>SUMIF(ConfirmedRaw!$B:$B,$A74,ConfirmedRaw!AJ:AJ)</f>
        <v>0</v>
      </c>
      <c r="AH74">
        <f>SUMIF(ConfirmedRaw!$B:$B,$A74,ConfirmedRaw!AK:AK)</f>
        <v>0</v>
      </c>
      <c r="AI74">
        <f>SUMIF(ConfirmedRaw!$B:$B,$A74,ConfirmedRaw!AL:AL)</f>
        <v>0</v>
      </c>
      <c r="AJ74">
        <f>SUMIF(ConfirmedRaw!$B:$B,$A74,ConfirmedRaw!AM:AM)</f>
        <v>0</v>
      </c>
      <c r="AK74">
        <f>SUMIF(ConfirmedRaw!$B:$B,$A74,ConfirmedRaw!AN:AN)</f>
        <v>0</v>
      </c>
      <c r="AL74">
        <f>SUMIF(ConfirmedRaw!$B:$B,$A74,ConfirmedRaw!AO:AO)</f>
        <v>0</v>
      </c>
      <c r="AM74">
        <f>SUMIF(ConfirmedRaw!$B:$B,$A74,ConfirmedRaw!AP:AP)</f>
        <v>0</v>
      </c>
      <c r="AN74">
        <f>SUMIF(ConfirmedRaw!$B:$B,$A74,ConfirmedRaw!AQ:AQ)</f>
        <v>0</v>
      </c>
      <c r="AO74">
        <f>SUMIF(ConfirmedRaw!$B:$B,$A74,ConfirmedRaw!AR:AR)</f>
        <v>3</v>
      </c>
      <c r="AP74">
        <f>SUMIF(ConfirmedRaw!$B:$B,$A74,ConfirmedRaw!AS:AS)</f>
        <v>3</v>
      </c>
      <c r="AQ74">
        <f>SUMIF(ConfirmedRaw!$B:$B,$A74,ConfirmedRaw!AT:AT)</f>
        <v>3</v>
      </c>
      <c r="AR74">
        <f>SUMIF(ConfirmedRaw!$B:$B,$A74,ConfirmedRaw!AU:AU)</f>
        <v>3</v>
      </c>
      <c r="AS74">
        <f>SUMIF(ConfirmedRaw!$B:$B,$A74,ConfirmedRaw!AV:AV)</f>
        <v>6</v>
      </c>
      <c r="AT74">
        <f>SUMIF(ConfirmedRaw!$B:$B,$A74,ConfirmedRaw!AW:AW)</f>
        <v>6</v>
      </c>
      <c r="AU74">
        <f>SUMIF(ConfirmedRaw!$B:$B,$A74,ConfirmedRaw!AX:AX)</f>
        <v>9</v>
      </c>
      <c r="AV74">
        <f>SUMIF(ConfirmedRaw!$B:$B,$A74,ConfirmedRaw!AY:AY)</f>
        <v>9</v>
      </c>
      <c r="AW74">
        <f>SUMIF(ConfirmedRaw!$B:$B,$A74,ConfirmedRaw!AZ:AZ)</f>
        <v>9</v>
      </c>
      <c r="AX74">
        <f>SUMIF(ConfirmedRaw!$B:$B,$A74,ConfirmedRaw!BA:BA)</f>
        <v>11</v>
      </c>
      <c r="AY74">
        <f>SUMIF(ConfirmedRaw!$B:$B,$A74,ConfirmedRaw!BB:BB)</f>
        <v>11</v>
      </c>
      <c r="AZ74">
        <f>SUMIF(ConfirmedRaw!$B:$B,$A74,ConfirmedRaw!BC:BC)</f>
        <v>11</v>
      </c>
      <c r="BA74">
        <f>SUMIF(ConfirmedRaw!$B:$B,$A74,ConfirmedRaw!BD:BD)</f>
        <v>15</v>
      </c>
      <c r="BB74">
        <f>SUMIF(ConfirmedRaw!$B:$B,$A74,ConfirmedRaw!BE:BE)</f>
        <v>15</v>
      </c>
      <c r="BC74">
        <f>SUMIF(ConfirmedRaw!$B:$B,$A74,ConfirmedRaw!BF:BF)</f>
        <v>23</v>
      </c>
      <c r="BD74">
        <f>SUMIF(ConfirmedRaw!$B:$B,$A74,ConfirmedRaw!BG:BG)</f>
        <v>15</v>
      </c>
      <c r="BE74">
        <f>SUMIF(ConfirmedRaw!$B:$B,$A74,ConfirmedRaw!BH:BH)</f>
        <v>28</v>
      </c>
      <c r="BF74">
        <f>SUMIF(ConfirmedRaw!$B:$B,$A74,ConfirmedRaw!BI:BI)</f>
        <v>28</v>
      </c>
      <c r="BG74">
        <f>SUMIF(ConfirmedRaw!$B:$B,$A74,ConfirmedRaw!BJ:BJ)</f>
        <v>0</v>
      </c>
      <c r="BH74">
        <f>SUMIF(ConfirmedRaw!$B:$B,$A74,ConfirmedRaw!BK:BK)</f>
        <v>0</v>
      </c>
      <c r="BI74">
        <f>SUMIF(ConfirmedRaw!$B:$B,$A74,ConfirmedRaw!BL:BL)</f>
        <v>0</v>
      </c>
      <c r="BJ74">
        <f>SUMIF(ConfirmedRaw!$B:$B,$A74,ConfirmedRaw!BM:BM)</f>
        <v>0</v>
      </c>
      <c r="BK74">
        <f>SUMIF(ConfirmedRaw!$B:$B,$A74,ConfirmedRaw!BN:BN)</f>
        <v>0</v>
      </c>
      <c r="BL74">
        <f>SUMIF(ConfirmedRaw!$B:$B,$A74,ConfirmedRaw!BO:BO)</f>
        <v>0</v>
      </c>
      <c r="BM74">
        <f>SUMIF(ConfirmedRaw!$B:$B,$A74,ConfirmedRaw!BP:BP)</f>
        <v>0</v>
      </c>
      <c r="BN74">
        <f>SUMIF(ConfirmedRaw!$B:$B,$A74,ConfirmedRaw!BQ:BQ)</f>
        <v>0</v>
      </c>
      <c r="BO74">
        <f>SUMIF(ConfirmedRaw!$B:$B,$A74,ConfirmedRaw!BR:BR)</f>
        <v>0</v>
      </c>
      <c r="BP74">
        <f>SUMIF(ConfirmedRaw!$B:$B,$A74,ConfirmedRaw!BS:BS)</f>
        <v>0</v>
      </c>
      <c r="BQ74">
        <f>SUMIF(ConfirmedRaw!$B:$B,$A74,ConfirmedRaw!BT:BT)</f>
        <v>0</v>
      </c>
      <c r="BR74">
        <f>SUMIF(ConfirmedRaw!$B:$B,$A74,ConfirmedRaw!BU:BU)</f>
        <v>0</v>
      </c>
      <c r="BS74">
        <f>SUMIF(ConfirmedRaw!$B:$B,$A74,ConfirmedRaw!BV:BV)</f>
        <v>0</v>
      </c>
      <c r="BT74">
        <f>SUMIF(ConfirmedRaw!$B:$B,$A74,ConfirmedRaw!BW:BW)</f>
        <v>0</v>
      </c>
    </row>
    <row r="75" spans="1:72" ht="15" thickBot="1" x14ac:dyDescent="0.35">
      <c r="A75" s="3" t="s">
        <v>231</v>
      </c>
      <c r="B75">
        <f>SUMIF(ConfirmedRaw!$B:$B,$A75,ConfirmedRaw!E:E)</f>
        <v>0</v>
      </c>
      <c r="C75">
        <f>SUMIF(ConfirmedRaw!$B:$B,$A75,ConfirmedRaw!F:F)</f>
        <v>0</v>
      </c>
      <c r="D75">
        <f>SUMIF(ConfirmedRaw!$B:$B,$A75,ConfirmedRaw!G:G)</f>
        <v>0</v>
      </c>
      <c r="E75">
        <f>SUMIF(ConfirmedRaw!$B:$B,$A75,ConfirmedRaw!H:H)</f>
        <v>0</v>
      </c>
      <c r="F75">
        <f>SUMIF(ConfirmedRaw!$B:$B,$A75,ConfirmedRaw!I:I)</f>
        <v>0</v>
      </c>
      <c r="G75">
        <f>SUMIF(ConfirmedRaw!$B:$B,$A75,ConfirmedRaw!J:J)</f>
        <v>0</v>
      </c>
      <c r="H75">
        <f>SUMIF(ConfirmedRaw!$B:$B,$A75,ConfirmedRaw!K:K)</f>
        <v>0</v>
      </c>
      <c r="I75">
        <f>SUMIF(ConfirmedRaw!$B:$B,$A75,ConfirmedRaw!L:L)</f>
        <v>0</v>
      </c>
      <c r="J75">
        <f>SUMIF(ConfirmedRaw!$B:$B,$A75,ConfirmedRaw!M:M)</f>
        <v>0</v>
      </c>
      <c r="K75">
        <f>SUMIF(ConfirmedRaw!$B:$B,$A75,ConfirmedRaw!N:N)</f>
        <v>0</v>
      </c>
      <c r="L75">
        <f>SUMIF(ConfirmedRaw!$B:$B,$A75,ConfirmedRaw!O:O)</f>
        <v>0</v>
      </c>
      <c r="M75">
        <f>SUMIF(ConfirmedRaw!$B:$B,$A75,ConfirmedRaw!P:P)</f>
        <v>0</v>
      </c>
      <c r="N75">
        <f>SUMIF(ConfirmedRaw!$B:$B,$A75,ConfirmedRaw!Q:Q)</f>
        <v>0</v>
      </c>
      <c r="O75">
        <f>SUMIF(ConfirmedRaw!$B:$B,$A75,ConfirmedRaw!R:R)</f>
        <v>0</v>
      </c>
      <c r="P75">
        <f>SUMIF(ConfirmedRaw!$B:$B,$A75,ConfirmedRaw!S:S)</f>
        <v>0</v>
      </c>
      <c r="Q75">
        <f>SUMIF(ConfirmedRaw!$B:$B,$A75,ConfirmedRaw!T:T)</f>
        <v>0</v>
      </c>
      <c r="R75">
        <f>SUMIF(ConfirmedRaw!$B:$B,$A75,ConfirmedRaw!U:U)</f>
        <v>0</v>
      </c>
      <c r="S75">
        <f>SUMIF(ConfirmedRaw!$B:$B,$A75,ConfirmedRaw!V:V)</f>
        <v>0</v>
      </c>
      <c r="T75">
        <f>SUMIF(ConfirmedRaw!$B:$B,$A75,ConfirmedRaw!W:W)</f>
        <v>0</v>
      </c>
      <c r="U75">
        <f>SUMIF(ConfirmedRaw!$B:$B,$A75,ConfirmedRaw!X:X)</f>
        <v>0</v>
      </c>
      <c r="V75">
        <f>SUMIF(ConfirmedRaw!$B:$B,$A75,ConfirmedRaw!Y:Y)</f>
        <v>0</v>
      </c>
      <c r="W75">
        <f>SUMIF(ConfirmedRaw!$B:$B,$A75,ConfirmedRaw!Z:Z)</f>
        <v>0</v>
      </c>
      <c r="X75">
        <f>SUMIF(ConfirmedRaw!$B:$B,$A75,ConfirmedRaw!AA:AA)</f>
        <v>0</v>
      </c>
      <c r="Y75">
        <f>SUMIF(ConfirmedRaw!$B:$B,$A75,ConfirmedRaw!AB:AB)</f>
        <v>0</v>
      </c>
      <c r="Z75">
        <f>SUMIF(ConfirmedRaw!$B:$B,$A75,ConfirmedRaw!AC:AC)</f>
        <v>0</v>
      </c>
      <c r="AA75">
        <f>SUMIF(ConfirmedRaw!$B:$B,$A75,ConfirmedRaw!AD:AD)</f>
        <v>0</v>
      </c>
      <c r="AB75">
        <f>SUMIF(ConfirmedRaw!$B:$B,$A75,ConfirmedRaw!AE:AE)</f>
        <v>0</v>
      </c>
      <c r="AC75">
        <f>SUMIF(ConfirmedRaw!$B:$B,$A75,ConfirmedRaw!AF:AF)</f>
        <v>0</v>
      </c>
      <c r="AD75">
        <f>SUMIF(ConfirmedRaw!$B:$B,$A75,ConfirmedRaw!AG:AG)</f>
        <v>0</v>
      </c>
      <c r="AE75">
        <f>SUMIF(ConfirmedRaw!$B:$B,$A75,ConfirmedRaw!AH:AH)</f>
        <v>0</v>
      </c>
      <c r="AF75">
        <f>SUMIF(ConfirmedRaw!$B:$B,$A75,ConfirmedRaw!AI:AI)</f>
        <v>0</v>
      </c>
      <c r="AG75">
        <f>SUMIF(ConfirmedRaw!$B:$B,$A75,ConfirmedRaw!AJ:AJ)</f>
        <v>0</v>
      </c>
      <c r="AH75">
        <f>SUMIF(ConfirmedRaw!$B:$B,$A75,ConfirmedRaw!AK:AK)</f>
        <v>0</v>
      </c>
      <c r="AI75">
        <f>SUMIF(ConfirmedRaw!$B:$B,$A75,ConfirmedRaw!AL:AL)</f>
        <v>0</v>
      </c>
      <c r="AJ75">
        <f>SUMIF(ConfirmedRaw!$B:$B,$A75,ConfirmedRaw!AM:AM)</f>
        <v>0</v>
      </c>
      <c r="AK75">
        <f>SUMIF(ConfirmedRaw!$B:$B,$A75,ConfirmedRaw!AN:AN)</f>
        <v>0</v>
      </c>
      <c r="AL75">
        <f>SUMIF(ConfirmedRaw!$B:$B,$A75,ConfirmedRaw!AO:AO)</f>
        <v>0</v>
      </c>
      <c r="AM75">
        <f>SUMIF(ConfirmedRaw!$B:$B,$A75,ConfirmedRaw!AP:AP)</f>
        <v>0</v>
      </c>
      <c r="AN75">
        <f>SUMIF(ConfirmedRaw!$B:$B,$A75,ConfirmedRaw!AQ:AQ)</f>
        <v>0</v>
      </c>
      <c r="AO75">
        <f>SUMIF(ConfirmedRaw!$B:$B,$A75,ConfirmedRaw!AR:AR)</f>
        <v>0</v>
      </c>
      <c r="AP75">
        <f>SUMIF(ConfirmedRaw!$B:$B,$A75,ConfirmedRaw!AS:AS)</f>
        <v>0</v>
      </c>
      <c r="AQ75">
        <f>SUMIF(ConfirmedRaw!$B:$B,$A75,ConfirmedRaw!AT:AT)</f>
        <v>0</v>
      </c>
      <c r="AR75">
        <f>SUMIF(ConfirmedRaw!$B:$B,$A75,ConfirmedRaw!AU:AU)</f>
        <v>0</v>
      </c>
      <c r="AS75">
        <f>SUMIF(ConfirmedRaw!$B:$B,$A75,ConfirmedRaw!AV:AV)</f>
        <v>0</v>
      </c>
      <c r="AT75">
        <f>SUMIF(ConfirmedRaw!$B:$B,$A75,ConfirmedRaw!AW:AW)</f>
        <v>0</v>
      </c>
      <c r="AU75">
        <f>SUMIF(ConfirmedRaw!$B:$B,$A75,ConfirmedRaw!AX:AX)</f>
        <v>0</v>
      </c>
      <c r="AV75">
        <f>SUMIF(ConfirmedRaw!$B:$B,$A75,ConfirmedRaw!AY:AY)</f>
        <v>0</v>
      </c>
      <c r="AW75">
        <f>SUMIF(ConfirmedRaw!$B:$B,$A75,ConfirmedRaw!AZ:AZ)</f>
        <v>2</v>
      </c>
      <c r="AX75">
        <f>SUMIF(ConfirmedRaw!$B:$B,$A75,ConfirmedRaw!BA:BA)</f>
        <v>3</v>
      </c>
      <c r="AY75">
        <f>SUMIF(ConfirmedRaw!$B:$B,$A75,ConfirmedRaw!BB:BB)</f>
        <v>6</v>
      </c>
      <c r="AZ75">
        <f>SUMIF(ConfirmedRaw!$B:$B,$A75,ConfirmedRaw!BC:BC)</f>
        <v>6</v>
      </c>
      <c r="BA75">
        <f>SUMIF(ConfirmedRaw!$B:$B,$A75,ConfirmedRaw!BD:BD)</f>
        <v>14</v>
      </c>
      <c r="BB75">
        <f>SUMIF(ConfirmedRaw!$B:$B,$A75,ConfirmedRaw!BE:BE)</f>
        <v>26</v>
      </c>
      <c r="BC75">
        <f>SUMIF(ConfirmedRaw!$B:$B,$A75,ConfirmedRaw!BF:BF)</f>
        <v>26</v>
      </c>
      <c r="BD75">
        <f>SUMIF(ConfirmedRaw!$B:$B,$A75,ConfirmedRaw!BG:BG)</f>
        <v>33</v>
      </c>
      <c r="BE75">
        <f>SUMIF(ConfirmedRaw!$B:$B,$A75,ConfirmedRaw!BH:BH)</f>
        <v>46</v>
      </c>
      <c r="BF75">
        <f>SUMIF(ConfirmedRaw!$B:$B,$A75,ConfirmedRaw!BI:BI)</f>
        <v>49</v>
      </c>
      <c r="BG75">
        <f>SUMIF(ConfirmedRaw!$B:$B,$A75,ConfirmedRaw!BJ:BJ)</f>
        <v>0</v>
      </c>
      <c r="BH75">
        <f>SUMIF(ConfirmedRaw!$B:$B,$A75,ConfirmedRaw!BK:BK)</f>
        <v>0</v>
      </c>
      <c r="BI75">
        <f>SUMIF(ConfirmedRaw!$B:$B,$A75,ConfirmedRaw!BL:BL)</f>
        <v>0</v>
      </c>
      <c r="BJ75">
        <f>SUMIF(ConfirmedRaw!$B:$B,$A75,ConfirmedRaw!BM:BM)</f>
        <v>0</v>
      </c>
      <c r="BK75">
        <f>SUMIF(ConfirmedRaw!$B:$B,$A75,ConfirmedRaw!BN:BN)</f>
        <v>0</v>
      </c>
      <c r="BL75">
        <f>SUMIF(ConfirmedRaw!$B:$B,$A75,ConfirmedRaw!BO:BO)</f>
        <v>0</v>
      </c>
      <c r="BM75">
        <f>SUMIF(ConfirmedRaw!$B:$B,$A75,ConfirmedRaw!BP:BP)</f>
        <v>0</v>
      </c>
      <c r="BN75">
        <f>SUMIF(ConfirmedRaw!$B:$B,$A75,ConfirmedRaw!BQ:BQ)</f>
        <v>0</v>
      </c>
      <c r="BO75">
        <f>SUMIF(ConfirmedRaw!$B:$B,$A75,ConfirmedRaw!BR:BR)</f>
        <v>0</v>
      </c>
      <c r="BP75">
        <f>SUMIF(ConfirmedRaw!$B:$B,$A75,ConfirmedRaw!BS:BS)</f>
        <v>0</v>
      </c>
      <c r="BQ75">
        <f>SUMIF(ConfirmedRaw!$B:$B,$A75,ConfirmedRaw!BT:BT)</f>
        <v>0</v>
      </c>
      <c r="BR75">
        <f>SUMIF(ConfirmedRaw!$B:$B,$A75,ConfirmedRaw!BU:BU)</f>
        <v>0</v>
      </c>
      <c r="BS75">
        <f>SUMIF(ConfirmedRaw!$B:$B,$A75,ConfirmedRaw!BV:BV)</f>
        <v>0</v>
      </c>
      <c r="BT75">
        <f>SUMIF(ConfirmedRaw!$B:$B,$A75,ConfirmedRaw!BW:BW)</f>
        <v>0</v>
      </c>
    </row>
    <row r="76" spans="1:72" ht="15" thickBot="1" x14ac:dyDescent="0.35">
      <c r="A76" s="3" t="s">
        <v>84</v>
      </c>
      <c r="B76">
        <f>SUMIF(ConfirmedRaw!$B:$B,$A76,ConfirmedRaw!E:E)</f>
        <v>0</v>
      </c>
      <c r="C76">
        <f>SUMIF(ConfirmedRaw!$B:$B,$A76,ConfirmedRaw!F:F)</f>
        <v>0</v>
      </c>
      <c r="D76">
        <f>SUMIF(ConfirmedRaw!$B:$B,$A76,ConfirmedRaw!G:G)</f>
        <v>0</v>
      </c>
      <c r="E76">
        <f>SUMIF(ConfirmedRaw!$B:$B,$A76,ConfirmedRaw!H:H)</f>
        <v>0</v>
      </c>
      <c r="F76">
        <f>SUMIF(ConfirmedRaw!$B:$B,$A76,ConfirmedRaw!I:I)</f>
        <v>0</v>
      </c>
      <c r="G76">
        <f>SUMIF(ConfirmedRaw!$B:$B,$A76,ConfirmedRaw!J:J)</f>
        <v>0</v>
      </c>
      <c r="H76">
        <f>SUMIF(ConfirmedRaw!$B:$B,$A76,ConfirmedRaw!K:K)</f>
        <v>0</v>
      </c>
      <c r="I76">
        <f>SUMIF(ConfirmedRaw!$B:$B,$A76,ConfirmedRaw!L:L)</f>
        <v>0</v>
      </c>
      <c r="J76">
        <f>SUMIF(ConfirmedRaw!$B:$B,$A76,ConfirmedRaw!M:M)</f>
        <v>0</v>
      </c>
      <c r="K76">
        <f>SUMIF(ConfirmedRaw!$B:$B,$A76,ConfirmedRaw!N:N)</f>
        <v>0</v>
      </c>
      <c r="L76">
        <f>SUMIF(ConfirmedRaw!$B:$B,$A76,ConfirmedRaw!O:O)</f>
        <v>0</v>
      </c>
      <c r="M76">
        <f>SUMIF(ConfirmedRaw!$B:$B,$A76,ConfirmedRaw!P:P)</f>
        <v>0</v>
      </c>
      <c r="N76">
        <f>SUMIF(ConfirmedRaw!$B:$B,$A76,ConfirmedRaw!Q:Q)</f>
        <v>0</v>
      </c>
      <c r="O76">
        <f>SUMIF(ConfirmedRaw!$B:$B,$A76,ConfirmedRaw!R:R)</f>
        <v>0</v>
      </c>
      <c r="P76">
        <f>SUMIF(ConfirmedRaw!$B:$B,$A76,ConfirmedRaw!S:S)</f>
        <v>0</v>
      </c>
      <c r="Q76">
        <f>SUMIF(ConfirmedRaw!$B:$B,$A76,ConfirmedRaw!T:T)</f>
        <v>0</v>
      </c>
      <c r="R76">
        <f>SUMIF(ConfirmedRaw!$B:$B,$A76,ConfirmedRaw!U:U)</f>
        <v>0</v>
      </c>
      <c r="S76">
        <f>SUMIF(ConfirmedRaw!$B:$B,$A76,ConfirmedRaw!V:V)</f>
        <v>0</v>
      </c>
      <c r="T76">
        <f>SUMIF(ConfirmedRaw!$B:$B,$A76,ConfirmedRaw!W:W)</f>
        <v>0</v>
      </c>
      <c r="U76">
        <f>SUMIF(ConfirmedRaw!$B:$B,$A76,ConfirmedRaw!X:X)</f>
        <v>0</v>
      </c>
      <c r="V76">
        <f>SUMIF(ConfirmedRaw!$B:$B,$A76,ConfirmedRaw!Y:Y)</f>
        <v>0</v>
      </c>
      <c r="W76">
        <f>SUMIF(ConfirmedRaw!$B:$B,$A76,ConfirmedRaw!Z:Z)</f>
        <v>0</v>
      </c>
      <c r="X76">
        <f>SUMIF(ConfirmedRaw!$B:$B,$A76,ConfirmedRaw!AA:AA)</f>
        <v>0</v>
      </c>
      <c r="Y76">
        <f>SUMIF(ConfirmedRaw!$B:$B,$A76,ConfirmedRaw!AB:AB)</f>
        <v>0</v>
      </c>
      <c r="Z76">
        <f>SUMIF(ConfirmedRaw!$B:$B,$A76,ConfirmedRaw!AC:AC)</f>
        <v>0</v>
      </c>
      <c r="AA76">
        <f>SUMIF(ConfirmedRaw!$B:$B,$A76,ConfirmedRaw!AD:AD)</f>
        <v>0</v>
      </c>
      <c r="AB76">
        <f>SUMIF(ConfirmedRaw!$B:$B,$A76,ConfirmedRaw!AE:AE)</f>
        <v>0</v>
      </c>
      <c r="AC76">
        <f>SUMIF(ConfirmedRaw!$B:$B,$A76,ConfirmedRaw!AF:AF)</f>
        <v>0</v>
      </c>
      <c r="AD76">
        <f>SUMIF(ConfirmedRaw!$B:$B,$A76,ConfirmedRaw!AG:AG)</f>
        <v>0</v>
      </c>
      <c r="AE76">
        <f>SUMIF(ConfirmedRaw!$B:$B,$A76,ConfirmedRaw!AH:AH)</f>
        <v>0</v>
      </c>
      <c r="AF76">
        <f>SUMIF(ConfirmedRaw!$B:$B,$A76,ConfirmedRaw!AI:AI)</f>
        <v>0</v>
      </c>
      <c r="AG76">
        <f>SUMIF(ConfirmedRaw!$B:$B,$A76,ConfirmedRaw!AJ:AJ)</f>
        <v>0</v>
      </c>
      <c r="AH76">
        <f>SUMIF(ConfirmedRaw!$B:$B,$A76,ConfirmedRaw!AK:AK)</f>
        <v>0</v>
      </c>
      <c r="AI76">
        <f>SUMIF(ConfirmedRaw!$B:$B,$A76,ConfirmedRaw!AL:AL)</f>
        <v>0</v>
      </c>
      <c r="AJ76">
        <f>SUMIF(ConfirmedRaw!$B:$B,$A76,ConfirmedRaw!AM:AM)</f>
        <v>0</v>
      </c>
      <c r="AK76">
        <f>SUMIF(ConfirmedRaw!$B:$B,$A76,ConfirmedRaw!AN:AN)</f>
        <v>1</v>
      </c>
      <c r="AL76">
        <f>SUMIF(ConfirmedRaw!$B:$B,$A76,ConfirmedRaw!AO:AO)</f>
        <v>1</v>
      </c>
      <c r="AM76">
        <f>SUMIF(ConfirmedRaw!$B:$B,$A76,ConfirmedRaw!AP:AP)</f>
        <v>1</v>
      </c>
      <c r="AN76">
        <f>SUMIF(ConfirmedRaw!$B:$B,$A76,ConfirmedRaw!AQ:AQ)</f>
        <v>1</v>
      </c>
      <c r="AO76">
        <f>SUMIF(ConfirmedRaw!$B:$B,$A76,ConfirmedRaw!AR:AR)</f>
        <v>1</v>
      </c>
      <c r="AP76">
        <f>SUMIF(ConfirmedRaw!$B:$B,$A76,ConfirmedRaw!AS:AS)</f>
        <v>1</v>
      </c>
      <c r="AQ76">
        <f>SUMIF(ConfirmedRaw!$B:$B,$A76,ConfirmedRaw!AT:AT)</f>
        <v>1</v>
      </c>
      <c r="AR76">
        <f>SUMIF(ConfirmedRaw!$B:$B,$A76,ConfirmedRaw!AU:AU)</f>
        <v>1</v>
      </c>
      <c r="AS76">
        <f>SUMIF(ConfirmedRaw!$B:$B,$A76,ConfirmedRaw!AV:AV)</f>
        <v>1</v>
      </c>
      <c r="AT76">
        <f>SUMIF(ConfirmedRaw!$B:$B,$A76,ConfirmedRaw!AW:AW)</f>
        <v>3</v>
      </c>
      <c r="AU76">
        <f>SUMIF(ConfirmedRaw!$B:$B,$A76,ConfirmedRaw!AX:AX)</f>
        <v>3</v>
      </c>
      <c r="AV76">
        <f>SUMIF(ConfirmedRaw!$B:$B,$A76,ConfirmedRaw!AY:AY)</f>
        <v>3</v>
      </c>
      <c r="AW76">
        <f>SUMIF(ConfirmedRaw!$B:$B,$A76,ConfirmedRaw!AZ:AZ)</f>
        <v>3</v>
      </c>
      <c r="AX76">
        <f>SUMIF(ConfirmedRaw!$B:$B,$A76,ConfirmedRaw!BA:BA)</f>
        <v>7</v>
      </c>
      <c r="AY76">
        <f>SUMIF(ConfirmedRaw!$B:$B,$A76,ConfirmedRaw!BB:BB)</f>
        <v>7</v>
      </c>
      <c r="AZ76">
        <f>SUMIF(ConfirmedRaw!$B:$B,$A76,ConfirmedRaw!BC:BC)</f>
        <v>7</v>
      </c>
      <c r="BA76">
        <f>SUMIF(ConfirmedRaw!$B:$B,$A76,ConfirmedRaw!BD:BD)</f>
        <v>14</v>
      </c>
      <c r="BB76">
        <f>SUMIF(ConfirmedRaw!$B:$B,$A76,ConfirmedRaw!BE:BE)</f>
        <v>14</v>
      </c>
      <c r="BC76">
        <f>SUMIF(ConfirmedRaw!$B:$B,$A76,ConfirmedRaw!BF:BF)</f>
        <v>14</v>
      </c>
      <c r="BD76">
        <f>SUMIF(ConfirmedRaw!$B:$B,$A76,ConfirmedRaw!BG:BG)</f>
        <v>18</v>
      </c>
      <c r="BE76">
        <f>SUMIF(ConfirmedRaw!$B:$B,$A76,ConfirmedRaw!BH:BH)</f>
        <v>26</v>
      </c>
      <c r="BF76">
        <f>SUMIF(ConfirmedRaw!$B:$B,$A76,ConfirmedRaw!BI:BI)</f>
        <v>35</v>
      </c>
      <c r="BG76">
        <f>SUMIF(ConfirmedRaw!$B:$B,$A76,ConfirmedRaw!BJ:BJ)</f>
        <v>0</v>
      </c>
      <c r="BH76">
        <f>SUMIF(ConfirmedRaw!$B:$B,$A76,ConfirmedRaw!BK:BK)</f>
        <v>0</v>
      </c>
      <c r="BI76">
        <f>SUMIF(ConfirmedRaw!$B:$B,$A76,ConfirmedRaw!BL:BL)</f>
        <v>0</v>
      </c>
      <c r="BJ76">
        <f>SUMIF(ConfirmedRaw!$B:$B,$A76,ConfirmedRaw!BM:BM)</f>
        <v>0</v>
      </c>
      <c r="BK76">
        <f>SUMIF(ConfirmedRaw!$B:$B,$A76,ConfirmedRaw!BN:BN)</f>
        <v>0</v>
      </c>
      <c r="BL76">
        <f>SUMIF(ConfirmedRaw!$B:$B,$A76,ConfirmedRaw!BO:BO)</f>
        <v>0</v>
      </c>
      <c r="BM76">
        <f>SUMIF(ConfirmedRaw!$B:$B,$A76,ConfirmedRaw!BP:BP)</f>
        <v>0</v>
      </c>
      <c r="BN76">
        <f>SUMIF(ConfirmedRaw!$B:$B,$A76,ConfirmedRaw!BQ:BQ)</f>
        <v>0</v>
      </c>
      <c r="BO76">
        <f>SUMIF(ConfirmedRaw!$B:$B,$A76,ConfirmedRaw!BR:BR)</f>
        <v>0</v>
      </c>
      <c r="BP76">
        <f>SUMIF(ConfirmedRaw!$B:$B,$A76,ConfirmedRaw!BS:BS)</f>
        <v>0</v>
      </c>
      <c r="BQ76">
        <f>SUMIF(ConfirmedRaw!$B:$B,$A76,ConfirmedRaw!BT:BT)</f>
        <v>0</v>
      </c>
      <c r="BR76">
        <f>SUMIF(ConfirmedRaw!$B:$B,$A76,ConfirmedRaw!BU:BU)</f>
        <v>0</v>
      </c>
      <c r="BS76">
        <f>SUMIF(ConfirmedRaw!$B:$B,$A76,ConfirmedRaw!BV:BV)</f>
        <v>0</v>
      </c>
      <c r="BT76">
        <f>SUMIF(ConfirmedRaw!$B:$B,$A76,ConfirmedRaw!BW:BW)</f>
        <v>0</v>
      </c>
    </row>
    <row r="77" spans="1:72" ht="15" thickBot="1" x14ac:dyDescent="0.35">
      <c r="A77" s="3" t="s">
        <v>140</v>
      </c>
      <c r="B77">
        <f>SUMIF(ConfirmedRaw!$B:$B,$A77,ConfirmedRaw!E:E)</f>
        <v>0</v>
      </c>
      <c r="C77">
        <f>SUMIF(ConfirmedRaw!$B:$B,$A77,ConfirmedRaw!F:F)</f>
        <v>0</v>
      </c>
      <c r="D77">
        <f>SUMIF(ConfirmedRaw!$B:$B,$A77,ConfirmedRaw!G:G)</f>
        <v>0</v>
      </c>
      <c r="E77">
        <f>SUMIF(ConfirmedRaw!$B:$B,$A77,ConfirmedRaw!H:H)</f>
        <v>0</v>
      </c>
      <c r="F77">
        <f>SUMIF(ConfirmedRaw!$B:$B,$A77,ConfirmedRaw!I:I)</f>
        <v>0</v>
      </c>
      <c r="G77">
        <f>SUMIF(ConfirmedRaw!$B:$B,$A77,ConfirmedRaw!J:J)</f>
        <v>0</v>
      </c>
      <c r="H77">
        <f>SUMIF(ConfirmedRaw!$B:$B,$A77,ConfirmedRaw!K:K)</f>
        <v>0</v>
      </c>
      <c r="I77">
        <f>SUMIF(ConfirmedRaw!$B:$B,$A77,ConfirmedRaw!L:L)</f>
        <v>0</v>
      </c>
      <c r="J77">
        <f>SUMIF(ConfirmedRaw!$B:$B,$A77,ConfirmedRaw!M:M)</f>
        <v>0</v>
      </c>
      <c r="K77">
        <f>SUMIF(ConfirmedRaw!$B:$B,$A77,ConfirmedRaw!N:N)</f>
        <v>0</v>
      </c>
      <c r="L77">
        <f>SUMIF(ConfirmedRaw!$B:$B,$A77,ConfirmedRaw!O:O)</f>
        <v>0</v>
      </c>
      <c r="M77">
        <f>SUMIF(ConfirmedRaw!$B:$B,$A77,ConfirmedRaw!P:P)</f>
        <v>0</v>
      </c>
      <c r="N77">
        <f>SUMIF(ConfirmedRaw!$B:$B,$A77,ConfirmedRaw!Q:Q)</f>
        <v>0</v>
      </c>
      <c r="O77">
        <f>SUMIF(ConfirmedRaw!$B:$B,$A77,ConfirmedRaw!R:R)</f>
        <v>0</v>
      </c>
      <c r="P77">
        <f>SUMIF(ConfirmedRaw!$B:$B,$A77,ConfirmedRaw!S:S)</f>
        <v>0</v>
      </c>
      <c r="Q77">
        <f>SUMIF(ConfirmedRaw!$B:$B,$A77,ConfirmedRaw!T:T)</f>
        <v>0</v>
      </c>
      <c r="R77">
        <f>SUMIF(ConfirmedRaw!$B:$B,$A77,ConfirmedRaw!U:U)</f>
        <v>0</v>
      </c>
      <c r="S77">
        <f>SUMIF(ConfirmedRaw!$B:$B,$A77,ConfirmedRaw!V:V)</f>
        <v>0</v>
      </c>
      <c r="T77">
        <f>SUMIF(ConfirmedRaw!$B:$B,$A77,ConfirmedRaw!W:W)</f>
        <v>0</v>
      </c>
      <c r="U77">
        <f>SUMIF(ConfirmedRaw!$B:$B,$A77,ConfirmedRaw!X:X)</f>
        <v>0</v>
      </c>
      <c r="V77">
        <f>SUMIF(ConfirmedRaw!$B:$B,$A77,ConfirmedRaw!Y:Y)</f>
        <v>0</v>
      </c>
      <c r="W77">
        <f>SUMIF(ConfirmedRaw!$B:$B,$A77,ConfirmedRaw!Z:Z)</f>
        <v>0</v>
      </c>
      <c r="X77">
        <f>SUMIF(ConfirmedRaw!$B:$B,$A77,ConfirmedRaw!AA:AA)</f>
        <v>0</v>
      </c>
      <c r="Y77">
        <f>SUMIF(ConfirmedRaw!$B:$B,$A77,ConfirmedRaw!AB:AB)</f>
        <v>0</v>
      </c>
      <c r="Z77">
        <f>SUMIF(ConfirmedRaw!$B:$B,$A77,ConfirmedRaw!AC:AC)</f>
        <v>0</v>
      </c>
      <c r="AA77">
        <f>SUMIF(ConfirmedRaw!$B:$B,$A77,ConfirmedRaw!AD:AD)</f>
        <v>0</v>
      </c>
      <c r="AB77">
        <f>SUMIF(ConfirmedRaw!$B:$B,$A77,ConfirmedRaw!AE:AE)</f>
        <v>0</v>
      </c>
      <c r="AC77">
        <f>SUMIF(ConfirmedRaw!$B:$B,$A77,ConfirmedRaw!AF:AF)</f>
        <v>0</v>
      </c>
      <c r="AD77">
        <f>SUMIF(ConfirmedRaw!$B:$B,$A77,ConfirmedRaw!AG:AG)</f>
        <v>0</v>
      </c>
      <c r="AE77">
        <f>SUMIF(ConfirmedRaw!$B:$B,$A77,ConfirmedRaw!AH:AH)</f>
        <v>0</v>
      </c>
      <c r="AF77">
        <f>SUMIF(ConfirmedRaw!$B:$B,$A77,ConfirmedRaw!AI:AI)</f>
        <v>0</v>
      </c>
      <c r="AG77">
        <f>SUMIF(ConfirmedRaw!$B:$B,$A77,ConfirmedRaw!AJ:AJ)</f>
        <v>0</v>
      </c>
      <c r="AH77">
        <f>SUMIF(ConfirmedRaw!$B:$B,$A77,ConfirmedRaw!AK:AK)</f>
        <v>0</v>
      </c>
      <c r="AI77">
        <f>SUMIF(ConfirmedRaw!$B:$B,$A77,ConfirmedRaw!AL:AL)</f>
        <v>0</v>
      </c>
      <c r="AJ77">
        <f>SUMIF(ConfirmedRaw!$B:$B,$A77,ConfirmedRaw!AM:AM)</f>
        <v>0</v>
      </c>
      <c r="AK77">
        <f>SUMIF(ConfirmedRaw!$B:$B,$A77,ConfirmedRaw!AN:AN)</f>
        <v>0</v>
      </c>
      <c r="AL77">
        <f>SUMIF(ConfirmedRaw!$B:$B,$A77,ConfirmedRaw!AO:AO)</f>
        <v>0</v>
      </c>
      <c r="AM77">
        <f>SUMIF(ConfirmedRaw!$B:$B,$A77,ConfirmedRaw!AP:AP)</f>
        <v>0</v>
      </c>
      <c r="AN77">
        <f>SUMIF(ConfirmedRaw!$B:$B,$A77,ConfirmedRaw!AQ:AQ)</f>
        <v>0</v>
      </c>
      <c r="AO77">
        <f>SUMIF(ConfirmedRaw!$B:$B,$A77,ConfirmedRaw!AR:AR)</f>
        <v>0</v>
      </c>
      <c r="AP77">
        <f>SUMIF(ConfirmedRaw!$B:$B,$A77,ConfirmedRaw!AS:AS)</f>
        <v>0</v>
      </c>
      <c r="AQ77">
        <f>SUMIF(ConfirmedRaw!$B:$B,$A77,ConfirmedRaw!AT:AT)</f>
        <v>0</v>
      </c>
      <c r="AR77">
        <f>SUMIF(ConfirmedRaw!$B:$B,$A77,ConfirmedRaw!AU:AU)</f>
        <v>0</v>
      </c>
      <c r="AS77">
        <f>SUMIF(ConfirmedRaw!$B:$B,$A77,ConfirmedRaw!AV:AV)</f>
        <v>2</v>
      </c>
      <c r="AT77">
        <f>SUMIF(ConfirmedRaw!$B:$B,$A77,ConfirmedRaw!AW:AW)</f>
        <v>2</v>
      </c>
      <c r="AU77">
        <f>SUMIF(ConfirmedRaw!$B:$B,$A77,ConfirmedRaw!AX:AX)</f>
        <v>3</v>
      </c>
      <c r="AV77">
        <f>SUMIF(ConfirmedRaw!$B:$B,$A77,ConfirmedRaw!AY:AY)</f>
        <v>3</v>
      </c>
      <c r="AW77">
        <f>SUMIF(ConfirmedRaw!$B:$B,$A77,ConfirmedRaw!AZ:AZ)</f>
        <v>3</v>
      </c>
      <c r="AX77">
        <f>SUMIF(ConfirmedRaw!$B:$B,$A77,ConfirmedRaw!BA:BA)</f>
        <v>5</v>
      </c>
      <c r="AY77">
        <f>SUMIF(ConfirmedRaw!$B:$B,$A77,ConfirmedRaw!BB:BB)</f>
        <v>7</v>
      </c>
      <c r="AZ77">
        <f>SUMIF(ConfirmedRaw!$B:$B,$A77,ConfirmedRaw!BC:BC)</f>
        <v>11</v>
      </c>
      <c r="BA77">
        <f>SUMIF(ConfirmedRaw!$B:$B,$A77,ConfirmedRaw!BD:BD)</f>
        <v>13</v>
      </c>
      <c r="BB77">
        <f>SUMIF(ConfirmedRaw!$B:$B,$A77,ConfirmedRaw!BE:BE)</f>
        <v>18</v>
      </c>
      <c r="BC77">
        <f>SUMIF(ConfirmedRaw!$B:$B,$A77,ConfirmedRaw!BF:BF)</f>
        <v>24</v>
      </c>
      <c r="BD77">
        <f>SUMIF(ConfirmedRaw!$B:$B,$A77,ConfirmedRaw!BG:BG)</f>
        <v>25</v>
      </c>
      <c r="BE77">
        <f>SUMIF(ConfirmedRaw!$B:$B,$A77,ConfirmedRaw!BH:BH)</f>
        <v>26</v>
      </c>
      <c r="BF77">
        <f>SUMIF(ConfirmedRaw!$B:$B,$A77,ConfirmedRaw!BI:BI)</f>
        <v>38</v>
      </c>
      <c r="BG77">
        <f>SUMIF(ConfirmedRaw!$B:$B,$A77,ConfirmedRaw!BJ:BJ)</f>
        <v>0</v>
      </c>
      <c r="BH77">
        <f>SUMIF(ConfirmedRaw!$B:$B,$A77,ConfirmedRaw!BK:BK)</f>
        <v>0</v>
      </c>
      <c r="BI77">
        <f>SUMIF(ConfirmedRaw!$B:$B,$A77,ConfirmedRaw!BL:BL)</f>
        <v>0</v>
      </c>
      <c r="BJ77">
        <f>SUMIF(ConfirmedRaw!$B:$B,$A77,ConfirmedRaw!BM:BM)</f>
        <v>0</v>
      </c>
      <c r="BK77">
        <f>SUMIF(ConfirmedRaw!$B:$B,$A77,ConfirmedRaw!BN:BN)</f>
        <v>0</v>
      </c>
      <c r="BL77">
        <f>SUMIF(ConfirmedRaw!$B:$B,$A77,ConfirmedRaw!BO:BO)</f>
        <v>0</v>
      </c>
      <c r="BM77">
        <f>SUMIF(ConfirmedRaw!$B:$B,$A77,ConfirmedRaw!BP:BP)</f>
        <v>0</v>
      </c>
      <c r="BN77">
        <f>SUMIF(ConfirmedRaw!$B:$B,$A77,ConfirmedRaw!BQ:BQ)</f>
        <v>0</v>
      </c>
      <c r="BO77">
        <f>SUMIF(ConfirmedRaw!$B:$B,$A77,ConfirmedRaw!BR:BR)</f>
        <v>0</v>
      </c>
      <c r="BP77">
        <f>SUMIF(ConfirmedRaw!$B:$B,$A77,ConfirmedRaw!BS:BS)</f>
        <v>0</v>
      </c>
      <c r="BQ77">
        <f>SUMIF(ConfirmedRaw!$B:$B,$A77,ConfirmedRaw!BT:BT)</f>
        <v>0</v>
      </c>
      <c r="BR77">
        <f>SUMIF(ConfirmedRaw!$B:$B,$A77,ConfirmedRaw!BU:BU)</f>
        <v>0</v>
      </c>
      <c r="BS77">
        <f>SUMIF(ConfirmedRaw!$B:$B,$A77,ConfirmedRaw!BV:BV)</f>
        <v>0</v>
      </c>
      <c r="BT77">
        <f>SUMIF(ConfirmedRaw!$B:$B,$A77,ConfirmedRaw!BW:BW)</f>
        <v>0</v>
      </c>
    </row>
    <row r="78" spans="1:72" ht="15" thickBot="1" x14ac:dyDescent="0.35">
      <c r="A78" s="4" t="s">
        <v>158</v>
      </c>
      <c r="B78">
        <f>SUMIF(ConfirmedRaw!$B:$B,$A78,ConfirmedRaw!E:E)</f>
        <v>0</v>
      </c>
      <c r="C78">
        <f>SUMIF(ConfirmedRaw!$B:$B,$A78,ConfirmedRaw!F:F)</f>
        <v>0</v>
      </c>
      <c r="D78">
        <f>SUMIF(ConfirmedRaw!$B:$B,$A78,ConfirmedRaw!G:G)</f>
        <v>0</v>
      </c>
      <c r="E78">
        <f>SUMIF(ConfirmedRaw!$B:$B,$A78,ConfirmedRaw!H:H)</f>
        <v>0</v>
      </c>
      <c r="F78">
        <f>SUMIF(ConfirmedRaw!$B:$B,$A78,ConfirmedRaw!I:I)</f>
        <v>0</v>
      </c>
      <c r="G78">
        <f>SUMIF(ConfirmedRaw!$B:$B,$A78,ConfirmedRaw!J:J)</f>
        <v>0</v>
      </c>
      <c r="H78">
        <f>SUMIF(ConfirmedRaw!$B:$B,$A78,ConfirmedRaw!K:K)</f>
        <v>0</v>
      </c>
      <c r="I78">
        <f>SUMIF(ConfirmedRaw!$B:$B,$A78,ConfirmedRaw!L:L)</f>
        <v>0</v>
      </c>
      <c r="J78">
        <f>SUMIF(ConfirmedRaw!$B:$B,$A78,ConfirmedRaw!M:M)</f>
        <v>0</v>
      </c>
      <c r="K78">
        <f>SUMIF(ConfirmedRaw!$B:$B,$A78,ConfirmedRaw!N:N)</f>
        <v>0</v>
      </c>
      <c r="L78">
        <f>SUMIF(ConfirmedRaw!$B:$B,$A78,ConfirmedRaw!O:O)</f>
        <v>0</v>
      </c>
      <c r="M78">
        <f>SUMIF(ConfirmedRaw!$B:$B,$A78,ConfirmedRaw!P:P)</f>
        <v>0</v>
      </c>
      <c r="N78">
        <f>SUMIF(ConfirmedRaw!$B:$B,$A78,ConfirmedRaw!Q:Q)</f>
        <v>0</v>
      </c>
      <c r="O78">
        <f>SUMIF(ConfirmedRaw!$B:$B,$A78,ConfirmedRaw!R:R)</f>
        <v>0</v>
      </c>
      <c r="P78">
        <f>SUMIF(ConfirmedRaw!$B:$B,$A78,ConfirmedRaw!S:S)</f>
        <v>0</v>
      </c>
      <c r="Q78">
        <f>SUMIF(ConfirmedRaw!$B:$B,$A78,ConfirmedRaw!T:T)</f>
        <v>0</v>
      </c>
      <c r="R78">
        <f>SUMIF(ConfirmedRaw!$B:$B,$A78,ConfirmedRaw!U:U)</f>
        <v>0</v>
      </c>
      <c r="S78">
        <f>SUMIF(ConfirmedRaw!$B:$B,$A78,ConfirmedRaw!V:V)</f>
        <v>0</v>
      </c>
      <c r="T78">
        <f>SUMIF(ConfirmedRaw!$B:$B,$A78,ConfirmedRaw!W:W)</f>
        <v>0</v>
      </c>
      <c r="U78">
        <f>SUMIF(ConfirmedRaw!$B:$B,$A78,ConfirmedRaw!X:X)</f>
        <v>0</v>
      </c>
      <c r="V78">
        <f>SUMIF(ConfirmedRaw!$B:$B,$A78,ConfirmedRaw!Y:Y)</f>
        <v>0</v>
      </c>
      <c r="W78">
        <f>SUMIF(ConfirmedRaw!$B:$B,$A78,ConfirmedRaw!Z:Z)</f>
        <v>0</v>
      </c>
      <c r="X78">
        <f>SUMIF(ConfirmedRaw!$B:$B,$A78,ConfirmedRaw!AA:AA)</f>
        <v>0</v>
      </c>
      <c r="Y78">
        <f>SUMIF(ConfirmedRaw!$B:$B,$A78,ConfirmedRaw!AB:AB)</f>
        <v>0</v>
      </c>
      <c r="Z78">
        <f>SUMIF(ConfirmedRaw!$B:$B,$A78,ConfirmedRaw!AC:AC)</f>
        <v>0</v>
      </c>
      <c r="AA78">
        <f>SUMIF(ConfirmedRaw!$B:$B,$A78,ConfirmedRaw!AD:AD)</f>
        <v>0</v>
      </c>
      <c r="AB78">
        <f>SUMIF(ConfirmedRaw!$B:$B,$A78,ConfirmedRaw!AE:AE)</f>
        <v>0</v>
      </c>
      <c r="AC78">
        <f>SUMIF(ConfirmedRaw!$B:$B,$A78,ConfirmedRaw!AF:AF)</f>
        <v>0</v>
      </c>
      <c r="AD78">
        <f>SUMIF(ConfirmedRaw!$B:$B,$A78,ConfirmedRaw!AG:AG)</f>
        <v>0</v>
      </c>
      <c r="AE78">
        <f>SUMIF(ConfirmedRaw!$B:$B,$A78,ConfirmedRaw!AH:AH)</f>
        <v>0</v>
      </c>
      <c r="AF78">
        <f>SUMIF(ConfirmedRaw!$B:$B,$A78,ConfirmedRaw!AI:AI)</f>
        <v>0</v>
      </c>
      <c r="AG78">
        <f>SUMIF(ConfirmedRaw!$B:$B,$A78,ConfirmedRaw!AJ:AJ)</f>
        <v>0</v>
      </c>
      <c r="AH78">
        <f>SUMIF(ConfirmedRaw!$B:$B,$A78,ConfirmedRaw!AK:AK)</f>
        <v>0</v>
      </c>
      <c r="AI78">
        <f>SUMIF(ConfirmedRaw!$B:$B,$A78,ConfirmedRaw!AL:AL)</f>
        <v>0</v>
      </c>
      <c r="AJ78">
        <f>SUMIF(ConfirmedRaw!$B:$B,$A78,ConfirmedRaw!AM:AM)</f>
        <v>0</v>
      </c>
      <c r="AK78">
        <f>SUMIF(ConfirmedRaw!$B:$B,$A78,ConfirmedRaw!AN:AN)</f>
        <v>0</v>
      </c>
      <c r="AL78">
        <f>SUMIF(ConfirmedRaw!$B:$B,$A78,ConfirmedRaw!AO:AO)</f>
        <v>0</v>
      </c>
      <c r="AM78">
        <f>SUMIF(ConfirmedRaw!$B:$B,$A78,ConfirmedRaw!AP:AP)</f>
        <v>0</v>
      </c>
      <c r="AN78">
        <f>SUMIF(ConfirmedRaw!$B:$B,$A78,ConfirmedRaw!AQ:AQ)</f>
        <v>0</v>
      </c>
      <c r="AO78">
        <f>SUMIF(ConfirmedRaw!$B:$B,$A78,ConfirmedRaw!AR:AR)</f>
        <v>0</v>
      </c>
      <c r="AP78">
        <f>SUMIF(ConfirmedRaw!$B:$B,$A78,ConfirmedRaw!AS:AS)</f>
        <v>0</v>
      </c>
      <c r="AQ78">
        <f>SUMIF(ConfirmedRaw!$B:$B,$A78,ConfirmedRaw!AT:AT)</f>
        <v>0</v>
      </c>
      <c r="AR78">
        <f>SUMIF(ConfirmedRaw!$B:$B,$A78,ConfirmedRaw!AU:AU)</f>
        <v>0</v>
      </c>
      <c r="AS78">
        <f>SUMIF(ConfirmedRaw!$B:$B,$A78,ConfirmedRaw!AV:AV)</f>
        <v>0</v>
      </c>
      <c r="AT78">
        <f>SUMIF(ConfirmedRaw!$B:$B,$A78,ConfirmedRaw!AW:AW)</f>
        <v>1</v>
      </c>
      <c r="AU78">
        <f>SUMIF(ConfirmedRaw!$B:$B,$A78,ConfirmedRaw!AX:AX)</f>
        <v>1</v>
      </c>
      <c r="AV78">
        <f>SUMIF(ConfirmedRaw!$B:$B,$A78,ConfirmedRaw!AY:AY)</f>
        <v>1</v>
      </c>
      <c r="AW78">
        <f>SUMIF(ConfirmedRaw!$B:$B,$A78,ConfirmedRaw!AZ:AZ)</f>
        <v>1</v>
      </c>
      <c r="AX78">
        <f>SUMIF(ConfirmedRaw!$B:$B,$A78,ConfirmedRaw!BA:BA)</f>
        <v>3</v>
      </c>
      <c r="AY78">
        <f>SUMIF(ConfirmedRaw!$B:$B,$A78,ConfirmedRaw!BB:BB)</f>
        <v>9</v>
      </c>
      <c r="AZ78">
        <f>SUMIF(ConfirmedRaw!$B:$B,$A78,ConfirmedRaw!BC:BC)</f>
        <v>9</v>
      </c>
      <c r="BA78">
        <f>SUMIF(ConfirmedRaw!$B:$B,$A78,ConfirmedRaw!BD:BD)</f>
        <v>13</v>
      </c>
      <c r="BB78">
        <f>SUMIF(ConfirmedRaw!$B:$B,$A78,ConfirmedRaw!BE:BE)</f>
        <v>22</v>
      </c>
      <c r="BC78">
        <f>SUMIF(ConfirmedRaw!$B:$B,$A78,ConfirmedRaw!BF:BF)</f>
        <v>34</v>
      </c>
      <c r="BD78">
        <f>SUMIF(ConfirmedRaw!$B:$B,$A78,ConfirmedRaw!BG:BG)</f>
        <v>54</v>
      </c>
      <c r="BE78">
        <f>SUMIF(ConfirmedRaw!$B:$B,$A78,ConfirmedRaw!BH:BH)</f>
        <v>65</v>
      </c>
      <c r="BF78">
        <f>SUMIF(ConfirmedRaw!$B:$B,$A78,ConfirmedRaw!BI:BI)</f>
        <v>93</v>
      </c>
      <c r="BG78">
        <f>SUMIF(ConfirmedRaw!$B:$B,$A78,ConfirmedRaw!BJ:BJ)</f>
        <v>0</v>
      </c>
      <c r="BH78">
        <f>SUMIF(ConfirmedRaw!$B:$B,$A78,ConfirmedRaw!BK:BK)</f>
        <v>0</v>
      </c>
      <c r="BI78">
        <f>SUMIF(ConfirmedRaw!$B:$B,$A78,ConfirmedRaw!BL:BL)</f>
        <v>0</v>
      </c>
      <c r="BJ78">
        <f>SUMIF(ConfirmedRaw!$B:$B,$A78,ConfirmedRaw!BM:BM)</f>
        <v>0</v>
      </c>
      <c r="BK78">
        <f>SUMIF(ConfirmedRaw!$B:$B,$A78,ConfirmedRaw!BN:BN)</f>
        <v>0</v>
      </c>
      <c r="BL78">
        <f>SUMIF(ConfirmedRaw!$B:$B,$A78,ConfirmedRaw!BO:BO)</f>
        <v>0</v>
      </c>
      <c r="BM78">
        <f>SUMIF(ConfirmedRaw!$B:$B,$A78,ConfirmedRaw!BP:BP)</f>
        <v>0</v>
      </c>
      <c r="BN78">
        <f>SUMIF(ConfirmedRaw!$B:$B,$A78,ConfirmedRaw!BQ:BQ)</f>
        <v>0</v>
      </c>
      <c r="BO78">
        <f>SUMIF(ConfirmedRaw!$B:$B,$A78,ConfirmedRaw!BR:BR)</f>
        <v>0</v>
      </c>
      <c r="BP78">
        <f>SUMIF(ConfirmedRaw!$B:$B,$A78,ConfirmedRaw!BS:BS)</f>
        <v>0</v>
      </c>
      <c r="BQ78">
        <f>SUMIF(ConfirmedRaw!$B:$B,$A78,ConfirmedRaw!BT:BT)</f>
        <v>0</v>
      </c>
      <c r="BR78">
        <f>SUMIF(ConfirmedRaw!$B:$B,$A78,ConfirmedRaw!BU:BU)</f>
        <v>0</v>
      </c>
      <c r="BS78">
        <f>SUMIF(ConfirmedRaw!$B:$B,$A78,ConfirmedRaw!BV:BV)</f>
        <v>0</v>
      </c>
      <c r="BT78">
        <f>SUMIF(ConfirmedRaw!$B:$B,$A78,ConfirmedRaw!BW:BW)</f>
        <v>0</v>
      </c>
    </row>
    <row r="79" spans="1:72" ht="15" thickBot="1" x14ac:dyDescent="0.35">
      <c r="A79" s="3" t="s">
        <v>177</v>
      </c>
      <c r="B79">
        <f>SUMIF(ConfirmedRaw!$B:$B,$A79,ConfirmedRaw!E:E)</f>
        <v>0</v>
      </c>
      <c r="C79">
        <f>SUMIF(ConfirmedRaw!$B:$B,$A79,ConfirmedRaw!F:F)</f>
        <v>0</v>
      </c>
      <c r="D79">
        <f>SUMIF(ConfirmedRaw!$B:$B,$A79,ConfirmedRaw!G:G)</f>
        <v>0</v>
      </c>
      <c r="E79">
        <f>SUMIF(ConfirmedRaw!$B:$B,$A79,ConfirmedRaw!H:H)</f>
        <v>0</v>
      </c>
      <c r="F79">
        <f>SUMIF(ConfirmedRaw!$B:$B,$A79,ConfirmedRaw!I:I)</f>
        <v>0</v>
      </c>
      <c r="G79">
        <f>SUMIF(ConfirmedRaw!$B:$B,$A79,ConfirmedRaw!J:J)</f>
        <v>0</v>
      </c>
      <c r="H79">
        <f>SUMIF(ConfirmedRaw!$B:$B,$A79,ConfirmedRaw!K:K)</f>
        <v>0</v>
      </c>
      <c r="I79">
        <f>SUMIF(ConfirmedRaw!$B:$B,$A79,ConfirmedRaw!L:L)</f>
        <v>0</v>
      </c>
      <c r="J79">
        <f>SUMIF(ConfirmedRaw!$B:$B,$A79,ConfirmedRaw!M:M)</f>
        <v>0</v>
      </c>
      <c r="K79">
        <f>SUMIF(ConfirmedRaw!$B:$B,$A79,ConfirmedRaw!N:N)</f>
        <v>0</v>
      </c>
      <c r="L79">
        <f>SUMIF(ConfirmedRaw!$B:$B,$A79,ConfirmedRaw!O:O)</f>
        <v>0</v>
      </c>
      <c r="M79">
        <f>SUMIF(ConfirmedRaw!$B:$B,$A79,ConfirmedRaw!P:P)</f>
        <v>0</v>
      </c>
      <c r="N79">
        <f>SUMIF(ConfirmedRaw!$B:$B,$A79,ConfirmedRaw!Q:Q)</f>
        <v>0</v>
      </c>
      <c r="O79">
        <f>SUMIF(ConfirmedRaw!$B:$B,$A79,ConfirmedRaw!R:R)</f>
        <v>0</v>
      </c>
      <c r="P79">
        <f>SUMIF(ConfirmedRaw!$B:$B,$A79,ConfirmedRaw!S:S)</f>
        <v>0</v>
      </c>
      <c r="Q79">
        <f>SUMIF(ConfirmedRaw!$B:$B,$A79,ConfirmedRaw!T:T)</f>
        <v>0</v>
      </c>
      <c r="R79">
        <f>SUMIF(ConfirmedRaw!$B:$B,$A79,ConfirmedRaw!U:U)</f>
        <v>0</v>
      </c>
      <c r="S79">
        <f>SUMIF(ConfirmedRaw!$B:$B,$A79,ConfirmedRaw!V:V)</f>
        <v>0</v>
      </c>
      <c r="T79">
        <f>SUMIF(ConfirmedRaw!$B:$B,$A79,ConfirmedRaw!W:W)</f>
        <v>0</v>
      </c>
      <c r="U79">
        <f>SUMIF(ConfirmedRaw!$B:$B,$A79,ConfirmedRaw!X:X)</f>
        <v>0</v>
      </c>
      <c r="V79">
        <f>SUMIF(ConfirmedRaw!$B:$B,$A79,ConfirmedRaw!Y:Y)</f>
        <v>0</v>
      </c>
      <c r="W79">
        <f>SUMIF(ConfirmedRaw!$B:$B,$A79,ConfirmedRaw!Z:Z)</f>
        <v>0</v>
      </c>
      <c r="X79">
        <f>SUMIF(ConfirmedRaw!$B:$B,$A79,ConfirmedRaw!AA:AA)</f>
        <v>0</v>
      </c>
      <c r="Y79">
        <f>SUMIF(ConfirmedRaw!$B:$B,$A79,ConfirmedRaw!AB:AB)</f>
        <v>0</v>
      </c>
      <c r="Z79">
        <f>SUMIF(ConfirmedRaw!$B:$B,$A79,ConfirmedRaw!AC:AC)</f>
        <v>0</v>
      </c>
      <c r="AA79">
        <f>SUMIF(ConfirmedRaw!$B:$B,$A79,ConfirmedRaw!AD:AD)</f>
        <v>0</v>
      </c>
      <c r="AB79">
        <f>SUMIF(ConfirmedRaw!$B:$B,$A79,ConfirmedRaw!AE:AE)</f>
        <v>0</v>
      </c>
      <c r="AC79">
        <f>SUMIF(ConfirmedRaw!$B:$B,$A79,ConfirmedRaw!AF:AF)</f>
        <v>0</v>
      </c>
      <c r="AD79">
        <f>SUMIF(ConfirmedRaw!$B:$B,$A79,ConfirmedRaw!AG:AG)</f>
        <v>0</v>
      </c>
      <c r="AE79">
        <f>SUMIF(ConfirmedRaw!$B:$B,$A79,ConfirmedRaw!AH:AH)</f>
        <v>0</v>
      </c>
      <c r="AF79">
        <f>SUMIF(ConfirmedRaw!$B:$B,$A79,ConfirmedRaw!AI:AI)</f>
        <v>0</v>
      </c>
      <c r="AG79">
        <f>SUMIF(ConfirmedRaw!$B:$B,$A79,ConfirmedRaw!AJ:AJ)</f>
        <v>0</v>
      </c>
      <c r="AH79">
        <f>SUMIF(ConfirmedRaw!$B:$B,$A79,ConfirmedRaw!AK:AK)</f>
        <v>0</v>
      </c>
      <c r="AI79">
        <f>SUMIF(ConfirmedRaw!$B:$B,$A79,ConfirmedRaw!AL:AL)</f>
        <v>0</v>
      </c>
      <c r="AJ79">
        <f>SUMIF(ConfirmedRaw!$B:$B,$A79,ConfirmedRaw!AM:AM)</f>
        <v>0</v>
      </c>
      <c r="AK79">
        <f>SUMIF(ConfirmedRaw!$B:$B,$A79,ConfirmedRaw!AN:AN)</f>
        <v>0</v>
      </c>
      <c r="AL79">
        <f>SUMIF(ConfirmedRaw!$B:$B,$A79,ConfirmedRaw!AO:AO)</f>
        <v>0</v>
      </c>
      <c r="AM79">
        <f>SUMIF(ConfirmedRaw!$B:$B,$A79,ConfirmedRaw!AP:AP)</f>
        <v>0</v>
      </c>
      <c r="AN79">
        <f>SUMIF(ConfirmedRaw!$B:$B,$A79,ConfirmedRaw!AQ:AQ)</f>
        <v>0</v>
      </c>
      <c r="AO79">
        <f>SUMIF(ConfirmedRaw!$B:$B,$A79,ConfirmedRaw!AR:AR)</f>
        <v>0</v>
      </c>
      <c r="AP79">
        <f>SUMIF(ConfirmedRaw!$B:$B,$A79,ConfirmedRaw!AS:AS)</f>
        <v>0</v>
      </c>
      <c r="AQ79">
        <f>SUMIF(ConfirmedRaw!$B:$B,$A79,ConfirmedRaw!AT:AT)</f>
        <v>0</v>
      </c>
      <c r="AR79">
        <f>SUMIF(ConfirmedRaw!$B:$B,$A79,ConfirmedRaw!AU:AU)</f>
        <v>0</v>
      </c>
      <c r="AS79">
        <f>SUMIF(ConfirmedRaw!$B:$B,$A79,ConfirmedRaw!AV:AV)</f>
        <v>0</v>
      </c>
      <c r="AT79">
        <f>SUMIF(ConfirmedRaw!$B:$B,$A79,ConfirmedRaw!AW:AW)</f>
        <v>0</v>
      </c>
      <c r="AU79">
        <f>SUMIF(ConfirmedRaw!$B:$B,$A79,ConfirmedRaw!AX:AX)</f>
        <v>3</v>
      </c>
      <c r="AV79">
        <f>SUMIF(ConfirmedRaw!$B:$B,$A79,ConfirmedRaw!AY:AY)</f>
        <v>3</v>
      </c>
      <c r="AW79">
        <f>SUMIF(ConfirmedRaw!$B:$B,$A79,ConfirmedRaw!AZ:AZ)</f>
        <v>3</v>
      </c>
      <c r="AX79">
        <f>SUMIF(ConfirmedRaw!$B:$B,$A79,ConfirmedRaw!BA:BA)</f>
        <v>5</v>
      </c>
      <c r="AY79">
        <f>SUMIF(ConfirmedRaw!$B:$B,$A79,ConfirmedRaw!BB:BB)</f>
        <v>6</v>
      </c>
      <c r="AZ79">
        <f>SUMIF(ConfirmedRaw!$B:$B,$A79,ConfirmedRaw!BC:BC)</f>
        <v>6</v>
      </c>
      <c r="BA79">
        <f>SUMIF(ConfirmedRaw!$B:$B,$A79,ConfirmedRaw!BD:BD)</f>
        <v>12</v>
      </c>
      <c r="BB79">
        <f>SUMIF(ConfirmedRaw!$B:$B,$A79,ConfirmedRaw!BE:BE)</f>
        <v>18</v>
      </c>
      <c r="BC79">
        <f>SUMIF(ConfirmedRaw!$B:$B,$A79,ConfirmedRaw!BF:BF)</f>
        <v>21</v>
      </c>
      <c r="BD79">
        <f>SUMIF(ConfirmedRaw!$B:$B,$A79,ConfirmedRaw!BG:BG)</f>
        <v>30</v>
      </c>
      <c r="BE79">
        <f>SUMIF(ConfirmedRaw!$B:$B,$A79,ConfirmedRaw!BH:BH)</f>
        <v>38</v>
      </c>
      <c r="BF79">
        <f>SUMIF(ConfirmedRaw!$B:$B,$A79,ConfirmedRaw!BI:BI)</f>
        <v>38</v>
      </c>
      <c r="BG79">
        <f>SUMIF(ConfirmedRaw!$B:$B,$A79,ConfirmedRaw!BJ:BJ)</f>
        <v>0</v>
      </c>
      <c r="BH79">
        <f>SUMIF(ConfirmedRaw!$B:$B,$A79,ConfirmedRaw!BK:BK)</f>
        <v>0</v>
      </c>
      <c r="BI79">
        <f>SUMIF(ConfirmedRaw!$B:$B,$A79,ConfirmedRaw!BL:BL)</f>
        <v>0</v>
      </c>
      <c r="BJ79">
        <f>SUMIF(ConfirmedRaw!$B:$B,$A79,ConfirmedRaw!BM:BM)</f>
        <v>0</v>
      </c>
      <c r="BK79">
        <f>SUMIF(ConfirmedRaw!$B:$B,$A79,ConfirmedRaw!BN:BN)</f>
        <v>0</v>
      </c>
      <c r="BL79">
        <f>SUMIF(ConfirmedRaw!$B:$B,$A79,ConfirmedRaw!BO:BO)</f>
        <v>0</v>
      </c>
      <c r="BM79">
        <f>SUMIF(ConfirmedRaw!$B:$B,$A79,ConfirmedRaw!BP:BP)</f>
        <v>0</v>
      </c>
      <c r="BN79">
        <f>SUMIF(ConfirmedRaw!$B:$B,$A79,ConfirmedRaw!BQ:BQ)</f>
        <v>0</v>
      </c>
      <c r="BO79">
        <f>SUMIF(ConfirmedRaw!$B:$B,$A79,ConfirmedRaw!BR:BR)</f>
        <v>0</v>
      </c>
      <c r="BP79">
        <f>SUMIF(ConfirmedRaw!$B:$B,$A79,ConfirmedRaw!BS:BS)</f>
        <v>0</v>
      </c>
      <c r="BQ79">
        <f>SUMIF(ConfirmedRaw!$B:$B,$A79,ConfirmedRaw!BT:BT)</f>
        <v>0</v>
      </c>
      <c r="BR79">
        <f>SUMIF(ConfirmedRaw!$B:$B,$A79,ConfirmedRaw!BU:BU)</f>
        <v>0</v>
      </c>
      <c r="BS79">
        <f>SUMIF(ConfirmedRaw!$B:$B,$A79,ConfirmedRaw!BV:BV)</f>
        <v>0</v>
      </c>
      <c r="BT79">
        <f>SUMIF(ConfirmedRaw!$B:$B,$A79,ConfirmedRaw!BW:BW)</f>
        <v>0</v>
      </c>
    </row>
    <row r="80" spans="1:72" ht="15" thickBot="1" x14ac:dyDescent="0.35">
      <c r="A80" s="4" t="s">
        <v>94</v>
      </c>
      <c r="B80">
        <f>SUMIF(ConfirmedRaw!$B:$B,$A80,ConfirmedRaw!E:E)</f>
        <v>0</v>
      </c>
      <c r="C80">
        <f>SUMIF(ConfirmedRaw!$B:$B,$A80,ConfirmedRaw!F:F)</f>
        <v>0</v>
      </c>
      <c r="D80">
        <f>SUMIF(ConfirmedRaw!$B:$B,$A80,ConfirmedRaw!G:G)</f>
        <v>0</v>
      </c>
      <c r="E80">
        <f>SUMIF(ConfirmedRaw!$B:$B,$A80,ConfirmedRaw!H:H)</f>
        <v>0</v>
      </c>
      <c r="F80">
        <f>SUMIF(ConfirmedRaw!$B:$B,$A80,ConfirmedRaw!I:I)</f>
        <v>0</v>
      </c>
      <c r="G80">
        <f>SUMIF(ConfirmedRaw!$B:$B,$A80,ConfirmedRaw!J:J)</f>
        <v>0</v>
      </c>
      <c r="H80">
        <f>SUMIF(ConfirmedRaw!$B:$B,$A80,ConfirmedRaw!K:K)</f>
        <v>0</v>
      </c>
      <c r="I80">
        <f>SUMIF(ConfirmedRaw!$B:$B,$A80,ConfirmedRaw!L:L)</f>
        <v>0</v>
      </c>
      <c r="J80">
        <f>SUMIF(ConfirmedRaw!$B:$B,$A80,ConfirmedRaw!M:M)</f>
        <v>0</v>
      </c>
      <c r="K80">
        <f>SUMIF(ConfirmedRaw!$B:$B,$A80,ConfirmedRaw!N:N)</f>
        <v>0</v>
      </c>
      <c r="L80">
        <f>SUMIF(ConfirmedRaw!$B:$B,$A80,ConfirmedRaw!O:O)</f>
        <v>0</v>
      </c>
      <c r="M80">
        <f>SUMIF(ConfirmedRaw!$B:$B,$A80,ConfirmedRaw!P:P)</f>
        <v>0</v>
      </c>
      <c r="N80">
        <f>SUMIF(ConfirmedRaw!$B:$B,$A80,ConfirmedRaw!Q:Q)</f>
        <v>0</v>
      </c>
      <c r="O80">
        <f>SUMIF(ConfirmedRaw!$B:$B,$A80,ConfirmedRaw!R:R)</f>
        <v>0</v>
      </c>
      <c r="P80">
        <f>SUMIF(ConfirmedRaw!$B:$B,$A80,ConfirmedRaw!S:S)</f>
        <v>0</v>
      </c>
      <c r="Q80">
        <f>SUMIF(ConfirmedRaw!$B:$B,$A80,ConfirmedRaw!T:T)</f>
        <v>0</v>
      </c>
      <c r="R80">
        <f>SUMIF(ConfirmedRaw!$B:$B,$A80,ConfirmedRaw!U:U)</f>
        <v>0</v>
      </c>
      <c r="S80">
        <f>SUMIF(ConfirmedRaw!$B:$B,$A80,ConfirmedRaw!V:V)</f>
        <v>0</v>
      </c>
      <c r="T80">
        <f>SUMIF(ConfirmedRaw!$B:$B,$A80,ConfirmedRaw!W:W)</f>
        <v>0</v>
      </c>
      <c r="U80">
        <f>SUMIF(ConfirmedRaw!$B:$B,$A80,ConfirmedRaw!X:X)</f>
        <v>0</v>
      </c>
      <c r="V80">
        <f>SUMIF(ConfirmedRaw!$B:$B,$A80,ConfirmedRaw!Y:Y)</f>
        <v>0</v>
      </c>
      <c r="W80">
        <f>SUMIF(ConfirmedRaw!$B:$B,$A80,ConfirmedRaw!Z:Z)</f>
        <v>0</v>
      </c>
      <c r="X80">
        <f>SUMIF(ConfirmedRaw!$B:$B,$A80,ConfirmedRaw!AA:AA)</f>
        <v>0</v>
      </c>
      <c r="Y80">
        <f>SUMIF(ConfirmedRaw!$B:$B,$A80,ConfirmedRaw!AB:AB)</f>
        <v>0</v>
      </c>
      <c r="Z80">
        <f>SUMIF(ConfirmedRaw!$B:$B,$A80,ConfirmedRaw!AC:AC)</f>
        <v>0</v>
      </c>
      <c r="AA80">
        <f>SUMIF(ConfirmedRaw!$B:$B,$A80,ConfirmedRaw!AD:AD)</f>
        <v>0</v>
      </c>
      <c r="AB80">
        <f>SUMIF(ConfirmedRaw!$B:$B,$A80,ConfirmedRaw!AE:AE)</f>
        <v>0</v>
      </c>
      <c r="AC80">
        <f>SUMIF(ConfirmedRaw!$B:$B,$A80,ConfirmedRaw!AF:AF)</f>
        <v>0</v>
      </c>
      <c r="AD80">
        <f>SUMIF(ConfirmedRaw!$B:$B,$A80,ConfirmedRaw!AG:AG)</f>
        <v>0</v>
      </c>
      <c r="AE80">
        <f>SUMIF(ConfirmedRaw!$B:$B,$A80,ConfirmedRaw!AH:AH)</f>
        <v>0</v>
      </c>
      <c r="AF80">
        <f>SUMIF(ConfirmedRaw!$B:$B,$A80,ConfirmedRaw!AI:AI)</f>
        <v>0</v>
      </c>
      <c r="AG80">
        <f>SUMIF(ConfirmedRaw!$B:$B,$A80,ConfirmedRaw!AJ:AJ)</f>
        <v>0</v>
      </c>
      <c r="AH80">
        <f>SUMIF(ConfirmedRaw!$B:$B,$A80,ConfirmedRaw!AK:AK)</f>
        <v>0</v>
      </c>
      <c r="AI80">
        <f>SUMIF(ConfirmedRaw!$B:$B,$A80,ConfirmedRaw!AL:AL)</f>
        <v>0</v>
      </c>
      <c r="AJ80">
        <f>SUMIF(ConfirmedRaw!$B:$B,$A80,ConfirmedRaw!AM:AM)</f>
        <v>0</v>
      </c>
      <c r="AK80">
        <f>SUMIF(ConfirmedRaw!$B:$B,$A80,ConfirmedRaw!AN:AN)</f>
        <v>0</v>
      </c>
      <c r="AL80">
        <f>SUMIF(ConfirmedRaw!$B:$B,$A80,ConfirmedRaw!AO:AO)</f>
        <v>0</v>
      </c>
      <c r="AM80">
        <f>SUMIF(ConfirmedRaw!$B:$B,$A80,ConfirmedRaw!AP:AP)</f>
        <v>1</v>
      </c>
      <c r="AN80">
        <f>SUMIF(ConfirmedRaw!$B:$B,$A80,ConfirmedRaw!AQ:AQ)</f>
        <v>4</v>
      </c>
      <c r="AO80">
        <f>SUMIF(ConfirmedRaw!$B:$B,$A80,ConfirmedRaw!AR:AR)</f>
        <v>5</v>
      </c>
      <c r="AP80">
        <f>SUMIF(ConfirmedRaw!$B:$B,$A80,ConfirmedRaw!AS:AS)</f>
        <v>5</v>
      </c>
      <c r="AQ80">
        <f>SUMIF(ConfirmedRaw!$B:$B,$A80,ConfirmedRaw!AT:AT)</f>
        <v>5</v>
      </c>
      <c r="AR80">
        <f>SUMIF(ConfirmedRaw!$B:$B,$A80,ConfirmedRaw!AU:AU)</f>
        <v>5</v>
      </c>
      <c r="AS80">
        <f>SUMIF(ConfirmedRaw!$B:$B,$A80,ConfirmedRaw!AV:AV)</f>
        <v>5</v>
      </c>
      <c r="AT80">
        <f>SUMIF(ConfirmedRaw!$B:$B,$A80,ConfirmedRaw!AW:AW)</f>
        <v>6</v>
      </c>
      <c r="AU80">
        <f>SUMIF(ConfirmedRaw!$B:$B,$A80,ConfirmedRaw!AX:AX)</f>
        <v>6</v>
      </c>
      <c r="AV80">
        <f>SUMIF(ConfirmedRaw!$B:$B,$A80,ConfirmedRaw!AY:AY)</f>
        <v>7</v>
      </c>
      <c r="AW80">
        <f>SUMIF(ConfirmedRaw!$B:$B,$A80,ConfirmedRaw!AZ:AZ)</f>
        <v>7</v>
      </c>
      <c r="AX80">
        <f>SUMIF(ConfirmedRaw!$B:$B,$A80,ConfirmedRaw!BA:BA)</f>
        <v>7</v>
      </c>
      <c r="AY80">
        <f>SUMIF(ConfirmedRaw!$B:$B,$A80,ConfirmedRaw!BB:BB)</f>
        <v>8</v>
      </c>
      <c r="AZ80">
        <f>SUMIF(ConfirmedRaw!$B:$B,$A80,ConfirmedRaw!BC:BC)</f>
        <v>12</v>
      </c>
      <c r="BA80">
        <f>SUMIF(ConfirmedRaw!$B:$B,$A80,ConfirmedRaw!BD:BD)</f>
        <v>12</v>
      </c>
      <c r="BB80">
        <f>SUMIF(ConfirmedRaw!$B:$B,$A80,ConfirmedRaw!BE:BE)</f>
        <v>26</v>
      </c>
      <c r="BC80">
        <f>SUMIF(ConfirmedRaw!$B:$B,$A80,ConfirmedRaw!BF:BF)</f>
        <v>41</v>
      </c>
      <c r="BD80">
        <f>SUMIF(ConfirmedRaw!$B:$B,$A80,ConfirmedRaw!BG:BG)</f>
        <v>53</v>
      </c>
      <c r="BE80">
        <f>SUMIF(ConfirmedRaw!$B:$B,$A80,ConfirmedRaw!BH:BH)</f>
        <v>82</v>
      </c>
      <c r="BF80">
        <f>SUMIF(ConfirmedRaw!$B:$B,$A80,ConfirmedRaw!BI:BI)</f>
        <v>93</v>
      </c>
      <c r="BG80">
        <f>SUMIF(ConfirmedRaw!$B:$B,$A80,ConfirmedRaw!BJ:BJ)</f>
        <v>0</v>
      </c>
      <c r="BH80">
        <f>SUMIF(ConfirmedRaw!$B:$B,$A80,ConfirmedRaw!BK:BK)</f>
        <v>0</v>
      </c>
      <c r="BI80">
        <f>SUMIF(ConfirmedRaw!$B:$B,$A80,ConfirmedRaw!BL:BL)</f>
        <v>0</v>
      </c>
      <c r="BJ80">
        <f>SUMIF(ConfirmedRaw!$B:$B,$A80,ConfirmedRaw!BM:BM)</f>
        <v>0</v>
      </c>
      <c r="BK80">
        <f>SUMIF(ConfirmedRaw!$B:$B,$A80,ConfirmedRaw!BN:BN)</f>
        <v>0</v>
      </c>
      <c r="BL80">
        <f>SUMIF(ConfirmedRaw!$B:$B,$A80,ConfirmedRaw!BO:BO)</f>
        <v>0</v>
      </c>
      <c r="BM80">
        <f>SUMIF(ConfirmedRaw!$B:$B,$A80,ConfirmedRaw!BP:BP)</f>
        <v>0</v>
      </c>
      <c r="BN80">
        <f>SUMIF(ConfirmedRaw!$B:$B,$A80,ConfirmedRaw!BQ:BQ)</f>
        <v>0</v>
      </c>
      <c r="BO80">
        <f>SUMIF(ConfirmedRaw!$B:$B,$A80,ConfirmedRaw!BR:BR)</f>
        <v>0</v>
      </c>
      <c r="BP80">
        <f>SUMIF(ConfirmedRaw!$B:$B,$A80,ConfirmedRaw!BS:BS)</f>
        <v>0</v>
      </c>
      <c r="BQ80">
        <f>SUMIF(ConfirmedRaw!$B:$B,$A80,ConfirmedRaw!BT:BT)</f>
        <v>0</v>
      </c>
      <c r="BR80">
        <f>SUMIF(ConfirmedRaw!$B:$B,$A80,ConfirmedRaw!BU:BU)</f>
        <v>0</v>
      </c>
      <c r="BS80">
        <f>SUMIF(ConfirmedRaw!$B:$B,$A80,ConfirmedRaw!BV:BV)</f>
        <v>0</v>
      </c>
      <c r="BT80">
        <f>SUMIF(ConfirmedRaw!$B:$B,$A80,ConfirmedRaw!BW:BW)</f>
        <v>0</v>
      </c>
    </row>
    <row r="81" spans="1:72" ht="15" thickBot="1" x14ac:dyDescent="0.35">
      <c r="A81" s="3" t="s">
        <v>114</v>
      </c>
      <c r="B81">
        <f>SUMIF(ConfirmedRaw!$B:$B,$A81,ConfirmedRaw!E:E)</f>
        <v>0</v>
      </c>
      <c r="C81">
        <f>SUMIF(ConfirmedRaw!$B:$B,$A81,ConfirmedRaw!F:F)</f>
        <v>0</v>
      </c>
      <c r="D81">
        <f>SUMIF(ConfirmedRaw!$B:$B,$A81,ConfirmedRaw!G:G)</f>
        <v>0</v>
      </c>
      <c r="E81">
        <f>SUMIF(ConfirmedRaw!$B:$B,$A81,ConfirmedRaw!H:H)</f>
        <v>0</v>
      </c>
      <c r="F81">
        <f>SUMIF(ConfirmedRaw!$B:$B,$A81,ConfirmedRaw!I:I)</f>
        <v>0</v>
      </c>
      <c r="G81">
        <f>SUMIF(ConfirmedRaw!$B:$B,$A81,ConfirmedRaw!J:J)</f>
        <v>0</v>
      </c>
      <c r="H81">
        <f>SUMIF(ConfirmedRaw!$B:$B,$A81,ConfirmedRaw!K:K)</f>
        <v>0</v>
      </c>
      <c r="I81">
        <f>SUMIF(ConfirmedRaw!$B:$B,$A81,ConfirmedRaw!L:L)</f>
        <v>0</v>
      </c>
      <c r="J81">
        <f>SUMIF(ConfirmedRaw!$B:$B,$A81,ConfirmedRaw!M:M)</f>
        <v>0</v>
      </c>
      <c r="K81">
        <f>SUMIF(ConfirmedRaw!$B:$B,$A81,ConfirmedRaw!N:N)</f>
        <v>0</v>
      </c>
      <c r="L81">
        <f>SUMIF(ConfirmedRaw!$B:$B,$A81,ConfirmedRaw!O:O)</f>
        <v>0</v>
      </c>
      <c r="M81">
        <f>SUMIF(ConfirmedRaw!$B:$B,$A81,ConfirmedRaw!P:P)</f>
        <v>0</v>
      </c>
      <c r="N81">
        <f>SUMIF(ConfirmedRaw!$B:$B,$A81,ConfirmedRaw!Q:Q)</f>
        <v>0</v>
      </c>
      <c r="O81">
        <f>SUMIF(ConfirmedRaw!$B:$B,$A81,ConfirmedRaw!R:R)</f>
        <v>0</v>
      </c>
      <c r="P81">
        <f>SUMIF(ConfirmedRaw!$B:$B,$A81,ConfirmedRaw!S:S)</f>
        <v>0</v>
      </c>
      <c r="Q81">
        <f>SUMIF(ConfirmedRaw!$B:$B,$A81,ConfirmedRaw!T:T)</f>
        <v>0</v>
      </c>
      <c r="R81">
        <f>SUMIF(ConfirmedRaw!$B:$B,$A81,ConfirmedRaw!U:U)</f>
        <v>0</v>
      </c>
      <c r="S81">
        <f>SUMIF(ConfirmedRaw!$B:$B,$A81,ConfirmedRaw!V:V)</f>
        <v>0</v>
      </c>
      <c r="T81">
        <f>SUMIF(ConfirmedRaw!$B:$B,$A81,ConfirmedRaw!W:W)</f>
        <v>0</v>
      </c>
      <c r="U81">
        <f>SUMIF(ConfirmedRaw!$B:$B,$A81,ConfirmedRaw!X:X)</f>
        <v>0</v>
      </c>
      <c r="V81">
        <f>SUMIF(ConfirmedRaw!$B:$B,$A81,ConfirmedRaw!Y:Y)</f>
        <v>0</v>
      </c>
      <c r="W81">
        <f>SUMIF(ConfirmedRaw!$B:$B,$A81,ConfirmedRaw!Z:Z)</f>
        <v>0</v>
      </c>
      <c r="X81">
        <f>SUMIF(ConfirmedRaw!$B:$B,$A81,ConfirmedRaw!AA:AA)</f>
        <v>0</v>
      </c>
      <c r="Y81">
        <f>SUMIF(ConfirmedRaw!$B:$B,$A81,ConfirmedRaw!AB:AB)</f>
        <v>0</v>
      </c>
      <c r="Z81">
        <f>SUMIF(ConfirmedRaw!$B:$B,$A81,ConfirmedRaw!AC:AC)</f>
        <v>0</v>
      </c>
      <c r="AA81">
        <f>SUMIF(ConfirmedRaw!$B:$B,$A81,ConfirmedRaw!AD:AD)</f>
        <v>0</v>
      </c>
      <c r="AB81">
        <f>SUMIF(ConfirmedRaw!$B:$B,$A81,ConfirmedRaw!AE:AE)</f>
        <v>0</v>
      </c>
      <c r="AC81">
        <f>SUMIF(ConfirmedRaw!$B:$B,$A81,ConfirmedRaw!AF:AF)</f>
        <v>0</v>
      </c>
      <c r="AD81">
        <f>SUMIF(ConfirmedRaw!$B:$B,$A81,ConfirmedRaw!AG:AG)</f>
        <v>0</v>
      </c>
      <c r="AE81">
        <f>SUMIF(ConfirmedRaw!$B:$B,$A81,ConfirmedRaw!AH:AH)</f>
        <v>0</v>
      </c>
      <c r="AF81">
        <f>SUMIF(ConfirmedRaw!$B:$B,$A81,ConfirmedRaw!AI:AI)</f>
        <v>0</v>
      </c>
      <c r="AG81">
        <f>SUMIF(ConfirmedRaw!$B:$B,$A81,ConfirmedRaw!AJ:AJ)</f>
        <v>0</v>
      </c>
      <c r="AH81">
        <f>SUMIF(ConfirmedRaw!$B:$B,$A81,ConfirmedRaw!AK:AK)</f>
        <v>0</v>
      </c>
      <c r="AI81">
        <f>SUMIF(ConfirmedRaw!$B:$B,$A81,ConfirmedRaw!AL:AL)</f>
        <v>0</v>
      </c>
      <c r="AJ81">
        <f>SUMIF(ConfirmedRaw!$B:$B,$A81,ConfirmedRaw!AM:AM)</f>
        <v>0</v>
      </c>
      <c r="AK81">
        <f>SUMIF(ConfirmedRaw!$B:$B,$A81,ConfirmedRaw!AN:AN)</f>
        <v>0</v>
      </c>
      <c r="AL81">
        <f>SUMIF(ConfirmedRaw!$B:$B,$A81,ConfirmedRaw!AO:AO)</f>
        <v>0</v>
      </c>
      <c r="AM81">
        <f>SUMIF(ConfirmedRaw!$B:$B,$A81,ConfirmedRaw!AP:AP)</f>
        <v>0</v>
      </c>
      <c r="AN81">
        <f>SUMIF(ConfirmedRaw!$B:$B,$A81,ConfirmedRaw!AQ:AQ)</f>
        <v>0</v>
      </c>
      <c r="AO81">
        <f>SUMIF(ConfirmedRaw!$B:$B,$A81,ConfirmedRaw!AR:AR)</f>
        <v>0</v>
      </c>
      <c r="AP81">
        <f>SUMIF(ConfirmedRaw!$B:$B,$A81,ConfirmedRaw!AS:AS)</f>
        <v>1</v>
      </c>
      <c r="AQ81">
        <f>SUMIF(ConfirmedRaw!$B:$B,$A81,ConfirmedRaw!AT:AT)</f>
        <v>2</v>
      </c>
      <c r="AR81">
        <f>SUMIF(ConfirmedRaw!$B:$B,$A81,ConfirmedRaw!AU:AU)</f>
        <v>4</v>
      </c>
      <c r="AS81">
        <f>SUMIF(ConfirmedRaw!$B:$B,$A81,ConfirmedRaw!AV:AV)</f>
        <v>4</v>
      </c>
      <c r="AT81">
        <f>SUMIF(ConfirmedRaw!$B:$B,$A81,ConfirmedRaw!AW:AW)</f>
        <v>4</v>
      </c>
      <c r="AU81">
        <f>SUMIF(ConfirmedRaw!$B:$B,$A81,ConfirmedRaw!AX:AX)</f>
        <v>4</v>
      </c>
      <c r="AV81">
        <f>SUMIF(ConfirmedRaw!$B:$B,$A81,ConfirmedRaw!AY:AY)</f>
        <v>4</v>
      </c>
      <c r="AW81">
        <f>SUMIF(ConfirmedRaw!$B:$B,$A81,ConfirmedRaw!AZ:AZ)</f>
        <v>4</v>
      </c>
      <c r="AX81">
        <f>SUMIF(ConfirmedRaw!$B:$B,$A81,ConfirmedRaw!BA:BA)</f>
        <v>4</v>
      </c>
      <c r="AY81">
        <f>SUMIF(ConfirmedRaw!$B:$B,$A81,ConfirmedRaw!BB:BB)</f>
        <v>4</v>
      </c>
      <c r="AZ81">
        <f>SUMIF(ConfirmedRaw!$B:$B,$A81,ConfirmedRaw!BC:BC)</f>
        <v>4</v>
      </c>
      <c r="BA81">
        <f>SUMIF(ConfirmedRaw!$B:$B,$A81,ConfirmedRaw!BD:BD)</f>
        <v>10</v>
      </c>
      <c r="BB81">
        <f>SUMIF(ConfirmedRaw!$B:$B,$A81,ConfirmedRaw!BE:BE)</f>
        <v>10</v>
      </c>
      <c r="BC81">
        <f>SUMIF(ConfirmedRaw!$B:$B,$A81,ConfirmedRaw!BF:BF)</f>
        <v>24</v>
      </c>
      <c r="BD81">
        <f>SUMIF(ConfirmedRaw!$B:$B,$A81,ConfirmedRaw!BG:BG)</f>
        <v>24</v>
      </c>
      <c r="BE81">
        <f>SUMIF(ConfirmedRaw!$B:$B,$A81,ConfirmedRaw!BH:BH)</f>
        <v>26</v>
      </c>
      <c r="BF81">
        <f>SUMIF(ConfirmedRaw!$B:$B,$A81,ConfirmedRaw!BI:BI)</f>
        <v>31</v>
      </c>
      <c r="BG81">
        <f>SUMIF(ConfirmedRaw!$B:$B,$A81,ConfirmedRaw!BJ:BJ)</f>
        <v>0</v>
      </c>
      <c r="BH81">
        <f>SUMIF(ConfirmedRaw!$B:$B,$A81,ConfirmedRaw!BK:BK)</f>
        <v>0</v>
      </c>
      <c r="BI81">
        <f>SUMIF(ConfirmedRaw!$B:$B,$A81,ConfirmedRaw!BL:BL)</f>
        <v>0</v>
      </c>
      <c r="BJ81">
        <f>SUMIF(ConfirmedRaw!$B:$B,$A81,ConfirmedRaw!BM:BM)</f>
        <v>0</v>
      </c>
      <c r="BK81">
        <f>SUMIF(ConfirmedRaw!$B:$B,$A81,ConfirmedRaw!BN:BN)</f>
        <v>0</v>
      </c>
      <c r="BL81">
        <f>SUMIF(ConfirmedRaw!$B:$B,$A81,ConfirmedRaw!BO:BO)</f>
        <v>0</v>
      </c>
      <c r="BM81">
        <f>SUMIF(ConfirmedRaw!$B:$B,$A81,ConfirmedRaw!BP:BP)</f>
        <v>0</v>
      </c>
      <c r="BN81">
        <f>SUMIF(ConfirmedRaw!$B:$B,$A81,ConfirmedRaw!BQ:BQ)</f>
        <v>0</v>
      </c>
      <c r="BO81">
        <f>SUMIF(ConfirmedRaw!$B:$B,$A81,ConfirmedRaw!BR:BR)</f>
        <v>0</v>
      </c>
      <c r="BP81">
        <f>SUMIF(ConfirmedRaw!$B:$B,$A81,ConfirmedRaw!BS:BS)</f>
        <v>0</v>
      </c>
      <c r="BQ81">
        <f>SUMIF(ConfirmedRaw!$B:$B,$A81,ConfirmedRaw!BT:BT)</f>
        <v>0</v>
      </c>
      <c r="BR81">
        <f>SUMIF(ConfirmedRaw!$B:$B,$A81,ConfirmedRaw!BU:BU)</f>
        <v>0</v>
      </c>
      <c r="BS81">
        <f>SUMIF(ConfirmedRaw!$B:$B,$A81,ConfirmedRaw!BV:BV)</f>
        <v>0</v>
      </c>
      <c r="BT81">
        <f>SUMIF(ConfirmedRaw!$B:$B,$A81,ConfirmedRaw!BW:BW)</f>
        <v>0</v>
      </c>
    </row>
    <row r="82" spans="1:72" ht="15" thickBot="1" x14ac:dyDescent="0.35">
      <c r="A82" s="4" t="s">
        <v>200</v>
      </c>
      <c r="B82">
        <f>SUMIF(ConfirmedRaw!$B:$B,$A82,ConfirmedRaw!E:E)</f>
        <v>0</v>
      </c>
      <c r="C82">
        <f>SUMIF(ConfirmedRaw!$B:$B,$A82,ConfirmedRaw!F:F)</f>
        <v>0</v>
      </c>
      <c r="D82">
        <f>SUMIF(ConfirmedRaw!$B:$B,$A82,ConfirmedRaw!G:G)</f>
        <v>0</v>
      </c>
      <c r="E82">
        <f>SUMIF(ConfirmedRaw!$B:$B,$A82,ConfirmedRaw!H:H)</f>
        <v>0</v>
      </c>
      <c r="F82">
        <f>SUMIF(ConfirmedRaw!$B:$B,$A82,ConfirmedRaw!I:I)</f>
        <v>0</v>
      </c>
      <c r="G82">
        <f>SUMIF(ConfirmedRaw!$B:$B,$A82,ConfirmedRaw!J:J)</f>
        <v>0</v>
      </c>
      <c r="H82">
        <f>SUMIF(ConfirmedRaw!$B:$B,$A82,ConfirmedRaw!K:K)</f>
        <v>0</v>
      </c>
      <c r="I82">
        <f>SUMIF(ConfirmedRaw!$B:$B,$A82,ConfirmedRaw!L:L)</f>
        <v>0</v>
      </c>
      <c r="J82">
        <f>SUMIF(ConfirmedRaw!$B:$B,$A82,ConfirmedRaw!M:M)</f>
        <v>0</v>
      </c>
      <c r="K82">
        <f>SUMIF(ConfirmedRaw!$B:$B,$A82,ConfirmedRaw!N:N)</f>
        <v>0</v>
      </c>
      <c r="L82">
        <f>SUMIF(ConfirmedRaw!$B:$B,$A82,ConfirmedRaw!O:O)</f>
        <v>0</v>
      </c>
      <c r="M82">
        <f>SUMIF(ConfirmedRaw!$B:$B,$A82,ConfirmedRaw!P:P)</f>
        <v>0</v>
      </c>
      <c r="N82">
        <f>SUMIF(ConfirmedRaw!$B:$B,$A82,ConfirmedRaw!Q:Q)</f>
        <v>0</v>
      </c>
      <c r="O82">
        <f>SUMIF(ConfirmedRaw!$B:$B,$A82,ConfirmedRaw!R:R)</f>
        <v>0</v>
      </c>
      <c r="P82">
        <f>SUMIF(ConfirmedRaw!$B:$B,$A82,ConfirmedRaw!S:S)</f>
        <v>0</v>
      </c>
      <c r="Q82">
        <f>SUMIF(ConfirmedRaw!$B:$B,$A82,ConfirmedRaw!T:T)</f>
        <v>0</v>
      </c>
      <c r="R82">
        <f>SUMIF(ConfirmedRaw!$B:$B,$A82,ConfirmedRaw!U:U)</f>
        <v>0</v>
      </c>
      <c r="S82">
        <f>SUMIF(ConfirmedRaw!$B:$B,$A82,ConfirmedRaw!V:V)</f>
        <v>0</v>
      </c>
      <c r="T82">
        <f>SUMIF(ConfirmedRaw!$B:$B,$A82,ConfirmedRaw!W:W)</f>
        <v>0</v>
      </c>
      <c r="U82">
        <f>SUMIF(ConfirmedRaw!$B:$B,$A82,ConfirmedRaw!X:X)</f>
        <v>0</v>
      </c>
      <c r="V82">
        <f>SUMIF(ConfirmedRaw!$B:$B,$A82,ConfirmedRaw!Y:Y)</f>
        <v>0</v>
      </c>
      <c r="W82">
        <f>SUMIF(ConfirmedRaw!$B:$B,$A82,ConfirmedRaw!Z:Z)</f>
        <v>0</v>
      </c>
      <c r="X82">
        <f>SUMIF(ConfirmedRaw!$B:$B,$A82,ConfirmedRaw!AA:AA)</f>
        <v>0</v>
      </c>
      <c r="Y82">
        <f>SUMIF(ConfirmedRaw!$B:$B,$A82,ConfirmedRaw!AB:AB)</f>
        <v>0</v>
      </c>
      <c r="Z82">
        <f>SUMIF(ConfirmedRaw!$B:$B,$A82,ConfirmedRaw!AC:AC)</f>
        <v>0</v>
      </c>
      <c r="AA82">
        <f>SUMIF(ConfirmedRaw!$B:$B,$A82,ConfirmedRaw!AD:AD)</f>
        <v>0</v>
      </c>
      <c r="AB82">
        <f>SUMIF(ConfirmedRaw!$B:$B,$A82,ConfirmedRaw!AE:AE)</f>
        <v>0</v>
      </c>
      <c r="AC82">
        <f>SUMIF(ConfirmedRaw!$B:$B,$A82,ConfirmedRaw!AF:AF)</f>
        <v>0</v>
      </c>
      <c r="AD82">
        <f>SUMIF(ConfirmedRaw!$B:$B,$A82,ConfirmedRaw!AG:AG)</f>
        <v>0</v>
      </c>
      <c r="AE82">
        <f>SUMIF(ConfirmedRaw!$B:$B,$A82,ConfirmedRaw!AH:AH)</f>
        <v>0</v>
      </c>
      <c r="AF82">
        <f>SUMIF(ConfirmedRaw!$B:$B,$A82,ConfirmedRaw!AI:AI)</f>
        <v>0</v>
      </c>
      <c r="AG82">
        <f>SUMIF(ConfirmedRaw!$B:$B,$A82,ConfirmedRaw!AJ:AJ)</f>
        <v>0</v>
      </c>
      <c r="AH82">
        <f>SUMIF(ConfirmedRaw!$B:$B,$A82,ConfirmedRaw!AK:AK)</f>
        <v>0</v>
      </c>
      <c r="AI82">
        <f>SUMIF(ConfirmedRaw!$B:$B,$A82,ConfirmedRaw!AL:AL)</f>
        <v>0</v>
      </c>
      <c r="AJ82">
        <f>SUMIF(ConfirmedRaw!$B:$B,$A82,ConfirmedRaw!AM:AM)</f>
        <v>0</v>
      </c>
      <c r="AK82">
        <f>SUMIF(ConfirmedRaw!$B:$B,$A82,ConfirmedRaw!AN:AN)</f>
        <v>0</v>
      </c>
      <c r="AL82">
        <f>SUMIF(ConfirmedRaw!$B:$B,$A82,ConfirmedRaw!AO:AO)</f>
        <v>0</v>
      </c>
      <c r="AM82">
        <f>SUMIF(ConfirmedRaw!$B:$B,$A82,ConfirmedRaw!AP:AP)</f>
        <v>0</v>
      </c>
      <c r="AN82">
        <f>SUMIF(ConfirmedRaw!$B:$B,$A82,ConfirmedRaw!AQ:AQ)</f>
        <v>0</v>
      </c>
      <c r="AO82">
        <f>SUMIF(ConfirmedRaw!$B:$B,$A82,ConfirmedRaw!AR:AR)</f>
        <v>0</v>
      </c>
      <c r="AP82">
        <f>SUMIF(ConfirmedRaw!$B:$B,$A82,ConfirmedRaw!AS:AS)</f>
        <v>0</v>
      </c>
      <c r="AQ82">
        <f>SUMIF(ConfirmedRaw!$B:$B,$A82,ConfirmedRaw!AT:AT)</f>
        <v>0</v>
      </c>
      <c r="AR82">
        <f>SUMIF(ConfirmedRaw!$B:$B,$A82,ConfirmedRaw!AU:AU)</f>
        <v>0</v>
      </c>
      <c r="AS82">
        <f>SUMIF(ConfirmedRaw!$B:$B,$A82,ConfirmedRaw!AV:AV)</f>
        <v>0</v>
      </c>
      <c r="AT82">
        <f>SUMIF(ConfirmedRaw!$B:$B,$A82,ConfirmedRaw!AW:AW)</f>
        <v>0</v>
      </c>
      <c r="AU82">
        <f>SUMIF(ConfirmedRaw!$B:$B,$A82,ConfirmedRaw!AX:AX)</f>
        <v>0</v>
      </c>
      <c r="AV82">
        <f>SUMIF(ConfirmedRaw!$B:$B,$A82,ConfirmedRaw!AY:AY)</f>
        <v>4</v>
      </c>
      <c r="AW82">
        <f>SUMIF(ConfirmedRaw!$B:$B,$A82,ConfirmedRaw!AZ:AZ)</f>
        <v>4</v>
      </c>
      <c r="AX82">
        <f>SUMIF(ConfirmedRaw!$B:$B,$A82,ConfirmedRaw!BA:BA)</f>
        <v>6</v>
      </c>
      <c r="AY82">
        <f>SUMIF(ConfirmedRaw!$B:$B,$A82,ConfirmedRaw!BB:BB)</f>
        <v>8</v>
      </c>
      <c r="AZ82">
        <f>SUMIF(ConfirmedRaw!$B:$B,$A82,ConfirmedRaw!BC:BC)</f>
        <v>8</v>
      </c>
      <c r="BA82">
        <f>SUMIF(ConfirmedRaw!$B:$B,$A82,ConfirmedRaw!BD:BD)</f>
        <v>9</v>
      </c>
      <c r="BB82">
        <f>SUMIF(ConfirmedRaw!$B:$B,$A82,ConfirmedRaw!BE:BE)</f>
        <v>10</v>
      </c>
      <c r="BC82">
        <f>SUMIF(ConfirmedRaw!$B:$B,$A82,ConfirmedRaw!BF:BF)</f>
        <v>13</v>
      </c>
      <c r="BD82">
        <f>SUMIF(ConfirmedRaw!$B:$B,$A82,ConfirmedRaw!BG:BG)</f>
        <v>13</v>
      </c>
      <c r="BE82">
        <f>SUMIF(ConfirmedRaw!$B:$B,$A82,ConfirmedRaw!BH:BH)</f>
        <v>13</v>
      </c>
      <c r="BF82">
        <f>SUMIF(ConfirmedRaw!$B:$B,$A82,ConfirmedRaw!BI:BI)</f>
        <v>13</v>
      </c>
      <c r="BG82">
        <f>SUMIF(ConfirmedRaw!$B:$B,$A82,ConfirmedRaw!BJ:BJ)</f>
        <v>0</v>
      </c>
      <c r="BH82">
        <f>SUMIF(ConfirmedRaw!$B:$B,$A82,ConfirmedRaw!BK:BK)</f>
        <v>0</v>
      </c>
      <c r="BI82">
        <f>SUMIF(ConfirmedRaw!$B:$B,$A82,ConfirmedRaw!BL:BL)</f>
        <v>0</v>
      </c>
      <c r="BJ82">
        <f>SUMIF(ConfirmedRaw!$B:$B,$A82,ConfirmedRaw!BM:BM)</f>
        <v>0</v>
      </c>
      <c r="BK82">
        <f>SUMIF(ConfirmedRaw!$B:$B,$A82,ConfirmedRaw!BN:BN)</f>
        <v>0</v>
      </c>
      <c r="BL82">
        <f>SUMIF(ConfirmedRaw!$B:$B,$A82,ConfirmedRaw!BO:BO)</f>
        <v>0</v>
      </c>
      <c r="BM82">
        <f>SUMIF(ConfirmedRaw!$B:$B,$A82,ConfirmedRaw!BP:BP)</f>
        <v>0</v>
      </c>
      <c r="BN82">
        <f>SUMIF(ConfirmedRaw!$B:$B,$A82,ConfirmedRaw!BQ:BQ)</f>
        <v>0</v>
      </c>
      <c r="BO82">
        <f>SUMIF(ConfirmedRaw!$B:$B,$A82,ConfirmedRaw!BR:BR)</f>
        <v>0</v>
      </c>
      <c r="BP82">
        <f>SUMIF(ConfirmedRaw!$B:$B,$A82,ConfirmedRaw!BS:BS)</f>
        <v>0</v>
      </c>
      <c r="BQ82">
        <f>SUMIF(ConfirmedRaw!$B:$B,$A82,ConfirmedRaw!BT:BT)</f>
        <v>0</v>
      </c>
      <c r="BR82">
        <f>SUMIF(ConfirmedRaw!$B:$B,$A82,ConfirmedRaw!BU:BU)</f>
        <v>0</v>
      </c>
      <c r="BS82">
        <f>SUMIF(ConfirmedRaw!$B:$B,$A82,ConfirmedRaw!BV:BV)</f>
        <v>0</v>
      </c>
      <c r="BT82">
        <f>SUMIF(ConfirmedRaw!$B:$B,$A82,ConfirmedRaw!BW:BW)</f>
        <v>0</v>
      </c>
    </row>
    <row r="83" spans="1:72" ht="15" thickBot="1" x14ac:dyDescent="0.35">
      <c r="A83" s="4" t="s">
        <v>105</v>
      </c>
      <c r="B83">
        <f>SUMIF(ConfirmedRaw!$B:$B,$A83,ConfirmedRaw!E:E)</f>
        <v>0</v>
      </c>
      <c r="C83">
        <f>SUMIF(ConfirmedRaw!$B:$B,$A83,ConfirmedRaw!F:F)</f>
        <v>0</v>
      </c>
      <c r="D83">
        <f>SUMIF(ConfirmedRaw!$B:$B,$A83,ConfirmedRaw!G:G)</f>
        <v>0</v>
      </c>
      <c r="E83">
        <f>SUMIF(ConfirmedRaw!$B:$B,$A83,ConfirmedRaw!H:H)</f>
        <v>0</v>
      </c>
      <c r="F83">
        <f>SUMIF(ConfirmedRaw!$B:$B,$A83,ConfirmedRaw!I:I)</f>
        <v>0</v>
      </c>
      <c r="G83">
        <f>SUMIF(ConfirmedRaw!$B:$B,$A83,ConfirmedRaw!J:J)</f>
        <v>0</v>
      </c>
      <c r="H83">
        <f>SUMIF(ConfirmedRaw!$B:$B,$A83,ConfirmedRaw!K:K)</f>
        <v>0</v>
      </c>
      <c r="I83">
        <f>SUMIF(ConfirmedRaw!$B:$B,$A83,ConfirmedRaw!L:L)</f>
        <v>0</v>
      </c>
      <c r="J83">
        <f>SUMIF(ConfirmedRaw!$B:$B,$A83,ConfirmedRaw!M:M)</f>
        <v>0</v>
      </c>
      <c r="K83">
        <f>SUMIF(ConfirmedRaw!$B:$B,$A83,ConfirmedRaw!N:N)</f>
        <v>0</v>
      </c>
      <c r="L83">
        <f>SUMIF(ConfirmedRaw!$B:$B,$A83,ConfirmedRaw!O:O)</f>
        <v>0</v>
      </c>
      <c r="M83">
        <f>SUMIF(ConfirmedRaw!$B:$B,$A83,ConfirmedRaw!P:P)</f>
        <v>0</v>
      </c>
      <c r="N83">
        <f>SUMIF(ConfirmedRaw!$B:$B,$A83,ConfirmedRaw!Q:Q)</f>
        <v>0</v>
      </c>
      <c r="O83">
        <f>SUMIF(ConfirmedRaw!$B:$B,$A83,ConfirmedRaw!R:R)</f>
        <v>0</v>
      </c>
      <c r="P83">
        <f>SUMIF(ConfirmedRaw!$B:$B,$A83,ConfirmedRaw!S:S)</f>
        <v>0</v>
      </c>
      <c r="Q83">
        <f>SUMIF(ConfirmedRaw!$B:$B,$A83,ConfirmedRaw!T:T)</f>
        <v>0</v>
      </c>
      <c r="R83">
        <f>SUMIF(ConfirmedRaw!$B:$B,$A83,ConfirmedRaw!U:U)</f>
        <v>0</v>
      </c>
      <c r="S83">
        <f>SUMIF(ConfirmedRaw!$B:$B,$A83,ConfirmedRaw!V:V)</f>
        <v>0</v>
      </c>
      <c r="T83">
        <f>SUMIF(ConfirmedRaw!$B:$B,$A83,ConfirmedRaw!W:W)</f>
        <v>0</v>
      </c>
      <c r="U83">
        <f>SUMIF(ConfirmedRaw!$B:$B,$A83,ConfirmedRaw!X:X)</f>
        <v>0</v>
      </c>
      <c r="V83">
        <f>SUMIF(ConfirmedRaw!$B:$B,$A83,ConfirmedRaw!Y:Y)</f>
        <v>0</v>
      </c>
      <c r="W83">
        <f>SUMIF(ConfirmedRaw!$B:$B,$A83,ConfirmedRaw!Z:Z)</f>
        <v>0</v>
      </c>
      <c r="X83">
        <f>SUMIF(ConfirmedRaw!$B:$B,$A83,ConfirmedRaw!AA:AA)</f>
        <v>0</v>
      </c>
      <c r="Y83">
        <f>SUMIF(ConfirmedRaw!$B:$B,$A83,ConfirmedRaw!AB:AB)</f>
        <v>0</v>
      </c>
      <c r="Z83">
        <f>SUMIF(ConfirmedRaw!$B:$B,$A83,ConfirmedRaw!AC:AC)</f>
        <v>0</v>
      </c>
      <c r="AA83">
        <f>SUMIF(ConfirmedRaw!$B:$B,$A83,ConfirmedRaw!AD:AD)</f>
        <v>0</v>
      </c>
      <c r="AB83">
        <f>SUMIF(ConfirmedRaw!$B:$B,$A83,ConfirmedRaw!AE:AE)</f>
        <v>0</v>
      </c>
      <c r="AC83">
        <f>SUMIF(ConfirmedRaw!$B:$B,$A83,ConfirmedRaw!AF:AF)</f>
        <v>0</v>
      </c>
      <c r="AD83">
        <f>SUMIF(ConfirmedRaw!$B:$B,$A83,ConfirmedRaw!AG:AG)</f>
        <v>0</v>
      </c>
      <c r="AE83">
        <f>SUMIF(ConfirmedRaw!$B:$B,$A83,ConfirmedRaw!AH:AH)</f>
        <v>0</v>
      </c>
      <c r="AF83">
        <f>SUMIF(ConfirmedRaw!$B:$B,$A83,ConfirmedRaw!AI:AI)</f>
        <v>0</v>
      </c>
      <c r="AG83">
        <f>SUMIF(ConfirmedRaw!$B:$B,$A83,ConfirmedRaw!AJ:AJ)</f>
        <v>0</v>
      </c>
      <c r="AH83">
        <f>SUMIF(ConfirmedRaw!$B:$B,$A83,ConfirmedRaw!AK:AK)</f>
        <v>0</v>
      </c>
      <c r="AI83">
        <f>SUMIF(ConfirmedRaw!$B:$B,$A83,ConfirmedRaw!AL:AL)</f>
        <v>0</v>
      </c>
      <c r="AJ83">
        <f>SUMIF(ConfirmedRaw!$B:$B,$A83,ConfirmedRaw!AM:AM)</f>
        <v>0</v>
      </c>
      <c r="AK83">
        <f>SUMIF(ConfirmedRaw!$B:$B,$A83,ConfirmedRaw!AN:AN)</f>
        <v>0</v>
      </c>
      <c r="AL83">
        <f>SUMIF(ConfirmedRaw!$B:$B,$A83,ConfirmedRaw!AO:AO)</f>
        <v>0</v>
      </c>
      <c r="AM83">
        <f>SUMIF(ConfirmedRaw!$B:$B,$A83,ConfirmedRaw!AP:AP)</f>
        <v>0</v>
      </c>
      <c r="AN83">
        <f>SUMIF(ConfirmedRaw!$B:$B,$A83,ConfirmedRaw!AQ:AQ)</f>
        <v>0</v>
      </c>
      <c r="AO83">
        <f>SUMIF(ConfirmedRaw!$B:$B,$A83,ConfirmedRaw!AR:AR)</f>
        <v>1</v>
      </c>
      <c r="AP83">
        <f>SUMIF(ConfirmedRaw!$B:$B,$A83,ConfirmedRaw!AS:AS)</f>
        <v>1</v>
      </c>
      <c r="AQ83">
        <f>SUMIF(ConfirmedRaw!$B:$B,$A83,ConfirmedRaw!AT:AT)</f>
        <v>1</v>
      </c>
      <c r="AR83">
        <f>SUMIF(ConfirmedRaw!$B:$B,$A83,ConfirmedRaw!AU:AU)</f>
        <v>1</v>
      </c>
      <c r="AS83">
        <f>SUMIF(ConfirmedRaw!$B:$B,$A83,ConfirmedRaw!AV:AV)</f>
        <v>1</v>
      </c>
      <c r="AT83">
        <f>SUMIF(ConfirmedRaw!$B:$B,$A83,ConfirmedRaw!AW:AW)</f>
        <v>1</v>
      </c>
      <c r="AU83">
        <f>SUMIF(ConfirmedRaw!$B:$B,$A83,ConfirmedRaw!AX:AX)</f>
        <v>1</v>
      </c>
      <c r="AV83">
        <f>SUMIF(ConfirmedRaw!$B:$B,$A83,ConfirmedRaw!AY:AY)</f>
        <v>1</v>
      </c>
      <c r="AW83">
        <f>SUMIF(ConfirmedRaw!$B:$B,$A83,ConfirmedRaw!AZ:AZ)</f>
        <v>1</v>
      </c>
      <c r="AX83">
        <f>SUMIF(ConfirmedRaw!$B:$B,$A83,ConfirmedRaw!BA:BA)</f>
        <v>1</v>
      </c>
      <c r="AY83">
        <f>SUMIF(ConfirmedRaw!$B:$B,$A83,ConfirmedRaw!BB:BB)</f>
        <v>1</v>
      </c>
      <c r="AZ83">
        <f>SUMIF(ConfirmedRaw!$B:$B,$A83,ConfirmedRaw!BC:BC)</f>
        <v>4</v>
      </c>
      <c r="BA83">
        <f>SUMIF(ConfirmedRaw!$B:$B,$A83,ConfirmedRaw!BD:BD)</f>
        <v>8</v>
      </c>
      <c r="BB83">
        <f>SUMIF(ConfirmedRaw!$B:$B,$A83,ConfirmedRaw!BE:BE)</f>
        <v>18</v>
      </c>
      <c r="BC83">
        <f>SUMIF(ConfirmedRaw!$B:$B,$A83,ConfirmedRaw!BF:BF)</f>
        <v>26</v>
      </c>
      <c r="BD83">
        <f>SUMIF(ConfirmedRaw!$B:$B,$A83,ConfirmedRaw!BG:BG)</f>
        <v>52</v>
      </c>
      <c r="BE83">
        <f>SUMIF(ConfirmedRaw!$B:$B,$A83,ConfirmedRaw!BH:BH)</f>
        <v>78</v>
      </c>
      <c r="BF83">
        <f>SUMIF(ConfirmedRaw!$B:$B,$A83,ConfirmedRaw!BI:BI)</f>
        <v>84</v>
      </c>
      <c r="BG83">
        <f>SUMIF(ConfirmedRaw!$B:$B,$A83,ConfirmedRaw!BJ:BJ)</f>
        <v>0</v>
      </c>
      <c r="BH83">
        <f>SUMIF(ConfirmedRaw!$B:$B,$A83,ConfirmedRaw!BK:BK)</f>
        <v>0</v>
      </c>
      <c r="BI83">
        <f>SUMIF(ConfirmedRaw!$B:$B,$A83,ConfirmedRaw!BL:BL)</f>
        <v>0</v>
      </c>
      <c r="BJ83">
        <f>SUMIF(ConfirmedRaw!$B:$B,$A83,ConfirmedRaw!BM:BM)</f>
        <v>0</v>
      </c>
      <c r="BK83">
        <f>SUMIF(ConfirmedRaw!$B:$B,$A83,ConfirmedRaw!BN:BN)</f>
        <v>0</v>
      </c>
      <c r="BL83">
        <f>SUMIF(ConfirmedRaw!$B:$B,$A83,ConfirmedRaw!BO:BO)</f>
        <v>0</v>
      </c>
      <c r="BM83">
        <f>SUMIF(ConfirmedRaw!$B:$B,$A83,ConfirmedRaw!BP:BP)</f>
        <v>0</v>
      </c>
      <c r="BN83">
        <f>SUMIF(ConfirmedRaw!$B:$B,$A83,ConfirmedRaw!BQ:BQ)</f>
        <v>0</v>
      </c>
      <c r="BO83">
        <f>SUMIF(ConfirmedRaw!$B:$B,$A83,ConfirmedRaw!BR:BR)</f>
        <v>0</v>
      </c>
      <c r="BP83">
        <f>SUMIF(ConfirmedRaw!$B:$B,$A83,ConfirmedRaw!BS:BS)</f>
        <v>0</v>
      </c>
      <c r="BQ83">
        <f>SUMIF(ConfirmedRaw!$B:$B,$A83,ConfirmedRaw!BT:BT)</f>
        <v>0</v>
      </c>
      <c r="BR83">
        <f>SUMIF(ConfirmedRaw!$B:$B,$A83,ConfirmedRaw!BU:BU)</f>
        <v>0</v>
      </c>
      <c r="BS83">
        <f>SUMIF(ConfirmedRaw!$B:$B,$A83,ConfirmedRaw!BV:BV)</f>
        <v>0</v>
      </c>
      <c r="BT83">
        <f>SUMIF(ConfirmedRaw!$B:$B,$A83,ConfirmedRaw!BW:BW)</f>
        <v>0</v>
      </c>
    </row>
    <row r="84" spans="1:72" ht="15" thickBot="1" x14ac:dyDescent="0.35">
      <c r="A84" s="3" t="s">
        <v>353</v>
      </c>
      <c r="B84">
        <f>SUMIF(ConfirmedRaw!$B:$B,$A84,ConfirmedRaw!E:E)</f>
        <v>0</v>
      </c>
      <c r="C84">
        <f>SUMIF(ConfirmedRaw!$B:$B,$A84,ConfirmedRaw!F:F)</f>
        <v>0</v>
      </c>
      <c r="D84">
        <f>SUMIF(ConfirmedRaw!$B:$B,$A84,ConfirmedRaw!G:G)</f>
        <v>0</v>
      </c>
      <c r="E84">
        <f>SUMIF(ConfirmedRaw!$B:$B,$A84,ConfirmedRaw!H:H)</f>
        <v>0</v>
      </c>
      <c r="F84">
        <f>SUMIF(ConfirmedRaw!$B:$B,$A84,ConfirmedRaw!I:I)</f>
        <v>0</v>
      </c>
      <c r="G84">
        <f>SUMIF(ConfirmedRaw!$B:$B,$A84,ConfirmedRaw!J:J)</f>
        <v>0</v>
      </c>
      <c r="H84">
        <f>SUMIF(ConfirmedRaw!$B:$B,$A84,ConfirmedRaw!K:K)</f>
        <v>0</v>
      </c>
      <c r="I84">
        <f>SUMIF(ConfirmedRaw!$B:$B,$A84,ConfirmedRaw!L:L)</f>
        <v>0</v>
      </c>
      <c r="J84">
        <f>SUMIF(ConfirmedRaw!$B:$B,$A84,ConfirmedRaw!M:M)</f>
        <v>0</v>
      </c>
      <c r="K84">
        <f>SUMIF(ConfirmedRaw!$B:$B,$A84,ConfirmedRaw!N:N)</f>
        <v>0</v>
      </c>
      <c r="L84">
        <f>SUMIF(ConfirmedRaw!$B:$B,$A84,ConfirmedRaw!O:O)</f>
        <v>0</v>
      </c>
      <c r="M84">
        <f>SUMIF(ConfirmedRaw!$B:$B,$A84,ConfirmedRaw!P:P)</f>
        <v>0</v>
      </c>
      <c r="N84">
        <f>SUMIF(ConfirmedRaw!$B:$B,$A84,ConfirmedRaw!Q:Q)</f>
        <v>0</v>
      </c>
      <c r="O84">
        <f>SUMIF(ConfirmedRaw!$B:$B,$A84,ConfirmedRaw!R:R)</f>
        <v>0</v>
      </c>
      <c r="P84">
        <f>SUMIF(ConfirmedRaw!$B:$B,$A84,ConfirmedRaw!S:S)</f>
        <v>0</v>
      </c>
      <c r="Q84">
        <f>SUMIF(ConfirmedRaw!$B:$B,$A84,ConfirmedRaw!T:T)</f>
        <v>0</v>
      </c>
      <c r="R84">
        <f>SUMIF(ConfirmedRaw!$B:$B,$A84,ConfirmedRaw!U:U)</f>
        <v>0</v>
      </c>
      <c r="S84">
        <f>SUMIF(ConfirmedRaw!$B:$B,$A84,ConfirmedRaw!V:V)</f>
        <v>0</v>
      </c>
      <c r="T84">
        <f>SUMIF(ConfirmedRaw!$B:$B,$A84,ConfirmedRaw!W:W)</f>
        <v>0</v>
      </c>
      <c r="U84">
        <f>SUMIF(ConfirmedRaw!$B:$B,$A84,ConfirmedRaw!X:X)</f>
        <v>0</v>
      </c>
      <c r="V84">
        <f>SUMIF(ConfirmedRaw!$B:$B,$A84,ConfirmedRaw!Y:Y)</f>
        <v>0</v>
      </c>
      <c r="W84">
        <f>SUMIF(ConfirmedRaw!$B:$B,$A84,ConfirmedRaw!Z:Z)</f>
        <v>0</v>
      </c>
      <c r="X84">
        <f>SUMIF(ConfirmedRaw!$B:$B,$A84,ConfirmedRaw!AA:AA)</f>
        <v>0</v>
      </c>
      <c r="Y84">
        <f>SUMIF(ConfirmedRaw!$B:$B,$A84,ConfirmedRaw!AB:AB)</f>
        <v>0</v>
      </c>
      <c r="Z84">
        <f>SUMIF(ConfirmedRaw!$B:$B,$A84,ConfirmedRaw!AC:AC)</f>
        <v>0</v>
      </c>
      <c r="AA84">
        <f>SUMIF(ConfirmedRaw!$B:$B,$A84,ConfirmedRaw!AD:AD)</f>
        <v>0</v>
      </c>
      <c r="AB84">
        <f>SUMIF(ConfirmedRaw!$B:$B,$A84,ConfirmedRaw!AE:AE)</f>
        <v>0</v>
      </c>
      <c r="AC84">
        <f>SUMIF(ConfirmedRaw!$B:$B,$A84,ConfirmedRaw!AF:AF)</f>
        <v>0</v>
      </c>
      <c r="AD84">
        <f>SUMIF(ConfirmedRaw!$B:$B,$A84,ConfirmedRaw!AG:AG)</f>
        <v>0</v>
      </c>
      <c r="AE84">
        <f>SUMIF(ConfirmedRaw!$B:$B,$A84,ConfirmedRaw!AH:AH)</f>
        <v>0</v>
      </c>
      <c r="AF84">
        <f>SUMIF(ConfirmedRaw!$B:$B,$A84,ConfirmedRaw!AI:AI)</f>
        <v>0</v>
      </c>
      <c r="AG84">
        <f>SUMIF(ConfirmedRaw!$B:$B,$A84,ConfirmedRaw!AJ:AJ)</f>
        <v>0</v>
      </c>
      <c r="AH84">
        <f>SUMIF(ConfirmedRaw!$B:$B,$A84,ConfirmedRaw!AK:AK)</f>
        <v>0</v>
      </c>
      <c r="AI84">
        <f>SUMIF(ConfirmedRaw!$B:$B,$A84,ConfirmedRaw!AL:AL)</f>
        <v>0</v>
      </c>
      <c r="AJ84">
        <f>SUMIF(ConfirmedRaw!$B:$B,$A84,ConfirmedRaw!AM:AM)</f>
        <v>0</v>
      </c>
      <c r="AK84">
        <f>SUMIF(ConfirmedRaw!$B:$B,$A84,ConfirmedRaw!AN:AN)</f>
        <v>0</v>
      </c>
      <c r="AL84">
        <f>SUMIF(ConfirmedRaw!$B:$B,$A84,ConfirmedRaw!AO:AO)</f>
        <v>0</v>
      </c>
      <c r="AM84">
        <f>SUMIF(ConfirmedRaw!$B:$B,$A84,ConfirmedRaw!AP:AP)</f>
        <v>0</v>
      </c>
      <c r="AN84">
        <f>SUMIF(ConfirmedRaw!$B:$B,$A84,ConfirmedRaw!AQ:AQ)</f>
        <v>0</v>
      </c>
      <c r="AO84">
        <f>SUMIF(ConfirmedRaw!$B:$B,$A84,ConfirmedRaw!AR:AR)</f>
        <v>0</v>
      </c>
      <c r="AP84">
        <f>SUMIF(ConfirmedRaw!$B:$B,$A84,ConfirmedRaw!AS:AS)</f>
        <v>0</v>
      </c>
      <c r="AQ84">
        <f>SUMIF(ConfirmedRaw!$B:$B,$A84,ConfirmedRaw!AT:AT)</f>
        <v>0</v>
      </c>
      <c r="AR84">
        <f>SUMIF(ConfirmedRaw!$B:$B,$A84,ConfirmedRaw!AU:AU)</f>
        <v>0</v>
      </c>
      <c r="AS84">
        <f>SUMIF(ConfirmedRaw!$B:$B,$A84,ConfirmedRaw!AV:AV)</f>
        <v>0</v>
      </c>
      <c r="AT84">
        <f>SUMIF(ConfirmedRaw!$B:$B,$A84,ConfirmedRaw!AW:AW)</f>
        <v>0</v>
      </c>
      <c r="AU84">
        <f>SUMIF(ConfirmedRaw!$B:$B,$A84,ConfirmedRaw!AX:AX)</f>
        <v>0</v>
      </c>
      <c r="AV84">
        <f>SUMIF(ConfirmedRaw!$B:$B,$A84,ConfirmedRaw!AY:AY)</f>
        <v>0</v>
      </c>
      <c r="AW84">
        <f>SUMIF(ConfirmedRaw!$B:$B,$A84,ConfirmedRaw!AZ:AZ)</f>
        <v>0</v>
      </c>
      <c r="AX84">
        <f>SUMIF(ConfirmedRaw!$B:$B,$A84,ConfirmedRaw!BA:BA)</f>
        <v>0</v>
      </c>
      <c r="AY84">
        <f>SUMIF(ConfirmedRaw!$B:$B,$A84,ConfirmedRaw!BB:BB)</f>
        <v>1</v>
      </c>
      <c r="AZ84">
        <f>SUMIF(ConfirmedRaw!$B:$B,$A84,ConfirmedRaw!BC:BC)</f>
        <v>2</v>
      </c>
      <c r="BA84">
        <f>SUMIF(ConfirmedRaw!$B:$B,$A84,ConfirmedRaw!BD:BD)</f>
        <v>8</v>
      </c>
      <c r="BB84">
        <f>SUMIF(ConfirmedRaw!$B:$B,$A84,ConfirmedRaw!BE:BE)</f>
        <v>8</v>
      </c>
      <c r="BC84">
        <f>SUMIF(ConfirmedRaw!$B:$B,$A84,ConfirmedRaw!BF:BF)</f>
        <v>10</v>
      </c>
      <c r="BD84">
        <f>SUMIF(ConfirmedRaw!$B:$B,$A84,ConfirmedRaw!BG:BG)</f>
        <v>10</v>
      </c>
      <c r="BE84">
        <f>SUMIF(ConfirmedRaw!$B:$B,$A84,ConfirmedRaw!BH:BH)</f>
        <v>12</v>
      </c>
      <c r="BF84">
        <f>SUMIF(ConfirmedRaw!$B:$B,$A84,ConfirmedRaw!BI:BI)</f>
        <v>13</v>
      </c>
      <c r="BG84">
        <f>SUMIF(ConfirmedRaw!$B:$B,$A84,ConfirmedRaw!BJ:BJ)</f>
        <v>0</v>
      </c>
      <c r="BH84">
        <f>SUMIF(ConfirmedRaw!$B:$B,$A84,ConfirmedRaw!BK:BK)</f>
        <v>0</v>
      </c>
      <c r="BI84">
        <f>SUMIF(ConfirmedRaw!$B:$B,$A84,ConfirmedRaw!BL:BL)</f>
        <v>0</v>
      </c>
      <c r="BJ84">
        <f>SUMIF(ConfirmedRaw!$B:$B,$A84,ConfirmedRaw!BM:BM)</f>
        <v>0</v>
      </c>
      <c r="BK84">
        <f>SUMIF(ConfirmedRaw!$B:$B,$A84,ConfirmedRaw!BN:BN)</f>
        <v>0</v>
      </c>
      <c r="BL84">
        <f>SUMIF(ConfirmedRaw!$B:$B,$A84,ConfirmedRaw!BO:BO)</f>
        <v>0</v>
      </c>
      <c r="BM84">
        <f>SUMIF(ConfirmedRaw!$B:$B,$A84,ConfirmedRaw!BP:BP)</f>
        <v>0</v>
      </c>
      <c r="BN84">
        <f>SUMIF(ConfirmedRaw!$B:$B,$A84,ConfirmedRaw!BQ:BQ)</f>
        <v>0</v>
      </c>
      <c r="BO84">
        <f>SUMIF(ConfirmedRaw!$B:$B,$A84,ConfirmedRaw!BR:BR)</f>
        <v>0</v>
      </c>
      <c r="BP84">
        <f>SUMIF(ConfirmedRaw!$B:$B,$A84,ConfirmedRaw!BS:BS)</f>
        <v>0</v>
      </c>
      <c r="BQ84">
        <f>SUMIF(ConfirmedRaw!$B:$B,$A84,ConfirmedRaw!BT:BT)</f>
        <v>0</v>
      </c>
      <c r="BR84">
        <f>SUMIF(ConfirmedRaw!$B:$B,$A84,ConfirmedRaw!BU:BU)</f>
        <v>0</v>
      </c>
      <c r="BS84">
        <f>SUMIF(ConfirmedRaw!$B:$B,$A84,ConfirmedRaw!BV:BV)</f>
        <v>0</v>
      </c>
      <c r="BT84">
        <f>SUMIF(ConfirmedRaw!$B:$B,$A84,ConfirmedRaw!BW:BW)</f>
        <v>0</v>
      </c>
    </row>
    <row r="85" spans="1:72" ht="15" thickBot="1" x14ac:dyDescent="0.35">
      <c r="A85" s="3" t="s">
        <v>72</v>
      </c>
      <c r="B85">
        <f>SUMIF(ConfirmedRaw!$B:$B,$A85,ConfirmedRaw!E:E)</f>
        <v>0</v>
      </c>
      <c r="C85">
        <f>SUMIF(ConfirmedRaw!$B:$B,$A85,ConfirmedRaw!F:F)</f>
        <v>0</v>
      </c>
      <c r="D85">
        <f>SUMIF(ConfirmedRaw!$B:$B,$A85,ConfirmedRaw!G:G)</f>
        <v>0</v>
      </c>
      <c r="E85">
        <f>SUMIF(ConfirmedRaw!$B:$B,$A85,ConfirmedRaw!H:H)</f>
        <v>0</v>
      </c>
      <c r="F85">
        <f>SUMIF(ConfirmedRaw!$B:$B,$A85,ConfirmedRaw!I:I)</f>
        <v>0</v>
      </c>
      <c r="G85">
        <f>SUMIF(ConfirmedRaw!$B:$B,$A85,ConfirmedRaw!J:J)</f>
        <v>0</v>
      </c>
      <c r="H85">
        <f>SUMIF(ConfirmedRaw!$B:$B,$A85,ConfirmedRaw!K:K)</f>
        <v>0</v>
      </c>
      <c r="I85">
        <f>SUMIF(ConfirmedRaw!$B:$B,$A85,ConfirmedRaw!L:L)</f>
        <v>0</v>
      </c>
      <c r="J85">
        <f>SUMIF(ConfirmedRaw!$B:$B,$A85,ConfirmedRaw!M:M)</f>
        <v>0</v>
      </c>
      <c r="K85">
        <f>SUMIF(ConfirmedRaw!$B:$B,$A85,ConfirmedRaw!N:N)</f>
        <v>0</v>
      </c>
      <c r="L85">
        <f>SUMIF(ConfirmedRaw!$B:$B,$A85,ConfirmedRaw!O:O)</f>
        <v>0</v>
      </c>
      <c r="M85">
        <f>SUMIF(ConfirmedRaw!$B:$B,$A85,ConfirmedRaw!P:P)</f>
        <v>0</v>
      </c>
      <c r="N85">
        <f>SUMIF(ConfirmedRaw!$B:$B,$A85,ConfirmedRaw!Q:Q)</f>
        <v>0</v>
      </c>
      <c r="O85">
        <f>SUMIF(ConfirmedRaw!$B:$B,$A85,ConfirmedRaw!R:R)</f>
        <v>0</v>
      </c>
      <c r="P85">
        <f>SUMIF(ConfirmedRaw!$B:$B,$A85,ConfirmedRaw!S:S)</f>
        <v>0</v>
      </c>
      <c r="Q85">
        <f>SUMIF(ConfirmedRaw!$B:$B,$A85,ConfirmedRaw!T:T)</f>
        <v>0</v>
      </c>
      <c r="R85">
        <f>SUMIF(ConfirmedRaw!$B:$B,$A85,ConfirmedRaw!U:U)</f>
        <v>0</v>
      </c>
      <c r="S85">
        <f>SUMIF(ConfirmedRaw!$B:$B,$A85,ConfirmedRaw!V:V)</f>
        <v>0</v>
      </c>
      <c r="T85">
        <f>SUMIF(ConfirmedRaw!$B:$B,$A85,ConfirmedRaw!W:W)</f>
        <v>0</v>
      </c>
      <c r="U85">
        <f>SUMIF(ConfirmedRaw!$B:$B,$A85,ConfirmedRaw!X:X)</f>
        <v>0</v>
      </c>
      <c r="V85">
        <f>SUMIF(ConfirmedRaw!$B:$B,$A85,ConfirmedRaw!Y:Y)</f>
        <v>0</v>
      </c>
      <c r="W85">
        <f>SUMIF(ConfirmedRaw!$B:$B,$A85,ConfirmedRaw!Z:Z)</f>
        <v>0</v>
      </c>
      <c r="X85">
        <f>SUMIF(ConfirmedRaw!$B:$B,$A85,ConfirmedRaw!AA:AA)</f>
        <v>0</v>
      </c>
      <c r="Y85">
        <f>SUMIF(ConfirmedRaw!$B:$B,$A85,ConfirmedRaw!AB:AB)</f>
        <v>0</v>
      </c>
      <c r="Z85">
        <f>SUMIF(ConfirmedRaw!$B:$B,$A85,ConfirmedRaw!AC:AC)</f>
        <v>0</v>
      </c>
      <c r="AA85">
        <f>SUMIF(ConfirmedRaw!$B:$B,$A85,ConfirmedRaw!AD:AD)</f>
        <v>0</v>
      </c>
      <c r="AB85">
        <f>SUMIF(ConfirmedRaw!$B:$B,$A85,ConfirmedRaw!AE:AE)</f>
        <v>0</v>
      </c>
      <c r="AC85">
        <f>SUMIF(ConfirmedRaw!$B:$B,$A85,ConfirmedRaw!AF:AF)</f>
        <v>0</v>
      </c>
      <c r="AD85">
        <f>SUMIF(ConfirmedRaw!$B:$B,$A85,ConfirmedRaw!AG:AG)</f>
        <v>0</v>
      </c>
      <c r="AE85">
        <f>SUMIF(ConfirmedRaw!$B:$B,$A85,ConfirmedRaw!AH:AH)</f>
        <v>0</v>
      </c>
      <c r="AF85">
        <f>SUMIF(ConfirmedRaw!$B:$B,$A85,ConfirmedRaw!AI:AI)</f>
        <v>0</v>
      </c>
      <c r="AG85">
        <f>SUMIF(ConfirmedRaw!$B:$B,$A85,ConfirmedRaw!AJ:AJ)</f>
        <v>0</v>
      </c>
      <c r="AH85">
        <f>SUMIF(ConfirmedRaw!$B:$B,$A85,ConfirmedRaw!AK:AK)</f>
        <v>0</v>
      </c>
      <c r="AI85">
        <f>SUMIF(ConfirmedRaw!$B:$B,$A85,ConfirmedRaw!AL:AL)</f>
        <v>1</v>
      </c>
      <c r="AJ85">
        <f>SUMIF(ConfirmedRaw!$B:$B,$A85,ConfirmedRaw!AM:AM)</f>
        <v>1</v>
      </c>
      <c r="AK85">
        <f>SUMIF(ConfirmedRaw!$B:$B,$A85,ConfirmedRaw!AN:AN)</f>
        <v>1</v>
      </c>
      <c r="AL85">
        <f>SUMIF(ConfirmedRaw!$B:$B,$A85,ConfirmedRaw!AO:AO)</f>
        <v>1</v>
      </c>
      <c r="AM85">
        <f>SUMIF(ConfirmedRaw!$B:$B,$A85,ConfirmedRaw!AP:AP)</f>
        <v>1</v>
      </c>
      <c r="AN85">
        <f>SUMIF(ConfirmedRaw!$B:$B,$A85,ConfirmedRaw!AQ:AQ)</f>
        <v>1</v>
      </c>
      <c r="AO85">
        <f>SUMIF(ConfirmedRaw!$B:$B,$A85,ConfirmedRaw!AR:AR)</f>
        <v>1</v>
      </c>
      <c r="AP85">
        <f>SUMIF(ConfirmedRaw!$B:$B,$A85,ConfirmedRaw!AS:AS)</f>
        <v>1</v>
      </c>
      <c r="AQ85">
        <f>SUMIF(ConfirmedRaw!$B:$B,$A85,ConfirmedRaw!AT:AT)</f>
        <v>1</v>
      </c>
      <c r="AR85">
        <f>SUMIF(ConfirmedRaw!$B:$B,$A85,ConfirmedRaw!AU:AU)</f>
        <v>1</v>
      </c>
      <c r="AS85">
        <f>SUMIF(ConfirmedRaw!$B:$B,$A85,ConfirmedRaw!AV:AV)</f>
        <v>1</v>
      </c>
      <c r="AT85">
        <f>SUMIF(ConfirmedRaw!$B:$B,$A85,ConfirmedRaw!AW:AW)</f>
        <v>1</v>
      </c>
      <c r="AU85">
        <f>SUMIF(ConfirmedRaw!$B:$B,$A85,ConfirmedRaw!AX:AX)</f>
        <v>1</v>
      </c>
      <c r="AV85">
        <f>SUMIF(ConfirmedRaw!$B:$B,$A85,ConfirmedRaw!AY:AY)</f>
        <v>4</v>
      </c>
      <c r="AW85">
        <f>SUMIF(ConfirmedRaw!$B:$B,$A85,ConfirmedRaw!AZ:AZ)</f>
        <v>4</v>
      </c>
      <c r="AX85">
        <f>SUMIF(ConfirmedRaw!$B:$B,$A85,ConfirmedRaw!BA:BA)</f>
        <v>5</v>
      </c>
      <c r="AY85">
        <f>SUMIF(ConfirmedRaw!$B:$B,$A85,ConfirmedRaw!BB:BB)</f>
        <v>7</v>
      </c>
      <c r="AZ85">
        <f>SUMIF(ConfirmedRaw!$B:$B,$A85,ConfirmedRaw!BC:BC)</f>
        <v>7</v>
      </c>
      <c r="BA85">
        <f>SUMIF(ConfirmedRaw!$B:$B,$A85,ConfirmedRaw!BD:BD)</f>
        <v>7</v>
      </c>
      <c r="BB85">
        <f>SUMIF(ConfirmedRaw!$B:$B,$A85,ConfirmedRaw!BE:BE)</f>
        <v>11</v>
      </c>
      <c r="BC85">
        <f>SUMIF(ConfirmedRaw!$B:$B,$A85,ConfirmedRaw!BF:BF)</f>
        <v>16</v>
      </c>
      <c r="BD85">
        <f>SUMIF(ConfirmedRaw!$B:$B,$A85,ConfirmedRaw!BG:BG)</f>
        <v>21</v>
      </c>
      <c r="BE85">
        <f>SUMIF(ConfirmedRaw!$B:$B,$A85,ConfirmedRaw!BH:BH)</f>
        <v>22</v>
      </c>
      <c r="BF85">
        <f>SUMIF(ConfirmedRaw!$B:$B,$A85,ConfirmedRaw!BI:BI)</f>
        <v>22</v>
      </c>
      <c r="BG85">
        <f>SUMIF(ConfirmedRaw!$B:$B,$A85,ConfirmedRaw!BJ:BJ)</f>
        <v>0</v>
      </c>
      <c r="BH85">
        <f>SUMIF(ConfirmedRaw!$B:$B,$A85,ConfirmedRaw!BK:BK)</f>
        <v>0</v>
      </c>
      <c r="BI85">
        <f>SUMIF(ConfirmedRaw!$B:$B,$A85,ConfirmedRaw!BL:BL)</f>
        <v>0</v>
      </c>
      <c r="BJ85">
        <f>SUMIF(ConfirmedRaw!$B:$B,$A85,ConfirmedRaw!BM:BM)</f>
        <v>0</v>
      </c>
      <c r="BK85">
        <f>SUMIF(ConfirmedRaw!$B:$B,$A85,ConfirmedRaw!BN:BN)</f>
        <v>0</v>
      </c>
      <c r="BL85">
        <f>SUMIF(ConfirmedRaw!$B:$B,$A85,ConfirmedRaw!BO:BO)</f>
        <v>0</v>
      </c>
      <c r="BM85">
        <f>SUMIF(ConfirmedRaw!$B:$B,$A85,ConfirmedRaw!BP:BP)</f>
        <v>0</v>
      </c>
      <c r="BN85">
        <f>SUMIF(ConfirmedRaw!$B:$B,$A85,ConfirmedRaw!BQ:BQ)</f>
        <v>0</v>
      </c>
      <c r="BO85">
        <f>SUMIF(ConfirmedRaw!$B:$B,$A85,ConfirmedRaw!BR:BR)</f>
        <v>0</v>
      </c>
      <c r="BP85">
        <f>SUMIF(ConfirmedRaw!$B:$B,$A85,ConfirmedRaw!BS:BS)</f>
        <v>0</v>
      </c>
      <c r="BQ85">
        <f>SUMIF(ConfirmedRaw!$B:$B,$A85,ConfirmedRaw!BT:BT)</f>
        <v>0</v>
      </c>
      <c r="BR85">
        <f>SUMIF(ConfirmedRaw!$B:$B,$A85,ConfirmedRaw!BU:BU)</f>
        <v>0</v>
      </c>
      <c r="BS85">
        <f>SUMIF(ConfirmedRaw!$B:$B,$A85,ConfirmedRaw!BV:BV)</f>
        <v>0</v>
      </c>
      <c r="BT85">
        <f>SUMIF(ConfirmedRaw!$B:$B,$A85,ConfirmedRaw!BW:BW)</f>
        <v>0</v>
      </c>
    </row>
    <row r="86" spans="1:72" ht="15" thickBot="1" x14ac:dyDescent="0.35">
      <c r="A86" s="3" t="s">
        <v>112</v>
      </c>
      <c r="B86">
        <f>SUMIF(ConfirmedRaw!$B:$B,$A86,ConfirmedRaw!E:E)</f>
        <v>0</v>
      </c>
      <c r="C86">
        <f>SUMIF(ConfirmedRaw!$B:$B,$A86,ConfirmedRaw!F:F)</f>
        <v>0</v>
      </c>
      <c r="D86">
        <f>SUMIF(ConfirmedRaw!$B:$B,$A86,ConfirmedRaw!G:G)</f>
        <v>0</v>
      </c>
      <c r="E86">
        <f>SUMIF(ConfirmedRaw!$B:$B,$A86,ConfirmedRaw!H:H)</f>
        <v>0</v>
      </c>
      <c r="F86">
        <f>SUMIF(ConfirmedRaw!$B:$B,$A86,ConfirmedRaw!I:I)</f>
        <v>0</v>
      </c>
      <c r="G86">
        <f>SUMIF(ConfirmedRaw!$B:$B,$A86,ConfirmedRaw!J:J)</f>
        <v>0</v>
      </c>
      <c r="H86">
        <f>SUMIF(ConfirmedRaw!$B:$B,$A86,ConfirmedRaw!K:K)</f>
        <v>0</v>
      </c>
      <c r="I86">
        <f>SUMIF(ConfirmedRaw!$B:$B,$A86,ConfirmedRaw!L:L)</f>
        <v>0</v>
      </c>
      <c r="J86">
        <f>SUMIF(ConfirmedRaw!$B:$B,$A86,ConfirmedRaw!M:M)</f>
        <v>0</v>
      </c>
      <c r="K86">
        <f>SUMIF(ConfirmedRaw!$B:$B,$A86,ConfirmedRaw!N:N)</f>
        <v>0</v>
      </c>
      <c r="L86">
        <f>SUMIF(ConfirmedRaw!$B:$B,$A86,ConfirmedRaw!O:O)</f>
        <v>0</v>
      </c>
      <c r="M86">
        <f>SUMIF(ConfirmedRaw!$B:$B,$A86,ConfirmedRaw!P:P)</f>
        <v>0</v>
      </c>
      <c r="N86">
        <f>SUMIF(ConfirmedRaw!$B:$B,$A86,ConfirmedRaw!Q:Q)</f>
        <v>0</v>
      </c>
      <c r="O86">
        <f>SUMIF(ConfirmedRaw!$B:$B,$A86,ConfirmedRaw!R:R)</f>
        <v>0</v>
      </c>
      <c r="P86">
        <f>SUMIF(ConfirmedRaw!$B:$B,$A86,ConfirmedRaw!S:S)</f>
        <v>0</v>
      </c>
      <c r="Q86">
        <f>SUMIF(ConfirmedRaw!$B:$B,$A86,ConfirmedRaw!T:T)</f>
        <v>0</v>
      </c>
      <c r="R86">
        <f>SUMIF(ConfirmedRaw!$B:$B,$A86,ConfirmedRaw!U:U)</f>
        <v>0</v>
      </c>
      <c r="S86">
        <f>SUMIF(ConfirmedRaw!$B:$B,$A86,ConfirmedRaw!V:V)</f>
        <v>0</v>
      </c>
      <c r="T86">
        <f>SUMIF(ConfirmedRaw!$B:$B,$A86,ConfirmedRaw!W:W)</f>
        <v>0</v>
      </c>
      <c r="U86">
        <f>SUMIF(ConfirmedRaw!$B:$B,$A86,ConfirmedRaw!X:X)</f>
        <v>0</v>
      </c>
      <c r="V86">
        <f>SUMIF(ConfirmedRaw!$B:$B,$A86,ConfirmedRaw!Y:Y)</f>
        <v>0</v>
      </c>
      <c r="W86">
        <f>SUMIF(ConfirmedRaw!$B:$B,$A86,ConfirmedRaw!Z:Z)</f>
        <v>0</v>
      </c>
      <c r="X86">
        <f>SUMIF(ConfirmedRaw!$B:$B,$A86,ConfirmedRaw!AA:AA)</f>
        <v>0</v>
      </c>
      <c r="Y86">
        <f>SUMIF(ConfirmedRaw!$B:$B,$A86,ConfirmedRaw!AB:AB)</f>
        <v>0</v>
      </c>
      <c r="Z86">
        <f>SUMIF(ConfirmedRaw!$B:$B,$A86,ConfirmedRaw!AC:AC)</f>
        <v>0</v>
      </c>
      <c r="AA86">
        <f>SUMIF(ConfirmedRaw!$B:$B,$A86,ConfirmedRaw!AD:AD)</f>
        <v>0</v>
      </c>
      <c r="AB86">
        <f>SUMIF(ConfirmedRaw!$B:$B,$A86,ConfirmedRaw!AE:AE)</f>
        <v>0</v>
      </c>
      <c r="AC86">
        <f>SUMIF(ConfirmedRaw!$B:$B,$A86,ConfirmedRaw!AF:AF)</f>
        <v>0</v>
      </c>
      <c r="AD86">
        <f>SUMIF(ConfirmedRaw!$B:$B,$A86,ConfirmedRaw!AG:AG)</f>
        <v>0</v>
      </c>
      <c r="AE86">
        <f>SUMIF(ConfirmedRaw!$B:$B,$A86,ConfirmedRaw!AH:AH)</f>
        <v>0</v>
      </c>
      <c r="AF86">
        <f>SUMIF(ConfirmedRaw!$B:$B,$A86,ConfirmedRaw!AI:AI)</f>
        <v>0</v>
      </c>
      <c r="AG86">
        <f>SUMIF(ConfirmedRaw!$B:$B,$A86,ConfirmedRaw!AJ:AJ)</f>
        <v>0</v>
      </c>
      <c r="AH86">
        <f>SUMIF(ConfirmedRaw!$B:$B,$A86,ConfirmedRaw!AK:AK)</f>
        <v>0</v>
      </c>
      <c r="AI86">
        <f>SUMIF(ConfirmedRaw!$B:$B,$A86,ConfirmedRaw!AL:AL)</f>
        <v>0</v>
      </c>
      <c r="AJ86">
        <f>SUMIF(ConfirmedRaw!$B:$B,$A86,ConfirmedRaw!AM:AM)</f>
        <v>0</v>
      </c>
      <c r="AK86">
        <f>SUMIF(ConfirmedRaw!$B:$B,$A86,ConfirmedRaw!AN:AN)</f>
        <v>0</v>
      </c>
      <c r="AL86">
        <f>SUMIF(ConfirmedRaw!$B:$B,$A86,ConfirmedRaw!AO:AO)</f>
        <v>0</v>
      </c>
      <c r="AM86">
        <f>SUMIF(ConfirmedRaw!$B:$B,$A86,ConfirmedRaw!AP:AP)</f>
        <v>0</v>
      </c>
      <c r="AN86">
        <f>SUMIF(ConfirmedRaw!$B:$B,$A86,ConfirmedRaw!AQ:AQ)</f>
        <v>0</v>
      </c>
      <c r="AO86">
        <f>SUMIF(ConfirmedRaw!$B:$B,$A86,ConfirmedRaw!AR:AR)</f>
        <v>0</v>
      </c>
      <c r="AP86">
        <f>SUMIF(ConfirmedRaw!$B:$B,$A86,ConfirmedRaw!AS:AS)</f>
        <v>1</v>
      </c>
      <c r="AQ86">
        <f>SUMIF(ConfirmedRaw!$B:$B,$A86,ConfirmedRaw!AT:AT)</f>
        <v>1</v>
      </c>
      <c r="AR86">
        <f>SUMIF(ConfirmedRaw!$B:$B,$A86,ConfirmedRaw!AU:AU)</f>
        <v>1</v>
      </c>
      <c r="AS86">
        <f>SUMIF(ConfirmedRaw!$B:$B,$A86,ConfirmedRaw!AV:AV)</f>
        <v>2</v>
      </c>
      <c r="AT86">
        <f>SUMIF(ConfirmedRaw!$B:$B,$A86,ConfirmedRaw!AW:AW)</f>
        <v>2</v>
      </c>
      <c r="AU86">
        <f>SUMIF(ConfirmedRaw!$B:$B,$A86,ConfirmedRaw!AX:AX)</f>
        <v>2</v>
      </c>
      <c r="AV86">
        <f>SUMIF(ConfirmedRaw!$B:$B,$A86,ConfirmedRaw!AY:AY)</f>
        <v>2</v>
      </c>
      <c r="AW86">
        <f>SUMIF(ConfirmedRaw!$B:$B,$A86,ConfirmedRaw!AZ:AZ)</f>
        <v>2</v>
      </c>
      <c r="AX86">
        <f>SUMIF(ConfirmedRaw!$B:$B,$A86,ConfirmedRaw!BA:BA)</f>
        <v>3</v>
      </c>
      <c r="AY86">
        <f>SUMIF(ConfirmedRaw!$B:$B,$A86,ConfirmedRaw!BB:BB)</f>
        <v>5</v>
      </c>
      <c r="AZ86">
        <f>SUMIF(ConfirmedRaw!$B:$B,$A86,ConfirmedRaw!BC:BC)</f>
        <v>6</v>
      </c>
      <c r="BA86">
        <f>SUMIF(ConfirmedRaw!$B:$B,$A86,ConfirmedRaw!BD:BD)</f>
        <v>7</v>
      </c>
      <c r="BB86">
        <f>SUMIF(ConfirmedRaw!$B:$B,$A86,ConfirmedRaw!BE:BE)</f>
        <v>17</v>
      </c>
      <c r="BC86">
        <f>SUMIF(ConfirmedRaw!$B:$B,$A86,ConfirmedRaw!BF:BF)</f>
        <v>28</v>
      </c>
      <c r="BD86">
        <f>SUMIF(ConfirmedRaw!$B:$B,$A86,ConfirmedRaw!BG:BG)</f>
        <v>29</v>
      </c>
      <c r="BE86">
        <f>SUMIF(ConfirmedRaw!$B:$B,$A86,ConfirmedRaw!BH:BH)</f>
        <v>38</v>
      </c>
      <c r="BF86">
        <f>SUMIF(ConfirmedRaw!$B:$B,$A86,ConfirmedRaw!BI:BI)</f>
        <v>49</v>
      </c>
      <c r="BG86">
        <f>SUMIF(ConfirmedRaw!$B:$B,$A86,ConfirmedRaw!BJ:BJ)</f>
        <v>0</v>
      </c>
      <c r="BH86">
        <f>SUMIF(ConfirmedRaw!$B:$B,$A86,ConfirmedRaw!BK:BK)</f>
        <v>0</v>
      </c>
      <c r="BI86">
        <f>SUMIF(ConfirmedRaw!$B:$B,$A86,ConfirmedRaw!BL:BL)</f>
        <v>0</v>
      </c>
      <c r="BJ86">
        <f>SUMIF(ConfirmedRaw!$B:$B,$A86,ConfirmedRaw!BM:BM)</f>
        <v>0</v>
      </c>
      <c r="BK86">
        <f>SUMIF(ConfirmedRaw!$B:$B,$A86,ConfirmedRaw!BN:BN)</f>
        <v>0</v>
      </c>
      <c r="BL86">
        <f>SUMIF(ConfirmedRaw!$B:$B,$A86,ConfirmedRaw!BO:BO)</f>
        <v>0</v>
      </c>
      <c r="BM86">
        <f>SUMIF(ConfirmedRaw!$B:$B,$A86,ConfirmedRaw!BP:BP)</f>
        <v>0</v>
      </c>
      <c r="BN86">
        <f>SUMIF(ConfirmedRaw!$B:$B,$A86,ConfirmedRaw!BQ:BQ)</f>
        <v>0</v>
      </c>
      <c r="BO86">
        <f>SUMIF(ConfirmedRaw!$B:$B,$A86,ConfirmedRaw!BR:BR)</f>
        <v>0</v>
      </c>
      <c r="BP86">
        <f>SUMIF(ConfirmedRaw!$B:$B,$A86,ConfirmedRaw!BS:BS)</f>
        <v>0</v>
      </c>
      <c r="BQ86">
        <f>SUMIF(ConfirmedRaw!$B:$B,$A86,ConfirmedRaw!BT:BT)</f>
        <v>0</v>
      </c>
      <c r="BR86">
        <f>SUMIF(ConfirmedRaw!$B:$B,$A86,ConfirmedRaw!BU:BU)</f>
        <v>0</v>
      </c>
      <c r="BS86">
        <f>SUMIF(ConfirmedRaw!$B:$B,$A86,ConfirmedRaw!BV:BV)</f>
        <v>0</v>
      </c>
      <c r="BT86">
        <f>SUMIF(ConfirmedRaw!$B:$B,$A86,ConfirmedRaw!BW:BW)</f>
        <v>0</v>
      </c>
    </row>
    <row r="87" spans="1:72" ht="15" thickBot="1" x14ac:dyDescent="0.35">
      <c r="A87" s="3" t="s">
        <v>93</v>
      </c>
      <c r="B87">
        <f>SUMIF(ConfirmedRaw!$B:$B,$A87,ConfirmedRaw!E:E)</f>
        <v>0</v>
      </c>
      <c r="C87">
        <f>SUMIF(ConfirmedRaw!$B:$B,$A87,ConfirmedRaw!F:F)</f>
        <v>0</v>
      </c>
      <c r="D87">
        <f>SUMIF(ConfirmedRaw!$B:$B,$A87,ConfirmedRaw!G:G)</f>
        <v>0</v>
      </c>
      <c r="E87">
        <f>SUMIF(ConfirmedRaw!$B:$B,$A87,ConfirmedRaw!H:H)</f>
        <v>0</v>
      </c>
      <c r="F87">
        <f>SUMIF(ConfirmedRaw!$B:$B,$A87,ConfirmedRaw!I:I)</f>
        <v>0</v>
      </c>
      <c r="G87">
        <f>SUMIF(ConfirmedRaw!$B:$B,$A87,ConfirmedRaw!J:J)</f>
        <v>0</v>
      </c>
      <c r="H87">
        <f>SUMIF(ConfirmedRaw!$B:$B,$A87,ConfirmedRaw!K:K)</f>
        <v>0</v>
      </c>
      <c r="I87">
        <f>SUMIF(ConfirmedRaw!$B:$B,$A87,ConfirmedRaw!L:L)</f>
        <v>0</v>
      </c>
      <c r="J87">
        <f>SUMIF(ConfirmedRaw!$B:$B,$A87,ConfirmedRaw!M:M)</f>
        <v>0</v>
      </c>
      <c r="K87">
        <f>SUMIF(ConfirmedRaw!$B:$B,$A87,ConfirmedRaw!N:N)</f>
        <v>0</v>
      </c>
      <c r="L87">
        <f>SUMIF(ConfirmedRaw!$B:$B,$A87,ConfirmedRaw!O:O)</f>
        <v>0</v>
      </c>
      <c r="M87">
        <f>SUMIF(ConfirmedRaw!$B:$B,$A87,ConfirmedRaw!P:P)</f>
        <v>0</v>
      </c>
      <c r="N87">
        <f>SUMIF(ConfirmedRaw!$B:$B,$A87,ConfirmedRaw!Q:Q)</f>
        <v>0</v>
      </c>
      <c r="O87">
        <f>SUMIF(ConfirmedRaw!$B:$B,$A87,ConfirmedRaw!R:R)</f>
        <v>0</v>
      </c>
      <c r="P87">
        <f>SUMIF(ConfirmedRaw!$B:$B,$A87,ConfirmedRaw!S:S)</f>
        <v>0</v>
      </c>
      <c r="Q87">
        <f>SUMIF(ConfirmedRaw!$B:$B,$A87,ConfirmedRaw!T:T)</f>
        <v>0</v>
      </c>
      <c r="R87">
        <f>SUMIF(ConfirmedRaw!$B:$B,$A87,ConfirmedRaw!U:U)</f>
        <v>0</v>
      </c>
      <c r="S87">
        <f>SUMIF(ConfirmedRaw!$B:$B,$A87,ConfirmedRaw!V:V)</f>
        <v>0</v>
      </c>
      <c r="T87">
        <f>SUMIF(ConfirmedRaw!$B:$B,$A87,ConfirmedRaw!W:W)</f>
        <v>0</v>
      </c>
      <c r="U87">
        <f>SUMIF(ConfirmedRaw!$B:$B,$A87,ConfirmedRaw!X:X)</f>
        <v>0</v>
      </c>
      <c r="V87">
        <f>SUMIF(ConfirmedRaw!$B:$B,$A87,ConfirmedRaw!Y:Y)</f>
        <v>0</v>
      </c>
      <c r="W87">
        <f>SUMIF(ConfirmedRaw!$B:$B,$A87,ConfirmedRaw!Z:Z)</f>
        <v>0</v>
      </c>
      <c r="X87">
        <f>SUMIF(ConfirmedRaw!$B:$B,$A87,ConfirmedRaw!AA:AA)</f>
        <v>0</v>
      </c>
      <c r="Y87">
        <f>SUMIF(ConfirmedRaw!$B:$B,$A87,ConfirmedRaw!AB:AB)</f>
        <v>0</v>
      </c>
      <c r="Z87">
        <f>SUMIF(ConfirmedRaw!$B:$B,$A87,ConfirmedRaw!AC:AC)</f>
        <v>0</v>
      </c>
      <c r="AA87">
        <f>SUMIF(ConfirmedRaw!$B:$B,$A87,ConfirmedRaw!AD:AD)</f>
        <v>0</v>
      </c>
      <c r="AB87">
        <f>SUMIF(ConfirmedRaw!$B:$B,$A87,ConfirmedRaw!AE:AE)</f>
        <v>0</v>
      </c>
      <c r="AC87">
        <f>SUMIF(ConfirmedRaw!$B:$B,$A87,ConfirmedRaw!AF:AF)</f>
        <v>0</v>
      </c>
      <c r="AD87">
        <f>SUMIF(ConfirmedRaw!$B:$B,$A87,ConfirmedRaw!AG:AG)</f>
        <v>0</v>
      </c>
      <c r="AE87">
        <f>SUMIF(ConfirmedRaw!$B:$B,$A87,ConfirmedRaw!AH:AH)</f>
        <v>0</v>
      </c>
      <c r="AF87">
        <f>SUMIF(ConfirmedRaw!$B:$B,$A87,ConfirmedRaw!AI:AI)</f>
        <v>0</v>
      </c>
      <c r="AG87">
        <f>SUMIF(ConfirmedRaw!$B:$B,$A87,ConfirmedRaw!AJ:AJ)</f>
        <v>0</v>
      </c>
      <c r="AH87">
        <f>SUMIF(ConfirmedRaw!$B:$B,$A87,ConfirmedRaw!AK:AK)</f>
        <v>0</v>
      </c>
      <c r="AI87">
        <f>SUMIF(ConfirmedRaw!$B:$B,$A87,ConfirmedRaw!AL:AL)</f>
        <v>0</v>
      </c>
      <c r="AJ87">
        <f>SUMIF(ConfirmedRaw!$B:$B,$A87,ConfirmedRaw!AM:AM)</f>
        <v>0</v>
      </c>
      <c r="AK87">
        <f>SUMIF(ConfirmedRaw!$B:$B,$A87,ConfirmedRaw!AN:AN)</f>
        <v>0</v>
      </c>
      <c r="AL87">
        <f>SUMIF(ConfirmedRaw!$B:$B,$A87,ConfirmedRaw!AO:AO)</f>
        <v>0</v>
      </c>
      <c r="AM87">
        <f>SUMIF(ConfirmedRaw!$B:$B,$A87,ConfirmedRaw!AP:AP)</f>
        <v>1</v>
      </c>
      <c r="AN87">
        <f>SUMIF(ConfirmedRaw!$B:$B,$A87,ConfirmedRaw!AQ:AQ)</f>
        <v>1</v>
      </c>
      <c r="AO87">
        <f>SUMIF(ConfirmedRaw!$B:$B,$A87,ConfirmedRaw!AR:AR)</f>
        <v>1</v>
      </c>
      <c r="AP87">
        <f>SUMIF(ConfirmedRaw!$B:$B,$A87,ConfirmedRaw!AS:AS)</f>
        <v>1</v>
      </c>
      <c r="AQ87">
        <f>SUMIF(ConfirmedRaw!$B:$B,$A87,ConfirmedRaw!AT:AT)</f>
        <v>1</v>
      </c>
      <c r="AR87">
        <f>SUMIF(ConfirmedRaw!$B:$B,$A87,ConfirmedRaw!AU:AU)</f>
        <v>1</v>
      </c>
      <c r="AS87">
        <f>SUMIF(ConfirmedRaw!$B:$B,$A87,ConfirmedRaw!AV:AV)</f>
        <v>1</v>
      </c>
      <c r="AT87">
        <f>SUMIF(ConfirmedRaw!$B:$B,$A87,ConfirmedRaw!AW:AW)</f>
        <v>1</v>
      </c>
      <c r="AU87">
        <f>SUMIF(ConfirmedRaw!$B:$B,$A87,ConfirmedRaw!AX:AX)</f>
        <v>1</v>
      </c>
      <c r="AV87">
        <f>SUMIF(ConfirmedRaw!$B:$B,$A87,ConfirmedRaw!AY:AY)</f>
        <v>1</v>
      </c>
      <c r="AW87">
        <f>SUMIF(ConfirmedRaw!$B:$B,$A87,ConfirmedRaw!AZ:AZ)</f>
        <v>1</v>
      </c>
      <c r="AX87">
        <f>SUMIF(ConfirmedRaw!$B:$B,$A87,ConfirmedRaw!BA:BA)</f>
        <v>1</v>
      </c>
      <c r="AY87">
        <f>SUMIF(ConfirmedRaw!$B:$B,$A87,ConfirmedRaw!BB:BB)</f>
        <v>3</v>
      </c>
      <c r="AZ87">
        <f>SUMIF(ConfirmedRaw!$B:$B,$A87,ConfirmedRaw!BC:BC)</f>
        <v>3</v>
      </c>
      <c r="BA87">
        <f>SUMIF(ConfirmedRaw!$B:$B,$A87,ConfirmedRaw!BD:BD)</f>
        <v>6</v>
      </c>
      <c r="BB87">
        <f>SUMIF(ConfirmedRaw!$B:$B,$A87,ConfirmedRaw!BE:BE)</f>
        <v>8</v>
      </c>
      <c r="BC87">
        <f>SUMIF(ConfirmedRaw!$B:$B,$A87,ConfirmedRaw!BF:BF)</f>
        <v>12</v>
      </c>
      <c r="BD87">
        <f>SUMIF(ConfirmedRaw!$B:$B,$A87,ConfirmedRaw!BG:BG)</f>
        <v>17</v>
      </c>
      <c r="BE87">
        <f>SUMIF(ConfirmedRaw!$B:$B,$A87,ConfirmedRaw!BH:BH)</f>
        <v>25</v>
      </c>
      <c r="BF87">
        <f>SUMIF(ConfirmedRaw!$B:$B,$A87,ConfirmedRaw!BI:BI)</f>
        <v>27</v>
      </c>
      <c r="BG87">
        <f>SUMIF(ConfirmedRaw!$B:$B,$A87,ConfirmedRaw!BJ:BJ)</f>
        <v>0</v>
      </c>
      <c r="BH87">
        <f>SUMIF(ConfirmedRaw!$B:$B,$A87,ConfirmedRaw!BK:BK)</f>
        <v>0</v>
      </c>
      <c r="BI87">
        <f>SUMIF(ConfirmedRaw!$B:$B,$A87,ConfirmedRaw!BL:BL)</f>
        <v>0</v>
      </c>
      <c r="BJ87">
        <f>SUMIF(ConfirmedRaw!$B:$B,$A87,ConfirmedRaw!BM:BM)</f>
        <v>0</v>
      </c>
      <c r="BK87">
        <f>SUMIF(ConfirmedRaw!$B:$B,$A87,ConfirmedRaw!BN:BN)</f>
        <v>0</v>
      </c>
      <c r="BL87">
        <f>SUMIF(ConfirmedRaw!$B:$B,$A87,ConfirmedRaw!BO:BO)</f>
        <v>0</v>
      </c>
      <c r="BM87">
        <f>SUMIF(ConfirmedRaw!$B:$B,$A87,ConfirmedRaw!BP:BP)</f>
        <v>0</v>
      </c>
      <c r="BN87">
        <f>SUMIF(ConfirmedRaw!$B:$B,$A87,ConfirmedRaw!BQ:BQ)</f>
        <v>0</v>
      </c>
      <c r="BO87">
        <f>SUMIF(ConfirmedRaw!$B:$B,$A87,ConfirmedRaw!BR:BR)</f>
        <v>0</v>
      </c>
      <c r="BP87">
        <f>SUMIF(ConfirmedRaw!$B:$B,$A87,ConfirmedRaw!BS:BS)</f>
        <v>0</v>
      </c>
      <c r="BQ87">
        <f>SUMIF(ConfirmedRaw!$B:$B,$A87,ConfirmedRaw!BT:BT)</f>
        <v>0</v>
      </c>
      <c r="BR87">
        <f>SUMIF(ConfirmedRaw!$B:$B,$A87,ConfirmedRaw!BU:BU)</f>
        <v>0</v>
      </c>
      <c r="BS87">
        <f>SUMIF(ConfirmedRaw!$B:$B,$A87,ConfirmedRaw!BV:BV)</f>
        <v>0</v>
      </c>
      <c r="BT87">
        <f>SUMIF(ConfirmedRaw!$B:$B,$A87,ConfirmedRaw!BW:BW)</f>
        <v>0</v>
      </c>
    </row>
    <row r="88" spans="1:72" ht="15" thickBot="1" x14ac:dyDescent="0.35">
      <c r="A88" s="4" t="s">
        <v>345</v>
      </c>
      <c r="B88">
        <f>SUMIF(ConfirmedRaw!$B:$B,$A88,ConfirmedRaw!E:E)</f>
        <v>0</v>
      </c>
      <c r="C88">
        <f>SUMIF(ConfirmedRaw!$B:$B,$A88,ConfirmedRaw!F:F)</f>
        <v>0</v>
      </c>
      <c r="D88">
        <f>SUMIF(ConfirmedRaw!$B:$B,$A88,ConfirmedRaw!G:G)</f>
        <v>0</v>
      </c>
      <c r="E88">
        <f>SUMIF(ConfirmedRaw!$B:$B,$A88,ConfirmedRaw!H:H)</f>
        <v>0</v>
      </c>
      <c r="F88">
        <f>SUMIF(ConfirmedRaw!$B:$B,$A88,ConfirmedRaw!I:I)</f>
        <v>0</v>
      </c>
      <c r="G88">
        <f>SUMIF(ConfirmedRaw!$B:$B,$A88,ConfirmedRaw!J:J)</f>
        <v>0</v>
      </c>
      <c r="H88">
        <f>SUMIF(ConfirmedRaw!$B:$B,$A88,ConfirmedRaw!K:K)</f>
        <v>0</v>
      </c>
      <c r="I88">
        <f>SUMIF(ConfirmedRaw!$B:$B,$A88,ConfirmedRaw!L:L)</f>
        <v>0</v>
      </c>
      <c r="J88">
        <f>SUMIF(ConfirmedRaw!$B:$B,$A88,ConfirmedRaw!M:M)</f>
        <v>0</v>
      </c>
      <c r="K88">
        <f>SUMIF(ConfirmedRaw!$B:$B,$A88,ConfirmedRaw!N:N)</f>
        <v>0</v>
      </c>
      <c r="L88">
        <f>SUMIF(ConfirmedRaw!$B:$B,$A88,ConfirmedRaw!O:O)</f>
        <v>0</v>
      </c>
      <c r="M88">
        <f>SUMIF(ConfirmedRaw!$B:$B,$A88,ConfirmedRaw!P:P)</f>
        <v>0</v>
      </c>
      <c r="N88">
        <f>SUMIF(ConfirmedRaw!$B:$B,$A88,ConfirmedRaw!Q:Q)</f>
        <v>0</v>
      </c>
      <c r="O88">
        <f>SUMIF(ConfirmedRaw!$B:$B,$A88,ConfirmedRaw!R:R)</f>
        <v>0</v>
      </c>
      <c r="P88">
        <f>SUMIF(ConfirmedRaw!$B:$B,$A88,ConfirmedRaw!S:S)</f>
        <v>0</v>
      </c>
      <c r="Q88">
        <f>SUMIF(ConfirmedRaw!$B:$B,$A88,ConfirmedRaw!T:T)</f>
        <v>0</v>
      </c>
      <c r="R88">
        <f>SUMIF(ConfirmedRaw!$B:$B,$A88,ConfirmedRaw!U:U)</f>
        <v>0</v>
      </c>
      <c r="S88">
        <f>SUMIF(ConfirmedRaw!$B:$B,$A88,ConfirmedRaw!V:V)</f>
        <v>0</v>
      </c>
      <c r="T88">
        <f>SUMIF(ConfirmedRaw!$B:$B,$A88,ConfirmedRaw!W:W)</f>
        <v>0</v>
      </c>
      <c r="U88">
        <f>SUMIF(ConfirmedRaw!$B:$B,$A88,ConfirmedRaw!X:X)</f>
        <v>0</v>
      </c>
      <c r="V88">
        <f>SUMIF(ConfirmedRaw!$B:$B,$A88,ConfirmedRaw!Y:Y)</f>
        <v>0</v>
      </c>
      <c r="W88">
        <f>SUMIF(ConfirmedRaw!$B:$B,$A88,ConfirmedRaw!Z:Z)</f>
        <v>0</v>
      </c>
      <c r="X88">
        <f>SUMIF(ConfirmedRaw!$B:$B,$A88,ConfirmedRaw!AA:AA)</f>
        <v>0</v>
      </c>
      <c r="Y88">
        <f>SUMIF(ConfirmedRaw!$B:$B,$A88,ConfirmedRaw!AB:AB)</f>
        <v>0</v>
      </c>
      <c r="Z88">
        <f>SUMIF(ConfirmedRaw!$B:$B,$A88,ConfirmedRaw!AC:AC)</f>
        <v>0</v>
      </c>
      <c r="AA88">
        <f>SUMIF(ConfirmedRaw!$B:$B,$A88,ConfirmedRaw!AD:AD)</f>
        <v>0</v>
      </c>
      <c r="AB88">
        <f>SUMIF(ConfirmedRaw!$B:$B,$A88,ConfirmedRaw!AE:AE)</f>
        <v>0</v>
      </c>
      <c r="AC88">
        <f>SUMIF(ConfirmedRaw!$B:$B,$A88,ConfirmedRaw!AF:AF)</f>
        <v>0</v>
      </c>
      <c r="AD88">
        <f>SUMIF(ConfirmedRaw!$B:$B,$A88,ConfirmedRaw!AG:AG)</f>
        <v>0</v>
      </c>
      <c r="AE88">
        <f>SUMIF(ConfirmedRaw!$B:$B,$A88,ConfirmedRaw!AH:AH)</f>
        <v>0</v>
      </c>
      <c r="AF88">
        <f>SUMIF(ConfirmedRaw!$B:$B,$A88,ConfirmedRaw!AI:AI)</f>
        <v>0</v>
      </c>
      <c r="AG88">
        <f>SUMIF(ConfirmedRaw!$B:$B,$A88,ConfirmedRaw!AJ:AJ)</f>
        <v>0</v>
      </c>
      <c r="AH88">
        <f>SUMIF(ConfirmedRaw!$B:$B,$A88,ConfirmedRaw!AK:AK)</f>
        <v>0</v>
      </c>
      <c r="AI88">
        <f>SUMIF(ConfirmedRaw!$B:$B,$A88,ConfirmedRaw!AL:AL)</f>
        <v>0</v>
      </c>
      <c r="AJ88">
        <f>SUMIF(ConfirmedRaw!$B:$B,$A88,ConfirmedRaw!AM:AM)</f>
        <v>0</v>
      </c>
      <c r="AK88">
        <f>SUMIF(ConfirmedRaw!$B:$B,$A88,ConfirmedRaw!AN:AN)</f>
        <v>0</v>
      </c>
      <c r="AL88">
        <f>SUMIF(ConfirmedRaw!$B:$B,$A88,ConfirmedRaw!AO:AO)</f>
        <v>0</v>
      </c>
      <c r="AM88">
        <f>SUMIF(ConfirmedRaw!$B:$B,$A88,ConfirmedRaw!AP:AP)</f>
        <v>0</v>
      </c>
      <c r="AN88">
        <f>SUMIF(ConfirmedRaw!$B:$B,$A88,ConfirmedRaw!AQ:AQ)</f>
        <v>0</v>
      </c>
      <c r="AO88">
        <f>SUMIF(ConfirmedRaw!$B:$B,$A88,ConfirmedRaw!AR:AR)</f>
        <v>0</v>
      </c>
      <c r="AP88">
        <f>SUMIF(ConfirmedRaw!$B:$B,$A88,ConfirmedRaw!AS:AS)</f>
        <v>0</v>
      </c>
      <c r="AQ88">
        <f>SUMIF(ConfirmedRaw!$B:$B,$A88,ConfirmedRaw!AT:AT)</f>
        <v>0</v>
      </c>
      <c r="AR88">
        <f>SUMIF(ConfirmedRaw!$B:$B,$A88,ConfirmedRaw!AU:AU)</f>
        <v>0</v>
      </c>
      <c r="AS88">
        <f>SUMIF(ConfirmedRaw!$B:$B,$A88,ConfirmedRaw!AV:AV)</f>
        <v>0</v>
      </c>
      <c r="AT88">
        <f>SUMIF(ConfirmedRaw!$B:$B,$A88,ConfirmedRaw!AW:AW)</f>
        <v>0</v>
      </c>
      <c r="AU88">
        <f>SUMIF(ConfirmedRaw!$B:$B,$A88,ConfirmedRaw!AX:AX)</f>
        <v>0</v>
      </c>
      <c r="AV88">
        <f>SUMIF(ConfirmedRaw!$B:$B,$A88,ConfirmedRaw!AY:AY)</f>
        <v>1</v>
      </c>
      <c r="AW88">
        <f>SUMIF(ConfirmedRaw!$B:$B,$A88,ConfirmedRaw!AZ:AZ)</f>
        <v>1</v>
      </c>
      <c r="AX88">
        <f>SUMIF(ConfirmedRaw!$B:$B,$A88,ConfirmedRaw!BA:BA)</f>
        <v>3</v>
      </c>
      <c r="AY88">
        <f>SUMIF(ConfirmedRaw!$B:$B,$A88,ConfirmedRaw!BB:BB)</f>
        <v>3</v>
      </c>
      <c r="AZ88">
        <f>SUMIF(ConfirmedRaw!$B:$B,$A88,ConfirmedRaw!BC:BC)</f>
        <v>3</v>
      </c>
      <c r="BA88">
        <f>SUMIF(ConfirmedRaw!$B:$B,$A88,ConfirmedRaw!BD:BD)</f>
        <v>6</v>
      </c>
      <c r="BB88">
        <f>SUMIF(ConfirmedRaw!$B:$B,$A88,ConfirmedRaw!BE:BE)</f>
        <v>12</v>
      </c>
      <c r="BC88">
        <f>SUMIF(ConfirmedRaw!$B:$B,$A88,ConfirmedRaw!BF:BF)</f>
        <v>23</v>
      </c>
      <c r="BD88">
        <f>SUMIF(ConfirmedRaw!$B:$B,$A88,ConfirmedRaw!BG:BG)</f>
        <v>23</v>
      </c>
      <c r="BE88">
        <f>SUMIF(ConfirmedRaw!$B:$B,$A88,ConfirmedRaw!BH:BH)</f>
        <v>30</v>
      </c>
      <c r="BF88">
        <f>SUMIF(ConfirmedRaw!$B:$B,$A88,ConfirmedRaw!BI:BI)</f>
        <v>30</v>
      </c>
      <c r="BG88">
        <f>SUMIF(ConfirmedRaw!$B:$B,$A88,ConfirmedRaw!BJ:BJ)</f>
        <v>0</v>
      </c>
      <c r="BH88">
        <f>SUMIF(ConfirmedRaw!$B:$B,$A88,ConfirmedRaw!BK:BK)</f>
        <v>0</v>
      </c>
      <c r="BI88">
        <f>SUMIF(ConfirmedRaw!$B:$B,$A88,ConfirmedRaw!BL:BL)</f>
        <v>0</v>
      </c>
      <c r="BJ88">
        <f>SUMIF(ConfirmedRaw!$B:$B,$A88,ConfirmedRaw!BM:BM)</f>
        <v>0</v>
      </c>
      <c r="BK88">
        <f>SUMIF(ConfirmedRaw!$B:$B,$A88,ConfirmedRaw!BN:BN)</f>
        <v>0</v>
      </c>
      <c r="BL88">
        <f>SUMIF(ConfirmedRaw!$B:$B,$A88,ConfirmedRaw!BO:BO)</f>
        <v>0</v>
      </c>
      <c r="BM88">
        <f>SUMIF(ConfirmedRaw!$B:$B,$A88,ConfirmedRaw!BP:BP)</f>
        <v>0</v>
      </c>
      <c r="BN88">
        <f>SUMIF(ConfirmedRaw!$B:$B,$A88,ConfirmedRaw!BQ:BQ)</f>
        <v>0</v>
      </c>
      <c r="BO88">
        <f>SUMIF(ConfirmedRaw!$B:$B,$A88,ConfirmedRaw!BR:BR)</f>
        <v>0</v>
      </c>
      <c r="BP88">
        <f>SUMIF(ConfirmedRaw!$B:$B,$A88,ConfirmedRaw!BS:BS)</f>
        <v>0</v>
      </c>
      <c r="BQ88">
        <f>SUMIF(ConfirmedRaw!$B:$B,$A88,ConfirmedRaw!BT:BT)</f>
        <v>0</v>
      </c>
      <c r="BR88">
        <f>SUMIF(ConfirmedRaw!$B:$B,$A88,ConfirmedRaw!BU:BU)</f>
        <v>0</v>
      </c>
      <c r="BS88">
        <f>SUMIF(ConfirmedRaw!$B:$B,$A88,ConfirmedRaw!BV:BV)</f>
        <v>0</v>
      </c>
      <c r="BT88">
        <f>SUMIF(ConfirmedRaw!$B:$B,$A88,ConfirmedRaw!BW:BW)</f>
        <v>0</v>
      </c>
    </row>
    <row r="89" spans="1:72" ht="15" thickBot="1" x14ac:dyDescent="0.35">
      <c r="A89" s="4" t="s">
        <v>206</v>
      </c>
      <c r="B89">
        <f>SUMIF(ConfirmedRaw!$B:$B,$A89,ConfirmedRaw!E:E)</f>
        <v>0</v>
      </c>
      <c r="C89">
        <f>SUMIF(ConfirmedRaw!$B:$B,$A89,ConfirmedRaw!F:F)</f>
        <v>0</v>
      </c>
      <c r="D89">
        <f>SUMIF(ConfirmedRaw!$B:$B,$A89,ConfirmedRaw!G:G)</f>
        <v>0</v>
      </c>
      <c r="E89">
        <f>SUMIF(ConfirmedRaw!$B:$B,$A89,ConfirmedRaw!H:H)</f>
        <v>0</v>
      </c>
      <c r="F89">
        <f>SUMIF(ConfirmedRaw!$B:$B,$A89,ConfirmedRaw!I:I)</f>
        <v>0</v>
      </c>
      <c r="G89">
        <f>SUMIF(ConfirmedRaw!$B:$B,$A89,ConfirmedRaw!J:J)</f>
        <v>0</v>
      </c>
      <c r="H89">
        <f>SUMIF(ConfirmedRaw!$B:$B,$A89,ConfirmedRaw!K:K)</f>
        <v>0</v>
      </c>
      <c r="I89">
        <f>SUMIF(ConfirmedRaw!$B:$B,$A89,ConfirmedRaw!L:L)</f>
        <v>0</v>
      </c>
      <c r="J89">
        <f>SUMIF(ConfirmedRaw!$B:$B,$A89,ConfirmedRaw!M:M)</f>
        <v>0</v>
      </c>
      <c r="K89">
        <f>SUMIF(ConfirmedRaw!$B:$B,$A89,ConfirmedRaw!N:N)</f>
        <v>0</v>
      </c>
      <c r="L89">
        <f>SUMIF(ConfirmedRaw!$B:$B,$A89,ConfirmedRaw!O:O)</f>
        <v>0</v>
      </c>
      <c r="M89">
        <f>SUMIF(ConfirmedRaw!$B:$B,$A89,ConfirmedRaw!P:P)</f>
        <v>0</v>
      </c>
      <c r="N89">
        <f>SUMIF(ConfirmedRaw!$B:$B,$A89,ConfirmedRaw!Q:Q)</f>
        <v>0</v>
      </c>
      <c r="O89">
        <f>SUMIF(ConfirmedRaw!$B:$B,$A89,ConfirmedRaw!R:R)</f>
        <v>0</v>
      </c>
      <c r="P89">
        <f>SUMIF(ConfirmedRaw!$B:$B,$A89,ConfirmedRaw!S:S)</f>
        <v>0</v>
      </c>
      <c r="Q89">
        <f>SUMIF(ConfirmedRaw!$B:$B,$A89,ConfirmedRaw!T:T)</f>
        <v>0</v>
      </c>
      <c r="R89">
        <f>SUMIF(ConfirmedRaw!$B:$B,$A89,ConfirmedRaw!U:U)</f>
        <v>0</v>
      </c>
      <c r="S89">
        <f>SUMIF(ConfirmedRaw!$B:$B,$A89,ConfirmedRaw!V:V)</f>
        <v>0</v>
      </c>
      <c r="T89">
        <f>SUMIF(ConfirmedRaw!$B:$B,$A89,ConfirmedRaw!W:W)</f>
        <v>0</v>
      </c>
      <c r="U89">
        <f>SUMIF(ConfirmedRaw!$B:$B,$A89,ConfirmedRaw!X:X)</f>
        <v>0</v>
      </c>
      <c r="V89">
        <f>SUMIF(ConfirmedRaw!$B:$B,$A89,ConfirmedRaw!Y:Y)</f>
        <v>0</v>
      </c>
      <c r="W89">
        <f>SUMIF(ConfirmedRaw!$B:$B,$A89,ConfirmedRaw!Z:Z)</f>
        <v>0</v>
      </c>
      <c r="X89">
        <f>SUMIF(ConfirmedRaw!$B:$B,$A89,ConfirmedRaw!AA:AA)</f>
        <v>0</v>
      </c>
      <c r="Y89">
        <f>SUMIF(ConfirmedRaw!$B:$B,$A89,ConfirmedRaw!AB:AB)</f>
        <v>0</v>
      </c>
      <c r="Z89">
        <f>SUMIF(ConfirmedRaw!$B:$B,$A89,ConfirmedRaw!AC:AC)</f>
        <v>0</v>
      </c>
      <c r="AA89">
        <f>SUMIF(ConfirmedRaw!$B:$B,$A89,ConfirmedRaw!AD:AD)</f>
        <v>0</v>
      </c>
      <c r="AB89">
        <f>SUMIF(ConfirmedRaw!$B:$B,$A89,ConfirmedRaw!AE:AE)</f>
        <v>0</v>
      </c>
      <c r="AC89">
        <f>SUMIF(ConfirmedRaw!$B:$B,$A89,ConfirmedRaw!AF:AF)</f>
        <v>0</v>
      </c>
      <c r="AD89">
        <f>SUMIF(ConfirmedRaw!$B:$B,$A89,ConfirmedRaw!AG:AG)</f>
        <v>0</v>
      </c>
      <c r="AE89">
        <f>SUMIF(ConfirmedRaw!$B:$B,$A89,ConfirmedRaw!AH:AH)</f>
        <v>0</v>
      </c>
      <c r="AF89">
        <f>SUMIF(ConfirmedRaw!$B:$B,$A89,ConfirmedRaw!AI:AI)</f>
        <v>0</v>
      </c>
      <c r="AG89">
        <f>SUMIF(ConfirmedRaw!$B:$B,$A89,ConfirmedRaw!AJ:AJ)</f>
        <v>0</v>
      </c>
      <c r="AH89">
        <f>SUMIF(ConfirmedRaw!$B:$B,$A89,ConfirmedRaw!AK:AK)</f>
        <v>0</v>
      </c>
      <c r="AI89">
        <f>SUMIF(ConfirmedRaw!$B:$B,$A89,ConfirmedRaw!AL:AL)</f>
        <v>0</v>
      </c>
      <c r="AJ89">
        <f>SUMIF(ConfirmedRaw!$B:$B,$A89,ConfirmedRaw!AM:AM)</f>
        <v>0</v>
      </c>
      <c r="AK89">
        <f>SUMIF(ConfirmedRaw!$B:$B,$A89,ConfirmedRaw!AN:AN)</f>
        <v>0</v>
      </c>
      <c r="AL89">
        <f>SUMIF(ConfirmedRaw!$B:$B,$A89,ConfirmedRaw!AO:AO)</f>
        <v>0</v>
      </c>
      <c r="AM89">
        <f>SUMIF(ConfirmedRaw!$B:$B,$A89,ConfirmedRaw!AP:AP)</f>
        <v>0</v>
      </c>
      <c r="AN89">
        <f>SUMIF(ConfirmedRaw!$B:$B,$A89,ConfirmedRaw!AQ:AQ)</f>
        <v>0</v>
      </c>
      <c r="AO89">
        <f>SUMIF(ConfirmedRaw!$B:$B,$A89,ConfirmedRaw!AR:AR)</f>
        <v>0</v>
      </c>
      <c r="AP89">
        <f>SUMIF(ConfirmedRaw!$B:$B,$A89,ConfirmedRaw!AS:AS)</f>
        <v>0</v>
      </c>
      <c r="AQ89">
        <f>SUMIF(ConfirmedRaw!$B:$B,$A89,ConfirmedRaw!AT:AT)</f>
        <v>0</v>
      </c>
      <c r="AR89">
        <f>SUMIF(ConfirmedRaw!$B:$B,$A89,ConfirmedRaw!AU:AU)</f>
        <v>0</v>
      </c>
      <c r="AS89">
        <f>SUMIF(ConfirmedRaw!$B:$B,$A89,ConfirmedRaw!AV:AV)</f>
        <v>0</v>
      </c>
      <c r="AT89">
        <f>SUMIF(ConfirmedRaw!$B:$B,$A89,ConfirmedRaw!AW:AW)</f>
        <v>0</v>
      </c>
      <c r="AU89">
        <f>SUMIF(ConfirmedRaw!$B:$B,$A89,ConfirmedRaw!AX:AX)</f>
        <v>0</v>
      </c>
      <c r="AV89">
        <f>SUMIF(ConfirmedRaw!$B:$B,$A89,ConfirmedRaw!AY:AY)</f>
        <v>1</v>
      </c>
      <c r="AW89">
        <f>SUMIF(ConfirmedRaw!$B:$B,$A89,ConfirmedRaw!AZ:AZ)</f>
        <v>1</v>
      </c>
      <c r="AX89">
        <f>SUMIF(ConfirmedRaw!$B:$B,$A89,ConfirmedRaw!BA:BA)</f>
        <v>1</v>
      </c>
      <c r="AY89">
        <f>SUMIF(ConfirmedRaw!$B:$B,$A89,ConfirmedRaw!BB:BB)</f>
        <v>5</v>
      </c>
      <c r="AZ89">
        <f>SUMIF(ConfirmedRaw!$B:$B,$A89,ConfirmedRaw!BC:BC)</f>
        <v>5</v>
      </c>
      <c r="BA89">
        <f>SUMIF(ConfirmedRaw!$B:$B,$A89,ConfirmedRaw!BD:BD)</f>
        <v>6</v>
      </c>
      <c r="BB89">
        <f>SUMIF(ConfirmedRaw!$B:$B,$A89,ConfirmedRaw!BE:BE)</f>
        <v>6</v>
      </c>
      <c r="BC89">
        <f>SUMIF(ConfirmedRaw!$B:$B,$A89,ConfirmedRaw!BF:BF)</f>
        <v>6</v>
      </c>
      <c r="BD89">
        <f>SUMIF(ConfirmedRaw!$B:$B,$A89,ConfirmedRaw!BG:BG)</f>
        <v>8</v>
      </c>
      <c r="BE89">
        <f>SUMIF(ConfirmedRaw!$B:$B,$A89,ConfirmedRaw!BH:BH)</f>
        <v>9</v>
      </c>
      <c r="BF89">
        <f>SUMIF(ConfirmedRaw!$B:$B,$A89,ConfirmedRaw!BI:BI)</f>
        <v>11</v>
      </c>
      <c r="BG89">
        <f>SUMIF(ConfirmedRaw!$B:$B,$A89,ConfirmedRaw!BJ:BJ)</f>
        <v>0</v>
      </c>
      <c r="BH89">
        <f>SUMIF(ConfirmedRaw!$B:$B,$A89,ConfirmedRaw!BK:BK)</f>
        <v>0</v>
      </c>
      <c r="BI89">
        <f>SUMIF(ConfirmedRaw!$B:$B,$A89,ConfirmedRaw!BL:BL)</f>
        <v>0</v>
      </c>
      <c r="BJ89">
        <f>SUMIF(ConfirmedRaw!$B:$B,$A89,ConfirmedRaw!BM:BM)</f>
        <v>0</v>
      </c>
      <c r="BK89">
        <f>SUMIF(ConfirmedRaw!$B:$B,$A89,ConfirmedRaw!BN:BN)</f>
        <v>0</v>
      </c>
      <c r="BL89">
        <f>SUMIF(ConfirmedRaw!$B:$B,$A89,ConfirmedRaw!BO:BO)</f>
        <v>0</v>
      </c>
      <c r="BM89">
        <f>SUMIF(ConfirmedRaw!$B:$B,$A89,ConfirmedRaw!BP:BP)</f>
        <v>0</v>
      </c>
      <c r="BN89">
        <f>SUMIF(ConfirmedRaw!$B:$B,$A89,ConfirmedRaw!BQ:BQ)</f>
        <v>0</v>
      </c>
      <c r="BO89">
        <f>SUMIF(ConfirmedRaw!$B:$B,$A89,ConfirmedRaw!BR:BR)</f>
        <v>0</v>
      </c>
      <c r="BP89">
        <f>SUMIF(ConfirmedRaw!$B:$B,$A89,ConfirmedRaw!BS:BS)</f>
        <v>0</v>
      </c>
      <c r="BQ89">
        <f>SUMIF(ConfirmedRaw!$B:$B,$A89,ConfirmedRaw!BT:BT)</f>
        <v>0</v>
      </c>
      <c r="BR89">
        <f>SUMIF(ConfirmedRaw!$B:$B,$A89,ConfirmedRaw!BU:BU)</f>
        <v>0</v>
      </c>
      <c r="BS89">
        <f>SUMIF(ConfirmedRaw!$B:$B,$A89,ConfirmedRaw!BV:BV)</f>
        <v>0</v>
      </c>
      <c r="BT89">
        <f>SUMIF(ConfirmedRaw!$B:$B,$A89,ConfirmedRaw!BW:BW)</f>
        <v>0</v>
      </c>
    </row>
    <row r="90" spans="1:72" ht="15" thickBot="1" x14ac:dyDescent="0.35">
      <c r="A90" s="3" t="s">
        <v>52</v>
      </c>
      <c r="B90">
        <f>SUMIF(ConfirmedRaw!$B:$B,$A90,ConfirmedRaw!E:E)</f>
        <v>0</v>
      </c>
      <c r="C90">
        <f>SUMIF(ConfirmedRaw!$B:$B,$A90,ConfirmedRaw!F:F)</f>
        <v>0</v>
      </c>
      <c r="D90">
        <f>SUMIF(ConfirmedRaw!$B:$B,$A90,ConfirmedRaw!G:G)</f>
        <v>0</v>
      </c>
      <c r="E90">
        <f>SUMIF(ConfirmedRaw!$B:$B,$A90,ConfirmedRaw!H:H)</f>
        <v>0</v>
      </c>
      <c r="F90">
        <f>SUMIF(ConfirmedRaw!$B:$B,$A90,ConfirmedRaw!I:I)</f>
        <v>0</v>
      </c>
      <c r="G90">
        <f>SUMIF(ConfirmedRaw!$B:$B,$A90,ConfirmedRaw!J:J)</f>
        <v>1</v>
      </c>
      <c r="H90">
        <f>SUMIF(ConfirmedRaw!$B:$B,$A90,ConfirmedRaw!K:K)</f>
        <v>1</v>
      </c>
      <c r="I90">
        <f>SUMIF(ConfirmedRaw!$B:$B,$A90,ConfirmedRaw!L:L)</f>
        <v>1</v>
      </c>
      <c r="J90">
        <f>SUMIF(ConfirmedRaw!$B:$B,$A90,ConfirmedRaw!M:M)</f>
        <v>1</v>
      </c>
      <c r="K90">
        <f>SUMIF(ConfirmedRaw!$B:$B,$A90,ConfirmedRaw!N:N)</f>
        <v>1</v>
      </c>
      <c r="L90">
        <f>SUMIF(ConfirmedRaw!$B:$B,$A90,ConfirmedRaw!O:O)</f>
        <v>1</v>
      </c>
      <c r="M90">
        <f>SUMIF(ConfirmedRaw!$B:$B,$A90,ConfirmedRaw!P:P)</f>
        <v>1</v>
      </c>
      <c r="N90">
        <f>SUMIF(ConfirmedRaw!$B:$B,$A90,ConfirmedRaw!Q:Q)</f>
        <v>1</v>
      </c>
      <c r="O90">
        <f>SUMIF(ConfirmedRaw!$B:$B,$A90,ConfirmedRaw!R:R)</f>
        <v>1</v>
      </c>
      <c r="P90">
        <f>SUMIF(ConfirmedRaw!$B:$B,$A90,ConfirmedRaw!S:S)</f>
        <v>1</v>
      </c>
      <c r="Q90">
        <f>SUMIF(ConfirmedRaw!$B:$B,$A90,ConfirmedRaw!T:T)</f>
        <v>1</v>
      </c>
      <c r="R90">
        <f>SUMIF(ConfirmedRaw!$B:$B,$A90,ConfirmedRaw!U:U)</f>
        <v>1</v>
      </c>
      <c r="S90">
        <f>SUMIF(ConfirmedRaw!$B:$B,$A90,ConfirmedRaw!V:V)</f>
        <v>1</v>
      </c>
      <c r="T90">
        <f>SUMIF(ConfirmedRaw!$B:$B,$A90,ConfirmedRaw!W:W)</f>
        <v>1</v>
      </c>
      <c r="U90">
        <f>SUMIF(ConfirmedRaw!$B:$B,$A90,ConfirmedRaw!X:X)</f>
        <v>1</v>
      </c>
      <c r="V90">
        <f>SUMIF(ConfirmedRaw!$B:$B,$A90,ConfirmedRaw!Y:Y)</f>
        <v>1</v>
      </c>
      <c r="W90">
        <f>SUMIF(ConfirmedRaw!$B:$B,$A90,ConfirmedRaw!Z:Z)</f>
        <v>1</v>
      </c>
      <c r="X90">
        <f>SUMIF(ConfirmedRaw!$B:$B,$A90,ConfirmedRaw!AA:AA)</f>
        <v>1</v>
      </c>
      <c r="Y90">
        <f>SUMIF(ConfirmedRaw!$B:$B,$A90,ConfirmedRaw!AB:AB)</f>
        <v>1</v>
      </c>
      <c r="Z90">
        <f>SUMIF(ConfirmedRaw!$B:$B,$A90,ConfirmedRaw!AC:AC)</f>
        <v>1</v>
      </c>
      <c r="AA90">
        <f>SUMIF(ConfirmedRaw!$B:$B,$A90,ConfirmedRaw!AD:AD)</f>
        <v>1</v>
      </c>
      <c r="AB90">
        <f>SUMIF(ConfirmedRaw!$B:$B,$A90,ConfirmedRaw!AE:AE)</f>
        <v>1</v>
      </c>
      <c r="AC90">
        <f>SUMIF(ConfirmedRaw!$B:$B,$A90,ConfirmedRaw!AF:AF)</f>
        <v>1</v>
      </c>
      <c r="AD90">
        <f>SUMIF(ConfirmedRaw!$B:$B,$A90,ConfirmedRaw!AG:AG)</f>
        <v>1</v>
      </c>
      <c r="AE90">
        <f>SUMIF(ConfirmedRaw!$B:$B,$A90,ConfirmedRaw!AH:AH)</f>
        <v>1</v>
      </c>
      <c r="AF90">
        <f>SUMIF(ConfirmedRaw!$B:$B,$A90,ConfirmedRaw!AI:AI)</f>
        <v>1</v>
      </c>
      <c r="AG90">
        <f>SUMIF(ConfirmedRaw!$B:$B,$A90,ConfirmedRaw!AJ:AJ)</f>
        <v>1</v>
      </c>
      <c r="AH90">
        <f>SUMIF(ConfirmedRaw!$B:$B,$A90,ConfirmedRaw!AK:AK)</f>
        <v>1</v>
      </c>
      <c r="AI90">
        <f>SUMIF(ConfirmedRaw!$B:$B,$A90,ConfirmedRaw!AL:AL)</f>
        <v>1</v>
      </c>
      <c r="AJ90">
        <f>SUMIF(ConfirmedRaw!$B:$B,$A90,ConfirmedRaw!AM:AM)</f>
        <v>1</v>
      </c>
      <c r="AK90">
        <f>SUMIF(ConfirmedRaw!$B:$B,$A90,ConfirmedRaw!AN:AN)</f>
        <v>1</v>
      </c>
      <c r="AL90">
        <f>SUMIF(ConfirmedRaw!$B:$B,$A90,ConfirmedRaw!AO:AO)</f>
        <v>1</v>
      </c>
      <c r="AM90">
        <f>SUMIF(ConfirmedRaw!$B:$B,$A90,ConfirmedRaw!AP:AP)</f>
        <v>1</v>
      </c>
      <c r="AN90">
        <f>SUMIF(ConfirmedRaw!$B:$B,$A90,ConfirmedRaw!AQ:AQ)</f>
        <v>1</v>
      </c>
      <c r="AO90">
        <f>SUMIF(ConfirmedRaw!$B:$B,$A90,ConfirmedRaw!AR:AR)</f>
        <v>1</v>
      </c>
      <c r="AP90">
        <f>SUMIF(ConfirmedRaw!$B:$B,$A90,ConfirmedRaw!AS:AS)</f>
        <v>1</v>
      </c>
      <c r="AQ90">
        <f>SUMIF(ConfirmedRaw!$B:$B,$A90,ConfirmedRaw!AT:AT)</f>
        <v>1</v>
      </c>
      <c r="AR90">
        <f>SUMIF(ConfirmedRaw!$B:$B,$A90,ConfirmedRaw!AU:AU)</f>
        <v>1</v>
      </c>
      <c r="AS90">
        <f>SUMIF(ConfirmedRaw!$B:$B,$A90,ConfirmedRaw!AV:AV)</f>
        <v>1</v>
      </c>
      <c r="AT90">
        <f>SUMIF(ConfirmedRaw!$B:$B,$A90,ConfirmedRaw!AW:AW)</f>
        <v>1</v>
      </c>
      <c r="AU90">
        <f>SUMIF(ConfirmedRaw!$B:$B,$A90,ConfirmedRaw!AX:AX)</f>
        <v>1</v>
      </c>
      <c r="AV90">
        <f>SUMIF(ConfirmedRaw!$B:$B,$A90,ConfirmedRaw!AY:AY)</f>
        <v>1</v>
      </c>
      <c r="AW90">
        <f>SUMIF(ConfirmedRaw!$B:$B,$A90,ConfirmedRaw!AZ:AZ)</f>
        <v>1</v>
      </c>
      <c r="AX90">
        <f>SUMIF(ConfirmedRaw!$B:$B,$A90,ConfirmedRaw!BA:BA)</f>
        <v>1</v>
      </c>
      <c r="AY90">
        <f>SUMIF(ConfirmedRaw!$B:$B,$A90,ConfirmedRaw!BB:BB)</f>
        <v>2</v>
      </c>
      <c r="AZ90">
        <f>SUMIF(ConfirmedRaw!$B:$B,$A90,ConfirmedRaw!BC:BC)</f>
        <v>2</v>
      </c>
      <c r="BA90">
        <f>SUMIF(ConfirmedRaw!$B:$B,$A90,ConfirmedRaw!BD:BD)</f>
        <v>6</v>
      </c>
      <c r="BB90">
        <f>SUMIF(ConfirmedRaw!$B:$B,$A90,ConfirmedRaw!BE:BE)</f>
        <v>10</v>
      </c>
      <c r="BC90">
        <f>SUMIF(ConfirmedRaw!$B:$B,$A90,ConfirmedRaw!BF:BF)</f>
        <v>18</v>
      </c>
      <c r="BD90">
        <f>SUMIF(ConfirmedRaw!$B:$B,$A90,ConfirmedRaw!BG:BG)</f>
        <v>28</v>
      </c>
      <c r="BE90">
        <f>SUMIF(ConfirmedRaw!$B:$B,$A90,ConfirmedRaw!BH:BH)</f>
        <v>44</v>
      </c>
      <c r="BF90">
        <f>SUMIF(ConfirmedRaw!$B:$B,$A90,ConfirmedRaw!BI:BI)</f>
        <v>51</v>
      </c>
      <c r="BG90">
        <f>SUMIF(ConfirmedRaw!$B:$B,$A90,ConfirmedRaw!BJ:BJ)</f>
        <v>0</v>
      </c>
      <c r="BH90">
        <f>SUMIF(ConfirmedRaw!$B:$B,$A90,ConfirmedRaw!BK:BK)</f>
        <v>0</v>
      </c>
      <c r="BI90">
        <f>SUMIF(ConfirmedRaw!$B:$B,$A90,ConfirmedRaw!BL:BL)</f>
        <v>0</v>
      </c>
      <c r="BJ90">
        <f>SUMIF(ConfirmedRaw!$B:$B,$A90,ConfirmedRaw!BM:BM)</f>
        <v>0</v>
      </c>
      <c r="BK90">
        <f>SUMIF(ConfirmedRaw!$B:$B,$A90,ConfirmedRaw!BN:BN)</f>
        <v>0</v>
      </c>
      <c r="BL90">
        <f>SUMIF(ConfirmedRaw!$B:$B,$A90,ConfirmedRaw!BO:BO)</f>
        <v>0</v>
      </c>
      <c r="BM90">
        <f>SUMIF(ConfirmedRaw!$B:$B,$A90,ConfirmedRaw!BP:BP)</f>
        <v>0</v>
      </c>
      <c r="BN90">
        <f>SUMIF(ConfirmedRaw!$B:$B,$A90,ConfirmedRaw!BQ:BQ)</f>
        <v>0</v>
      </c>
      <c r="BO90">
        <f>SUMIF(ConfirmedRaw!$B:$B,$A90,ConfirmedRaw!BR:BR)</f>
        <v>0</v>
      </c>
      <c r="BP90">
        <f>SUMIF(ConfirmedRaw!$B:$B,$A90,ConfirmedRaw!BS:BS)</f>
        <v>0</v>
      </c>
      <c r="BQ90">
        <f>SUMIF(ConfirmedRaw!$B:$B,$A90,ConfirmedRaw!BT:BT)</f>
        <v>0</v>
      </c>
      <c r="BR90">
        <f>SUMIF(ConfirmedRaw!$B:$B,$A90,ConfirmedRaw!BU:BU)</f>
        <v>0</v>
      </c>
      <c r="BS90">
        <f>SUMIF(ConfirmedRaw!$B:$B,$A90,ConfirmedRaw!BV:BV)</f>
        <v>0</v>
      </c>
      <c r="BT90">
        <f>SUMIF(ConfirmedRaw!$B:$B,$A90,ConfirmedRaw!BW:BW)</f>
        <v>0</v>
      </c>
    </row>
    <row r="91" spans="1:72" ht="15" thickBot="1" x14ac:dyDescent="0.35">
      <c r="A91" s="4" t="s">
        <v>51</v>
      </c>
      <c r="B91">
        <f>SUMIF(ConfirmedRaw!$B:$B,$A91,ConfirmedRaw!E:E)</f>
        <v>0</v>
      </c>
      <c r="C91">
        <f>SUMIF(ConfirmedRaw!$B:$B,$A91,ConfirmedRaw!F:F)</f>
        <v>0</v>
      </c>
      <c r="D91">
        <f>SUMIF(ConfirmedRaw!$B:$B,$A91,ConfirmedRaw!G:G)</f>
        <v>0</v>
      </c>
      <c r="E91">
        <f>SUMIF(ConfirmedRaw!$B:$B,$A91,ConfirmedRaw!H:H)</f>
        <v>0</v>
      </c>
      <c r="F91">
        <f>SUMIF(ConfirmedRaw!$B:$B,$A91,ConfirmedRaw!I:I)</f>
        <v>0</v>
      </c>
      <c r="G91">
        <f>SUMIF(ConfirmedRaw!$B:$B,$A91,ConfirmedRaw!J:J)</f>
        <v>1</v>
      </c>
      <c r="H91">
        <f>SUMIF(ConfirmedRaw!$B:$B,$A91,ConfirmedRaw!K:K)</f>
        <v>1</v>
      </c>
      <c r="I91">
        <f>SUMIF(ConfirmedRaw!$B:$B,$A91,ConfirmedRaw!L:L)</f>
        <v>1</v>
      </c>
      <c r="J91">
        <f>SUMIF(ConfirmedRaw!$B:$B,$A91,ConfirmedRaw!M:M)</f>
        <v>1</v>
      </c>
      <c r="K91">
        <f>SUMIF(ConfirmedRaw!$B:$B,$A91,ConfirmedRaw!N:N)</f>
        <v>1</v>
      </c>
      <c r="L91">
        <f>SUMIF(ConfirmedRaw!$B:$B,$A91,ConfirmedRaw!O:O)</f>
        <v>1</v>
      </c>
      <c r="M91">
        <f>SUMIF(ConfirmedRaw!$B:$B,$A91,ConfirmedRaw!P:P)</f>
        <v>1</v>
      </c>
      <c r="N91">
        <f>SUMIF(ConfirmedRaw!$B:$B,$A91,ConfirmedRaw!Q:Q)</f>
        <v>1</v>
      </c>
      <c r="O91">
        <f>SUMIF(ConfirmedRaw!$B:$B,$A91,ConfirmedRaw!R:R)</f>
        <v>1</v>
      </c>
      <c r="P91">
        <f>SUMIF(ConfirmedRaw!$B:$B,$A91,ConfirmedRaw!S:S)</f>
        <v>1</v>
      </c>
      <c r="Q91">
        <f>SUMIF(ConfirmedRaw!$B:$B,$A91,ConfirmedRaw!T:T)</f>
        <v>1</v>
      </c>
      <c r="R91">
        <f>SUMIF(ConfirmedRaw!$B:$B,$A91,ConfirmedRaw!U:U)</f>
        <v>1</v>
      </c>
      <c r="S91">
        <f>SUMIF(ConfirmedRaw!$B:$B,$A91,ConfirmedRaw!V:V)</f>
        <v>1</v>
      </c>
      <c r="T91">
        <f>SUMIF(ConfirmedRaw!$B:$B,$A91,ConfirmedRaw!W:W)</f>
        <v>1</v>
      </c>
      <c r="U91">
        <f>SUMIF(ConfirmedRaw!$B:$B,$A91,ConfirmedRaw!X:X)</f>
        <v>1</v>
      </c>
      <c r="V91">
        <f>SUMIF(ConfirmedRaw!$B:$B,$A91,ConfirmedRaw!Y:Y)</f>
        <v>1</v>
      </c>
      <c r="W91">
        <f>SUMIF(ConfirmedRaw!$B:$B,$A91,ConfirmedRaw!Z:Z)</f>
        <v>1</v>
      </c>
      <c r="X91">
        <f>SUMIF(ConfirmedRaw!$B:$B,$A91,ConfirmedRaw!AA:AA)</f>
        <v>1</v>
      </c>
      <c r="Y91">
        <f>SUMIF(ConfirmedRaw!$B:$B,$A91,ConfirmedRaw!AB:AB)</f>
        <v>1</v>
      </c>
      <c r="Z91">
        <f>SUMIF(ConfirmedRaw!$B:$B,$A91,ConfirmedRaw!AC:AC)</f>
        <v>1</v>
      </c>
      <c r="AA91">
        <f>SUMIF(ConfirmedRaw!$B:$B,$A91,ConfirmedRaw!AD:AD)</f>
        <v>1</v>
      </c>
      <c r="AB91">
        <f>SUMIF(ConfirmedRaw!$B:$B,$A91,ConfirmedRaw!AE:AE)</f>
        <v>1</v>
      </c>
      <c r="AC91">
        <f>SUMIF(ConfirmedRaw!$B:$B,$A91,ConfirmedRaw!AF:AF)</f>
        <v>1</v>
      </c>
      <c r="AD91">
        <f>SUMIF(ConfirmedRaw!$B:$B,$A91,ConfirmedRaw!AG:AG)</f>
        <v>1</v>
      </c>
      <c r="AE91">
        <f>SUMIF(ConfirmedRaw!$B:$B,$A91,ConfirmedRaw!AH:AH)</f>
        <v>1</v>
      </c>
      <c r="AF91">
        <f>SUMIF(ConfirmedRaw!$B:$B,$A91,ConfirmedRaw!AI:AI)</f>
        <v>1</v>
      </c>
      <c r="AG91">
        <f>SUMIF(ConfirmedRaw!$B:$B,$A91,ConfirmedRaw!AJ:AJ)</f>
        <v>1</v>
      </c>
      <c r="AH91">
        <f>SUMIF(ConfirmedRaw!$B:$B,$A91,ConfirmedRaw!AK:AK)</f>
        <v>1</v>
      </c>
      <c r="AI91">
        <f>SUMIF(ConfirmedRaw!$B:$B,$A91,ConfirmedRaw!AL:AL)</f>
        <v>1</v>
      </c>
      <c r="AJ91">
        <f>SUMIF(ConfirmedRaw!$B:$B,$A91,ConfirmedRaw!AM:AM)</f>
        <v>1</v>
      </c>
      <c r="AK91">
        <f>SUMIF(ConfirmedRaw!$B:$B,$A91,ConfirmedRaw!AN:AN)</f>
        <v>1</v>
      </c>
      <c r="AL91">
        <f>SUMIF(ConfirmedRaw!$B:$B,$A91,ConfirmedRaw!AO:AO)</f>
        <v>1</v>
      </c>
      <c r="AM91">
        <f>SUMIF(ConfirmedRaw!$B:$B,$A91,ConfirmedRaw!AP:AP)</f>
        <v>1</v>
      </c>
      <c r="AN91">
        <f>SUMIF(ConfirmedRaw!$B:$B,$A91,ConfirmedRaw!AQ:AQ)</f>
        <v>1</v>
      </c>
      <c r="AO91">
        <f>SUMIF(ConfirmedRaw!$B:$B,$A91,ConfirmedRaw!AR:AR)</f>
        <v>1</v>
      </c>
      <c r="AP91">
        <f>SUMIF(ConfirmedRaw!$B:$B,$A91,ConfirmedRaw!AS:AS)</f>
        <v>1</v>
      </c>
      <c r="AQ91">
        <f>SUMIF(ConfirmedRaw!$B:$B,$A91,ConfirmedRaw!AT:AT)</f>
        <v>1</v>
      </c>
      <c r="AR91">
        <f>SUMIF(ConfirmedRaw!$B:$B,$A91,ConfirmedRaw!AU:AU)</f>
        <v>1</v>
      </c>
      <c r="AS91">
        <f>SUMIF(ConfirmedRaw!$B:$B,$A91,ConfirmedRaw!AV:AV)</f>
        <v>1</v>
      </c>
      <c r="AT91">
        <f>SUMIF(ConfirmedRaw!$B:$B,$A91,ConfirmedRaw!AW:AW)</f>
        <v>1</v>
      </c>
      <c r="AU91">
        <f>SUMIF(ConfirmedRaw!$B:$B,$A91,ConfirmedRaw!AX:AX)</f>
        <v>1</v>
      </c>
      <c r="AV91">
        <f>SUMIF(ConfirmedRaw!$B:$B,$A91,ConfirmedRaw!AY:AY)</f>
        <v>2</v>
      </c>
      <c r="AW91">
        <f>SUMIF(ConfirmedRaw!$B:$B,$A91,ConfirmedRaw!AZ:AZ)</f>
        <v>2</v>
      </c>
      <c r="AX91">
        <f>SUMIF(ConfirmedRaw!$B:$B,$A91,ConfirmedRaw!BA:BA)</f>
        <v>2</v>
      </c>
      <c r="AY91">
        <f>SUMIF(ConfirmedRaw!$B:$B,$A91,ConfirmedRaw!BB:BB)</f>
        <v>3</v>
      </c>
      <c r="AZ91">
        <f>SUMIF(ConfirmedRaw!$B:$B,$A91,ConfirmedRaw!BC:BC)</f>
        <v>3</v>
      </c>
      <c r="BA91">
        <f>SUMIF(ConfirmedRaw!$B:$B,$A91,ConfirmedRaw!BD:BD)</f>
        <v>5</v>
      </c>
      <c r="BB91">
        <f>SUMIF(ConfirmedRaw!$B:$B,$A91,ConfirmedRaw!BE:BE)</f>
        <v>7</v>
      </c>
      <c r="BC91">
        <f>SUMIF(ConfirmedRaw!$B:$B,$A91,ConfirmedRaw!BF:BF)</f>
        <v>7</v>
      </c>
      <c r="BD91">
        <f>SUMIF(ConfirmedRaw!$B:$B,$A91,ConfirmedRaw!BG:BG)</f>
        <v>7</v>
      </c>
      <c r="BE91">
        <f>SUMIF(ConfirmedRaw!$B:$B,$A91,ConfirmedRaw!BH:BH)</f>
        <v>33</v>
      </c>
      <c r="BF91">
        <f>SUMIF(ConfirmedRaw!$B:$B,$A91,ConfirmedRaw!BI:BI)</f>
        <v>35</v>
      </c>
      <c r="BG91">
        <f>SUMIF(ConfirmedRaw!$B:$B,$A91,ConfirmedRaw!BJ:BJ)</f>
        <v>0</v>
      </c>
      <c r="BH91">
        <f>SUMIF(ConfirmedRaw!$B:$B,$A91,ConfirmedRaw!BK:BK)</f>
        <v>0</v>
      </c>
      <c r="BI91">
        <f>SUMIF(ConfirmedRaw!$B:$B,$A91,ConfirmedRaw!BL:BL)</f>
        <v>0</v>
      </c>
      <c r="BJ91">
        <f>SUMIF(ConfirmedRaw!$B:$B,$A91,ConfirmedRaw!BM:BM)</f>
        <v>0</v>
      </c>
      <c r="BK91">
        <f>SUMIF(ConfirmedRaw!$B:$B,$A91,ConfirmedRaw!BN:BN)</f>
        <v>0</v>
      </c>
      <c r="BL91">
        <f>SUMIF(ConfirmedRaw!$B:$B,$A91,ConfirmedRaw!BO:BO)</f>
        <v>0</v>
      </c>
      <c r="BM91">
        <f>SUMIF(ConfirmedRaw!$B:$B,$A91,ConfirmedRaw!BP:BP)</f>
        <v>0</v>
      </c>
      <c r="BN91">
        <f>SUMIF(ConfirmedRaw!$B:$B,$A91,ConfirmedRaw!BQ:BQ)</f>
        <v>0</v>
      </c>
      <c r="BO91">
        <f>SUMIF(ConfirmedRaw!$B:$B,$A91,ConfirmedRaw!BR:BR)</f>
        <v>0</v>
      </c>
      <c r="BP91">
        <f>SUMIF(ConfirmedRaw!$B:$B,$A91,ConfirmedRaw!BS:BS)</f>
        <v>0</v>
      </c>
      <c r="BQ91">
        <f>SUMIF(ConfirmedRaw!$B:$B,$A91,ConfirmedRaw!BT:BT)</f>
        <v>0</v>
      </c>
      <c r="BR91">
        <f>SUMIF(ConfirmedRaw!$B:$B,$A91,ConfirmedRaw!BU:BU)</f>
        <v>0</v>
      </c>
      <c r="BS91">
        <f>SUMIF(ConfirmedRaw!$B:$B,$A91,ConfirmedRaw!BV:BV)</f>
        <v>0</v>
      </c>
      <c r="BT91">
        <f>SUMIF(ConfirmedRaw!$B:$B,$A91,ConfirmedRaw!BW:BW)</f>
        <v>0</v>
      </c>
    </row>
    <row r="92" spans="1:72" ht="15" thickBot="1" x14ac:dyDescent="0.35">
      <c r="A92" s="3" t="s">
        <v>106</v>
      </c>
      <c r="B92">
        <f>SUMIF(ConfirmedRaw!$B:$B,$A92,ConfirmedRaw!E:E)</f>
        <v>0</v>
      </c>
      <c r="C92">
        <f>SUMIF(ConfirmedRaw!$B:$B,$A92,ConfirmedRaw!F:F)</f>
        <v>0</v>
      </c>
      <c r="D92">
        <f>SUMIF(ConfirmedRaw!$B:$B,$A92,ConfirmedRaw!G:G)</f>
        <v>0</v>
      </c>
      <c r="E92">
        <f>SUMIF(ConfirmedRaw!$B:$B,$A92,ConfirmedRaw!H:H)</f>
        <v>0</v>
      </c>
      <c r="F92">
        <f>SUMIF(ConfirmedRaw!$B:$B,$A92,ConfirmedRaw!I:I)</f>
        <v>0</v>
      </c>
      <c r="G92">
        <f>SUMIF(ConfirmedRaw!$B:$B,$A92,ConfirmedRaw!J:J)</f>
        <v>0</v>
      </c>
      <c r="H92">
        <f>SUMIF(ConfirmedRaw!$B:$B,$A92,ConfirmedRaw!K:K)</f>
        <v>0</v>
      </c>
      <c r="I92">
        <f>SUMIF(ConfirmedRaw!$B:$B,$A92,ConfirmedRaw!L:L)</f>
        <v>0</v>
      </c>
      <c r="J92">
        <f>SUMIF(ConfirmedRaw!$B:$B,$A92,ConfirmedRaw!M:M)</f>
        <v>0</v>
      </c>
      <c r="K92">
        <f>SUMIF(ConfirmedRaw!$B:$B,$A92,ConfirmedRaw!N:N)</f>
        <v>0</v>
      </c>
      <c r="L92">
        <f>SUMIF(ConfirmedRaw!$B:$B,$A92,ConfirmedRaw!O:O)</f>
        <v>0</v>
      </c>
      <c r="M92">
        <f>SUMIF(ConfirmedRaw!$B:$B,$A92,ConfirmedRaw!P:P)</f>
        <v>0</v>
      </c>
      <c r="N92">
        <f>SUMIF(ConfirmedRaw!$B:$B,$A92,ConfirmedRaw!Q:Q)</f>
        <v>0</v>
      </c>
      <c r="O92">
        <f>SUMIF(ConfirmedRaw!$B:$B,$A92,ConfirmedRaw!R:R)</f>
        <v>0</v>
      </c>
      <c r="P92">
        <f>SUMIF(ConfirmedRaw!$B:$B,$A92,ConfirmedRaw!S:S)</f>
        <v>0</v>
      </c>
      <c r="Q92">
        <f>SUMIF(ConfirmedRaw!$B:$B,$A92,ConfirmedRaw!T:T)</f>
        <v>0</v>
      </c>
      <c r="R92">
        <f>SUMIF(ConfirmedRaw!$B:$B,$A92,ConfirmedRaw!U:U)</f>
        <v>0</v>
      </c>
      <c r="S92">
        <f>SUMIF(ConfirmedRaw!$B:$B,$A92,ConfirmedRaw!V:V)</f>
        <v>0</v>
      </c>
      <c r="T92">
        <f>SUMIF(ConfirmedRaw!$B:$B,$A92,ConfirmedRaw!W:W)</f>
        <v>0</v>
      </c>
      <c r="U92">
        <f>SUMIF(ConfirmedRaw!$B:$B,$A92,ConfirmedRaw!X:X)</f>
        <v>0</v>
      </c>
      <c r="V92">
        <f>SUMIF(ConfirmedRaw!$B:$B,$A92,ConfirmedRaw!Y:Y)</f>
        <v>0</v>
      </c>
      <c r="W92">
        <f>SUMIF(ConfirmedRaw!$B:$B,$A92,ConfirmedRaw!Z:Z)</f>
        <v>0</v>
      </c>
      <c r="X92">
        <f>SUMIF(ConfirmedRaw!$B:$B,$A92,ConfirmedRaw!AA:AA)</f>
        <v>0</v>
      </c>
      <c r="Y92">
        <f>SUMIF(ConfirmedRaw!$B:$B,$A92,ConfirmedRaw!AB:AB)</f>
        <v>0</v>
      </c>
      <c r="Z92">
        <f>SUMIF(ConfirmedRaw!$B:$B,$A92,ConfirmedRaw!AC:AC)</f>
        <v>0</v>
      </c>
      <c r="AA92">
        <f>SUMIF(ConfirmedRaw!$B:$B,$A92,ConfirmedRaw!AD:AD)</f>
        <v>0</v>
      </c>
      <c r="AB92">
        <f>SUMIF(ConfirmedRaw!$B:$B,$A92,ConfirmedRaw!AE:AE)</f>
        <v>0</v>
      </c>
      <c r="AC92">
        <f>SUMIF(ConfirmedRaw!$B:$B,$A92,ConfirmedRaw!AF:AF)</f>
        <v>0</v>
      </c>
      <c r="AD92">
        <f>SUMIF(ConfirmedRaw!$B:$B,$A92,ConfirmedRaw!AG:AG)</f>
        <v>0</v>
      </c>
      <c r="AE92">
        <f>SUMIF(ConfirmedRaw!$B:$B,$A92,ConfirmedRaw!AH:AH)</f>
        <v>0</v>
      </c>
      <c r="AF92">
        <f>SUMIF(ConfirmedRaw!$B:$B,$A92,ConfirmedRaw!AI:AI)</f>
        <v>0</v>
      </c>
      <c r="AG92">
        <f>SUMIF(ConfirmedRaw!$B:$B,$A92,ConfirmedRaw!AJ:AJ)</f>
        <v>0</v>
      </c>
      <c r="AH92">
        <f>SUMIF(ConfirmedRaw!$B:$B,$A92,ConfirmedRaw!AK:AK)</f>
        <v>0</v>
      </c>
      <c r="AI92">
        <f>SUMIF(ConfirmedRaw!$B:$B,$A92,ConfirmedRaw!AL:AL)</f>
        <v>0</v>
      </c>
      <c r="AJ92">
        <f>SUMIF(ConfirmedRaw!$B:$B,$A92,ConfirmedRaw!AM:AM)</f>
        <v>0</v>
      </c>
      <c r="AK92">
        <f>SUMIF(ConfirmedRaw!$B:$B,$A92,ConfirmedRaw!AN:AN)</f>
        <v>0</v>
      </c>
      <c r="AL92">
        <f>SUMIF(ConfirmedRaw!$B:$B,$A92,ConfirmedRaw!AO:AO)</f>
        <v>0</v>
      </c>
      <c r="AM92">
        <f>SUMIF(ConfirmedRaw!$B:$B,$A92,ConfirmedRaw!AP:AP)</f>
        <v>0</v>
      </c>
      <c r="AN92">
        <f>SUMIF(ConfirmedRaw!$B:$B,$A92,ConfirmedRaw!AQ:AQ)</f>
        <v>0</v>
      </c>
      <c r="AO92">
        <f>SUMIF(ConfirmedRaw!$B:$B,$A92,ConfirmedRaw!AR:AR)</f>
        <v>1</v>
      </c>
      <c r="AP92">
        <f>SUMIF(ConfirmedRaw!$B:$B,$A92,ConfirmedRaw!AS:AS)</f>
        <v>1</v>
      </c>
      <c r="AQ92">
        <f>SUMIF(ConfirmedRaw!$B:$B,$A92,ConfirmedRaw!AT:AT)</f>
        <v>1</v>
      </c>
      <c r="AR92">
        <f>SUMIF(ConfirmedRaw!$B:$B,$A92,ConfirmedRaw!AU:AU)</f>
        <v>1</v>
      </c>
      <c r="AS92">
        <f>SUMIF(ConfirmedRaw!$B:$B,$A92,ConfirmedRaw!AV:AV)</f>
        <v>1</v>
      </c>
      <c r="AT92">
        <f>SUMIF(ConfirmedRaw!$B:$B,$A92,ConfirmedRaw!AW:AW)</f>
        <v>2</v>
      </c>
      <c r="AU92">
        <f>SUMIF(ConfirmedRaw!$B:$B,$A92,ConfirmedRaw!AX:AX)</f>
        <v>2</v>
      </c>
      <c r="AV92">
        <f>SUMIF(ConfirmedRaw!$B:$B,$A92,ConfirmedRaw!AY:AY)</f>
        <v>5</v>
      </c>
      <c r="AW92">
        <f>SUMIF(ConfirmedRaw!$B:$B,$A92,ConfirmedRaw!AZ:AZ)</f>
        <v>5</v>
      </c>
      <c r="AX92">
        <f>SUMIF(ConfirmedRaw!$B:$B,$A92,ConfirmedRaw!BA:BA)</f>
        <v>5</v>
      </c>
      <c r="AY92">
        <f>SUMIF(ConfirmedRaw!$B:$B,$A92,ConfirmedRaw!BB:BB)</f>
        <v>5</v>
      </c>
      <c r="AZ92">
        <f>SUMIF(ConfirmedRaw!$B:$B,$A92,ConfirmedRaw!BC:BC)</f>
        <v>5</v>
      </c>
      <c r="BA92">
        <f>SUMIF(ConfirmedRaw!$B:$B,$A92,ConfirmedRaw!BD:BD)</f>
        <v>5</v>
      </c>
      <c r="BB92">
        <f>SUMIF(ConfirmedRaw!$B:$B,$A92,ConfirmedRaw!BE:BE)</f>
        <v>11</v>
      </c>
      <c r="BC92">
        <f>SUMIF(ConfirmedRaw!$B:$B,$A92,ConfirmedRaw!BF:BF)</f>
        <v>11</v>
      </c>
      <c r="BD92">
        <f>SUMIF(ConfirmedRaw!$B:$B,$A92,ConfirmedRaw!BG:BG)</f>
        <v>11</v>
      </c>
      <c r="BE92">
        <f>SUMIF(ConfirmedRaw!$B:$B,$A92,ConfirmedRaw!BH:BH)</f>
        <v>21</v>
      </c>
      <c r="BF92">
        <f>SUMIF(ConfirmedRaw!$B:$B,$A92,ConfirmedRaw!BI:BI)</f>
        <v>21</v>
      </c>
      <c r="BG92">
        <f>SUMIF(ConfirmedRaw!$B:$B,$A92,ConfirmedRaw!BJ:BJ)</f>
        <v>0</v>
      </c>
      <c r="BH92">
        <f>SUMIF(ConfirmedRaw!$B:$B,$A92,ConfirmedRaw!BK:BK)</f>
        <v>0</v>
      </c>
      <c r="BI92">
        <f>SUMIF(ConfirmedRaw!$B:$B,$A92,ConfirmedRaw!BL:BL)</f>
        <v>0</v>
      </c>
      <c r="BJ92">
        <f>SUMIF(ConfirmedRaw!$B:$B,$A92,ConfirmedRaw!BM:BM)</f>
        <v>0</v>
      </c>
      <c r="BK92">
        <f>SUMIF(ConfirmedRaw!$B:$B,$A92,ConfirmedRaw!BN:BN)</f>
        <v>0</v>
      </c>
      <c r="BL92">
        <f>SUMIF(ConfirmedRaw!$B:$B,$A92,ConfirmedRaw!BO:BO)</f>
        <v>0</v>
      </c>
      <c r="BM92">
        <f>SUMIF(ConfirmedRaw!$B:$B,$A92,ConfirmedRaw!BP:BP)</f>
        <v>0</v>
      </c>
      <c r="BN92">
        <f>SUMIF(ConfirmedRaw!$B:$B,$A92,ConfirmedRaw!BQ:BQ)</f>
        <v>0</v>
      </c>
      <c r="BO92">
        <f>SUMIF(ConfirmedRaw!$B:$B,$A92,ConfirmedRaw!BR:BR)</f>
        <v>0</v>
      </c>
      <c r="BP92">
        <f>SUMIF(ConfirmedRaw!$B:$B,$A92,ConfirmedRaw!BS:BS)</f>
        <v>0</v>
      </c>
      <c r="BQ92">
        <f>SUMIF(ConfirmedRaw!$B:$B,$A92,ConfirmedRaw!BT:BT)</f>
        <v>0</v>
      </c>
      <c r="BR92">
        <f>SUMIF(ConfirmedRaw!$B:$B,$A92,ConfirmedRaw!BU:BU)</f>
        <v>0</v>
      </c>
      <c r="BS92">
        <f>SUMIF(ConfirmedRaw!$B:$B,$A92,ConfirmedRaw!BV:BV)</f>
        <v>0</v>
      </c>
      <c r="BT92">
        <f>SUMIF(ConfirmedRaw!$B:$B,$A92,ConfirmedRaw!BW:BW)</f>
        <v>0</v>
      </c>
    </row>
    <row r="93" spans="1:72" ht="15" thickBot="1" x14ac:dyDescent="0.35">
      <c r="A93" s="4" t="s">
        <v>176</v>
      </c>
      <c r="B93">
        <f>SUMIF(ConfirmedRaw!$B:$B,$A93,ConfirmedRaw!E:E)</f>
        <v>0</v>
      </c>
      <c r="C93">
        <f>SUMIF(ConfirmedRaw!$B:$B,$A93,ConfirmedRaw!F:F)</f>
        <v>0</v>
      </c>
      <c r="D93">
        <f>SUMIF(ConfirmedRaw!$B:$B,$A93,ConfirmedRaw!G:G)</f>
        <v>0</v>
      </c>
      <c r="E93">
        <f>SUMIF(ConfirmedRaw!$B:$B,$A93,ConfirmedRaw!H:H)</f>
        <v>0</v>
      </c>
      <c r="F93">
        <f>SUMIF(ConfirmedRaw!$B:$B,$A93,ConfirmedRaw!I:I)</f>
        <v>0</v>
      </c>
      <c r="G93">
        <f>SUMIF(ConfirmedRaw!$B:$B,$A93,ConfirmedRaw!J:J)</f>
        <v>0</v>
      </c>
      <c r="H93">
        <f>SUMIF(ConfirmedRaw!$B:$B,$A93,ConfirmedRaw!K:K)</f>
        <v>0</v>
      </c>
      <c r="I93">
        <f>SUMIF(ConfirmedRaw!$B:$B,$A93,ConfirmedRaw!L:L)</f>
        <v>0</v>
      </c>
      <c r="J93">
        <f>SUMIF(ConfirmedRaw!$B:$B,$A93,ConfirmedRaw!M:M)</f>
        <v>0</v>
      </c>
      <c r="K93">
        <f>SUMIF(ConfirmedRaw!$B:$B,$A93,ConfirmedRaw!N:N)</f>
        <v>0</v>
      </c>
      <c r="L93">
        <f>SUMIF(ConfirmedRaw!$B:$B,$A93,ConfirmedRaw!O:O)</f>
        <v>0</v>
      </c>
      <c r="M93">
        <f>SUMIF(ConfirmedRaw!$B:$B,$A93,ConfirmedRaw!P:P)</f>
        <v>0</v>
      </c>
      <c r="N93">
        <f>SUMIF(ConfirmedRaw!$B:$B,$A93,ConfirmedRaw!Q:Q)</f>
        <v>0</v>
      </c>
      <c r="O93">
        <f>SUMIF(ConfirmedRaw!$B:$B,$A93,ConfirmedRaw!R:R)</f>
        <v>0</v>
      </c>
      <c r="P93">
        <f>SUMIF(ConfirmedRaw!$B:$B,$A93,ConfirmedRaw!S:S)</f>
        <v>0</v>
      </c>
      <c r="Q93">
        <f>SUMIF(ConfirmedRaw!$B:$B,$A93,ConfirmedRaw!T:T)</f>
        <v>0</v>
      </c>
      <c r="R93">
        <f>SUMIF(ConfirmedRaw!$B:$B,$A93,ConfirmedRaw!U:U)</f>
        <v>0</v>
      </c>
      <c r="S93">
        <f>SUMIF(ConfirmedRaw!$B:$B,$A93,ConfirmedRaw!V:V)</f>
        <v>0</v>
      </c>
      <c r="T93">
        <f>SUMIF(ConfirmedRaw!$B:$B,$A93,ConfirmedRaw!W:W)</f>
        <v>0</v>
      </c>
      <c r="U93">
        <f>SUMIF(ConfirmedRaw!$B:$B,$A93,ConfirmedRaw!X:X)</f>
        <v>0</v>
      </c>
      <c r="V93">
        <f>SUMIF(ConfirmedRaw!$B:$B,$A93,ConfirmedRaw!Y:Y)</f>
        <v>0</v>
      </c>
      <c r="W93">
        <f>SUMIF(ConfirmedRaw!$B:$B,$A93,ConfirmedRaw!Z:Z)</f>
        <v>0</v>
      </c>
      <c r="X93">
        <f>SUMIF(ConfirmedRaw!$B:$B,$A93,ConfirmedRaw!AA:AA)</f>
        <v>0</v>
      </c>
      <c r="Y93">
        <f>SUMIF(ConfirmedRaw!$B:$B,$A93,ConfirmedRaw!AB:AB)</f>
        <v>0</v>
      </c>
      <c r="Z93">
        <f>SUMIF(ConfirmedRaw!$B:$B,$A93,ConfirmedRaw!AC:AC)</f>
        <v>0</v>
      </c>
      <c r="AA93">
        <f>SUMIF(ConfirmedRaw!$B:$B,$A93,ConfirmedRaw!AD:AD)</f>
        <v>0</v>
      </c>
      <c r="AB93">
        <f>SUMIF(ConfirmedRaw!$B:$B,$A93,ConfirmedRaw!AE:AE)</f>
        <v>0</v>
      </c>
      <c r="AC93">
        <f>SUMIF(ConfirmedRaw!$B:$B,$A93,ConfirmedRaw!AF:AF)</f>
        <v>0</v>
      </c>
      <c r="AD93">
        <f>SUMIF(ConfirmedRaw!$B:$B,$A93,ConfirmedRaw!AG:AG)</f>
        <v>0</v>
      </c>
      <c r="AE93">
        <f>SUMIF(ConfirmedRaw!$B:$B,$A93,ConfirmedRaw!AH:AH)</f>
        <v>0</v>
      </c>
      <c r="AF93">
        <f>SUMIF(ConfirmedRaw!$B:$B,$A93,ConfirmedRaw!AI:AI)</f>
        <v>0</v>
      </c>
      <c r="AG93">
        <f>SUMIF(ConfirmedRaw!$B:$B,$A93,ConfirmedRaw!AJ:AJ)</f>
        <v>0</v>
      </c>
      <c r="AH93">
        <f>SUMIF(ConfirmedRaw!$B:$B,$A93,ConfirmedRaw!AK:AK)</f>
        <v>0</v>
      </c>
      <c r="AI93">
        <f>SUMIF(ConfirmedRaw!$B:$B,$A93,ConfirmedRaw!AL:AL)</f>
        <v>0</v>
      </c>
      <c r="AJ93">
        <f>SUMIF(ConfirmedRaw!$B:$B,$A93,ConfirmedRaw!AM:AM)</f>
        <v>0</v>
      </c>
      <c r="AK93">
        <f>SUMIF(ConfirmedRaw!$B:$B,$A93,ConfirmedRaw!AN:AN)</f>
        <v>0</v>
      </c>
      <c r="AL93">
        <f>SUMIF(ConfirmedRaw!$B:$B,$A93,ConfirmedRaw!AO:AO)</f>
        <v>0</v>
      </c>
      <c r="AM93">
        <f>SUMIF(ConfirmedRaw!$B:$B,$A93,ConfirmedRaw!AP:AP)</f>
        <v>0</v>
      </c>
      <c r="AN93">
        <f>SUMIF(ConfirmedRaw!$B:$B,$A93,ConfirmedRaw!AQ:AQ)</f>
        <v>0</v>
      </c>
      <c r="AO93">
        <f>SUMIF(ConfirmedRaw!$B:$B,$A93,ConfirmedRaw!AR:AR)</f>
        <v>0</v>
      </c>
      <c r="AP93">
        <f>SUMIF(ConfirmedRaw!$B:$B,$A93,ConfirmedRaw!AS:AS)</f>
        <v>0</v>
      </c>
      <c r="AQ93">
        <f>SUMIF(ConfirmedRaw!$B:$B,$A93,ConfirmedRaw!AT:AT)</f>
        <v>0</v>
      </c>
      <c r="AR93">
        <f>SUMIF(ConfirmedRaw!$B:$B,$A93,ConfirmedRaw!AU:AU)</f>
        <v>0</v>
      </c>
      <c r="AS93">
        <f>SUMIF(ConfirmedRaw!$B:$B,$A93,ConfirmedRaw!AV:AV)</f>
        <v>0</v>
      </c>
      <c r="AT93">
        <f>SUMIF(ConfirmedRaw!$B:$B,$A93,ConfirmedRaw!AW:AW)</f>
        <v>0</v>
      </c>
      <c r="AU93">
        <f>SUMIF(ConfirmedRaw!$B:$B,$A93,ConfirmedRaw!AX:AX)</f>
        <v>0</v>
      </c>
      <c r="AV93">
        <f>SUMIF(ConfirmedRaw!$B:$B,$A93,ConfirmedRaw!AY:AY)</f>
        <v>0</v>
      </c>
      <c r="AW93">
        <f>SUMIF(ConfirmedRaw!$B:$B,$A93,ConfirmedRaw!AZ:AZ)</f>
        <v>0</v>
      </c>
      <c r="AX93">
        <f>SUMIF(ConfirmedRaw!$B:$B,$A93,ConfirmedRaw!BA:BA)</f>
        <v>0</v>
      </c>
      <c r="AY93">
        <f>SUMIF(ConfirmedRaw!$B:$B,$A93,ConfirmedRaw!BB:BB)</f>
        <v>0</v>
      </c>
      <c r="AZ93">
        <f>SUMIF(ConfirmedRaw!$B:$B,$A93,ConfirmedRaw!BC:BC)</f>
        <v>0</v>
      </c>
      <c r="BA93">
        <f>SUMIF(ConfirmedRaw!$B:$B,$A93,ConfirmedRaw!BD:BD)</f>
        <v>0</v>
      </c>
      <c r="BB93">
        <f>SUMIF(ConfirmedRaw!$B:$B,$A93,ConfirmedRaw!BE:BE)</f>
        <v>0</v>
      </c>
      <c r="BC93">
        <f>SUMIF(ConfirmedRaw!$B:$B,$A93,ConfirmedRaw!BF:BF)</f>
        <v>0</v>
      </c>
      <c r="BD93">
        <f>SUMIF(ConfirmedRaw!$B:$B,$A93,ConfirmedRaw!BG:BG)</f>
        <v>0</v>
      </c>
      <c r="BE93">
        <f>SUMIF(ConfirmedRaw!$B:$B,$A93,ConfirmedRaw!BH:BH)</f>
        <v>0</v>
      </c>
      <c r="BF93">
        <f>SUMIF(ConfirmedRaw!$B:$B,$A93,ConfirmedRaw!BI:BI)</f>
        <v>0</v>
      </c>
      <c r="BG93">
        <f>SUMIF(ConfirmedRaw!$B:$B,$A93,ConfirmedRaw!BJ:BJ)</f>
        <v>0</v>
      </c>
      <c r="BH93">
        <f>SUMIF(ConfirmedRaw!$B:$B,$A93,ConfirmedRaw!BK:BK)</f>
        <v>0</v>
      </c>
      <c r="BI93">
        <f>SUMIF(ConfirmedRaw!$B:$B,$A93,ConfirmedRaw!BL:BL)</f>
        <v>0</v>
      </c>
      <c r="BJ93">
        <f>SUMIF(ConfirmedRaw!$B:$B,$A93,ConfirmedRaw!BM:BM)</f>
        <v>0</v>
      </c>
      <c r="BK93">
        <f>SUMIF(ConfirmedRaw!$B:$B,$A93,ConfirmedRaw!BN:BN)</f>
        <v>0</v>
      </c>
      <c r="BL93">
        <f>SUMIF(ConfirmedRaw!$B:$B,$A93,ConfirmedRaw!BO:BO)</f>
        <v>0</v>
      </c>
      <c r="BM93">
        <f>SUMIF(ConfirmedRaw!$B:$B,$A93,ConfirmedRaw!BP:BP)</f>
        <v>0</v>
      </c>
      <c r="BN93">
        <f>SUMIF(ConfirmedRaw!$B:$B,$A93,ConfirmedRaw!BQ:BQ)</f>
        <v>0</v>
      </c>
      <c r="BO93">
        <f>SUMIF(ConfirmedRaw!$B:$B,$A93,ConfirmedRaw!BR:BR)</f>
        <v>0</v>
      </c>
      <c r="BP93">
        <f>SUMIF(ConfirmedRaw!$B:$B,$A93,ConfirmedRaw!BS:BS)</f>
        <v>0</v>
      </c>
      <c r="BQ93">
        <f>SUMIF(ConfirmedRaw!$B:$B,$A93,ConfirmedRaw!BT:BT)</f>
        <v>0</v>
      </c>
      <c r="BR93">
        <f>SUMIF(ConfirmedRaw!$B:$B,$A93,ConfirmedRaw!BU:BU)</f>
        <v>0</v>
      </c>
      <c r="BS93">
        <f>SUMIF(ConfirmedRaw!$B:$B,$A93,ConfirmedRaw!BV:BV)</f>
        <v>0</v>
      </c>
      <c r="BT93">
        <f>SUMIF(ConfirmedRaw!$B:$B,$A93,ConfirmedRaw!BW:BW)</f>
        <v>0</v>
      </c>
    </row>
    <row r="94" spans="1:72" ht="15" thickBot="1" x14ac:dyDescent="0.35">
      <c r="A94" s="3" t="s">
        <v>95</v>
      </c>
      <c r="B94">
        <f>SUMIF(ConfirmedRaw!$B:$B,$A94,ConfirmedRaw!E:E)</f>
        <v>0</v>
      </c>
      <c r="C94">
        <f>SUMIF(ConfirmedRaw!$B:$B,$A94,ConfirmedRaw!F:F)</f>
        <v>0</v>
      </c>
      <c r="D94">
        <f>SUMIF(ConfirmedRaw!$B:$B,$A94,ConfirmedRaw!G:G)</f>
        <v>0</v>
      </c>
      <c r="E94">
        <f>SUMIF(ConfirmedRaw!$B:$B,$A94,ConfirmedRaw!H:H)</f>
        <v>0</v>
      </c>
      <c r="F94">
        <f>SUMIF(ConfirmedRaw!$B:$B,$A94,ConfirmedRaw!I:I)</f>
        <v>0</v>
      </c>
      <c r="G94">
        <f>SUMIF(ConfirmedRaw!$B:$B,$A94,ConfirmedRaw!J:J)</f>
        <v>0</v>
      </c>
      <c r="H94">
        <f>SUMIF(ConfirmedRaw!$B:$B,$A94,ConfirmedRaw!K:K)</f>
        <v>0</v>
      </c>
      <c r="I94">
        <f>SUMIF(ConfirmedRaw!$B:$B,$A94,ConfirmedRaw!L:L)</f>
        <v>0</v>
      </c>
      <c r="J94">
        <f>SUMIF(ConfirmedRaw!$B:$B,$A94,ConfirmedRaw!M:M)</f>
        <v>0</v>
      </c>
      <c r="K94">
        <f>SUMIF(ConfirmedRaw!$B:$B,$A94,ConfirmedRaw!N:N)</f>
        <v>0</v>
      </c>
      <c r="L94">
        <f>SUMIF(ConfirmedRaw!$B:$B,$A94,ConfirmedRaw!O:O)</f>
        <v>0</v>
      </c>
      <c r="M94">
        <f>SUMIF(ConfirmedRaw!$B:$B,$A94,ConfirmedRaw!P:P)</f>
        <v>0</v>
      </c>
      <c r="N94">
        <f>SUMIF(ConfirmedRaw!$B:$B,$A94,ConfirmedRaw!Q:Q)</f>
        <v>0</v>
      </c>
      <c r="O94">
        <f>SUMIF(ConfirmedRaw!$B:$B,$A94,ConfirmedRaw!R:R)</f>
        <v>0</v>
      </c>
      <c r="P94">
        <f>SUMIF(ConfirmedRaw!$B:$B,$A94,ConfirmedRaw!S:S)</f>
        <v>0</v>
      </c>
      <c r="Q94">
        <f>SUMIF(ConfirmedRaw!$B:$B,$A94,ConfirmedRaw!T:T)</f>
        <v>0</v>
      </c>
      <c r="R94">
        <f>SUMIF(ConfirmedRaw!$B:$B,$A94,ConfirmedRaw!U:U)</f>
        <v>0</v>
      </c>
      <c r="S94">
        <f>SUMIF(ConfirmedRaw!$B:$B,$A94,ConfirmedRaw!V:V)</f>
        <v>0</v>
      </c>
      <c r="T94">
        <f>SUMIF(ConfirmedRaw!$B:$B,$A94,ConfirmedRaw!W:W)</f>
        <v>0</v>
      </c>
      <c r="U94">
        <f>SUMIF(ConfirmedRaw!$B:$B,$A94,ConfirmedRaw!X:X)</f>
        <v>0</v>
      </c>
      <c r="V94">
        <f>SUMIF(ConfirmedRaw!$B:$B,$A94,ConfirmedRaw!Y:Y)</f>
        <v>0</v>
      </c>
      <c r="W94">
        <f>SUMIF(ConfirmedRaw!$B:$B,$A94,ConfirmedRaw!Z:Z)</f>
        <v>0</v>
      </c>
      <c r="X94">
        <f>SUMIF(ConfirmedRaw!$B:$B,$A94,ConfirmedRaw!AA:AA)</f>
        <v>0</v>
      </c>
      <c r="Y94">
        <f>SUMIF(ConfirmedRaw!$B:$B,$A94,ConfirmedRaw!AB:AB)</f>
        <v>0</v>
      </c>
      <c r="Z94">
        <f>SUMIF(ConfirmedRaw!$B:$B,$A94,ConfirmedRaw!AC:AC)</f>
        <v>0</v>
      </c>
      <c r="AA94">
        <f>SUMIF(ConfirmedRaw!$B:$B,$A94,ConfirmedRaw!AD:AD)</f>
        <v>0</v>
      </c>
      <c r="AB94">
        <f>SUMIF(ConfirmedRaw!$B:$B,$A94,ConfirmedRaw!AE:AE)</f>
        <v>0</v>
      </c>
      <c r="AC94">
        <f>SUMIF(ConfirmedRaw!$B:$B,$A94,ConfirmedRaw!AF:AF)</f>
        <v>0</v>
      </c>
      <c r="AD94">
        <f>SUMIF(ConfirmedRaw!$B:$B,$A94,ConfirmedRaw!AG:AG)</f>
        <v>0</v>
      </c>
      <c r="AE94">
        <f>SUMIF(ConfirmedRaw!$B:$B,$A94,ConfirmedRaw!AH:AH)</f>
        <v>0</v>
      </c>
      <c r="AF94">
        <f>SUMIF(ConfirmedRaw!$B:$B,$A94,ConfirmedRaw!AI:AI)</f>
        <v>0</v>
      </c>
      <c r="AG94">
        <f>SUMIF(ConfirmedRaw!$B:$B,$A94,ConfirmedRaw!AJ:AJ)</f>
        <v>0</v>
      </c>
      <c r="AH94">
        <f>SUMIF(ConfirmedRaw!$B:$B,$A94,ConfirmedRaw!AK:AK)</f>
        <v>0</v>
      </c>
      <c r="AI94">
        <f>SUMIF(ConfirmedRaw!$B:$B,$A94,ConfirmedRaw!AL:AL)</f>
        <v>0</v>
      </c>
      <c r="AJ94">
        <f>SUMIF(ConfirmedRaw!$B:$B,$A94,ConfirmedRaw!AM:AM)</f>
        <v>0</v>
      </c>
      <c r="AK94">
        <f>SUMIF(ConfirmedRaw!$B:$B,$A94,ConfirmedRaw!AN:AN)</f>
        <v>0</v>
      </c>
      <c r="AL94">
        <f>SUMIF(ConfirmedRaw!$B:$B,$A94,ConfirmedRaw!AO:AO)</f>
        <v>0</v>
      </c>
      <c r="AM94">
        <f>SUMIF(ConfirmedRaw!$B:$B,$A94,ConfirmedRaw!AP:AP)</f>
        <v>1</v>
      </c>
      <c r="AN94">
        <f>SUMIF(ConfirmedRaw!$B:$B,$A94,ConfirmedRaw!AQ:AQ)</f>
        <v>1</v>
      </c>
      <c r="AO94">
        <f>SUMIF(ConfirmedRaw!$B:$B,$A94,ConfirmedRaw!AR:AR)</f>
        <v>1</v>
      </c>
      <c r="AP94">
        <f>SUMIF(ConfirmedRaw!$B:$B,$A94,ConfirmedRaw!AS:AS)</f>
        <v>1</v>
      </c>
      <c r="AQ94">
        <f>SUMIF(ConfirmedRaw!$B:$B,$A94,ConfirmedRaw!AT:AT)</f>
        <v>1</v>
      </c>
      <c r="AR94">
        <f>SUMIF(ConfirmedRaw!$B:$B,$A94,ConfirmedRaw!AU:AU)</f>
        <v>3</v>
      </c>
      <c r="AS94">
        <f>SUMIF(ConfirmedRaw!$B:$B,$A94,ConfirmedRaw!AV:AV)</f>
        <v>3</v>
      </c>
      <c r="AT94">
        <f>SUMIF(ConfirmedRaw!$B:$B,$A94,ConfirmedRaw!AW:AW)</f>
        <v>4</v>
      </c>
      <c r="AU94">
        <f>SUMIF(ConfirmedRaw!$B:$B,$A94,ConfirmedRaw!AX:AX)</f>
        <v>5</v>
      </c>
      <c r="AV94">
        <f>SUMIF(ConfirmedRaw!$B:$B,$A94,ConfirmedRaw!AY:AY)</f>
        <v>5</v>
      </c>
      <c r="AW94">
        <f>SUMIF(ConfirmedRaw!$B:$B,$A94,ConfirmedRaw!AZ:AZ)</f>
        <v>5</v>
      </c>
      <c r="AX94">
        <f>SUMIF(ConfirmedRaw!$B:$B,$A94,ConfirmedRaw!BA:BA)</f>
        <v>5</v>
      </c>
      <c r="AY94">
        <f>SUMIF(ConfirmedRaw!$B:$B,$A94,ConfirmedRaw!BB:BB)</f>
        <v>5</v>
      </c>
      <c r="AZ94">
        <f>SUMIF(ConfirmedRaw!$B:$B,$A94,ConfirmedRaw!BC:BC)</f>
        <v>5</v>
      </c>
      <c r="BA94">
        <f>SUMIF(ConfirmedRaw!$B:$B,$A94,ConfirmedRaw!BD:BD)</f>
        <v>5</v>
      </c>
      <c r="BB94">
        <f>SUMIF(ConfirmedRaw!$B:$B,$A94,ConfirmedRaw!BE:BE)</f>
        <v>6</v>
      </c>
      <c r="BC94">
        <f>SUMIF(ConfirmedRaw!$B:$B,$A94,ConfirmedRaw!BF:BF)</f>
        <v>8</v>
      </c>
      <c r="BD94">
        <f>SUMIF(ConfirmedRaw!$B:$B,$A94,ConfirmedRaw!BG:BG)</f>
        <v>8</v>
      </c>
      <c r="BE94">
        <f>SUMIF(ConfirmedRaw!$B:$B,$A94,ConfirmedRaw!BH:BH)</f>
        <v>12</v>
      </c>
      <c r="BF94">
        <f>SUMIF(ConfirmedRaw!$B:$B,$A94,ConfirmedRaw!BI:BI)</f>
        <v>20</v>
      </c>
      <c r="BG94">
        <f>SUMIF(ConfirmedRaw!$B:$B,$A94,ConfirmedRaw!BJ:BJ)</f>
        <v>0</v>
      </c>
      <c r="BH94">
        <f>SUMIF(ConfirmedRaw!$B:$B,$A94,ConfirmedRaw!BK:BK)</f>
        <v>0</v>
      </c>
      <c r="BI94">
        <f>SUMIF(ConfirmedRaw!$B:$B,$A94,ConfirmedRaw!BL:BL)</f>
        <v>0</v>
      </c>
      <c r="BJ94">
        <f>SUMIF(ConfirmedRaw!$B:$B,$A94,ConfirmedRaw!BM:BM)</f>
        <v>0</v>
      </c>
      <c r="BK94">
        <f>SUMIF(ConfirmedRaw!$B:$B,$A94,ConfirmedRaw!BN:BN)</f>
        <v>0</v>
      </c>
      <c r="BL94">
        <f>SUMIF(ConfirmedRaw!$B:$B,$A94,ConfirmedRaw!BO:BO)</f>
        <v>0</v>
      </c>
      <c r="BM94">
        <f>SUMIF(ConfirmedRaw!$B:$B,$A94,ConfirmedRaw!BP:BP)</f>
        <v>0</v>
      </c>
      <c r="BN94">
        <f>SUMIF(ConfirmedRaw!$B:$B,$A94,ConfirmedRaw!BQ:BQ)</f>
        <v>0</v>
      </c>
      <c r="BO94">
        <f>SUMIF(ConfirmedRaw!$B:$B,$A94,ConfirmedRaw!BR:BR)</f>
        <v>0</v>
      </c>
      <c r="BP94">
        <f>SUMIF(ConfirmedRaw!$B:$B,$A94,ConfirmedRaw!BS:BS)</f>
        <v>0</v>
      </c>
      <c r="BQ94">
        <f>SUMIF(ConfirmedRaw!$B:$B,$A94,ConfirmedRaw!BT:BT)</f>
        <v>0</v>
      </c>
      <c r="BR94">
        <f>SUMIF(ConfirmedRaw!$B:$B,$A94,ConfirmedRaw!BU:BU)</f>
        <v>0</v>
      </c>
      <c r="BS94">
        <f>SUMIF(ConfirmedRaw!$B:$B,$A94,ConfirmedRaw!BV:BV)</f>
        <v>0</v>
      </c>
      <c r="BT94">
        <f>SUMIF(ConfirmedRaw!$B:$B,$A94,ConfirmedRaw!BW:BW)</f>
        <v>0</v>
      </c>
    </row>
    <row r="95" spans="1:72" ht="15" thickBot="1" x14ac:dyDescent="0.35">
      <c r="A95" s="4" t="s">
        <v>354</v>
      </c>
      <c r="B95">
        <f>SUMIF(ConfirmedRaw!$B:$B,$A95,ConfirmedRaw!E:E)</f>
        <v>0</v>
      </c>
      <c r="C95">
        <f>SUMIF(ConfirmedRaw!$B:$B,$A95,ConfirmedRaw!F:F)</f>
        <v>0</v>
      </c>
      <c r="D95">
        <f>SUMIF(ConfirmedRaw!$B:$B,$A95,ConfirmedRaw!G:G)</f>
        <v>0</v>
      </c>
      <c r="E95">
        <f>SUMIF(ConfirmedRaw!$B:$B,$A95,ConfirmedRaw!H:H)</f>
        <v>0</v>
      </c>
      <c r="F95">
        <f>SUMIF(ConfirmedRaw!$B:$B,$A95,ConfirmedRaw!I:I)</f>
        <v>0</v>
      </c>
      <c r="G95">
        <f>SUMIF(ConfirmedRaw!$B:$B,$A95,ConfirmedRaw!J:J)</f>
        <v>0</v>
      </c>
      <c r="H95">
        <f>SUMIF(ConfirmedRaw!$B:$B,$A95,ConfirmedRaw!K:K)</f>
        <v>0</v>
      </c>
      <c r="I95">
        <f>SUMIF(ConfirmedRaw!$B:$B,$A95,ConfirmedRaw!L:L)</f>
        <v>0</v>
      </c>
      <c r="J95">
        <f>SUMIF(ConfirmedRaw!$B:$B,$A95,ConfirmedRaw!M:M)</f>
        <v>0</v>
      </c>
      <c r="K95">
        <f>SUMIF(ConfirmedRaw!$B:$B,$A95,ConfirmedRaw!N:N)</f>
        <v>0</v>
      </c>
      <c r="L95">
        <f>SUMIF(ConfirmedRaw!$B:$B,$A95,ConfirmedRaw!O:O)</f>
        <v>0</v>
      </c>
      <c r="M95">
        <f>SUMIF(ConfirmedRaw!$B:$B,$A95,ConfirmedRaw!P:P)</f>
        <v>0</v>
      </c>
      <c r="N95">
        <f>SUMIF(ConfirmedRaw!$B:$B,$A95,ConfirmedRaw!Q:Q)</f>
        <v>0</v>
      </c>
      <c r="O95">
        <f>SUMIF(ConfirmedRaw!$B:$B,$A95,ConfirmedRaw!R:R)</f>
        <v>0</v>
      </c>
      <c r="P95">
        <f>SUMIF(ConfirmedRaw!$B:$B,$A95,ConfirmedRaw!S:S)</f>
        <v>0</v>
      </c>
      <c r="Q95">
        <f>SUMIF(ConfirmedRaw!$B:$B,$A95,ConfirmedRaw!T:T)</f>
        <v>0</v>
      </c>
      <c r="R95">
        <f>SUMIF(ConfirmedRaw!$B:$B,$A95,ConfirmedRaw!U:U)</f>
        <v>0</v>
      </c>
      <c r="S95">
        <f>SUMIF(ConfirmedRaw!$B:$B,$A95,ConfirmedRaw!V:V)</f>
        <v>0</v>
      </c>
      <c r="T95">
        <f>SUMIF(ConfirmedRaw!$B:$B,$A95,ConfirmedRaw!W:W)</f>
        <v>0</v>
      </c>
      <c r="U95">
        <f>SUMIF(ConfirmedRaw!$B:$B,$A95,ConfirmedRaw!X:X)</f>
        <v>0</v>
      </c>
      <c r="V95">
        <f>SUMIF(ConfirmedRaw!$B:$B,$A95,ConfirmedRaw!Y:Y)</f>
        <v>0</v>
      </c>
      <c r="W95">
        <f>SUMIF(ConfirmedRaw!$B:$B,$A95,ConfirmedRaw!Z:Z)</f>
        <v>0</v>
      </c>
      <c r="X95">
        <f>SUMIF(ConfirmedRaw!$B:$B,$A95,ConfirmedRaw!AA:AA)</f>
        <v>0</v>
      </c>
      <c r="Y95">
        <f>SUMIF(ConfirmedRaw!$B:$B,$A95,ConfirmedRaw!AB:AB)</f>
        <v>0</v>
      </c>
      <c r="Z95">
        <f>SUMIF(ConfirmedRaw!$B:$B,$A95,ConfirmedRaw!AC:AC)</f>
        <v>0</v>
      </c>
      <c r="AA95">
        <f>SUMIF(ConfirmedRaw!$B:$B,$A95,ConfirmedRaw!AD:AD)</f>
        <v>0</v>
      </c>
      <c r="AB95">
        <f>SUMIF(ConfirmedRaw!$B:$B,$A95,ConfirmedRaw!AE:AE)</f>
        <v>0</v>
      </c>
      <c r="AC95">
        <f>SUMIF(ConfirmedRaw!$B:$B,$A95,ConfirmedRaw!AF:AF)</f>
        <v>0</v>
      </c>
      <c r="AD95">
        <f>SUMIF(ConfirmedRaw!$B:$B,$A95,ConfirmedRaw!AG:AG)</f>
        <v>0</v>
      </c>
      <c r="AE95">
        <f>SUMIF(ConfirmedRaw!$B:$B,$A95,ConfirmedRaw!AH:AH)</f>
        <v>0</v>
      </c>
      <c r="AF95">
        <f>SUMIF(ConfirmedRaw!$B:$B,$A95,ConfirmedRaw!AI:AI)</f>
        <v>0</v>
      </c>
      <c r="AG95">
        <f>SUMIF(ConfirmedRaw!$B:$B,$A95,ConfirmedRaw!AJ:AJ)</f>
        <v>0</v>
      </c>
      <c r="AH95">
        <f>SUMIF(ConfirmedRaw!$B:$B,$A95,ConfirmedRaw!AK:AK)</f>
        <v>0</v>
      </c>
      <c r="AI95">
        <f>SUMIF(ConfirmedRaw!$B:$B,$A95,ConfirmedRaw!AL:AL)</f>
        <v>0</v>
      </c>
      <c r="AJ95">
        <f>SUMIF(ConfirmedRaw!$B:$B,$A95,ConfirmedRaw!AM:AM)</f>
        <v>0</v>
      </c>
      <c r="AK95">
        <f>SUMIF(ConfirmedRaw!$B:$B,$A95,ConfirmedRaw!AN:AN)</f>
        <v>0</v>
      </c>
      <c r="AL95">
        <f>SUMIF(ConfirmedRaw!$B:$B,$A95,ConfirmedRaw!AO:AO)</f>
        <v>0</v>
      </c>
      <c r="AM95">
        <f>SUMIF(ConfirmedRaw!$B:$B,$A95,ConfirmedRaw!AP:AP)</f>
        <v>0</v>
      </c>
      <c r="AN95">
        <f>SUMIF(ConfirmedRaw!$B:$B,$A95,ConfirmedRaw!AQ:AQ)</f>
        <v>0</v>
      </c>
      <c r="AO95">
        <f>SUMIF(ConfirmedRaw!$B:$B,$A95,ConfirmedRaw!AR:AR)</f>
        <v>0</v>
      </c>
      <c r="AP95">
        <f>SUMIF(ConfirmedRaw!$B:$B,$A95,ConfirmedRaw!AS:AS)</f>
        <v>0</v>
      </c>
      <c r="AQ95">
        <f>SUMIF(ConfirmedRaw!$B:$B,$A95,ConfirmedRaw!AT:AT)</f>
        <v>0</v>
      </c>
      <c r="AR95">
        <f>SUMIF(ConfirmedRaw!$B:$B,$A95,ConfirmedRaw!AU:AU)</f>
        <v>0</v>
      </c>
      <c r="AS95">
        <f>SUMIF(ConfirmedRaw!$B:$B,$A95,ConfirmedRaw!AV:AV)</f>
        <v>0</v>
      </c>
      <c r="AT95">
        <f>SUMIF(ConfirmedRaw!$B:$B,$A95,ConfirmedRaw!AW:AW)</f>
        <v>0</v>
      </c>
      <c r="AU95">
        <f>SUMIF(ConfirmedRaw!$B:$B,$A95,ConfirmedRaw!AX:AX)</f>
        <v>0</v>
      </c>
      <c r="AV95">
        <f>SUMIF(ConfirmedRaw!$B:$B,$A95,ConfirmedRaw!AY:AY)</f>
        <v>0</v>
      </c>
      <c r="AW95">
        <f>SUMIF(ConfirmedRaw!$B:$B,$A95,ConfirmedRaw!AZ:AZ)</f>
        <v>0</v>
      </c>
      <c r="AX95">
        <f>SUMIF(ConfirmedRaw!$B:$B,$A95,ConfirmedRaw!BA:BA)</f>
        <v>0</v>
      </c>
      <c r="AY95">
        <f>SUMIF(ConfirmedRaw!$B:$B,$A95,ConfirmedRaw!BB:BB)</f>
        <v>0</v>
      </c>
      <c r="AZ95">
        <f>SUMIF(ConfirmedRaw!$B:$B,$A95,ConfirmedRaw!BC:BC)</f>
        <v>0</v>
      </c>
      <c r="BA95">
        <f>SUMIF(ConfirmedRaw!$B:$B,$A95,ConfirmedRaw!BD:BD)</f>
        <v>0</v>
      </c>
      <c r="BB95">
        <f>SUMIF(ConfirmedRaw!$B:$B,$A95,ConfirmedRaw!BE:BE)</f>
        <v>0</v>
      </c>
      <c r="BC95">
        <f>SUMIF(ConfirmedRaw!$B:$B,$A95,ConfirmedRaw!BF:BF)</f>
        <v>0</v>
      </c>
      <c r="BD95">
        <f>SUMIF(ConfirmedRaw!$B:$B,$A95,ConfirmedRaw!BG:BG)</f>
        <v>0</v>
      </c>
      <c r="BE95">
        <f>SUMIF(ConfirmedRaw!$B:$B,$A95,ConfirmedRaw!BH:BH)</f>
        <v>0</v>
      </c>
      <c r="BF95">
        <f>SUMIF(ConfirmedRaw!$B:$B,$A95,ConfirmedRaw!BI:BI)</f>
        <v>0</v>
      </c>
      <c r="BG95">
        <f>SUMIF(ConfirmedRaw!$B:$B,$A95,ConfirmedRaw!BJ:BJ)</f>
        <v>0</v>
      </c>
      <c r="BH95">
        <f>SUMIF(ConfirmedRaw!$B:$B,$A95,ConfirmedRaw!BK:BK)</f>
        <v>0</v>
      </c>
      <c r="BI95">
        <f>SUMIF(ConfirmedRaw!$B:$B,$A95,ConfirmedRaw!BL:BL)</f>
        <v>0</v>
      </c>
      <c r="BJ95">
        <f>SUMIF(ConfirmedRaw!$B:$B,$A95,ConfirmedRaw!BM:BM)</f>
        <v>0</v>
      </c>
      <c r="BK95">
        <f>SUMIF(ConfirmedRaw!$B:$B,$A95,ConfirmedRaw!BN:BN)</f>
        <v>0</v>
      </c>
      <c r="BL95">
        <f>SUMIF(ConfirmedRaw!$B:$B,$A95,ConfirmedRaw!BO:BO)</f>
        <v>0</v>
      </c>
      <c r="BM95">
        <f>SUMIF(ConfirmedRaw!$B:$B,$A95,ConfirmedRaw!BP:BP)</f>
        <v>0</v>
      </c>
      <c r="BN95">
        <f>SUMIF(ConfirmedRaw!$B:$B,$A95,ConfirmedRaw!BQ:BQ)</f>
        <v>0</v>
      </c>
      <c r="BO95">
        <f>SUMIF(ConfirmedRaw!$B:$B,$A95,ConfirmedRaw!BR:BR)</f>
        <v>0</v>
      </c>
      <c r="BP95">
        <f>SUMIF(ConfirmedRaw!$B:$B,$A95,ConfirmedRaw!BS:BS)</f>
        <v>0</v>
      </c>
      <c r="BQ95">
        <f>SUMIF(ConfirmedRaw!$B:$B,$A95,ConfirmedRaw!BT:BT)</f>
        <v>0</v>
      </c>
      <c r="BR95">
        <f>SUMIF(ConfirmedRaw!$B:$B,$A95,ConfirmedRaw!BU:BU)</f>
        <v>0</v>
      </c>
      <c r="BS95">
        <f>SUMIF(ConfirmedRaw!$B:$B,$A95,ConfirmedRaw!BV:BV)</f>
        <v>0</v>
      </c>
      <c r="BT95">
        <f>SUMIF(ConfirmedRaw!$B:$B,$A95,ConfirmedRaw!BW:BW)</f>
        <v>0</v>
      </c>
    </row>
    <row r="96" spans="1:72" ht="15" thickBot="1" x14ac:dyDescent="0.35">
      <c r="A96" s="3" t="s">
        <v>355</v>
      </c>
      <c r="B96">
        <f>SUMIF(ConfirmedRaw!$B:$B,$A96,ConfirmedRaw!E:E)</f>
        <v>0</v>
      </c>
      <c r="C96">
        <f>SUMIF(ConfirmedRaw!$B:$B,$A96,ConfirmedRaw!F:F)</f>
        <v>0</v>
      </c>
      <c r="D96">
        <f>SUMIF(ConfirmedRaw!$B:$B,$A96,ConfirmedRaw!G:G)</f>
        <v>0</v>
      </c>
      <c r="E96">
        <f>SUMIF(ConfirmedRaw!$B:$B,$A96,ConfirmedRaw!H:H)</f>
        <v>0</v>
      </c>
      <c r="F96">
        <f>SUMIF(ConfirmedRaw!$B:$B,$A96,ConfirmedRaw!I:I)</f>
        <v>0</v>
      </c>
      <c r="G96">
        <f>SUMIF(ConfirmedRaw!$B:$B,$A96,ConfirmedRaw!J:J)</f>
        <v>0</v>
      </c>
      <c r="H96">
        <f>SUMIF(ConfirmedRaw!$B:$B,$A96,ConfirmedRaw!K:K)</f>
        <v>0</v>
      </c>
      <c r="I96">
        <f>SUMIF(ConfirmedRaw!$B:$B,$A96,ConfirmedRaw!L:L)</f>
        <v>0</v>
      </c>
      <c r="J96">
        <f>SUMIF(ConfirmedRaw!$B:$B,$A96,ConfirmedRaw!M:M)</f>
        <v>0</v>
      </c>
      <c r="K96">
        <f>SUMIF(ConfirmedRaw!$B:$B,$A96,ConfirmedRaw!N:N)</f>
        <v>0</v>
      </c>
      <c r="L96">
        <f>SUMIF(ConfirmedRaw!$B:$B,$A96,ConfirmedRaw!O:O)</f>
        <v>0</v>
      </c>
      <c r="M96">
        <f>SUMIF(ConfirmedRaw!$B:$B,$A96,ConfirmedRaw!P:P)</f>
        <v>0</v>
      </c>
      <c r="N96">
        <f>SUMIF(ConfirmedRaw!$B:$B,$A96,ConfirmedRaw!Q:Q)</f>
        <v>0</v>
      </c>
      <c r="O96">
        <f>SUMIF(ConfirmedRaw!$B:$B,$A96,ConfirmedRaw!R:R)</f>
        <v>0</v>
      </c>
      <c r="P96">
        <f>SUMIF(ConfirmedRaw!$B:$B,$A96,ConfirmedRaw!S:S)</f>
        <v>0</v>
      </c>
      <c r="Q96">
        <f>SUMIF(ConfirmedRaw!$B:$B,$A96,ConfirmedRaw!T:T)</f>
        <v>0</v>
      </c>
      <c r="R96">
        <f>SUMIF(ConfirmedRaw!$B:$B,$A96,ConfirmedRaw!U:U)</f>
        <v>0</v>
      </c>
      <c r="S96">
        <f>SUMIF(ConfirmedRaw!$B:$B,$A96,ConfirmedRaw!V:V)</f>
        <v>0</v>
      </c>
      <c r="T96">
        <f>SUMIF(ConfirmedRaw!$B:$B,$A96,ConfirmedRaw!W:W)</f>
        <v>0</v>
      </c>
      <c r="U96">
        <f>SUMIF(ConfirmedRaw!$B:$B,$A96,ConfirmedRaw!X:X)</f>
        <v>0</v>
      </c>
      <c r="V96">
        <f>SUMIF(ConfirmedRaw!$B:$B,$A96,ConfirmedRaw!Y:Y)</f>
        <v>0</v>
      </c>
      <c r="W96">
        <f>SUMIF(ConfirmedRaw!$B:$B,$A96,ConfirmedRaw!Z:Z)</f>
        <v>0</v>
      </c>
      <c r="X96">
        <f>SUMIF(ConfirmedRaw!$B:$B,$A96,ConfirmedRaw!AA:AA)</f>
        <v>0</v>
      </c>
      <c r="Y96">
        <f>SUMIF(ConfirmedRaw!$B:$B,$A96,ConfirmedRaw!AB:AB)</f>
        <v>0</v>
      </c>
      <c r="Z96">
        <f>SUMIF(ConfirmedRaw!$B:$B,$A96,ConfirmedRaw!AC:AC)</f>
        <v>0</v>
      </c>
      <c r="AA96">
        <f>SUMIF(ConfirmedRaw!$B:$B,$A96,ConfirmedRaw!AD:AD)</f>
        <v>0</v>
      </c>
      <c r="AB96">
        <f>SUMIF(ConfirmedRaw!$B:$B,$A96,ConfirmedRaw!AE:AE)</f>
        <v>0</v>
      </c>
      <c r="AC96">
        <f>SUMIF(ConfirmedRaw!$B:$B,$A96,ConfirmedRaw!AF:AF)</f>
        <v>0</v>
      </c>
      <c r="AD96">
        <f>SUMIF(ConfirmedRaw!$B:$B,$A96,ConfirmedRaw!AG:AG)</f>
        <v>0</v>
      </c>
      <c r="AE96">
        <f>SUMIF(ConfirmedRaw!$B:$B,$A96,ConfirmedRaw!AH:AH)</f>
        <v>0</v>
      </c>
      <c r="AF96">
        <f>SUMIF(ConfirmedRaw!$B:$B,$A96,ConfirmedRaw!AI:AI)</f>
        <v>0</v>
      </c>
      <c r="AG96">
        <f>SUMIF(ConfirmedRaw!$B:$B,$A96,ConfirmedRaw!AJ:AJ)</f>
        <v>0</v>
      </c>
      <c r="AH96">
        <f>SUMIF(ConfirmedRaw!$B:$B,$A96,ConfirmedRaw!AK:AK)</f>
        <v>0</v>
      </c>
      <c r="AI96">
        <f>SUMIF(ConfirmedRaw!$B:$B,$A96,ConfirmedRaw!AL:AL)</f>
        <v>0</v>
      </c>
      <c r="AJ96">
        <f>SUMIF(ConfirmedRaw!$B:$B,$A96,ConfirmedRaw!AM:AM)</f>
        <v>0</v>
      </c>
      <c r="AK96">
        <f>SUMIF(ConfirmedRaw!$B:$B,$A96,ConfirmedRaw!AN:AN)</f>
        <v>0</v>
      </c>
      <c r="AL96">
        <f>SUMIF(ConfirmedRaw!$B:$B,$A96,ConfirmedRaw!AO:AO)</f>
        <v>0</v>
      </c>
      <c r="AM96">
        <f>SUMIF(ConfirmedRaw!$B:$B,$A96,ConfirmedRaw!AP:AP)</f>
        <v>0</v>
      </c>
      <c r="AN96">
        <f>SUMIF(ConfirmedRaw!$B:$B,$A96,ConfirmedRaw!AQ:AQ)</f>
        <v>0</v>
      </c>
      <c r="AO96">
        <f>SUMIF(ConfirmedRaw!$B:$B,$A96,ConfirmedRaw!AR:AR)</f>
        <v>0</v>
      </c>
      <c r="AP96">
        <f>SUMIF(ConfirmedRaw!$B:$B,$A96,ConfirmedRaw!AS:AS)</f>
        <v>0</v>
      </c>
      <c r="AQ96">
        <f>SUMIF(ConfirmedRaw!$B:$B,$A96,ConfirmedRaw!AT:AT)</f>
        <v>0</v>
      </c>
      <c r="AR96">
        <f>SUMIF(ConfirmedRaw!$B:$B,$A96,ConfirmedRaw!AU:AU)</f>
        <v>0</v>
      </c>
      <c r="AS96">
        <f>SUMIF(ConfirmedRaw!$B:$B,$A96,ConfirmedRaw!AV:AV)</f>
        <v>0</v>
      </c>
      <c r="AT96">
        <f>SUMIF(ConfirmedRaw!$B:$B,$A96,ConfirmedRaw!AW:AW)</f>
        <v>0</v>
      </c>
      <c r="AU96">
        <f>SUMIF(ConfirmedRaw!$B:$B,$A96,ConfirmedRaw!AX:AX)</f>
        <v>0</v>
      </c>
      <c r="AV96">
        <f>SUMIF(ConfirmedRaw!$B:$B,$A96,ConfirmedRaw!AY:AY)</f>
        <v>0</v>
      </c>
      <c r="AW96">
        <f>SUMIF(ConfirmedRaw!$B:$B,$A96,ConfirmedRaw!AZ:AZ)</f>
        <v>0</v>
      </c>
      <c r="AX96">
        <f>SUMIF(ConfirmedRaw!$B:$B,$A96,ConfirmedRaw!BA:BA)</f>
        <v>0</v>
      </c>
      <c r="AY96">
        <f>SUMIF(ConfirmedRaw!$B:$B,$A96,ConfirmedRaw!BB:BB)</f>
        <v>1</v>
      </c>
      <c r="AZ96">
        <f>SUMIF(ConfirmedRaw!$B:$B,$A96,ConfirmedRaw!BC:BC)</f>
        <v>1</v>
      </c>
      <c r="BA96">
        <f>SUMIF(ConfirmedRaw!$B:$B,$A96,ConfirmedRaw!BD:BD)</f>
        <v>5</v>
      </c>
      <c r="BB96">
        <f>SUMIF(ConfirmedRaw!$B:$B,$A96,ConfirmedRaw!BE:BE)</f>
        <v>5</v>
      </c>
      <c r="BC96">
        <f>SUMIF(ConfirmedRaw!$B:$B,$A96,ConfirmedRaw!BF:BF)</f>
        <v>6</v>
      </c>
      <c r="BD96">
        <f>SUMIF(ConfirmedRaw!$B:$B,$A96,ConfirmedRaw!BG:BG)</f>
        <v>18</v>
      </c>
      <c r="BE96">
        <f>SUMIF(ConfirmedRaw!$B:$B,$A96,ConfirmedRaw!BH:BH)</f>
        <v>47</v>
      </c>
      <c r="BF96">
        <f>SUMIF(ConfirmedRaw!$B:$B,$A96,ConfirmedRaw!BI:BI)</f>
        <v>98</v>
      </c>
      <c r="BG96">
        <f>SUMIF(ConfirmedRaw!$B:$B,$A96,ConfirmedRaw!BJ:BJ)</f>
        <v>0</v>
      </c>
      <c r="BH96">
        <f>SUMIF(ConfirmedRaw!$B:$B,$A96,ConfirmedRaw!BK:BK)</f>
        <v>0</v>
      </c>
      <c r="BI96">
        <f>SUMIF(ConfirmedRaw!$B:$B,$A96,ConfirmedRaw!BL:BL)</f>
        <v>0</v>
      </c>
      <c r="BJ96">
        <f>SUMIF(ConfirmedRaw!$B:$B,$A96,ConfirmedRaw!BM:BM)</f>
        <v>0</v>
      </c>
      <c r="BK96">
        <f>SUMIF(ConfirmedRaw!$B:$B,$A96,ConfirmedRaw!BN:BN)</f>
        <v>0</v>
      </c>
      <c r="BL96">
        <f>SUMIF(ConfirmedRaw!$B:$B,$A96,ConfirmedRaw!BO:BO)</f>
        <v>0</v>
      </c>
      <c r="BM96">
        <f>SUMIF(ConfirmedRaw!$B:$B,$A96,ConfirmedRaw!BP:BP)</f>
        <v>0</v>
      </c>
      <c r="BN96">
        <f>SUMIF(ConfirmedRaw!$B:$B,$A96,ConfirmedRaw!BQ:BQ)</f>
        <v>0</v>
      </c>
      <c r="BO96">
        <f>SUMIF(ConfirmedRaw!$B:$B,$A96,ConfirmedRaw!BR:BR)</f>
        <v>0</v>
      </c>
      <c r="BP96">
        <f>SUMIF(ConfirmedRaw!$B:$B,$A96,ConfirmedRaw!BS:BS)</f>
        <v>0</v>
      </c>
      <c r="BQ96">
        <f>SUMIF(ConfirmedRaw!$B:$B,$A96,ConfirmedRaw!BT:BT)</f>
        <v>0</v>
      </c>
      <c r="BR96">
        <f>SUMIF(ConfirmedRaw!$B:$B,$A96,ConfirmedRaw!BU:BU)</f>
        <v>0</v>
      </c>
      <c r="BS96">
        <f>SUMIF(ConfirmedRaw!$B:$B,$A96,ConfirmedRaw!BV:BV)</f>
        <v>0</v>
      </c>
      <c r="BT96">
        <f>SUMIF(ConfirmedRaw!$B:$B,$A96,ConfirmedRaw!BW:BW)</f>
        <v>0</v>
      </c>
    </row>
    <row r="97" spans="1:72" ht="15" thickBot="1" x14ac:dyDescent="0.35">
      <c r="A97" s="4" t="s">
        <v>410</v>
      </c>
      <c r="B97">
        <f>SUMIF(ConfirmedRaw!$B:$B,$A97,ConfirmedRaw!E:E)</f>
        <v>0</v>
      </c>
      <c r="C97">
        <f>SUMIF(ConfirmedRaw!$B:$B,$A97,ConfirmedRaw!F:F)</f>
        <v>0</v>
      </c>
      <c r="D97">
        <f>SUMIF(ConfirmedRaw!$B:$B,$A97,ConfirmedRaw!G:G)</f>
        <v>0</v>
      </c>
      <c r="E97">
        <f>SUMIF(ConfirmedRaw!$B:$B,$A97,ConfirmedRaw!H:H)</f>
        <v>0</v>
      </c>
      <c r="F97">
        <f>SUMIF(ConfirmedRaw!$B:$B,$A97,ConfirmedRaw!I:I)</f>
        <v>0</v>
      </c>
      <c r="G97">
        <f>SUMIF(ConfirmedRaw!$B:$B,$A97,ConfirmedRaw!J:J)</f>
        <v>0</v>
      </c>
      <c r="H97">
        <f>SUMIF(ConfirmedRaw!$B:$B,$A97,ConfirmedRaw!K:K)</f>
        <v>0</v>
      </c>
      <c r="I97">
        <f>SUMIF(ConfirmedRaw!$B:$B,$A97,ConfirmedRaw!L:L)</f>
        <v>0</v>
      </c>
      <c r="J97">
        <f>SUMIF(ConfirmedRaw!$B:$B,$A97,ConfirmedRaw!M:M)</f>
        <v>0</v>
      </c>
      <c r="K97">
        <f>SUMIF(ConfirmedRaw!$B:$B,$A97,ConfirmedRaw!N:N)</f>
        <v>0</v>
      </c>
      <c r="L97">
        <f>SUMIF(ConfirmedRaw!$B:$B,$A97,ConfirmedRaw!O:O)</f>
        <v>0</v>
      </c>
      <c r="M97">
        <f>SUMIF(ConfirmedRaw!$B:$B,$A97,ConfirmedRaw!P:P)</f>
        <v>0</v>
      </c>
      <c r="N97">
        <f>SUMIF(ConfirmedRaw!$B:$B,$A97,ConfirmedRaw!Q:Q)</f>
        <v>0</v>
      </c>
      <c r="O97">
        <f>SUMIF(ConfirmedRaw!$B:$B,$A97,ConfirmedRaw!R:R)</f>
        <v>0</v>
      </c>
      <c r="P97">
        <f>SUMIF(ConfirmedRaw!$B:$B,$A97,ConfirmedRaw!S:S)</f>
        <v>0</v>
      </c>
      <c r="Q97">
        <f>SUMIF(ConfirmedRaw!$B:$B,$A97,ConfirmedRaw!T:T)</f>
        <v>0</v>
      </c>
      <c r="R97">
        <f>SUMIF(ConfirmedRaw!$B:$B,$A97,ConfirmedRaw!U:U)</f>
        <v>0</v>
      </c>
      <c r="S97">
        <f>SUMIF(ConfirmedRaw!$B:$B,$A97,ConfirmedRaw!V:V)</f>
        <v>0</v>
      </c>
      <c r="T97">
        <f>SUMIF(ConfirmedRaw!$B:$B,$A97,ConfirmedRaw!W:W)</f>
        <v>0</v>
      </c>
      <c r="U97">
        <f>SUMIF(ConfirmedRaw!$B:$B,$A97,ConfirmedRaw!X:X)</f>
        <v>0</v>
      </c>
      <c r="V97">
        <f>SUMIF(ConfirmedRaw!$B:$B,$A97,ConfirmedRaw!Y:Y)</f>
        <v>0</v>
      </c>
      <c r="W97">
        <f>SUMIF(ConfirmedRaw!$B:$B,$A97,ConfirmedRaw!Z:Z)</f>
        <v>0</v>
      </c>
      <c r="X97">
        <f>SUMIF(ConfirmedRaw!$B:$B,$A97,ConfirmedRaw!AA:AA)</f>
        <v>0</v>
      </c>
      <c r="Y97">
        <f>SUMIF(ConfirmedRaw!$B:$B,$A97,ConfirmedRaw!AB:AB)</f>
        <v>0</v>
      </c>
      <c r="Z97">
        <f>SUMIF(ConfirmedRaw!$B:$B,$A97,ConfirmedRaw!AC:AC)</f>
        <v>0</v>
      </c>
      <c r="AA97">
        <f>SUMIF(ConfirmedRaw!$B:$B,$A97,ConfirmedRaw!AD:AD)</f>
        <v>0</v>
      </c>
      <c r="AB97">
        <f>SUMIF(ConfirmedRaw!$B:$B,$A97,ConfirmedRaw!AE:AE)</f>
        <v>0</v>
      </c>
      <c r="AC97">
        <f>SUMIF(ConfirmedRaw!$B:$B,$A97,ConfirmedRaw!AF:AF)</f>
        <v>0</v>
      </c>
      <c r="AD97">
        <f>SUMIF(ConfirmedRaw!$B:$B,$A97,ConfirmedRaw!AG:AG)</f>
        <v>0</v>
      </c>
      <c r="AE97">
        <f>SUMIF(ConfirmedRaw!$B:$B,$A97,ConfirmedRaw!AH:AH)</f>
        <v>0</v>
      </c>
      <c r="AF97">
        <f>SUMIF(ConfirmedRaw!$B:$B,$A97,ConfirmedRaw!AI:AI)</f>
        <v>0</v>
      </c>
      <c r="AG97">
        <f>SUMIF(ConfirmedRaw!$B:$B,$A97,ConfirmedRaw!AJ:AJ)</f>
        <v>0</v>
      </c>
      <c r="AH97">
        <f>SUMIF(ConfirmedRaw!$B:$B,$A97,ConfirmedRaw!AK:AK)</f>
        <v>0</v>
      </c>
      <c r="AI97">
        <f>SUMIF(ConfirmedRaw!$B:$B,$A97,ConfirmedRaw!AL:AL)</f>
        <v>0</v>
      </c>
      <c r="AJ97">
        <f>SUMIF(ConfirmedRaw!$B:$B,$A97,ConfirmedRaw!AM:AM)</f>
        <v>0</v>
      </c>
      <c r="AK97">
        <f>SUMIF(ConfirmedRaw!$B:$B,$A97,ConfirmedRaw!AN:AN)</f>
        <v>0</v>
      </c>
      <c r="AL97">
        <f>SUMIF(ConfirmedRaw!$B:$B,$A97,ConfirmedRaw!AO:AO)</f>
        <v>0</v>
      </c>
      <c r="AM97">
        <f>SUMIF(ConfirmedRaw!$B:$B,$A97,ConfirmedRaw!AP:AP)</f>
        <v>0</v>
      </c>
      <c r="AN97">
        <f>SUMIF(ConfirmedRaw!$B:$B,$A97,ConfirmedRaw!AQ:AQ)</f>
        <v>0</v>
      </c>
      <c r="AO97">
        <f>SUMIF(ConfirmedRaw!$B:$B,$A97,ConfirmedRaw!AR:AR)</f>
        <v>0</v>
      </c>
      <c r="AP97">
        <f>SUMIF(ConfirmedRaw!$B:$B,$A97,ConfirmedRaw!AS:AS)</f>
        <v>0</v>
      </c>
      <c r="AQ97">
        <f>SUMIF(ConfirmedRaw!$B:$B,$A97,ConfirmedRaw!AT:AT)</f>
        <v>0</v>
      </c>
      <c r="AR97">
        <f>SUMIF(ConfirmedRaw!$B:$B,$A97,ConfirmedRaw!AU:AU)</f>
        <v>0</v>
      </c>
      <c r="AS97">
        <f>SUMIF(ConfirmedRaw!$B:$B,$A97,ConfirmedRaw!AV:AV)</f>
        <v>0</v>
      </c>
      <c r="AT97">
        <f>SUMIF(ConfirmedRaw!$B:$B,$A97,ConfirmedRaw!AW:AW)</f>
        <v>0</v>
      </c>
      <c r="AU97">
        <f>SUMIF(ConfirmedRaw!$B:$B,$A97,ConfirmedRaw!AX:AX)</f>
        <v>0</v>
      </c>
      <c r="AV97">
        <f>SUMIF(ConfirmedRaw!$B:$B,$A97,ConfirmedRaw!AY:AY)</f>
        <v>0</v>
      </c>
      <c r="AW97">
        <f>SUMIF(ConfirmedRaw!$B:$B,$A97,ConfirmedRaw!AZ:AZ)</f>
        <v>0</v>
      </c>
      <c r="AX97">
        <f>SUMIF(ConfirmedRaw!$B:$B,$A97,ConfirmedRaw!BA:BA)</f>
        <v>0</v>
      </c>
      <c r="AY97">
        <f>SUMIF(ConfirmedRaw!$B:$B,$A97,ConfirmedRaw!BB:BB)</f>
        <v>0</v>
      </c>
      <c r="AZ97">
        <f>SUMIF(ConfirmedRaw!$B:$B,$A97,ConfirmedRaw!BC:BC)</f>
        <v>3</v>
      </c>
      <c r="BA97">
        <f>SUMIF(ConfirmedRaw!$B:$B,$A97,ConfirmedRaw!BD:BD)</f>
        <v>4</v>
      </c>
      <c r="BB97">
        <f>SUMIF(ConfirmedRaw!$B:$B,$A97,ConfirmedRaw!BE:BE)</f>
        <v>4</v>
      </c>
      <c r="BC97">
        <f>SUMIF(ConfirmedRaw!$B:$B,$A97,ConfirmedRaw!BF:BF)</f>
        <v>4</v>
      </c>
      <c r="BD97">
        <f>SUMIF(ConfirmedRaw!$B:$B,$A97,ConfirmedRaw!BG:BG)</f>
        <v>4</v>
      </c>
      <c r="BE97">
        <f>SUMIF(ConfirmedRaw!$B:$B,$A97,ConfirmedRaw!BH:BH)</f>
        <v>5</v>
      </c>
      <c r="BF97">
        <f>SUMIF(ConfirmedRaw!$B:$B,$A97,ConfirmedRaw!BI:BI)</f>
        <v>7</v>
      </c>
      <c r="BG97">
        <f>SUMIF(ConfirmedRaw!$B:$B,$A97,ConfirmedRaw!BJ:BJ)</f>
        <v>0</v>
      </c>
      <c r="BH97">
        <f>SUMIF(ConfirmedRaw!$B:$B,$A97,ConfirmedRaw!BK:BK)</f>
        <v>0</v>
      </c>
      <c r="BI97">
        <f>SUMIF(ConfirmedRaw!$B:$B,$A97,ConfirmedRaw!BL:BL)</f>
        <v>0</v>
      </c>
      <c r="BJ97">
        <f>SUMIF(ConfirmedRaw!$B:$B,$A97,ConfirmedRaw!BM:BM)</f>
        <v>0</v>
      </c>
      <c r="BK97">
        <f>SUMIF(ConfirmedRaw!$B:$B,$A97,ConfirmedRaw!BN:BN)</f>
        <v>0</v>
      </c>
      <c r="BL97">
        <f>SUMIF(ConfirmedRaw!$B:$B,$A97,ConfirmedRaw!BO:BO)</f>
        <v>0</v>
      </c>
      <c r="BM97">
        <f>SUMIF(ConfirmedRaw!$B:$B,$A97,ConfirmedRaw!BP:BP)</f>
        <v>0</v>
      </c>
      <c r="BN97">
        <f>SUMIF(ConfirmedRaw!$B:$B,$A97,ConfirmedRaw!BQ:BQ)</f>
        <v>0</v>
      </c>
      <c r="BO97">
        <f>SUMIF(ConfirmedRaw!$B:$B,$A97,ConfirmedRaw!BR:BR)</f>
        <v>0</v>
      </c>
      <c r="BP97">
        <f>SUMIF(ConfirmedRaw!$B:$B,$A97,ConfirmedRaw!BS:BS)</f>
        <v>0</v>
      </c>
      <c r="BQ97">
        <f>SUMIF(ConfirmedRaw!$B:$B,$A97,ConfirmedRaw!BT:BT)</f>
        <v>0</v>
      </c>
      <c r="BR97">
        <f>SUMIF(ConfirmedRaw!$B:$B,$A97,ConfirmedRaw!BU:BU)</f>
        <v>0</v>
      </c>
      <c r="BS97">
        <f>SUMIF(ConfirmedRaw!$B:$B,$A97,ConfirmedRaw!BV:BV)</f>
        <v>0</v>
      </c>
      <c r="BT97">
        <f>SUMIF(ConfirmedRaw!$B:$B,$A97,ConfirmedRaw!BW:BW)</f>
        <v>0</v>
      </c>
    </row>
    <row r="98" spans="1:72" ht="15" thickBot="1" x14ac:dyDescent="0.35">
      <c r="A98" s="4" t="s">
        <v>413</v>
      </c>
      <c r="B98">
        <f>SUMIF(ConfirmedRaw!$B:$B,$A98,ConfirmedRaw!E:E)</f>
        <v>0</v>
      </c>
      <c r="C98">
        <f>SUMIF(ConfirmedRaw!$B:$B,$A98,ConfirmedRaw!F:F)</f>
        <v>0</v>
      </c>
      <c r="D98">
        <f>SUMIF(ConfirmedRaw!$B:$B,$A98,ConfirmedRaw!G:G)</f>
        <v>0</v>
      </c>
      <c r="E98">
        <f>SUMIF(ConfirmedRaw!$B:$B,$A98,ConfirmedRaw!H:H)</f>
        <v>0</v>
      </c>
      <c r="F98">
        <f>SUMIF(ConfirmedRaw!$B:$B,$A98,ConfirmedRaw!I:I)</f>
        <v>0</v>
      </c>
      <c r="G98">
        <f>SUMIF(ConfirmedRaw!$B:$B,$A98,ConfirmedRaw!J:J)</f>
        <v>0</v>
      </c>
      <c r="H98">
        <f>SUMIF(ConfirmedRaw!$B:$B,$A98,ConfirmedRaw!K:K)</f>
        <v>0</v>
      </c>
      <c r="I98">
        <f>SUMIF(ConfirmedRaw!$B:$B,$A98,ConfirmedRaw!L:L)</f>
        <v>0</v>
      </c>
      <c r="J98">
        <f>SUMIF(ConfirmedRaw!$B:$B,$A98,ConfirmedRaw!M:M)</f>
        <v>0</v>
      </c>
      <c r="K98">
        <f>SUMIF(ConfirmedRaw!$B:$B,$A98,ConfirmedRaw!N:N)</f>
        <v>0</v>
      </c>
      <c r="L98">
        <f>SUMIF(ConfirmedRaw!$B:$B,$A98,ConfirmedRaw!O:O)</f>
        <v>0</v>
      </c>
      <c r="M98">
        <f>SUMIF(ConfirmedRaw!$B:$B,$A98,ConfirmedRaw!P:P)</f>
        <v>0</v>
      </c>
      <c r="N98">
        <f>SUMIF(ConfirmedRaw!$B:$B,$A98,ConfirmedRaw!Q:Q)</f>
        <v>0</v>
      </c>
      <c r="O98">
        <f>SUMIF(ConfirmedRaw!$B:$B,$A98,ConfirmedRaw!R:R)</f>
        <v>0</v>
      </c>
      <c r="P98">
        <f>SUMIF(ConfirmedRaw!$B:$B,$A98,ConfirmedRaw!S:S)</f>
        <v>0</v>
      </c>
      <c r="Q98">
        <f>SUMIF(ConfirmedRaw!$B:$B,$A98,ConfirmedRaw!T:T)</f>
        <v>0</v>
      </c>
      <c r="R98">
        <f>SUMIF(ConfirmedRaw!$B:$B,$A98,ConfirmedRaw!U:U)</f>
        <v>0</v>
      </c>
      <c r="S98">
        <f>SUMIF(ConfirmedRaw!$B:$B,$A98,ConfirmedRaw!V:V)</f>
        <v>0</v>
      </c>
      <c r="T98">
        <f>SUMIF(ConfirmedRaw!$B:$B,$A98,ConfirmedRaw!W:W)</f>
        <v>0</v>
      </c>
      <c r="U98">
        <f>SUMIF(ConfirmedRaw!$B:$B,$A98,ConfirmedRaw!X:X)</f>
        <v>0</v>
      </c>
      <c r="V98">
        <f>SUMIF(ConfirmedRaw!$B:$B,$A98,ConfirmedRaw!Y:Y)</f>
        <v>0</v>
      </c>
      <c r="W98">
        <f>SUMIF(ConfirmedRaw!$B:$B,$A98,ConfirmedRaw!Z:Z)</f>
        <v>0</v>
      </c>
      <c r="X98">
        <f>SUMIF(ConfirmedRaw!$B:$B,$A98,ConfirmedRaw!AA:AA)</f>
        <v>0</v>
      </c>
      <c r="Y98">
        <f>SUMIF(ConfirmedRaw!$B:$B,$A98,ConfirmedRaw!AB:AB)</f>
        <v>0</v>
      </c>
      <c r="Z98">
        <f>SUMIF(ConfirmedRaw!$B:$B,$A98,ConfirmedRaw!AC:AC)</f>
        <v>0</v>
      </c>
      <c r="AA98">
        <f>SUMIF(ConfirmedRaw!$B:$B,$A98,ConfirmedRaw!AD:AD)</f>
        <v>0</v>
      </c>
      <c r="AB98">
        <f>SUMIF(ConfirmedRaw!$B:$B,$A98,ConfirmedRaw!AE:AE)</f>
        <v>0</v>
      </c>
      <c r="AC98">
        <f>SUMIF(ConfirmedRaw!$B:$B,$A98,ConfirmedRaw!AF:AF)</f>
        <v>0</v>
      </c>
      <c r="AD98">
        <f>SUMIF(ConfirmedRaw!$B:$B,$A98,ConfirmedRaw!AG:AG)</f>
        <v>0</v>
      </c>
      <c r="AE98">
        <f>SUMIF(ConfirmedRaw!$B:$B,$A98,ConfirmedRaw!AH:AH)</f>
        <v>0</v>
      </c>
      <c r="AF98">
        <f>SUMIF(ConfirmedRaw!$B:$B,$A98,ConfirmedRaw!AI:AI)</f>
        <v>0</v>
      </c>
      <c r="AG98">
        <f>SUMIF(ConfirmedRaw!$B:$B,$A98,ConfirmedRaw!AJ:AJ)</f>
        <v>0</v>
      </c>
      <c r="AH98">
        <f>SUMIF(ConfirmedRaw!$B:$B,$A98,ConfirmedRaw!AK:AK)</f>
        <v>0</v>
      </c>
      <c r="AI98">
        <f>SUMIF(ConfirmedRaw!$B:$B,$A98,ConfirmedRaw!AL:AL)</f>
        <v>0</v>
      </c>
      <c r="AJ98">
        <f>SUMIF(ConfirmedRaw!$B:$B,$A98,ConfirmedRaw!AM:AM)</f>
        <v>0</v>
      </c>
      <c r="AK98">
        <f>SUMIF(ConfirmedRaw!$B:$B,$A98,ConfirmedRaw!AN:AN)</f>
        <v>0</v>
      </c>
      <c r="AL98">
        <f>SUMIF(ConfirmedRaw!$B:$B,$A98,ConfirmedRaw!AO:AO)</f>
        <v>0</v>
      </c>
      <c r="AM98">
        <f>SUMIF(ConfirmedRaw!$B:$B,$A98,ConfirmedRaw!AP:AP)</f>
        <v>0</v>
      </c>
      <c r="AN98">
        <f>SUMIF(ConfirmedRaw!$B:$B,$A98,ConfirmedRaw!AQ:AQ)</f>
        <v>0</v>
      </c>
      <c r="AO98">
        <f>SUMIF(ConfirmedRaw!$B:$B,$A98,ConfirmedRaw!AR:AR)</f>
        <v>0</v>
      </c>
      <c r="AP98">
        <f>SUMIF(ConfirmedRaw!$B:$B,$A98,ConfirmedRaw!AS:AS)</f>
        <v>0</v>
      </c>
      <c r="AQ98">
        <f>SUMIF(ConfirmedRaw!$B:$B,$A98,ConfirmedRaw!AT:AT)</f>
        <v>0</v>
      </c>
      <c r="AR98">
        <f>SUMIF(ConfirmedRaw!$B:$B,$A98,ConfirmedRaw!AU:AU)</f>
        <v>0</v>
      </c>
      <c r="AS98">
        <f>SUMIF(ConfirmedRaw!$B:$B,$A98,ConfirmedRaw!AV:AV)</f>
        <v>0</v>
      </c>
      <c r="AT98">
        <f>SUMIF(ConfirmedRaw!$B:$B,$A98,ConfirmedRaw!AW:AW)</f>
        <v>0</v>
      </c>
      <c r="AU98">
        <f>SUMIF(ConfirmedRaw!$B:$B,$A98,ConfirmedRaw!AX:AX)</f>
        <v>0</v>
      </c>
      <c r="AV98">
        <f>SUMIF(ConfirmedRaw!$B:$B,$A98,ConfirmedRaw!AY:AY)</f>
        <v>0</v>
      </c>
      <c r="AW98">
        <f>SUMIF(ConfirmedRaw!$B:$B,$A98,ConfirmedRaw!AZ:AZ)</f>
        <v>0</v>
      </c>
      <c r="AX98">
        <f>SUMIF(ConfirmedRaw!$B:$B,$A98,ConfirmedRaw!BA:BA)</f>
        <v>0</v>
      </c>
      <c r="AY98">
        <f>SUMIF(ConfirmedRaw!$B:$B,$A98,ConfirmedRaw!BB:BB)</f>
        <v>0</v>
      </c>
      <c r="AZ98">
        <f>SUMIF(ConfirmedRaw!$B:$B,$A98,ConfirmedRaw!BC:BC)</f>
        <v>0</v>
      </c>
      <c r="BA98">
        <f>SUMIF(ConfirmedRaw!$B:$B,$A98,ConfirmedRaw!BD:BD)</f>
        <v>4</v>
      </c>
      <c r="BB98">
        <f>SUMIF(ConfirmedRaw!$B:$B,$A98,ConfirmedRaw!BE:BE)</f>
        <v>6</v>
      </c>
      <c r="BC98">
        <f>SUMIF(ConfirmedRaw!$B:$B,$A98,ConfirmedRaw!BF:BF)</f>
        <v>9</v>
      </c>
      <c r="BD98">
        <f>SUMIF(ConfirmedRaw!$B:$B,$A98,ConfirmedRaw!BG:BG)</f>
        <v>10</v>
      </c>
      <c r="BE98">
        <f>SUMIF(ConfirmedRaw!$B:$B,$A98,ConfirmedRaw!BH:BH)</f>
        <v>33</v>
      </c>
      <c r="BF98">
        <f>SUMIF(ConfirmedRaw!$B:$B,$A98,ConfirmedRaw!BI:BI)</f>
        <v>35</v>
      </c>
      <c r="BG98">
        <f>SUMIF(ConfirmedRaw!$B:$B,$A98,ConfirmedRaw!BJ:BJ)</f>
        <v>0</v>
      </c>
      <c r="BH98">
        <f>SUMIF(ConfirmedRaw!$B:$B,$A98,ConfirmedRaw!BK:BK)</f>
        <v>0</v>
      </c>
      <c r="BI98">
        <f>SUMIF(ConfirmedRaw!$B:$B,$A98,ConfirmedRaw!BL:BL)</f>
        <v>0</v>
      </c>
      <c r="BJ98">
        <f>SUMIF(ConfirmedRaw!$B:$B,$A98,ConfirmedRaw!BM:BM)</f>
        <v>0</v>
      </c>
      <c r="BK98">
        <f>SUMIF(ConfirmedRaw!$B:$B,$A98,ConfirmedRaw!BN:BN)</f>
        <v>0</v>
      </c>
      <c r="BL98">
        <f>SUMIF(ConfirmedRaw!$B:$B,$A98,ConfirmedRaw!BO:BO)</f>
        <v>0</v>
      </c>
      <c r="BM98">
        <f>SUMIF(ConfirmedRaw!$B:$B,$A98,ConfirmedRaw!BP:BP)</f>
        <v>0</v>
      </c>
      <c r="BN98">
        <f>SUMIF(ConfirmedRaw!$B:$B,$A98,ConfirmedRaw!BQ:BQ)</f>
        <v>0</v>
      </c>
      <c r="BO98">
        <f>SUMIF(ConfirmedRaw!$B:$B,$A98,ConfirmedRaw!BR:BR)</f>
        <v>0</v>
      </c>
      <c r="BP98">
        <f>SUMIF(ConfirmedRaw!$B:$B,$A98,ConfirmedRaw!BS:BS)</f>
        <v>0</v>
      </c>
      <c r="BQ98">
        <f>SUMIF(ConfirmedRaw!$B:$B,$A98,ConfirmedRaw!BT:BT)</f>
        <v>0</v>
      </c>
      <c r="BR98">
        <f>SUMIF(ConfirmedRaw!$B:$B,$A98,ConfirmedRaw!BU:BU)</f>
        <v>0</v>
      </c>
      <c r="BS98">
        <f>SUMIF(ConfirmedRaw!$B:$B,$A98,ConfirmedRaw!BV:BV)</f>
        <v>0</v>
      </c>
      <c r="BT98">
        <f>SUMIF(ConfirmedRaw!$B:$B,$A98,ConfirmedRaw!BW:BW)</f>
        <v>0</v>
      </c>
    </row>
    <row r="99" spans="1:72" ht="15" thickBot="1" x14ac:dyDescent="0.35">
      <c r="A99" s="3" t="s">
        <v>202</v>
      </c>
      <c r="B99">
        <f>SUMIF(ConfirmedRaw!$B:$B,$A99,ConfirmedRaw!E:E)</f>
        <v>0</v>
      </c>
      <c r="C99">
        <f>SUMIF(ConfirmedRaw!$B:$B,$A99,ConfirmedRaw!F:F)</f>
        <v>0</v>
      </c>
      <c r="D99">
        <f>SUMIF(ConfirmedRaw!$B:$B,$A99,ConfirmedRaw!G:G)</f>
        <v>0</v>
      </c>
      <c r="E99">
        <f>SUMIF(ConfirmedRaw!$B:$B,$A99,ConfirmedRaw!H:H)</f>
        <v>0</v>
      </c>
      <c r="F99">
        <f>SUMIF(ConfirmedRaw!$B:$B,$A99,ConfirmedRaw!I:I)</f>
        <v>0</v>
      </c>
      <c r="G99">
        <f>SUMIF(ConfirmedRaw!$B:$B,$A99,ConfirmedRaw!J:J)</f>
        <v>0</v>
      </c>
      <c r="H99">
        <f>SUMIF(ConfirmedRaw!$B:$B,$A99,ConfirmedRaw!K:K)</f>
        <v>0</v>
      </c>
      <c r="I99">
        <f>SUMIF(ConfirmedRaw!$B:$B,$A99,ConfirmedRaw!L:L)</f>
        <v>0</v>
      </c>
      <c r="J99">
        <f>SUMIF(ConfirmedRaw!$B:$B,$A99,ConfirmedRaw!M:M)</f>
        <v>0</v>
      </c>
      <c r="K99">
        <f>SUMIF(ConfirmedRaw!$B:$B,$A99,ConfirmedRaw!N:N)</f>
        <v>0</v>
      </c>
      <c r="L99">
        <f>SUMIF(ConfirmedRaw!$B:$B,$A99,ConfirmedRaw!O:O)</f>
        <v>0</v>
      </c>
      <c r="M99">
        <f>SUMIF(ConfirmedRaw!$B:$B,$A99,ConfirmedRaw!P:P)</f>
        <v>0</v>
      </c>
      <c r="N99">
        <f>SUMIF(ConfirmedRaw!$B:$B,$A99,ConfirmedRaw!Q:Q)</f>
        <v>0</v>
      </c>
      <c r="O99">
        <f>SUMIF(ConfirmedRaw!$B:$B,$A99,ConfirmedRaw!R:R)</f>
        <v>0</v>
      </c>
      <c r="P99">
        <f>SUMIF(ConfirmedRaw!$B:$B,$A99,ConfirmedRaw!S:S)</f>
        <v>0</v>
      </c>
      <c r="Q99">
        <f>SUMIF(ConfirmedRaw!$B:$B,$A99,ConfirmedRaw!T:T)</f>
        <v>0</v>
      </c>
      <c r="R99">
        <f>SUMIF(ConfirmedRaw!$B:$B,$A99,ConfirmedRaw!U:U)</f>
        <v>0</v>
      </c>
      <c r="S99">
        <f>SUMIF(ConfirmedRaw!$B:$B,$A99,ConfirmedRaw!V:V)</f>
        <v>0</v>
      </c>
      <c r="T99">
        <f>SUMIF(ConfirmedRaw!$B:$B,$A99,ConfirmedRaw!W:W)</f>
        <v>0</v>
      </c>
      <c r="U99">
        <f>SUMIF(ConfirmedRaw!$B:$B,$A99,ConfirmedRaw!X:X)</f>
        <v>0</v>
      </c>
      <c r="V99">
        <f>SUMIF(ConfirmedRaw!$B:$B,$A99,ConfirmedRaw!Y:Y)</f>
        <v>0</v>
      </c>
      <c r="W99">
        <f>SUMIF(ConfirmedRaw!$B:$B,$A99,ConfirmedRaw!Z:Z)</f>
        <v>0</v>
      </c>
      <c r="X99">
        <f>SUMIF(ConfirmedRaw!$B:$B,$A99,ConfirmedRaw!AA:AA)</f>
        <v>0</v>
      </c>
      <c r="Y99">
        <f>SUMIF(ConfirmedRaw!$B:$B,$A99,ConfirmedRaw!AB:AB)</f>
        <v>0</v>
      </c>
      <c r="Z99">
        <f>SUMIF(ConfirmedRaw!$B:$B,$A99,ConfirmedRaw!AC:AC)</f>
        <v>0</v>
      </c>
      <c r="AA99">
        <f>SUMIF(ConfirmedRaw!$B:$B,$A99,ConfirmedRaw!AD:AD)</f>
        <v>0</v>
      </c>
      <c r="AB99">
        <f>SUMIF(ConfirmedRaw!$B:$B,$A99,ConfirmedRaw!AE:AE)</f>
        <v>0</v>
      </c>
      <c r="AC99">
        <f>SUMIF(ConfirmedRaw!$B:$B,$A99,ConfirmedRaw!AF:AF)</f>
        <v>0</v>
      </c>
      <c r="AD99">
        <f>SUMIF(ConfirmedRaw!$B:$B,$A99,ConfirmedRaw!AG:AG)</f>
        <v>0</v>
      </c>
      <c r="AE99">
        <f>SUMIF(ConfirmedRaw!$B:$B,$A99,ConfirmedRaw!AH:AH)</f>
        <v>0</v>
      </c>
      <c r="AF99">
        <f>SUMIF(ConfirmedRaw!$B:$B,$A99,ConfirmedRaw!AI:AI)</f>
        <v>0</v>
      </c>
      <c r="AG99">
        <f>SUMIF(ConfirmedRaw!$B:$B,$A99,ConfirmedRaw!AJ:AJ)</f>
        <v>0</v>
      </c>
      <c r="AH99">
        <f>SUMIF(ConfirmedRaw!$B:$B,$A99,ConfirmedRaw!AK:AK)</f>
        <v>0</v>
      </c>
      <c r="AI99">
        <f>SUMIF(ConfirmedRaw!$B:$B,$A99,ConfirmedRaw!AL:AL)</f>
        <v>0</v>
      </c>
      <c r="AJ99">
        <f>SUMIF(ConfirmedRaw!$B:$B,$A99,ConfirmedRaw!AM:AM)</f>
        <v>0</v>
      </c>
      <c r="AK99">
        <f>SUMIF(ConfirmedRaw!$B:$B,$A99,ConfirmedRaw!AN:AN)</f>
        <v>0</v>
      </c>
      <c r="AL99">
        <f>SUMIF(ConfirmedRaw!$B:$B,$A99,ConfirmedRaw!AO:AO)</f>
        <v>0</v>
      </c>
      <c r="AM99">
        <f>SUMIF(ConfirmedRaw!$B:$B,$A99,ConfirmedRaw!AP:AP)</f>
        <v>0</v>
      </c>
      <c r="AN99">
        <f>SUMIF(ConfirmedRaw!$B:$B,$A99,ConfirmedRaw!AQ:AQ)</f>
        <v>0</v>
      </c>
      <c r="AO99">
        <f>SUMIF(ConfirmedRaw!$B:$B,$A99,ConfirmedRaw!AR:AR)</f>
        <v>0</v>
      </c>
      <c r="AP99">
        <f>SUMIF(ConfirmedRaw!$B:$B,$A99,ConfirmedRaw!AS:AS)</f>
        <v>0</v>
      </c>
      <c r="AQ99">
        <f>SUMIF(ConfirmedRaw!$B:$B,$A99,ConfirmedRaw!AT:AT)</f>
        <v>0</v>
      </c>
      <c r="AR99">
        <f>SUMIF(ConfirmedRaw!$B:$B,$A99,ConfirmedRaw!AU:AU)</f>
        <v>0</v>
      </c>
      <c r="AS99">
        <f>SUMIF(ConfirmedRaw!$B:$B,$A99,ConfirmedRaw!AV:AV)</f>
        <v>0</v>
      </c>
      <c r="AT99">
        <f>SUMIF(ConfirmedRaw!$B:$B,$A99,ConfirmedRaw!AW:AW)</f>
        <v>0</v>
      </c>
      <c r="AU99">
        <f>SUMIF(ConfirmedRaw!$B:$B,$A99,ConfirmedRaw!AX:AX)</f>
        <v>0</v>
      </c>
      <c r="AV99">
        <f>SUMIF(ConfirmedRaw!$B:$B,$A99,ConfirmedRaw!AY:AY)</f>
        <v>3</v>
      </c>
      <c r="AW99">
        <f>SUMIF(ConfirmedRaw!$B:$B,$A99,ConfirmedRaw!AZ:AZ)</f>
        <v>3</v>
      </c>
      <c r="AX99">
        <f>SUMIF(ConfirmedRaw!$B:$B,$A99,ConfirmedRaw!BA:BA)</f>
        <v>3</v>
      </c>
      <c r="AY99">
        <f>SUMIF(ConfirmedRaw!$B:$B,$A99,ConfirmedRaw!BB:BB)</f>
        <v>3</v>
      </c>
      <c r="AZ99">
        <f>SUMIF(ConfirmedRaw!$B:$B,$A99,ConfirmedRaw!BC:BC)</f>
        <v>3</v>
      </c>
      <c r="BA99">
        <f>SUMIF(ConfirmedRaw!$B:$B,$A99,ConfirmedRaw!BD:BD)</f>
        <v>3</v>
      </c>
      <c r="BB99">
        <f>SUMIF(ConfirmedRaw!$B:$B,$A99,ConfirmedRaw!BE:BE)</f>
        <v>3</v>
      </c>
      <c r="BC99">
        <f>SUMIF(ConfirmedRaw!$B:$B,$A99,ConfirmedRaw!BF:BF)</f>
        <v>5</v>
      </c>
      <c r="BD99">
        <f>SUMIF(ConfirmedRaw!$B:$B,$A99,ConfirmedRaw!BG:BG)</f>
        <v>8</v>
      </c>
      <c r="BE99">
        <f>SUMIF(ConfirmedRaw!$B:$B,$A99,ConfirmedRaw!BH:BH)</f>
        <v>10</v>
      </c>
      <c r="BF99">
        <f>SUMIF(ConfirmedRaw!$B:$B,$A99,ConfirmedRaw!BI:BI)</f>
        <v>14</v>
      </c>
      <c r="BG99">
        <f>SUMIF(ConfirmedRaw!$B:$B,$A99,ConfirmedRaw!BJ:BJ)</f>
        <v>0</v>
      </c>
      <c r="BH99">
        <f>SUMIF(ConfirmedRaw!$B:$B,$A99,ConfirmedRaw!BK:BK)</f>
        <v>0</v>
      </c>
      <c r="BI99">
        <f>SUMIF(ConfirmedRaw!$B:$B,$A99,ConfirmedRaw!BL:BL)</f>
        <v>0</v>
      </c>
      <c r="BJ99">
        <f>SUMIF(ConfirmedRaw!$B:$B,$A99,ConfirmedRaw!BM:BM)</f>
        <v>0</v>
      </c>
      <c r="BK99">
        <f>SUMIF(ConfirmedRaw!$B:$B,$A99,ConfirmedRaw!BN:BN)</f>
        <v>0</v>
      </c>
      <c r="BL99">
        <f>SUMIF(ConfirmedRaw!$B:$B,$A99,ConfirmedRaw!BO:BO)</f>
        <v>0</v>
      </c>
      <c r="BM99">
        <f>SUMIF(ConfirmedRaw!$B:$B,$A99,ConfirmedRaw!BP:BP)</f>
        <v>0</v>
      </c>
      <c r="BN99">
        <f>SUMIF(ConfirmedRaw!$B:$B,$A99,ConfirmedRaw!BQ:BQ)</f>
        <v>0</v>
      </c>
      <c r="BO99">
        <f>SUMIF(ConfirmedRaw!$B:$B,$A99,ConfirmedRaw!BR:BR)</f>
        <v>0</v>
      </c>
      <c r="BP99">
        <f>SUMIF(ConfirmedRaw!$B:$B,$A99,ConfirmedRaw!BS:BS)</f>
        <v>0</v>
      </c>
      <c r="BQ99">
        <f>SUMIF(ConfirmedRaw!$B:$B,$A99,ConfirmedRaw!BT:BT)</f>
        <v>0</v>
      </c>
      <c r="BR99">
        <f>SUMIF(ConfirmedRaw!$B:$B,$A99,ConfirmedRaw!BU:BU)</f>
        <v>0</v>
      </c>
      <c r="BS99">
        <f>SUMIF(ConfirmedRaw!$B:$B,$A99,ConfirmedRaw!BV:BV)</f>
        <v>0</v>
      </c>
      <c r="BT99">
        <f>SUMIF(ConfirmedRaw!$B:$B,$A99,ConfirmedRaw!BW:BW)</f>
        <v>0</v>
      </c>
    </row>
    <row r="100" spans="1:72" ht="15" thickBot="1" x14ac:dyDescent="0.35">
      <c r="A100" s="3" t="s">
        <v>346</v>
      </c>
      <c r="B100">
        <f>SUMIF(ConfirmedRaw!$B:$B,$A100,ConfirmedRaw!E:E)</f>
        <v>0</v>
      </c>
      <c r="C100">
        <f>SUMIF(ConfirmedRaw!$B:$B,$A100,ConfirmedRaw!F:F)</f>
        <v>0</v>
      </c>
      <c r="D100">
        <f>SUMIF(ConfirmedRaw!$B:$B,$A100,ConfirmedRaw!G:G)</f>
        <v>0</v>
      </c>
      <c r="E100">
        <f>SUMIF(ConfirmedRaw!$B:$B,$A100,ConfirmedRaw!H:H)</f>
        <v>0</v>
      </c>
      <c r="F100">
        <f>SUMIF(ConfirmedRaw!$B:$B,$A100,ConfirmedRaw!I:I)</f>
        <v>0</v>
      </c>
      <c r="G100">
        <f>SUMIF(ConfirmedRaw!$B:$B,$A100,ConfirmedRaw!J:J)</f>
        <v>0</v>
      </c>
      <c r="H100">
        <f>SUMIF(ConfirmedRaw!$B:$B,$A100,ConfirmedRaw!K:K)</f>
        <v>0</v>
      </c>
      <c r="I100">
        <f>SUMIF(ConfirmedRaw!$B:$B,$A100,ConfirmedRaw!L:L)</f>
        <v>0</v>
      </c>
      <c r="J100">
        <f>SUMIF(ConfirmedRaw!$B:$B,$A100,ConfirmedRaw!M:M)</f>
        <v>0</v>
      </c>
      <c r="K100">
        <f>SUMIF(ConfirmedRaw!$B:$B,$A100,ConfirmedRaw!N:N)</f>
        <v>0</v>
      </c>
      <c r="L100">
        <f>SUMIF(ConfirmedRaw!$B:$B,$A100,ConfirmedRaw!O:O)</f>
        <v>0</v>
      </c>
      <c r="M100">
        <f>SUMIF(ConfirmedRaw!$B:$B,$A100,ConfirmedRaw!P:P)</f>
        <v>0</v>
      </c>
      <c r="N100">
        <f>SUMIF(ConfirmedRaw!$B:$B,$A100,ConfirmedRaw!Q:Q)</f>
        <v>0</v>
      </c>
      <c r="O100">
        <f>SUMIF(ConfirmedRaw!$B:$B,$A100,ConfirmedRaw!R:R)</f>
        <v>0</v>
      </c>
      <c r="P100">
        <f>SUMIF(ConfirmedRaw!$B:$B,$A100,ConfirmedRaw!S:S)</f>
        <v>0</v>
      </c>
      <c r="Q100">
        <f>SUMIF(ConfirmedRaw!$B:$B,$A100,ConfirmedRaw!T:T)</f>
        <v>0</v>
      </c>
      <c r="R100">
        <f>SUMIF(ConfirmedRaw!$B:$B,$A100,ConfirmedRaw!U:U)</f>
        <v>0</v>
      </c>
      <c r="S100">
        <f>SUMIF(ConfirmedRaw!$B:$B,$A100,ConfirmedRaw!V:V)</f>
        <v>0</v>
      </c>
      <c r="T100">
        <f>SUMIF(ConfirmedRaw!$B:$B,$A100,ConfirmedRaw!W:W)</f>
        <v>0</v>
      </c>
      <c r="U100">
        <f>SUMIF(ConfirmedRaw!$B:$B,$A100,ConfirmedRaw!X:X)</f>
        <v>0</v>
      </c>
      <c r="V100">
        <f>SUMIF(ConfirmedRaw!$B:$B,$A100,ConfirmedRaw!Y:Y)</f>
        <v>0</v>
      </c>
      <c r="W100">
        <f>SUMIF(ConfirmedRaw!$B:$B,$A100,ConfirmedRaw!Z:Z)</f>
        <v>0</v>
      </c>
      <c r="X100">
        <f>SUMIF(ConfirmedRaw!$B:$B,$A100,ConfirmedRaw!AA:AA)</f>
        <v>0</v>
      </c>
      <c r="Y100">
        <f>SUMIF(ConfirmedRaw!$B:$B,$A100,ConfirmedRaw!AB:AB)</f>
        <v>0</v>
      </c>
      <c r="Z100">
        <f>SUMIF(ConfirmedRaw!$B:$B,$A100,ConfirmedRaw!AC:AC)</f>
        <v>0</v>
      </c>
      <c r="AA100">
        <f>SUMIF(ConfirmedRaw!$B:$B,$A100,ConfirmedRaw!AD:AD)</f>
        <v>0</v>
      </c>
      <c r="AB100">
        <f>SUMIF(ConfirmedRaw!$B:$B,$A100,ConfirmedRaw!AE:AE)</f>
        <v>0</v>
      </c>
      <c r="AC100">
        <f>SUMIF(ConfirmedRaw!$B:$B,$A100,ConfirmedRaw!AF:AF)</f>
        <v>0</v>
      </c>
      <c r="AD100">
        <f>SUMIF(ConfirmedRaw!$B:$B,$A100,ConfirmedRaw!AG:AG)</f>
        <v>0</v>
      </c>
      <c r="AE100">
        <f>SUMIF(ConfirmedRaw!$B:$B,$A100,ConfirmedRaw!AH:AH)</f>
        <v>0</v>
      </c>
      <c r="AF100">
        <f>SUMIF(ConfirmedRaw!$B:$B,$A100,ConfirmedRaw!AI:AI)</f>
        <v>0</v>
      </c>
      <c r="AG100">
        <f>SUMIF(ConfirmedRaw!$B:$B,$A100,ConfirmedRaw!AJ:AJ)</f>
        <v>0</v>
      </c>
      <c r="AH100">
        <f>SUMIF(ConfirmedRaw!$B:$B,$A100,ConfirmedRaw!AK:AK)</f>
        <v>0</v>
      </c>
      <c r="AI100">
        <f>SUMIF(ConfirmedRaw!$B:$B,$A100,ConfirmedRaw!AL:AL)</f>
        <v>0</v>
      </c>
      <c r="AJ100">
        <f>SUMIF(ConfirmedRaw!$B:$B,$A100,ConfirmedRaw!AM:AM)</f>
        <v>0</v>
      </c>
      <c r="AK100">
        <f>SUMIF(ConfirmedRaw!$B:$B,$A100,ConfirmedRaw!AN:AN)</f>
        <v>0</v>
      </c>
      <c r="AL100">
        <f>SUMIF(ConfirmedRaw!$B:$B,$A100,ConfirmedRaw!AO:AO)</f>
        <v>0</v>
      </c>
      <c r="AM100">
        <f>SUMIF(ConfirmedRaw!$B:$B,$A100,ConfirmedRaw!AP:AP)</f>
        <v>0</v>
      </c>
      <c r="AN100">
        <f>SUMIF(ConfirmedRaw!$B:$B,$A100,ConfirmedRaw!AQ:AQ)</f>
        <v>0</v>
      </c>
      <c r="AO100">
        <f>SUMIF(ConfirmedRaw!$B:$B,$A100,ConfirmedRaw!AR:AR)</f>
        <v>0</v>
      </c>
      <c r="AP100">
        <f>SUMIF(ConfirmedRaw!$B:$B,$A100,ConfirmedRaw!AS:AS)</f>
        <v>0</v>
      </c>
      <c r="AQ100">
        <f>SUMIF(ConfirmedRaw!$B:$B,$A100,ConfirmedRaw!AT:AT)</f>
        <v>0</v>
      </c>
      <c r="AR100">
        <f>SUMIF(ConfirmedRaw!$B:$B,$A100,ConfirmedRaw!AU:AU)</f>
        <v>0</v>
      </c>
      <c r="AS100">
        <f>SUMIF(ConfirmedRaw!$B:$B,$A100,ConfirmedRaw!AV:AV)</f>
        <v>0</v>
      </c>
      <c r="AT100">
        <f>SUMIF(ConfirmedRaw!$B:$B,$A100,ConfirmedRaw!AW:AW)</f>
        <v>0</v>
      </c>
      <c r="AU100">
        <f>SUMIF(ConfirmedRaw!$B:$B,$A100,ConfirmedRaw!AX:AX)</f>
        <v>0</v>
      </c>
      <c r="AV100">
        <f>SUMIF(ConfirmedRaw!$B:$B,$A100,ConfirmedRaw!AY:AY)</f>
        <v>0</v>
      </c>
      <c r="AW100">
        <f>SUMIF(ConfirmedRaw!$B:$B,$A100,ConfirmedRaw!AZ:AZ)</f>
        <v>0</v>
      </c>
      <c r="AX100">
        <f>SUMIF(ConfirmedRaw!$B:$B,$A100,ConfirmedRaw!BA:BA)</f>
        <v>0</v>
      </c>
      <c r="AY100">
        <f>SUMIF(ConfirmedRaw!$B:$B,$A100,ConfirmedRaw!BB:BB)</f>
        <v>2</v>
      </c>
      <c r="AZ100">
        <f>SUMIF(ConfirmedRaw!$B:$B,$A100,ConfirmedRaw!BC:BC)</f>
        <v>2</v>
      </c>
      <c r="BA100">
        <f>SUMIF(ConfirmedRaw!$B:$B,$A100,ConfirmedRaw!BD:BD)</f>
        <v>3</v>
      </c>
      <c r="BB100">
        <f>SUMIF(ConfirmedRaw!$B:$B,$A100,ConfirmedRaw!BE:BE)</f>
        <v>10</v>
      </c>
      <c r="BC100">
        <f>SUMIF(ConfirmedRaw!$B:$B,$A100,ConfirmedRaw!BF:BF)</f>
        <v>10</v>
      </c>
      <c r="BD100">
        <f>SUMIF(ConfirmedRaw!$B:$B,$A100,ConfirmedRaw!BG:BG)</f>
        <v>11</v>
      </c>
      <c r="BE100">
        <f>SUMIF(ConfirmedRaw!$B:$B,$A100,ConfirmedRaw!BH:BH)</f>
        <v>11</v>
      </c>
      <c r="BF100">
        <f>SUMIF(ConfirmedRaw!$B:$B,$A100,ConfirmedRaw!BI:BI)</f>
        <v>12</v>
      </c>
      <c r="BG100">
        <f>SUMIF(ConfirmedRaw!$B:$B,$A100,ConfirmedRaw!BJ:BJ)</f>
        <v>0</v>
      </c>
      <c r="BH100">
        <f>SUMIF(ConfirmedRaw!$B:$B,$A100,ConfirmedRaw!BK:BK)</f>
        <v>0</v>
      </c>
      <c r="BI100">
        <f>SUMIF(ConfirmedRaw!$B:$B,$A100,ConfirmedRaw!BL:BL)</f>
        <v>0</v>
      </c>
      <c r="BJ100">
        <f>SUMIF(ConfirmedRaw!$B:$B,$A100,ConfirmedRaw!BM:BM)</f>
        <v>0</v>
      </c>
      <c r="BK100">
        <f>SUMIF(ConfirmedRaw!$B:$B,$A100,ConfirmedRaw!BN:BN)</f>
        <v>0</v>
      </c>
      <c r="BL100">
        <f>SUMIF(ConfirmedRaw!$B:$B,$A100,ConfirmedRaw!BO:BO)</f>
        <v>0</v>
      </c>
      <c r="BM100">
        <f>SUMIF(ConfirmedRaw!$B:$B,$A100,ConfirmedRaw!BP:BP)</f>
        <v>0</v>
      </c>
      <c r="BN100">
        <f>SUMIF(ConfirmedRaw!$B:$B,$A100,ConfirmedRaw!BQ:BQ)</f>
        <v>0</v>
      </c>
      <c r="BO100">
        <f>SUMIF(ConfirmedRaw!$B:$B,$A100,ConfirmedRaw!BR:BR)</f>
        <v>0</v>
      </c>
      <c r="BP100">
        <f>SUMIF(ConfirmedRaw!$B:$B,$A100,ConfirmedRaw!BS:BS)</f>
        <v>0</v>
      </c>
      <c r="BQ100">
        <f>SUMIF(ConfirmedRaw!$B:$B,$A100,ConfirmedRaw!BT:BT)</f>
        <v>0</v>
      </c>
      <c r="BR100">
        <f>SUMIF(ConfirmedRaw!$B:$B,$A100,ConfirmedRaw!BU:BU)</f>
        <v>0</v>
      </c>
      <c r="BS100">
        <f>SUMIF(ConfirmedRaw!$B:$B,$A100,ConfirmedRaw!BV:BV)</f>
        <v>0</v>
      </c>
      <c r="BT100">
        <f>SUMIF(ConfirmedRaw!$B:$B,$A100,ConfirmedRaw!BW:BW)</f>
        <v>0</v>
      </c>
    </row>
    <row r="101" spans="1:72" ht="15" thickBot="1" x14ac:dyDescent="0.35">
      <c r="A101" s="4" t="s">
        <v>180</v>
      </c>
      <c r="B101">
        <f>SUMIF(ConfirmedRaw!$B:$B,$A101,ConfirmedRaw!E:E)</f>
        <v>0</v>
      </c>
      <c r="C101">
        <f>SUMIF(ConfirmedRaw!$B:$B,$A101,ConfirmedRaw!F:F)</f>
        <v>0</v>
      </c>
      <c r="D101">
        <f>SUMIF(ConfirmedRaw!$B:$B,$A101,ConfirmedRaw!G:G)</f>
        <v>0</v>
      </c>
      <c r="E101">
        <f>SUMIF(ConfirmedRaw!$B:$B,$A101,ConfirmedRaw!H:H)</f>
        <v>0</v>
      </c>
      <c r="F101">
        <f>SUMIF(ConfirmedRaw!$B:$B,$A101,ConfirmedRaw!I:I)</f>
        <v>0</v>
      </c>
      <c r="G101">
        <f>SUMIF(ConfirmedRaw!$B:$B,$A101,ConfirmedRaw!J:J)</f>
        <v>0</v>
      </c>
      <c r="H101">
        <f>SUMIF(ConfirmedRaw!$B:$B,$A101,ConfirmedRaw!K:K)</f>
        <v>0</v>
      </c>
      <c r="I101">
        <f>SUMIF(ConfirmedRaw!$B:$B,$A101,ConfirmedRaw!L:L)</f>
        <v>0</v>
      </c>
      <c r="J101">
        <f>SUMIF(ConfirmedRaw!$B:$B,$A101,ConfirmedRaw!M:M)</f>
        <v>0</v>
      </c>
      <c r="K101">
        <f>SUMIF(ConfirmedRaw!$B:$B,$A101,ConfirmedRaw!N:N)</f>
        <v>0</v>
      </c>
      <c r="L101">
        <f>SUMIF(ConfirmedRaw!$B:$B,$A101,ConfirmedRaw!O:O)</f>
        <v>0</v>
      </c>
      <c r="M101">
        <f>SUMIF(ConfirmedRaw!$B:$B,$A101,ConfirmedRaw!P:P)</f>
        <v>0</v>
      </c>
      <c r="N101">
        <f>SUMIF(ConfirmedRaw!$B:$B,$A101,ConfirmedRaw!Q:Q)</f>
        <v>0</v>
      </c>
      <c r="O101">
        <f>SUMIF(ConfirmedRaw!$B:$B,$A101,ConfirmedRaw!R:R)</f>
        <v>0</v>
      </c>
      <c r="P101">
        <f>SUMIF(ConfirmedRaw!$B:$B,$A101,ConfirmedRaw!S:S)</f>
        <v>0</v>
      </c>
      <c r="Q101">
        <f>SUMIF(ConfirmedRaw!$B:$B,$A101,ConfirmedRaw!T:T)</f>
        <v>0</v>
      </c>
      <c r="R101">
        <f>SUMIF(ConfirmedRaw!$B:$B,$A101,ConfirmedRaw!U:U)</f>
        <v>0</v>
      </c>
      <c r="S101">
        <f>SUMIF(ConfirmedRaw!$B:$B,$A101,ConfirmedRaw!V:V)</f>
        <v>0</v>
      </c>
      <c r="T101">
        <f>SUMIF(ConfirmedRaw!$B:$B,$A101,ConfirmedRaw!W:W)</f>
        <v>0</v>
      </c>
      <c r="U101">
        <f>SUMIF(ConfirmedRaw!$B:$B,$A101,ConfirmedRaw!X:X)</f>
        <v>0</v>
      </c>
      <c r="V101">
        <f>SUMIF(ConfirmedRaw!$B:$B,$A101,ConfirmedRaw!Y:Y)</f>
        <v>0</v>
      </c>
      <c r="W101">
        <f>SUMIF(ConfirmedRaw!$B:$B,$A101,ConfirmedRaw!Z:Z)</f>
        <v>0</v>
      </c>
      <c r="X101">
        <f>SUMIF(ConfirmedRaw!$B:$B,$A101,ConfirmedRaw!AA:AA)</f>
        <v>0</v>
      </c>
      <c r="Y101">
        <f>SUMIF(ConfirmedRaw!$B:$B,$A101,ConfirmedRaw!AB:AB)</f>
        <v>0</v>
      </c>
      <c r="Z101">
        <f>SUMIF(ConfirmedRaw!$B:$B,$A101,ConfirmedRaw!AC:AC)</f>
        <v>0</v>
      </c>
      <c r="AA101">
        <f>SUMIF(ConfirmedRaw!$B:$B,$A101,ConfirmedRaw!AD:AD)</f>
        <v>0</v>
      </c>
      <c r="AB101">
        <f>SUMIF(ConfirmedRaw!$B:$B,$A101,ConfirmedRaw!AE:AE)</f>
        <v>0</v>
      </c>
      <c r="AC101">
        <f>SUMIF(ConfirmedRaw!$B:$B,$A101,ConfirmedRaw!AF:AF)</f>
        <v>0</v>
      </c>
      <c r="AD101">
        <f>SUMIF(ConfirmedRaw!$B:$B,$A101,ConfirmedRaw!AG:AG)</f>
        <v>0</v>
      </c>
      <c r="AE101">
        <f>SUMIF(ConfirmedRaw!$B:$B,$A101,ConfirmedRaw!AH:AH)</f>
        <v>0</v>
      </c>
      <c r="AF101">
        <f>SUMIF(ConfirmedRaw!$B:$B,$A101,ConfirmedRaw!AI:AI)</f>
        <v>0</v>
      </c>
      <c r="AG101">
        <f>SUMIF(ConfirmedRaw!$B:$B,$A101,ConfirmedRaw!AJ:AJ)</f>
        <v>0</v>
      </c>
      <c r="AH101">
        <f>SUMIF(ConfirmedRaw!$B:$B,$A101,ConfirmedRaw!AK:AK)</f>
        <v>0</v>
      </c>
      <c r="AI101">
        <f>SUMIF(ConfirmedRaw!$B:$B,$A101,ConfirmedRaw!AL:AL)</f>
        <v>0</v>
      </c>
      <c r="AJ101">
        <f>SUMIF(ConfirmedRaw!$B:$B,$A101,ConfirmedRaw!AM:AM)</f>
        <v>0</v>
      </c>
      <c r="AK101">
        <f>SUMIF(ConfirmedRaw!$B:$B,$A101,ConfirmedRaw!AN:AN)</f>
        <v>0</v>
      </c>
      <c r="AL101">
        <f>SUMIF(ConfirmedRaw!$B:$B,$A101,ConfirmedRaw!AO:AO)</f>
        <v>0</v>
      </c>
      <c r="AM101">
        <f>SUMIF(ConfirmedRaw!$B:$B,$A101,ConfirmedRaw!AP:AP)</f>
        <v>0</v>
      </c>
      <c r="AN101">
        <f>SUMIF(ConfirmedRaw!$B:$B,$A101,ConfirmedRaw!AQ:AQ)</f>
        <v>0</v>
      </c>
      <c r="AO101">
        <f>SUMIF(ConfirmedRaw!$B:$B,$A101,ConfirmedRaw!AR:AR)</f>
        <v>0</v>
      </c>
      <c r="AP101">
        <f>SUMIF(ConfirmedRaw!$B:$B,$A101,ConfirmedRaw!AS:AS)</f>
        <v>0</v>
      </c>
      <c r="AQ101">
        <f>SUMIF(ConfirmedRaw!$B:$B,$A101,ConfirmedRaw!AT:AT)</f>
        <v>0</v>
      </c>
      <c r="AR101">
        <f>SUMIF(ConfirmedRaw!$B:$B,$A101,ConfirmedRaw!AU:AU)</f>
        <v>0</v>
      </c>
      <c r="AS101">
        <f>SUMIF(ConfirmedRaw!$B:$B,$A101,ConfirmedRaw!AV:AV)</f>
        <v>0</v>
      </c>
      <c r="AT101">
        <f>SUMIF(ConfirmedRaw!$B:$B,$A101,ConfirmedRaw!AW:AW)</f>
        <v>0</v>
      </c>
      <c r="AU101">
        <f>SUMIF(ConfirmedRaw!$B:$B,$A101,ConfirmedRaw!AX:AX)</f>
        <v>2</v>
      </c>
      <c r="AV101">
        <f>SUMIF(ConfirmedRaw!$B:$B,$A101,ConfirmedRaw!AY:AY)</f>
        <v>2</v>
      </c>
      <c r="AW101">
        <f>SUMIF(ConfirmedRaw!$B:$B,$A101,ConfirmedRaw!AZ:AZ)</f>
        <v>2</v>
      </c>
      <c r="AX101">
        <f>SUMIF(ConfirmedRaw!$B:$B,$A101,ConfirmedRaw!BA:BA)</f>
        <v>2</v>
      </c>
      <c r="AY101">
        <f>SUMIF(ConfirmedRaw!$B:$B,$A101,ConfirmedRaw!BB:BB)</f>
        <v>3</v>
      </c>
      <c r="AZ101">
        <f>SUMIF(ConfirmedRaw!$B:$B,$A101,ConfirmedRaw!BC:BC)</f>
        <v>3</v>
      </c>
      <c r="BA101">
        <f>SUMIF(ConfirmedRaw!$B:$B,$A101,ConfirmedRaw!BD:BD)</f>
        <v>3</v>
      </c>
      <c r="BB101">
        <f>SUMIF(ConfirmedRaw!$B:$B,$A101,ConfirmedRaw!BE:BE)</f>
        <v>9</v>
      </c>
      <c r="BC101">
        <f>SUMIF(ConfirmedRaw!$B:$B,$A101,ConfirmedRaw!BF:BF)</f>
        <v>9</v>
      </c>
      <c r="BD101">
        <f>SUMIF(ConfirmedRaw!$B:$B,$A101,ConfirmedRaw!BG:BG)</f>
        <v>15</v>
      </c>
      <c r="BE101">
        <f>SUMIF(ConfirmedRaw!$B:$B,$A101,ConfirmedRaw!BH:BH)</f>
        <v>16</v>
      </c>
      <c r="BF101">
        <f>SUMIF(ConfirmedRaw!$B:$B,$A101,ConfirmedRaw!BI:BI)</f>
        <v>19</v>
      </c>
      <c r="BG101">
        <f>SUMIF(ConfirmedRaw!$B:$B,$A101,ConfirmedRaw!BJ:BJ)</f>
        <v>0</v>
      </c>
      <c r="BH101">
        <f>SUMIF(ConfirmedRaw!$B:$B,$A101,ConfirmedRaw!BK:BK)</f>
        <v>0</v>
      </c>
      <c r="BI101">
        <f>SUMIF(ConfirmedRaw!$B:$B,$A101,ConfirmedRaw!BL:BL)</f>
        <v>0</v>
      </c>
      <c r="BJ101">
        <f>SUMIF(ConfirmedRaw!$B:$B,$A101,ConfirmedRaw!BM:BM)</f>
        <v>0</v>
      </c>
      <c r="BK101">
        <f>SUMIF(ConfirmedRaw!$B:$B,$A101,ConfirmedRaw!BN:BN)</f>
        <v>0</v>
      </c>
      <c r="BL101">
        <f>SUMIF(ConfirmedRaw!$B:$B,$A101,ConfirmedRaw!BO:BO)</f>
        <v>0</v>
      </c>
      <c r="BM101">
        <f>SUMIF(ConfirmedRaw!$B:$B,$A101,ConfirmedRaw!BP:BP)</f>
        <v>0</v>
      </c>
      <c r="BN101">
        <f>SUMIF(ConfirmedRaw!$B:$B,$A101,ConfirmedRaw!BQ:BQ)</f>
        <v>0</v>
      </c>
      <c r="BO101">
        <f>SUMIF(ConfirmedRaw!$B:$B,$A101,ConfirmedRaw!BR:BR)</f>
        <v>0</v>
      </c>
      <c r="BP101">
        <f>SUMIF(ConfirmedRaw!$B:$B,$A101,ConfirmedRaw!BS:BS)</f>
        <v>0</v>
      </c>
      <c r="BQ101">
        <f>SUMIF(ConfirmedRaw!$B:$B,$A101,ConfirmedRaw!BT:BT)</f>
        <v>0</v>
      </c>
      <c r="BR101">
        <f>SUMIF(ConfirmedRaw!$B:$B,$A101,ConfirmedRaw!BU:BU)</f>
        <v>0</v>
      </c>
      <c r="BS101">
        <f>SUMIF(ConfirmedRaw!$B:$B,$A101,ConfirmedRaw!BV:BV)</f>
        <v>0</v>
      </c>
      <c r="BT101">
        <f>SUMIF(ConfirmedRaw!$B:$B,$A101,ConfirmedRaw!BW:BW)</f>
        <v>0</v>
      </c>
    </row>
    <row r="102" spans="1:72" ht="15" thickBot="1" x14ac:dyDescent="0.35">
      <c r="A102" s="3" t="s">
        <v>129</v>
      </c>
      <c r="B102">
        <f>SUMIF(ConfirmedRaw!$B:$B,$A102,ConfirmedRaw!E:E)</f>
        <v>0</v>
      </c>
      <c r="C102">
        <f>SUMIF(ConfirmedRaw!$B:$B,$A102,ConfirmedRaw!F:F)</f>
        <v>0</v>
      </c>
      <c r="D102">
        <f>SUMIF(ConfirmedRaw!$B:$B,$A102,ConfirmedRaw!G:G)</f>
        <v>0</v>
      </c>
      <c r="E102">
        <f>SUMIF(ConfirmedRaw!$B:$B,$A102,ConfirmedRaw!H:H)</f>
        <v>0</v>
      </c>
      <c r="F102">
        <f>SUMIF(ConfirmedRaw!$B:$B,$A102,ConfirmedRaw!I:I)</f>
        <v>0</v>
      </c>
      <c r="G102">
        <f>SUMIF(ConfirmedRaw!$B:$B,$A102,ConfirmedRaw!J:J)</f>
        <v>0</v>
      </c>
      <c r="H102">
        <f>SUMIF(ConfirmedRaw!$B:$B,$A102,ConfirmedRaw!K:K)</f>
        <v>0</v>
      </c>
      <c r="I102">
        <f>SUMIF(ConfirmedRaw!$B:$B,$A102,ConfirmedRaw!L:L)</f>
        <v>0</v>
      </c>
      <c r="J102">
        <f>SUMIF(ConfirmedRaw!$B:$B,$A102,ConfirmedRaw!M:M)</f>
        <v>0</v>
      </c>
      <c r="K102">
        <f>SUMIF(ConfirmedRaw!$B:$B,$A102,ConfirmedRaw!N:N)</f>
        <v>0</v>
      </c>
      <c r="L102">
        <f>SUMIF(ConfirmedRaw!$B:$B,$A102,ConfirmedRaw!O:O)</f>
        <v>0</v>
      </c>
      <c r="M102">
        <f>SUMIF(ConfirmedRaw!$B:$B,$A102,ConfirmedRaw!P:P)</f>
        <v>0</v>
      </c>
      <c r="N102">
        <f>SUMIF(ConfirmedRaw!$B:$B,$A102,ConfirmedRaw!Q:Q)</f>
        <v>0</v>
      </c>
      <c r="O102">
        <f>SUMIF(ConfirmedRaw!$B:$B,$A102,ConfirmedRaw!R:R)</f>
        <v>0</v>
      </c>
      <c r="P102">
        <f>SUMIF(ConfirmedRaw!$B:$B,$A102,ConfirmedRaw!S:S)</f>
        <v>0</v>
      </c>
      <c r="Q102">
        <f>SUMIF(ConfirmedRaw!$B:$B,$A102,ConfirmedRaw!T:T)</f>
        <v>0</v>
      </c>
      <c r="R102">
        <f>SUMIF(ConfirmedRaw!$B:$B,$A102,ConfirmedRaw!U:U)</f>
        <v>0</v>
      </c>
      <c r="S102">
        <f>SUMIF(ConfirmedRaw!$B:$B,$A102,ConfirmedRaw!V:V)</f>
        <v>0</v>
      </c>
      <c r="T102">
        <f>SUMIF(ConfirmedRaw!$B:$B,$A102,ConfirmedRaw!W:W)</f>
        <v>0</v>
      </c>
      <c r="U102">
        <f>SUMIF(ConfirmedRaw!$B:$B,$A102,ConfirmedRaw!X:X)</f>
        <v>0</v>
      </c>
      <c r="V102">
        <f>SUMIF(ConfirmedRaw!$B:$B,$A102,ConfirmedRaw!Y:Y)</f>
        <v>0</v>
      </c>
      <c r="W102">
        <f>SUMIF(ConfirmedRaw!$B:$B,$A102,ConfirmedRaw!Z:Z)</f>
        <v>0</v>
      </c>
      <c r="X102">
        <f>SUMIF(ConfirmedRaw!$B:$B,$A102,ConfirmedRaw!AA:AA)</f>
        <v>0</v>
      </c>
      <c r="Y102">
        <f>SUMIF(ConfirmedRaw!$B:$B,$A102,ConfirmedRaw!AB:AB)</f>
        <v>0</v>
      </c>
      <c r="Z102">
        <f>SUMIF(ConfirmedRaw!$B:$B,$A102,ConfirmedRaw!AC:AC)</f>
        <v>0</v>
      </c>
      <c r="AA102">
        <f>SUMIF(ConfirmedRaw!$B:$B,$A102,ConfirmedRaw!AD:AD)</f>
        <v>0</v>
      </c>
      <c r="AB102">
        <f>SUMIF(ConfirmedRaw!$B:$B,$A102,ConfirmedRaw!AE:AE)</f>
        <v>0</v>
      </c>
      <c r="AC102">
        <f>SUMIF(ConfirmedRaw!$B:$B,$A102,ConfirmedRaw!AF:AF)</f>
        <v>0</v>
      </c>
      <c r="AD102">
        <f>SUMIF(ConfirmedRaw!$B:$B,$A102,ConfirmedRaw!AG:AG)</f>
        <v>0</v>
      </c>
      <c r="AE102">
        <f>SUMIF(ConfirmedRaw!$B:$B,$A102,ConfirmedRaw!AH:AH)</f>
        <v>0</v>
      </c>
      <c r="AF102">
        <f>SUMIF(ConfirmedRaw!$B:$B,$A102,ConfirmedRaw!AI:AI)</f>
        <v>0</v>
      </c>
      <c r="AG102">
        <f>SUMIF(ConfirmedRaw!$B:$B,$A102,ConfirmedRaw!AJ:AJ)</f>
        <v>0</v>
      </c>
      <c r="AH102">
        <f>SUMIF(ConfirmedRaw!$B:$B,$A102,ConfirmedRaw!AK:AK)</f>
        <v>0</v>
      </c>
      <c r="AI102">
        <f>SUMIF(ConfirmedRaw!$B:$B,$A102,ConfirmedRaw!AL:AL)</f>
        <v>0</v>
      </c>
      <c r="AJ102">
        <f>SUMIF(ConfirmedRaw!$B:$B,$A102,ConfirmedRaw!AM:AM)</f>
        <v>0</v>
      </c>
      <c r="AK102">
        <f>SUMIF(ConfirmedRaw!$B:$B,$A102,ConfirmedRaw!AN:AN)</f>
        <v>0</v>
      </c>
      <c r="AL102">
        <f>SUMIF(ConfirmedRaw!$B:$B,$A102,ConfirmedRaw!AO:AO)</f>
        <v>0</v>
      </c>
      <c r="AM102">
        <f>SUMIF(ConfirmedRaw!$B:$B,$A102,ConfirmedRaw!AP:AP)</f>
        <v>0</v>
      </c>
      <c r="AN102">
        <f>SUMIF(ConfirmedRaw!$B:$B,$A102,ConfirmedRaw!AQ:AQ)</f>
        <v>0</v>
      </c>
      <c r="AO102">
        <f>SUMIF(ConfirmedRaw!$B:$B,$A102,ConfirmedRaw!AR:AR)</f>
        <v>0</v>
      </c>
      <c r="AP102">
        <f>SUMIF(ConfirmedRaw!$B:$B,$A102,ConfirmedRaw!AS:AS)</f>
        <v>0</v>
      </c>
      <c r="AQ102">
        <f>SUMIF(ConfirmedRaw!$B:$B,$A102,ConfirmedRaw!AT:AT)</f>
        <v>1</v>
      </c>
      <c r="AR102">
        <f>SUMIF(ConfirmedRaw!$B:$B,$A102,ConfirmedRaw!AU:AU)</f>
        <v>1</v>
      </c>
      <c r="AS102">
        <f>SUMIF(ConfirmedRaw!$B:$B,$A102,ConfirmedRaw!AV:AV)</f>
        <v>1</v>
      </c>
      <c r="AT102">
        <f>SUMIF(ConfirmedRaw!$B:$B,$A102,ConfirmedRaw!AW:AW)</f>
        <v>1</v>
      </c>
      <c r="AU102">
        <f>SUMIF(ConfirmedRaw!$B:$B,$A102,ConfirmedRaw!AX:AX)</f>
        <v>1</v>
      </c>
      <c r="AV102">
        <f>SUMIF(ConfirmedRaw!$B:$B,$A102,ConfirmedRaw!AY:AY)</f>
        <v>1</v>
      </c>
      <c r="AW102">
        <f>SUMIF(ConfirmedRaw!$B:$B,$A102,ConfirmedRaw!AZ:AZ)</f>
        <v>1</v>
      </c>
      <c r="AX102">
        <f>SUMIF(ConfirmedRaw!$B:$B,$A102,ConfirmedRaw!BA:BA)</f>
        <v>1</v>
      </c>
      <c r="AY102">
        <f>SUMIF(ConfirmedRaw!$B:$B,$A102,ConfirmedRaw!BB:BB)</f>
        <v>1</v>
      </c>
      <c r="AZ102">
        <f>SUMIF(ConfirmedRaw!$B:$B,$A102,ConfirmedRaw!BC:BC)</f>
        <v>1</v>
      </c>
      <c r="BA102">
        <f>SUMIF(ConfirmedRaw!$B:$B,$A102,ConfirmedRaw!BD:BD)</f>
        <v>3</v>
      </c>
      <c r="BB102">
        <f>SUMIF(ConfirmedRaw!$B:$B,$A102,ConfirmedRaw!BE:BE)</f>
        <v>3</v>
      </c>
      <c r="BC102">
        <f>SUMIF(ConfirmedRaw!$B:$B,$A102,ConfirmedRaw!BF:BF)</f>
        <v>3</v>
      </c>
      <c r="BD102">
        <f>SUMIF(ConfirmedRaw!$B:$B,$A102,ConfirmedRaw!BG:BG)</f>
        <v>7</v>
      </c>
      <c r="BE102">
        <f>SUMIF(ConfirmedRaw!$B:$B,$A102,ConfirmedRaw!BH:BH)</f>
        <v>14</v>
      </c>
      <c r="BF102">
        <f>SUMIF(ConfirmedRaw!$B:$B,$A102,ConfirmedRaw!BI:BI)</f>
        <v>14</v>
      </c>
      <c r="BG102">
        <f>SUMIF(ConfirmedRaw!$B:$B,$A102,ConfirmedRaw!BJ:BJ)</f>
        <v>0</v>
      </c>
      <c r="BH102">
        <f>SUMIF(ConfirmedRaw!$B:$B,$A102,ConfirmedRaw!BK:BK)</f>
        <v>0</v>
      </c>
      <c r="BI102">
        <f>SUMIF(ConfirmedRaw!$B:$B,$A102,ConfirmedRaw!BL:BL)</f>
        <v>0</v>
      </c>
      <c r="BJ102">
        <f>SUMIF(ConfirmedRaw!$B:$B,$A102,ConfirmedRaw!BM:BM)</f>
        <v>0</v>
      </c>
      <c r="BK102">
        <f>SUMIF(ConfirmedRaw!$B:$B,$A102,ConfirmedRaw!BN:BN)</f>
        <v>0</v>
      </c>
      <c r="BL102">
        <f>SUMIF(ConfirmedRaw!$B:$B,$A102,ConfirmedRaw!BO:BO)</f>
        <v>0</v>
      </c>
      <c r="BM102">
        <f>SUMIF(ConfirmedRaw!$B:$B,$A102,ConfirmedRaw!BP:BP)</f>
        <v>0</v>
      </c>
      <c r="BN102">
        <f>SUMIF(ConfirmedRaw!$B:$B,$A102,ConfirmedRaw!BQ:BQ)</f>
        <v>0</v>
      </c>
      <c r="BO102">
        <f>SUMIF(ConfirmedRaw!$B:$B,$A102,ConfirmedRaw!BR:BR)</f>
        <v>0</v>
      </c>
      <c r="BP102">
        <f>SUMIF(ConfirmedRaw!$B:$B,$A102,ConfirmedRaw!BS:BS)</f>
        <v>0</v>
      </c>
      <c r="BQ102">
        <f>SUMIF(ConfirmedRaw!$B:$B,$A102,ConfirmedRaw!BT:BT)</f>
        <v>0</v>
      </c>
      <c r="BR102">
        <f>SUMIF(ConfirmedRaw!$B:$B,$A102,ConfirmedRaw!BU:BU)</f>
        <v>0</v>
      </c>
      <c r="BS102">
        <f>SUMIF(ConfirmedRaw!$B:$B,$A102,ConfirmedRaw!BV:BV)</f>
        <v>0</v>
      </c>
      <c r="BT102">
        <f>SUMIF(ConfirmedRaw!$B:$B,$A102,ConfirmedRaw!BW:BW)</f>
        <v>0</v>
      </c>
    </row>
    <row r="103" spans="1:72" ht="15" thickBot="1" x14ac:dyDescent="0.35">
      <c r="A103" s="3" t="s">
        <v>422</v>
      </c>
      <c r="B103">
        <f>SUMIF(ConfirmedRaw!$B:$B,$A103,ConfirmedRaw!E:E)</f>
        <v>0</v>
      </c>
      <c r="C103">
        <f>SUMIF(ConfirmedRaw!$B:$B,$A103,ConfirmedRaw!F:F)</f>
        <v>0</v>
      </c>
      <c r="D103">
        <f>SUMIF(ConfirmedRaw!$B:$B,$A103,ConfirmedRaw!G:G)</f>
        <v>0</v>
      </c>
      <c r="E103">
        <f>SUMIF(ConfirmedRaw!$B:$B,$A103,ConfirmedRaw!H:H)</f>
        <v>0</v>
      </c>
      <c r="F103">
        <f>SUMIF(ConfirmedRaw!$B:$B,$A103,ConfirmedRaw!I:I)</f>
        <v>0</v>
      </c>
      <c r="G103">
        <f>SUMIF(ConfirmedRaw!$B:$B,$A103,ConfirmedRaw!J:J)</f>
        <v>0</v>
      </c>
      <c r="H103">
        <f>SUMIF(ConfirmedRaw!$B:$B,$A103,ConfirmedRaw!K:K)</f>
        <v>0</v>
      </c>
      <c r="I103">
        <f>SUMIF(ConfirmedRaw!$B:$B,$A103,ConfirmedRaw!L:L)</f>
        <v>0</v>
      </c>
      <c r="J103">
        <f>SUMIF(ConfirmedRaw!$B:$B,$A103,ConfirmedRaw!M:M)</f>
        <v>0</v>
      </c>
      <c r="K103">
        <f>SUMIF(ConfirmedRaw!$B:$B,$A103,ConfirmedRaw!N:N)</f>
        <v>0</v>
      </c>
      <c r="L103">
        <f>SUMIF(ConfirmedRaw!$B:$B,$A103,ConfirmedRaw!O:O)</f>
        <v>0</v>
      </c>
      <c r="M103">
        <f>SUMIF(ConfirmedRaw!$B:$B,$A103,ConfirmedRaw!P:P)</f>
        <v>0</v>
      </c>
      <c r="N103">
        <f>SUMIF(ConfirmedRaw!$B:$B,$A103,ConfirmedRaw!Q:Q)</f>
        <v>0</v>
      </c>
      <c r="O103">
        <f>SUMIF(ConfirmedRaw!$B:$B,$A103,ConfirmedRaw!R:R)</f>
        <v>0</v>
      </c>
      <c r="P103">
        <f>SUMIF(ConfirmedRaw!$B:$B,$A103,ConfirmedRaw!S:S)</f>
        <v>0</v>
      </c>
      <c r="Q103">
        <f>SUMIF(ConfirmedRaw!$B:$B,$A103,ConfirmedRaw!T:T)</f>
        <v>0</v>
      </c>
      <c r="R103">
        <f>SUMIF(ConfirmedRaw!$B:$B,$A103,ConfirmedRaw!U:U)</f>
        <v>0</v>
      </c>
      <c r="S103">
        <f>SUMIF(ConfirmedRaw!$B:$B,$A103,ConfirmedRaw!V:V)</f>
        <v>0</v>
      </c>
      <c r="T103">
        <f>SUMIF(ConfirmedRaw!$B:$B,$A103,ConfirmedRaw!W:W)</f>
        <v>0</v>
      </c>
      <c r="U103">
        <f>SUMIF(ConfirmedRaw!$B:$B,$A103,ConfirmedRaw!X:X)</f>
        <v>0</v>
      </c>
      <c r="V103">
        <f>SUMIF(ConfirmedRaw!$B:$B,$A103,ConfirmedRaw!Y:Y)</f>
        <v>0</v>
      </c>
      <c r="W103">
        <f>SUMIF(ConfirmedRaw!$B:$B,$A103,ConfirmedRaw!Z:Z)</f>
        <v>0</v>
      </c>
      <c r="X103">
        <f>SUMIF(ConfirmedRaw!$B:$B,$A103,ConfirmedRaw!AA:AA)</f>
        <v>0</v>
      </c>
      <c r="Y103">
        <f>SUMIF(ConfirmedRaw!$B:$B,$A103,ConfirmedRaw!AB:AB)</f>
        <v>0</v>
      </c>
      <c r="Z103">
        <f>SUMIF(ConfirmedRaw!$B:$B,$A103,ConfirmedRaw!AC:AC)</f>
        <v>0</v>
      </c>
      <c r="AA103">
        <f>SUMIF(ConfirmedRaw!$B:$B,$A103,ConfirmedRaw!AD:AD)</f>
        <v>0</v>
      </c>
      <c r="AB103">
        <f>SUMIF(ConfirmedRaw!$B:$B,$A103,ConfirmedRaw!AE:AE)</f>
        <v>0</v>
      </c>
      <c r="AC103">
        <f>SUMIF(ConfirmedRaw!$B:$B,$A103,ConfirmedRaw!AF:AF)</f>
        <v>0</v>
      </c>
      <c r="AD103">
        <f>SUMIF(ConfirmedRaw!$B:$B,$A103,ConfirmedRaw!AG:AG)</f>
        <v>0</v>
      </c>
      <c r="AE103">
        <f>SUMIF(ConfirmedRaw!$B:$B,$A103,ConfirmedRaw!AH:AH)</f>
        <v>0</v>
      </c>
      <c r="AF103">
        <f>SUMIF(ConfirmedRaw!$B:$B,$A103,ConfirmedRaw!AI:AI)</f>
        <v>0</v>
      </c>
      <c r="AG103">
        <f>SUMIF(ConfirmedRaw!$B:$B,$A103,ConfirmedRaw!AJ:AJ)</f>
        <v>0</v>
      </c>
      <c r="AH103">
        <f>SUMIF(ConfirmedRaw!$B:$B,$A103,ConfirmedRaw!AK:AK)</f>
        <v>0</v>
      </c>
      <c r="AI103">
        <f>SUMIF(ConfirmedRaw!$B:$B,$A103,ConfirmedRaw!AL:AL)</f>
        <v>0</v>
      </c>
      <c r="AJ103">
        <f>SUMIF(ConfirmedRaw!$B:$B,$A103,ConfirmedRaw!AM:AM)</f>
        <v>0</v>
      </c>
      <c r="AK103">
        <f>SUMIF(ConfirmedRaw!$B:$B,$A103,ConfirmedRaw!AN:AN)</f>
        <v>0</v>
      </c>
      <c r="AL103">
        <f>SUMIF(ConfirmedRaw!$B:$B,$A103,ConfirmedRaw!AO:AO)</f>
        <v>0</v>
      </c>
      <c r="AM103">
        <f>SUMIF(ConfirmedRaw!$B:$B,$A103,ConfirmedRaw!AP:AP)</f>
        <v>0</v>
      </c>
      <c r="AN103">
        <f>SUMIF(ConfirmedRaw!$B:$B,$A103,ConfirmedRaw!AQ:AQ)</f>
        <v>0</v>
      </c>
      <c r="AO103">
        <f>SUMIF(ConfirmedRaw!$B:$B,$A103,ConfirmedRaw!AR:AR)</f>
        <v>0</v>
      </c>
      <c r="AP103">
        <f>SUMIF(ConfirmedRaw!$B:$B,$A103,ConfirmedRaw!AS:AS)</f>
        <v>0</v>
      </c>
      <c r="AQ103">
        <f>SUMIF(ConfirmedRaw!$B:$B,$A103,ConfirmedRaw!AT:AT)</f>
        <v>0</v>
      </c>
      <c r="AR103">
        <f>SUMIF(ConfirmedRaw!$B:$B,$A103,ConfirmedRaw!AU:AU)</f>
        <v>0</v>
      </c>
      <c r="AS103">
        <f>SUMIF(ConfirmedRaw!$B:$B,$A103,ConfirmedRaw!AV:AV)</f>
        <v>0</v>
      </c>
      <c r="AT103">
        <f>SUMIF(ConfirmedRaw!$B:$B,$A103,ConfirmedRaw!AW:AW)</f>
        <v>0</v>
      </c>
      <c r="AU103">
        <f>SUMIF(ConfirmedRaw!$B:$B,$A103,ConfirmedRaw!AX:AX)</f>
        <v>0</v>
      </c>
      <c r="AV103">
        <f>SUMIF(ConfirmedRaw!$B:$B,$A103,ConfirmedRaw!AY:AY)</f>
        <v>0</v>
      </c>
      <c r="AW103">
        <f>SUMIF(ConfirmedRaw!$B:$B,$A103,ConfirmedRaw!AZ:AZ)</f>
        <v>0</v>
      </c>
      <c r="AX103">
        <f>SUMIF(ConfirmedRaw!$B:$B,$A103,ConfirmedRaw!BA:BA)</f>
        <v>0</v>
      </c>
      <c r="AY103">
        <f>SUMIF(ConfirmedRaw!$B:$B,$A103,ConfirmedRaw!BB:BB)</f>
        <v>0</v>
      </c>
      <c r="AZ103">
        <f>SUMIF(ConfirmedRaw!$B:$B,$A103,ConfirmedRaw!BC:BC)</f>
        <v>0</v>
      </c>
      <c r="BA103">
        <f>SUMIF(ConfirmedRaw!$B:$B,$A103,ConfirmedRaw!BD:BD)</f>
        <v>0</v>
      </c>
      <c r="BB103">
        <f>SUMIF(ConfirmedRaw!$B:$B,$A103,ConfirmedRaw!BE:BE)</f>
        <v>0</v>
      </c>
      <c r="BC103">
        <f>SUMIF(ConfirmedRaw!$B:$B,$A103,ConfirmedRaw!BF:BF)</f>
        <v>0</v>
      </c>
      <c r="BD103">
        <f>SUMIF(ConfirmedRaw!$B:$B,$A103,ConfirmedRaw!BG:BG)</f>
        <v>0</v>
      </c>
      <c r="BE103">
        <f>SUMIF(ConfirmedRaw!$B:$B,$A103,ConfirmedRaw!BH:BH)</f>
        <v>0</v>
      </c>
      <c r="BF103">
        <f>SUMIF(ConfirmedRaw!$B:$B,$A103,ConfirmedRaw!BI:BI)</f>
        <v>0</v>
      </c>
      <c r="BG103">
        <f>SUMIF(ConfirmedRaw!$B:$B,$A103,ConfirmedRaw!BJ:BJ)</f>
        <v>0</v>
      </c>
      <c r="BH103">
        <f>SUMIF(ConfirmedRaw!$B:$B,$A103,ConfirmedRaw!BK:BK)</f>
        <v>0</v>
      </c>
      <c r="BI103">
        <f>SUMIF(ConfirmedRaw!$B:$B,$A103,ConfirmedRaw!BL:BL)</f>
        <v>0</v>
      </c>
      <c r="BJ103">
        <f>SUMIF(ConfirmedRaw!$B:$B,$A103,ConfirmedRaw!BM:BM)</f>
        <v>0</v>
      </c>
      <c r="BK103">
        <f>SUMIF(ConfirmedRaw!$B:$B,$A103,ConfirmedRaw!BN:BN)</f>
        <v>0</v>
      </c>
      <c r="BL103">
        <f>SUMIF(ConfirmedRaw!$B:$B,$A103,ConfirmedRaw!BO:BO)</f>
        <v>0</v>
      </c>
      <c r="BM103">
        <f>SUMIF(ConfirmedRaw!$B:$B,$A103,ConfirmedRaw!BP:BP)</f>
        <v>0</v>
      </c>
      <c r="BN103">
        <f>SUMIF(ConfirmedRaw!$B:$B,$A103,ConfirmedRaw!BQ:BQ)</f>
        <v>0</v>
      </c>
      <c r="BO103">
        <f>SUMIF(ConfirmedRaw!$B:$B,$A103,ConfirmedRaw!BR:BR)</f>
        <v>0</v>
      </c>
      <c r="BP103">
        <f>SUMIF(ConfirmedRaw!$B:$B,$A103,ConfirmedRaw!BS:BS)</f>
        <v>0</v>
      </c>
      <c r="BQ103">
        <f>SUMIF(ConfirmedRaw!$B:$B,$A103,ConfirmedRaw!BT:BT)</f>
        <v>0</v>
      </c>
      <c r="BR103">
        <f>SUMIF(ConfirmedRaw!$B:$B,$A103,ConfirmedRaw!BU:BU)</f>
        <v>0</v>
      </c>
      <c r="BS103">
        <f>SUMIF(ConfirmedRaw!$B:$B,$A103,ConfirmedRaw!BV:BV)</f>
        <v>0</v>
      </c>
      <c r="BT103">
        <f>SUMIF(ConfirmedRaw!$B:$B,$A103,ConfirmedRaw!BW:BW)</f>
        <v>0</v>
      </c>
    </row>
    <row r="104" spans="1:72" ht="15" thickBot="1" x14ac:dyDescent="0.35">
      <c r="A104" s="4" t="s">
        <v>279</v>
      </c>
      <c r="B104">
        <f>SUMIF(ConfirmedRaw!$B:$B,$A104,ConfirmedRaw!E:E)</f>
        <v>0</v>
      </c>
      <c r="C104">
        <f>SUMIF(ConfirmedRaw!$B:$B,$A104,ConfirmedRaw!F:F)</f>
        <v>0</v>
      </c>
      <c r="D104">
        <f>SUMIF(ConfirmedRaw!$B:$B,$A104,ConfirmedRaw!G:G)</f>
        <v>0</v>
      </c>
      <c r="E104">
        <f>SUMIF(ConfirmedRaw!$B:$B,$A104,ConfirmedRaw!H:H)</f>
        <v>0</v>
      </c>
      <c r="F104">
        <f>SUMIF(ConfirmedRaw!$B:$B,$A104,ConfirmedRaw!I:I)</f>
        <v>0</v>
      </c>
      <c r="G104">
        <f>SUMIF(ConfirmedRaw!$B:$B,$A104,ConfirmedRaw!J:J)</f>
        <v>0</v>
      </c>
      <c r="H104">
        <f>SUMIF(ConfirmedRaw!$B:$B,$A104,ConfirmedRaw!K:K)</f>
        <v>0</v>
      </c>
      <c r="I104">
        <f>SUMIF(ConfirmedRaw!$B:$B,$A104,ConfirmedRaw!L:L)</f>
        <v>0</v>
      </c>
      <c r="J104">
        <f>SUMIF(ConfirmedRaw!$B:$B,$A104,ConfirmedRaw!M:M)</f>
        <v>0</v>
      </c>
      <c r="K104">
        <f>SUMIF(ConfirmedRaw!$B:$B,$A104,ConfirmedRaw!N:N)</f>
        <v>0</v>
      </c>
      <c r="L104">
        <f>SUMIF(ConfirmedRaw!$B:$B,$A104,ConfirmedRaw!O:O)</f>
        <v>0</v>
      </c>
      <c r="M104">
        <f>SUMIF(ConfirmedRaw!$B:$B,$A104,ConfirmedRaw!P:P)</f>
        <v>0</v>
      </c>
      <c r="N104">
        <f>SUMIF(ConfirmedRaw!$B:$B,$A104,ConfirmedRaw!Q:Q)</f>
        <v>0</v>
      </c>
      <c r="O104">
        <f>SUMIF(ConfirmedRaw!$B:$B,$A104,ConfirmedRaw!R:R)</f>
        <v>0</v>
      </c>
      <c r="P104">
        <f>SUMIF(ConfirmedRaw!$B:$B,$A104,ConfirmedRaw!S:S)</f>
        <v>0</v>
      </c>
      <c r="Q104">
        <f>SUMIF(ConfirmedRaw!$B:$B,$A104,ConfirmedRaw!T:T)</f>
        <v>0</v>
      </c>
      <c r="R104">
        <f>SUMIF(ConfirmedRaw!$B:$B,$A104,ConfirmedRaw!U:U)</f>
        <v>0</v>
      </c>
      <c r="S104">
        <f>SUMIF(ConfirmedRaw!$B:$B,$A104,ConfirmedRaw!V:V)</f>
        <v>0</v>
      </c>
      <c r="T104">
        <f>SUMIF(ConfirmedRaw!$B:$B,$A104,ConfirmedRaw!W:W)</f>
        <v>0</v>
      </c>
      <c r="U104">
        <f>SUMIF(ConfirmedRaw!$B:$B,$A104,ConfirmedRaw!X:X)</f>
        <v>0</v>
      </c>
      <c r="V104">
        <f>SUMIF(ConfirmedRaw!$B:$B,$A104,ConfirmedRaw!Y:Y)</f>
        <v>0</v>
      </c>
      <c r="W104">
        <f>SUMIF(ConfirmedRaw!$B:$B,$A104,ConfirmedRaw!Z:Z)</f>
        <v>0</v>
      </c>
      <c r="X104">
        <f>SUMIF(ConfirmedRaw!$B:$B,$A104,ConfirmedRaw!AA:AA)</f>
        <v>0</v>
      </c>
      <c r="Y104">
        <f>SUMIF(ConfirmedRaw!$B:$B,$A104,ConfirmedRaw!AB:AB)</f>
        <v>0</v>
      </c>
      <c r="Z104">
        <f>SUMIF(ConfirmedRaw!$B:$B,$A104,ConfirmedRaw!AC:AC)</f>
        <v>0</v>
      </c>
      <c r="AA104">
        <f>SUMIF(ConfirmedRaw!$B:$B,$A104,ConfirmedRaw!AD:AD)</f>
        <v>0</v>
      </c>
      <c r="AB104">
        <f>SUMIF(ConfirmedRaw!$B:$B,$A104,ConfirmedRaw!AE:AE)</f>
        <v>0</v>
      </c>
      <c r="AC104">
        <f>SUMIF(ConfirmedRaw!$B:$B,$A104,ConfirmedRaw!AF:AF)</f>
        <v>0</v>
      </c>
      <c r="AD104">
        <f>SUMIF(ConfirmedRaw!$B:$B,$A104,ConfirmedRaw!AG:AG)</f>
        <v>0</v>
      </c>
      <c r="AE104">
        <f>SUMIF(ConfirmedRaw!$B:$B,$A104,ConfirmedRaw!AH:AH)</f>
        <v>0</v>
      </c>
      <c r="AF104">
        <f>SUMIF(ConfirmedRaw!$B:$B,$A104,ConfirmedRaw!AI:AI)</f>
        <v>0</v>
      </c>
      <c r="AG104">
        <f>SUMIF(ConfirmedRaw!$B:$B,$A104,ConfirmedRaw!AJ:AJ)</f>
        <v>0</v>
      </c>
      <c r="AH104">
        <f>SUMIF(ConfirmedRaw!$B:$B,$A104,ConfirmedRaw!AK:AK)</f>
        <v>0</v>
      </c>
      <c r="AI104">
        <f>SUMIF(ConfirmedRaw!$B:$B,$A104,ConfirmedRaw!AL:AL)</f>
        <v>0</v>
      </c>
      <c r="AJ104">
        <f>SUMIF(ConfirmedRaw!$B:$B,$A104,ConfirmedRaw!AM:AM)</f>
        <v>0</v>
      </c>
      <c r="AK104">
        <f>SUMIF(ConfirmedRaw!$B:$B,$A104,ConfirmedRaw!AN:AN)</f>
        <v>0</v>
      </c>
      <c r="AL104">
        <f>SUMIF(ConfirmedRaw!$B:$B,$A104,ConfirmedRaw!AO:AO)</f>
        <v>0</v>
      </c>
      <c r="AM104">
        <f>SUMIF(ConfirmedRaw!$B:$B,$A104,ConfirmedRaw!AP:AP)</f>
        <v>0</v>
      </c>
      <c r="AN104">
        <f>SUMIF(ConfirmedRaw!$B:$B,$A104,ConfirmedRaw!AQ:AQ)</f>
        <v>0</v>
      </c>
      <c r="AO104">
        <f>SUMIF(ConfirmedRaw!$B:$B,$A104,ConfirmedRaw!AR:AR)</f>
        <v>0</v>
      </c>
      <c r="AP104">
        <f>SUMIF(ConfirmedRaw!$B:$B,$A104,ConfirmedRaw!AS:AS)</f>
        <v>0</v>
      </c>
      <c r="AQ104">
        <f>SUMIF(ConfirmedRaw!$B:$B,$A104,ConfirmedRaw!AT:AT)</f>
        <v>0</v>
      </c>
      <c r="AR104">
        <f>SUMIF(ConfirmedRaw!$B:$B,$A104,ConfirmedRaw!AU:AU)</f>
        <v>0</v>
      </c>
      <c r="AS104">
        <f>SUMIF(ConfirmedRaw!$B:$B,$A104,ConfirmedRaw!AV:AV)</f>
        <v>0</v>
      </c>
      <c r="AT104">
        <f>SUMIF(ConfirmedRaw!$B:$B,$A104,ConfirmedRaw!AW:AW)</f>
        <v>0</v>
      </c>
      <c r="AU104">
        <f>SUMIF(ConfirmedRaw!$B:$B,$A104,ConfirmedRaw!AX:AX)</f>
        <v>0</v>
      </c>
      <c r="AV104">
        <f>SUMIF(ConfirmedRaw!$B:$B,$A104,ConfirmedRaw!AY:AY)</f>
        <v>0</v>
      </c>
      <c r="AW104">
        <f>SUMIF(ConfirmedRaw!$B:$B,$A104,ConfirmedRaw!AZ:AZ)</f>
        <v>0</v>
      </c>
      <c r="AX104">
        <f>SUMIF(ConfirmedRaw!$B:$B,$A104,ConfirmedRaw!BA:BA)</f>
        <v>1</v>
      </c>
      <c r="AY104">
        <f>SUMIF(ConfirmedRaw!$B:$B,$A104,ConfirmedRaw!BB:BB)</f>
        <v>2</v>
      </c>
      <c r="AZ104">
        <f>SUMIF(ConfirmedRaw!$B:$B,$A104,ConfirmedRaw!BC:BC)</f>
        <v>2</v>
      </c>
      <c r="BA104">
        <f>SUMIF(ConfirmedRaw!$B:$B,$A104,ConfirmedRaw!BD:BD)</f>
        <v>2</v>
      </c>
      <c r="BB104">
        <f>SUMIF(ConfirmedRaw!$B:$B,$A104,ConfirmedRaw!BE:BE)</f>
        <v>2</v>
      </c>
      <c r="BC104">
        <f>SUMIF(ConfirmedRaw!$B:$B,$A104,ConfirmedRaw!BF:BF)</f>
        <v>3</v>
      </c>
      <c r="BD104">
        <f>SUMIF(ConfirmedRaw!$B:$B,$A104,ConfirmedRaw!BG:BG)</f>
        <v>15</v>
      </c>
      <c r="BE104">
        <f>SUMIF(ConfirmedRaw!$B:$B,$A104,ConfirmedRaw!BH:BH)</f>
        <v>15</v>
      </c>
      <c r="BF104">
        <f>SUMIF(ConfirmedRaw!$B:$B,$A104,ConfirmedRaw!BI:BI)</f>
        <v>20</v>
      </c>
      <c r="BG104">
        <f>SUMIF(ConfirmedRaw!$B:$B,$A104,ConfirmedRaw!BJ:BJ)</f>
        <v>0</v>
      </c>
      <c r="BH104">
        <f>SUMIF(ConfirmedRaw!$B:$B,$A104,ConfirmedRaw!BK:BK)</f>
        <v>0</v>
      </c>
      <c r="BI104">
        <f>SUMIF(ConfirmedRaw!$B:$B,$A104,ConfirmedRaw!BL:BL)</f>
        <v>0</v>
      </c>
      <c r="BJ104">
        <f>SUMIF(ConfirmedRaw!$B:$B,$A104,ConfirmedRaw!BM:BM)</f>
        <v>0</v>
      </c>
      <c r="BK104">
        <f>SUMIF(ConfirmedRaw!$B:$B,$A104,ConfirmedRaw!BN:BN)</f>
        <v>0</v>
      </c>
      <c r="BL104">
        <f>SUMIF(ConfirmedRaw!$B:$B,$A104,ConfirmedRaw!BO:BO)</f>
        <v>0</v>
      </c>
      <c r="BM104">
        <f>SUMIF(ConfirmedRaw!$B:$B,$A104,ConfirmedRaw!BP:BP)</f>
        <v>0</v>
      </c>
      <c r="BN104">
        <f>SUMIF(ConfirmedRaw!$B:$B,$A104,ConfirmedRaw!BQ:BQ)</f>
        <v>0</v>
      </c>
      <c r="BO104">
        <f>SUMIF(ConfirmedRaw!$B:$B,$A104,ConfirmedRaw!BR:BR)</f>
        <v>0</v>
      </c>
      <c r="BP104">
        <f>SUMIF(ConfirmedRaw!$B:$B,$A104,ConfirmedRaw!BS:BS)</f>
        <v>0</v>
      </c>
      <c r="BQ104">
        <f>SUMIF(ConfirmedRaw!$B:$B,$A104,ConfirmedRaw!BT:BT)</f>
        <v>0</v>
      </c>
      <c r="BR104">
        <f>SUMIF(ConfirmedRaw!$B:$B,$A104,ConfirmedRaw!BU:BU)</f>
        <v>0</v>
      </c>
      <c r="BS104">
        <f>SUMIF(ConfirmedRaw!$B:$B,$A104,ConfirmedRaw!BV:BV)</f>
        <v>0</v>
      </c>
      <c r="BT104">
        <f>SUMIF(ConfirmedRaw!$B:$B,$A104,ConfirmedRaw!BW:BW)</f>
        <v>0</v>
      </c>
    </row>
    <row r="105" spans="1:72" ht="15" thickBot="1" x14ac:dyDescent="0.35">
      <c r="A105" s="3" t="s">
        <v>157</v>
      </c>
      <c r="B105">
        <f>SUMIF(ConfirmedRaw!$B:$B,$A105,ConfirmedRaw!E:E)</f>
        <v>0</v>
      </c>
      <c r="C105">
        <f>SUMIF(ConfirmedRaw!$B:$B,$A105,ConfirmedRaw!F:F)</f>
        <v>0</v>
      </c>
      <c r="D105">
        <f>SUMIF(ConfirmedRaw!$B:$B,$A105,ConfirmedRaw!G:G)</f>
        <v>0</v>
      </c>
      <c r="E105">
        <f>SUMIF(ConfirmedRaw!$B:$B,$A105,ConfirmedRaw!H:H)</f>
        <v>0</v>
      </c>
      <c r="F105">
        <f>SUMIF(ConfirmedRaw!$B:$B,$A105,ConfirmedRaw!I:I)</f>
        <v>0</v>
      </c>
      <c r="G105">
        <f>SUMIF(ConfirmedRaw!$B:$B,$A105,ConfirmedRaw!J:J)</f>
        <v>0</v>
      </c>
      <c r="H105">
        <f>SUMIF(ConfirmedRaw!$B:$B,$A105,ConfirmedRaw!K:K)</f>
        <v>0</v>
      </c>
      <c r="I105">
        <f>SUMIF(ConfirmedRaw!$B:$B,$A105,ConfirmedRaw!L:L)</f>
        <v>0</v>
      </c>
      <c r="J105">
        <f>SUMIF(ConfirmedRaw!$B:$B,$A105,ConfirmedRaw!M:M)</f>
        <v>0</v>
      </c>
      <c r="K105">
        <f>SUMIF(ConfirmedRaw!$B:$B,$A105,ConfirmedRaw!N:N)</f>
        <v>0</v>
      </c>
      <c r="L105">
        <f>SUMIF(ConfirmedRaw!$B:$B,$A105,ConfirmedRaw!O:O)</f>
        <v>0</v>
      </c>
      <c r="M105">
        <f>SUMIF(ConfirmedRaw!$B:$B,$A105,ConfirmedRaw!P:P)</f>
        <v>0</v>
      </c>
      <c r="N105">
        <f>SUMIF(ConfirmedRaw!$B:$B,$A105,ConfirmedRaw!Q:Q)</f>
        <v>0</v>
      </c>
      <c r="O105">
        <f>SUMIF(ConfirmedRaw!$B:$B,$A105,ConfirmedRaw!R:R)</f>
        <v>0</v>
      </c>
      <c r="P105">
        <f>SUMIF(ConfirmedRaw!$B:$B,$A105,ConfirmedRaw!S:S)</f>
        <v>0</v>
      </c>
      <c r="Q105">
        <f>SUMIF(ConfirmedRaw!$B:$B,$A105,ConfirmedRaw!T:T)</f>
        <v>0</v>
      </c>
      <c r="R105">
        <f>SUMIF(ConfirmedRaw!$B:$B,$A105,ConfirmedRaw!U:U)</f>
        <v>0</v>
      </c>
      <c r="S105">
        <f>SUMIF(ConfirmedRaw!$B:$B,$A105,ConfirmedRaw!V:V)</f>
        <v>0</v>
      </c>
      <c r="T105">
        <f>SUMIF(ConfirmedRaw!$B:$B,$A105,ConfirmedRaw!W:W)</f>
        <v>0</v>
      </c>
      <c r="U105">
        <f>SUMIF(ConfirmedRaw!$B:$B,$A105,ConfirmedRaw!X:X)</f>
        <v>0</v>
      </c>
      <c r="V105">
        <f>SUMIF(ConfirmedRaw!$B:$B,$A105,ConfirmedRaw!Y:Y)</f>
        <v>0</v>
      </c>
      <c r="W105">
        <f>SUMIF(ConfirmedRaw!$B:$B,$A105,ConfirmedRaw!Z:Z)</f>
        <v>0</v>
      </c>
      <c r="X105">
        <f>SUMIF(ConfirmedRaw!$B:$B,$A105,ConfirmedRaw!AA:AA)</f>
        <v>0</v>
      </c>
      <c r="Y105">
        <f>SUMIF(ConfirmedRaw!$B:$B,$A105,ConfirmedRaw!AB:AB)</f>
        <v>0</v>
      </c>
      <c r="Z105">
        <f>SUMIF(ConfirmedRaw!$B:$B,$A105,ConfirmedRaw!AC:AC)</f>
        <v>0</v>
      </c>
      <c r="AA105">
        <f>SUMIF(ConfirmedRaw!$B:$B,$A105,ConfirmedRaw!AD:AD)</f>
        <v>0</v>
      </c>
      <c r="AB105">
        <f>SUMIF(ConfirmedRaw!$B:$B,$A105,ConfirmedRaw!AE:AE)</f>
        <v>0</v>
      </c>
      <c r="AC105">
        <f>SUMIF(ConfirmedRaw!$B:$B,$A105,ConfirmedRaw!AF:AF)</f>
        <v>0</v>
      </c>
      <c r="AD105">
        <f>SUMIF(ConfirmedRaw!$B:$B,$A105,ConfirmedRaw!AG:AG)</f>
        <v>0</v>
      </c>
      <c r="AE105">
        <f>SUMIF(ConfirmedRaw!$B:$B,$A105,ConfirmedRaw!AH:AH)</f>
        <v>0</v>
      </c>
      <c r="AF105">
        <f>SUMIF(ConfirmedRaw!$B:$B,$A105,ConfirmedRaw!AI:AI)</f>
        <v>0</v>
      </c>
      <c r="AG105">
        <f>SUMIF(ConfirmedRaw!$B:$B,$A105,ConfirmedRaw!AJ:AJ)</f>
        <v>0</v>
      </c>
      <c r="AH105">
        <f>SUMIF(ConfirmedRaw!$B:$B,$A105,ConfirmedRaw!AK:AK)</f>
        <v>0</v>
      </c>
      <c r="AI105">
        <f>SUMIF(ConfirmedRaw!$B:$B,$A105,ConfirmedRaw!AL:AL)</f>
        <v>0</v>
      </c>
      <c r="AJ105">
        <f>SUMIF(ConfirmedRaw!$B:$B,$A105,ConfirmedRaw!AM:AM)</f>
        <v>0</v>
      </c>
      <c r="AK105">
        <f>SUMIF(ConfirmedRaw!$B:$B,$A105,ConfirmedRaw!AN:AN)</f>
        <v>0</v>
      </c>
      <c r="AL105">
        <f>SUMIF(ConfirmedRaw!$B:$B,$A105,ConfirmedRaw!AO:AO)</f>
        <v>0</v>
      </c>
      <c r="AM105">
        <f>SUMIF(ConfirmedRaw!$B:$B,$A105,ConfirmedRaw!AP:AP)</f>
        <v>0</v>
      </c>
      <c r="AN105">
        <f>SUMIF(ConfirmedRaw!$B:$B,$A105,ConfirmedRaw!AQ:AQ)</f>
        <v>0</v>
      </c>
      <c r="AO105">
        <f>SUMIF(ConfirmedRaw!$B:$B,$A105,ConfirmedRaw!AR:AR)</f>
        <v>0</v>
      </c>
      <c r="AP105">
        <f>SUMIF(ConfirmedRaw!$B:$B,$A105,ConfirmedRaw!AS:AS)</f>
        <v>0</v>
      </c>
      <c r="AQ105">
        <f>SUMIF(ConfirmedRaw!$B:$B,$A105,ConfirmedRaw!AT:AT)</f>
        <v>0</v>
      </c>
      <c r="AR105">
        <f>SUMIF(ConfirmedRaw!$B:$B,$A105,ConfirmedRaw!AU:AU)</f>
        <v>0</v>
      </c>
      <c r="AS105">
        <f>SUMIF(ConfirmedRaw!$B:$B,$A105,ConfirmedRaw!AV:AV)</f>
        <v>0</v>
      </c>
      <c r="AT105">
        <f>SUMIF(ConfirmedRaw!$B:$B,$A105,ConfirmedRaw!AW:AW)</f>
        <v>1</v>
      </c>
      <c r="AU105">
        <f>SUMIF(ConfirmedRaw!$B:$B,$A105,ConfirmedRaw!AX:AX)</f>
        <v>1</v>
      </c>
      <c r="AV105">
        <f>SUMIF(ConfirmedRaw!$B:$B,$A105,ConfirmedRaw!AY:AY)</f>
        <v>2</v>
      </c>
      <c r="AW105">
        <f>SUMIF(ConfirmedRaw!$B:$B,$A105,ConfirmedRaw!AZ:AZ)</f>
        <v>2</v>
      </c>
      <c r="AX105">
        <f>SUMIF(ConfirmedRaw!$B:$B,$A105,ConfirmedRaw!BA:BA)</f>
        <v>2</v>
      </c>
      <c r="AY105">
        <f>SUMIF(ConfirmedRaw!$B:$B,$A105,ConfirmedRaw!BB:BB)</f>
        <v>2</v>
      </c>
      <c r="AZ105">
        <f>SUMIF(ConfirmedRaw!$B:$B,$A105,ConfirmedRaw!BC:BC)</f>
        <v>2</v>
      </c>
      <c r="BA105">
        <f>SUMIF(ConfirmedRaw!$B:$B,$A105,ConfirmedRaw!BD:BD)</f>
        <v>2</v>
      </c>
      <c r="BB105">
        <f>SUMIF(ConfirmedRaw!$B:$B,$A105,ConfirmedRaw!BE:BE)</f>
        <v>2</v>
      </c>
      <c r="BC105">
        <f>SUMIF(ConfirmedRaw!$B:$B,$A105,ConfirmedRaw!BF:BF)</f>
        <v>2</v>
      </c>
      <c r="BD105">
        <f>SUMIF(ConfirmedRaw!$B:$B,$A105,ConfirmedRaw!BG:BG)</f>
        <v>4</v>
      </c>
      <c r="BE105">
        <f>SUMIF(ConfirmedRaw!$B:$B,$A105,ConfirmedRaw!BH:BH)</f>
        <v>10</v>
      </c>
      <c r="BF105">
        <f>SUMIF(ConfirmedRaw!$B:$B,$A105,ConfirmedRaw!BI:BI)</f>
        <v>10</v>
      </c>
      <c r="BG105">
        <f>SUMIF(ConfirmedRaw!$B:$B,$A105,ConfirmedRaw!BJ:BJ)</f>
        <v>0</v>
      </c>
      <c r="BH105">
        <f>SUMIF(ConfirmedRaw!$B:$B,$A105,ConfirmedRaw!BK:BK)</f>
        <v>0</v>
      </c>
      <c r="BI105">
        <f>SUMIF(ConfirmedRaw!$B:$B,$A105,ConfirmedRaw!BL:BL)</f>
        <v>0</v>
      </c>
      <c r="BJ105">
        <f>SUMIF(ConfirmedRaw!$B:$B,$A105,ConfirmedRaw!BM:BM)</f>
        <v>0</v>
      </c>
      <c r="BK105">
        <f>SUMIF(ConfirmedRaw!$B:$B,$A105,ConfirmedRaw!BN:BN)</f>
        <v>0</v>
      </c>
      <c r="BL105">
        <f>SUMIF(ConfirmedRaw!$B:$B,$A105,ConfirmedRaw!BO:BO)</f>
        <v>0</v>
      </c>
      <c r="BM105">
        <f>SUMIF(ConfirmedRaw!$B:$B,$A105,ConfirmedRaw!BP:BP)</f>
        <v>0</v>
      </c>
      <c r="BN105">
        <f>SUMIF(ConfirmedRaw!$B:$B,$A105,ConfirmedRaw!BQ:BQ)</f>
        <v>0</v>
      </c>
      <c r="BO105">
        <f>SUMIF(ConfirmedRaw!$B:$B,$A105,ConfirmedRaw!BR:BR)</f>
        <v>0</v>
      </c>
      <c r="BP105">
        <f>SUMIF(ConfirmedRaw!$B:$B,$A105,ConfirmedRaw!BS:BS)</f>
        <v>0</v>
      </c>
      <c r="BQ105">
        <f>SUMIF(ConfirmedRaw!$B:$B,$A105,ConfirmedRaw!BT:BT)</f>
        <v>0</v>
      </c>
      <c r="BR105">
        <f>SUMIF(ConfirmedRaw!$B:$B,$A105,ConfirmedRaw!BU:BU)</f>
        <v>0</v>
      </c>
      <c r="BS105">
        <f>SUMIF(ConfirmedRaw!$B:$B,$A105,ConfirmedRaw!BV:BV)</f>
        <v>0</v>
      </c>
      <c r="BT105">
        <f>SUMIF(ConfirmedRaw!$B:$B,$A105,ConfirmedRaw!BW:BW)</f>
        <v>0</v>
      </c>
    </row>
    <row r="106" spans="1:72" ht="15" thickBot="1" x14ac:dyDescent="0.35">
      <c r="A106" s="4" t="s">
        <v>351</v>
      </c>
      <c r="B106">
        <f>SUMIF(ConfirmedRaw!$B:$B,$A106,ConfirmedRaw!E:E)</f>
        <v>0</v>
      </c>
      <c r="C106">
        <f>SUMIF(ConfirmedRaw!$B:$B,$A106,ConfirmedRaw!F:F)</f>
        <v>0</v>
      </c>
      <c r="D106">
        <f>SUMIF(ConfirmedRaw!$B:$B,$A106,ConfirmedRaw!G:G)</f>
        <v>0</v>
      </c>
      <c r="E106">
        <f>SUMIF(ConfirmedRaw!$B:$B,$A106,ConfirmedRaw!H:H)</f>
        <v>0</v>
      </c>
      <c r="F106">
        <f>SUMIF(ConfirmedRaw!$B:$B,$A106,ConfirmedRaw!I:I)</f>
        <v>0</v>
      </c>
      <c r="G106">
        <f>SUMIF(ConfirmedRaw!$B:$B,$A106,ConfirmedRaw!J:J)</f>
        <v>0</v>
      </c>
      <c r="H106">
        <f>SUMIF(ConfirmedRaw!$B:$B,$A106,ConfirmedRaw!K:K)</f>
        <v>0</v>
      </c>
      <c r="I106">
        <f>SUMIF(ConfirmedRaw!$B:$B,$A106,ConfirmedRaw!L:L)</f>
        <v>0</v>
      </c>
      <c r="J106">
        <f>SUMIF(ConfirmedRaw!$B:$B,$A106,ConfirmedRaw!M:M)</f>
        <v>0</v>
      </c>
      <c r="K106">
        <f>SUMIF(ConfirmedRaw!$B:$B,$A106,ConfirmedRaw!N:N)</f>
        <v>0</v>
      </c>
      <c r="L106">
        <f>SUMIF(ConfirmedRaw!$B:$B,$A106,ConfirmedRaw!O:O)</f>
        <v>0</v>
      </c>
      <c r="M106">
        <f>SUMIF(ConfirmedRaw!$B:$B,$A106,ConfirmedRaw!P:P)</f>
        <v>0</v>
      </c>
      <c r="N106">
        <f>SUMIF(ConfirmedRaw!$B:$B,$A106,ConfirmedRaw!Q:Q)</f>
        <v>0</v>
      </c>
      <c r="O106">
        <f>SUMIF(ConfirmedRaw!$B:$B,$A106,ConfirmedRaw!R:R)</f>
        <v>0</v>
      </c>
      <c r="P106">
        <f>SUMIF(ConfirmedRaw!$B:$B,$A106,ConfirmedRaw!S:S)</f>
        <v>0</v>
      </c>
      <c r="Q106">
        <f>SUMIF(ConfirmedRaw!$B:$B,$A106,ConfirmedRaw!T:T)</f>
        <v>0</v>
      </c>
      <c r="R106">
        <f>SUMIF(ConfirmedRaw!$B:$B,$A106,ConfirmedRaw!U:U)</f>
        <v>0</v>
      </c>
      <c r="S106">
        <f>SUMIF(ConfirmedRaw!$B:$B,$A106,ConfirmedRaw!V:V)</f>
        <v>0</v>
      </c>
      <c r="T106">
        <f>SUMIF(ConfirmedRaw!$B:$B,$A106,ConfirmedRaw!W:W)</f>
        <v>0</v>
      </c>
      <c r="U106">
        <f>SUMIF(ConfirmedRaw!$B:$B,$A106,ConfirmedRaw!X:X)</f>
        <v>0</v>
      </c>
      <c r="V106">
        <f>SUMIF(ConfirmedRaw!$B:$B,$A106,ConfirmedRaw!Y:Y)</f>
        <v>0</v>
      </c>
      <c r="W106">
        <f>SUMIF(ConfirmedRaw!$B:$B,$A106,ConfirmedRaw!Z:Z)</f>
        <v>0</v>
      </c>
      <c r="X106">
        <f>SUMIF(ConfirmedRaw!$B:$B,$A106,ConfirmedRaw!AA:AA)</f>
        <v>0</v>
      </c>
      <c r="Y106">
        <f>SUMIF(ConfirmedRaw!$B:$B,$A106,ConfirmedRaw!AB:AB)</f>
        <v>0</v>
      </c>
      <c r="Z106">
        <f>SUMIF(ConfirmedRaw!$B:$B,$A106,ConfirmedRaw!AC:AC)</f>
        <v>0</v>
      </c>
      <c r="AA106">
        <f>SUMIF(ConfirmedRaw!$B:$B,$A106,ConfirmedRaw!AD:AD)</f>
        <v>0</v>
      </c>
      <c r="AB106">
        <f>SUMIF(ConfirmedRaw!$B:$B,$A106,ConfirmedRaw!AE:AE)</f>
        <v>0</v>
      </c>
      <c r="AC106">
        <f>SUMIF(ConfirmedRaw!$B:$B,$A106,ConfirmedRaw!AF:AF)</f>
        <v>0</v>
      </c>
      <c r="AD106">
        <f>SUMIF(ConfirmedRaw!$B:$B,$A106,ConfirmedRaw!AG:AG)</f>
        <v>0</v>
      </c>
      <c r="AE106">
        <f>SUMIF(ConfirmedRaw!$B:$B,$A106,ConfirmedRaw!AH:AH)</f>
        <v>0</v>
      </c>
      <c r="AF106">
        <f>SUMIF(ConfirmedRaw!$B:$B,$A106,ConfirmedRaw!AI:AI)</f>
        <v>0</v>
      </c>
      <c r="AG106">
        <f>SUMIF(ConfirmedRaw!$B:$B,$A106,ConfirmedRaw!AJ:AJ)</f>
        <v>0</v>
      </c>
      <c r="AH106">
        <f>SUMIF(ConfirmedRaw!$B:$B,$A106,ConfirmedRaw!AK:AK)</f>
        <v>0</v>
      </c>
      <c r="AI106">
        <f>SUMIF(ConfirmedRaw!$B:$B,$A106,ConfirmedRaw!AL:AL)</f>
        <v>0</v>
      </c>
      <c r="AJ106">
        <f>SUMIF(ConfirmedRaw!$B:$B,$A106,ConfirmedRaw!AM:AM)</f>
        <v>0</v>
      </c>
      <c r="AK106">
        <f>SUMIF(ConfirmedRaw!$B:$B,$A106,ConfirmedRaw!AN:AN)</f>
        <v>0</v>
      </c>
      <c r="AL106">
        <f>SUMIF(ConfirmedRaw!$B:$B,$A106,ConfirmedRaw!AO:AO)</f>
        <v>0</v>
      </c>
      <c r="AM106">
        <f>SUMIF(ConfirmedRaw!$B:$B,$A106,ConfirmedRaw!AP:AP)</f>
        <v>0</v>
      </c>
      <c r="AN106">
        <f>SUMIF(ConfirmedRaw!$B:$B,$A106,ConfirmedRaw!AQ:AQ)</f>
        <v>0</v>
      </c>
      <c r="AO106">
        <f>SUMIF(ConfirmedRaw!$B:$B,$A106,ConfirmedRaw!AR:AR)</f>
        <v>0</v>
      </c>
      <c r="AP106">
        <f>SUMIF(ConfirmedRaw!$B:$B,$A106,ConfirmedRaw!AS:AS)</f>
        <v>0</v>
      </c>
      <c r="AQ106">
        <f>SUMIF(ConfirmedRaw!$B:$B,$A106,ConfirmedRaw!AT:AT)</f>
        <v>0</v>
      </c>
      <c r="AR106">
        <f>SUMIF(ConfirmedRaw!$B:$B,$A106,ConfirmedRaw!AU:AU)</f>
        <v>0</v>
      </c>
      <c r="AS106">
        <f>SUMIF(ConfirmedRaw!$B:$B,$A106,ConfirmedRaw!AV:AV)</f>
        <v>0</v>
      </c>
      <c r="AT106">
        <f>SUMIF(ConfirmedRaw!$B:$B,$A106,ConfirmedRaw!AW:AW)</f>
        <v>0</v>
      </c>
      <c r="AU106">
        <f>SUMIF(ConfirmedRaw!$B:$B,$A106,ConfirmedRaw!AX:AX)</f>
        <v>0</v>
      </c>
      <c r="AV106">
        <f>SUMIF(ConfirmedRaw!$B:$B,$A106,ConfirmedRaw!AY:AY)</f>
        <v>0</v>
      </c>
      <c r="AW106">
        <f>SUMIF(ConfirmedRaw!$B:$B,$A106,ConfirmedRaw!AZ:AZ)</f>
        <v>0</v>
      </c>
      <c r="AX106">
        <f>SUMIF(ConfirmedRaw!$B:$B,$A106,ConfirmedRaw!BA:BA)</f>
        <v>0</v>
      </c>
      <c r="AY106">
        <f>SUMIF(ConfirmedRaw!$B:$B,$A106,ConfirmedRaw!BB:BB)</f>
        <v>1</v>
      </c>
      <c r="AZ106">
        <f>SUMIF(ConfirmedRaw!$B:$B,$A106,ConfirmedRaw!BC:BC)</f>
        <v>1</v>
      </c>
      <c r="BA106">
        <f>SUMIF(ConfirmedRaw!$B:$B,$A106,ConfirmedRaw!BD:BD)</f>
        <v>2</v>
      </c>
      <c r="BB106">
        <f>SUMIF(ConfirmedRaw!$B:$B,$A106,ConfirmedRaw!BE:BE)</f>
        <v>2</v>
      </c>
      <c r="BC106">
        <f>SUMIF(ConfirmedRaw!$B:$B,$A106,ConfirmedRaw!BF:BF)</f>
        <v>2</v>
      </c>
      <c r="BD106">
        <f>SUMIF(ConfirmedRaw!$B:$B,$A106,ConfirmedRaw!BG:BG)</f>
        <v>2</v>
      </c>
      <c r="BE106">
        <f>SUMIF(ConfirmedRaw!$B:$B,$A106,ConfirmedRaw!BH:BH)</f>
        <v>3</v>
      </c>
      <c r="BF106">
        <f>SUMIF(ConfirmedRaw!$B:$B,$A106,ConfirmedRaw!BI:BI)</f>
        <v>4</v>
      </c>
      <c r="BG106">
        <f>SUMIF(ConfirmedRaw!$B:$B,$A106,ConfirmedRaw!BJ:BJ)</f>
        <v>0</v>
      </c>
      <c r="BH106">
        <f>SUMIF(ConfirmedRaw!$B:$B,$A106,ConfirmedRaw!BK:BK)</f>
        <v>0</v>
      </c>
      <c r="BI106">
        <f>SUMIF(ConfirmedRaw!$B:$B,$A106,ConfirmedRaw!BL:BL)</f>
        <v>0</v>
      </c>
      <c r="BJ106">
        <f>SUMIF(ConfirmedRaw!$B:$B,$A106,ConfirmedRaw!BM:BM)</f>
        <v>0</v>
      </c>
      <c r="BK106">
        <f>SUMIF(ConfirmedRaw!$B:$B,$A106,ConfirmedRaw!BN:BN)</f>
        <v>0</v>
      </c>
      <c r="BL106">
        <f>SUMIF(ConfirmedRaw!$B:$B,$A106,ConfirmedRaw!BO:BO)</f>
        <v>0</v>
      </c>
      <c r="BM106">
        <f>SUMIF(ConfirmedRaw!$B:$B,$A106,ConfirmedRaw!BP:BP)</f>
        <v>0</v>
      </c>
      <c r="BN106">
        <f>SUMIF(ConfirmedRaw!$B:$B,$A106,ConfirmedRaw!BQ:BQ)</f>
        <v>0</v>
      </c>
      <c r="BO106">
        <f>SUMIF(ConfirmedRaw!$B:$B,$A106,ConfirmedRaw!BR:BR)</f>
        <v>0</v>
      </c>
      <c r="BP106">
        <f>SUMIF(ConfirmedRaw!$B:$B,$A106,ConfirmedRaw!BS:BS)</f>
        <v>0</v>
      </c>
      <c r="BQ106">
        <f>SUMIF(ConfirmedRaw!$B:$B,$A106,ConfirmedRaw!BT:BT)</f>
        <v>0</v>
      </c>
      <c r="BR106">
        <f>SUMIF(ConfirmedRaw!$B:$B,$A106,ConfirmedRaw!BU:BU)</f>
        <v>0</v>
      </c>
      <c r="BS106">
        <f>SUMIF(ConfirmedRaw!$B:$B,$A106,ConfirmedRaw!BV:BV)</f>
        <v>0</v>
      </c>
      <c r="BT106">
        <f>SUMIF(ConfirmedRaw!$B:$B,$A106,ConfirmedRaw!BW:BW)</f>
        <v>0</v>
      </c>
    </row>
    <row r="107" spans="1:72" ht="15" thickBot="1" x14ac:dyDescent="0.35">
      <c r="A107" s="4" t="s">
        <v>348</v>
      </c>
      <c r="B107">
        <f>SUMIF(ConfirmedRaw!$B:$B,$A107,ConfirmedRaw!E:E)</f>
        <v>0</v>
      </c>
      <c r="C107">
        <f>SUMIF(ConfirmedRaw!$B:$B,$A107,ConfirmedRaw!F:F)</f>
        <v>0</v>
      </c>
      <c r="D107">
        <f>SUMIF(ConfirmedRaw!$B:$B,$A107,ConfirmedRaw!G:G)</f>
        <v>0</v>
      </c>
      <c r="E107">
        <f>SUMIF(ConfirmedRaw!$B:$B,$A107,ConfirmedRaw!H:H)</f>
        <v>0</v>
      </c>
      <c r="F107">
        <f>SUMIF(ConfirmedRaw!$B:$B,$A107,ConfirmedRaw!I:I)</f>
        <v>0</v>
      </c>
      <c r="G107">
        <f>SUMIF(ConfirmedRaw!$B:$B,$A107,ConfirmedRaw!J:J)</f>
        <v>0</v>
      </c>
      <c r="H107">
        <f>SUMIF(ConfirmedRaw!$B:$B,$A107,ConfirmedRaw!K:K)</f>
        <v>0</v>
      </c>
      <c r="I107">
        <f>SUMIF(ConfirmedRaw!$B:$B,$A107,ConfirmedRaw!L:L)</f>
        <v>0</v>
      </c>
      <c r="J107">
        <f>SUMIF(ConfirmedRaw!$B:$B,$A107,ConfirmedRaw!M:M)</f>
        <v>0</v>
      </c>
      <c r="K107">
        <f>SUMIF(ConfirmedRaw!$B:$B,$A107,ConfirmedRaw!N:N)</f>
        <v>0</v>
      </c>
      <c r="L107">
        <f>SUMIF(ConfirmedRaw!$B:$B,$A107,ConfirmedRaw!O:O)</f>
        <v>0</v>
      </c>
      <c r="M107">
        <f>SUMIF(ConfirmedRaw!$B:$B,$A107,ConfirmedRaw!P:P)</f>
        <v>0</v>
      </c>
      <c r="N107">
        <f>SUMIF(ConfirmedRaw!$B:$B,$A107,ConfirmedRaw!Q:Q)</f>
        <v>0</v>
      </c>
      <c r="O107">
        <f>SUMIF(ConfirmedRaw!$B:$B,$A107,ConfirmedRaw!R:R)</f>
        <v>0</v>
      </c>
      <c r="P107">
        <f>SUMIF(ConfirmedRaw!$B:$B,$A107,ConfirmedRaw!S:S)</f>
        <v>0</v>
      </c>
      <c r="Q107">
        <f>SUMIF(ConfirmedRaw!$B:$B,$A107,ConfirmedRaw!T:T)</f>
        <v>0</v>
      </c>
      <c r="R107">
        <f>SUMIF(ConfirmedRaw!$B:$B,$A107,ConfirmedRaw!U:U)</f>
        <v>0</v>
      </c>
      <c r="S107">
        <f>SUMIF(ConfirmedRaw!$B:$B,$A107,ConfirmedRaw!V:V)</f>
        <v>0</v>
      </c>
      <c r="T107">
        <f>SUMIF(ConfirmedRaw!$B:$B,$A107,ConfirmedRaw!W:W)</f>
        <v>0</v>
      </c>
      <c r="U107">
        <f>SUMIF(ConfirmedRaw!$B:$B,$A107,ConfirmedRaw!X:X)</f>
        <v>0</v>
      </c>
      <c r="V107">
        <f>SUMIF(ConfirmedRaw!$B:$B,$A107,ConfirmedRaw!Y:Y)</f>
        <v>0</v>
      </c>
      <c r="W107">
        <f>SUMIF(ConfirmedRaw!$B:$B,$A107,ConfirmedRaw!Z:Z)</f>
        <v>0</v>
      </c>
      <c r="X107">
        <f>SUMIF(ConfirmedRaw!$B:$B,$A107,ConfirmedRaw!AA:AA)</f>
        <v>0</v>
      </c>
      <c r="Y107">
        <f>SUMIF(ConfirmedRaw!$B:$B,$A107,ConfirmedRaw!AB:AB)</f>
        <v>0</v>
      </c>
      <c r="Z107">
        <f>SUMIF(ConfirmedRaw!$B:$B,$A107,ConfirmedRaw!AC:AC)</f>
        <v>0</v>
      </c>
      <c r="AA107">
        <f>SUMIF(ConfirmedRaw!$B:$B,$A107,ConfirmedRaw!AD:AD)</f>
        <v>0</v>
      </c>
      <c r="AB107">
        <f>SUMIF(ConfirmedRaw!$B:$B,$A107,ConfirmedRaw!AE:AE)</f>
        <v>0</v>
      </c>
      <c r="AC107">
        <f>SUMIF(ConfirmedRaw!$B:$B,$A107,ConfirmedRaw!AF:AF)</f>
        <v>0</v>
      </c>
      <c r="AD107">
        <f>SUMIF(ConfirmedRaw!$B:$B,$A107,ConfirmedRaw!AG:AG)</f>
        <v>0</v>
      </c>
      <c r="AE107">
        <f>SUMIF(ConfirmedRaw!$B:$B,$A107,ConfirmedRaw!AH:AH)</f>
        <v>0</v>
      </c>
      <c r="AF107">
        <f>SUMIF(ConfirmedRaw!$B:$B,$A107,ConfirmedRaw!AI:AI)</f>
        <v>0</v>
      </c>
      <c r="AG107">
        <f>SUMIF(ConfirmedRaw!$B:$B,$A107,ConfirmedRaw!AJ:AJ)</f>
        <v>0</v>
      </c>
      <c r="AH107">
        <f>SUMIF(ConfirmedRaw!$B:$B,$A107,ConfirmedRaw!AK:AK)</f>
        <v>0</v>
      </c>
      <c r="AI107">
        <f>SUMIF(ConfirmedRaw!$B:$B,$A107,ConfirmedRaw!AL:AL)</f>
        <v>0</v>
      </c>
      <c r="AJ107">
        <f>SUMIF(ConfirmedRaw!$B:$B,$A107,ConfirmedRaw!AM:AM)</f>
        <v>0</v>
      </c>
      <c r="AK107">
        <f>SUMIF(ConfirmedRaw!$B:$B,$A107,ConfirmedRaw!AN:AN)</f>
        <v>0</v>
      </c>
      <c r="AL107">
        <f>SUMIF(ConfirmedRaw!$B:$B,$A107,ConfirmedRaw!AO:AO)</f>
        <v>0</v>
      </c>
      <c r="AM107">
        <f>SUMIF(ConfirmedRaw!$B:$B,$A107,ConfirmedRaw!AP:AP)</f>
        <v>0</v>
      </c>
      <c r="AN107">
        <f>SUMIF(ConfirmedRaw!$B:$B,$A107,ConfirmedRaw!AQ:AQ)</f>
        <v>0</v>
      </c>
      <c r="AO107">
        <f>SUMIF(ConfirmedRaw!$B:$B,$A107,ConfirmedRaw!AR:AR)</f>
        <v>0</v>
      </c>
      <c r="AP107">
        <f>SUMIF(ConfirmedRaw!$B:$B,$A107,ConfirmedRaw!AS:AS)</f>
        <v>0</v>
      </c>
      <c r="AQ107">
        <f>SUMIF(ConfirmedRaw!$B:$B,$A107,ConfirmedRaw!AT:AT)</f>
        <v>0</v>
      </c>
      <c r="AR107">
        <f>SUMIF(ConfirmedRaw!$B:$B,$A107,ConfirmedRaw!AU:AU)</f>
        <v>0</v>
      </c>
      <c r="AS107">
        <f>SUMIF(ConfirmedRaw!$B:$B,$A107,ConfirmedRaw!AV:AV)</f>
        <v>0</v>
      </c>
      <c r="AT107">
        <f>SUMIF(ConfirmedRaw!$B:$B,$A107,ConfirmedRaw!AW:AW)</f>
        <v>0</v>
      </c>
      <c r="AU107">
        <f>SUMIF(ConfirmedRaw!$B:$B,$A107,ConfirmedRaw!AX:AX)</f>
        <v>0</v>
      </c>
      <c r="AV107">
        <f>SUMIF(ConfirmedRaw!$B:$B,$A107,ConfirmedRaw!AY:AY)</f>
        <v>0</v>
      </c>
      <c r="AW107">
        <f>SUMIF(ConfirmedRaw!$B:$B,$A107,ConfirmedRaw!AZ:AZ)</f>
        <v>0</v>
      </c>
      <c r="AX107">
        <f>SUMIF(ConfirmedRaw!$B:$B,$A107,ConfirmedRaw!BA:BA)</f>
        <v>0</v>
      </c>
      <c r="AY107">
        <f>SUMIF(ConfirmedRaw!$B:$B,$A107,ConfirmedRaw!BB:BB)</f>
        <v>2</v>
      </c>
      <c r="AZ107">
        <f>SUMIF(ConfirmedRaw!$B:$B,$A107,ConfirmedRaw!BC:BC)</f>
        <v>2</v>
      </c>
      <c r="BA107">
        <f>SUMIF(ConfirmedRaw!$B:$B,$A107,ConfirmedRaw!BD:BD)</f>
        <v>2</v>
      </c>
      <c r="BB107">
        <f>SUMIF(ConfirmedRaw!$B:$B,$A107,ConfirmedRaw!BE:BE)</f>
        <v>2</v>
      </c>
      <c r="BC107">
        <f>SUMIF(ConfirmedRaw!$B:$B,$A107,ConfirmedRaw!BF:BF)</f>
        <v>3</v>
      </c>
      <c r="BD107">
        <f>SUMIF(ConfirmedRaw!$B:$B,$A107,ConfirmedRaw!BG:BG)</f>
        <v>6</v>
      </c>
      <c r="BE107">
        <f>SUMIF(ConfirmedRaw!$B:$B,$A107,ConfirmedRaw!BH:BH)</f>
        <v>8</v>
      </c>
      <c r="BF107">
        <f>SUMIF(ConfirmedRaw!$B:$B,$A107,ConfirmedRaw!BI:BI)</f>
        <v>9</v>
      </c>
      <c r="BG107">
        <f>SUMIF(ConfirmedRaw!$B:$B,$A107,ConfirmedRaw!BJ:BJ)</f>
        <v>0</v>
      </c>
      <c r="BH107">
        <f>SUMIF(ConfirmedRaw!$B:$B,$A107,ConfirmedRaw!BK:BK)</f>
        <v>0</v>
      </c>
      <c r="BI107">
        <f>SUMIF(ConfirmedRaw!$B:$B,$A107,ConfirmedRaw!BL:BL)</f>
        <v>0</v>
      </c>
      <c r="BJ107">
        <f>SUMIF(ConfirmedRaw!$B:$B,$A107,ConfirmedRaw!BM:BM)</f>
        <v>0</v>
      </c>
      <c r="BK107">
        <f>SUMIF(ConfirmedRaw!$B:$B,$A107,ConfirmedRaw!BN:BN)</f>
        <v>0</v>
      </c>
      <c r="BL107">
        <f>SUMIF(ConfirmedRaw!$B:$B,$A107,ConfirmedRaw!BO:BO)</f>
        <v>0</v>
      </c>
      <c r="BM107">
        <f>SUMIF(ConfirmedRaw!$B:$B,$A107,ConfirmedRaw!BP:BP)</f>
        <v>0</v>
      </c>
      <c r="BN107">
        <f>SUMIF(ConfirmedRaw!$B:$B,$A107,ConfirmedRaw!BQ:BQ)</f>
        <v>0</v>
      </c>
      <c r="BO107">
        <f>SUMIF(ConfirmedRaw!$B:$B,$A107,ConfirmedRaw!BR:BR)</f>
        <v>0</v>
      </c>
      <c r="BP107">
        <f>SUMIF(ConfirmedRaw!$B:$B,$A107,ConfirmedRaw!BS:BS)</f>
        <v>0</v>
      </c>
      <c r="BQ107">
        <f>SUMIF(ConfirmedRaw!$B:$B,$A107,ConfirmedRaw!BT:BT)</f>
        <v>0</v>
      </c>
      <c r="BR107">
        <f>SUMIF(ConfirmedRaw!$B:$B,$A107,ConfirmedRaw!BU:BU)</f>
        <v>0</v>
      </c>
      <c r="BS107">
        <f>SUMIF(ConfirmedRaw!$B:$B,$A107,ConfirmedRaw!BV:BV)</f>
        <v>0</v>
      </c>
      <c r="BT107">
        <f>SUMIF(ConfirmedRaw!$B:$B,$A107,ConfirmedRaw!BW:BW)</f>
        <v>0</v>
      </c>
    </row>
    <row r="108" spans="1:72" ht="15" thickBot="1" x14ac:dyDescent="0.35">
      <c r="A108" s="4" t="s">
        <v>100</v>
      </c>
      <c r="B108">
        <f>SUMIF(ConfirmedRaw!$B:$B,$A108,ConfirmedRaw!E:E)</f>
        <v>0</v>
      </c>
      <c r="C108">
        <f>SUMIF(ConfirmedRaw!$B:$B,$A108,ConfirmedRaw!F:F)</f>
        <v>0</v>
      </c>
      <c r="D108">
        <f>SUMIF(ConfirmedRaw!$B:$B,$A108,ConfirmedRaw!G:G)</f>
        <v>0</v>
      </c>
      <c r="E108">
        <f>SUMIF(ConfirmedRaw!$B:$B,$A108,ConfirmedRaw!H:H)</f>
        <v>0</v>
      </c>
      <c r="F108">
        <f>SUMIF(ConfirmedRaw!$B:$B,$A108,ConfirmedRaw!I:I)</f>
        <v>0</v>
      </c>
      <c r="G108">
        <f>SUMIF(ConfirmedRaw!$B:$B,$A108,ConfirmedRaw!J:J)</f>
        <v>0</v>
      </c>
      <c r="H108">
        <f>SUMIF(ConfirmedRaw!$B:$B,$A108,ConfirmedRaw!K:K)</f>
        <v>0</v>
      </c>
      <c r="I108">
        <f>SUMIF(ConfirmedRaw!$B:$B,$A108,ConfirmedRaw!L:L)</f>
        <v>0</v>
      </c>
      <c r="J108">
        <f>SUMIF(ConfirmedRaw!$B:$B,$A108,ConfirmedRaw!M:M)</f>
        <v>0</v>
      </c>
      <c r="K108">
        <f>SUMIF(ConfirmedRaw!$B:$B,$A108,ConfirmedRaw!N:N)</f>
        <v>0</v>
      </c>
      <c r="L108">
        <f>SUMIF(ConfirmedRaw!$B:$B,$A108,ConfirmedRaw!O:O)</f>
        <v>0</v>
      </c>
      <c r="M108">
        <f>SUMIF(ConfirmedRaw!$B:$B,$A108,ConfirmedRaw!P:P)</f>
        <v>0</v>
      </c>
      <c r="N108">
        <f>SUMIF(ConfirmedRaw!$B:$B,$A108,ConfirmedRaw!Q:Q)</f>
        <v>0</v>
      </c>
      <c r="O108">
        <f>SUMIF(ConfirmedRaw!$B:$B,$A108,ConfirmedRaw!R:R)</f>
        <v>0</v>
      </c>
      <c r="P108">
        <f>SUMIF(ConfirmedRaw!$B:$B,$A108,ConfirmedRaw!S:S)</f>
        <v>0</v>
      </c>
      <c r="Q108">
        <f>SUMIF(ConfirmedRaw!$B:$B,$A108,ConfirmedRaw!T:T)</f>
        <v>0</v>
      </c>
      <c r="R108">
        <f>SUMIF(ConfirmedRaw!$B:$B,$A108,ConfirmedRaw!U:U)</f>
        <v>0</v>
      </c>
      <c r="S108">
        <f>SUMIF(ConfirmedRaw!$B:$B,$A108,ConfirmedRaw!V:V)</f>
        <v>0</v>
      </c>
      <c r="T108">
        <f>SUMIF(ConfirmedRaw!$B:$B,$A108,ConfirmedRaw!W:W)</f>
        <v>0</v>
      </c>
      <c r="U108">
        <f>SUMIF(ConfirmedRaw!$B:$B,$A108,ConfirmedRaw!X:X)</f>
        <v>0</v>
      </c>
      <c r="V108">
        <f>SUMIF(ConfirmedRaw!$B:$B,$A108,ConfirmedRaw!Y:Y)</f>
        <v>0</v>
      </c>
      <c r="W108">
        <f>SUMIF(ConfirmedRaw!$B:$B,$A108,ConfirmedRaw!Z:Z)</f>
        <v>0</v>
      </c>
      <c r="X108">
        <f>SUMIF(ConfirmedRaw!$B:$B,$A108,ConfirmedRaw!AA:AA)</f>
        <v>0</v>
      </c>
      <c r="Y108">
        <f>SUMIF(ConfirmedRaw!$B:$B,$A108,ConfirmedRaw!AB:AB)</f>
        <v>0</v>
      </c>
      <c r="Z108">
        <f>SUMIF(ConfirmedRaw!$B:$B,$A108,ConfirmedRaw!AC:AC)</f>
        <v>0</v>
      </c>
      <c r="AA108">
        <f>SUMIF(ConfirmedRaw!$B:$B,$A108,ConfirmedRaw!AD:AD)</f>
        <v>0</v>
      </c>
      <c r="AB108">
        <f>SUMIF(ConfirmedRaw!$B:$B,$A108,ConfirmedRaw!AE:AE)</f>
        <v>0</v>
      </c>
      <c r="AC108">
        <f>SUMIF(ConfirmedRaw!$B:$B,$A108,ConfirmedRaw!AF:AF)</f>
        <v>0</v>
      </c>
      <c r="AD108">
        <f>SUMIF(ConfirmedRaw!$B:$B,$A108,ConfirmedRaw!AG:AG)</f>
        <v>0</v>
      </c>
      <c r="AE108">
        <f>SUMIF(ConfirmedRaw!$B:$B,$A108,ConfirmedRaw!AH:AH)</f>
        <v>0</v>
      </c>
      <c r="AF108">
        <f>SUMIF(ConfirmedRaw!$B:$B,$A108,ConfirmedRaw!AI:AI)</f>
        <v>0</v>
      </c>
      <c r="AG108">
        <f>SUMIF(ConfirmedRaw!$B:$B,$A108,ConfirmedRaw!AJ:AJ)</f>
        <v>0</v>
      </c>
      <c r="AH108">
        <f>SUMIF(ConfirmedRaw!$B:$B,$A108,ConfirmedRaw!AK:AK)</f>
        <v>0</v>
      </c>
      <c r="AI108">
        <f>SUMIF(ConfirmedRaw!$B:$B,$A108,ConfirmedRaw!AL:AL)</f>
        <v>0</v>
      </c>
      <c r="AJ108">
        <f>SUMIF(ConfirmedRaw!$B:$B,$A108,ConfirmedRaw!AM:AM)</f>
        <v>0</v>
      </c>
      <c r="AK108">
        <f>SUMIF(ConfirmedRaw!$B:$B,$A108,ConfirmedRaw!AN:AN)</f>
        <v>0</v>
      </c>
      <c r="AL108">
        <f>SUMIF(ConfirmedRaw!$B:$B,$A108,ConfirmedRaw!AO:AO)</f>
        <v>0</v>
      </c>
      <c r="AM108">
        <f>SUMIF(ConfirmedRaw!$B:$B,$A108,ConfirmedRaw!AP:AP)</f>
        <v>0</v>
      </c>
      <c r="AN108">
        <f>SUMIF(ConfirmedRaw!$B:$B,$A108,ConfirmedRaw!AQ:AQ)</f>
        <v>1</v>
      </c>
      <c r="AO108">
        <f>SUMIF(ConfirmedRaw!$B:$B,$A108,ConfirmedRaw!AR:AR)</f>
        <v>1</v>
      </c>
      <c r="AP108">
        <f>SUMIF(ConfirmedRaw!$B:$B,$A108,ConfirmedRaw!AS:AS)</f>
        <v>1</v>
      </c>
      <c r="AQ108">
        <f>SUMIF(ConfirmedRaw!$B:$B,$A108,ConfirmedRaw!AT:AT)</f>
        <v>1</v>
      </c>
      <c r="AR108">
        <f>SUMIF(ConfirmedRaw!$B:$B,$A108,ConfirmedRaw!AU:AU)</f>
        <v>1</v>
      </c>
      <c r="AS108">
        <f>SUMIF(ConfirmedRaw!$B:$B,$A108,ConfirmedRaw!AV:AV)</f>
        <v>1</v>
      </c>
      <c r="AT108">
        <f>SUMIF(ConfirmedRaw!$B:$B,$A108,ConfirmedRaw!AW:AW)</f>
        <v>1</v>
      </c>
      <c r="AU108">
        <f>SUMIF(ConfirmedRaw!$B:$B,$A108,ConfirmedRaw!AX:AX)</f>
        <v>1</v>
      </c>
      <c r="AV108">
        <f>SUMIF(ConfirmedRaw!$B:$B,$A108,ConfirmedRaw!AY:AY)</f>
        <v>1</v>
      </c>
      <c r="AW108">
        <f>SUMIF(ConfirmedRaw!$B:$B,$A108,ConfirmedRaw!AZ:AZ)</f>
        <v>1</v>
      </c>
      <c r="AX108">
        <f>SUMIF(ConfirmedRaw!$B:$B,$A108,ConfirmedRaw!BA:BA)</f>
        <v>1</v>
      </c>
      <c r="AY108">
        <f>SUMIF(ConfirmedRaw!$B:$B,$A108,ConfirmedRaw!BB:BB)</f>
        <v>1</v>
      </c>
      <c r="AZ108">
        <f>SUMIF(ConfirmedRaw!$B:$B,$A108,ConfirmedRaw!BC:BC)</f>
        <v>2</v>
      </c>
      <c r="BA108">
        <f>SUMIF(ConfirmedRaw!$B:$B,$A108,ConfirmedRaw!BD:BD)</f>
        <v>2</v>
      </c>
      <c r="BB108">
        <f>SUMIF(ConfirmedRaw!$B:$B,$A108,ConfirmedRaw!BE:BE)</f>
        <v>2</v>
      </c>
      <c r="BC108">
        <f>SUMIF(ConfirmedRaw!$B:$B,$A108,ConfirmedRaw!BF:BF)</f>
        <v>2</v>
      </c>
      <c r="BD108">
        <f>SUMIF(ConfirmedRaw!$B:$B,$A108,ConfirmedRaw!BG:BG)</f>
        <v>7</v>
      </c>
      <c r="BE108">
        <f>SUMIF(ConfirmedRaw!$B:$B,$A108,ConfirmedRaw!BH:BH)</f>
        <v>7</v>
      </c>
      <c r="BF108">
        <f>SUMIF(ConfirmedRaw!$B:$B,$A108,ConfirmedRaw!BI:BI)</f>
        <v>7</v>
      </c>
      <c r="BG108">
        <f>SUMIF(ConfirmedRaw!$B:$B,$A108,ConfirmedRaw!BJ:BJ)</f>
        <v>0</v>
      </c>
      <c r="BH108">
        <f>SUMIF(ConfirmedRaw!$B:$B,$A108,ConfirmedRaw!BK:BK)</f>
        <v>0</v>
      </c>
      <c r="BI108">
        <f>SUMIF(ConfirmedRaw!$B:$B,$A108,ConfirmedRaw!BL:BL)</f>
        <v>0</v>
      </c>
      <c r="BJ108">
        <f>SUMIF(ConfirmedRaw!$B:$B,$A108,ConfirmedRaw!BM:BM)</f>
        <v>0</v>
      </c>
      <c r="BK108">
        <f>SUMIF(ConfirmedRaw!$B:$B,$A108,ConfirmedRaw!BN:BN)</f>
        <v>0</v>
      </c>
      <c r="BL108">
        <f>SUMIF(ConfirmedRaw!$B:$B,$A108,ConfirmedRaw!BO:BO)</f>
        <v>0</v>
      </c>
      <c r="BM108">
        <f>SUMIF(ConfirmedRaw!$B:$B,$A108,ConfirmedRaw!BP:BP)</f>
        <v>0</v>
      </c>
      <c r="BN108">
        <f>SUMIF(ConfirmedRaw!$B:$B,$A108,ConfirmedRaw!BQ:BQ)</f>
        <v>0</v>
      </c>
      <c r="BO108">
        <f>SUMIF(ConfirmedRaw!$B:$B,$A108,ConfirmedRaw!BR:BR)</f>
        <v>0</v>
      </c>
      <c r="BP108">
        <f>SUMIF(ConfirmedRaw!$B:$B,$A108,ConfirmedRaw!BS:BS)</f>
        <v>0</v>
      </c>
      <c r="BQ108">
        <f>SUMIF(ConfirmedRaw!$B:$B,$A108,ConfirmedRaw!BT:BT)</f>
        <v>0</v>
      </c>
      <c r="BR108">
        <f>SUMIF(ConfirmedRaw!$B:$B,$A108,ConfirmedRaw!BU:BU)</f>
        <v>0</v>
      </c>
      <c r="BS108">
        <f>SUMIF(ConfirmedRaw!$B:$B,$A108,ConfirmedRaw!BV:BV)</f>
        <v>0</v>
      </c>
      <c r="BT108">
        <f>SUMIF(ConfirmedRaw!$B:$B,$A108,ConfirmedRaw!BW:BW)</f>
        <v>0</v>
      </c>
    </row>
    <row r="109" spans="1:72" ht="15" thickBot="1" x14ac:dyDescent="0.35">
      <c r="A109" s="4" t="s">
        <v>96</v>
      </c>
      <c r="B109">
        <f>SUMIF(ConfirmedRaw!$B:$B,$A109,ConfirmedRaw!E:E)</f>
        <v>0</v>
      </c>
      <c r="C109">
        <f>SUMIF(ConfirmedRaw!$B:$B,$A109,ConfirmedRaw!F:F)</f>
        <v>0</v>
      </c>
      <c r="D109">
        <f>SUMIF(ConfirmedRaw!$B:$B,$A109,ConfirmedRaw!G:G)</f>
        <v>0</v>
      </c>
      <c r="E109">
        <f>SUMIF(ConfirmedRaw!$B:$B,$A109,ConfirmedRaw!H:H)</f>
        <v>0</v>
      </c>
      <c r="F109">
        <f>SUMIF(ConfirmedRaw!$B:$B,$A109,ConfirmedRaw!I:I)</f>
        <v>0</v>
      </c>
      <c r="G109">
        <f>SUMIF(ConfirmedRaw!$B:$B,$A109,ConfirmedRaw!J:J)</f>
        <v>0</v>
      </c>
      <c r="H109">
        <f>SUMIF(ConfirmedRaw!$B:$B,$A109,ConfirmedRaw!K:K)</f>
        <v>0</v>
      </c>
      <c r="I109">
        <f>SUMIF(ConfirmedRaw!$B:$B,$A109,ConfirmedRaw!L:L)</f>
        <v>0</v>
      </c>
      <c r="J109">
        <f>SUMIF(ConfirmedRaw!$B:$B,$A109,ConfirmedRaw!M:M)</f>
        <v>0</v>
      </c>
      <c r="K109">
        <f>SUMIF(ConfirmedRaw!$B:$B,$A109,ConfirmedRaw!N:N)</f>
        <v>0</v>
      </c>
      <c r="L109">
        <f>SUMIF(ConfirmedRaw!$B:$B,$A109,ConfirmedRaw!O:O)</f>
        <v>0</v>
      </c>
      <c r="M109">
        <f>SUMIF(ConfirmedRaw!$B:$B,$A109,ConfirmedRaw!P:P)</f>
        <v>0</v>
      </c>
      <c r="N109">
        <f>SUMIF(ConfirmedRaw!$B:$B,$A109,ConfirmedRaw!Q:Q)</f>
        <v>0</v>
      </c>
      <c r="O109">
        <f>SUMIF(ConfirmedRaw!$B:$B,$A109,ConfirmedRaw!R:R)</f>
        <v>0</v>
      </c>
      <c r="P109">
        <f>SUMIF(ConfirmedRaw!$B:$B,$A109,ConfirmedRaw!S:S)</f>
        <v>0</v>
      </c>
      <c r="Q109">
        <f>SUMIF(ConfirmedRaw!$B:$B,$A109,ConfirmedRaw!T:T)</f>
        <v>0</v>
      </c>
      <c r="R109">
        <f>SUMIF(ConfirmedRaw!$B:$B,$A109,ConfirmedRaw!U:U)</f>
        <v>0</v>
      </c>
      <c r="S109">
        <f>SUMIF(ConfirmedRaw!$B:$B,$A109,ConfirmedRaw!V:V)</f>
        <v>0</v>
      </c>
      <c r="T109">
        <f>SUMIF(ConfirmedRaw!$B:$B,$A109,ConfirmedRaw!W:W)</f>
        <v>0</v>
      </c>
      <c r="U109">
        <f>SUMIF(ConfirmedRaw!$B:$B,$A109,ConfirmedRaw!X:X)</f>
        <v>0</v>
      </c>
      <c r="V109">
        <f>SUMIF(ConfirmedRaw!$B:$B,$A109,ConfirmedRaw!Y:Y)</f>
        <v>0</v>
      </c>
      <c r="W109">
        <f>SUMIF(ConfirmedRaw!$B:$B,$A109,ConfirmedRaw!Z:Z)</f>
        <v>0</v>
      </c>
      <c r="X109">
        <f>SUMIF(ConfirmedRaw!$B:$B,$A109,ConfirmedRaw!AA:AA)</f>
        <v>0</v>
      </c>
      <c r="Y109">
        <f>SUMIF(ConfirmedRaw!$B:$B,$A109,ConfirmedRaw!AB:AB)</f>
        <v>0</v>
      </c>
      <c r="Z109">
        <f>SUMIF(ConfirmedRaw!$B:$B,$A109,ConfirmedRaw!AC:AC)</f>
        <v>0</v>
      </c>
      <c r="AA109">
        <f>SUMIF(ConfirmedRaw!$B:$B,$A109,ConfirmedRaw!AD:AD)</f>
        <v>0</v>
      </c>
      <c r="AB109">
        <f>SUMIF(ConfirmedRaw!$B:$B,$A109,ConfirmedRaw!AE:AE)</f>
        <v>0</v>
      </c>
      <c r="AC109">
        <f>SUMIF(ConfirmedRaw!$B:$B,$A109,ConfirmedRaw!AF:AF)</f>
        <v>0</v>
      </c>
      <c r="AD109">
        <f>SUMIF(ConfirmedRaw!$B:$B,$A109,ConfirmedRaw!AG:AG)</f>
        <v>0</v>
      </c>
      <c r="AE109">
        <f>SUMIF(ConfirmedRaw!$B:$B,$A109,ConfirmedRaw!AH:AH)</f>
        <v>0</v>
      </c>
      <c r="AF109">
        <f>SUMIF(ConfirmedRaw!$B:$B,$A109,ConfirmedRaw!AI:AI)</f>
        <v>0</v>
      </c>
      <c r="AG109">
        <f>SUMIF(ConfirmedRaw!$B:$B,$A109,ConfirmedRaw!AJ:AJ)</f>
        <v>0</v>
      </c>
      <c r="AH109">
        <f>SUMIF(ConfirmedRaw!$B:$B,$A109,ConfirmedRaw!AK:AK)</f>
        <v>0</v>
      </c>
      <c r="AI109">
        <f>SUMIF(ConfirmedRaw!$B:$B,$A109,ConfirmedRaw!AL:AL)</f>
        <v>0</v>
      </c>
      <c r="AJ109">
        <f>SUMIF(ConfirmedRaw!$B:$B,$A109,ConfirmedRaw!AM:AM)</f>
        <v>0</v>
      </c>
      <c r="AK109">
        <f>SUMIF(ConfirmedRaw!$B:$B,$A109,ConfirmedRaw!AN:AN)</f>
        <v>0</v>
      </c>
      <c r="AL109">
        <f>SUMIF(ConfirmedRaw!$B:$B,$A109,ConfirmedRaw!AO:AO)</f>
        <v>0</v>
      </c>
      <c r="AM109">
        <f>SUMIF(ConfirmedRaw!$B:$B,$A109,ConfirmedRaw!AP:AP)</f>
        <v>1</v>
      </c>
      <c r="AN109">
        <f>SUMIF(ConfirmedRaw!$B:$B,$A109,ConfirmedRaw!AQ:AQ)</f>
        <v>1</v>
      </c>
      <c r="AO109">
        <f>SUMIF(ConfirmedRaw!$B:$B,$A109,ConfirmedRaw!AR:AR)</f>
        <v>1</v>
      </c>
      <c r="AP109">
        <f>SUMIF(ConfirmedRaw!$B:$B,$A109,ConfirmedRaw!AS:AS)</f>
        <v>1</v>
      </c>
      <c r="AQ109">
        <f>SUMIF(ConfirmedRaw!$B:$B,$A109,ConfirmedRaw!AT:AT)</f>
        <v>1</v>
      </c>
      <c r="AR109">
        <f>SUMIF(ConfirmedRaw!$B:$B,$A109,ConfirmedRaw!AU:AU)</f>
        <v>1</v>
      </c>
      <c r="AS109">
        <f>SUMIF(ConfirmedRaw!$B:$B,$A109,ConfirmedRaw!AV:AV)</f>
        <v>1</v>
      </c>
      <c r="AT109">
        <f>SUMIF(ConfirmedRaw!$B:$B,$A109,ConfirmedRaw!AW:AW)</f>
        <v>1</v>
      </c>
      <c r="AU109">
        <f>SUMIF(ConfirmedRaw!$B:$B,$A109,ConfirmedRaw!AX:AX)</f>
        <v>1</v>
      </c>
      <c r="AV109">
        <f>SUMIF(ConfirmedRaw!$B:$B,$A109,ConfirmedRaw!AY:AY)</f>
        <v>1</v>
      </c>
      <c r="AW109">
        <f>SUMIF(ConfirmedRaw!$B:$B,$A109,ConfirmedRaw!AZ:AZ)</f>
        <v>2</v>
      </c>
      <c r="AX109">
        <f>SUMIF(ConfirmedRaw!$B:$B,$A109,ConfirmedRaw!BA:BA)</f>
        <v>2</v>
      </c>
      <c r="AY109">
        <f>SUMIF(ConfirmedRaw!$B:$B,$A109,ConfirmedRaw!BB:BB)</f>
        <v>2</v>
      </c>
      <c r="AZ109">
        <f>SUMIF(ConfirmedRaw!$B:$B,$A109,ConfirmedRaw!BC:BC)</f>
        <v>2</v>
      </c>
      <c r="BA109">
        <f>SUMIF(ConfirmedRaw!$B:$B,$A109,ConfirmedRaw!BD:BD)</f>
        <v>2</v>
      </c>
      <c r="BB109">
        <f>SUMIF(ConfirmedRaw!$B:$B,$A109,ConfirmedRaw!BE:BE)</f>
        <v>2</v>
      </c>
      <c r="BC109">
        <f>SUMIF(ConfirmedRaw!$B:$B,$A109,ConfirmedRaw!BF:BF)</f>
        <v>2</v>
      </c>
      <c r="BD109">
        <f>SUMIF(ConfirmedRaw!$B:$B,$A109,ConfirmedRaw!BG:BG)</f>
        <v>2</v>
      </c>
      <c r="BE109">
        <f>SUMIF(ConfirmedRaw!$B:$B,$A109,ConfirmedRaw!BH:BH)</f>
        <v>3</v>
      </c>
      <c r="BF109">
        <f>SUMIF(ConfirmedRaw!$B:$B,$A109,ConfirmedRaw!BI:BI)</f>
        <v>8</v>
      </c>
      <c r="BG109">
        <f>SUMIF(ConfirmedRaw!$B:$B,$A109,ConfirmedRaw!BJ:BJ)</f>
        <v>0</v>
      </c>
      <c r="BH109">
        <f>SUMIF(ConfirmedRaw!$B:$B,$A109,ConfirmedRaw!BK:BK)</f>
        <v>0</v>
      </c>
      <c r="BI109">
        <f>SUMIF(ConfirmedRaw!$B:$B,$A109,ConfirmedRaw!BL:BL)</f>
        <v>0</v>
      </c>
      <c r="BJ109">
        <f>SUMIF(ConfirmedRaw!$B:$B,$A109,ConfirmedRaw!BM:BM)</f>
        <v>0</v>
      </c>
      <c r="BK109">
        <f>SUMIF(ConfirmedRaw!$B:$B,$A109,ConfirmedRaw!BN:BN)</f>
        <v>0</v>
      </c>
      <c r="BL109">
        <f>SUMIF(ConfirmedRaw!$B:$B,$A109,ConfirmedRaw!BO:BO)</f>
        <v>0</v>
      </c>
      <c r="BM109">
        <f>SUMIF(ConfirmedRaw!$B:$B,$A109,ConfirmedRaw!BP:BP)</f>
        <v>0</v>
      </c>
      <c r="BN109">
        <f>SUMIF(ConfirmedRaw!$B:$B,$A109,ConfirmedRaw!BQ:BQ)</f>
        <v>0</v>
      </c>
      <c r="BO109">
        <f>SUMIF(ConfirmedRaw!$B:$B,$A109,ConfirmedRaw!BR:BR)</f>
        <v>0</v>
      </c>
      <c r="BP109">
        <f>SUMIF(ConfirmedRaw!$B:$B,$A109,ConfirmedRaw!BS:BS)</f>
        <v>0</v>
      </c>
      <c r="BQ109">
        <f>SUMIF(ConfirmedRaw!$B:$B,$A109,ConfirmedRaw!BT:BT)</f>
        <v>0</v>
      </c>
      <c r="BR109">
        <f>SUMIF(ConfirmedRaw!$B:$B,$A109,ConfirmedRaw!BU:BU)</f>
        <v>0</v>
      </c>
      <c r="BS109">
        <f>SUMIF(ConfirmedRaw!$B:$B,$A109,ConfirmedRaw!BV:BV)</f>
        <v>0</v>
      </c>
      <c r="BT109">
        <f>SUMIF(ConfirmedRaw!$B:$B,$A109,ConfirmedRaw!BW:BW)</f>
        <v>0</v>
      </c>
    </row>
    <row r="110" spans="1:72" ht="15" thickBot="1" x14ac:dyDescent="0.35">
      <c r="A110" s="4" t="s">
        <v>109</v>
      </c>
      <c r="B110">
        <f>SUMIF(ConfirmedRaw!$B:$B,$A110,ConfirmedRaw!E:E)</f>
        <v>0</v>
      </c>
      <c r="C110">
        <f>SUMIF(ConfirmedRaw!$B:$B,$A110,ConfirmedRaw!F:F)</f>
        <v>0</v>
      </c>
      <c r="D110">
        <f>SUMIF(ConfirmedRaw!$B:$B,$A110,ConfirmedRaw!G:G)</f>
        <v>0</v>
      </c>
      <c r="E110">
        <f>SUMIF(ConfirmedRaw!$B:$B,$A110,ConfirmedRaw!H:H)</f>
        <v>0</v>
      </c>
      <c r="F110">
        <f>SUMIF(ConfirmedRaw!$B:$B,$A110,ConfirmedRaw!I:I)</f>
        <v>0</v>
      </c>
      <c r="G110">
        <f>SUMIF(ConfirmedRaw!$B:$B,$A110,ConfirmedRaw!J:J)</f>
        <v>0</v>
      </c>
      <c r="H110">
        <f>SUMIF(ConfirmedRaw!$B:$B,$A110,ConfirmedRaw!K:K)</f>
        <v>0</v>
      </c>
      <c r="I110">
        <f>SUMIF(ConfirmedRaw!$B:$B,$A110,ConfirmedRaw!L:L)</f>
        <v>0</v>
      </c>
      <c r="J110">
        <f>SUMIF(ConfirmedRaw!$B:$B,$A110,ConfirmedRaw!M:M)</f>
        <v>0</v>
      </c>
      <c r="K110">
        <f>SUMIF(ConfirmedRaw!$B:$B,$A110,ConfirmedRaw!N:N)</f>
        <v>0</v>
      </c>
      <c r="L110">
        <f>SUMIF(ConfirmedRaw!$B:$B,$A110,ConfirmedRaw!O:O)</f>
        <v>0</v>
      </c>
      <c r="M110">
        <f>SUMIF(ConfirmedRaw!$B:$B,$A110,ConfirmedRaw!P:P)</f>
        <v>0</v>
      </c>
      <c r="N110">
        <f>SUMIF(ConfirmedRaw!$B:$B,$A110,ConfirmedRaw!Q:Q)</f>
        <v>0</v>
      </c>
      <c r="O110">
        <f>SUMIF(ConfirmedRaw!$B:$B,$A110,ConfirmedRaw!R:R)</f>
        <v>0</v>
      </c>
      <c r="P110">
        <f>SUMIF(ConfirmedRaw!$B:$B,$A110,ConfirmedRaw!S:S)</f>
        <v>0</v>
      </c>
      <c r="Q110">
        <f>SUMIF(ConfirmedRaw!$B:$B,$A110,ConfirmedRaw!T:T)</f>
        <v>0</v>
      </c>
      <c r="R110">
        <f>SUMIF(ConfirmedRaw!$B:$B,$A110,ConfirmedRaw!U:U)</f>
        <v>0</v>
      </c>
      <c r="S110">
        <f>SUMIF(ConfirmedRaw!$B:$B,$A110,ConfirmedRaw!V:V)</f>
        <v>0</v>
      </c>
      <c r="T110">
        <f>SUMIF(ConfirmedRaw!$B:$B,$A110,ConfirmedRaw!W:W)</f>
        <v>0</v>
      </c>
      <c r="U110">
        <f>SUMIF(ConfirmedRaw!$B:$B,$A110,ConfirmedRaw!X:X)</f>
        <v>0</v>
      </c>
      <c r="V110">
        <f>SUMIF(ConfirmedRaw!$B:$B,$A110,ConfirmedRaw!Y:Y)</f>
        <v>0</v>
      </c>
      <c r="W110">
        <f>SUMIF(ConfirmedRaw!$B:$B,$A110,ConfirmedRaw!Z:Z)</f>
        <v>0</v>
      </c>
      <c r="X110">
        <f>SUMIF(ConfirmedRaw!$B:$B,$A110,ConfirmedRaw!AA:AA)</f>
        <v>0</v>
      </c>
      <c r="Y110">
        <f>SUMIF(ConfirmedRaw!$B:$B,$A110,ConfirmedRaw!AB:AB)</f>
        <v>0</v>
      </c>
      <c r="Z110">
        <f>SUMIF(ConfirmedRaw!$B:$B,$A110,ConfirmedRaw!AC:AC)</f>
        <v>0</v>
      </c>
      <c r="AA110">
        <f>SUMIF(ConfirmedRaw!$B:$B,$A110,ConfirmedRaw!AD:AD)</f>
        <v>0</v>
      </c>
      <c r="AB110">
        <f>SUMIF(ConfirmedRaw!$B:$B,$A110,ConfirmedRaw!AE:AE)</f>
        <v>0</v>
      </c>
      <c r="AC110">
        <f>SUMIF(ConfirmedRaw!$B:$B,$A110,ConfirmedRaw!AF:AF)</f>
        <v>0</v>
      </c>
      <c r="AD110">
        <f>SUMIF(ConfirmedRaw!$B:$B,$A110,ConfirmedRaw!AG:AG)</f>
        <v>0</v>
      </c>
      <c r="AE110">
        <f>SUMIF(ConfirmedRaw!$B:$B,$A110,ConfirmedRaw!AH:AH)</f>
        <v>0</v>
      </c>
      <c r="AF110">
        <f>SUMIF(ConfirmedRaw!$B:$B,$A110,ConfirmedRaw!AI:AI)</f>
        <v>0</v>
      </c>
      <c r="AG110">
        <f>SUMIF(ConfirmedRaw!$B:$B,$A110,ConfirmedRaw!AJ:AJ)</f>
        <v>0</v>
      </c>
      <c r="AH110">
        <f>SUMIF(ConfirmedRaw!$B:$B,$A110,ConfirmedRaw!AK:AK)</f>
        <v>0</v>
      </c>
      <c r="AI110">
        <f>SUMIF(ConfirmedRaw!$B:$B,$A110,ConfirmedRaw!AL:AL)</f>
        <v>0</v>
      </c>
      <c r="AJ110">
        <f>SUMIF(ConfirmedRaw!$B:$B,$A110,ConfirmedRaw!AM:AM)</f>
        <v>0</v>
      </c>
      <c r="AK110">
        <f>SUMIF(ConfirmedRaw!$B:$B,$A110,ConfirmedRaw!AN:AN)</f>
        <v>0</v>
      </c>
      <c r="AL110">
        <f>SUMIF(ConfirmedRaw!$B:$B,$A110,ConfirmedRaw!AO:AO)</f>
        <v>0</v>
      </c>
      <c r="AM110">
        <f>SUMIF(ConfirmedRaw!$B:$B,$A110,ConfirmedRaw!AP:AP)</f>
        <v>0</v>
      </c>
      <c r="AN110">
        <f>SUMIF(ConfirmedRaw!$B:$B,$A110,ConfirmedRaw!AQ:AQ)</f>
        <v>0</v>
      </c>
      <c r="AO110">
        <f>SUMIF(ConfirmedRaw!$B:$B,$A110,ConfirmedRaw!AR:AR)</f>
        <v>0</v>
      </c>
      <c r="AP110">
        <f>SUMIF(ConfirmedRaw!$B:$B,$A110,ConfirmedRaw!AS:AS)</f>
        <v>1</v>
      </c>
      <c r="AQ110">
        <f>SUMIF(ConfirmedRaw!$B:$B,$A110,ConfirmedRaw!AT:AT)</f>
        <v>1</v>
      </c>
      <c r="AR110">
        <f>SUMIF(ConfirmedRaw!$B:$B,$A110,ConfirmedRaw!AU:AU)</f>
        <v>1</v>
      </c>
      <c r="AS110">
        <f>SUMIF(ConfirmedRaw!$B:$B,$A110,ConfirmedRaw!AV:AV)</f>
        <v>1</v>
      </c>
      <c r="AT110">
        <f>SUMIF(ConfirmedRaw!$B:$B,$A110,ConfirmedRaw!AW:AW)</f>
        <v>1</v>
      </c>
      <c r="AU110">
        <f>SUMIF(ConfirmedRaw!$B:$B,$A110,ConfirmedRaw!AX:AX)</f>
        <v>1</v>
      </c>
      <c r="AV110">
        <f>SUMIF(ConfirmedRaw!$B:$B,$A110,ConfirmedRaw!AY:AY)</f>
        <v>1</v>
      </c>
      <c r="AW110">
        <f>SUMIF(ConfirmedRaw!$B:$B,$A110,ConfirmedRaw!AZ:AZ)</f>
        <v>1</v>
      </c>
      <c r="AX110">
        <f>SUMIF(ConfirmedRaw!$B:$B,$A110,ConfirmedRaw!BA:BA)</f>
        <v>1</v>
      </c>
      <c r="AY110">
        <f>SUMIF(ConfirmedRaw!$B:$B,$A110,ConfirmedRaw!BB:BB)</f>
        <v>1</v>
      </c>
      <c r="AZ110">
        <f>SUMIF(ConfirmedRaw!$B:$B,$A110,ConfirmedRaw!BC:BC)</f>
        <v>1</v>
      </c>
      <c r="BA110">
        <f>SUMIF(ConfirmedRaw!$B:$B,$A110,ConfirmedRaw!BD:BD)</f>
        <v>1</v>
      </c>
      <c r="BB110">
        <f>SUMIF(ConfirmedRaw!$B:$B,$A110,ConfirmedRaw!BE:BE)</f>
        <v>1</v>
      </c>
      <c r="BC110">
        <f>SUMIF(ConfirmedRaw!$B:$B,$A110,ConfirmedRaw!BF:BF)</f>
        <v>1</v>
      </c>
      <c r="BD110">
        <f>SUMIF(ConfirmedRaw!$B:$B,$A110,ConfirmedRaw!BG:BG)</f>
        <v>2</v>
      </c>
      <c r="BE110">
        <f>SUMIF(ConfirmedRaw!$B:$B,$A110,ConfirmedRaw!BH:BH)</f>
        <v>39</v>
      </c>
      <c r="BF110">
        <f>SUMIF(ConfirmedRaw!$B:$B,$A110,ConfirmedRaw!BI:BI)</f>
        <v>39</v>
      </c>
      <c r="BG110">
        <f>SUMIF(ConfirmedRaw!$B:$B,$A110,ConfirmedRaw!BJ:BJ)</f>
        <v>0</v>
      </c>
      <c r="BH110">
        <f>SUMIF(ConfirmedRaw!$B:$B,$A110,ConfirmedRaw!BK:BK)</f>
        <v>0</v>
      </c>
      <c r="BI110">
        <f>SUMIF(ConfirmedRaw!$B:$B,$A110,ConfirmedRaw!BL:BL)</f>
        <v>0</v>
      </c>
      <c r="BJ110">
        <f>SUMIF(ConfirmedRaw!$B:$B,$A110,ConfirmedRaw!BM:BM)</f>
        <v>0</v>
      </c>
      <c r="BK110">
        <f>SUMIF(ConfirmedRaw!$B:$B,$A110,ConfirmedRaw!BN:BN)</f>
        <v>0</v>
      </c>
      <c r="BL110">
        <f>SUMIF(ConfirmedRaw!$B:$B,$A110,ConfirmedRaw!BO:BO)</f>
        <v>0</v>
      </c>
      <c r="BM110">
        <f>SUMIF(ConfirmedRaw!$B:$B,$A110,ConfirmedRaw!BP:BP)</f>
        <v>0</v>
      </c>
      <c r="BN110">
        <f>SUMIF(ConfirmedRaw!$B:$B,$A110,ConfirmedRaw!BQ:BQ)</f>
        <v>0</v>
      </c>
      <c r="BO110">
        <f>SUMIF(ConfirmedRaw!$B:$B,$A110,ConfirmedRaw!BR:BR)</f>
        <v>0</v>
      </c>
      <c r="BP110">
        <f>SUMIF(ConfirmedRaw!$B:$B,$A110,ConfirmedRaw!BS:BS)</f>
        <v>0</v>
      </c>
      <c r="BQ110">
        <f>SUMIF(ConfirmedRaw!$B:$B,$A110,ConfirmedRaw!BT:BT)</f>
        <v>0</v>
      </c>
      <c r="BR110">
        <f>SUMIF(ConfirmedRaw!$B:$B,$A110,ConfirmedRaw!BU:BU)</f>
        <v>0</v>
      </c>
      <c r="BS110">
        <f>SUMIF(ConfirmedRaw!$B:$B,$A110,ConfirmedRaw!BV:BV)</f>
        <v>0</v>
      </c>
      <c r="BT110">
        <f>SUMIF(ConfirmedRaw!$B:$B,$A110,ConfirmedRaw!BW:BW)</f>
        <v>0</v>
      </c>
    </row>
    <row r="111" spans="1:72" ht="15" thickBot="1" x14ac:dyDescent="0.35">
      <c r="A111" s="4" t="s">
        <v>424</v>
      </c>
      <c r="B111">
        <f>SUMIF(ConfirmedRaw!$B:$B,$A111,ConfirmedRaw!E:E)</f>
        <v>0</v>
      </c>
      <c r="C111">
        <f>SUMIF(ConfirmedRaw!$B:$B,$A111,ConfirmedRaw!F:F)</f>
        <v>0</v>
      </c>
      <c r="D111">
        <f>SUMIF(ConfirmedRaw!$B:$B,$A111,ConfirmedRaw!G:G)</f>
        <v>0</v>
      </c>
      <c r="E111">
        <f>SUMIF(ConfirmedRaw!$B:$B,$A111,ConfirmedRaw!H:H)</f>
        <v>0</v>
      </c>
      <c r="F111">
        <f>SUMIF(ConfirmedRaw!$B:$B,$A111,ConfirmedRaw!I:I)</f>
        <v>0</v>
      </c>
      <c r="G111">
        <f>SUMIF(ConfirmedRaw!$B:$B,$A111,ConfirmedRaw!J:J)</f>
        <v>0</v>
      </c>
      <c r="H111">
        <f>SUMIF(ConfirmedRaw!$B:$B,$A111,ConfirmedRaw!K:K)</f>
        <v>0</v>
      </c>
      <c r="I111">
        <f>SUMIF(ConfirmedRaw!$B:$B,$A111,ConfirmedRaw!L:L)</f>
        <v>0</v>
      </c>
      <c r="J111">
        <f>SUMIF(ConfirmedRaw!$B:$B,$A111,ConfirmedRaw!M:M)</f>
        <v>0</v>
      </c>
      <c r="K111">
        <f>SUMIF(ConfirmedRaw!$B:$B,$A111,ConfirmedRaw!N:N)</f>
        <v>0</v>
      </c>
      <c r="L111">
        <f>SUMIF(ConfirmedRaw!$B:$B,$A111,ConfirmedRaw!O:O)</f>
        <v>0</v>
      </c>
      <c r="M111">
        <f>SUMIF(ConfirmedRaw!$B:$B,$A111,ConfirmedRaw!P:P)</f>
        <v>0</v>
      </c>
      <c r="N111">
        <f>SUMIF(ConfirmedRaw!$B:$B,$A111,ConfirmedRaw!Q:Q)</f>
        <v>0</v>
      </c>
      <c r="O111">
        <f>SUMIF(ConfirmedRaw!$B:$B,$A111,ConfirmedRaw!R:R)</f>
        <v>0</v>
      </c>
      <c r="P111">
        <f>SUMIF(ConfirmedRaw!$B:$B,$A111,ConfirmedRaw!S:S)</f>
        <v>0</v>
      </c>
      <c r="Q111">
        <f>SUMIF(ConfirmedRaw!$B:$B,$A111,ConfirmedRaw!T:T)</f>
        <v>0</v>
      </c>
      <c r="R111">
        <f>SUMIF(ConfirmedRaw!$B:$B,$A111,ConfirmedRaw!U:U)</f>
        <v>0</v>
      </c>
      <c r="S111">
        <f>SUMIF(ConfirmedRaw!$B:$B,$A111,ConfirmedRaw!V:V)</f>
        <v>0</v>
      </c>
      <c r="T111">
        <f>SUMIF(ConfirmedRaw!$B:$B,$A111,ConfirmedRaw!W:W)</f>
        <v>0</v>
      </c>
      <c r="U111">
        <f>SUMIF(ConfirmedRaw!$B:$B,$A111,ConfirmedRaw!X:X)</f>
        <v>0</v>
      </c>
      <c r="V111">
        <f>SUMIF(ConfirmedRaw!$B:$B,$A111,ConfirmedRaw!Y:Y)</f>
        <v>0</v>
      </c>
      <c r="W111">
        <f>SUMIF(ConfirmedRaw!$B:$B,$A111,ConfirmedRaw!Z:Z)</f>
        <v>0</v>
      </c>
      <c r="X111">
        <f>SUMIF(ConfirmedRaw!$B:$B,$A111,ConfirmedRaw!AA:AA)</f>
        <v>0</v>
      </c>
      <c r="Y111">
        <f>SUMIF(ConfirmedRaw!$B:$B,$A111,ConfirmedRaw!AB:AB)</f>
        <v>0</v>
      </c>
      <c r="Z111">
        <f>SUMIF(ConfirmedRaw!$B:$B,$A111,ConfirmedRaw!AC:AC)</f>
        <v>0</v>
      </c>
      <c r="AA111">
        <f>SUMIF(ConfirmedRaw!$B:$B,$A111,ConfirmedRaw!AD:AD)</f>
        <v>0</v>
      </c>
      <c r="AB111">
        <f>SUMIF(ConfirmedRaw!$B:$B,$A111,ConfirmedRaw!AE:AE)</f>
        <v>0</v>
      </c>
      <c r="AC111">
        <f>SUMIF(ConfirmedRaw!$B:$B,$A111,ConfirmedRaw!AF:AF)</f>
        <v>0</v>
      </c>
      <c r="AD111">
        <f>SUMIF(ConfirmedRaw!$B:$B,$A111,ConfirmedRaw!AG:AG)</f>
        <v>0</v>
      </c>
      <c r="AE111">
        <f>SUMIF(ConfirmedRaw!$B:$B,$A111,ConfirmedRaw!AH:AH)</f>
        <v>0</v>
      </c>
      <c r="AF111">
        <f>SUMIF(ConfirmedRaw!$B:$B,$A111,ConfirmedRaw!AI:AI)</f>
        <v>0</v>
      </c>
      <c r="AG111">
        <f>SUMIF(ConfirmedRaw!$B:$B,$A111,ConfirmedRaw!AJ:AJ)</f>
        <v>0</v>
      </c>
      <c r="AH111">
        <f>SUMIF(ConfirmedRaw!$B:$B,$A111,ConfirmedRaw!AK:AK)</f>
        <v>0</v>
      </c>
      <c r="AI111">
        <f>SUMIF(ConfirmedRaw!$B:$B,$A111,ConfirmedRaw!AL:AL)</f>
        <v>0</v>
      </c>
      <c r="AJ111">
        <f>SUMIF(ConfirmedRaw!$B:$B,$A111,ConfirmedRaw!AM:AM)</f>
        <v>0</v>
      </c>
      <c r="AK111">
        <f>SUMIF(ConfirmedRaw!$B:$B,$A111,ConfirmedRaw!AN:AN)</f>
        <v>0</v>
      </c>
      <c r="AL111">
        <f>SUMIF(ConfirmedRaw!$B:$B,$A111,ConfirmedRaw!AO:AO)</f>
        <v>0</v>
      </c>
      <c r="AM111">
        <f>SUMIF(ConfirmedRaw!$B:$B,$A111,ConfirmedRaw!AP:AP)</f>
        <v>0</v>
      </c>
      <c r="AN111">
        <f>SUMIF(ConfirmedRaw!$B:$B,$A111,ConfirmedRaw!AQ:AQ)</f>
        <v>0</v>
      </c>
      <c r="AO111">
        <f>SUMIF(ConfirmedRaw!$B:$B,$A111,ConfirmedRaw!AR:AR)</f>
        <v>0</v>
      </c>
      <c r="AP111">
        <f>SUMIF(ConfirmedRaw!$B:$B,$A111,ConfirmedRaw!AS:AS)</f>
        <v>0</v>
      </c>
      <c r="AQ111">
        <f>SUMIF(ConfirmedRaw!$B:$B,$A111,ConfirmedRaw!AT:AT)</f>
        <v>0</v>
      </c>
      <c r="AR111">
        <f>SUMIF(ConfirmedRaw!$B:$B,$A111,ConfirmedRaw!AU:AU)</f>
        <v>0</v>
      </c>
      <c r="AS111">
        <f>SUMIF(ConfirmedRaw!$B:$B,$A111,ConfirmedRaw!AV:AV)</f>
        <v>0</v>
      </c>
      <c r="AT111">
        <f>SUMIF(ConfirmedRaw!$B:$B,$A111,ConfirmedRaw!AW:AW)</f>
        <v>0</v>
      </c>
      <c r="AU111">
        <f>SUMIF(ConfirmedRaw!$B:$B,$A111,ConfirmedRaw!AX:AX)</f>
        <v>0</v>
      </c>
      <c r="AV111">
        <f>SUMIF(ConfirmedRaw!$B:$B,$A111,ConfirmedRaw!AY:AY)</f>
        <v>0</v>
      </c>
      <c r="AW111">
        <f>SUMIF(ConfirmedRaw!$B:$B,$A111,ConfirmedRaw!AZ:AZ)</f>
        <v>0</v>
      </c>
      <c r="AX111">
        <f>SUMIF(ConfirmedRaw!$B:$B,$A111,ConfirmedRaw!BA:BA)</f>
        <v>0</v>
      </c>
      <c r="AY111">
        <f>SUMIF(ConfirmedRaw!$B:$B,$A111,ConfirmedRaw!BB:BB)</f>
        <v>0</v>
      </c>
      <c r="AZ111">
        <f>SUMIF(ConfirmedRaw!$B:$B,$A111,ConfirmedRaw!BC:BC)</f>
        <v>0</v>
      </c>
      <c r="BA111">
        <f>SUMIF(ConfirmedRaw!$B:$B,$A111,ConfirmedRaw!BD:BD)</f>
        <v>1</v>
      </c>
      <c r="BB111">
        <f>SUMIF(ConfirmedRaw!$B:$B,$A111,ConfirmedRaw!BE:BE)</f>
        <v>1</v>
      </c>
      <c r="BC111">
        <f>SUMIF(ConfirmedRaw!$B:$B,$A111,ConfirmedRaw!BF:BF)</f>
        <v>1</v>
      </c>
      <c r="BD111">
        <f>SUMIF(ConfirmedRaw!$B:$B,$A111,ConfirmedRaw!BG:BG)</f>
        <v>1</v>
      </c>
      <c r="BE111">
        <f>SUMIF(ConfirmedRaw!$B:$B,$A111,ConfirmedRaw!BH:BH)</f>
        <v>1</v>
      </c>
      <c r="BF111">
        <f>SUMIF(ConfirmedRaw!$B:$B,$A111,ConfirmedRaw!BI:BI)</f>
        <v>1</v>
      </c>
      <c r="BG111">
        <f>SUMIF(ConfirmedRaw!$B:$B,$A111,ConfirmedRaw!BJ:BJ)</f>
        <v>0</v>
      </c>
      <c r="BH111">
        <f>SUMIF(ConfirmedRaw!$B:$B,$A111,ConfirmedRaw!BK:BK)</f>
        <v>0</v>
      </c>
      <c r="BI111">
        <f>SUMIF(ConfirmedRaw!$B:$B,$A111,ConfirmedRaw!BL:BL)</f>
        <v>0</v>
      </c>
      <c r="BJ111">
        <f>SUMIF(ConfirmedRaw!$B:$B,$A111,ConfirmedRaw!BM:BM)</f>
        <v>0</v>
      </c>
      <c r="BK111">
        <f>SUMIF(ConfirmedRaw!$B:$B,$A111,ConfirmedRaw!BN:BN)</f>
        <v>0</v>
      </c>
      <c r="BL111">
        <f>SUMIF(ConfirmedRaw!$B:$B,$A111,ConfirmedRaw!BO:BO)</f>
        <v>0</v>
      </c>
      <c r="BM111">
        <f>SUMIF(ConfirmedRaw!$B:$B,$A111,ConfirmedRaw!BP:BP)</f>
        <v>0</v>
      </c>
      <c r="BN111">
        <f>SUMIF(ConfirmedRaw!$B:$B,$A111,ConfirmedRaw!BQ:BQ)</f>
        <v>0</v>
      </c>
      <c r="BO111">
        <f>SUMIF(ConfirmedRaw!$B:$B,$A111,ConfirmedRaw!BR:BR)</f>
        <v>0</v>
      </c>
      <c r="BP111">
        <f>SUMIF(ConfirmedRaw!$B:$B,$A111,ConfirmedRaw!BS:BS)</f>
        <v>0</v>
      </c>
      <c r="BQ111">
        <f>SUMIF(ConfirmedRaw!$B:$B,$A111,ConfirmedRaw!BT:BT)</f>
        <v>0</v>
      </c>
      <c r="BR111">
        <f>SUMIF(ConfirmedRaw!$B:$B,$A111,ConfirmedRaw!BU:BU)</f>
        <v>0</v>
      </c>
      <c r="BS111">
        <f>SUMIF(ConfirmedRaw!$B:$B,$A111,ConfirmedRaw!BV:BV)</f>
        <v>0</v>
      </c>
      <c r="BT111">
        <f>SUMIF(ConfirmedRaw!$B:$B,$A111,ConfirmedRaw!BW:BW)</f>
        <v>0</v>
      </c>
    </row>
    <row r="112" spans="1:72" ht="15" thickBot="1" x14ac:dyDescent="0.35">
      <c r="A112" s="4" t="s">
        <v>156</v>
      </c>
      <c r="B112">
        <f>SUMIF(ConfirmedRaw!$B:$B,$A112,ConfirmedRaw!E:E)</f>
        <v>0</v>
      </c>
      <c r="C112">
        <f>SUMIF(ConfirmedRaw!$B:$B,$A112,ConfirmedRaw!F:F)</f>
        <v>0</v>
      </c>
      <c r="D112">
        <f>SUMIF(ConfirmedRaw!$B:$B,$A112,ConfirmedRaw!G:G)</f>
        <v>0</v>
      </c>
      <c r="E112">
        <f>SUMIF(ConfirmedRaw!$B:$B,$A112,ConfirmedRaw!H:H)</f>
        <v>0</v>
      </c>
      <c r="F112">
        <f>SUMIF(ConfirmedRaw!$B:$B,$A112,ConfirmedRaw!I:I)</f>
        <v>0</v>
      </c>
      <c r="G112">
        <f>SUMIF(ConfirmedRaw!$B:$B,$A112,ConfirmedRaw!J:J)</f>
        <v>0</v>
      </c>
      <c r="H112">
        <f>SUMIF(ConfirmedRaw!$B:$B,$A112,ConfirmedRaw!K:K)</f>
        <v>0</v>
      </c>
      <c r="I112">
        <f>SUMIF(ConfirmedRaw!$B:$B,$A112,ConfirmedRaw!L:L)</f>
        <v>0</v>
      </c>
      <c r="J112">
        <f>SUMIF(ConfirmedRaw!$B:$B,$A112,ConfirmedRaw!M:M)</f>
        <v>0</v>
      </c>
      <c r="K112">
        <f>SUMIF(ConfirmedRaw!$B:$B,$A112,ConfirmedRaw!N:N)</f>
        <v>0</v>
      </c>
      <c r="L112">
        <f>SUMIF(ConfirmedRaw!$B:$B,$A112,ConfirmedRaw!O:O)</f>
        <v>0</v>
      </c>
      <c r="M112">
        <f>SUMIF(ConfirmedRaw!$B:$B,$A112,ConfirmedRaw!P:P)</f>
        <v>0</v>
      </c>
      <c r="N112">
        <f>SUMIF(ConfirmedRaw!$B:$B,$A112,ConfirmedRaw!Q:Q)</f>
        <v>0</v>
      </c>
      <c r="O112">
        <f>SUMIF(ConfirmedRaw!$B:$B,$A112,ConfirmedRaw!R:R)</f>
        <v>0</v>
      </c>
      <c r="P112">
        <f>SUMIF(ConfirmedRaw!$B:$B,$A112,ConfirmedRaw!S:S)</f>
        <v>0</v>
      </c>
      <c r="Q112">
        <f>SUMIF(ConfirmedRaw!$B:$B,$A112,ConfirmedRaw!T:T)</f>
        <v>0</v>
      </c>
      <c r="R112">
        <f>SUMIF(ConfirmedRaw!$B:$B,$A112,ConfirmedRaw!U:U)</f>
        <v>0</v>
      </c>
      <c r="S112">
        <f>SUMIF(ConfirmedRaw!$B:$B,$A112,ConfirmedRaw!V:V)</f>
        <v>0</v>
      </c>
      <c r="T112">
        <f>SUMIF(ConfirmedRaw!$B:$B,$A112,ConfirmedRaw!W:W)</f>
        <v>0</v>
      </c>
      <c r="U112">
        <f>SUMIF(ConfirmedRaw!$B:$B,$A112,ConfirmedRaw!X:X)</f>
        <v>0</v>
      </c>
      <c r="V112">
        <f>SUMIF(ConfirmedRaw!$B:$B,$A112,ConfirmedRaw!Y:Y)</f>
        <v>0</v>
      </c>
      <c r="W112">
        <f>SUMIF(ConfirmedRaw!$B:$B,$A112,ConfirmedRaw!Z:Z)</f>
        <v>0</v>
      </c>
      <c r="X112">
        <f>SUMIF(ConfirmedRaw!$B:$B,$A112,ConfirmedRaw!AA:AA)</f>
        <v>0</v>
      </c>
      <c r="Y112">
        <f>SUMIF(ConfirmedRaw!$B:$B,$A112,ConfirmedRaw!AB:AB)</f>
        <v>0</v>
      </c>
      <c r="Z112">
        <f>SUMIF(ConfirmedRaw!$B:$B,$A112,ConfirmedRaw!AC:AC)</f>
        <v>0</v>
      </c>
      <c r="AA112">
        <f>SUMIF(ConfirmedRaw!$B:$B,$A112,ConfirmedRaw!AD:AD)</f>
        <v>0</v>
      </c>
      <c r="AB112">
        <f>SUMIF(ConfirmedRaw!$B:$B,$A112,ConfirmedRaw!AE:AE)</f>
        <v>0</v>
      </c>
      <c r="AC112">
        <f>SUMIF(ConfirmedRaw!$B:$B,$A112,ConfirmedRaw!AF:AF)</f>
        <v>0</v>
      </c>
      <c r="AD112">
        <f>SUMIF(ConfirmedRaw!$B:$B,$A112,ConfirmedRaw!AG:AG)</f>
        <v>0</v>
      </c>
      <c r="AE112">
        <f>SUMIF(ConfirmedRaw!$B:$B,$A112,ConfirmedRaw!AH:AH)</f>
        <v>0</v>
      </c>
      <c r="AF112">
        <f>SUMIF(ConfirmedRaw!$B:$B,$A112,ConfirmedRaw!AI:AI)</f>
        <v>0</v>
      </c>
      <c r="AG112">
        <f>SUMIF(ConfirmedRaw!$B:$B,$A112,ConfirmedRaw!AJ:AJ)</f>
        <v>0</v>
      </c>
      <c r="AH112">
        <f>SUMIF(ConfirmedRaw!$B:$B,$A112,ConfirmedRaw!AK:AK)</f>
        <v>0</v>
      </c>
      <c r="AI112">
        <f>SUMIF(ConfirmedRaw!$B:$B,$A112,ConfirmedRaw!AL:AL)</f>
        <v>0</v>
      </c>
      <c r="AJ112">
        <f>SUMIF(ConfirmedRaw!$B:$B,$A112,ConfirmedRaw!AM:AM)</f>
        <v>0</v>
      </c>
      <c r="AK112">
        <f>SUMIF(ConfirmedRaw!$B:$B,$A112,ConfirmedRaw!AN:AN)</f>
        <v>0</v>
      </c>
      <c r="AL112">
        <f>SUMIF(ConfirmedRaw!$B:$B,$A112,ConfirmedRaw!AO:AO)</f>
        <v>0</v>
      </c>
      <c r="AM112">
        <f>SUMIF(ConfirmedRaw!$B:$B,$A112,ConfirmedRaw!AP:AP)</f>
        <v>0</v>
      </c>
      <c r="AN112">
        <f>SUMIF(ConfirmedRaw!$B:$B,$A112,ConfirmedRaw!AQ:AQ)</f>
        <v>0</v>
      </c>
      <c r="AO112">
        <f>SUMIF(ConfirmedRaw!$B:$B,$A112,ConfirmedRaw!AR:AR)</f>
        <v>0</v>
      </c>
      <c r="AP112">
        <f>SUMIF(ConfirmedRaw!$B:$B,$A112,ConfirmedRaw!AS:AS)</f>
        <v>0</v>
      </c>
      <c r="AQ112">
        <f>SUMIF(ConfirmedRaw!$B:$B,$A112,ConfirmedRaw!AT:AT)</f>
        <v>0</v>
      </c>
      <c r="AR112">
        <f>SUMIF(ConfirmedRaw!$B:$B,$A112,ConfirmedRaw!AU:AU)</f>
        <v>0</v>
      </c>
      <c r="AS112">
        <f>SUMIF(ConfirmedRaw!$B:$B,$A112,ConfirmedRaw!AV:AV)</f>
        <v>0</v>
      </c>
      <c r="AT112">
        <f>SUMIF(ConfirmedRaw!$B:$B,$A112,ConfirmedRaw!AW:AW)</f>
        <v>1</v>
      </c>
      <c r="AU112">
        <f>SUMIF(ConfirmedRaw!$B:$B,$A112,ConfirmedRaw!AX:AX)</f>
        <v>1</v>
      </c>
      <c r="AV112">
        <f>SUMIF(ConfirmedRaw!$B:$B,$A112,ConfirmedRaw!AY:AY)</f>
        <v>1</v>
      </c>
      <c r="AW112">
        <f>SUMIF(ConfirmedRaw!$B:$B,$A112,ConfirmedRaw!AZ:AZ)</f>
        <v>1</v>
      </c>
      <c r="AX112">
        <f>SUMIF(ConfirmedRaw!$B:$B,$A112,ConfirmedRaw!BA:BA)</f>
        <v>1</v>
      </c>
      <c r="AY112">
        <f>SUMIF(ConfirmedRaw!$B:$B,$A112,ConfirmedRaw!BB:BB)</f>
        <v>1</v>
      </c>
      <c r="AZ112">
        <f>SUMIF(ConfirmedRaw!$B:$B,$A112,ConfirmedRaw!BC:BC)</f>
        <v>1</v>
      </c>
      <c r="BA112">
        <f>SUMIF(ConfirmedRaw!$B:$B,$A112,ConfirmedRaw!BD:BD)</f>
        <v>1</v>
      </c>
      <c r="BB112">
        <f>SUMIF(ConfirmedRaw!$B:$B,$A112,ConfirmedRaw!BE:BE)</f>
        <v>1</v>
      </c>
      <c r="BC112">
        <f>SUMIF(ConfirmedRaw!$B:$B,$A112,ConfirmedRaw!BF:BF)</f>
        <v>1</v>
      </c>
      <c r="BD112">
        <f>SUMIF(ConfirmedRaw!$B:$B,$A112,ConfirmedRaw!BG:BG)</f>
        <v>1</v>
      </c>
      <c r="BE112">
        <f>SUMIF(ConfirmedRaw!$B:$B,$A112,ConfirmedRaw!BH:BH)</f>
        <v>1</v>
      </c>
      <c r="BF112">
        <f>SUMIF(ConfirmedRaw!$B:$B,$A112,ConfirmedRaw!BI:BI)</f>
        <v>1</v>
      </c>
      <c r="BG112">
        <f>SUMIF(ConfirmedRaw!$B:$B,$A112,ConfirmedRaw!BJ:BJ)</f>
        <v>0</v>
      </c>
      <c r="BH112">
        <f>SUMIF(ConfirmedRaw!$B:$B,$A112,ConfirmedRaw!BK:BK)</f>
        <v>0</v>
      </c>
      <c r="BI112">
        <f>SUMIF(ConfirmedRaw!$B:$B,$A112,ConfirmedRaw!BL:BL)</f>
        <v>0</v>
      </c>
      <c r="BJ112">
        <f>SUMIF(ConfirmedRaw!$B:$B,$A112,ConfirmedRaw!BM:BM)</f>
        <v>0</v>
      </c>
      <c r="BK112">
        <f>SUMIF(ConfirmedRaw!$B:$B,$A112,ConfirmedRaw!BN:BN)</f>
        <v>0</v>
      </c>
      <c r="BL112">
        <f>SUMIF(ConfirmedRaw!$B:$B,$A112,ConfirmedRaw!BO:BO)</f>
        <v>0</v>
      </c>
      <c r="BM112">
        <f>SUMIF(ConfirmedRaw!$B:$B,$A112,ConfirmedRaw!BP:BP)</f>
        <v>0</v>
      </c>
      <c r="BN112">
        <f>SUMIF(ConfirmedRaw!$B:$B,$A112,ConfirmedRaw!BQ:BQ)</f>
        <v>0</v>
      </c>
      <c r="BO112">
        <f>SUMIF(ConfirmedRaw!$B:$B,$A112,ConfirmedRaw!BR:BR)</f>
        <v>0</v>
      </c>
      <c r="BP112">
        <f>SUMIF(ConfirmedRaw!$B:$B,$A112,ConfirmedRaw!BS:BS)</f>
        <v>0</v>
      </c>
      <c r="BQ112">
        <f>SUMIF(ConfirmedRaw!$B:$B,$A112,ConfirmedRaw!BT:BT)</f>
        <v>0</v>
      </c>
      <c r="BR112">
        <f>SUMIF(ConfirmedRaw!$B:$B,$A112,ConfirmedRaw!BU:BU)</f>
        <v>0</v>
      </c>
      <c r="BS112">
        <f>SUMIF(ConfirmedRaw!$B:$B,$A112,ConfirmedRaw!BV:BV)</f>
        <v>0</v>
      </c>
      <c r="BT112">
        <f>SUMIF(ConfirmedRaw!$B:$B,$A112,ConfirmedRaw!BW:BW)</f>
        <v>0</v>
      </c>
    </row>
    <row r="113" spans="1:72" ht="15" thickBot="1" x14ac:dyDescent="0.35">
      <c r="A113" s="4" t="s">
        <v>415</v>
      </c>
      <c r="B113">
        <f>SUMIF(ConfirmedRaw!$B:$B,$A113,ConfirmedRaw!E:E)</f>
        <v>0</v>
      </c>
      <c r="C113">
        <f>SUMIF(ConfirmedRaw!$B:$B,$A113,ConfirmedRaw!F:F)</f>
        <v>0</v>
      </c>
      <c r="D113">
        <f>SUMIF(ConfirmedRaw!$B:$B,$A113,ConfirmedRaw!G:G)</f>
        <v>0</v>
      </c>
      <c r="E113">
        <f>SUMIF(ConfirmedRaw!$B:$B,$A113,ConfirmedRaw!H:H)</f>
        <v>0</v>
      </c>
      <c r="F113">
        <f>SUMIF(ConfirmedRaw!$B:$B,$A113,ConfirmedRaw!I:I)</f>
        <v>0</v>
      </c>
      <c r="G113">
        <f>SUMIF(ConfirmedRaw!$B:$B,$A113,ConfirmedRaw!J:J)</f>
        <v>0</v>
      </c>
      <c r="H113">
        <f>SUMIF(ConfirmedRaw!$B:$B,$A113,ConfirmedRaw!K:K)</f>
        <v>0</v>
      </c>
      <c r="I113">
        <f>SUMIF(ConfirmedRaw!$B:$B,$A113,ConfirmedRaw!L:L)</f>
        <v>0</v>
      </c>
      <c r="J113">
        <f>SUMIF(ConfirmedRaw!$B:$B,$A113,ConfirmedRaw!M:M)</f>
        <v>0</v>
      </c>
      <c r="K113">
        <f>SUMIF(ConfirmedRaw!$B:$B,$A113,ConfirmedRaw!N:N)</f>
        <v>0</v>
      </c>
      <c r="L113">
        <f>SUMIF(ConfirmedRaw!$B:$B,$A113,ConfirmedRaw!O:O)</f>
        <v>0</v>
      </c>
      <c r="M113">
        <f>SUMIF(ConfirmedRaw!$B:$B,$A113,ConfirmedRaw!P:P)</f>
        <v>0</v>
      </c>
      <c r="N113">
        <f>SUMIF(ConfirmedRaw!$B:$B,$A113,ConfirmedRaw!Q:Q)</f>
        <v>0</v>
      </c>
      <c r="O113">
        <f>SUMIF(ConfirmedRaw!$B:$B,$A113,ConfirmedRaw!R:R)</f>
        <v>0</v>
      </c>
      <c r="P113">
        <f>SUMIF(ConfirmedRaw!$B:$B,$A113,ConfirmedRaw!S:S)</f>
        <v>0</v>
      </c>
      <c r="Q113">
        <f>SUMIF(ConfirmedRaw!$B:$B,$A113,ConfirmedRaw!T:T)</f>
        <v>0</v>
      </c>
      <c r="R113">
        <f>SUMIF(ConfirmedRaw!$B:$B,$A113,ConfirmedRaw!U:U)</f>
        <v>0</v>
      </c>
      <c r="S113">
        <f>SUMIF(ConfirmedRaw!$B:$B,$A113,ConfirmedRaw!V:V)</f>
        <v>0</v>
      </c>
      <c r="T113">
        <f>SUMIF(ConfirmedRaw!$B:$B,$A113,ConfirmedRaw!W:W)</f>
        <v>0</v>
      </c>
      <c r="U113">
        <f>SUMIF(ConfirmedRaw!$B:$B,$A113,ConfirmedRaw!X:X)</f>
        <v>0</v>
      </c>
      <c r="V113">
        <f>SUMIF(ConfirmedRaw!$B:$B,$A113,ConfirmedRaw!Y:Y)</f>
        <v>0</v>
      </c>
      <c r="W113">
        <f>SUMIF(ConfirmedRaw!$B:$B,$A113,ConfirmedRaw!Z:Z)</f>
        <v>0</v>
      </c>
      <c r="X113">
        <f>SUMIF(ConfirmedRaw!$B:$B,$A113,ConfirmedRaw!AA:AA)</f>
        <v>0</v>
      </c>
      <c r="Y113">
        <f>SUMIF(ConfirmedRaw!$B:$B,$A113,ConfirmedRaw!AB:AB)</f>
        <v>0</v>
      </c>
      <c r="Z113">
        <f>SUMIF(ConfirmedRaw!$B:$B,$A113,ConfirmedRaw!AC:AC)</f>
        <v>0</v>
      </c>
      <c r="AA113">
        <f>SUMIF(ConfirmedRaw!$B:$B,$A113,ConfirmedRaw!AD:AD)</f>
        <v>0</v>
      </c>
      <c r="AB113">
        <f>SUMIF(ConfirmedRaw!$B:$B,$A113,ConfirmedRaw!AE:AE)</f>
        <v>0</v>
      </c>
      <c r="AC113">
        <f>SUMIF(ConfirmedRaw!$B:$B,$A113,ConfirmedRaw!AF:AF)</f>
        <v>0</v>
      </c>
      <c r="AD113">
        <f>SUMIF(ConfirmedRaw!$B:$B,$A113,ConfirmedRaw!AG:AG)</f>
        <v>0</v>
      </c>
      <c r="AE113">
        <f>SUMIF(ConfirmedRaw!$B:$B,$A113,ConfirmedRaw!AH:AH)</f>
        <v>0</v>
      </c>
      <c r="AF113">
        <f>SUMIF(ConfirmedRaw!$B:$B,$A113,ConfirmedRaw!AI:AI)</f>
        <v>0</v>
      </c>
      <c r="AG113">
        <f>SUMIF(ConfirmedRaw!$B:$B,$A113,ConfirmedRaw!AJ:AJ)</f>
        <v>0</v>
      </c>
      <c r="AH113">
        <f>SUMIF(ConfirmedRaw!$B:$B,$A113,ConfirmedRaw!AK:AK)</f>
        <v>0</v>
      </c>
      <c r="AI113">
        <f>SUMIF(ConfirmedRaw!$B:$B,$A113,ConfirmedRaw!AL:AL)</f>
        <v>0</v>
      </c>
      <c r="AJ113">
        <f>SUMIF(ConfirmedRaw!$B:$B,$A113,ConfirmedRaw!AM:AM)</f>
        <v>0</v>
      </c>
      <c r="AK113">
        <f>SUMIF(ConfirmedRaw!$B:$B,$A113,ConfirmedRaw!AN:AN)</f>
        <v>0</v>
      </c>
      <c r="AL113">
        <f>SUMIF(ConfirmedRaw!$B:$B,$A113,ConfirmedRaw!AO:AO)</f>
        <v>0</v>
      </c>
      <c r="AM113">
        <f>SUMIF(ConfirmedRaw!$B:$B,$A113,ConfirmedRaw!AP:AP)</f>
        <v>0</v>
      </c>
      <c r="AN113">
        <f>SUMIF(ConfirmedRaw!$B:$B,$A113,ConfirmedRaw!AQ:AQ)</f>
        <v>0</v>
      </c>
      <c r="AO113">
        <f>SUMIF(ConfirmedRaw!$B:$B,$A113,ConfirmedRaw!AR:AR)</f>
        <v>0</v>
      </c>
      <c r="AP113">
        <f>SUMIF(ConfirmedRaw!$B:$B,$A113,ConfirmedRaw!AS:AS)</f>
        <v>0</v>
      </c>
      <c r="AQ113">
        <f>SUMIF(ConfirmedRaw!$B:$B,$A113,ConfirmedRaw!AT:AT)</f>
        <v>0</v>
      </c>
      <c r="AR113">
        <f>SUMIF(ConfirmedRaw!$B:$B,$A113,ConfirmedRaw!AU:AU)</f>
        <v>0</v>
      </c>
      <c r="AS113">
        <f>SUMIF(ConfirmedRaw!$B:$B,$A113,ConfirmedRaw!AV:AV)</f>
        <v>0</v>
      </c>
      <c r="AT113">
        <f>SUMIF(ConfirmedRaw!$B:$B,$A113,ConfirmedRaw!AW:AW)</f>
        <v>0</v>
      </c>
      <c r="AU113">
        <f>SUMIF(ConfirmedRaw!$B:$B,$A113,ConfirmedRaw!AX:AX)</f>
        <v>0</v>
      </c>
      <c r="AV113">
        <f>SUMIF(ConfirmedRaw!$B:$B,$A113,ConfirmedRaw!AY:AY)</f>
        <v>0</v>
      </c>
      <c r="AW113">
        <f>SUMIF(ConfirmedRaw!$B:$B,$A113,ConfirmedRaw!AZ:AZ)</f>
        <v>0</v>
      </c>
      <c r="AX113">
        <f>SUMIF(ConfirmedRaw!$B:$B,$A113,ConfirmedRaw!BA:BA)</f>
        <v>0</v>
      </c>
      <c r="AY113">
        <f>SUMIF(ConfirmedRaw!$B:$B,$A113,ConfirmedRaw!BB:BB)</f>
        <v>0</v>
      </c>
      <c r="AZ113">
        <f>SUMIF(ConfirmedRaw!$B:$B,$A113,ConfirmedRaw!BC:BC)</f>
        <v>0</v>
      </c>
      <c r="BA113">
        <f>SUMIF(ConfirmedRaw!$B:$B,$A113,ConfirmedRaw!BD:BD)</f>
        <v>0</v>
      </c>
      <c r="BB113">
        <f>SUMIF(ConfirmedRaw!$B:$B,$A113,ConfirmedRaw!BE:BE)</f>
        <v>0</v>
      </c>
      <c r="BC113">
        <f>SUMIF(ConfirmedRaw!$B:$B,$A113,ConfirmedRaw!BF:BF)</f>
        <v>0</v>
      </c>
      <c r="BD113">
        <f>SUMIF(ConfirmedRaw!$B:$B,$A113,ConfirmedRaw!BG:BG)</f>
        <v>0</v>
      </c>
      <c r="BE113">
        <f>SUMIF(ConfirmedRaw!$B:$B,$A113,ConfirmedRaw!BH:BH)</f>
        <v>0</v>
      </c>
      <c r="BF113">
        <f>SUMIF(ConfirmedRaw!$B:$B,$A113,ConfirmedRaw!BI:BI)</f>
        <v>0</v>
      </c>
      <c r="BG113">
        <f>SUMIF(ConfirmedRaw!$B:$B,$A113,ConfirmedRaw!BJ:BJ)</f>
        <v>0</v>
      </c>
      <c r="BH113">
        <f>SUMIF(ConfirmedRaw!$B:$B,$A113,ConfirmedRaw!BK:BK)</f>
        <v>0</v>
      </c>
      <c r="BI113">
        <f>SUMIF(ConfirmedRaw!$B:$B,$A113,ConfirmedRaw!BL:BL)</f>
        <v>0</v>
      </c>
      <c r="BJ113">
        <f>SUMIF(ConfirmedRaw!$B:$B,$A113,ConfirmedRaw!BM:BM)</f>
        <v>0</v>
      </c>
      <c r="BK113">
        <f>SUMIF(ConfirmedRaw!$B:$B,$A113,ConfirmedRaw!BN:BN)</f>
        <v>0</v>
      </c>
      <c r="BL113">
        <f>SUMIF(ConfirmedRaw!$B:$B,$A113,ConfirmedRaw!BO:BO)</f>
        <v>0</v>
      </c>
      <c r="BM113">
        <f>SUMIF(ConfirmedRaw!$B:$B,$A113,ConfirmedRaw!BP:BP)</f>
        <v>0</v>
      </c>
      <c r="BN113">
        <f>SUMIF(ConfirmedRaw!$B:$B,$A113,ConfirmedRaw!BQ:BQ)</f>
        <v>0</v>
      </c>
      <c r="BO113">
        <f>SUMIF(ConfirmedRaw!$B:$B,$A113,ConfirmedRaw!BR:BR)</f>
        <v>0</v>
      </c>
      <c r="BP113">
        <f>SUMIF(ConfirmedRaw!$B:$B,$A113,ConfirmedRaw!BS:BS)</f>
        <v>0</v>
      </c>
      <c r="BQ113">
        <f>SUMIF(ConfirmedRaw!$B:$B,$A113,ConfirmedRaw!BT:BT)</f>
        <v>0</v>
      </c>
      <c r="BR113">
        <f>SUMIF(ConfirmedRaw!$B:$B,$A113,ConfirmedRaw!BU:BU)</f>
        <v>0</v>
      </c>
      <c r="BS113">
        <f>SUMIF(ConfirmedRaw!$B:$B,$A113,ConfirmedRaw!BV:BV)</f>
        <v>0</v>
      </c>
      <c r="BT113">
        <f>SUMIF(ConfirmedRaw!$B:$B,$A113,ConfirmedRaw!BW:BW)</f>
        <v>0</v>
      </c>
    </row>
    <row r="114" spans="1:72" ht="15" thickBot="1" x14ac:dyDescent="0.35">
      <c r="A114" s="3" t="s">
        <v>352</v>
      </c>
      <c r="B114">
        <f>SUMIF(ConfirmedRaw!$B:$B,$A114,ConfirmedRaw!E:E)</f>
        <v>0</v>
      </c>
      <c r="C114">
        <f>SUMIF(ConfirmedRaw!$B:$B,$A114,ConfirmedRaw!F:F)</f>
        <v>0</v>
      </c>
      <c r="D114">
        <f>SUMIF(ConfirmedRaw!$B:$B,$A114,ConfirmedRaw!G:G)</f>
        <v>0</v>
      </c>
      <c r="E114">
        <f>SUMIF(ConfirmedRaw!$B:$B,$A114,ConfirmedRaw!H:H)</f>
        <v>0</v>
      </c>
      <c r="F114">
        <f>SUMIF(ConfirmedRaw!$B:$B,$A114,ConfirmedRaw!I:I)</f>
        <v>0</v>
      </c>
      <c r="G114">
        <f>SUMIF(ConfirmedRaw!$B:$B,$A114,ConfirmedRaw!J:J)</f>
        <v>0</v>
      </c>
      <c r="H114">
        <f>SUMIF(ConfirmedRaw!$B:$B,$A114,ConfirmedRaw!K:K)</f>
        <v>0</v>
      </c>
      <c r="I114">
        <f>SUMIF(ConfirmedRaw!$B:$B,$A114,ConfirmedRaw!L:L)</f>
        <v>0</v>
      </c>
      <c r="J114">
        <f>SUMIF(ConfirmedRaw!$B:$B,$A114,ConfirmedRaw!M:M)</f>
        <v>0</v>
      </c>
      <c r="K114">
        <f>SUMIF(ConfirmedRaw!$B:$B,$A114,ConfirmedRaw!N:N)</f>
        <v>0</v>
      </c>
      <c r="L114">
        <f>SUMIF(ConfirmedRaw!$B:$B,$A114,ConfirmedRaw!O:O)</f>
        <v>0</v>
      </c>
      <c r="M114">
        <f>SUMIF(ConfirmedRaw!$B:$B,$A114,ConfirmedRaw!P:P)</f>
        <v>0</v>
      </c>
      <c r="N114">
        <f>SUMIF(ConfirmedRaw!$B:$B,$A114,ConfirmedRaw!Q:Q)</f>
        <v>0</v>
      </c>
      <c r="O114">
        <f>SUMIF(ConfirmedRaw!$B:$B,$A114,ConfirmedRaw!R:R)</f>
        <v>0</v>
      </c>
      <c r="P114">
        <f>SUMIF(ConfirmedRaw!$B:$B,$A114,ConfirmedRaw!S:S)</f>
        <v>0</v>
      </c>
      <c r="Q114">
        <f>SUMIF(ConfirmedRaw!$B:$B,$A114,ConfirmedRaw!T:T)</f>
        <v>0</v>
      </c>
      <c r="R114">
        <f>SUMIF(ConfirmedRaw!$B:$B,$A114,ConfirmedRaw!U:U)</f>
        <v>0</v>
      </c>
      <c r="S114">
        <f>SUMIF(ConfirmedRaw!$B:$B,$A114,ConfirmedRaw!V:V)</f>
        <v>0</v>
      </c>
      <c r="T114">
        <f>SUMIF(ConfirmedRaw!$B:$B,$A114,ConfirmedRaw!W:W)</f>
        <v>0</v>
      </c>
      <c r="U114">
        <f>SUMIF(ConfirmedRaw!$B:$B,$A114,ConfirmedRaw!X:X)</f>
        <v>0</v>
      </c>
      <c r="V114">
        <f>SUMIF(ConfirmedRaw!$B:$B,$A114,ConfirmedRaw!Y:Y)</f>
        <v>0</v>
      </c>
      <c r="W114">
        <f>SUMIF(ConfirmedRaw!$B:$B,$A114,ConfirmedRaw!Z:Z)</f>
        <v>0</v>
      </c>
      <c r="X114">
        <f>SUMIF(ConfirmedRaw!$B:$B,$A114,ConfirmedRaw!AA:AA)</f>
        <v>0</v>
      </c>
      <c r="Y114">
        <f>SUMIF(ConfirmedRaw!$B:$B,$A114,ConfirmedRaw!AB:AB)</f>
        <v>0</v>
      </c>
      <c r="Z114">
        <f>SUMIF(ConfirmedRaw!$B:$B,$A114,ConfirmedRaw!AC:AC)</f>
        <v>0</v>
      </c>
      <c r="AA114">
        <f>SUMIF(ConfirmedRaw!$B:$B,$A114,ConfirmedRaw!AD:AD)</f>
        <v>0</v>
      </c>
      <c r="AB114">
        <f>SUMIF(ConfirmedRaw!$B:$B,$A114,ConfirmedRaw!AE:AE)</f>
        <v>0</v>
      </c>
      <c r="AC114">
        <f>SUMIF(ConfirmedRaw!$B:$B,$A114,ConfirmedRaw!AF:AF)</f>
        <v>0</v>
      </c>
      <c r="AD114">
        <f>SUMIF(ConfirmedRaw!$B:$B,$A114,ConfirmedRaw!AG:AG)</f>
        <v>0</v>
      </c>
      <c r="AE114">
        <f>SUMIF(ConfirmedRaw!$B:$B,$A114,ConfirmedRaw!AH:AH)</f>
        <v>0</v>
      </c>
      <c r="AF114">
        <f>SUMIF(ConfirmedRaw!$B:$B,$A114,ConfirmedRaw!AI:AI)</f>
        <v>0</v>
      </c>
      <c r="AG114">
        <f>SUMIF(ConfirmedRaw!$B:$B,$A114,ConfirmedRaw!AJ:AJ)</f>
        <v>0</v>
      </c>
      <c r="AH114">
        <f>SUMIF(ConfirmedRaw!$B:$B,$A114,ConfirmedRaw!AK:AK)</f>
        <v>0</v>
      </c>
      <c r="AI114">
        <f>SUMIF(ConfirmedRaw!$B:$B,$A114,ConfirmedRaw!AL:AL)</f>
        <v>0</v>
      </c>
      <c r="AJ114">
        <f>SUMIF(ConfirmedRaw!$B:$B,$A114,ConfirmedRaw!AM:AM)</f>
        <v>0</v>
      </c>
      <c r="AK114">
        <f>SUMIF(ConfirmedRaw!$B:$B,$A114,ConfirmedRaw!AN:AN)</f>
        <v>0</v>
      </c>
      <c r="AL114">
        <f>SUMIF(ConfirmedRaw!$B:$B,$A114,ConfirmedRaw!AO:AO)</f>
        <v>0</v>
      </c>
      <c r="AM114">
        <f>SUMIF(ConfirmedRaw!$B:$B,$A114,ConfirmedRaw!AP:AP)</f>
        <v>0</v>
      </c>
      <c r="AN114">
        <f>SUMIF(ConfirmedRaw!$B:$B,$A114,ConfirmedRaw!AQ:AQ)</f>
        <v>0</v>
      </c>
      <c r="AO114">
        <f>SUMIF(ConfirmedRaw!$B:$B,$A114,ConfirmedRaw!AR:AR)</f>
        <v>0</v>
      </c>
      <c r="AP114">
        <f>SUMIF(ConfirmedRaw!$B:$B,$A114,ConfirmedRaw!AS:AS)</f>
        <v>0</v>
      </c>
      <c r="AQ114">
        <f>SUMIF(ConfirmedRaw!$B:$B,$A114,ConfirmedRaw!AT:AT)</f>
        <v>0</v>
      </c>
      <c r="AR114">
        <f>SUMIF(ConfirmedRaw!$B:$B,$A114,ConfirmedRaw!AU:AU)</f>
        <v>0</v>
      </c>
      <c r="AS114">
        <f>SUMIF(ConfirmedRaw!$B:$B,$A114,ConfirmedRaw!AV:AV)</f>
        <v>0</v>
      </c>
      <c r="AT114">
        <f>SUMIF(ConfirmedRaw!$B:$B,$A114,ConfirmedRaw!AW:AW)</f>
        <v>0</v>
      </c>
      <c r="AU114">
        <f>SUMIF(ConfirmedRaw!$B:$B,$A114,ConfirmedRaw!AX:AX)</f>
        <v>0</v>
      </c>
      <c r="AV114">
        <f>SUMIF(ConfirmedRaw!$B:$B,$A114,ConfirmedRaw!AY:AY)</f>
        <v>0</v>
      </c>
      <c r="AW114">
        <f>SUMIF(ConfirmedRaw!$B:$B,$A114,ConfirmedRaw!AZ:AZ)</f>
        <v>0</v>
      </c>
      <c r="AX114">
        <f>SUMIF(ConfirmedRaw!$B:$B,$A114,ConfirmedRaw!BA:BA)</f>
        <v>0</v>
      </c>
      <c r="AY114">
        <f>SUMIF(ConfirmedRaw!$B:$B,$A114,ConfirmedRaw!BB:BB)</f>
        <v>1</v>
      </c>
      <c r="AZ114">
        <f>SUMIF(ConfirmedRaw!$B:$B,$A114,ConfirmedRaw!BC:BC)</f>
        <v>1</v>
      </c>
      <c r="BA114">
        <f>SUMIF(ConfirmedRaw!$B:$B,$A114,ConfirmedRaw!BD:BD)</f>
        <v>1</v>
      </c>
      <c r="BB114">
        <f>SUMIF(ConfirmedRaw!$B:$B,$A114,ConfirmedRaw!BE:BE)</f>
        <v>1</v>
      </c>
      <c r="BC114">
        <f>SUMIF(ConfirmedRaw!$B:$B,$A114,ConfirmedRaw!BF:BF)</f>
        <v>1</v>
      </c>
      <c r="BD114">
        <f>SUMIF(ConfirmedRaw!$B:$B,$A114,ConfirmedRaw!BG:BG)</f>
        <v>1</v>
      </c>
      <c r="BE114">
        <f>SUMIF(ConfirmedRaw!$B:$B,$A114,ConfirmedRaw!BH:BH)</f>
        <v>5</v>
      </c>
      <c r="BF114">
        <f>SUMIF(ConfirmedRaw!$B:$B,$A114,ConfirmedRaw!BI:BI)</f>
        <v>6</v>
      </c>
      <c r="BG114">
        <f>SUMIF(ConfirmedRaw!$B:$B,$A114,ConfirmedRaw!BJ:BJ)</f>
        <v>0</v>
      </c>
      <c r="BH114">
        <f>SUMIF(ConfirmedRaw!$B:$B,$A114,ConfirmedRaw!BK:BK)</f>
        <v>0</v>
      </c>
      <c r="BI114">
        <f>SUMIF(ConfirmedRaw!$B:$B,$A114,ConfirmedRaw!BL:BL)</f>
        <v>0</v>
      </c>
      <c r="BJ114">
        <f>SUMIF(ConfirmedRaw!$B:$B,$A114,ConfirmedRaw!BM:BM)</f>
        <v>0</v>
      </c>
      <c r="BK114">
        <f>SUMIF(ConfirmedRaw!$B:$B,$A114,ConfirmedRaw!BN:BN)</f>
        <v>0</v>
      </c>
      <c r="BL114">
        <f>SUMIF(ConfirmedRaw!$B:$B,$A114,ConfirmedRaw!BO:BO)</f>
        <v>0</v>
      </c>
      <c r="BM114">
        <f>SUMIF(ConfirmedRaw!$B:$B,$A114,ConfirmedRaw!BP:BP)</f>
        <v>0</v>
      </c>
      <c r="BN114">
        <f>SUMIF(ConfirmedRaw!$B:$B,$A114,ConfirmedRaw!BQ:BQ)</f>
        <v>0</v>
      </c>
      <c r="BO114">
        <f>SUMIF(ConfirmedRaw!$B:$B,$A114,ConfirmedRaw!BR:BR)</f>
        <v>0</v>
      </c>
      <c r="BP114">
        <f>SUMIF(ConfirmedRaw!$B:$B,$A114,ConfirmedRaw!BS:BS)</f>
        <v>0</v>
      </c>
      <c r="BQ114">
        <f>SUMIF(ConfirmedRaw!$B:$B,$A114,ConfirmedRaw!BT:BT)</f>
        <v>0</v>
      </c>
      <c r="BR114">
        <f>SUMIF(ConfirmedRaw!$B:$B,$A114,ConfirmedRaw!BU:BU)</f>
        <v>0</v>
      </c>
      <c r="BS114">
        <f>SUMIF(ConfirmedRaw!$B:$B,$A114,ConfirmedRaw!BV:BV)</f>
        <v>0</v>
      </c>
      <c r="BT114">
        <f>SUMIF(ConfirmedRaw!$B:$B,$A114,ConfirmedRaw!BW:BW)</f>
        <v>0</v>
      </c>
    </row>
    <row r="115" spans="1:72" ht="15" thickBot="1" x14ac:dyDescent="0.35">
      <c r="A115" s="4" t="s">
        <v>419</v>
      </c>
      <c r="B115">
        <f>SUMIF(ConfirmedRaw!$B:$B,$A115,ConfirmedRaw!E:E)</f>
        <v>0</v>
      </c>
      <c r="C115">
        <f>SUMIF(ConfirmedRaw!$B:$B,$A115,ConfirmedRaw!F:F)</f>
        <v>0</v>
      </c>
      <c r="D115">
        <f>SUMIF(ConfirmedRaw!$B:$B,$A115,ConfirmedRaw!G:G)</f>
        <v>0</v>
      </c>
      <c r="E115">
        <f>SUMIF(ConfirmedRaw!$B:$B,$A115,ConfirmedRaw!H:H)</f>
        <v>0</v>
      </c>
      <c r="F115">
        <f>SUMIF(ConfirmedRaw!$B:$B,$A115,ConfirmedRaw!I:I)</f>
        <v>0</v>
      </c>
      <c r="G115">
        <f>SUMIF(ConfirmedRaw!$B:$B,$A115,ConfirmedRaw!J:J)</f>
        <v>0</v>
      </c>
      <c r="H115">
        <f>SUMIF(ConfirmedRaw!$B:$B,$A115,ConfirmedRaw!K:K)</f>
        <v>0</v>
      </c>
      <c r="I115">
        <f>SUMIF(ConfirmedRaw!$B:$B,$A115,ConfirmedRaw!L:L)</f>
        <v>0</v>
      </c>
      <c r="J115">
        <f>SUMIF(ConfirmedRaw!$B:$B,$A115,ConfirmedRaw!M:M)</f>
        <v>0</v>
      </c>
      <c r="K115">
        <f>SUMIF(ConfirmedRaw!$B:$B,$A115,ConfirmedRaw!N:N)</f>
        <v>0</v>
      </c>
      <c r="L115">
        <f>SUMIF(ConfirmedRaw!$B:$B,$A115,ConfirmedRaw!O:O)</f>
        <v>0</v>
      </c>
      <c r="M115">
        <f>SUMIF(ConfirmedRaw!$B:$B,$A115,ConfirmedRaw!P:P)</f>
        <v>0</v>
      </c>
      <c r="N115">
        <f>SUMIF(ConfirmedRaw!$B:$B,$A115,ConfirmedRaw!Q:Q)</f>
        <v>0</v>
      </c>
      <c r="O115">
        <f>SUMIF(ConfirmedRaw!$B:$B,$A115,ConfirmedRaw!R:R)</f>
        <v>0</v>
      </c>
      <c r="P115">
        <f>SUMIF(ConfirmedRaw!$B:$B,$A115,ConfirmedRaw!S:S)</f>
        <v>0</v>
      </c>
      <c r="Q115">
        <f>SUMIF(ConfirmedRaw!$B:$B,$A115,ConfirmedRaw!T:T)</f>
        <v>0</v>
      </c>
      <c r="R115">
        <f>SUMIF(ConfirmedRaw!$B:$B,$A115,ConfirmedRaw!U:U)</f>
        <v>0</v>
      </c>
      <c r="S115">
        <f>SUMIF(ConfirmedRaw!$B:$B,$A115,ConfirmedRaw!V:V)</f>
        <v>0</v>
      </c>
      <c r="T115">
        <f>SUMIF(ConfirmedRaw!$B:$B,$A115,ConfirmedRaw!W:W)</f>
        <v>0</v>
      </c>
      <c r="U115">
        <f>SUMIF(ConfirmedRaw!$B:$B,$A115,ConfirmedRaw!X:X)</f>
        <v>0</v>
      </c>
      <c r="V115">
        <f>SUMIF(ConfirmedRaw!$B:$B,$A115,ConfirmedRaw!Y:Y)</f>
        <v>0</v>
      </c>
      <c r="W115">
        <f>SUMIF(ConfirmedRaw!$B:$B,$A115,ConfirmedRaw!Z:Z)</f>
        <v>0</v>
      </c>
      <c r="X115">
        <f>SUMIF(ConfirmedRaw!$B:$B,$A115,ConfirmedRaw!AA:AA)</f>
        <v>0</v>
      </c>
      <c r="Y115">
        <f>SUMIF(ConfirmedRaw!$B:$B,$A115,ConfirmedRaw!AB:AB)</f>
        <v>0</v>
      </c>
      <c r="Z115">
        <f>SUMIF(ConfirmedRaw!$B:$B,$A115,ConfirmedRaw!AC:AC)</f>
        <v>0</v>
      </c>
      <c r="AA115">
        <f>SUMIF(ConfirmedRaw!$B:$B,$A115,ConfirmedRaw!AD:AD)</f>
        <v>0</v>
      </c>
      <c r="AB115">
        <f>SUMIF(ConfirmedRaw!$B:$B,$A115,ConfirmedRaw!AE:AE)</f>
        <v>0</v>
      </c>
      <c r="AC115">
        <f>SUMIF(ConfirmedRaw!$B:$B,$A115,ConfirmedRaw!AF:AF)</f>
        <v>0</v>
      </c>
      <c r="AD115">
        <f>SUMIF(ConfirmedRaw!$B:$B,$A115,ConfirmedRaw!AG:AG)</f>
        <v>0</v>
      </c>
      <c r="AE115">
        <f>SUMIF(ConfirmedRaw!$B:$B,$A115,ConfirmedRaw!AH:AH)</f>
        <v>0</v>
      </c>
      <c r="AF115">
        <f>SUMIF(ConfirmedRaw!$B:$B,$A115,ConfirmedRaw!AI:AI)</f>
        <v>0</v>
      </c>
      <c r="AG115">
        <f>SUMIF(ConfirmedRaw!$B:$B,$A115,ConfirmedRaw!AJ:AJ)</f>
        <v>0</v>
      </c>
      <c r="AH115">
        <f>SUMIF(ConfirmedRaw!$B:$B,$A115,ConfirmedRaw!AK:AK)</f>
        <v>0</v>
      </c>
      <c r="AI115">
        <f>SUMIF(ConfirmedRaw!$B:$B,$A115,ConfirmedRaw!AL:AL)</f>
        <v>0</v>
      </c>
      <c r="AJ115">
        <f>SUMIF(ConfirmedRaw!$B:$B,$A115,ConfirmedRaw!AM:AM)</f>
        <v>0</v>
      </c>
      <c r="AK115">
        <f>SUMIF(ConfirmedRaw!$B:$B,$A115,ConfirmedRaw!AN:AN)</f>
        <v>0</v>
      </c>
      <c r="AL115">
        <f>SUMIF(ConfirmedRaw!$B:$B,$A115,ConfirmedRaw!AO:AO)</f>
        <v>0</v>
      </c>
      <c r="AM115">
        <f>SUMIF(ConfirmedRaw!$B:$B,$A115,ConfirmedRaw!AP:AP)</f>
        <v>0</v>
      </c>
      <c r="AN115">
        <f>SUMIF(ConfirmedRaw!$B:$B,$A115,ConfirmedRaw!AQ:AQ)</f>
        <v>0</v>
      </c>
      <c r="AO115">
        <f>SUMIF(ConfirmedRaw!$B:$B,$A115,ConfirmedRaw!AR:AR)</f>
        <v>0</v>
      </c>
      <c r="AP115">
        <f>SUMIF(ConfirmedRaw!$B:$B,$A115,ConfirmedRaw!AS:AS)</f>
        <v>0</v>
      </c>
      <c r="AQ115">
        <f>SUMIF(ConfirmedRaw!$B:$B,$A115,ConfirmedRaw!AT:AT)</f>
        <v>0</v>
      </c>
      <c r="AR115">
        <f>SUMIF(ConfirmedRaw!$B:$B,$A115,ConfirmedRaw!AU:AU)</f>
        <v>0</v>
      </c>
      <c r="AS115">
        <f>SUMIF(ConfirmedRaw!$B:$B,$A115,ConfirmedRaw!AV:AV)</f>
        <v>0</v>
      </c>
      <c r="AT115">
        <f>SUMIF(ConfirmedRaw!$B:$B,$A115,ConfirmedRaw!AW:AW)</f>
        <v>0</v>
      </c>
      <c r="AU115">
        <f>SUMIF(ConfirmedRaw!$B:$B,$A115,ConfirmedRaw!AX:AX)</f>
        <v>0</v>
      </c>
      <c r="AV115">
        <f>SUMIF(ConfirmedRaw!$B:$B,$A115,ConfirmedRaw!AY:AY)</f>
        <v>0</v>
      </c>
      <c r="AW115">
        <f>SUMIF(ConfirmedRaw!$B:$B,$A115,ConfirmedRaw!AZ:AZ)</f>
        <v>0</v>
      </c>
      <c r="AX115">
        <f>SUMIF(ConfirmedRaw!$B:$B,$A115,ConfirmedRaw!BA:BA)</f>
        <v>0</v>
      </c>
      <c r="AY115">
        <f>SUMIF(ConfirmedRaw!$B:$B,$A115,ConfirmedRaw!BB:BB)</f>
        <v>0</v>
      </c>
      <c r="AZ115">
        <f>SUMIF(ConfirmedRaw!$B:$B,$A115,ConfirmedRaw!BC:BC)</f>
        <v>0</v>
      </c>
      <c r="BA115">
        <f>SUMIF(ConfirmedRaw!$B:$B,$A115,ConfirmedRaw!BD:BD)</f>
        <v>1</v>
      </c>
      <c r="BB115">
        <f>SUMIF(ConfirmedRaw!$B:$B,$A115,ConfirmedRaw!BE:BE)</f>
        <v>1</v>
      </c>
      <c r="BC115">
        <f>SUMIF(ConfirmedRaw!$B:$B,$A115,ConfirmedRaw!BF:BF)</f>
        <v>1</v>
      </c>
      <c r="BD115">
        <f>SUMIF(ConfirmedRaw!$B:$B,$A115,ConfirmedRaw!BG:BG)</f>
        <v>5</v>
      </c>
      <c r="BE115">
        <f>SUMIF(ConfirmedRaw!$B:$B,$A115,ConfirmedRaw!BH:BH)</f>
        <v>5</v>
      </c>
      <c r="BF115">
        <f>SUMIF(ConfirmedRaw!$B:$B,$A115,ConfirmedRaw!BI:BI)</f>
        <v>6</v>
      </c>
      <c r="BG115">
        <f>SUMIF(ConfirmedRaw!$B:$B,$A115,ConfirmedRaw!BJ:BJ)</f>
        <v>0</v>
      </c>
      <c r="BH115">
        <f>SUMIF(ConfirmedRaw!$B:$B,$A115,ConfirmedRaw!BK:BK)</f>
        <v>0</v>
      </c>
      <c r="BI115">
        <f>SUMIF(ConfirmedRaw!$B:$B,$A115,ConfirmedRaw!BL:BL)</f>
        <v>0</v>
      </c>
      <c r="BJ115">
        <f>SUMIF(ConfirmedRaw!$B:$B,$A115,ConfirmedRaw!BM:BM)</f>
        <v>0</v>
      </c>
      <c r="BK115">
        <f>SUMIF(ConfirmedRaw!$B:$B,$A115,ConfirmedRaw!BN:BN)</f>
        <v>0</v>
      </c>
      <c r="BL115">
        <f>SUMIF(ConfirmedRaw!$B:$B,$A115,ConfirmedRaw!BO:BO)</f>
        <v>0</v>
      </c>
      <c r="BM115">
        <f>SUMIF(ConfirmedRaw!$B:$B,$A115,ConfirmedRaw!BP:BP)</f>
        <v>0</v>
      </c>
      <c r="BN115">
        <f>SUMIF(ConfirmedRaw!$B:$B,$A115,ConfirmedRaw!BQ:BQ)</f>
        <v>0</v>
      </c>
      <c r="BO115">
        <f>SUMIF(ConfirmedRaw!$B:$B,$A115,ConfirmedRaw!BR:BR)</f>
        <v>0</v>
      </c>
      <c r="BP115">
        <f>SUMIF(ConfirmedRaw!$B:$B,$A115,ConfirmedRaw!BS:BS)</f>
        <v>0</v>
      </c>
      <c r="BQ115">
        <f>SUMIF(ConfirmedRaw!$B:$B,$A115,ConfirmedRaw!BT:BT)</f>
        <v>0</v>
      </c>
      <c r="BR115">
        <f>SUMIF(ConfirmedRaw!$B:$B,$A115,ConfirmedRaw!BU:BU)</f>
        <v>0</v>
      </c>
      <c r="BS115">
        <f>SUMIF(ConfirmedRaw!$B:$B,$A115,ConfirmedRaw!BV:BV)</f>
        <v>0</v>
      </c>
      <c r="BT115">
        <f>SUMIF(ConfirmedRaw!$B:$B,$A115,ConfirmedRaw!BW:BW)</f>
        <v>0</v>
      </c>
    </row>
    <row r="116" spans="1:72" ht="15" thickBot="1" x14ac:dyDescent="0.35">
      <c r="A116" s="3" t="s">
        <v>416</v>
      </c>
      <c r="B116">
        <f>SUMIF(ConfirmedRaw!$B:$B,$A116,ConfirmedRaw!E:E)</f>
        <v>0</v>
      </c>
      <c r="C116">
        <f>SUMIF(ConfirmedRaw!$B:$B,$A116,ConfirmedRaw!F:F)</f>
        <v>0</v>
      </c>
      <c r="D116">
        <f>SUMIF(ConfirmedRaw!$B:$B,$A116,ConfirmedRaw!G:G)</f>
        <v>0</v>
      </c>
      <c r="E116">
        <f>SUMIF(ConfirmedRaw!$B:$B,$A116,ConfirmedRaw!H:H)</f>
        <v>0</v>
      </c>
      <c r="F116">
        <f>SUMIF(ConfirmedRaw!$B:$B,$A116,ConfirmedRaw!I:I)</f>
        <v>0</v>
      </c>
      <c r="G116">
        <f>SUMIF(ConfirmedRaw!$B:$B,$A116,ConfirmedRaw!J:J)</f>
        <v>0</v>
      </c>
      <c r="H116">
        <f>SUMIF(ConfirmedRaw!$B:$B,$A116,ConfirmedRaw!K:K)</f>
        <v>0</v>
      </c>
      <c r="I116">
        <f>SUMIF(ConfirmedRaw!$B:$B,$A116,ConfirmedRaw!L:L)</f>
        <v>0</v>
      </c>
      <c r="J116">
        <f>SUMIF(ConfirmedRaw!$B:$B,$A116,ConfirmedRaw!M:M)</f>
        <v>0</v>
      </c>
      <c r="K116">
        <f>SUMIF(ConfirmedRaw!$B:$B,$A116,ConfirmedRaw!N:N)</f>
        <v>0</v>
      </c>
      <c r="L116">
        <f>SUMIF(ConfirmedRaw!$B:$B,$A116,ConfirmedRaw!O:O)</f>
        <v>0</v>
      </c>
      <c r="M116">
        <f>SUMIF(ConfirmedRaw!$B:$B,$A116,ConfirmedRaw!P:P)</f>
        <v>0</v>
      </c>
      <c r="N116">
        <f>SUMIF(ConfirmedRaw!$B:$B,$A116,ConfirmedRaw!Q:Q)</f>
        <v>0</v>
      </c>
      <c r="O116">
        <f>SUMIF(ConfirmedRaw!$B:$B,$A116,ConfirmedRaw!R:R)</f>
        <v>0</v>
      </c>
      <c r="P116">
        <f>SUMIF(ConfirmedRaw!$B:$B,$A116,ConfirmedRaw!S:S)</f>
        <v>0</v>
      </c>
      <c r="Q116">
        <f>SUMIF(ConfirmedRaw!$B:$B,$A116,ConfirmedRaw!T:T)</f>
        <v>0</v>
      </c>
      <c r="R116">
        <f>SUMIF(ConfirmedRaw!$B:$B,$A116,ConfirmedRaw!U:U)</f>
        <v>0</v>
      </c>
      <c r="S116">
        <f>SUMIF(ConfirmedRaw!$B:$B,$A116,ConfirmedRaw!V:V)</f>
        <v>0</v>
      </c>
      <c r="T116">
        <f>SUMIF(ConfirmedRaw!$B:$B,$A116,ConfirmedRaw!W:W)</f>
        <v>0</v>
      </c>
      <c r="U116">
        <f>SUMIF(ConfirmedRaw!$B:$B,$A116,ConfirmedRaw!X:X)</f>
        <v>0</v>
      </c>
      <c r="V116">
        <f>SUMIF(ConfirmedRaw!$B:$B,$A116,ConfirmedRaw!Y:Y)</f>
        <v>0</v>
      </c>
      <c r="W116">
        <f>SUMIF(ConfirmedRaw!$B:$B,$A116,ConfirmedRaw!Z:Z)</f>
        <v>0</v>
      </c>
      <c r="X116">
        <f>SUMIF(ConfirmedRaw!$B:$B,$A116,ConfirmedRaw!AA:AA)</f>
        <v>0</v>
      </c>
      <c r="Y116">
        <f>SUMIF(ConfirmedRaw!$B:$B,$A116,ConfirmedRaw!AB:AB)</f>
        <v>0</v>
      </c>
      <c r="Z116">
        <f>SUMIF(ConfirmedRaw!$B:$B,$A116,ConfirmedRaw!AC:AC)</f>
        <v>0</v>
      </c>
      <c r="AA116">
        <f>SUMIF(ConfirmedRaw!$B:$B,$A116,ConfirmedRaw!AD:AD)</f>
        <v>0</v>
      </c>
      <c r="AB116">
        <f>SUMIF(ConfirmedRaw!$B:$B,$A116,ConfirmedRaw!AE:AE)</f>
        <v>0</v>
      </c>
      <c r="AC116">
        <f>SUMIF(ConfirmedRaw!$B:$B,$A116,ConfirmedRaw!AF:AF)</f>
        <v>0</v>
      </c>
      <c r="AD116">
        <f>SUMIF(ConfirmedRaw!$B:$B,$A116,ConfirmedRaw!AG:AG)</f>
        <v>0</v>
      </c>
      <c r="AE116">
        <f>SUMIF(ConfirmedRaw!$B:$B,$A116,ConfirmedRaw!AH:AH)</f>
        <v>0</v>
      </c>
      <c r="AF116">
        <f>SUMIF(ConfirmedRaw!$B:$B,$A116,ConfirmedRaw!AI:AI)</f>
        <v>0</v>
      </c>
      <c r="AG116">
        <f>SUMIF(ConfirmedRaw!$B:$B,$A116,ConfirmedRaw!AJ:AJ)</f>
        <v>0</v>
      </c>
      <c r="AH116">
        <f>SUMIF(ConfirmedRaw!$B:$B,$A116,ConfirmedRaw!AK:AK)</f>
        <v>0</v>
      </c>
      <c r="AI116">
        <f>SUMIF(ConfirmedRaw!$B:$B,$A116,ConfirmedRaw!AL:AL)</f>
        <v>0</v>
      </c>
      <c r="AJ116">
        <f>SUMIF(ConfirmedRaw!$B:$B,$A116,ConfirmedRaw!AM:AM)</f>
        <v>0</v>
      </c>
      <c r="AK116">
        <f>SUMIF(ConfirmedRaw!$B:$B,$A116,ConfirmedRaw!AN:AN)</f>
        <v>0</v>
      </c>
      <c r="AL116">
        <f>SUMIF(ConfirmedRaw!$B:$B,$A116,ConfirmedRaw!AO:AO)</f>
        <v>0</v>
      </c>
      <c r="AM116">
        <f>SUMIF(ConfirmedRaw!$B:$B,$A116,ConfirmedRaw!AP:AP)</f>
        <v>0</v>
      </c>
      <c r="AN116">
        <f>SUMIF(ConfirmedRaw!$B:$B,$A116,ConfirmedRaw!AQ:AQ)</f>
        <v>0</v>
      </c>
      <c r="AO116">
        <f>SUMIF(ConfirmedRaw!$B:$B,$A116,ConfirmedRaw!AR:AR)</f>
        <v>0</v>
      </c>
      <c r="AP116">
        <f>SUMIF(ConfirmedRaw!$B:$B,$A116,ConfirmedRaw!AS:AS)</f>
        <v>0</v>
      </c>
      <c r="AQ116">
        <f>SUMIF(ConfirmedRaw!$B:$B,$A116,ConfirmedRaw!AT:AT)</f>
        <v>0</v>
      </c>
      <c r="AR116">
        <f>SUMIF(ConfirmedRaw!$B:$B,$A116,ConfirmedRaw!AU:AU)</f>
        <v>0</v>
      </c>
      <c r="AS116">
        <f>SUMIF(ConfirmedRaw!$B:$B,$A116,ConfirmedRaw!AV:AV)</f>
        <v>0</v>
      </c>
      <c r="AT116">
        <f>SUMIF(ConfirmedRaw!$B:$B,$A116,ConfirmedRaw!AW:AW)</f>
        <v>0</v>
      </c>
      <c r="AU116">
        <f>SUMIF(ConfirmedRaw!$B:$B,$A116,ConfirmedRaw!AX:AX)</f>
        <v>0</v>
      </c>
      <c r="AV116">
        <f>SUMIF(ConfirmedRaw!$B:$B,$A116,ConfirmedRaw!AY:AY)</f>
        <v>0</v>
      </c>
      <c r="AW116">
        <f>SUMIF(ConfirmedRaw!$B:$B,$A116,ConfirmedRaw!AZ:AZ)</f>
        <v>0</v>
      </c>
      <c r="AX116">
        <f>SUMIF(ConfirmedRaw!$B:$B,$A116,ConfirmedRaw!BA:BA)</f>
        <v>0</v>
      </c>
      <c r="AY116">
        <f>SUMIF(ConfirmedRaw!$B:$B,$A116,ConfirmedRaw!BB:BB)</f>
        <v>0</v>
      </c>
      <c r="AZ116">
        <f>SUMIF(ConfirmedRaw!$B:$B,$A116,ConfirmedRaw!BC:BC)</f>
        <v>0</v>
      </c>
      <c r="BA116">
        <f>SUMIF(ConfirmedRaw!$B:$B,$A116,ConfirmedRaw!BD:BD)</f>
        <v>0</v>
      </c>
      <c r="BB116">
        <f>SUMIF(ConfirmedRaw!$B:$B,$A116,ConfirmedRaw!BE:BE)</f>
        <v>0</v>
      </c>
      <c r="BC116">
        <f>SUMIF(ConfirmedRaw!$B:$B,$A116,ConfirmedRaw!BF:BF)</f>
        <v>0</v>
      </c>
      <c r="BD116">
        <f>SUMIF(ConfirmedRaw!$B:$B,$A116,ConfirmedRaw!BG:BG)</f>
        <v>0</v>
      </c>
      <c r="BE116">
        <f>SUMIF(ConfirmedRaw!$B:$B,$A116,ConfirmedRaw!BH:BH)</f>
        <v>0</v>
      </c>
      <c r="BF116">
        <f>SUMIF(ConfirmedRaw!$B:$B,$A116,ConfirmedRaw!BI:BI)</f>
        <v>0</v>
      </c>
      <c r="BG116">
        <f>SUMIF(ConfirmedRaw!$B:$B,$A116,ConfirmedRaw!BJ:BJ)</f>
        <v>0</v>
      </c>
      <c r="BH116">
        <f>SUMIF(ConfirmedRaw!$B:$B,$A116,ConfirmedRaw!BK:BK)</f>
        <v>0</v>
      </c>
      <c r="BI116">
        <f>SUMIF(ConfirmedRaw!$B:$B,$A116,ConfirmedRaw!BL:BL)</f>
        <v>0</v>
      </c>
      <c r="BJ116">
        <f>SUMIF(ConfirmedRaw!$B:$B,$A116,ConfirmedRaw!BM:BM)</f>
        <v>0</v>
      </c>
      <c r="BK116">
        <f>SUMIF(ConfirmedRaw!$B:$B,$A116,ConfirmedRaw!BN:BN)</f>
        <v>0</v>
      </c>
      <c r="BL116">
        <f>SUMIF(ConfirmedRaw!$B:$B,$A116,ConfirmedRaw!BO:BO)</f>
        <v>0</v>
      </c>
      <c r="BM116">
        <f>SUMIF(ConfirmedRaw!$B:$B,$A116,ConfirmedRaw!BP:BP)</f>
        <v>0</v>
      </c>
      <c r="BN116">
        <f>SUMIF(ConfirmedRaw!$B:$B,$A116,ConfirmedRaw!BQ:BQ)</f>
        <v>0</v>
      </c>
      <c r="BO116">
        <f>SUMIF(ConfirmedRaw!$B:$B,$A116,ConfirmedRaw!BR:BR)</f>
        <v>0</v>
      </c>
      <c r="BP116">
        <f>SUMIF(ConfirmedRaw!$B:$B,$A116,ConfirmedRaw!BS:BS)</f>
        <v>0</v>
      </c>
      <c r="BQ116">
        <f>SUMIF(ConfirmedRaw!$B:$B,$A116,ConfirmedRaw!BT:BT)</f>
        <v>0</v>
      </c>
      <c r="BR116">
        <f>SUMIF(ConfirmedRaw!$B:$B,$A116,ConfirmedRaw!BU:BU)</f>
        <v>0</v>
      </c>
      <c r="BS116">
        <f>SUMIF(ConfirmedRaw!$B:$B,$A116,ConfirmedRaw!BV:BV)</f>
        <v>0</v>
      </c>
      <c r="BT116">
        <f>SUMIF(ConfirmedRaw!$B:$B,$A116,ConfirmedRaw!BW:BW)</f>
        <v>0</v>
      </c>
    </row>
    <row r="117" spans="1:72" ht="15" thickBot="1" x14ac:dyDescent="0.35">
      <c r="A117" s="4" t="s">
        <v>421</v>
      </c>
      <c r="B117">
        <f>SUMIF(ConfirmedRaw!$B:$B,$A117,ConfirmedRaw!E:E)</f>
        <v>0</v>
      </c>
      <c r="C117">
        <f>SUMIF(ConfirmedRaw!$B:$B,$A117,ConfirmedRaw!F:F)</f>
        <v>0</v>
      </c>
      <c r="D117">
        <f>SUMIF(ConfirmedRaw!$B:$B,$A117,ConfirmedRaw!G:G)</f>
        <v>0</v>
      </c>
      <c r="E117">
        <f>SUMIF(ConfirmedRaw!$B:$B,$A117,ConfirmedRaw!H:H)</f>
        <v>0</v>
      </c>
      <c r="F117">
        <f>SUMIF(ConfirmedRaw!$B:$B,$A117,ConfirmedRaw!I:I)</f>
        <v>0</v>
      </c>
      <c r="G117">
        <f>SUMIF(ConfirmedRaw!$B:$B,$A117,ConfirmedRaw!J:J)</f>
        <v>0</v>
      </c>
      <c r="H117">
        <f>SUMIF(ConfirmedRaw!$B:$B,$A117,ConfirmedRaw!K:K)</f>
        <v>0</v>
      </c>
      <c r="I117">
        <f>SUMIF(ConfirmedRaw!$B:$B,$A117,ConfirmedRaw!L:L)</f>
        <v>0</v>
      </c>
      <c r="J117">
        <f>SUMIF(ConfirmedRaw!$B:$B,$A117,ConfirmedRaw!M:M)</f>
        <v>0</v>
      </c>
      <c r="K117">
        <f>SUMIF(ConfirmedRaw!$B:$B,$A117,ConfirmedRaw!N:N)</f>
        <v>0</v>
      </c>
      <c r="L117">
        <f>SUMIF(ConfirmedRaw!$B:$B,$A117,ConfirmedRaw!O:O)</f>
        <v>0</v>
      </c>
      <c r="M117">
        <f>SUMIF(ConfirmedRaw!$B:$B,$A117,ConfirmedRaw!P:P)</f>
        <v>0</v>
      </c>
      <c r="N117">
        <f>SUMIF(ConfirmedRaw!$B:$B,$A117,ConfirmedRaw!Q:Q)</f>
        <v>0</v>
      </c>
      <c r="O117">
        <f>SUMIF(ConfirmedRaw!$B:$B,$A117,ConfirmedRaw!R:R)</f>
        <v>0</v>
      </c>
      <c r="P117">
        <f>SUMIF(ConfirmedRaw!$B:$B,$A117,ConfirmedRaw!S:S)</f>
        <v>0</v>
      </c>
      <c r="Q117">
        <f>SUMIF(ConfirmedRaw!$B:$B,$A117,ConfirmedRaw!T:T)</f>
        <v>0</v>
      </c>
      <c r="R117">
        <f>SUMIF(ConfirmedRaw!$B:$B,$A117,ConfirmedRaw!U:U)</f>
        <v>0</v>
      </c>
      <c r="S117">
        <f>SUMIF(ConfirmedRaw!$B:$B,$A117,ConfirmedRaw!V:V)</f>
        <v>0</v>
      </c>
      <c r="T117">
        <f>SUMIF(ConfirmedRaw!$B:$B,$A117,ConfirmedRaw!W:W)</f>
        <v>0</v>
      </c>
      <c r="U117">
        <f>SUMIF(ConfirmedRaw!$B:$B,$A117,ConfirmedRaw!X:X)</f>
        <v>0</v>
      </c>
      <c r="V117">
        <f>SUMIF(ConfirmedRaw!$B:$B,$A117,ConfirmedRaw!Y:Y)</f>
        <v>0</v>
      </c>
      <c r="W117">
        <f>SUMIF(ConfirmedRaw!$B:$B,$A117,ConfirmedRaw!Z:Z)</f>
        <v>0</v>
      </c>
      <c r="X117">
        <f>SUMIF(ConfirmedRaw!$B:$B,$A117,ConfirmedRaw!AA:AA)</f>
        <v>0</v>
      </c>
      <c r="Y117">
        <f>SUMIF(ConfirmedRaw!$B:$B,$A117,ConfirmedRaw!AB:AB)</f>
        <v>0</v>
      </c>
      <c r="Z117">
        <f>SUMIF(ConfirmedRaw!$B:$B,$A117,ConfirmedRaw!AC:AC)</f>
        <v>0</v>
      </c>
      <c r="AA117">
        <f>SUMIF(ConfirmedRaw!$B:$B,$A117,ConfirmedRaw!AD:AD)</f>
        <v>0</v>
      </c>
      <c r="AB117">
        <f>SUMIF(ConfirmedRaw!$B:$B,$A117,ConfirmedRaw!AE:AE)</f>
        <v>0</v>
      </c>
      <c r="AC117">
        <f>SUMIF(ConfirmedRaw!$B:$B,$A117,ConfirmedRaw!AF:AF)</f>
        <v>0</v>
      </c>
      <c r="AD117">
        <f>SUMIF(ConfirmedRaw!$B:$B,$A117,ConfirmedRaw!AG:AG)</f>
        <v>0</v>
      </c>
      <c r="AE117">
        <f>SUMIF(ConfirmedRaw!$B:$B,$A117,ConfirmedRaw!AH:AH)</f>
        <v>0</v>
      </c>
      <c r="AF117">
        <f>SUMIF(ConfirmedRaw!$B:$B,$A117,ConfirmedRaw!AI:AI)</f>
        <v>0</v>
      </c>
      <c r="AG117">
        <f>SUMIF(ConfirmedRaw!$B:$B,$A117,ConfirmedRaw!AJ:AJ)</f>
        <v>0</v>
      </c>
      <c r="AH117">
        <f>SUMIF(ConfirmedRaw!$B:$B,$A117,ConfirmedRaw!AK:AK)</f>
        <v>0</v>
      </c>
      <c r="AI117">
        <f>SUMIF(ConfirmedRaw!$B:$B,$A117,ConfirmedRaw!AL:AL)</f>
        <v>0</v>
      </c>
      <c r="AJ117">
        <f>SUMIF(ConfirmedRaw!$B:$B,$A117,ConfirmedRaw!AM:AM)</f>
        <v>0</v>
      </c>
      <c r="AK117">
        <f>SUMIF(ConfirmedRaw!$B:$B,$A117,ConfirmedRaw!AN:AN)</f>
        <v>0</v>
      </c>
      <c r="AL117">
        <f>SUMIF(ConfirmedRaw!$B:$B,$A117,ConfirmedRaw!AO:AO)</f>
        <v>0</v>
      </c>
      <c r="AM117">
        <f>SUMIF(ConfirmedRaw!$B:$B,$A117,ConfirmedRaw!AP:AP)</f>
        <v>0</v>
      </c>
      <c r="AN117">
        <f>SUMIF(ConfirmedRaw!$B:$B,$A117,ConfirmedRaw!AQ:AQ)</f>
        <v>0</v>
      </c>
      <c r="AO117">
        <f>SUMIF(ConfirmedRaw!$B:$B,$A117,ConfirmedRaw!AR:AR)</f>
        <v>0</v>
      </c>
      <c r="AP117">
        <f>SUMIF(ConfirmedRaw!$B:$B,$A117,ConfirmedRaw!AS:AS)</f>
        <v>0</v>
      </c>
      <c r="AQ117">
        <f>SUMIF(ConfirmedRaw!$B:$B,$A117,ConfirmedRaw!AT:AT)</f>
        <v>0</v>
      </c>
      <c r="AR117">
        <f>SUMIF(ConfirmedRaw!$B:$B,$A117,ConfirmedRaw!AU:AU)</f>
        <v>0</v>
      </c>
      <c r="AS117">
        <f>SUMIF(ConfirmedRaw!$B:$B,$A117,ConfirmedRaw!AV:AV)</f>
        <v>0</v>
      </c>
      <c r="AT117">
        <f>SUMIF(ConfirmedRaw!$B:$B,$A117,ConfirmedRaw!AW:AW)</f>
        <v>0</v>
      </c>
      <c r="AU117">
        <f>SUMIF(ConfirmedRaw!$B:$B,$A117,ConfirmedRaw!AX:AX)</f>
        <v>0</v>
      </c>
      <c r="AV117">
        <f>SUMIF(ConfirmedRaw!$B:$B,$A117,ConfirmedRaw!AY:AY)</f>
        <v>0</v>
      </c>
      <c r="AW117">
        <f>SUMIF(ConfirmedRaw!$B:$B,$A117,ConfirmedRaw!AZ:AZ)</f>
        <v>0</v>
      </c>
      <c r="AX117">
        <f>SUMIF(ConfirmedRaw!$B:$B,$A117,ConfirmedRaw!BA:BA)</f>
        <v>0</v>
      </c>
      <c r="AY117">
        <f>SUMIF(ConfirmedRaw!$B:$B,$A117,ConfirmedRaw!BB:BB)</f>
        <v>0</v>
      </c>
      <c r="AZ117">
        <f>SUMIF(ConfirmedRaw!$B:$B,$A117,ConfirmedRaw!BC:BC)</f>
        <v>0</v>
      </c>
      <c r="BA117">
        <f>SUMIF(ConfirmedRaw!$B:$B,$A117,ConfirmedRaw!BD:BD)</f>
        <v>1</v>
      </c>
      <c r="BB117">
        <f>SUMIF(ConfirmedRaw!$B:$B,$A117,ConfirmedRaw!BE:BE)</f>
        <v>1</v>
      </c>
      <c r="BC117">
        <f>SUMIF(ConfirmedRaw!$B:$B,$A117,ConfirmedRaw!BF:BF)</f>
        <v>1</v>
      </c>
      <c r="BD117">
        <f>SUMIF(ConfirmedRaw!$B:$B,$A117,ConfirmedRaw!BG:BG)</f>
        <v>1</v>
      </c>
      <c r="BE117">
        <f>SUMIF(ConfirmedRaw!$B:$B,$A117,ConfirmedRaw!BH:BH)</f>
        <v>1</v>
      </c>
      <c r="BF117">
        <f>SUMIF(ConfirmedRaw!$B:$B,$A117,ConfirmedRaw!BI:BI)</f>
        <v>1</v>
      </c>
      <c r="BG117">
        <f>SUMIF(ConfirmedRaw!$B:$B,$A117,ConfirmedRaw!BJ:BJ)</f>
        <v>0</v>
      </c>
      <c r="BH117">
        <f>SUMIF(ConfirmedRaw!$B:$B,$A117,ConfirmedRaw!BK:BK)</f>
        <v>0</v>
      </c>
      <c r="BI117">
        <f>SUMIF(ConfirmedRaw!$B:$B,$A117,ConfirmedRaw!BL:BL)</f>
        <v>0</v>
      </c>
      <c r="BJ117">
        <f>SUMIF(ConfirmedRaw!$B:$B,$A117,ConfirmedRaw!BM:BM)</f>
        <v>0</v>
      </c>
      <c r="BK117">
        <f>SUMIF(ConfirmedRaw!$B:$B,$A117,ConfirmedRaw!BN:BN)</f>
        <v>0</v>
      </c>
      <c r="BL117">
        <f>SUMIF(ConfirmedRaw!$B:$B,$A117,ConfirmedRaw!BO:BO)</f>
        <v>0</v>
      </c>
      <c r="BM117">
        <f>SUMIF(ConfirmedRaw!$B:$B,$A117,ConfirmedRaw!BP:BP)</f>
        <v>0</v>
      </c>
      <c r="BN117">
        <f>SUMIF(ConfirmedRaw!$B:$B,$A117,ConfirmedRaw!BQ:BQ)</f>
        <v>0</v>
      </c>
      <c r="BO117">
        <f>SUMIF(ConfirmedRaw!$B:$B,$A117,ConfirmedRaw!BR:BR)</f>
        <v>0</v>
      </c>
      <c r="BP117">
        <f>SUMIF(ConfirmedRaw!$B:$B,$A117,ConfirmedRaw!BS:BS)</f>
        <v>0</v>
      </c>
      <c r="BQ117">
        <f>SUMIF(ConfirmedRaw!$B:$B,$A117,ConfirmedRaw!BT:BT)</f>
        <v>0</v>
      </c>
      <c r="BR117">
        <f>SUMIF(ConfirmedRaw!$B:$B,$A117,ConfirmedRaw!BU:BU)</f>
        <v>0</v>
      </c>
      <c r="BS117">
        <f>SUMIF(ConfirmedRaw!$B:$B,$A117,ConfirmedRaw!BV:BV)</f>
        <v>0</v>
      </c>
      <c r="BT117">
        <f>SUMIF(ConfirmedRaw!$B:$B,$A117,ConfirmedRaw!BW:BW)</f>
        <v>0</v>
      </c>
    </row>
    <row r="118" spans="1:72" ht="15" thickBot="1" x14ac:dyDescent="0.35">
      <c r="A118" s="3" t="s">
        <v>411</v>
      </c>
      <c r="B118">
        <f>SUMIF(ConfirmedRaw!$B:$B,$A118,ConfirmedRaw!E:E)</f>
        <v>0</v>
      </c>
      <c r="C118">
        <f>SUMIF(ConfirmedRaw!$B:$B,$A118,ConfirmedRaw!F:F)</f>
        <v>0</v>
      </c>
      <c r="D118">
        <f>SUMIF(ConfirmedRaw!$B:$B,$A118,ConfirmedRaw!G:G)</f>
        <v>0</v>
      </c>
      <c r="E118">
        <f>SUMIF(ConfirmedRaw!$B:$B,$A118,ConfirmedRaw!H:H)</f>
        <v>0</v>
      </c>
      <c r="F118">
        <f>SUMIF(ConfirmedRaw!$B:$B,$A118,ConfirmedRaw!I:I)</f>
        <v>0</v>
      </c>
      <c r="G118">
        <f>SUMIF(ConfirmedRaw!$B:$B,$A118,ConfirmedRaw!J:J)</f>
        <v>0</v>
      </c>
      <c r="H118">
        <f>SUMIF(ConfirmedRaw!$B:$B,$A118,ConfirmedRaw!K:K)</f>
        <v>0</v>
      </c>
      <c r="I118">
        <f>SUMIF(ConfirmedRaw!$B:$B,$A118,ConfirmedRaw!L:L)</f>
        <v>0</v>
      </c>
      <c r="J118">
        <f>SUMIF(ConfirmedRaw!$B:$B,$A118,ConfirmedRaw!M:M)</f>
        <v>0</v>
      </c>
      <c r="K118">
        <f>SUMIF(ConfirmedRaw!$B:$B,$A118,ConfirmedRaw!N:N)</f>
        <v>0</v>
      </c>
      <c r="L118">
        <f>SUMIF(ConfirmedRaw!$B:$B,$A118,ConfirmedRaw!O:O)</f>
        <v>0</v>
      </c>
      <c r="M118">
        <f>SUMIF(ConfirmedRaw!$B:$B,$A118,ConfirmedRaw!P:P)</f>
        <v>0</v>
      </c>
      <c r="N118">
        <f>SUMIF(ConfirmedRaw!$B:$B,$A118,ConfirmedRaw!Q:Q)</f>
        <v>0</v>
      </c>
      <c r="O118">
        <f>SUMIF(ConfirmedRaw!$B:$B,$A118,ConfirmedRaw!R:R)</f>
        <v>0</v>
      </c>
      <c r="P118">
        <f>SUMIF(ConfirmedRaw!$B:$B,$A118,ConfirmedRaw!S:S)</f>
        <v>0</v>
      </c>
      <c r="Q118">
        <f>SUMIF(ConfirmedRaw!$B:$B,$A118,ConfirmedRaw!T:T)</f>
        <v>0</v>
      </c>
      <c r="R118">
        <f>SUMIF(ConfirmedRaw!$B:$B,$A118,ConfirmedRaw!U:U)</f>
        <v>0</v>
      </c>
      <c r="S118">
        <f>SUMIF(ConfirmedRaw!$B:$B,$A118,ConfirmedRaw!V:V)</f>
        <v>0</v>
      </c>
      <c r="T118">
        <f>SUMIF(ConfirmedRaw!$B:$B,$A118,ConfirmedRaw!W:W)</f>
        <v>0</v>
      </c>
      <c r="U118">
        <f>SUMIF(ConfirmedRaw!$B:$B,$A118,ConfirmedRaw!X:X)</f>
        <v>0</v>
      </c>
      <c r="V118">
        <f>SUMIF(ConfirmedRaw!$B:$B,$A118,ConfirmedRaw!Y:Y)</f>
        <v>0</v>
      </c>
      <c r="W118">
        <f>SUMIF(ConfirmedRaw!$B:$B,$A118,ConfirmedRaw!Z:Z)</f>
        <v>0</v>
      </c>
      <c r="X118">
        <f>SUMIF(ConfirmedRaw!$B:$B,$A118,ConfirmedRaw!AA:AA)</f>
        <v>0</v>
      </c>
      <c r="Y118">
        <f>SUMIF(ConfirmedRaw!$B:$B,$A118,ConfirmedRaw!AB:AB)</f>
        <v>0</v>
      </c>
      <c r="Z118">
        <f>SUMIF(ConfirmedRaw!$B:$B,$A118,ConfirmedRaw!AC:AC)</f>
        <v>0</v>
      </c>
      <c r="AA118">
        <f>SUMIF(ConfirmedRaw!$B:$B,$A118,ConfirmedRaw!AD:AD)</f>
        <v>0</v>
      </c>
      <c r="AB118">
        <f>SUMIF(ConfirmedRaw!$B:$B,$A118,ConfirmedRaw!AE:AE)</f>
        <v>0</v>
      </c>
      <c r="AC118">
        <f>SUMIF(ConfirmedRaw!$B:$B,$A118,ConfirmedRaw!AF:AF)</f>
        <v>0</v>
      </c>
      <c r="AD118">
        <f>SUMIF(ConfirmedRaw!$B:$B,$A118,ConfirmedRaw!AG:AG)</f>
        <v>0</v>
      </c>
      <c r="AE118">
        <f>SUMIF(ConfirmedRaw!$B:$B,$A118,ConfirmedRaw!AH:AH)</f>
        <v>0</v>
      </c>
      <c r="AF118">
        <f>SUMIF(ConfirmedRaw!$B:$B,$A118,ConfirmedRaw!AI:AI)</f>
        <v>0</v>
      </c>
      <c r="AG118">
        <f>SUMIF(ConfirmedRaw!$B:$B,$A118,ConfirmedRaw!AJ:AJ)</f>
        <v>0</v>
      </c>
      <c r="AH118">
        <f>SUMIF(ConfirmedRaw!$B:$B,$A118,ConfirmedRaw!AK:AK)</f>
        <v>0</v>
      </c>
      <c r="AI118">
        <f>SUMIF(ConfirmedRaw!$B:$B,$A118,ConfirmedRaw!AL:AL)</f>
        <v>0</v>
      </c>
      <c r="AJ118">
        <f>SUMIF(ConfirmedRaw!$B:$B,$A118,ConfirmedRaw!AM:AM)</f>
        <v>0</v>
      </c>
      <c r="AK118">
        <f>SUMIF(ConfirmedRaw!$B:$B,$A118,ConfirmedRaw!AN:AN)</f>
        <v>0</v>
      </c>
      <c r="AL118">
        <f>SUMIF(ConfirmedRaw!$B:$B,$A118,ConfirmedRaw!AO:AO)</f>
        <v>0</v>
      </c>
      <c r="AM118">
        <f>SUMIF(ConfirmedRaw!$B:$B,$A118,ConfirmedRaw!AP:AP)</f>
        <v>0</v>
      </c>
      <c r="AN118">
        <f>SUMIF(ConfirmedRaw!$B:$B,$A118,ConfirmedRaw!AQ:AQ)</f>
        <v>0</v>
      </c>
      <c r="AO118">
        <f>SUMIF(ConfirmedRaw!$B:$B,$A118,ConfirmedRaw!AR:AR)</f>
        <v>0</v>
      </c>
      <c r="AP118">
        <f>SUMIF(ConfirmedRaw!$B:$B,$A118,ConfirmedRaw!AS:AS)</f>
        <v>0</v>
      </c>
      <c r="AQ118">
        <f>SUMIF(ConfirmedRaw!$B:$B,$A118,ConfirmedRaw!AT:AT)</f>
        <v>0</v>
      </c>
      <c r="AR118">
        <f>SUMIF(ConfirmedRaw!$B:$B,$A118,ConfirmedRaw!AU:AU)</f>
        <v>0</v>
      </c>
      <c r="AS118">
        <f>SUMIF(ConfirmedRaw!$B:$B,$A118,ConfirmedRaw!AV:AV)</f>
        <v>0</v>
      </c>
      <c r="AT118">
        <f>SUMIF(ConfirmedRaw!$B:$B,$A118,ConfirmedRaw!AW:AW)</f>
        <v>0</v>
      </c>
      <c r="AU118">
        <f>SUMIF(ConfirmedRaw!$B:$B,$A118,ConfirmedRaw!AX:AX)</f>
        <v>0</v>
      </c>
      <c r="AV118">
        <f>SUMIF(ConfirmedRaw!$B:$B,$A118,ConfirmedRaw!AY:AY)</f>
        <v>0</v>
      </c>
      <c r="AW118">
        <f>SUMIF(ConfirmedRaw!$B:$B,$A118,ConfirmedRaw!AZ:AZ)</f>
        <v>0</v>
      </c>
      <c r="AX118">
        <f>SUMIF(ConfirmedRaw!$B:$B,$A118,ConfirmedRaw!BA:BA)</f>
        <v>0</v>
      </c>
      <c r="AY118">
        <f>SUMIF(ConfirmedRaw!$B:$B,$A118,ConfirmedRaw!BB:BB)</f>
        <v>0</v>
      </c>
      <c r="AZ118">
        <f>SUMIF(ConfirmedRaw!$B:$B,$A118,ConfirmedRaw!BC:BC)</f>
        <v>1</v>
      </c>
      <c r="BA118">
        <f>SUMIF(ConfirmedRaw!$B:$B,$A118,ConfirmedRaw!BD:BD)</f>
        <v>1</v>
      </c>
      <c r="BB118">
        <f>SUMIF(ConfirmedRaw!$B:$B,$A118,ConfirmedRaw!BE:BE)</f>
        <v>1</v>
      </c>
      <c r="BC118">
        <f>SUMIF(ConfirmedRaw!$B:$B,$A118,ConfirmedRaw!BF:BF)</f>
        <v>4</v>
      </c>
      <c r="BD118">
        <f>SUMIF(ConfirmedRaw!$B:$B,$A118,ConfirmedRaw!BG:BG)</f>
        <v>4</v>
      </c>
      <c r="BE118">
        <f>SUMIF(ConfirmedRaw!$B:$B,$A118,ConfirmedRaw!BH:BH)</f>
        <v>7</v>
      </c>
      <c r="BF118">
        <f>SUMIF(ConfirmedRaw!$B:$B,$A118,ConfirmedRaw!BI:BI)</f>
        <v>7</v>
      </c>
      <c r="BG118">
        <f>SUMIF(ConfirmedRaw!$B:$B,$A118,ConfirmedRaw!BJ:BJ)</f>
        <v>0</v>
      </c>
      <c r="BH118">
        <f>SUMIF(ConfirmedRaw!$B:$B,$A118,ConfirmedRaw!BK:BK)</f>
        <v>0</v>
      </c>
      <c r="BI118">
        <f>SUMIF(ConfirmedRaw!$B:$B,$A118,ConfirmedRaw!BL:BL)</f>
        <v>0</v>
      </c>
      <c r="BJ118">
        <f>SUMIF(ConfirmedRaw!$B:$B,$A118,ConfirmedRaw!BM:BM)</f>
        <v>0</v>
      </c>
      <c r="BK118">
        <f>SUMIF(ConfirmedRaw!$B:$B,$A118,ConfirmedRaw!BN:BN)</f>
        <v>0</v>
      </c>
      <c r="BL118">
        <f>SUMIF(ConfirmedRaw!$B:$B,$A118,ConfirmedRaw!BO:BO)</f>
        <v>0</v>
      </c>
      <c r="BM118">
        <f>SUMIF(ConfirmedRaw!$B:$B,$A118,ConfirmedRaw!BP:BP)</f>
        <v>0</v>
      </c>
      <c r="BN118">
        <f>SUMIF(ConfirmedRaw!$B:$B,$A118,ConfirmedRaw!BQ:BQ)</f>
        <v>0</v>
      </c>
      <c r="BO118">
        <f>SUMIF(ConfirmedRaw!$B:$B,$A118,ConfirmedRaw!BR:BR)</f>
        <v>0</v>
      </c>
      <c r="BP118">
        <f>SUMIF(ConfirmedRaw!$B:$B,$A118,ConfirmedRaw!BS:BS)</f>
        <v>0</v>
      </c>
      <c r="BQ118">
        <f>SUMIF(ConfirmedRaw!$B:$B,$A118,ConfirmedRaw!BT:BT)</f>
        <v>0</v>
      </c>
      <c r="BR118">
        <f>SUMIF(ConfirmedRaw!$B:$B,$A118,ConfirmedRaw!BU:BU)</f>
        <v>0</v>
      </c>
      <c r="BS118">
        <f>SUMIF(ConfirmedRaw!$B:$B,$A118,ConfirmedRaw!BV:BV)</f>
        <v>0</v>
      </c>
      <c r="BT118">
        <f>SUMIF(ConfirmedRaw!$B:$B,$A118,ConfirmedRaw!BW:BW)</f>
        <v>0</v>
      </c>
    </row>
    <row r="119" spans="1:72" ht="15" thickBot="1" x14ac:dyDescent="0.35">
      <c r="A119" s="3" t="s">
        <v>281</v>
      </c>
      <c r="B119">
        <f>SUMIF(ConfirmedRaw!$B:$B,$A119,ConfirmedRaw!E:E)</f>
        <v>0</v>
      </c>
      <c r="C119">
        <f>SUMIF(ConfirmedRaw!$B:$B,$A119,ConfirmedRaw!F:F)</f>
        <v>0</v>
      </c>
      <c r="D119">
        <f>SUMIF(ConfirmedRaw!$B:$B,$A119,ConfirmedRaw!G:G)</f>
        <v>0</v>
      </c>
      <c r="E119">
        <f>SUMIF(ConfirmedRaw!$B:$B,$A119,ConfirmedRaw!H:H)</f>
        <v>0</v>
      </c>
      <c r="F119">
        <f>SUMIF(ConfirmedRaw!$B:$B,$A119,ConfirmedRaw!I:I)</f>
        <v>0</v>
      </c>
      <c r="G119">
        <f>SUMIF(ConfirmedRaw!$B:$B,$A119,ConfirmedRaw!J:J)</f>
        <v>0</v>
      </c>
      <c r="H119">
        <f>SUMIF(ConfirmedRaw!$B:$B,$A119,ConfirmedRaw!K:K)</f>
        <v>0</v>
      </c>
      <c r="I119">
        <f>SUMIF(ConfirmedRaw!$B:$B,$A119,ConfirmedRaw!L:L)</f>
        <v>0</v>
      </c>
      <c r="J119">
        <f>SUMIF(ConfirmedRaw!$B:$B,$A119,ConfirmedRaw!M:M)</f>
        <v>0</v>
      </c>
      <c r="K119">
        <f>SUMIF(ConfirmedRaw!$B:$B,$A119,ConfirmedRaw!N:N)</f>
        <v>0</v>
      </c>
      <c r="L119">
        <f>SUMIF(ConfirmedRaw!$B:$B,$A119,ConfirmedRaw!O:O)</f>
        <v>0</v>
      </c>
      <c r="M119">
        <f>SUMIF(ConfirmedRaw!$B:$B,$A119,ConfirmedRaw!P:P)</f>
        <v>0</v>
      </c>
      <c r="N119">
        <f>SUMIF(ConfirmedRaw!$B:$B,$A119,ConfirmedRaw!Q:Q)</f>
        <v>0</v>
      </c>
      <c r="O119">
        <f>SUMIF(ConfirmedRaw!$B:$B,$A119,ConfirmedRaw!R:R)</f>
        <v>0</v>
      </c>
      <c r="P119">
        <f>SUMIF(ConfirmedRaw!$B:$B,$A119,ConfirmedRaw!S:S)</f>
        <v>0</v>
      </c>
      <c r="Q119">
        <f>SUMIF(ConfirmedRaw!$B:$B,$A119,ConfirmedRaw!T:T)</f>
        <v>0</v>
      </c>
      <c r="R119">
        <f>SUMIF(ConfirmedRaw!$B:$B,$A119,ConfirmedRaw!U:U)</f>
        <v>0</v>
      </c>
      <c r="S119">
        <f>SUMIF(ConfirmedRaw!$B:$B,$A119,ConfirmedRaw!V:V)</f>
        <v>0</v>
      </c>
      <c r="T119">
        <f>SUMIF(ConfirmedRaw!$B:$B,$A119,ConfirmedRaw!W:W)</f>
        <v>0</v>
      </c>
      <c r="U119">
        <f>SUMIF(ConfirmedRaw!$B:$B,$A119,ConfirmedRaw!X:X)</f>
        <v>0</v>
      </c>
      <c r="V119">
        <f>SUMIF(ConfirmedRaw!$B:$B,$A119,ConfirmedRaw!Y:Y)</f>
        <v>0</v>
      </c>
      <c r="W119">
        <f>SUMIF(ConfirmedRaw!$B:$B,$A119,ConfirmedRaw!Z:Z)</f>
        <v>0</v>
      </c>
      <c r="X119">
        <f>SUMIF(ConfirmedRaw!$B:$B,$A119,ConfirmedRaw!AA:AA)</f>
        <v>0</v>
      </c>
      <c r="Y119">
        <f>SUMIF(ConfirmedRaw!$B:$B,$A119,ConfirmedRaw!AB:AB)</f>
        <v>0</v>
      </c>
      <c r="Z119">
        <f>SUMIF(ConfirmedRaw!$B:$B,$A119,ConfirmedRaw!AC:AC)</f>
        <v>0</v>
      </c>
      <c r="AA119">
        <f>SUMIF(ConfirmedRaw!$B:$B,$A119,ConfirmedRaw!AD:AD)</f>
        <v>0</v>
      </c>
      <c r="AB119">
        <f>SUMIF(ConfirmedRaw!$B:$B,$A119,ConfirmedRaw!AE:AE)</f>
        <v>0</v>
      </c>
      <c r="AC119">
        <f>SUMIF(ConfirmedRaw!$B:$B,$A119,ConfirmedRaw!AF:AF)</f>
        <v>0</v>
      </c>
      <c r="AD119">
        <f>SUMIF(ConfirmedRaw!$B:$B,$A119,ConfirmedRaw!AG:AG)</f>
        <v>0</v>
      </c>
      <c r="AE119">
        <f>SUMIF(ConfirmedRaw!$B:$B,$A119,ConfirmedRaw!AH:AH)</f>
        <v>0</v>
      </c>
      <c r="AF119">
        <f>SUMIF(ConfirmedRaw!$B:$B,$A119,ConfirmedRaw!AI:AI)</f>
        <v>0</v>
      </c>
      <c r="AG119">
        <f>SUMIF(ConfirmedRaw!$B:$B,$A119,ConfirmedRaw!AJ:AJ)</f>
        <v>0</v>
      </c>
      <c r="AH119">
        <f>SUMIF(ConfirmedRaw!$B:$B,$A119,ConfirmedRaw!AK:AK)</f>
        <v>0</v>
      </c>
      <c r="AI119">
        <f>SUMIF(ConfirmedRaw!$B:$B,$A119,ConfirmedRaw!AL:AL)</f>
        <v>0</v>
      </c>
      <c r="AJ119">
        <f>SUMIF(ConfirmedRaw!$B:$B,$A119,ConfirmedRaw!AM:AM)</f>
        <v>0</v>
      </c>
      <c r="AK119">
        <f>SUMIF(ConfirmedRaw!$B:$B,$A119,ConfirmedRaw!AN:AN)</f>
        <v>0</v>
      </c>
      <c r="AL119">
        <f>SUMIF(ConfirmedRaw!$B:$B,$A119,ConfirmedRaw!AO:AO)</f>
        <v>0</v>
      </c>
      <c r="AM119">
        <f>SUMIF(ConfirmedRaw!$B:$B,$A119,ConfirmedRaw!AP:AP)</f>
        <v>0</v>
      </c>
      <c r="AN119">
        <f>SUMIF(ConfirmedRaw!$B:$B,$A119,ConfirmedRaw!AQ:AQ)</f>
        <v>0</v>
      </c>
      <c r="AO119">
        <f>SUMIF(ConfirmedRaw!$B:$B,$A119,ConfirmedRaw!AR:AR)</f>
        <v>0</v>
      </c>
      <c r="AP119">
        <f>SUMIF(ConfirmedRaw!$B:$B,$A119,ConfirmedRaw!AS:AS)</f>
        <v>0</v>
      </c>
      <c r="AQ119">
        <f>SUMIF(ConfirmedRaw!$B:$B,$A119,ConfirmedRaw!AT:AT)</f>
        <v>0</v>
      </c>
      <c r="AR119">
        <f>SUMIF(ConfirmedRaw!$B:$B,$A119,ConfirmedRaw!AU:AU)</f>
        <v>0</v>
      </c>
      <c r="AS119">
        <f>SUMIF(ConfirmedRaw!$B:$B,$A119,ConfirmedRaw!AV:AV)</f>
        <v>0</v>
      </c>
      <c r="AT119">
        <f>SUMIF(ConfirmedRaw!$B:$B,$A119,ConfirmedRaw!AW:AW)</f>
        <v>1</v>
      </c>
      <c r="AU119">
        <f>SUMIF(ConfirmedRaw!$B:$B,$A119,ConfirmedRaw!AX:AX)</f>
        <v>1</v>
      </c>
      <c r="AV119">
        <f>SUMIF(ConfirmedRaw!$B:$B,$A119,ConfirmedRaw!AY:AY)</f>
        <v>1</v>
      </c>
      <c r="AW119">
        <f>SUMIF(ConfirmedRaw!$B:$B,$A119,ConfirmedRaw!AZ:AZ)</f>
        <v>1</v>
      </c>
      <c r="AX119">
        <f>SUMIF(ConfirmedRaw!$B:$B,$A119,ConfirmedRaw!BA:BA)</f>
        <v>1</v>
      </c>
      <c r="AY119">
        <f>SUMIF(ConfirmedRaw!$B:$B,$A119,ConfirmedRaw!BB:BB)</f>
        <v>1</v>
      </c>
      <c r="AZ119">
        <f>SUMIF(ConfirmedRaw!$B:$B,$A119,ConfirmedRaw!BC:BC)</f>
        <v>1</v>
      </c>
      <c r="BA119">
        <f>SUMIF(ConfirmedRaw!$B:$B,$A119,ConfirmedRaw!BD:BD)</f>
        <v>1</v>
      </c>
      <c r="BB119">
        <f>SUMIF(ConfirmedRaw!$B:$B,$A119,ConfirmedRaw!BE:BE)</f>
        <v>1</v>
      </c>
      <c r="BC119">
        <f>SUMIF(ConfirmedRaw!$B:$B,$A119,ConfirmedRaw!BF:BF)</f>
        <v>1</v>
      </c>
      <c r="BD119">
        <f>SUMIF(ConfirmedRaw!$B:$B,$A119,ConfirmedRaw!BG:BG)</f>
        <v>1</v>
      </c>
      <c r="BE119">
        <f>SUMIF(ConfirmedRaw!$B:$B,$A119,ConfirmedRaw!BH:BH)</f>
        <v>1</v>
      </c>
      <c r="BF119">
        <f>SUMIF(ConfirmedRaw!$B:$B,$A119,ConfirmedRaw!BI:BI)</f>
        <v>1</v>
      </c>
      <c r="BG119">
        <f>SUMIF(ConfirmedRaw!$B:$B,$A119,ConfirmedRaw!BJ:BJ)</f>
        <v>0</v>
      </c>
      <c r="BH119">
        <f>SUMIF(ConfirmedRaw!$B:$B,$A119,ConfirmedRaw!BK:BK)</f>
        <v>0</v>
      </c>
      <c r="BI119">
        <f>SUMIF(ConfirmedRaw!$B:$B,$A119,ConfirmedRaw!BL:BL)</f>
        <v>0</v>
      </c>
      <c r="BJ119">
        <f>SUMIF(ConfirmedRaw!$B:$B,$A119,ConfirmedRaw!BM:BM)</f>
        <v>0</v>
      </c>
      <c r="BK119">
        <f>SUMIF(ConfirmedRaw!$B:$B,$A119,ConfirmedRaw!BN:BN)</f>
        <v>0</v>
      </c>
      <c r="BL119">
        <f>SUMIF(ConfirmedRaw!$B:$B,$A119,ConfirmedRaw!BO:BO)</f>
        <v>0</v>
      </c>
      <c r="BM119">
        <f>SUMIF(ConfirmedRaw!$B:$B,$A119,ConfirmedRaw!BP:BP)</f>
        <v>0</v>
      </c>
      <c r="BN119">
        <f>SUMIF(ConfirmedRaw!$B:$B,$A119,ConfirmedRaw!BQ:BQ)</f>
        <v>0</v>
      </c>
      <c r="BO119">
        <f>SUMIF(ConfirmedRaw!$B:$B,$A119,ConfirmedRaw!BR:BR)</f>
        <v>0</v>
      </c>
      <c r="BP119">
        <f>SUMIF(ConfirmedRaw!$B:$B,$A119,ConfirmedRaw!BS:BS)</f>
        <v>0</v>
      </c>
      <c r="BQ119">
        <f>SUMIF(ConfirmedRaw!$B:$B,$A119,ConfirmedRaw!BT:BT)</f>
        <v>0</v>
      </c>
      <c r="BR119">
        <f>SUMIF(ConfirmedRaw!$B:$B,$A119,ConfirmedRaw!BU:BU)</f>
        <v>0</v>
      </c>
      <c r="BS119">
        <f>SUMIF(ConfirmedRaw!$B:$B,$A119,ConfirmedRaw!BV:BV)</f>
        <v>0</v>
      </c>
      <c r="BT119">
        <f>SUMIF(ConfirmedRaw!$B:$B,$A119,ConfirmedRaw!BW:BW)</f>
        <v>0</v>
      </c>
    </row>
    <row r="120" spans="1:72" ht="15" thickBot="1" x14ac:dyDescent="0.35">
      <c r="A120" s="4" t="s">
        <v>125</v>
      </c>
      <c r="B120">
        <f>SUMIF(ConfirmedRaw!$B:$B,$A120,ConfirmedRaw!E:E)</f>
        <v>0</v>
      </c>
      <c r="C120">
        <f>SUMIF(ConfirmedRaw!$B:$B,$A120,ConfirmedRaw!F:F)</f>
        <v>0</v>
      </c>
      <c r="D120">
        <f>SUMIF(ConfirmedRaw!$B:$B,$A120,ConfirmedRaw!G:G)</f>
        <v>0</v>
      </c>
      <c r="E120">
        <f>SUMIF(ConfirmedRaw!$B:$B,$A120,ConfirmedRaw!H:H)</f>
        <v>0</v>
      </c>
      <c r="F120">
        <f>SUMIF(ConfirmedRaw!$B:$B,$A120,ConfirmedRaw!I:I)</f>
        <v>0</v>
      </c>
      <c r="G120">
        <f>SUMIF(ConfirmedRaw!$B:$B,$A120,ConfirmedRaw!J:J)</f>
        <v>0</v>
      </c>
      <c r="H120">
        <f>SUMIF(ConfirmedRaw!$B:$B,$A120,ConfirmedRaw!K:K)</f>
        <v>0</v>
      </c>
      <c r="I120">
        <f>SUMIF(ConfirmedRaw!$B:$B,$A120,ConfirmedRaw!L:L)</f>
        <v>0</v>
      </c>
      <c r="J120">
        <f>SUMIF(ConfirmedRaw!$B:$B,$A120,ConfirmedRaw!M:M)</f>
        <v>0</v>
      </c>
      <c r="K120">
        <f>SUMIF(ConfirmedRaw!$B:$B,$A120,ConfirmedRaw!N:N)</f>
        <v>0</v>
      </c>
      <c r="L120">
        <f>SUMIF(ConfirmedRaw!$B:$B,$A120,ConfirmedRaw!O:O)</f>
        <v>0</v>
      </c>
      <c r="M120">
        <f>SUMIF(ConfirmedRaw!$B:$B,$A120,ConfirmedRaw!P:P)</f>
        <v>0</v>
      </c>
      <c r="N120">
        <f>SUMIF(ConfirmedRaw!$B:$B,$A120,ConfirmedRaw!Q:Q)</f>
        <v>0</v>
      </c>
      <c r="O120">
        <f>SUMIF(ConfirmedRaw!$B:$B,$A120,ConfirmedRaw!R:R)</f>
        <v>0</v>
      </c>
      <c r="P120">
        <f>SUMIF(ConfirmedRaw!$B:$B,$A120,ConfirmedRaw!S:S)</f>
        <v>0</v>
      </c>
      <c r="Q120">
        <f>SUMIF(ConfirmedRaw!$B:$B,$A120,ConfirmedRaw!T:T)</f>
        <v>0</v>
      </c>
      <c r="R120">
        <f>SUMIF(ConfirmedRaw!$B:$B,$A120,ConfirmedRaw!U:U)</f>
        <v>0</v>
      </c>
      <c r="S120">
        <f>SUMIF(ConfirmedRaw!$B:$B,$A120,ConfirmedRaw!V:V)</f>
        <v>0</v>
      </c>
      <c r="T120">
        <f>SUMIF(ConfirmedRaw!$B:$B,$A120,ConfirmedRaw!W:W)</f>
        <v>0</v>
      </c>
      <c r="U120">
        <f>SUMIF(ConfirmedRaw!$B:$B,$A120,ConfirmedRaw!X:X)</f>
        <v>0</v>
      </c>
      <c r="V120">
        <f>SUMIF(ConfirmedRaw!$B:$B,$A120,ConfirmedRaw!Y:Y)</f>
        <v>0</v>
      </c>
      <c r="W120">
        <f>SUMIF(ConfirmedRaw!$B:$B,$A120,ConfirmedRaw!Z:Z)</f>
        <v>0</v>
      </c>
      <c r="X120">
        <f>SUMIF(ConfirmedRaw!$B:$B,$A120,ConfirmedRaw!AA:AA)</f>
        <v>0</v>
      </c>
      <c r="Y120">
        <f>SUMIF(ConfirmedRaw!$B:$B,$A120,ConfirmedRaw!AB:AB)</f>
        <v>0</v>
      </c>
      <c r="Z120">
        <f>SUMIF(ConfirmedRaw!$B:$B,$A120,ConfirmedRaw!AC:AC)</f>
        <v>0</v>
      </c>
      <c r="AA120">
        <f>SUMIF(ConfirmedRaw!$B:$B,$A120,ConfirmedRaw!AD:AD)</f>
        <v>0</v>
      </c>
      <c r="AB120">
        <f>SUMIF(ConfirmedRaw!$B:$B,$A120,ConfirmedRaw!AE:AE)</f>
        <v>0</v>
      </c>
      <c r="AC120">
        <f>SUMIF(ConfirmedRaw!$B:$B,$A120,ConfirmedRaw!AF:AF)</f>
        <v>0</v>
      </c>
      <c r="AD120">
        <f>SUMIF(ConfirmedRaw!$B:$B,$A120,ConfirmedRaw!AG:AG)</f>
        <v>0</v>
      </c>
      <c r="AE120">
        <f>SUMIF(ConfirmedRaw!$B:$B,$A120,ConfirmedRaw!AH:AH)</f>
        <v>0</v>
      </c>
      <c r="AF120">
        <f>SUMIF(ConfirmedRaw!$B:$B,$A120,ConfirmedRaw!AI:AI)</f>
        <v>0</v>
      </c>
      <c r="AG120">
        <f>SUMIF(ConfirmedRaw!$B:$B,$A120,ConfirmedRaw!AJ:AJ)</f>
        <v>0</v>
      </c>
      <c r="AH120">
        <f>SUMIF(ConfirmedRaw!$B:$B,$A120,ConfirmedRaw!AK:AK)</f>
        <v>0</v>
      </c>
      <c r="AI120">
        <f>SUMIF(ConfirmedRaw!$B:$B,$A120,ConfirmedRaw!AL:AL)</f>
        <v>0</v>
      </c>
      <c r="AJ120">
        <f>SUMIF(ConfirmedRaw!$B:$B,$A120,ConfirmedRaw!AM:AM)</f>
        <v>0</v>
      </c>
      <c r="AK120">
        <f>SUMIF(ConfirmedRaw!$B:$B,$A120,ConfirmedRaw!AN:AN)</f>
        <v>0</v>
      </c>
      <c r="AL120">
        <f>SUMIF(ConfirmedRaw!$B:$B,$A120,ConfirmedRaw!AO:AO)</f>
        <v>0</v>
      </c>
      <c r="AM120">
        <f>SUMIF(ConfirmedRaw!$B:$B,$A120,ConfirmedRaw!AP:AP)</f>
        <v>0</v>
      </c>
      <c r="AN120">
        <f>SUMIF(ConfirmedRaw!$B:$B,$A120,ConfirmedRaw!AQ:AQ)</f>
        <v>0</v>
      </c>
      <c r="AO120">
        <f>SUMIF(ConfirmedRaw!$B:$B,$A120,ConfirmedRaw!AR:AR)</f>
        <v>0</v>
      </c>
      <c r="AP120">
        <f>SUMIF(ConfirmedRaw!$B:$B,$A120,ConfirmedRaw!AS:AS)</f>
        <v>0</v>
      </c>
      <c r="AQ120">
        <f>SUMIF(ConfirmedRaw!$B:$B,$A120,ConfirmedRaw!AT:AT)</f>
        <v>1</v>
      </c>
      <c r="AR120">
        <f>SUMIF(ConfirmedRaw!$B:$B,$A120,ConfirmedRaw!AU:AU)</f>
        <v>1</v>
      </c>
      <c r="AS120">
        <f>SUMIF(ConfirmedRaw!$B:$B,$A120,ConfirmedRaw!AV:AV)</f>
        <v>1</v>
      </c>
      <c r="AT120">
        <f>SUMIF(ConfirmedRaw!$B:$B,$A120,ConfirmedRaw!AW:AW)</f>
        <v>1</v>
      </c>
      <c r="AU120">
        <f>SUMIF(ConfirmedRaw!$B:$B,$A120,ConfirmedRaw!AX:AX)</f>
        <v>1</v>
      </c>
      <c r="AV120">
        <f>SUMIF(ConfirmedRaw!$B:$B,$A120,ConfirmedRaw!AY:AY)</f>
        <v>1</v>
      </c>
      <c r="AW120">
        <f>SUMIF(ConfirmedRaw!$B:$B,$A120,ConfirmedRaw!AZ:AZ)</f>
        <v>1</v>
      </c>
      <c r="AX120">
        <f>SUMIF(ConfirmedRaw!$B:$B,$A120,ConfirmedRaw!BA:BA)</f>
        <v>1</v>
      </c>
      <c r="AY120">
        <f>SUMIF(ConfirmedRaw!$B:$B,$A120,ConfirmedRaw!BB:BB)</f>
        <v>1</v>
      </c>
      <c r="AZ120">
        <f>SUMIF(ConfirmedRaw!$B:$B,$A120,ConfirmedRaw!BC:BC)</f>
        <v>1</v>
      </c>
      <c r="BA120">
        <f>SUMIF(ConfirmedRaw!$B:$B,$A120,ConfirmedRaw!BD:BD)</f>
        <v>1</v>
      </c>
      <c r="BB120">
        <f>SUMIF(ConfirmedRaw!$B:$B,$A120,ConfirmedRaw!BE:BE)</f>
        <v>1</v>
      </c>
      <c r="BC120">
        <f>SUMIF(ConfirmedRaw!$B:$B,$A120,ConfirmedRaw!BF:BF)</f>
        <v>8</v>
      </c>
      <c r="BD120">
        <f>SUMIF(ConfirmedRaw!$B:$B,$A120,ConfirmedRaw!BG:BG)</f>
        <v>17</v>
      </c>
      <c r="BE120">
        <f>SUMIF(ConfirmedRaw!$B:$B,$A120,ConfirmedRaw!BH:BH)</f>
        <v>34</v>
      </c>
      <c r="BF120">
        <f>SUMIF(ConfirmedRaw!$B:$B,$A120,ConfirmedRaw!BI:BI)</f>
        <v>52</v>
      </c>
      <c r="BG120">
        <f>SUMIF(ConfirmedRaw!$B:$B,$A120,ConfirmedRaw!BJ:BJ)</f>
        <v>0</v>
      </c>
      <c r="BH120">
        <f>SUMIF(ConfirmedRaw!$B:$B,$A120,ConfirmedRaw!BK:BK)</f>
        <v>0</v>
      </c>
      <c r="BI120">
        <f>SUMIF(ConfirmedRaw!$B:$B,$A120,ConfirmedRaw!BL:BL)</f>
        <v>0</v>
      </c>
      <c r="BJ120">
        <f>SUMIF(ConfirmedRaw!$B:$B,$A120,ConfirmedRaw!BM:BM)</f>
        <v>0</v>
      </c>
      <c r="BK120">
        <f>SUMIF(ConfirmedRaw!$B:$B,$A120,ConfirmedRaw!BN:BN)</f>
        <v>0</v>
      </c>
      <c r="BL120">
        <f>SUMIF(ConfirmedRaw!$B:$B,$A120,ConfirmedRaw!BO:BO)</f>
        <v>0</v>
      </c>
      <c r="BM120">
        <f>SUMIF(ConfirmedRaw!$B:$B,$A120,ConfirmedRaw!BP:BP)</f>
        <v>0</v>
      </c>
      <c r="BN120">
        <f>SUMIF(ConfirmedRaw!$B:$B,$A120,ConfirmedRaw!BQ:BQ)</f>
        <v>0</v>
      </c>
      <c r="BO120">
        <f>SUMIF(ConfirmedRaw!$B:$B,$A120,ConfirmedRaw!BR:BR)</f>
        <v>0</v>
      </c>
      <c r="BP120">
        <f>SUMIF(ConfirmedRaw!$B:$B,$A120,ConfirmedRaw!BS:BS)</f>
        <v>0</v>
      </c>
      <c r="BQ120">
        <f>SUMIF(ConfirmedRaw!$B:$B,$A120,ConfirmedRaw!BT:BT)</f>
        <v>0</v>
      </c>
      <c r="BR120">
        <f>SUMIF(ConfirmedRaw!$B:$B,$A120,ConfirmedRaw!BU:BU)</f>
        <v>0</v>
      </c>
      <c r="BS120">
        <f>SUMIF(ConfirmedRaw!$B:$B,$A120,ConfirmedRaw!BV:BV)</f>
        <v>0</v>
      </c>
      <c r="BT120">
        <f>SUMIF(ConfirmedRaw!$B:$B,$A120,ConfirmedRaw!BW:BW)</f>
        <v>0</v>
      </c>
    </row>
    <row r="121" spans="1:72" ht="15" thickBot="1" x14ac:dyDescent="0.35">
      <c r="A121" s="3" t="s">
        <v>423</v>
      </c>
      <c r="B121">
        <f>SUMIF(ConfirmedRaw!$B:$B,$A121,ConfirmedRaw!E:E)</f>
        <v>0</v>
      </c>
      <c r="C121">
        <f>SUMIF(ConfirmedRaw!$B:$B,$A121,ConfirmedRaw!F:F)</f>
        <v>0</v>
      </c>
      <c r="D121">
        <f>SUMIF(ConfirmedRaw!$B:$B,$A121,ConfirmedRaw!G:G)</f>
        <v>0</v>
      </c>
      <c r="E121">
        <f>SUMIF(ConfirmedRaw!$B:$B,$A121,ConfirmedRaw!H:H)</f>
        <v>0</v>
      </c>
      <c r="F121">
        <f>SUMIF(ConfirmedRaw!$B:$B,$A121,ConfirmedRaw!I:I)</f>
        <v>0</v>
      </c>
      <c r="G121">
        <f>SUMIF(ConfirmedRaw!$B:$B,$A121,ConfirmedRaw!J:J)</f>
        <v>0</v>
      </c>
      <c r="H121">
        <f>SUMIF(ConfirmedRaw!$B:$B,$A121,ConfirmedRaw!K:K)</f>
        <v>0</v>
      </c>
      <c r="I121">
        <f>SUMIF(ConfirmedRaw!$B:$B,$A121,ConfirmedRaw!L:L)</f>
        <v>0</v>
      </c>
      <c r="J121">
        <f>SUMIF(ConfirmedRaw!$B:$B,$A121,ConfirmedRaw!M:M)</f>
        <v>0</v>
      </c>
      <c r="K121">
        <f>SUMIF(ConfirmedRaw!$B:$B,$A121,ConfirmedRaw!N:N)</f>
        <v>0</v>
      </c>
      <c r="L121">
        <f>SUMIF(ConfirmedRaw!$B:$B,$A121,ConfirmedRaw!O:O)</f>
        <v>0</v>
      </c>
      <c r="M121">
        <f>SUMIF(ConfirmedRaw!$B:$B,$A121,ConfirmedRaw!P:P)</f>
        <v>0</v>
      </c>
      <c r="N121">
        <f>SUMIF(ConfirmedRaw!$B:$B,$A121,ConfirmedRaw!Q:Q)</f>
        <v>0</v>
      </c>
      <c r="O121">
        <f>SUMIF(ConfirmedRaw!$B:$B,$A121,ConfirmedRaw!R:R)</f>
        <v>0</v>
      </c>
      <c r="P121">
        <f>SUMIF(ConfirmedRaw!$B:$B,$A121,ConfirmedRaw!S:S)</f>
        <v>0</v>
      </c>
      <c r="Q121">
        <f>SUMIF(ConfirmedRaw!$B:$B,$A121,ConfirmedRaw!T:T)</f>
        <v>0</v>
      </c>
      <c r="R121">
        <f>SUMIF(ConfirmedRaw!$B:$B,$A121,ConfirmedRaw!U:U)</f>
        <v>0</v>
      </c>
      <c r="S121">
        <f>SUMIF(ConfirmedRaw!$B:$B,$A121,ConfirmedRaw!V:V)</f>
        <v>0</v>
      </c>
      <c r="T121">
        <f>SUMIF(ConfirmedRaw!$B:$B,$A121,ConfirmedRaw!W:W)</f>
        <v>0</v>
      </c>
      <c r="U121">
        <f>SUMIF(ConfirmedRaw!$B:$B,$A121,ConfirmedRaw!X:X)</f>
        <v>0</v>
      </c>
      <c r="V121">
        <f>SUMIF(ConfirmedRaw!$B:$B,$A121,ConfirmedRaw!Y:Y)</f>
        <v>0</v>
      </c>
      <c r="W121">
        <f>SUMIF(ConfirmedRaw!$B:$B,$A121,ConfirmedRaw!Z:Z)</f>
        <v>0</v>
      </c>
      <c r="X121">
        <f>SUMIF(ConfirmedRaw!$B:$B,$A121,ConfirmedRaw!AA:AA)</f>
        <v>0</v>
      </c>
      <c r="Y121">
        <f>SUMIF(ConfirmedRaw!$B:$B,$A121,ConfirmedRaw!AB:AB)</f>
        <v>0</v>
      </c>
      <c r="Z121">
        <f>SUMIF(ConfirmedRaw!$B:$B,$A121,ConfirmedRaw!AC:AC)</f>
        <v>0</v>
      </c>
      <c r="AA121">
        <f>SUMIF(ConfirmedRaw!$B:$B,$A121,ConfirmedRaw!AD:AD)</f>
        <v>0</v>
      </c>
      <c r="AB121">
        <f>SUMIF(ConfirmedRaw!$B:$B,$A121,ConfirmedRaw!AE:AE)</f>
        <v>0</v>
      </c>
      <c r="AC121">
        <f>SUMIF(ConfirmedRaw!$B:$B,$A121,ConfirmedRaw!AF:AF)</f>
        <v>0</v>
      </c>
      <c r="AD121">
        <f>SUMIF(ConfirmedRaw!$B:$B,$A121,ConfirmedRaw!AG:AG)</f>
        <v>0</v>
      </c>
      <c r="AE121">
        <f>SUMIF(ConfirmedRaw!$B:$B,$A121,ConfirmedRaw!AH:AH)</f>
        <v>0</v>
      </c>
      <c r="AF121">
        <f>SUMIF(ConfirmedRaw!$B:$B,$A121,ConfirmedRaw!AI:AI)</f>
        <v>0</v>
      </c>
      <c r="AG121">
        <f>SUMIF(ConfirmedRaw!$B:$B,$A121,ConfirmedRaw!AJ:AJ)</f>
        <v>0</v>
      </c>
      <c r="AH121">
        <f>SUMIF(ConfirmedRaw!$B:$B,$A121,ConfirmedRaw!AK:AK)</f>
        <v>0</v>
      </c>
      <c r="AI121">
        <f>SUMIF(ConfirmedRaw!$B:$B,$A121,ConfirmedRaw!AL:AL)</f>
        <v>0</v>
      </c>
      <c r="AJ121">
        <f>SUMIF(ConfirmedRaw!$B:$B,$A121,ConfirmedRaw!AM:AM)</f>
        <v>0</v>
      </c>
      <c r="AK121">
        <f>SUMIF(ConfirmedRaw!$B:$B,$A121,ConfirmedRaw!AN:AN)</f>
        <v>0</v>
      </c>
      <c r="AL121">
        <f>SUMIF(ConfirmedRaw!$B:$B,$A121,ConfirmedRaw!AO:AO)</f>
        <v>0</v>
      </c>
      <c r="AM121">
        <f>SUMIF(ConfirmedRaw!$B:$B,$A121,ConfirmedRaw!AP:AP)</f>
        <v>0</v>
      </c>
      <c r="AN121">
        <f>SUMIF(ConfirmedRaw!$B:$B,$A121,ConfirmedRaw!AQ:AQ)</f>
        <v>0</v>
      </c>
      <c r="AO121">
        <f>SUMIF(ConfirmedRaw!$B:$B,$A121,ConfirmedRaw!AR:AR)</f>
        <v>0</v>
      </c>
      <c r="AP121">
        <f>SUMIF(ConfirmedRaw!$B:$B,$A121,ConfirmedRaw!AS:AS)</f>
        <v>0</v>
      </c>
      <c r="AQ121">
        <f>SUMIF(ConfirmedRaw!$B:$B,$A121,ConfirmedRaw!AT:AT)</f>
        <v>0</v>
      </c>
      <c r="AR121">
        <f>SUMIF(ConfirmedRaw!$B:$B,$A121,ConfirmedRaw!AU:AU)</f>
        <v>0</v>
      </c>
      <c r="AS121">
        <f>SUMIF(ConfirmedRaw!$B:$B,$A121,ConfirmedRaw!AV:AV)</f>
        <v>0</v>
      </c>
      <c r="AT121">
        <f>SUMIF(ConfirmedRaw!$B:$B,$A121,ConfirmedRaw!AW:AW)</f>
        <v>0</v>
      </c>
      <c r="AU121">
        <f>SUMIF(ConfirmedRaw!$B:$B,$A121,ConfirmedRaw!AX:AX)</f>
        <v>0</v>
      </c>
      <c r="AV121">
        <f>SUMIF(ConfirmedRaw!$B:$B,$A121,ConfirmedRaw!AY:AY)</f>
        <v>0</v>
      </c>
      <c r="AW121">
        <f>SUMIF(ConfirmedRaw!$B:$B,$A121,ConfirmedRaw!AZ:AZ)</f>
        <v>0</v>
      </c>
      <c r="AX121">
        <f>SUMIF(ConfirmedRaw!$B:$B,$A121,ConfirmedRaw!BA:BA)</f>
        <v>0</v>
      </c>
      <c r="AY121">
        <f>SUMIF(ConfirmedRaw!$B:$B,$A121,ConfirmedRaw!BB:BB)</f>
        <v>0</v>
      </c>
      <c r="AZ121">
        <f>SUMIF(ConfirmedRaw!$B:$B,$A121,ConfirmedRaw!BC:BC)</f>
        <v>0</v>
      </c>
      <c r="BA121">
        <f>SUMIF(ConfirmedRaw!$B:$B,$A121,ConfirmedRaw!BD:BD)</f>
        <v>1</v>
      </c>
      <c r="BB121">
        <f>SUMIF(ConfirmedRaw!$B:$B,$A121,ConfirmedRaw!BE:BE)</f>
        <v>1</v>
      </c>
      <c r="BC121">
        <f>SUMIF(ConfirmedRaw!$B:$B,$A121,ConfirmedRaw!BF:BF)</f>
        <v>3</v>
      </c>
      <c r="BD121">
        <f>SUMIF(ConfirmedRaw!$B:$B,$A121,ConfirmedRaw!BG:BG)</f>
        <v>3</v>
      </c>
      <c r="BE121">
        <f>SUMIF(ConfirmedRaw!$B:$B,$A121,ConfirmedRaw!BH:BH)</f>
        <v>3</v>
      </c>
      <c r="BF121">
        <f>SUMIF(ConfirmedRaw!$B:$B,$A121,ConfirmedRaw!BI:BI)</f>
        <v>3</v>
      </c>
      <c r="BG121">
        <f>SUMIF(ConfirmedRaw!$B:$B,$A121,ConfirmedRaw!BJ:BJ)</f>
        <v>0</v>
      </c>
      <c r="BH121">
        <f>SUMIF(ConfirmedRaw!$B:$B,$A121,ConfirmedRaw!BK:BK)</f>
        <v>0</v>
      </c>
      <c r="BI121">
        <f>SUMIF(ConfirmedRaw!$B:$B,$A121,ConfirmedRaw!BL:BL)</f>
        <v>0</v>
      </c>
      <c r="BJ121">
        <f>SUMIF(ConfirmedRaw!$B:$B,$A121,ConfirmedRaw!BM:BM)</f>
        <v>0</v>
      </c>
      <c r="BK121">
        <f>SUMIF(ConfirmedRaw!$B:$B,$A121,ConfirmedRaw!BN:BN)</f>
        <v>0</v>
      </c>
      <c r="BL121">
        <f>SUMIF(ConfirmedRaw!$B:$B,$A121,ConfirmedRaw!BO:BO)</f>
        <v>0</v>
      </c>
      <c r="BM121">
        <f>SUMIF(ConfirmedRaw!$B:$B,$A121,ConfirmedRaw!BP:BP)</f>
        <v>0</v>
      </c>
      <c r="BN121">
        <f>SUMIF(ConfirmedRaw!$B:$B,$A121,ConfirmedRaw!BQ:BQ)</f>
        <v>0</v>
      </c>
      <c r="BO121">
        <f>SUMIF(ConfirmedRaw!$B:$B,$A121,ConfirmedRaw!BR:BR)</f>
        <v>0</v>
      </c>
      <c r="BP121">
        <f>SUMIF(ConfirmedRaw!$B:$B,$A121,ConfirmedRaw!BS:BS)</f>
        <v>0</v>
      </c>
      <c r="BQ121">
        <f>SUMIF(ConfirmedRaw!$B:$B,$A121,ConfirmedRaw!BT:BT)</f>
        <v>0</v>
      </c>
      <c r="BR121">
        <f>SUMIF(ConfirmedRaw!$B:$B,$A121,ConfirmedRaw!BU:BU)</f>
        <v>0</v>
      </c>
      <c r="BS121">
        <f>SUMIF(ConfirmedRaw!$B:$B,$A121,ConfirmedRaw!BV:BV)</f>
        <v>0</v>
      </c>
      <c r="BT121">
        <f>SUMIF(ConfirmedRaw!$B:$B,$A121,ConfirmedRaw!BW:BW)</f>
        <v>0</v>
      </c>
    </row>
    <row r="122" spans="1:72" ht="15" thickBot="1" x14ac:dyDescent="0.35">
      <c r="A122" s="4" t="s">
        <v>136</v>
      </c>
      <c r="B122">
        <f>SUMIF(ConfirmedRaw!$B:$B,$A122,ConfirmedRaw!E:E)</f>
        <v>0</v>
      </c>
      <c r="C122">
        <f>SUMIF(ConfirmedRaw!$B:$B,$A122,ConfirmedRaw!F:F)</f>
        <v>0</v>
      </c>
      <c r="D122">
        <f>SUMIF(ConfirmedRaw!$B:$B,$A122,ConfirmedRaw!G:G)</f>
        <v>0</v>
      </c>
      <c r="E122">
        <f>SUMIF(ConfirmedRaw!$B:$B,$A122,ConfirmedRaw!H:H)</f>
        <v>0</v>
      </c>
      <c r="F122">
        <f>SUMIF(ConfirmedRaw!$B:$B,$A122,ConfirmedRaw!I:I)</f>
        <v>0</v>
      </c>
      <c r="G122">
        <f>SUMIF(ConfirmedRaw!$B:$B,$A122,ConfirmedRaw!J:J)</f>
        <v>0</v>
      </c>
      <c r="H122">
        <f>SUMIF(ConfirmedRaw!$B:$B,$A122,ConfirmedRaw!K:K)</f>
        <v>0</v>
      </c>
      <c r="I122">
        <f>SUMIF(ConfirmedRaw!$B:$B,$A122,ConfirmedRaw!L:L)</f>
        <v>0</v>
      </c>
      <c r="J122">
        <f>SUMIF(ConfirmedRaw!$B:$B,$A122,ConfirmedRaw!M:M)</f>
        <v>0</v>
      </c>
      <c r="K122">
        <f>SUMIF(ConfirmedRaw!$B:$B,$A122,ConfirmedRaw!N:N)</f>
        <v>0</v>
      </c>
      <c r="L122">
        <f>SUMIF(ConfirmedRaw!$B:$B,$A122,ConfirmedRaw!O:O)</f>
        <v>0</v>
      </c>
      <c r="M122">
        <f>SUMIF(ConfirmedRaw!$B:$B,$A122,ConfirmedRaw!P:P)</f>
        <v>0</v>
      </c>
      <c r="N122">
        <f>SUMIF(ConfirmedRaw!$B:$B,$A122,ConfirmedRaw!Q:Q)</f>
        <v>0</v>
      </c>
      <c r="O122">
        <f>SUMIF(ConfirmedRaw!$B:$B,$A122,ConfirmedRaw!R:R)</f>
        <v>0</v>
      </c>
      <c r="P122">
        <f>SUMIF(ConfirmedRaw!$B:$B,$A122,ConfirmedRaw!S:S)</f>
        <v>0</v>
      </c>
      <c r="Q122">
        <f>SUMIF(ConfirmedRaw!$B:$B,$A122,ConfirmedRaw!T:T)</f>
        <v>0</v>
      </c>
      <c r="R122">
        <f>SUMIF(ConfirmedRaw!$B:$B,$A122,ConfirmedRaw!U:U)</f>
        <v>0</v>
      </c>
      <c r="S122">
        <f>SUMIF(ConfirmedRaw!$B:$B,$A122,ConfirmedRaw!V:V)</f>
        <v>0</v>
      </c>
      <c r="T122">
        <f>SUMIF(ConfirmedRaw!$B:$B,$A122,ConfirmedRaw!W:W)</f>
        <v>0</v>
      </c>
      <c r="U122">
        <f>SUMIF(ConfirmedRaw!$B:$B,$A122,ConfirmedRaw!X:X)</f>
        <v>0</v>
      </c>
      <c r="V122">
        <f>SUMIF(ConfirmedRaw!$B:$B,$A122,ConfirmedRaw!Y:Y)</f>
        <v>0</v>
      </c>
      <c r="W122">
        <f>SUMIF(ConfirmedRaw!$B:$B,$A122,ConfirmedRaw!Z:Z)</f>
        <v>0</v>
      </c>
      <c r="X122">
        <f>SUMIF(ConfirmedRaw!$B:$B,$A122,ConfirmedRaw!AA:AA)</f>
        <v>0</v>
      </c>
      <c r="Y122">
        <f>SUMIF(ConfirmedRaw!$B:$B,$A122,ConfirmedRaw!AB:AB)</f>
        <v>0</v>
      </c>
      <c r="Z122">
        <f>SUMIF(ConfirmedRaw!$B:$B,$A122,ConfirmedRaw!AC:AC)</f>
        <v>0</v>
      </c>
      <c r="AA122">
        <f>SUMIF(ConfirmedRaw!$B:$B,$A122,ConfirmedRaw!AD:AD)</f>
        <v>0</v>
      </c>
      <c r="AB122">
        <f>SUMIF(ConfirmedRaw!$B:$B,$A122,ConfirmedRaw!AE:AE)</f>
        <v>0</v>
      </c>
      <c r="AC122">
        <f>SUMIF(ConfirmedRaw!$B:$B,$A122,ConfirmedRaw!AF:AF)</f>
        <v>0</v>
      </c>
      <c r="AD122">
        <f>SUMIF(ConfirmedRaw!$B:$B,$A122,ConfirmedRaw!AG:AG)</f>
        <v>0</v>
      </c>
      <c r="AE122">
        <f>SUMIF(ConfirmedRaw!$B:$B,$A122,ConfirmedRaw!AH:AH)</f>
        <v>0</v>
      </c>
      <c r="AF122">
        <f>SUMIF(ConfirmedRaw!$B:$B,$A122,ConfirmedRaw!AI:AI)</f>
        <v>0</v>
      </c>
      <c r="AG122">
        <f>SUMIF(ConfirmedRaw!$B:$B,$A122,ConfirmedRaw!AJ:AJ)</f>
        <v>0</v>
      </c>
      <c r="AH122">
        <f>SUMIF(ConfirmedRaw!$B:$B,$A122,ConfirmedRaw!AK:AK)</f>
        <v>0</v>
      </c>
      <c r="AI122">
        <f>SUMIF(ConfirmedRaw!$B:$B,$A122,ConfirmedRaw!AL:AL)</f>
        <v>0</v>
      </c>
      <c r="AJ122">
        <f>SUMIF(ConfirmedRaw!$B:$B,$A122,ConfirmedRaw!AM:AM)</f>
        <v>0</v>
      </c>
      <c r="AK122">
        <f>SUMIF(ConfirmedRaw!$B:$B,$A122,ConfirmedRaw!AN:AN)</f>
        <v>0</v>
      </c>
      <c r="AL122">
        <f>SUMIF(ConfirmedRaw!$B:$B,$A122,ConfirmedRaw!AO:AO)</f>
        <v>0</v>
      </c>
      <c r="AM122">
        <f>SUMIF(ConfirmedRaw!$B:$B,$A122,ConfirmedRaw!AP:AP)</f>
        <v>0</v>
      </c>
      <c r="AN122">
        <f>SUMIF(ConfirmedRaw!$B:$B,$A122,ConfirmedRaw!AQ:AQ)</f>
        <v>0</v>
      </c>
      <c r="AO122">
        <f>SUMIF(ConfirmedRaw!$B:$B,$A122,ConfirmedRaw!AR:AR)</f>
        <v>0</v>
      </c>
      <c r="AP122">
        <f>SUMIF(ConfirmedRaw!$B:$B,$A122,ConfirmedRaw!AS:AS)</f>
        <v>0</v>
      </c>
      <c r="AQ122">
        <f>SUMIF(ConfirmedRaw!$B:$B,$A122,ConfirmedRaw!AT:AT)</f>
        <v>0</v>
      </c>
      <c r="AR122">
        <f>SUMIF(ConfirmedRaw!$B:$B,$A122,ConfirmedRaw!AU:AU)</f>
        <v>1</v>
      </c>
      <c r="AS122">
        <f>SUMIF(ConfirmedRaw!$B:$B,$A122,ConfirmedRaw!AV:AV)</f>
        <v>1</v>
      </c>
      <c r="AT122">
        <f>SUMIF(ConfirmedRaw!$B:$B,$A122,ConfirmedRaw!AW:AW)</f>
        <v>1</v>
      </c>
      <c r="AU122">
        <f>SUMIF(ConfirmedRaw!$B:$B,$A122,ConfirmedRaw!AX:AX)</f>
        <v>1</v>
      </c>
      <c r="AV122">
        <f>SUMIF(ConfirmedRaw!$B:$B,$A122,ConfirmedRaw!AY:AY)</f>
        <v>1</v>
      </c>
      <c r="AW122">
        <f>SUMIF(ConfirmedRaw!$B:$B,$A122,ConfirmedRaw!AZ:AZ)</f>
        <v>1</v>
      </c>
      <c r="AX122">
        <f>SUMIF(ConfirmedRaw!$B:$B,$A122,ConfirmedRaw!BA:BA)</f>
        <v>1</v>
      </c>
      <c r="AY122">
        <f>SUMIF(ConfirmedRaw!$B:$B,$A122,ConfirmedRaw!BB:BB)</f>
        <v>1</v>
      </c>
      <c r="AZ122">
        <f>SUMIF(ConfirmedRaw!$B:$B,$A122,ConfirmedRaw!BC:BC)</f>
        <v>1</v>
      </c>
      <c r="BA122">
        <f>SUMIF(ConfirmedRaw!$B:$B,$A122,ConfirmedRaw!BD:BD)</f>
        <v>1</v>
      </c>
      <c r="BB122">
        <f>SUMIF(ConfirmedRaw!$B:$B,$A122,ConfirmedRaw!BE:BE)</f>
        <v>4</v>
      </c>
      <c r="BC122">
        <f>SUMIF(ConfirmedRaw!$B:$B,$A122,ConfirmedRaw!BF:BF)</f>
        <v>4</v>
      </c>
      <c r="BD122">
        <f>SUMIF(ConfirmedRaw!$B:$B,$A122,ConfirmedRaw!BG:BG)</f>
        <v>4</v>
      </c>
      <c r="BE122">
        <f>SUMIF(ConfirmedRaw!$B:$B,$A122,ConfirmedRaw!BH:BH)</f>
        <v>7</v>
      </c>
      <c r="BF122">
        <f>SUMIF(ConfirmedRaw!$B:$B,$A122,ConfirmedRaw!BI:BI)</f>
        <v>28</v>
      </c>
      <c r="BG122">
        <f>SUMIF(ConfirmedRaw!$B:$B,$A122,ConfirmedRaw!BJ:BJ)</f>
        <v>0</v>
      </c>
      <c r="BH122">
        <f>SUMIF(ConfirmedRaw!$B:$B,$A122,ConfirmedRaw!BK:BK)</f>
        <v>0</v>
      </c>
      <c r="BI122">
        <f>SUMIF(ConfirmedRaw!$B:$B,$A122,ConfirmedRaw!BL:BL)</f>
        <v>0</v>
      </c>
      <c r="BJ122">
        <f>SUMIF(ConfirmedRaw!$B:$B,$A122,ConfirmedRaw!BM:BM)</f>
        <v>0</v>
      </c>
      <c r="BK122">
        <f>SUMIF(ConfirmedRaw!$B:$B,$A122,ConfirmedRaw!BN:BN)</f>
        <v>0</v>
      </c>
      <c r="BL122">
        <f>SUMIF(ConfirmedRaw!$B:$B,$A122,ConfirmedRaw!BO:BO)</f>
        <v>0</v>
      </c>
      <c r="BM122">
        <f>SUMIF(ConfirmedRaw!$B:$B,$A122,ConfirmedRaw!BP:BP)</f>
        <v>0</v>
      </c>
      <c r="BN122">
        <f>SUMIF(ConfirmedRaw!$B:$B,$A122,ConfirmedRaw!BQ:BQ)</f>
        <v>0</v>
      </c>
      <c r="BO122">
        <f>SUMIF(ConfirmedRaw!$B:$B,$A122,ConfirmedRaw!BR:BR)</f>
        <v>0</v>
      </c>
      <c r="BP122">
        <f>SUMIF(ConfirmedRaw!$B:$B,$A122,ConfirmedRaw!BS:BS)</f>
        <v>0</v>
      </c>
      <c r="BQ122">
        <f>SUMIF(ConfirmedRaw!$B:$B,$A122,ConfirmedRaw!BT:BT)</f>
        <v>0</v>
      </c>
      <c r="BR122">
        <f>SUMIF(ConfirmedRaw!$B:$B,$A122,ConfirmedRaw!BU:BU)</f>
        <v>0</v>
      </c>
      <c r="BS122">
        <f>SUMIF(ConfirmedRaw!$B:$B,$A122,ConfirmedRaw!BV:BV)</f>
        <v>0</v>
      </c>
      <c r="BT122">
        <f>SUMIF(ConfirmedRaw!$B:$B,$A122,ConfirmedRaw!BW:BW)</f>
        <v>0</v>
      </c>
    </row>
    <row r="123" spans="1:72" ht="15" thickBot="1" x14ac:dyDescent="0.35">
      <c r="A123" s="4" t="s">
        <v>282</v>
      </c>
      <c r="B123">
        <f>SUMIF(ConfirmedRaw!$B:$B,$A123,ConfirmedRaw!E:E)</f>
        <v>0</v>
      </c>
      <c r="C123">
        <f>SUMIF(ConfirmedRaw!$B:$B,$A123,ConfirmedRaw!F:F)</f>
        <v>0</v>
      </c>
      <c r="D123">
        <f>SUMIF(ConfirmedRaw!$B:$B,$A123,ConfirmedRaw!G:G)</f>
        <v>0</v>
      </c>
      <c r="E123">
        <f>SUMIF(ConfirmedRaw!$B:$B,$A123,ConfirmedRaw!H:H)</f>
        <v>0</v>
      </c>
      <c r="F123">
        <f>SUMIF(ConfirmedRaw!$B:$B,$A123,ConfirmedRaw!I:I)</f>
        <v>0</v>
      </c>
      <c r="G123">
        <f>SUMIF(ConfirmedRaw!$B:$B,$A123,ConfirmedRaw!J:J)</f>
        <v>0</v>
      </c>
      <c r="H123">
        <f>SUMIF(ConfirmedRaw!$B:$B,$A123,ConfirmedRaw!K:K)</f>
        <v>0</v>
      </c>
      <c r="I123">
        <f>SUMIF(ConfirmedRaw!$B:$B,$A123,ConfirmedRaw!L:L)</f>
        <v>0</v>
      </c>
      <c r="J123">
        <f>SUMIF(ConfirmedRaw!$B:$B,$A123,ConfirmedRaw!M:M)</f>
        <v>0</v>
      </c>
      <c r="K123">
        <f>SUMIF(ConfirmedRaw!$B:$B,$A123,ConfirmedRaw!N:N)</f>
        <v>0</v>
      </c>
      <c r="L123">
        <f>SUMIF(ConfirmedRaw!$B:$B,$A123,ConfirmedRaw!O:O)</f>
        <v>0</v>
      </c>
      <c r="M123">
        <f>SUMIF(ConfirmedRaw!$B:$B,$A123,ConfirmedRaw!P:P)</f>
        <v>0</v>
      </c>
      <c r="N123">
        <f>SUMIF(ConfirmedRaw!$B:$B,$A123,ConfirmedRaw!Q:Q)</f>
        <v>0</v>
      </c>
      <c r="O123">
        <f>SUMIF(ConfirmedRaw!$B:$B,$A123,ConfirmedRaw!R:R)</f>
        <v>0</v>
      </c>
      <c r="P123">
        <f>SUMIF(ConfirmedRaw!$B:$B,$A123,ConfirmedRaw!S:S)</f>
        <v>0</v>
      </c>
      <c r="Q123">
        <f>SUMIF(ConfirmedRaw!$B:$B,$A123,ConfirmedRaw!T:T)</f>
        <v>0</v>
      </c>
      <c r="R123">
        <f>SUMIF(ConfirmedRaw!$B:$B,$A123,ConfirmedRaw!U:U)</f>
        <v>0</v>
      </c>
      <c r="S123">
        <f>SUMIF(ConfirmedRaw!$B:$B,$A123,ConfirmedRaw!V:V)</f>
        <v>0</v>
      </c>
      <c r="T123">
        <f>SUMIF(ConfirmedRaw!$B:$B,$A123,ConfirmedRaw!W:W)</f>
        <v>0</v>
      </c>
      <c r="U123">
        <f>SUMIF(ConfirmedRaw!$B:$B,$A123,ConfirmedRaw!X:X)</f>
        <v>0</v>
      </c>
      <c r="V123">
        <f>SUMIF(ConfirmedRaw!$B:$B,$A123,ConfirmedRaw!Y:Y)</f>
        <v>0</v>
      </c>
      <c r="W123">
        <f>SUMIF(ConfirmedRaw!$B:$B,$A123,ConfirmedRaw!Z:Z)</f>
        <v>0</v>
      </c>
      <c r="X123">
        <f>SUMIF(ConfirmedRaw!$B:$B,$A123,ConfirmedRaw!AA:AA)</f>
        <v>0</v>
      </c>
      <c r="Y123">
        <f>SUMIF(ConfirmedRaw!$B:$B,$A123,ConfirmedRaw!AB:AB)</f>
        <v>0</v>
      </c>
      <c r="Z123">
        <f>SUMIF(ConfirmedRaw!$B:$B,$A123,ConfirmedRaw!AC:AC)</f>
        <v>0</v>
      </c>
      <c r="AA123">
        <f>SUMIF(ConfirmedRaw!$B:$B,$A123,ConfirmedRaw!AD:AD)</f>
        <v>0</v>
      </c>
      <c r="AB123">
        <f>SUMIF(ConfirmedRaw!$B:$B,$A123,ConfirmedRaw!AE:AE)</f>
        <v>0</v>
      </c>
      <c r="AC123">
        <f>SUMIF(ConfirmedRaw!$B:$B,$A123,ConfirmedRaw!AF:AF)</f>
        <v>0</v>
      </c>
      <c r="AD123">
        <f>SUMIF(ConfirmedRaw!$B:$B,$A123,ConfirmedRaw!AG:AG)</f>
        <v>0</v>
      </c>
      <c r="AE123">
        <f>SUMIF(ConfirmedRaw!$B:$B,$A123,ConfirmedRaw!AH:AH)</f>
        <v>0</v>
      </c>
      <c r="AF123">
        <f>SUMIF(ConfirmedRaw!$B:$B,$A123,ConfirmedRaw!AI:AI)</f>
        <v>0</v>
      </c>
      <c r="AG123">
        <f>SUMIF(ConfirmedRaw!$B:$B,$A123,ConfirmedRaw!AJ:AJ)</f>
        <v>0</v>
      </c>
      <c r="AH123">
        <f>SUMIF(ConfirmedRaw!$B:$B,$A123,ConfirmedRaw!AK:AK)</f>
        <v>0</v>
      </c>
      <c r="AI123">
        <f>SUMIF(ConfirmedRaw!$B:$B,$A123,ConfirmedRaw!AL:AL)</f>
        <v>0</v>
      </c>
      <c r="AJ123">
        <f>SUMIF(ConfirmedRaw!$B:$B,$A123,ConfirmedRaw!AM:AM)</f>
        <v>0</v>
      </c>
      <c r="AK123">
        <f>SUMIF(ConfirmedRaw!$B:$B,$A123,ConfirmedRaw!AN:AN)</f>
        <v>0</v>
      </c>
      <c r="AL123">
        <f>SUMIF(ConfirmedRaw!$B:$B,$A123,ConfirmedRaw!AO:AO)</f>
        <v>0</v>
      </c>
      <c r="AM123">
        <f>SUMIF(ConfirmedRaw!$B:$B,$A123,ConfirmedRaw!AP:AP)</f>
        <v>0</v>
      </c>
      <c r="AN123">
        <f>SUMIF(ConfirmedRaw!$B:$B,$A123,ConfirmedRaw!AQ:AQ)</f>
        <v>0</v>
      </c>
      <c r="AO123">
        <f>SUMIF(ConfirmedRaw!$B:$B,$A123,ConfirmedRaw!AR:AR)</f>
        <v>0</v>
      </c>
      <c r="AP123">
        <f>SUMIF(ConfirmedRaw!$B:$B,$A123,ConfirmedRaw!AS:AS)</f>
        <v>0</v>
      </c>
      <c r="AQ123">
        <f>SUMIF(ConfirmedRaw!$B:$B,$A123,ConfirmedRaw!AT:AT)</f>
        <v>0</v>
      </c>
      <c r="AR123">
        <f>SUMIF(ConfirmedRaw!$B:$B,$A123,ConfirmedRaw!AU:AU)</f>
        <v>0</v>
      </c>
      <c r="AS123">
        <f>SUMIF(ConfirmedRaw!$B:$B,$A123,ConfirmedRaw!AV:AV)</f>
        <v>0</v>
      </c>
      <c r="AT123">
        <f>SUMIF(ConfirmedRaw!$B:$B,$A123,ConfirmedRaw!AW:AW)</f>
        <v>0</v>
      </c>
      <c r="AU123">
        <f>SUMIF(ConfirmedRaw!$B:$B,$A123,ConfirmedRaw!AX:AX)</f>
        <v>0</v>
      </c>
      <c r="AV123">
        <f>SUMIF(ConfirmedRaw!$B:$B,$A123,ConfirmedRaw!AY:AY)</f>
        <v>0</v>
      </c>
      <c r="AW123">
        <f>SUMIF(ConfirmedRaw!$B:$B,$A123,ConfirmedRaw!AZ:AZ)</f>
        <v>0</v>
      </c>
      <c r="AX123">
        <f>SUMIF(ConfirmedRaw!$B:$B,$A123,ConfirmedRaw!BA:BA)</f>
        <v>1</v>
      </c>
      <c r="AY123">
        <f>SUMIF(ConfirmedRaw!$B:$B,$A123,ConfirmedRaw!BB:BB)</f>
        <v>1</v>
      </c>
      <c r="AZ123">
        <f>SUMIF(ConfirmedRaw!$B:$B,$A123,ConfirmedRaw!BC:BC)</f>
        <v>1</v>
      </c>
      <c r="BA123">
        <f>SUMIF(ConfirmedRaw!$B:$B,$A123,ConfirmedRaw!BD:BD)</f>
        <v>1</v>
      </c>
      <c r="BB123">
        <f>SUMIF(ConfirmedRaw!$B:$B,$A123,ConfirmedRaw!BE:BE)</f>
        <v>1</v>
      </c>
      <c r="BC123">
        <f>SUMIF(ConfirmedRaw!$B:$B,$A123,ConfirmedRaw!BF:BF)</f>
        <v>1</v>
      </c>
      <c r="BD123">
        <f>SUMIF(ConfirmedRaw!$B:$B,$A123,ConfirmedRaw!BG:BG)</f>
        <v>1</v>
      </c>
      <c r="BE123">
        <f>SUMIF(ConfirmedRaw!$B:$B,$A123,ConfirmedRaw!BH:BH)</f>
        <v>5</v>
      </c>
      <c r="BF123">
        <f>SUMIF(ConfirmedRaw!$B:$B,$A123,ConfirmedRaw!BI:BI)</f>
        <v>6</v>
      </c>
      <c r="BG123">
        <f>SUMIF(ConfirmedRaw!$B:$B,$A123,ConfirmedRaw!BJ:BJ)</f>
        <v>0</v>
      </c>
      <c r="BH123">
        <f>SUMIF(ConfirmedRaw!$B:$B,$A123,ConfirmedRaw!BK:BK)</f>
        <v>0</v>
      </c>
      <c r="BI123">
        <f>SUMIF(ConfirmedRaw!$B:$B,$A123,ConfirmedRaw!BL:BL)</f>
        <v>0</v>
      </c>
      <c r="BJ123">
        <f>SUMIF(ConfirmedRaw!$B:$B,$A123,ConfirmedRaw!BM:BM)</f>
        <v>0</v>
      </c>
      <c r="BK123">
        <f>SUMIF(ConfirmedRaw!$B:$B,$A123,ConfirmedRaw!BN:BN)</f>
        <v>0</v>
      </c>
      <c r="BL123">
        <f>SUMIF(ConfirmedRaw!$B:$B,$A123,ConfirmedRaw!BO:BO)</f>
        <v>0</v>
      </c>
      <c r="BM123">
        <f>SUMIF(ConfirmedRaw!$B:$B,$A123,ConfirmedRaw!BP:BP)</f>
        <v>0</v>
      </c>
      <c r="BN123">
        <f>SUMIF(ConfirmedRaw!$B:$B,$A123,ConfirmedRaw!BQ:BQ)</f>
        <v>0</v>
      </c>
      <c r="BO123">
        <f>SUMIF(ConfirmedRaw!$B:$B,$A123,ConfirmedRaw!BR:BR)</f>
        <v>0</v>
      </c>
      <c r="BP123">
        <f>SUMIF(ConfirmedRaw!$B:$B,$A123,ConfirmedRaw!BS:BS)</f>
        <v>0</v>
      </c>
      <c r="BQ123">
        <f>SUMIF(ConfirmedRaw!$B:$B,$A123,ConfirmedRaw!BT:BT)</f>
        <v>0</v>
      </c>
      <c r="BR123">
        <f>SUMIF(ConfirmedRaw!$B:$B,$A123,ConfirmedRaw!BU:BU)</f>
        <v>0</v>
      </c>
      <c r="BS123">
        <f>SUMIF(ConfirmedRaw!$B:$B,$A123,ConfirmedRaw!BV:BV)</f>
        <v>0</v>
      </c>
      <c r="BT123">
        <f>SUMIF(ConfirmedRaw!$B:$B,$A123,ConfirmedRaw!BW:BW)</f>
        <v>0</v>
      </c>
    </row>
    <row r="124" spans="1:72" ht="15" thickBot="1" x14ac:dyDescent="0.35">
      <c r="A124" s="4" t="s">
        <v>42</v>
      </c>
      <c r="B124">
        <f>SUMIF(ConfirmedRaw!$B:$B,$A124,ConfirmedRaw!E:E)</f>
        <v>0</v>
      </c>
      <c r="C124">
        <f>SUMIF(ConfirmedRaw!$B:$B,$A124,ConfirmedRaw!F:F)</f>
        <v>0</v>
      </c>
      <c r="D124">
        <f>SUMIF(ConfirmedRaw!$B:$B,$A124,ConfirmedRaw!G:G)</f>
        <v>0</v>
      </c>
      <c r="E124">
        <f>SUMIF(ConfirmedRaw!$B:$B,$A124,ConfirmedRaw!H:H)</f>
        <v>1</v>
      </c>
      <c r="F124">
        <f>SUMIF(ConfirmedRaw!$B:$B,$A124,ConfirmedRaw!I:I)</f>
        <v>1</v>
      </c>
      <c r="G124">
        <f>SUMIF(ConfirmedRaw!$B:$B,$A124,ConfirmedRaw!J:J)</f>
        <v>1</v>
      </c>
      <c r="H124">
        <f>SUMIF(ConfirmedRaw!$B:$B,$A124,ConfirmedRaw!K:K)</f>
        <v>1</v>
      </c>
      <c r="I124">
        <f>SUMIF(ConfirmedRaw!$B:$B,$A124,ConfirmedRaw!L:L)</f>
        <v>1</v>
      </c>
      <c r="J124">
        <f>SUMIF(ConfirmedRaw!$B:$B,$A124,ConfirmedRaw!M:M)</f>
        <v>1</v>
      </c>
      <c r="K124">
        <f>SUMIF(ConfirmedRaw!$B:$B,$A124,ConfirmedRaw!N:N)</f>
        <v>1</v>
      </c>
      <c r="L124">
        <f>SUMIF(ConfirmedRaw!$B:$B,$A124,ConfirmedRaw!O:O)</f>
        <v>1</v>
      </c>
      <c r="M124">
        <f>SUMIF(ConfirmedRaw!$B:$B,$A124,ConfirmedRaw!P:P)</f>
        <v>1</v>
      </c>
      <c r="N124">
        <f>SUMIF(ConfirmedRaw!$B:$B,$A124,ConfirmedRaw!Q:Q)</f>
        <v>1</v>
      </c>
      <c r="O124">
        <f>SUMIF(ConfirmedRaw!$B:$B,$A124,ConfirmedRaw!R:R)</f>
        <v>1</v>
      </c>
      <c r="P124">
        <f>SUMIF(ConfirmedRaw!$B:$B,$A124,ConfirmedRaw!S:S)</f>
        <v>1</v>
      </c>
      <c r="Q124">
        <f>SUMIF(ConfirmedRaw!$B:$B,$A124,ConfirmedRaw!T:T)</f>
        <v>1</v>
      </c>
      <c r="R124">
        <f>SUMIF(ConfirmedRaw!$B:$B,$A124,ConfirmedRaw!U:U)</f>
        <v>1</v>
      </c>
      <c r="S124">
        <f>SUMIF(ConfirmedRaw!$B:$B,$A124,ConfirmedRaw!V:V)</f>
        <v>1</v>
      </c>
      <c r="T124">
        <f>SUMIF(ConfirmedRaw!$B:$B,$A124,ConfirmedRaw!W:W)</f>
        <v>1</v>
      </c>
      <c r="U124">
        <f>SUMIF(ConfirmedRaw!$B:$B,$A124,ConfirmedRaw!X:X)</f>
        <v>1</v>
      </c>
      <c r="V124">
        <f>SUMIF(ConfirmedRaw!$B:$B,$A124,ConfirmedRaw!Y:Y)</f>
        <v>1</v>
      </c>
      <c r="W124">
        <f>SUMIF(ConfirmedRaw!$B:$B,$A124,ConfirmedRaw!Z:Z)</f>
        <v>1</v>
      </c>
      <c r="X124">
        <f>SUMIF(ConfirmedRaw!$B:$B,$A124,ConfirmedRaw!AA:AA)</f>
        <v>1</v>
      </c>
      <c r="Y124">
        <f>SUMIF(ConfirmedRaw!$B:$B,$A124,ConfirmedRaw!AB:AB)</f>
        <v>1</v>
      </c>
      <c r="Z124">
        <f>SUMIF(ConfirmedRaw!$B:$B,$A124,ConfirmedRaw!AC:AC)</f>
        <v>1</v>
      </c>
      <c r="AA124">
        <f>SUMIF(ConfirmedRaw!$B:$B,$A124,ConfirmedRaw!AD:AD)</f>
        <v>1</v>
      </c>
      <c r="AB124">
        <f>SUMIF(ConfirmedRaw!$B:$B,$A124,ConfirmedRaw!AE:AE)</f>
        <v>1</v>
      </c>
      <c r="AC124">
        <f>SUMIF(ConfirmedRaw!$B:$B,$A124,ConfirmedRaw!AF:AF)</f>
        <v>1</v>
      </c>
      <c r="AD124">
        <f>SUMIF(ConfirmedRaw!$B:$B,$A124,ConfirmedRaw!AG:AG)</f>
        <v>1</v>
      </c>
      <c r="AE124">
        <f>SUMIF(ConfirmedRaw!$B:$B,$A124,ConfirmedRaw!AH:AH)</f>
        <v>1</v>
      </c>
      <c r="AF124">
        <f>SUMIF(ConfirmedRaw!$B:$B,$A124,ConfirmedRaw!AI:AI)</f>
        <v>1</v>
      </c>
      <c r="AG124">
        <f>SUMIF(ConfirmedRaw!$B:$B,$A124,ConfirmedRaw!AJ:AJ)</f>
        <v>1</v>
      </c>
      <c r="AH124">
        <f>SUMIF(ConfirmedRaw!$B:$B,$A124,ConfirmedRaw!AK:AK)</f>
        <v>1</v>
      </c>
      <c r="AI124">
        <f>SUMIF(ConfirmedRaw!$B:$B,$A124,ConfirmedRaw!AL:AL)</f>
        <v>1</v>
      </c>
      <c r="AJ124">
        <f>SUMIF(ConfirmedRaw!$B:$B,$A124,ConfirmedRaw!AM:AM)</f>
        <v>1</v>
      </c>
      <c r="AK124">
        <f>SUMIF(ConfirmedRaw!$B:$B,$A124,ConfirmedRaw!AN:AN)</f>
        <v>1</v>
      </c>
      <c r="AL124">
        <f>SUMIF(ConfirmedRaw!$B:$B,$A124,ConfirmedRaw!AO:AO)</f>
        <v>1</v>
      </c>
      <c r="AM124">
        <f>SUMIF(ConfirmedRaw!$B:$B,$A124,ConfirmedRaw!AP:AP)</f>
        <v>1</v>
      </c>
      <c r="AN124">
        <f>SUMIF(ConfirmedRaw!$B:$B,$A124,ConfirmedRaw!AQ:AQ)</f>
        <v>1</v>
      </c>
      <c r="AO124">
        <f>SUMIF(ConfirmedRaw!$B:$B,$A124,ConfirmedRaw!AR:AR)</f>
        <v>1</v>
      </c>
      <c r="AP124">
        <f>SUMIF(ConfirmedRaw!$B:$B,$A124,ConfirmedRaw!AS:AS)</f>
        <v>1</v>
      </c>
      <c r="AQ124">
        <f>SUMIF(ConfirmedRaw!$B:$B,$A124,ConfirmedRaw!AT:AT)</f>
        <v>1</v>
      </c>
      <c r="AR124">
        <f>SUMIF(ConfirmedRaw!$B:$B,$A124,ConfirmedRaw!AU:AU)</f>
        <v>1</v>
      </c>
      <c r="AS124">
        <f>SUMIF(ConfirmedRaw!$B:$B,$A124,ConfirmedRaw!AV:AV)</f>
        <v>1</v>
      </c>
      <c r="AT124">
        <f>SUMIF(ConfirmedRaw!$B:$B,$A124,ConfirmedRaw!AW:AW)</f>
        <v>1</v>
      </c>
      <c r="AU124">
        <f>SUMIF(ConfirmedRaw!$B:$B,$A124,ConfirmedRaw!AX:AX)</f>
        <v>1</v>
      </c>
      <c r="AV124">
        <f>SUMIF(ConfirmedRaw!$B:$B,$A124,ConfirmedRaw!AY:AY)</f>
        <v>1</v>
      </c>
      <c r="AW124">
        <f>SUMIF(ConfirmedRaw!$B:$B,$A124,ConfirmedRaw!AZ:AZ)</f>
        <v>1</v>
      </c>
      <c r="AX124">
        <f>SUMIF(ConfirmedRaw!$B:$B,$A124,ConfirmedRaw!BA:BA)</f>
        <v>1</v>
      </c>
      <c r="AY124">
        <f>SUMIF(ConfirmedRaw!$B:$B,$A124,ConfirmedRaw!BB:BB)</f>
        <v>1</v>
      </c>
      <c r="AZ124">
        <f>SUMIF(ConfirmedRaw!$B:$B,$A124,ConfirmedRaw!BC:BC)</f>
        <v>1</v>
      </c>
      <c r="BA124">
        <f>SUMIF(ConfirmedRaw!$B:$B,$A124,ConfirmedRaw!BD:BD)</f>
        <v>1</v>
      </c>
      <c r="BB124">
        <f>SUMIF(ConfirmedRaw!$B:$B,$A124,ConfirmedRaw!BE:BE)</f>
        <v>1</v>
      </c>
      <c r="BC124">
        <f>SUMIF(ConfirmedRaw!$B:$B,$A124,ConfirmedRaw!BF:BF)</f>
        <v>1</v>
      </c>
      <c r="BD124">
        <f>SUMIF(ConfirmedRaw!$B:$B,$A124,ConfirmedRaw!BG:BG)</f>
        <v>1</v>
      </c>
      <c r="BE124">
        <f>SUMIF(ConfirmedRaw!$B:$B,$A124,ConfirmedRaw!BH:BH)</f>
        <v>1</v>
      </c>
      <c r="BF124">
        <f>SUMIF(ConfirmedRaw!$B:$B,$A124,ConfirmedRaw!BI:BI)</f>
        <v>1</v>
      </c>
      <c r="BG124">
        <f>SUMIF(ConfirmedRaw!$B:$B,$A124,ConfirmedRaw!BJ:BJ)</f>
        <v>0</v>
      </c>
      <c r="BH124">
        <f>SUMIF(ConfirmedRaw!$B:$B,$A124,ConfirmedRaw!BK:BK)</f>
        <v>0</v>
      </c>
      <c r="BI124">
        <f>SUMIF(ConfirmedRaw!$B:$B,$A124,ConfirmedRaw!BL:BL)</f>
        <v>0</v>
      </c>
      <c r="BJ124">
        <f>SUMIF(ConfirmedRaw!$B:$B,$A124,ConfirmedRaw!BM:BM)</f>
        <v>0</v>
      </c>
      <c r="BK124">
        <f>SUMIF(ConfirmedRaw!$B:$B,$A124,ConfirmedRaw!BN:BN)</f>
        <v>0</v>
      </c>
      <c r="BL124">
        <f>SUMIF(ConfirmedRaw!$B:$B,$A124,ConfirmedRaw!BO:BO)</f>
        <v>0</v>
      </c>
      <c r="BM124">
        <f>SUMIF(ConfirmedRaw!$B:$B,$A124,ConfirmedRaw!BP:BP)</f>
        <v>0</v>
      </c>
      <c r="BN124">
        <f>SUMIF(ConfirmedRaw!$B:$B,$A124,ConfirmedRaw!BQ:BQ)</f>
        <v>0</v>
      </c>
      <c r="BO124">
        <f>SUMIF(ConfirmedRaw!$B:$B,$A124,ConfirmedRaw!BR:BR)</f>
        <v>0</v>
      </c>
      <c r="BP124">
        <f>SUMIF(ConfirmedRaw!$B:$B,$A124,ConfirmedRaw!BS:BS)</f>
        <v>0</v>
      </c>
      <c r="BQ124">
        <f>SUMIF(ConfirmedRaw!$B:$B,$A124,ConfirmedRaw!BT:BT)</f>
        <v>0</v>
      </c>
      <c r="BR124">
        <f>SUMIF(ConfirmedRaw!$B:$B,$A124,ConfirmedRaw!BU:BU)</f>
        <v>0</v>
      </c>
      <c r="BS124">
        <f>SUMIF(ConfirmedRaw!$B:$B,$A124,ConfirmedRaw!BV:BV)</f>
        <v>0</v>
      </c>
      <c r="BT124">
        <f>SUMIF(ConfirmedRaw!$B:$B,$A124,ConfirmedRaw!BW:BW)</f>
        <v>0</v>
      </c>
    </row>
    <row r="125" spans="1:72" ht="15" thickBot="1" x14ac:dyDescent="0.35">
      <c r="A125" s="3" t="s">
        <v>420</v>
      </c>
      <c r="B125">
        <f>SUMIF(ConfirmedRaw!$B:$B,$A125,ConfirmedRaw!E:E)</f>
        <v>0</v>
      </c>
      <c r="C125">
        <f>SUMIF(ConfirmedRaw!$B:$B,$A125,ConfirmedRaw!F:F)</f>
        <v>0</v>
      </c>
      <c r="D125">
        <f>SUMIF(ConfirmedRaw!$B:$B,$A125,ConfirmedRaw!G:G)</f>
        <v>0</v>
      </c>
      <c r="E125">
        <f>SUMIF(ConfirmedRaw!$B:$B,$A125,ConfirmedRaw!H:H)</f>
        <v>0</v>
      </c>
      <c r="F125">
        <f>SUMIF(ConfirmedRaw!$B:$B,$A125,ConfirmedRaw!I:I)</f>
        <v>0</v>
      </c>
      <c r="G125">
        <f>SUMIF(ConfirmedRaw!$B:$B,$A125,ConfirmedRaw!J:J)</f>
        <v>0</v>
      </c>
      <c r="H125">
        <f>SUMIF(ConfirmedRaw!$B:$B,$A125,ConfirmedRaw!K:K)</f>
        <v>0</v>
      </c>
      <c r="I125">
        <f>SUMIF(ConfirmedRaw!$B:$B,$A125,ConfirmedRaw!L:L)</f>
        <v>0</v>
      </c>
      <c r="J125">
        <f>SUMIF(ConfirmedRaw!$B:$B,$A125,ConfirmedRaw!M:M)</f>
        <v>0</v>
      </c>
      <c r="K125">
        <f>SUMIF(ConfirmedRaw!$B:$B,$A125,ConfirmedRaw!N:N)</f>
        <v>0</v>
      </c>
      <c r="L125">
        <f>SUMIF(ConfirmedRaw!$B:$B,$A125,ConfirmedRaw!O:O)</f>
        <v>0</v>
      </c>
      <c r="M125">
        <f>SUMIF(ConfirmedRaw!$B:$B,$A125,ConfirmedRaw!P:P)</f>
        <v>0</v>
      </c>
      <c r="N125">
        <f>SUMIF(ConfirmedRaw!$B:$B,$A125,ConfirmedRaw!Q:Q)</f>
        <v>0</v>
      </c>
      <c r="O125">
        <f>SUMIF(ConfirmedRaw!$B:$B,$A125,ConfirmedRaw!R:R)</f>
        <v>0</v>
      </c>
      <c r="P125">
        <f>SUMIF(ConfirmedRaw!$B:$B,$A125,ConfirmedRaw!S:S)</f>
        <v>0</v>
      </c>
      <c r="Q125">
        <f>SUMIF(ConfirmedRaw!$B:$B,$A125,ConfirmedRaw!T:T)</f>
        <v>0</v>
      </c>
      <c r="R125">
        <f>SUMIF(ConfirmedRaw!$B:$B,$A125,ConfirmedRaw!U:U)</f>
        <v>0</v>
      </c>
      <c r="S125">
        <f>SUMIF(ConfirmedRaw!$B:$B,$A125,ConfirmedRaw!V:V)</f>
        <v>0</v>
      </c>
      <c r="T125">
        <f>SUMIF(ConfirmedRaw!$B:$B,$A125,ConfirmedRaw!W:W)</f>
        <v>0</v>
      </c>
      <c r="U125">
        <f>SUMIF(ConfirmedRaw!$B:$B,$A125,ConfirmedRaw!X:X)</f>
        <v>0</v>
      </c>
      <c r="V125">
        <f>SUMIF(ConfirmedRaw!$B:$B,$A125,ConfirmedRaw!Y:Y)</f>
        <v>0</v>
      </c>
      <c r="W125">
        <f>SUMIF(ConfirmedRaw!$B:$B,$A125,ConfirmedRaw!Z:Z)</f>
        <v>0</v>
      </c>
      <c r="X125">
        <f>SUMIF(ConfirmedRaw!$B:$B,$A125,ConfirmedRaw!AA:AA)</f>
        <v>0</v>
      </c>
      <c r="Y125">
        <f>SUMIF(ConfirmedRaw!$B:$B,$A125,ConfirmedRaw!AB:AB)</f>
        <v>0</v>
      </c>
      <c r="Z125">
        <f>SUMIF(ConfirmedRaw!$B:$B,$A125,ConfirmedRaw!AC:AC)</f>
        <v>0</v>
      </c>
      <c r="AA125">
        <f>SUMIF(ConfirmedRaw!$B:$B,$A125,ConfirmedRaw!AD:AD)</f>
        <v>0</v>
      </c>
      <c r="AB125">
        <f>SUMIF(ConfirmedRaw!$B:$B,$A125,ConfirmedRaw!AE:AE)</f>
        <v>0</v>
      </c>
      <c r="AC125">
        <f>SUMIF(ConfirmedRaw!$B:$B,$A125,ConfirmedRaw!AF:AF)</f>
        <v>0</v>
      </c>
      <c r="AD125">
        <f>SUMIF(ConfirmedRaw!$B:$B,$A125,ConfirmedRaw!AG:AG)</f>
        <v>0</v>
      </c>
      <c r="AE125">
        <f>SUMIF(ConfirmedRaw!$B:$B,$A125,ConfirmedRaw!AH:AH)</f>
        <v>0</v>
      </c>
      <c r="AF125">
        <f>SUMIF(ConfirmedRaw!$B:$B,$A125,ConfirmedRaw!AI:AI)</f>
        <v>0</v>
      </c>
      <c r="AG125">
        <f>SUMIF(ConfirmedRaw!$B:$B,$A125,ConfirmedRaw!AJ:AJ)</f>
        <v>0</v>
      </c>
      <c r="AH125">
        <f>SUMIF(ConfirmedRaw!$B:$B,$A125,ConfirmedRaw!AK:AK)</f>
        <v>0</v>
      </c>
      <c r="AI125">
        <f>SUMIF(ConfirmedRaw!$B:$B,$A125,ConfirmedRaw!AL:AL)</f>
        <v>0</v>
      </c>
      <c r="AJ125">
        <f>SUMIF(ConfirmedRaw!$B:$B,$A125,ConfirmedRaw!AM:AM)</f>
        <v>0</v>
      </c>
      <c r="AK125">
        <f>SUMIF(ConfirmedRaw!$B:$B,$A125,ConfirmedRaw!AN:AN)</f>
        <v>0</v>
      </c>
      <c r="AL125">
        <f>SUMIF(ConfirmedRaw!$B:$B,$A125,ConfirmedRaw!AO:AO)</f>
        <v>0</v>
      </c>
      <c r="AM125">
        <f>SUMIF(ConfirmedRaw!$B:$B,$A125,ConfirmedRaw!AP:AP)</f>
        <v>0</v>
      </c>
      <c r="AN125">
        <f>SUMIF(ConfirmedRaw!$B:$B,$A125,ConfirmedRaw!AQ:AQ)</f>
        <v>0</v>
      </c>
      <c r="AO125">
        <f>SUMIF(ConfirmedRaw!$B:$B,$A125,ConfirmedRaw!AR:AR)</f>
        <v>0</v>
      </c>
      <c r="AP125">
        <f>SUMIF(ConfirmedRaw!$B:$B,$A125,ConfirmedRaw!AS:AS)</f>
        <v>0</v>
      </c>
      <c r="AQ125">
        <f>SUMIF(ConfirmedRaw!$B:$B,$A125,ConfirmedRaw!AT:AT)</f>
        <v>0</v>
      </c>
      <c r="AR125">
        <f>SUMIF(ConfirmedRaw!$B:$B,$A125,ConfirmedRaw!AU:AU)</f>
        <v>0</v>
      </c>
      <c r="AS125">
        <f>SUMIF(ConfirmedRaw!$B:$B,$A125,ConfirmedRaw!AV:AV)</f>
        <v>0</v>
      </c>
      <c r="AT125">
        <f>SUMIF(ConfirmedRaw!$B:$B,$A125,ConfirmedRaw!AW:AW)</f>
        <v>0</v>
      </c>
      <c r="AU125">
        <f>SUMIF(ConfirmedRaw!$B:$B,$A125,ConfirmedRaw!AX:AX)</f>
        <v>0</v>
      </c>
      <c r="AV125">
        <f>SUMIF(ConfirmedRaw!$B:$B,$A125,ConfirmedRaw!AY:AY)</f>
        <v>0</v>
      </c>
      <c r="AW125">
        <f>SUMIF(ConfirmedRaw!$B:$B,$A125,ConfirmedRaw!AZ:AZ)</f>
        <v>0</v>
      </c>
      <c r="AX125">
        <f>SUMIF(ConfirmedRaw!$B:$B,$A125,ConfirmedRaw!BA:BA)</f>
        <v>0</v>
      </c>
      <c r="AY125">
        <f>SUMIF(ConfirmedRaw!$B:$B,$A125,ConfirmedRaw!BB:BB)</f>
        <v>0</v>
      </c>
      <c r="AZ125">
        <f>SUMIF(ConfirmedRaw!$B:$B,$A125,ConfirmedRaw!BC:BC)</f>
        <v>0</v>
      </c>
      <c r="BA125">
        <f>SUMIF(ConfirmedRaw!$B:$B,$A125,ConfirmedRaw!BD:BD)</f>
        <v>1</v>
      </c>
      <c r="BB125">
        <f>SUMIF(ConfirmedRaw!$B:$B,$A125,ConfirmedRaw!BE:BE)</f>
        <v>1</v>
      </c>
      <c r="BC125">
        <f>SUMIF(ConfirmedRaw!$B:$B,$A125,ConfirmedRaw!BF:BF)</f>
        <v>1</v>
      </c>
      <c r="BD125">
        <f>SUMIF(ConfirmedRaw!$B:$B,$A125,ConfirmedRaw!BG:BG)</f>
        <v>1</v>
      </c>
      <c r="BE125">
        <f>SUMIF(ConfirmedRaw!$B:$B,$A125,ConfirmedRaw!BH:BH)</f>
        <v>1</v>
      </c>
      <c r="BF125">
        <f>SUMIF(ConfirmedRaw!$B:$B,$A125,ConfirmedRaw!BI:BI)</f>
        <v>2</v>
      </c>
      <c r="BG125">
        <f>SUMIF(ConfirmedRaw!$B:$B,$A125,ConfirmedRaw!BJ:BJ)</f>
        <v>0</v>
      </c>
      <c r="BH125">
        <f>SUMIF(ConfirmedRaw!$B:$B,$A125,ConfirmedRaw!BK:BK)</f>
        <v>0</v>
      </c>
      <c r="BI125">
        <f>SUMIF(ConfirmedRaw!$B:$B,$A125,ConfirmedRaw!BL:BL)</f>
        <v>0</v>
      </c>
      <c r="BJ125">
        <f>SUMIF(ConfirmedRaw!$B:$B,$A125,ConfirmedRaw!BM:BM)</f>
        <v>0</v>
      </c>
      <c r="BK125">
        <f>SUMIF(ConfirmedRaw!$B:$B,$A125,ConfirmedRaw!BN:BN)</f>
        <v>0</v>
      </c>
      <c r="BL125">
        <f>SUMIF(ConfirmedRaw!$B:$B,$A125,ConfirmedRaw!BO:BO)</f>
        <v>0</v>
      </c>
      <c r="BM125">
        <f>SUMIF(ConfirmedRaw!$B:$B,$A125,ConfirmedRaw!BP:BP)</f>
        <v>0</v>
      </c>
      <c r="BN125">
        <f>SUMIF(ConfirmedRaw!$B:$B,$A125,ConfirmedRaw!BQ:BQ)</f>
        <v>0</v>
      </c>
      <c r="BO125">
        <f>SUMIF(ConfirmedRaw!$B:$B,$A125,ConfirmedRaw!BR:BR)</f>
        <v>0</v>
      </c>
      <c r="BP125">
        <f>SUMIF(ConfirmedRaw!$B:$B,$A125,ConfirmedRaw!BS:BS)</f>
        <v>0</v>
      </c>
      <c r="BQ125">
        <f>SUMIF(ConfirmedRaw!$B:$B,$A125,ConfirmedRaw!BT:BT)</f>
        <v>0</v>
      </c>
      <c r="BR125">
        <f>SUMIF(ConfirmedRaw!$B:$B,$A125,ConfirmedRaw!BU:BU)</f>
        <v>0</v>
      </c>
      <c r="BS125">
        <f>SUMIF(ConfirmedRaw!$B:$B,$A125,ConfirmedRaw!BV:BV)</f>
        <v>0</v>
      </c>
      <c r="BT125">
        <f>SUMIF(ConfirmedRaw!$B:$B,$A125,ConfirmedRaw!BW:BW)</f>
        <v>0</v>
      </c>
    </row>
    <row r="126" spans="1:72" ht="15" thickBot="1" x14ac:dyDescent="0.35">
      <c r="A126" s="3" t="s">
        <v>163</v>
      </c>
      <c r="B126">
        <f>SUMIF(ConfirmedRaw!$B:$B,$A126,ConfirmedRaw!E:E)</f>
        <v>0</v>
      </c>
      <c r="C126">
        <f>SUMIF(ConfirmedRaw!$B:$B,$A126,ConfirmedRaw!F:F)</f>
        <v>0</v>
      </c>
      <c r="D126">
        <f>SUMIF(ConfirmedRaw!$B:$B,$A126,ConfirmedRaw!G:G)</f>
        <v>0</v>
      </c>
      <c r="E126">
        <f>SUMIF(ConfirmedRaw!$B:$B,$A126,ConfirmedRaw!H:H)</f>
        <v>0</v>
      </c>
      <c r="F126">
        <f>SUMIF(ConfirmedRaw!$B:$B,$A126,ConfirmedRaw!I:I)</f>
        <v>0</v>
      </c>
      <c r="G126">
        <f>SUMIF(ConfirmedRaw!$B:$B,$A126,ConfirmedRaw!J:J)</f>
        <v>0</v>
      </c>
      <c r="H126">
        <f>SUMIF(ConfirmedRaw!$B:$B,$A126,ConfirmedRaw!K:K)</f>
        <v>0</v>
      </c>
      <c r="I126">
        <f>SUMIF(ConfirmedRaw!$B:$B,$A126,ConfirmedRaw!L:L)</f>
        <v>0</v>
      </c>
      <c r="J126">
        <f>SUMIF(ConfirmedRaw!$B:$B,$A126,ConfirmedRaw!M:M)</f>
        <v>0</v>
      </c>
      <c r="K126">
        <f>SUMIF(ConfirmedRaw!$B:$B,$A126,ConfirmedRaw!N:N)</f>
        <v>0</v>
      </c>
      <c r="L126">
        <f>SUMIF(ConfirmedRaw!$B:$B,$A126,ConfirmedRaw!O:O)</f>
        <v>0</v>
      </c>
      <c r="M126">
        <f>SUMIF(ConfirmedRaw!$B:$B,$A126,ConfirmedRaw!P:P)</f>
        <v>0</v>
      </c>
      <c r="N126">
        <f>SUMIF(ConfirmedRaw!$B:$B,$A126,ConfirmedRaw!Q:Q)</f>
        <v>0</v>
      </c>
      <c r="O126">
        <f>SUMIF(ConfirmedRaw!$B:$B,$A126,ConfirmedRaw!R:R)</f>
        <v>0</v>
      </c>
      <c r="P126">
        <f>SUMIF(ConfirmedRaw!$B:$B,$A126,ConfirmedRaw!S:S)</f>
        <v>0</v>
      </c>
      <c r="Q126">
        <f>SUMIF(ConfirmedRaw!$B:$B,$A126,ConfirmedRaw!T:T)</f>
        <v>0</v>
      </c>
      <c r="R126">
        <f>SUMIF(ConfirmedRaw!$B:$B,$A126,ConfirmedRaw!U:U)</f>
        <v>0</v>
      </c>
      <c r="S126">
        <f>SUMIF(ConfirmedRaw!$B:$B,$A126,ConfirmedRaw!V:V)</f>
        <v>0</v>
      </c>
      <c r="T126">
        <f>SUMIF(ConfirmedRaw!$B:$B,$A126,ConfirmedRaw!W:W)</f>
        <v>0</v>
      </c>
      <c r="U126">
        <f>SUMIF(ConfirmedRaw!$B:$B,$A126,ConfirmedRaw!X:X)</f>
        <v>0</v>
      </c>
      <c r="V126">
        <f>SUMIF(ConfirmedRaw!$B:$B,$A126,ConfirmedRaw!Y:Y)</f>
        <v>0</v>
      </c>
      <c r="W126">
        <f>SUMIF(ConfirmedRaw!$B:$B,$A126,ConfirmedRaw!Z:Z)</f>
        <v>0</v>
      </c>
      <c r="X126">
        <f>SUMIF(ConfirmedRaw!$B:$B,$A126,ConfirmedRaw!AA:AA)</f>
        <v>0</v>
      </c>
      <c r="Y126">
        <f>SUMIF(ConfirmedRaw!$B:$B,$A126,ConfirmedRaw!AB:AB)</f>
        <v>0</v>
      </c>
      <c r="Z126">
        <f>SUMIF(ConfirmedRaw!$B:$B,$A126,ConfirmedRaw!AC:AC)</f>
        <v>0</v>
      </c>
      <c r="AA126">
        <f>SUMIF(ConfirmedRaw!$B:$B,$A126,ConfirmedRaw!AD:AD)</f>
        <v>0</v>
      </c>
      <c r="AB126">
        <f>SUMIF(ConfirmedRaw!$B:$B,$A126,ConfirmedRaw!AE:AE)</f>
        <v>0</v>
      </c>
      <c r="AC126">
        <f>SUMIF(ConfirmedRaw!$B:$B,$A126,ConfirmedRaw!AF:AF)</f>
        <v>0</v>
      </c>
      <c r="AD126">
        <f>SUMIF(ConfirmedRaw!$B:$B,$A126,ConfirmedRaw!AG:AG)</f>
        <v>0</v>
      </c>
      <c r="AE126">
        <f>SUMIF(ConfirmedRaw!$B:$B,$A126,ConfirmedRaw!AH:AH)</f>
        <v>0</v>
      </c>
      <c r="AF126">
        <f>SUMIF(ConfirmedRaw!$B:$B,$A126,ConfirmedRaw!AI:AI)</f>
        <v>0</v>
      </c>
      <c r="AG126">
        <f>SUMIF(ConfirmedRaw!$B:$B,$A126,ConfirmedRaw!AJ:AJ)</f>
        <v>0</v>
      </c>
      <c r="AH126">
        <f>SUMIF(ConfirmedRaw!$B:$B,$A126,ConfirmedRaw!AK:AK)</f>
        <v>0</v>
      </c>
      <c r="AI126">
        <f>SUMIF(ConfirmedRaw!$B:$B,$A126,ConfirmedRaw!AL:AL)</f>
        <v>0</v>
      </c>
      <c r="AJ126">
        <f>SUMIF(ConfirmedRaw!$B:$B,$A126,ConfirmedRaw!AM:AM)</f>
        <v>0</v>
      </c>
      <c r="AK126">
        <f>SUMIF(ConfirmedRaw!$B:$B,$A126,ConfirmedRaw!AN:AN)</f>
        <v>0</v>
      </c>
      <c r="AL126">
        <f>SUMIF(ConfirmedRaw!$B:$B,$A126,ConfirmedRaw!AO:AO)</f>
        <v>0</v>
      </c>
      <c r="AM126">
        <f>SUMIF(ConfirmedRaw!$B:$B,$A126,ConfirmedRaw!AP:AP)</f>
        <v>0</v>
      </c>
      <c r="AN126">
        <f>SUMIF(ConfirmedRaw!$B:$B,$A126,ConfirmedRaw!AQ:AQ)</f>
        <v>0</v>
      </c>
      <c r="AO126">
        <f>SUMIF(ConfirmedRaw!$B:$B,$A126,ConfirmedRaw!AR:AR)</f>
        <v>0</v>
      </c>
      <c r="AP126">
        <f>SUMIF(ConfirmedRaw!$B:$B,$A126,ConfirmedRaw!AS:AS)</f>
        <v>0</v>
      </c>
      <c r="AQ126">
        <f>SUMIF(ConfirmedRaw!$B:$B,$A126,ConfirmedRaw!AT:AT)</f>
        <v>0</v>
      </c>
      <c r="AR126">
        <f>SUMIF(ConfirmedRaw!$B:$B,$A126,ConfirmedRaw!AU:AU)</f>
        <v>0</v>
      </c>
      <c r="AS126">
        <f>SUMIF(ConfirmedRaw!$B:$B,$A126,ConfirmedRaw!AV:AV)</f>
        <v>0</v>
      </c>
      <c r="AT126">
        <f>SUMIF(ConfirmedRaw!$B:$B,$A126,ConfirmedRaw!AW:AW)</f>
        <v>1</v>
      </c>
      <c r="AU126">
        <f>SUMIF(ConfirmedRaw!$B:$B,$A126,ConfirmedRaw!AX:AX)</f>
        <v>1</v>
      </c>
      <c r="AV126">
        <f>SUMIF(ConfirmedRaw!$B:$B,$A126,ConfirmedRaw!AY:AY)</f>
        <v>1</v>
      </c>
      <c r="AW126">
        <f>SUMIF(ConfirmedRaw!$B:$B,$A126,ConfirmedRaw!AZ:AZ)</f>
        <v>1</v>
      </c>
      <c r="AX126">
        <f>SUMIF(ConfirmedRaw!$B:$B,$A126,ConfirmedRaw!BA:BA)</f>
        <v>1</v>
      </c>
      <c r="AY126">
        <f>SUMIF(ConfirmedRaw!$B:$B,$A126,ConfirmedRaw!BB:BB)</f>
        <v>1</v>
      </c>
      <c r="AZ126">
        <f>SUMIF(ConfirmedRaw!$B:$B,$A126,ConfirmedRaw!BC:BC)</f>
        <v>1</v>
      </c>
      <c r="BA126">
        <f>SUMIF(ConfirmedRaw!$B:$B,$A126,ConfirmedRaw!BD:BD)</f>
        <v>1</v>
      </c>
      <c r="BB126">
        <f>SUMIF(ConfirmedRaw!$B:$B,$A126,ConfirmedRaw!BE:BE)</f>
        <v>1</v>
      </c>
      <c r="BC126">
        <f>SUMIF(ConfirmedRaw!$B:$B,$A126,ConfirmedRaw!BF:BF)</f>
        <v>1</v>
      </c>
      <c r="BD126">
        <f>SUMIF(ConfirmedRaw!$B:$B,$A126,ConfirmedRaw!BG:BG)</f>
        <v>1</v>
      </c>
      <c r="BE126">
        <f>SUMIF(ConfirmedRaw!$B:$B,$A126,ConfirmedRaw!BH:BH)</f>
        <v>1</v>
      </c>
      <c r="BF126">
        <f>SUMIF(ConfirmedRaw!$B:$B,$A126,ConfirmedRaw!BI:BI)</f>
        <v>1</v>
      </c>
      <c r="BG126">
        <f>SUMIF(ConfirmedRaw!$B:$B,$A126,ConfirmedRaw!BJ:BJ)</f>
        <v>0</v>
      </c>
      <c r="BH126">
        <f>SUMIF(ConfirmedRaw!$B:$B,$A126,ConfirmedRaw!BK:BK)</f>
        <v>0</v>
      </c>
      <c r="BI126">
        <f>SUMIF(ConfirmedRaw!$B:$B,$A126,ConfirmedRaw!BL:BL)</f>
        <v>0</v>
      </c>
      <c r="BJ126">
        <f>SUMIF(ConfirmedRaw!$B:$B,$A126,ConfirmedRaw!BM:BM)</f>
        <v>0</v>
      </c>
      <c r="BK126">
        <f>SUMIF(ConfirmedRaw!$B:$B,$A126,ConfirmedRaw!BN:BN)</f>
        <v>0</v>
      </c>
      <c r="BL126">
        <f>SUMIF(ConfirmedRaw!$B:$B,$A126,ConfirmedRaw!BO:BO)</f>
        <v>0</v>
      </c>
      <c r="BM126">
        <f>SUMIF(ConfirmedRaw!$B:$B,$A126,ConfirmedRaw!BP:BP)</f>
        <v>0</v>
      </c>
      <c r="BN126">
        <f>SUMIF(ConfirmedRaw!$B:$B,$A126,ConfirmedRaw!BQ:BQ)</f>
        <v>0</v>
      </c>
      <c r="BO126">
        <f>SUMIF(ConfirmedRaw!$B:$B,$A126,ConfirmedRaw!BR:BR)</f>
        <v>0</v>
      </c>
      <c r="BP126">
        <f>SUMIF(ConfirmedRaw!$B:$B,$A126,ConfirmedRaw!BS:BS)</f>
        <v>0</v>
      </c>
      <c r="BQ126">
        <f>SUMIF(ConfirmedRaw!$B:$B,$A126,ConfirmedRaw!BT:BT)</f>
        <v>0</v>
      </c>
      <c r="BR126">
        <f>SUMIF(ConfirmedRaw!$B:$B,$A126,ConfirmedRaw!BU:BU)</f>
        <v>0</v>
      </c>
      <c r="BS126">
        <f>SUMIF(ConfirmedRaw!$B:$B,$A126,ConfirmedRaw!BV:BV)</f>
        <v>0</v>
      </c>
      <c r="BT126">
        <f>SUMIF(ConfirmedRaw!$B:$B,$A126,ConfirmedRaw!BW:BW)</f>
        <v>0</v>
      </c>
    </row>
  </sheetData>
  <autoFilter ref="A1:BA1" xr:uid="{00000000-0009-0000-0000-000003000000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324B8-203E-489E-B09E-6DE0725DF50F}">
  <sheetPr codeName="Sheet8"/>
  <dimension ref="A1:BT126"/>
  <sheetViews>
    <sheetView workbookViewId="0">
      <pane xSplit="1" ySplit="1" topLeftCell="AT2" activePane="bottomRight" state="frozen"/>
      <selection pane="topRight" activeCell="B1" sqref="B1"/>
      <selection pane="bottomLeft" activeCell="A2" sqref="A2"/>
      <selection pane="bottomRight" activeCell="AT9" sqref="AT9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SUMIF(RecoveredRaw!$B:$B,$A2,RecoveredRaw!E:E)</f>
        <v>28</v>
      </c>
      <c r="C2">
        <f>SUMIF(RecoveredRaw!$B:$B,$A2,RecoveredRaw!F:F)</f>
        <v>30</v>
      </c>
      <c r="D2">
        <f>SUMIF(RecoveredRaw!$B:$B,$A2,RecoveredRaw!G:G)</f>
        <v>36</v>
      </c>
      <c r="E2">
        <f>SUMIF(RecoveredRaw!$B:$B,$A2,RecoveredRaw!H:H)</f>
        <v>39</v>
      </c>
      <c r="F2">
        <f>SUMIF(RecoveredRaw!$B:$B,$A2,RecoveredRaw!I:I)</f>
        <v>49</v>
      </c>
      <c r="G2">
        <f>SUMIF(RecoveredRaw!$B:$B,$A2,RecoveredRaw!J:J)</f>
        <v>58</v>
      </c>
      <c r="H2">
        <f>SUMIF(RecoveredRaw!$B:$B,$A2,RecoveredRaw!K:K)</f>
        <v>101</v>
      </c>
      <c r="I2">
        <f>SUMIF(RecoveredRaw!$B:$B,$A2,RecoveredRaw!L:L)</f>
        <v>120</v>
      </c>
      <c r="J2">
        <f>SUMIF(RecoveredRaw!$B:$B,$A2,RecoveredRaw!M:M)</f>
        <v>135</v>
      </c>
      <c r="K2">
        <f>SUMIF(RecoveredRaw!$B:$B,$A2,RecoveredRaw!N:N)</f>
        <v>214</v>
      </c>
      <c r="L2">
        <f>SUMIF(RecoveredRaw!$B:$B,$A2,RecoveredRaw!O:O)</f>
        <v>275</v>
      </c>
      <c r="M2">
        <f>SUMIF(RecoveredRaw!$B:$B,$A2,RecoveredRaw!P:P)</f>
        <v>463</v>
      </c>
      <c r="N2">
        <f>SUMIF(RecoveredRaw!$B:$B,$A2,RecoveredRaw!Q:Q)</f>
        <v>614</v>
      </c>
      <c r="O2">
        <f>SUMIF(RecoveredRaw!$B:$B,$A2,RecoveredRaw!R:R)</f>
        <v>843</v>
      </c>
      <c r="P2">
        <f>SUMIF(RecoveredRaw!$B:$B,$A2,RecoveredRaw!S:S)</f>
        <v>1115</v>
      </c>
      <c r="Q2">
        <f>SUMIF(RecoveredRaw!$B:$B,$A2,RecoveredRaw!T:T)</f>
        <v>1477</v>
      </c>
      <c r="R2">
        <f>SUMIF(RecoveredRaw!$B:$B,$A2,RecoveredRaw!U:U)</f>
        <v>1999</v>
      </c>
      <c r="S2">
        <f>SUMIF(RecoveredRaw!$B:$B,$A2,RecoveredRaw!V:V)</f>
        <v>2596</v>
      </c>
      <c r="T2">
        <f>SUMIF(RecoveredRaw!$B:$B,$A2,RecoveredRaw!W:W)</f>
        <v>3219</v>
      </c>
      <c r="U2">
        <f>SUMIF(RecoveredRaw!$B:$B,$A2,RecoveredRaw!X:X)</f>
        <v>3918</v>
      </c>
      <c r="V2">
        <f>SUMIF(RecoveredRaw!$B:$B,$A2,RecoveredRaw!Y:Y)</f>
        <v>4636</v>
      </c>
      <c r="W2">
        <f>SUMIF(RecoveredRaw!$B:$B,$A2,RecoveredRaw!Z:Z)</f>
        <v>5082</v>
      </c>
      <c r="X2">
        <f>SUMIF(RecoveredRaw!$B:$B,$A2,RecoveredRaw!AA:AA)</f>
        <v>6217</v>
      </c>
      <c r="Y2">
        <f>SUMIF(RecoveredRaw!$B:$B,$A2,RecoveredRaw!AB:AB)</f>
        <v>7977</v>
      </c>
      <c r="Z2">
        <f>SUMIF(RecoveredRaw!$B:$B,$A2,RecoveredRaw!AC:AC)</f>
        <v>9298</v>
      </c>
      <c r="AA2">
        <f>SUMIF(RecoveredRaw!$B:$B,$A2,RecoveredRaw!AD:AD)</f>
        <v>10755</v>
      </c>
      <c r="AB2">
        <f>SUMIF(RecoveredRaw!$B:$B,$A2,RecoveredRaw!AE:AE)</f>
        <v>12462</v>
      </c>
      <c r="AC2">
        <f>SUMIF(RecoveredRaw!$B:$B,$A2,RecoveredRaw!AF:AF)</f>
        <v>14206</v>
      </c>
      <c r="AD2">
        <f>SUMIF(RecoveredRaw!$B:$B,$A2,RecoveredRaw!AG:AG)</f>
        <v>15962</v>
      </c>
      <c r="AE2">
        <f>SUMIF(RecoveredRaw!$B:$B,$A2,RecoveredRaw!AH:AH)</f>
        <v>18014</v>
      </c>
      <c r="AF2">
        <f>SUMIF(RecoveredRaw!$B:$B,$A2,RecoveredRaw!AI:AI)</f>
        <v>18704</v>
      </c>
      <c r="AG2">
        <f>SUMIF(RecoveredRaw!$B:$B,$A2,RecoveredRaw!AJ:AJ)</f>
        <v>22699</v>
      </c>
      <c r="AH2">
        <f>SUMIF(RecoveredRaw!$B:$B,$A2,RecoveredRaw!AK:AK)</f>
        <v>23187</v>
      </c>
      <c r="AI2">
        <f>SUMIF(RecoveredRaw!$B:$B,$A2,RecoveredRaw!AL:AL)</f>
        <v>25015</v>
      </c>
      <c r="AJ2">
        <f>SUMIF(RecoveredRaw!$B:$B,$A2,RecoveredRaw!AM:AM)</f>
        <v>27676</v>
      </c>
      <c r="AK2">
        <f>SUMIF(RecoveredRaw!$B:$B,$A2,RecoveredRaw!AN:AN)</f>
        <v>30084</v>
      </c>
      <c r="AL2">
        <f>SUMIF(RecoveredRaw!$B:$B,$A2,RecoveredRaw!AO:AO)</f>
        <v>32930</v>
      </c>
      <c r="AM2">
        <f>SUMIF(RecoveredRaw!$B:$B,$A2,RecoveredRaw!AP:AP)</f>
        <v>36329</v>
      </c>
      <c r="AN2">
        <f>SUMIF(RecoveredRaw!$B:$B,$A2,RecoveredRaw!AQ:AQ)</f>
        <v>39320</v>
      </c>
      <c r="AO2">
        <f>SUMIF(RecoveredRaw!$B:$B,$A2,RecoveredRaw!AR:AR)</f>
        <v>42162</v>
      </c>
      <c r="AP2">
        <f>SUMIF(RecoveredRaw!$B:$B,$A2,RecoveredRaw!AS:AS)</f>
        <v>44854</v>
      </c>
      <c r="AQ2">
        <f>SUMIF(RecoveredRaw!$B:$B,$A2,RecoveredRaw!AT:AT)</f>
        <v>47450</v>
      </c>
      <c r="AR2">
        <f>SUMIF(RecoveredRaw!$B:$B,$A2,RecoveredRaw!AU:AU)</f>
        <v>50001</v>
      </c>
      <c r="AS2">
        <f>SUMIF(RecoveredRaw!$B:$B,$A2,RecoveredRaw!AV:AV)</f>
        <v>52292</v>
      </c>
      <c r="AT2">
        <f>SUMIF(RecoveredRaw!$B:$B,$A2,RecoveredRaw!AW:AW)</f>
        <v>53944</v>
      </c>
      <c r="AU2">
        <f>SUMIF(RecoveredRaw!$B:$B,$A2,RecoveredRaw!AX:AX)</f>
        <v>55539</v>
      </c>
      <c r="AV2">
        <f>SUMIF(RecoveredRaw!$B:$B,$A2,RecoveredRaw!AY:AY)</f>
        <v>57388</v>
      </c>
      <c r="AW2">
        <f>SUMIF(RecoveredRaw!$B:$B,$A2,RecoveredRaw!AZ:AZ)</f>
        <v>58804</v>
      </c>
      <c r="AX2">
        <f>SUMIF(RecoveredRaw!$B:$B,$A2,RecoveredRaw!BA:BA)</f>
        <v>60181</v>
      </c>
      <c r="AY2">
        <f>SUMIF(RecoveredRaw!$B:$B,$A2,RecoveredRaw!BB:BB)</f>
        <v>61644</v>
      </c>
      <c r="AZ2">
        <f>SUMIF(RecoveredRaw!$B:$B,$A2,RecoveredRaw!BC:BC)</f>
        <v>62901</v>
      </c>
      <c r="BA2">
        <f>SUMIF(RecoveredRaw!$B:$B,$A2,RecoveredRaw!BD:BD)</f>
        <v>64196</v>
      </c>
      <c r="BB2">
        <f>SUMIF(RecoveredRaw!$B:$B,$A2,RecoveredRaw!BE:BE)</f>
        <v>65660</v>
      </c>
      <c r="BC2">
        <f>SUMIF(RecoveredRaw!$B:$B,$A2,RecoveredRaw!BF:BF)</f>
        <v>67017</v>
      </c>
      <c r="BD2">
        <f>SUMIF(RecoveredRaw!$B:$B,$A2,RecoveredRaw!BG:BG)</f>
        <v>67910</v>
      </c>
      <c r="BE2">
        <f>SUMIF(RecoveredRaw!$B:$B,$A2,RecoveredRaw!BH:BH)</f>
        <v>68798</v>
      </c>
      <c r="BF2">
        <f>SUMIF(RecoveredRaw!$B:$B,$A2,RecoveredRaw!BI:BI)</f>
        <v>69755</v>
      </c>
      <c r="BG2">
        <f>SUMIF(RecoveredRaw!$B:$B,$A2,RecoveredRaw!BJ:BJ)</f>
        <v>0</v>
      </c>
      <c r="BH2">
        <f>SUMIF(RecoveredRaw!$B:$B,$A2,RecoveredRaw!BK:BK)</f>
        <v>0</v>
      </c>
      <c r="BI2">
        <f>SUMIF(RecoveredRaw!$B:$B,$A2,RecoveredRaw!BL:BL)</f>
        <v>0</v>
      </c>
      <c r="BJ2">
        <f>SUMIF(RecoveredRaw!$B:$B,$A2,RecoveredRaw!BM:BM)</f>
        <v>0</v>
      </c>
      <c r="BK2">
        <f>SUMIF(RecoveredRaw!$B:$B,$A2,RecoveredRaw!BN:BN)</f>
        <v>0</v>
      </c>
      <c r="BL2">
        <f>SUMIF(RecoveredRaw!$B:$B,$A2,RecoveredRaw!BO:BO)</f>
        <v>0</v>
      </c>
      <c r="BM2">
        <f>SUMIF(RecoveredRaw!$B:$B,$A2,RecoveredRaw!BP:BP)</f>
        <v>0</v>
      </c>
      <c r="BN2">
        <f>SUMIF(RecoveredRaw!$B:$B,$A2,RecoveredRaw!BQ:BQ)</f>
        <v>0</v>
      </c>
      <c r="BO2">
        <f>SUMIF(RecoveredRaw!$B:$B,$A2,RecoveredRaw!BR:BR)</f>
        <v>0</v>
      </c>
      <c r="BP2">
        <f>SUMIF(RecoveredRaw!$B:$B,$A2,RecoveredRaw!BS:BS)</f>
        <v>0</v>
      </c>
      <c r="BQ2">
        <f>SUMIF(RecoveredRaw!$B:$B,$A2,RecoveredRaw!BT:BT)</f>
        <v>0</v>
      </c>
      <c r="BR2">
        <f>SUMIF(RecoveredRaw!$B:$B,$A2,RecoveredRaw!BU:BU)</f>
        <v>0</v>
      </c>
      <c r="BS2">
        <f>SUMIF(RecoveredRaw!$B:$B,$A2,RecoveredRaw!BV:BV)</f>
        <v>0</v>
      </c>
      <c r="BT2">
        <f>SUMIF(RecoveredRaw!$B:$B,$A2,RecoveredRaw!BW:BW)</f>
        <v>0</v>
      </c>
    </row>
    <row r="3" spans="1:72" ht="15" thickBot="1" x14ac:dyDescent="0.35">
      <c r="A3" s="3" t="s">
        <v>58</v>
      </c>
      <c r="B3">
        <f>SUMIF(RecoveredRaw!$B:$B,$A3,RecoveredRaw!E:E)</f>
        <v>0</v>
      </c>
      <c r="C3">
        <f>SUMIF(RecoveredRaw!$B:$B,$A3,RecoveredRaw!F:F)</f>
        <v>0</v>
      </c>
      <c r="D3">
        <f>SUMIF(RecoveredRaw!$B:$B,$A3,RecoveredRaw!G:G)</f>
        <v>0</v>
      </c>
      <c r="E3">
        <f>SUMIF(RecoveredRaw!$B:$B,$A3,RecoveredRaw!H:H)</f>
        <v>0</v>
      </c>
      <c r="F3">
        <f>SUMIF(RecoveredRaw!$B:$B,$A3,RecoveredRaw!I:I)</f>
        <v>0</v>
      </c>
      <c r="G3">
        <f>SUMIF(RecoveredRaw!$B:$B,$A3,RecoveredRaw!J:J)</f>
        <v>0</v>
      </c>
      <c r="H3">
        <f>SUMIF(RecoveredRaw!$B:$B,$A3,RecoveredRaw!K:K)</f>
        <v>0</v>
      </c>
      <c r="I3">
        <f>SUMIF(RecoveredRaw!$B:$B,$A3,RecoveredRaw!L:L)</f>
        <v>0</v>
      </c>
      <c r="J3">
        <f>SUMIF(RecoveredRaw!$B:$B,$A3,RecoveredRaw!M:M)</f>
        <v>0</v>
      </c>
      <c r="K3">
        <f>SUMIF(RecoveredRaw!$B:$B,$A3,RecoveredRaw!N:N)</f>
        <v>0</v>
      </c>
      <c r="L3">
        <f>SUMIF(RecoveredRaw!$B:$B,$A3,RecoveredRaw!O:O)</f>
        <v>0</v>
      </c>
      <c r="M3">
        <f>SUMIF(RecoveredRaw!$B:$B,$A3,RecoveredRaw!P:P)</f>
        <v>0</v>
      </c>
      <c r="N3">
        <f>SUMIF(RecoveredRaw!$B:$B,$A3,RecoveredRaw!Q:Q)</f>
        <v>0</v>
      </c>
      <c r="O3">
        <f>SUMIF(RecoveredRaw!$B:$B,$A3,RecoveredRaw!R:R)</f>
        <v>0</v>
      </c>
      <c r="P3">
        <f>SUMIF(RecoveredRaw!$B:$B,$A3,RecoveredRaw!S:S)</f>
        <v>0</v>
      </c>
      <c r="Q3">
        <f>SUMIF(RecoveredRaw!$B:$B,$A3,RecoveredRaw!T:T)</f>
        <v>0</v>
      </c>
      <c r="R3">
        <f>SUMIF(RecoveredRaw!$B:$B,$A3,RecoveredRaw!U:U)</f>
        <v>0</v>
      </c>
      <c r="S3">
        <f>SUMIF(RecoveredRaw!$B:$B,$A3,RecoveredRaw!V:V)</f>
        <v>0</v>
      </c>
      <c r="T3">
        <f>SUMIF(RecoveredRaw!$B:$B,$A3,RecoveredRaw!W:W)</f>
        <v>0</v>
      </c>
      <c r="U3">
        <f>SUMIF(RecoveredRaw!$B:$B,$A3,RecoveredRaw!X:X)</f>
        <v>0</v>
      </c>
      <c r="V3">
        <f>SUMIF(RecoveredRaw!$B:$B,$A3,RecoveredRaw!Y:Y)</f>
        <v>0</v>
      </c>
      <c r="W3">
        <f>SUMIF(RecoveredRaw!$B:$B,$A3,RecoveredRaw!Z:Z)</f>
        <v>0</v>
      </c>
      <c r="X3">
        <f>SUMIF(RecoveredRaw!$B:$B,$A3,RecoveredRaw!AA:AA)</f>
        <v>0</v>
      </c>
      <c r="Y3">
        <f>SUMIF(RecoveredRaw!$B:$B,$A3,RecoveredRaw!AB:AB)</f>
        <v>0</v>
      </c>
      <c r="Z3">
        <f>SUMIF(RecoveredRaw!$B:$B,$A3,RecoveredRaw!AC:AC)</f>
        <v>0</v>
      </c>
      <c r="AA3">
        <f>SUMIF(RecoveredRaw!$B:$B,$A3,RecoveredRaw!AD:AD)</f>
        <v>0</v>
      </c>
      <c r="AB3">
        <f>SUMIF(RecoveredRaw!$B:$B,$A3,RecoveredRaw!AE:AE)</f>
        <v>0</v>
      </c>
      <c r="AC3">
        <f>SUMIF(RecoveredRaw!$B:$B,$A3,RecoveredRaw!AF:AF)</f>
        <v>0</v>
      </c>
      <c r="AD3">
        <f>SUMIF(RecoveredRaw!$B:$B,$A3,RecoveredRaw!AG:AG)</f>
        <v>0</v>
      </c>
      <c r="AE3">
        <f>SUMIF(RecoveredRaw!$B:$B,$A3,RecoveredRaw!AH:AH)</f>
        <v>0</v>
      </c>
      <c r="AF3">
        <f>SUMIF(RecoveredRaw!$B:$B,$A3,RecoveredRaw!AI:AI)</f>
        <v>0</v>
      </c>
      <c r="AG3">
        <f>SUMIF(RecoveredRaw!$B:$B,$A3,RecoveredRaw!AJ:AJ)</f>
        <v>1</v>
      </c>
      <c r="AH3">
        <f>SUMIF(RecoveredRaw!$B:$B,$A3,RecoveredRaw!AK:AK)</f>
        <v>2</v>
      </c>
      <c r="AI3">
        <f>SUMIF(RecoveredRaw!$B:$B,$A3,RecoveredRaw!AL:AL)</f>
        <v>1</v>
      </c>
      <c r="AJ3">
        <f>SUMIF(RecoveredRaw!$B:$B,$A3,RecoveredRaw!AM:AM)</f>
        <v>1</v>
      </c>
      <c r="AK3">
        <f>SUMIF(RecoveredRaw!$B:$B,$A3,RecoveredRaw!AN:AN)</f>
        <v>3</v>
      </c>
      <c r="AL3">
        <f>SUMIF(RecoveredRaw!$B:$B,$A3,RecoveredRaw!AO:AO)</f>
        <v>45</v>
      </c>
      <c r="AM3">
        <f>SUMIF(RecoveredRaw!$B:$B,$A3,RecoveredRaw!AP:AP)</f>
        <v>46</v>
      </c>
      <c r="AN3">
        <f>SUMIF(RecoveredRaw!$B:$B,$A3,RecoveredRaw!AQ:AQ)</f>
        <v>46</v>
      </c>
      <c r="AO3">
        <f>SUMIF(RecoveredRaw!$B:$B,$A3,RecoveredRaw!AR:AR)</f>
        <v>83</v>
      </c>
      <c r="AP3">
        <f>SUMIF(RecoveredRaw!$B:$B,$A3,RecoveredRaw!AS:AS)</f>
        <v>149</v>
      </c>
      <c r="AQ3">
        <f>SUMIF(RecoveredRaw!$B:$B,$A3,RecoveredRaw!AT:AT)</f>
        <v>160</v>
      </c>
      <c r="AR3">
        <f>SUMIF(RecoveredRaw!$B:$B,$A3,RecoveredRaw!AU:AU)</f>
        <v>276</v>
      </c>
      <c r="AS3">
        <f>SUMIF(RecoveredRaw!$B:$B,$A3,RecoveredRaw!AV:AV)</f>
        <v>414</v>
      </c>
      <c r="AT3">
        <f>SUMIF(RecoveredRaw!$B:$B,$A3,RecoveredRaw!AW:AW)</f>
        <v>523</v>
      </c>
      <c r="AU3">
        <f>SUMIF(RecoveredRaw!$B:$B,$A3,RecoveredRaw!AX:AX)</f>
        <v>589</v>
      </c>
      <c r="AV3">
        <f>SUMIF(RecoveredRaw!$B:$B,$A3,RecoveredRaw!AY:AY)</f>
        <v>622</v>
      </c>
      <c r="AW3">
        <f>SUMIF(RecoveredRaw!$B:$B,$A3,RecoveredRaw!AZ:AZ)</f>
        <v>724</v>
      </c>
      <c r="AX3">
        <f>SUMIF(RecoveredRaw!$B:$B,$A3,RecoveredRaw!BA:BA)</f>
        <v>724</v>
      </c>
      <c r="AY3">
        <f>SUMIF(RecoveredRaw!$B:$B,$A3,RecoveredRaw!BB:BB)</f>
        <v>1045</v>
      </c>
      <c r="AZ3">
        <f>SUMIF(RecoveredRaw!$B:$B,$A3,RecoveredRaw!BC:BC)</f>
        <v>1045</v>
      </c>
      <c r="BA3">
        <f>SUMIF(RecoveredRaw!$B:$B,$A3,RecoveredRaw!BD:BD)</f>
        <v>1439</v>
      </c>
      <c r="BB3">
        <f>SUMIF(RecoveredRaw!$B:$B,$A3,RecoveredRaw!BE:BE)</f>
        <v>1966</v>
      </c>
      <c r="BC3">
        <f>SUMIF(RecoveredRaw!$B:$B,$A3,RecoveredRaw!BF:BF)</f>
        <v>2335</v>
      </c>
      <c r="BD3">
        <f>SUMIF(RecoveredRaw!$B:$B,$A3,RecoveredRaw!BG:BG)</f>
        <v>2749</v>
      </c>
      <c r="BE3">
        <f>SUMIF(RecoveredRaw!$B:$B,$A3,RecoveredRaw!BH:BH)</f>
        <v>2941</v>
      </c>
      <c r="BF3">
        <f>SUMIF(RecoveredRaw!$B:$B,$A3,RecoveredRaw!BI:BI)</f>
        <v>4025</v>
      </c>
      <c r="BG3">
        <f>SUMIF(RecoveredRaw!$B:$B,$A3,RecoveredRaw!BJ:BJ)</f>
        <v>0</v>
      </c>
      <c r="BH3">
        <f>SUMIF(RecoveredRaw!$B:$B,$A3,RecoveredRaw!BK:BK)</f>
        <v>0</v>
      </c>
      <c r="BI3">
        <f>SUMIF(RecoveredRaw!$B:$B,$A3,RecoveredRaw!BL:BL)</f>
        <v>0</v>
      </c>
      <c r="BJ3">
        <f>SUMIF(RecoveredRaw!$B:$B,$A3,RecoveredRaw!BM:BM)</f>
        <v>0</v>
      </c>
      <c r="BK3">
        <f>SUMIF(RecoveredRaw!$B:$B,$A3,RecoveredRaw!BN:BN)</f>
        <v>0</v>
      </c>
      <c r="BL3">
        <f>SUMIF(RecoveredRaw!$B:$B,$A3,RecoveredRaw!BO:BO)</f>
        <v>0</v>
      </c>
      <c r="BM3">
        <f>SUMIF(RecoveredRaw!$B:$B,$A3,RecoveredRaw!BP:BP)</f>
        <v>0</v>
      </c>
      <c r="BN3">
        <f>SUMIF(RecoveredRaw!$B:$B,$A3,RecoveredRaw!BQ:BQ)</f>
        <v>0</v>
      </c>
      <c r="BO3">
        <f>SUMIF(RecoveredRaw!$B:$B,$A3,RecoveredRaw!BR:BR)</f>
        <v>0</v>
      </c>
      <c r="BP3">
        <f>SUMIF(RecoveredRaw!$B:$B,$A3,RecoveredRaw!BS:BS)</f>
        <v>0</v>
      </c>
      <c r="BQ3">
        <f>SUMIF(RecoveredRaw!$B:$B,$A3,RecoveredRaw!BT:BT)</f>
        <v>0</v>
      </c>
      <c r="BR3">
        <f>SUMIF(RecoveredRaw!$B:$B,$A3,RecoveredRaw!BU:BU)</f>
        <v>0</v>
      </c>
      <c r="BS3">
        <f>SUMIF(RecoveredRaw!$B:$B,$A3,RecoveredRaw!BV:BV)</f>
        <v>0</v>
      </c>
      <c r="BT3">
        <f>SUMIF(RecoveredRaw!$B:$B,$A3,RecoveredRaw!BW:BW)</f>
        <v>0</v>
      </c>
    </row>
    <row r="4" spans="1:72" ht="15" thickBot="1" x14ac:dyDescent="0.35">
      <c r="A4" s="4" t="s">
        <v>338</v>
      </c>
      <c r="B4">
        <f>SUMIF(RecoveredRaw!$B:$B,$A4,RecoveredRaw!E:E)</f>
        <v>0</v>
      </c>
      <c r="C4">
        <f>SUMIF(RecoveredRaw!$B:$B,$A4,RecoveredRaw!F:F)</f>
        <v>0</v>
      </c>
      <c r="D4">
        <f>SUMIF(RecoveredRaw!$B:$B,$A4,RecoveredRaw!G:G)</f>
        <v>0</v>
      </c>
      <c r="E4">
        <f>SUMIF(RecoveredRaw!$B:$B,$A4,RecoveredRaw!H:H)</f>
        <v>0</v>
      </c>
      <c r="F4">
        <f>SUMIF(RecoveredRaw!$B:$B,$A4,RecoveredRaw!I:I)</f>
        <v>0</v>
      </c>
      <c r="G4">
        <f>SUMIF(RecoveredRaw!$B:$B,$A4,RecoveredRaw!J:J)</f>
        <v>0</v>
      </c>
      <c r="H4">
        <f>SUMIF(RecoveredRaw!$B:$B,$A4,RecoveredRaw!K:K)</f>
        <v>0</v>
      </c>
      <c r="I4">
        <f>SUMIF(RecoveredRaw!$B:$B,$A4,RecoveredRaw!L:L)</f>
        <v>0</v>
      </c>
      <c r="J4">
        <f>SUMIF(RecoveredRaw!$B:$B,$A4,RecoveredRaw!M:M)</f>
        <v>0</v>
      </c>
      <c r="K4">
        <f>SUMIF(RecoveredRaw!$B:$B,$A4,RecoveredRaw!N:N)</f>
        <v>0</v>
      </c>
      <c r="L4">
        <f>SUMIF(RecoveredRaw!$B:$B,$A4,RecoveredRaw!O:O)</f>
        <v>0</v>
      </c>
      <c r="M4">
        <f>SUMIF(RecoveredRaw!$B:$B,$A4,RecoveredRaw!P:P)</f>
        <v>0</v>
      </c>
      <c r="N4">
        <f>SUMIF(RecoveredRaw!$B:$B,$A4,RecoveredRaw!Q:Q)</f>
        <v>0</v>
      </c>
      <c r="O4">
        <f>SUMIF(RecoveredRaw!$B:$B,$A4,RecoveredRaw!R:R)</f>
        <v>0</v>
      </c>
      <c r="P4">
        <f>SUMIF(RecoveredRaw!$B:$B,$A4,RecoveredRaw!S:S)</f>
        <v>0</v>
      </c>
      <c r="Q4">
        <f>SUMIF(RecoveredRaw!$B:$B,$A4,RecoveredRaw!T:T)</f>
        <v>0</v>
      </c>
      <c r="R4">
        <f>SUMIF(RecoveredRaw!$B:$B,$A4,RecoveredRaw!U:U)</f>
        <v>0</v>
      </c>
      <c r="S4">
        <f>SUMIF(RecoveredRaw!$B:$B,$A4,RecoveredRaw!V:V)</f>
        <v>0</v>
      </c>
      <c r="T4">
        <f>SUMIF(RecoveredRaw!$B:$B,$A4,RecoveredRaw!W:W)</f>
        <v>0</v>
      </c>
      <c r="U4">
        <f>SUMIF(RecoveredRaw!$B:$B,$A4,RecoveredRaw!X:X)</f>
        <v>0</v>
      </c>
      <c r="V4">
        <f>SUMIF(RecoveredRaw!$B:$B,$A4,RecoveredRaw!Y:Y)</f>
        <v>0</v>
      </c>
      <c r="W4">
        <f>SUMIF(RecoveredRaw!$B:$B,$A4,RecoveredRaw!Z:Z)</f>
        <v>0</v>
      </c>
      <c r="X4">
        <f>SUMIF(RecoveredRaw!$B:$B,$A4,RecoveredRaw!AA:AA)</f>
        <v>0</v>
      </c>
      <c r="Y4">
        <f>SUMIF(RecoveredRaw!$B:$B,$A4,RecoveredRaw!AB:AB)</f>
        <v>0</v>
      </c>
      <c r="Z4">
        <f>SUMIF(RecoveredRaw!$B:$B,$A4,RecoveredRaw!AC:AC)</f>
        <v>0</v>
      </c>
      <c r="AA4">
        <f>SUMIF(RecoveredRaw!$B:$B,$A4,RecoveredRaw!AD:AD)</f>
        <v>0</v>
      </c>
      <c r="AB4">
        <f>SUMIF(RecoveredRaw!$B:$B,$A4,RecoveredRaw!AE:AE)</f>
        <v>0</v>
      </c>
      <c r="AC4">
        <f>SUMIF(RecoveredRaw!$B:$B,$A4,RecoveredRaw!AF:AF)</f>
        <v>0</v>
      </c>
      <c r="AD4">
        <f>SUMIF(RecoveredRaw!$B:$B,$A4,RecoveredRaw!AG:AG)</f>
        <v>0</v>
      </c>
      <c r="AE4">
        <f>SUMIF(RecoveredRaw!$B:$B,$A4,RecoveredRaw!AH:AH)</f>
        <v>0</v>
      </c>
      <c r="AF4">
        <f>SUMIF(RecoveredRaw!$B:$B,$A4,RecoveredRaw!AI:AI)</f>
        <v>0</v>
      </c>
      <c r="AG4">
        <f>SUMIF(RecoveredRaw!$B:$B,$A4,RecoveredRaw!AJ:AJ)</f>
        <v>0</v>
      </c>
      <c r="AH4">
        <f>SUMIF(RecoveredRaw!$B:$B,$A4,RecoveredRaw!AK:AK)</f>
        <v>0</v>
      </c>
      <c r="AI4">
        <f>SUMIF(RecoveredRaw!$B:$B,$A4,RecoveredRaw!AL:AL)</f>
        <v>0</v>
      </c>
      <c r="AJ4">
        <f>SUMIF(RecoveredRaw!$B:$B,$A4,RecoveredRaw!AM:AM)</f>
        <v>0</v>
      </c>
      <c r="AK4">
        <f>SUMIF(RecoveredRaw!$B:$B,$A4,RecoveredRaw!AN:AN)</f>
        <v>49</v>
      </c>
      <c r="AL4">
        <f>SUMIF(RecoveredRaw!$B:$B,$A4,RecoveredRaw!AO:AO)</f>
        <v>49</v>
      </c>
      <c r="AM4">
        <f>SUMIF(RecoveredRaw!$B:$B,$A4,RecoveredRaw!AP:AP)</f>
        <v>73</v>
      </c>
      <c r="AN4">
        <f>SUMIF(RecoveredRaw!$B:$B,$A4,RecoveredRaw!AQ:AQ)</f>
        <v>123</v>
      </c>
      <c r="AO4">
        <f>SUMIF(RecoveredRaw!$B:$B,$A4,RecoveredRaw!AR:AR)</f>
        <v>175</v>
      </c>
      <c r="AP4">
        <f>SUMIF(RecoveredRaw!$B:$B,$A4,RecoveredRaw!AS:AS)</f>
        <v>291</v>
      </c>
      <c r="AQ4">
        <f>SUMIF(RecoveredRaw!$B:$B,$A4,RecoveredRaw!AT:AT)</f>
        <v>291</v>
      </c>
      <c r="AR4">
        <f>SUMIF(RecoveredRaw!$B:$B,$A4,RecoveredRaw!AU:AU)</f>
        <v>552</v>
      </c>
      <c r="AS4">
        <f>SUMIF(RecoveredRaw!$B:$B,$A4,RecoveredRaw!AV:AV)</f>
        <v>739</v>
      </c>
      <c r="AT4">
        <f>SUMIF(RecoveredRaw!$B:$B,$A4,RecoveredRaw!AW:AW)</f>
        <v>913</v>
      </c>
      <c r="AU4">
        <f>SUMIF(RecoveredRaw!$B:$B,$A4,RecoveredRaw!AX:AX)</f>
        <v>1669</v>
      </c>
      <c r="AV4">
        <f>SUMIF(RecoveredRaw!$B:$B,$A4,RecoveredRaw!AY:AY)</f>
        <v>2134</v>
      </c>
      <c r="AW4">
        <f>SUMIF(RecoveredRaw!$B:$B,$A4,RecoveredRaw!AZ:AZ)</f>
        <v>2394</v>
      </c>
      <c r="AX4">
        <f>SUMIF(RecoveredRaw!$B:$B,$A4,RecoveredRaw!BA:BA)</f>
        <v>2731</v>
      </c>
      <c r="AY4">
        <f>SUMIF(RecoveredRaw!$B:$B,$A4,RecoveredRaw!BB:BB)</f>
        <v>2959</v>
      </c>
      <c r="AZ4">
        <f>SUMIF(RecoveredRaw!$B:$B,$A4,RecoveredRaw!BC:BC)</f>
        <v>2959</v>
      </c>
      <c r="BA4">
        <f>SUMIF(RecoveredRaw!$B:$B,$A4,RecoveredRaw!BD:BD)</f>
        <v>2959</v>
      </c>
      <c r="BB4">
        <f>SUMIF(RecoveredRaw!$B:$B,$A4,RecoveredRaw!BE:BE)</f>
        <v>2959</v>
      </c>
      <c r="BC4">
        <f>SUMIF(RecoveredRaw!$B:$B,$A4,RecoveredRaw!BF:BF)</f>
        <v>4590</v>
      </c>
      <c r="BD4">
        <f>SUMIF(RecoveredRaw!$B:$B,$A4,RecoveredRaw!BG:BG)</f>
        <v>4590</v>
      </c>
      <c r="BE4">
        <f>SUMIF(RecoveredRaw!$B:$B,$A4,RecoveredRaw!BH:BH)</f>
        <v>5389</v>
      </c>
      <c r="BF4">
        <f>SUMIF(RecoveredRaw!$B:$B,$A4,RecoveredRaw!BI:BI)</f>
        <v>5389</v>
      </c>
      <c r="BG4">
        <f>SUMIF(RecoveredRaw!$B:$B,$A4,RecoveredRaw!BJ:BJ)</f>
        <v>0</v>
      </c>
      <c r="BH4">
        <f>SUMIF(RecoveredRaw!$B:$B,$A4,RecoveredRaw!BK:BK)</f>
        <v>0</v>
      </c>
      <c r="BI4">
        <f>SUMIF(RecoveredRaw!$B:$B,$A4,RecoveredRaw!BL:BL)</f>
        <v>0</v>
      </c>
      <c r="BJ4">
        <f>SUMIF(RecoveredRaw!$B:$B,$A4,RecoveredRaw!BM:BM)</f>
        <v>0</v>
      </c>
      <c r="BK4">
        <f>SUMIF(RecoveredRaw!$B:$B,$A4,RecoveredRaw!BN:BN)</f>
        <v>0</v>
      </c>
      <c r="BL4">
        <f>SUMIF(RecoveredRaw!$B:$B,$A4,RecoveredRaw!BO:BO)</f>
        <v>0</v>
      </c>
      <c r="BM4">
        <f>SUMIF(RecoveredRaw!$B:$B,$A4,RecoveredRaw!BP:BP)</f>
        <v>0</v>
      </c>
      <c r="BN4">
        <f>SUMIF(RecoveredRaw!$B:$B,$A4,RecoveredRaw!BQ:BQ)</f>
        <v>0</v>
      </c>
      <c r="BO4">
        <f>SUMIF(RecoveredRaw!$B:$B,$A4,RecoveredRaw!BR:BR)</f>
        <v>0</v>
      </c>
      <c r="BP4">
        <f>SUMIF(RecoveredRaw!$B:$B,$A4,RecoveredRaw!BS:BS)</f>
        <v>0</v>
      </c>
      <c r="BQ4">
        <f>SUMIF(RecoveredRaw!$B:$B,$A4,RecoveredRaw!BT:BT)</f>
        <v>0</v>
      </c>
      <c r="BR4">
        <f>SUMIF(RecoveredRaw!$B:$B,$A4,RecoveredRaw!BU:BU)</f>
        <v>0</v>
      </c>
      <c r="BS4">
        <f>SUMIF(RecoveredRaw!$B:$B,$A4,RecoveredRaw!BV:BV)</f>
        <v>0</v>
      </c>
      <c r="BT4">
        <f>SUMIF(RecoveredRaw!$B:$B,$A4,RecoveredRaw!BW:BW)</f>
        <v>0</v>
      </c>
    </row>
    <row r="5" spans="1:72" ht="15" thickBot="1" x14ac:dyDescent="0.35">
      <c r="A5" s="3" t="s">
        <v>339</v>
      </c>
      <c r="B5">
        <f>SUMIF(RecoveredRaw!$B:$B,$A5,RecoveredRaw!E:E)</f>
        <v>0</v>
      </c>
      <c r="C5">
        <f>SUMIF(RecoveredRaw!$B:$B,$A5,RecoveredRaw!F:F)</f>
        <v>0</v>
      </c>
      <c r="D5">
        <f>SUMIF(RecoveredRaw!$B:$B,$A5,RecoveredRaw!G:G)</f>
        <v>0</v>
      </c>
      <c r="E5">
        <f>SUMIF(RecoveredRaw!$B:$B,$A5,RecoveredRaw!H:H)</f>
        <v>0</v>
      </c>
      <c r="F5">
        <f>SUMIF(RecoveredRaw!$B:$B,$A5,RecoveredRaw!I:I)</f>
        <v>0</v>
      </c>
      <c r="G5">
        <f>SUMIF(RecoveredRaw!$B:$B,$A5,RecoveredRaw!J:J)</f>
        <v>0</v>
      </c>
      <c r="H5">
        <f>SUMIF(RecoveredRaw!$B:$B,$A5,RecoveredRaw!K:K)</f>
        <v>0</v>
      </c>
      <c r="I5">
        <f>SUMIF(RecoveredRaw!$B:$B,$A5,RecoveredRaw!L:L)</f>
        <v>0</v>
      </c>
      <c r="J5">
        <f>SUMIF(RecoveredRaw!$B:$B,$A5,RecoveredRaw!M:M)</f>
        <v>0</v>
      </c>
      <c r="K5">
        <f>SUMIF(RecoveredRaw!$B:$B,$A5,RecoveredRaw!N:N)</f>
        <v>0</v>
      </c>
      <c r="L5">
        <f>SUMIF(RecoveredRaw!$B:$B,$A5,RecoveredRaw!O:O)</f>
        <v>0</v>
      </c>
      <c r="M5">
        <f>SUMIF(RecoveredRaw!$B:$B,$A5,RecoveredRaw!P:P)</f>
        <v>0</v>
      </c>
      <c r="N5">
        <f>SUMIF(RecoveredRaw!$B:$B,$A5,RecoveredRaw!Q:Q)</f>
        <v>0</v>
      </c>
      <c r="O5">
        <f>SUMIF(RecoveredRaw!$B:$B,$A5,RecoveredRaw!R:R)</f>
        <v>0</v>
      </c>
      <c r="P5">
        <f>SUMIF(RecoveredRaw!$B:$B,$A5,RecoveredRaw!S:S)</f>
        <v>0</v>
      </c>
      <c r="Q5">
        <f>SUMIF(RecoveredRaw!$B:$B,$A5,RecoveredRaw!T:T)</f>
        <v>0</v>
      </c>
      <c r="R5">
        <f>SUMIF(RecoveredRaw!$B:$B,$A5,RecoveredRaw!U:U)</f>
        <v>1</v>
      </c>
      <c r="S5">
        <f>SUMIF(RecoveredRaw!$B:$B,$A5,RecoveredRaw!V:V)</f>
        <v>1</v>
      </c>
      <c r="T5">
        <f>SUMIF(RecoveredRaw!$B:$B,$A5,RecoveredRaw!W:W)</f>
        <v>3</v>
      </c>
      <c r="U5">
        <f>SUMIF(RecoveredRaw!$B:$B,$A5,RecoveredRaw!X:X)</f>
        <v>3</v>
      </c>
      <c r="V5">
        <f>SUMIF(RecoveredRaw!$B:$B,$A5,RecoveredRaw!Y:Y)</f>
        <v>3</v>
      </c>
      <c r="W5">
        <f>SUMIF(RecoveredRaw!$B:$B,$A5,RecoveredRaw!Z:Z)</f>
        <v>7</v>
      </c>
      <c r="X5">
        <f>SUMIF(RecoveredRaw!$B:$B,$A5,RecoveredRaw!AA:AA)</f>
        <v>7</v>
      </c>
      <c r="Y5">
        <f>SUMIF(RecoveredRaw!$B:$B,$A5,RecoveredRaw!AB:AB)</f>
        <v>7</v>
      </c>
      <c r="Z5">
        <f>SUMIF(RecoveredRaw!$B:$B,$A5,RecoveredRaw!AC:AC)</f>
        <v>9</v>
      </c>
      <c r="AA5">
        <f>SUMIF(RecoveredRaw!$B:$B,$A5,RecoveredRaw!AD:AD)</f>
        <v>9</v>
      </c>
      <c r="AB5">
        <f>SUMIF(RecoveredRaw!$B:$B,$A5,RecoveredRaw!AE:AE)</f>
        <v>10</v>
      </c>
      <c r="AC5">
        <f>SUMIF(RecoveredRaw!$B:$B,$A5,RecoveredRaw!AF:AF)</f>
        <v>12</v>
      </c>
      <c r="AD5">
        <f>SUMIF(RecoveredRaw!$B:$B,$A5,RecoveredRaw!AG:AG)</f>
        <v>12</v>
      </c>
      <c r="AE5">
        <f>SUMIF(RecoveredRaw!$B:$B,$A5,RecoveredRaw!AH:AH)</f>
        <v>16</v>
      </c>
      <c r="AF5">
        <f>SUMIF(RecoveredRaw!$B:$B,$A5,RecoveredRaw!AI:AI)</f>
        <v>16</v>
      </c>
      <c r="AG5">
        <f>SUMIF(RecoveredRaw!$B:$B,$A5,RecoveredRaw!AJ:AJ)</f>
        <v>16</v>
      </c>
      <c r="AH5">
        <f>SUMIF(RecoveredRaw!$B:$B,$A5,RecoveredRaw!AK:AK)</f>
        <v>18</v>
      </c>
      <c r="AI5">
        <f>SUMIF(RecoveredRaw!$B:$B,$A5,RecoveredRaw!AL:AL)</f>
        <v>18</v>
      </c>
      <c r="AJ5">
        <f>SUMIF(RecoveredRaw!$B:$B,$A5,RecoveredRaw!AM:AM)</f>
        <v>22</v>
      </c>
      <c r="AK5">
        <f>SUMIF(RecoveredRaw!$B:$B,$A5,RecoveredRaw!AN:AN)</f>
        <v>22</v>
      </c>
      <c r="AL5">
        <f>SUMIF(RecoveredRaw!$B:$B,$A5,RecoveredRaw!AO:AO)</f>
        <v>22</v>
      </c>
      <c r="AM5">
        <f>SUMIF(RecoveredRaw!$B:$B,$A5,RecoveredRaw!AP:AP)</f>
        <v>22</v>
      </c>
      <c r="AN5">
        <f>SUMIF(RecoveredRaw!$B:$B,$A5,RecoveredRaw!AQ:AQ)</f>
        <v>27</v>
      </c>
      <c r="AO5">
        <f>SUMIF(RecoveredRaw!$B:$B,$A5,RecoveredRaw!AR:AR)</f>
        <v>30</v>
      </c>
      <c r="AP5">
        <f>SUMIF(RecoveredRaw!$B:$B,$A5,RecoveredRaw!AS:AS)</f>
        <v>30</v>
      </c>
      <c r="AQ5">
        <f>SUMIF(RecoveredRaw!$B:$B,$A5,RecoveredRaw!AT:AT)</f>
        <v>30</v>
      </c>
      <c r="AR5">
        <f>SUMIF(RecoveredRaw!$B:$B,$A5,RecoveredRaw!AU:AU)</f>
        <v>41</v>
      </c>
      <c r="AS5">
        <f>SUMIF(RecoveredRaw!$B:$B,$A5,RecoveredRaw!AV:AV)</f>
        <v>41</v>
      </c>
      <c r="AT5">
        <f>SUMIF(RecoveredRaw!$B:$B,$A5,RecoveredRaw!AW:AW)</f>
        <v>135</v>
      </c>
      <c r="AU5">
        <f>SUMIF(RecoveredRaw!$B:$B,$A5,RecoveredRaw!AX:AX)</f>
        <v>135</v>
      </c>
      <c r="AV5">
        <f>SUMIF(RecoveredRaw!$B:$B,$A5,RecoveredRaw!AY:AY)</f>
        <v>118</v>
      </c>
      <c r="AW5">
        <f>SUMIF(RecoveredRaw!$B:$B,$A5,RecoveredRaw!AZ:AZ)</f>
        <v>118</v>
      </c>
      <c r="AX5">
        <f>SUMIF(RecoveredRaw!$B:$B,$A5,RecoveredRaw!BA:BA)</f>
        <v>247</v>
      </c>
      <c r="AY5">
        <f>SUMIF(RecoveredRaw!$B:$B,$A5,RecoveredRaw!BB:BB)</f>
        <v>288</v>
      </c>
      <c r="AZ5">
        <f>SUMIF(RecoveredRaw!$B:$B,$A5,RecoveredRaw!BC:BC)</f>
        <v>333</v>
      </c>
      <c r="BA5">
        <f>SUMIF(RecoveredRaw!$B:$B,$A5,RecoveredRaw!BD:BD)</f>
        <v>510</v>
      </c>
      <c r="BB5">
        <f>SUMIF(RecoveredRaw!$B:$B,$A5,RecoveredRaw!BE:BE)</f>
        <v>510</v>
      </c>
      <c r="BC5">
        <f>SUMIF(RecoveredRaw!$B:$B,$A5,RecoveredRaw!BF:BF)</f>
        <v>510</v>
      </c>
      <c r="BD5">
        <f>SUMIF(RecoveredRaw!$B:$B,$A5,RecoveredRaw!BG:BG)</f>
        <v>1137</v>
      </c>
      <c r="BE5">
        <f>SUMIF(RecoveredRaw!$B:$B,$A5,RecoveredRaw!BH:BH)</f>
        <v>1407</v>
      </c>
      <c r="BF5">
        <f>SUMIF(RecoveredRaw!$B:$B,$A5,RecoveredRaw!BI:BI)</f>
        <v>1540</v>
      </c>
      <c r="BG5">
        <f>SUMIF(RecoveredRaw!$B:$B,$A5,RecoveredRaw!BJ:BJ)</f>
        <v>0</v>
      </c>
      <c r="BH5">
        <f>SUMIF(RecoveredRaw!$B:$B,$A5,RecoveredRaw!BK:BK)</f>
        <v>0</v>
      </c>
      <c r="BI5">
        <f>SUMIF(RecoveredRaw!$B:$B,$A5,RecoveredRaw!BL:BL)</f>
        <v>0</v>
      </c>
      <c r="BJ5">
        <f>SUMIF(RecoveredRaw!$B:$B,$A5,RecoveredRaw!BM:BM)</f>
        <v>0</v>
      </c>
      <c r="BK5">
        <f>SUMIF(RecoveredRaw!$B:$B,$A5,RecoveredRaw!BN:BN)</f>
        <v>0</v>
      </c>
      <c r="BL5">
        <f>SUMIF(RecoveredRaw!$B:$B,$A5,RecoveredRaw!BO:BO)</f>
        <v>0</v>
      </c>
      <c r="BM5">
        <f>SUMIF(RecoveredRaw!$B:$B,$A5,RecoveredRaw!BP:BP)</f>
        <v>0</v>
      </c>
      <c r="BN5">
        <f>SUMIF(RecoveredRaw!$B:$B,$A5,RecoveredRaw!BQ:BQ)</f>
        <v>0</v>
      </c>
      <c r="BO5">
        <f>SUMIF(RecoveredRaw!$B:$B,$A5,RecoveredRaw!BR:BR)</f>
        <v>0</v>
      </c>
      <c r="BP5">
        <f>SUMIF(RecoveredRaw!$B:$B,$A5,RecoveredRaw!BS:BS)</f>
        <v>0</v>
      </c>
      <c r="BQ5">
        <f>SUMIF(RecoveredRaw!$B:$B,$A5,RecoveredRaw!BT:BT)</f>
        <v>0</v>
      </c>
      <c r="BR5">
        <f>SUMIF(RecoveredRaw!$B:$B,$A5,RecoveredRaw!BU:BU)</f>
        <v>0</v>
      </c>
      <c r="BS5">
        <f>SUMIF(RecoveredRaw!$B:$B,$A5,RecoveredRaw!BV:BV)</f>
        <v>0</v>
      </c>
      <c r="BT5">
        <f>SUMIF(RecoveredRaw!$B:$B,$A5,RecoveredRaw!BW:BW)</f>
        <v>0</v>
      </c>
    </row>
    <row r="6" spans="1:72" ht="15" thickBot="1" x14ac:dyDescent="0.35">
      <c r="A6" s="3" t="s">
        <v>60</v>
      </c>
      <c r="B6">
        <f>SUMIF(RecoveredRaw!$B:$B,$A6,RecoveredRaw!E:E)</f>
        <v>0</v>
      </c>
      <c r="C6">
        <f>SUMIF(RecoveredRaw!$B:$B,$A6,RecoveredRaw!F:F)</f>
        <v>0</v>
      </c>
      <c r="D6">
        <f>SUMIF(RecoveredRaw!$B:$B,$A6,RecoveredRaw!G:G)</f>
        <v>0</v>
      </c>
      <c r="E6">
        <f>SUMIF(RecoveredRaw!$B:$B,$A6,RecoveredRaw!H:H)</f>
        <v>0</v>
      </c>
      <c r="F6">
        <f>SUMIF(RecoveredRaw!$B:$B,$A6,RecoveredRaw!I:I)</f>
        <v>0</v>
      </c>
      <c r="G6">
        <f>SUMIF(RecoveredRaw!$B:$B,$A6,RecoveredRaw!J:J)</f>
        <v>0</v>
      </c>
      <c r="H6">
        <f>SUMIF(RecoveredRaw!$B:$B,$A6,RecoveredRaw!K:K)</f>
        <v>0</v>
      </c>
      <c r="I6">
        <f>SUMIF(RecoveredRaw!$B:$B,$A6,RecoveredRaw!L:L)</f>
        <v>0</v>
      </c>
      <c r="J6">
        <f>SUMIF(RecoveredRaw!$B:$B,$A6,RecoveredRaw!M:M)</f>
        <v>0</v>
      </c>
      <c r="K6">
        <f>SUMIF(RecoveredRaw!$B:$B,$A6,RecoveredRaw!N:N)</f>
        <v>0</v>
      </c>
      <c r="L6">
        <f>SUMIF(RecoveredRaw!$B:$B,$A6,RecoveredRaw!O:O)</f>
        <v>0</v>
      </c>
      <c r="M6">
        <f>SUMIF(RecoveredRaw!$B:$B,$A6,RecoveredRaw!P:P)</f>
        <v>0</v>
      </c>
      <c r="N6">
        <f>SUMIF(RecoveredRaw!$B:$B,$A6,RecoveredRaw!Q:Q)</f>
        <v>0</v>
      </c>
      <c r="O6">
        <f>SUMIF(RecoveredRaw!$B:$B,$A6,RecoveredRaw!R:R)</f>
        <v>0</v>
      </c>
      <c r="P6">
        <f>SUMIF(RecoveredRaw!$B:$B,$A6,RecoveredRaw!S:S)</f>
        <v>0</v>
      </c>
      <c r="Q6">
        <f>SUMIF(RecoveredRaw!$B:$B,$A6,RecoveredRaw!T:T)</f>
        <v>0</v>
      </c>
      <c r="R6">
        <f>SUMIF(RecoveredRaw!$B:$B,$A6,RecoveredRaw!U:U)</f>
        <v>0</v>
      </c>
      <c r="S6">
        <f>SUMIF(RecoveredRaw!$B:$B,$A6,RecoveredRaw!V:V)</f>
        <v>0</v>
      </c>
      <c r="T6">
        <f>SUMIF(RecoveredRaw!$B:$B,$A6,RecoveredRaw!W:W)</f>
        <v>0</v>
      </c>
      <c r="U6">
        <f>SUMIF(RecoveredRaw!$B:$B,$A6,RecoveredRaw!X:X)</f>
        <v>0</v>
      </c>
      <c r="V6">
        <f>SUMIF(RecoveredRaw!$B:$B,$A6,RecoveredRaw!Y:Y)</f>
        <v>0</v>
      </c>
      <c r="W6">
        <f>SUMIF(RecoveredRaw!$B:$B,$A6,RecoveredRaw!Z:Z)</f>
        <v>0</v>
      </c>
      <c r="X6">
        <f>SUMIF(RecoveredRaw!$B:$B,$A6,RecoveredRaw!AA:AA)</f>
        <v>0</v>
      </c>
      <c r="Y6">
        <f>SUMIF(RecoveredRaw!$B:$B,$A6,RecoveredRaw!AB:AB)</f>
        <v>0</v>
      </c>
      <c r="Z6">
        <f>SUMIF(RecoveredRaw!$B:$B,$A6,RecoveredRaw!AC:AC)</f>
        <v>2</v>
      </c>
      <c r="AA6">
        <f>SUMIF(RecoveredRaw!$B:$B,$A6,RecoveredRaw!AD:AD)</f>
        <v>2</v>
      </c>
      <c r="AB6">
        <f>SUMIF(RecoveredRaw!$B:$B,$A6,RecoveredRaw!AE:AE)</f>
        <v>2</v>
      </c>
      <c r="AC6">
        <f>SUMIF(RecoveredRaw!$B:$B,$A6,RecoveredRaw!AF:AF)</f>
        <v>2</v>
      </c>
      <c r="AD6">
        <f>SUMIF(RecoveredRaw!$B:$B,$A6,RecoveredRaw!AG:AG)</f>
        <v>2</v>
      </c>
      <c r="AE6">
        <f>SUMIF(RecoveredRaw!$B:$B,$A6,RecoveredRaw!AH:AH)</f>
        <v>2</v>
      </c>
      <c r="AF6">
        <f>SUMIF(RecoveredRaw!$B:$B,$A6,RecoveredRaw!AI:AI)</f>
        <v>2</v>
      </c>
      <c r="AG6">
        <f>SUMIF(RecoveredRaw!$B:$B,$A6,RecoveredRaw!AJ:AJ)</f>
        <v>2</v>
      </c>
      <c r="AH6">
        <f>SUMIF(RecoveredRaw!$B:$B,$A6,RecoveredRaw!AK:AK)</f>
        <v>2</v>
      </c>
      <c r="AI6">
        <f>SUMIF(RecoveredRaw!$B:$B,$A6,RecoveredRaw!AL:AL)</f>
        <v>2</v>
      </c>
      <c r="AJ6">
        <f>SUMIF(RecoveredRaw!$B:$B,$A6,RecoveredRaw!AM:AM)</f>
        <v>2</v>
      </c>
      <c r="AK6">
        <f>SUMIF(RecoveredRaw!$B:$B,$A6,RecoveredRaw!AN:AN)</f>
        <v>2</v>
      </c>
      <c r="AL6">
        <f>SUMIF(RecoveredRaw!$B:$B,$A6,RecoveredRaw!AO:AO)</f>
        <v>2</v>
      </c>
      <c r="AM6">
        <f>SUMIF(RecoveredRaw!$B:$B,$A6,RecoveredRaw!AP:AP)</f>
        <v>2</v>
      </c>
      <c r="AN6">
        <f>SUMIF(RecoveredRaw!$B:$B,$A6,RecoveredRaw!AQ:AQ)</f>
        <v>2</v>
      </c>
      <c r="AO6">
        <f>SUMIF(RecoveredRaw!$B:$B,$A6,RecoveredRaw!AR:AR)</f>
        <v>2</v>
      </c>
      <c r="AP6">
        <f>SUMIF(RecoveredRaw!$B:$B,$A6,RecoveredRaw!AS:AS)</f>
        <v>2</v>
      </c>
      <c r="AQ6">
        <f>SUMIF(RecoveredRaw!$B:$B,$A6,RecoveredRaw!AT:AT)</f>
        <v>2</v>
      </c>
      <c r="AR6">
        <f>SUMIF(RecoveredRaw!$B:$B,$A6,RecoveredRaw!AU:AU)</f>
        <v>2</v>
      </c>
      <c r="AS6">
        <f>SUMIF(RecoveredRaw!$B:$B,$A6,RecoveredRaw!AV:AV)</f>
        <v>2</v>
      </c>
      <c r="AT6">
        <f>SUMIF(RecoveredRaw!$B:$B,$A6,RecoveredRaw!AW:AW)</f>
        <v>2</v>
      </c>
      <c r="AU6">
        <f>SUMIF(RecoveredRaw!$B:$B,$A6,RecoveredRaw!AX:AX)</f>
        <v>30</v>
      </c>
      <c r="AV6">
        <f>SUMIF(RecoveredRaw!$B:$B,$A6,RecoveredRaw!AY:AY)</f>
        <v>30</v>
      </c>
      <c r="AW6">
        <f>SUMIF(RecoveredRaw!$B:$B,$A6,RecoveredRaw!AZ:AZ)</f>
        <v>32</v>
      </c>
      <c r="AX6">
        <f>SUMIF(RecoveredRaw!$B:$B,$A6,RecoveredRaw!BA:BA)</f>
        <v>32</v>
      </c>
      <c r="AY6">
        <f>SUMIF(RecoveredRaw!$B:$B,$A6,RecoveredRaw!BB:BB)</f>
        <v>183</v>
      </c>
      <c r="AZ6">
        <f>SUMIF(RecoveredRaw!$B:$B,$A6,RecoveredRaw!BC:BC)</f>
        <v>183</v>
      </c>
      <c r="BA6">
        <f>SUMIF(RecoveredRaw!$B:$B,$A6,RecoveredRaw!BD:BD)</f>
        <v>193</v>
      </c>
      <c r="BB6">
        <f>SUMIF(RecoveredRaw!$B:$B,$A6,RecoveredRaw!BE:BE)</f>
        <v>517</v>
      </c>
      <c r="BC6">
        <f>SUMIF(RecoveredRaw!$B:$B,$A6,RecoveredRaw!BF:BF)</f>
        <v>517</v>
      </c>
      <c r="BD6">
        <f>SUMIF(RecoveredRaw!$B:$B,$A6,RecoveredRaw!BG:BG)</f>
        <v>530</v>
      </c>
      <c r="BE6">
        <f>SUMIF(RecoveredRaw!$B:$B,$A6,RecoveredRaw!BH:BH)</f>
        <v>1028</v>
      </c>
      <c r="BF6">
        <f>SUMIF(RecoveredRaw!$B:$B,$A6,RecoveredRaw!BI:BI)</f>
        <v>1081</v>
      </c>
      <c r="BG6">
        <f>SUMIF(RecoveredRaw!$B:$B,$A6,RecoveredRaw!BJ:BJ)</f>
        <v>0</v>
      </c>
      <c r="BH6">
        <f>SUMIF(RecoveredRaw!$B:$B,$A6,RecoveredRaw!BK:BK)</f>
        <v>0</v>
      </c>
      <c r="BI6">
        <f>SUMIF(RecoveredRaw!$B:$B,$A6,RecoveredRaw!BL:BL)</f>
        <v>0</v>
      </c>
      <c r="BJ6">
        <f>SUMIF(RecoveredRaw!$B:$B,$A6,RecoveredRaw!BM:BM)</f>
        <v>0</v>
      </c>
      <c r="BK6">
        <f>SUMIF(RecoveredRaw!$B:$B,$A6,RecoveredRaw!BN:BN)</f>
        <v>0</v>
      </c>
      <c r="BL6">
        <f>SUMIF(RecoveredRaw!$B:$B,$A6,RecoveredRaw!BO:BO)</f>
        <v>0</v>
      </c>
      <c r="BM6">
        <f>SUMIF(RecoveredRaw!$B:$B,$A6,RecoveredRaw!BP:BP)</f>
        <v>0</v>
      </c>
      <c r="BN6">
        <f>SUMIF(RecoveredRaw!$B:$B,$A6,RecoveredRaw!BQ:BQ)</f>
        <v>0</v>
      </c>
      <c r="BO6">
        <f>SUMIF(RecoveredRaw!$B:$B,$A6,RecoveredRaw!BR:BR)</f>
        <v>0</v>
      </c>
      <c r="BP6">
        <f>SUMIF(RecoveredRaw!$B:$B,$A6,RecoveredRaw!BS:BS)</f>
        <v>0</v>
      </c>
      <c r="BQ6">
        <f>SUMIF(RecoveredRaw!$B:$B,$A6,RecoveredRaw!BT:BT)</f>
        <v>0</v>
      </c>
      <c r="BR6">
        <f>SUMIF(RecoveredRaw!$B:$B,$A6,RecoveredRaw!BU:BU)</f>
        <v>0</v>
      </c>
      <c r="BS6">
        <f>SUMIF(RecoveredRaw!$B:$B,$A6,RecoveredRaw!BV:BV)</f>
        <v>0</v>
      </c>
      <c r="BT6">
        <f>SUMIF(RecoveredRaw!$B:$B,$A6,RecoveredRaw!BW:BW)</f>
        <v>0</v>
      </c>
    </row>
    <row r="7" spans="1:72" ht="15" thickBot="1" x14ac:dyDescent="0.35">
      <c r="A7" s="4" t="s">
        <v>53</v>
      </c>
      <c r="B7">
        <f>SUMIF(RecoveredRaw!$B:$B,$A7,RecoveredRaw!E:E)</f>
        <v>0</v>
      </c>
      <c r="C7">
        <f>SUMIF(RecoveredRaw!$B:$B,$A7,RecoveredRaw!F:F)</f>
        <v>0</v>
      </c>
      <c r="D7">
        <f>SUMIF(RecoveredRaw!$B:$B,$A7,RecoveredRaw!G:G)</f>
        <v>0</v>
      </c>
      <c r="E7">
        <f>SUMIF(RecoveredRaw!$B:$B,$A7,RecoveredRaw!H:H)</f>
        <v>0</v>
      </c>
      <c r="F7">
        <f>SUMIF(RecoveredRaw!$B:$B,$A7,RecoveredRaw!I:I)</f>
        <v>0</v>
      </c>
      <c r="G7">
        <f>SUMIF(RecoveredRaw!$B:$B,$A7,RecoveredRaw!J:J)</f>
        <v>0</v>
      </c>
      <c r="H7">
        <f>SUMIF(RecoveredRaw!$B:$B,$A7,RecoveredRaw!K:K)</f>
        <v>0</v>
      </c>
      <c r="I7">
        <f>SUMIF(RecoveredRaw!$B:$B,$A7,RecoveredRaw!L:L)</f>
        <v>0</v>
      </c>
      <c r="J7">
        <f>SUMIF(RecoveredRaw!$B:$B,$A7,RecoveredRaw!M:M)</f>
        <v>0</v>
      </c>
      <c r="K7">
        <f>SUMIF(RecoveredRaw!$B:$B,$A7,RecoveredRaw!N:N)</f>
        <v>0</v>
      </c>
      <c r="L7">
        <f>SUMIF(RecoveredRaw!$B:$B,$A7,RecoveredRaw!O:O)</f>
        <v>0</v>
      </c>
      <c r="M7">
        <f>SUMIF(RecoveredRaw!$B:$B,$A7,RecoveredRaw!P:P)</f>
        <v>0</v>
      </c>
      <c r="N7">
        <f>SUMIF(RecoveredRaw!$B:$B,$A7,RecoveredRaw!Q:Q)</f>
        <v>0</v>
      </c>
      <c r="O7">
        <f>SUMIF(RecoveredRaw!$B:$B,$A7,RecoveredRaw!R:R)</f>
        <v>0</v>
      </c>
      <c r="P7">
        <f>SUMIF(RecoveredRaw!$B:$B,$A7,RecoveredRaw!S:S)</f>
        <v>0</v>
      </c>
      <c r="Q7">
        <f>SUMIF(RecoveredRaw!$B:$B,$A7,RecoveredRaw!T:T)</f>
        <v>0</v>
      </c>
      <c r="R7">
        <f>SUMIF(RecoveredRaw!$B:$B,$A7,RecoveredRaw!U:U)</f>
        <v>0</v>
      </c>
      <c r="S7">
        <f>SUMIF(RecoveredRaw!$B:$B,$A7,RecoveredRaw!V:V)</f>
        <v>0</v>
      </c>
      <c r="T7">
        <f>SUMIF(RecoveredRaw!$B:$B,$A7,RecoveredRaw!W:W)</f>
        <v>0</v>
      </c>
      <c r="U7">
        <f>SUMIF(RecoveredRaw!$B:$B,$A7,RecoveredRaw!X:X)</f>
        <v>0</v>
      </c>
      <c r="V7">
        <f>SUMIF(RecoveredRaw!$B:$B,$A7,RecoveredRaw!Y:Y)</f>
        <v>0</v>
      </c>
      <c r="W7">
        <f>SUMIF(RecoveredRaw!$B:$B,$A7,RecoveredRaw!Z:Z)</f>
        <v>0</v>
      </c>
      <c r="X7">
        <f>SUMIF(RecoveredRaw!$B:$B,$A7,RecoveredRaw!AA:AA)</f>
        <v>1</v>
      </c>
      <c r="Y7">
        <f>SUMIF(RecoveredRaw!$B:$B,$A7,RecoveredRaw!AB:AB)</f>
        <v>1</v>
      </c>
      <c r="Z7">
        <f>SUMIF(RecoveredRaw!$B:$B,$A7,RecoveredRaw!AC:AC)</f>
        <v>1</v>
      </c>
      <c r="AA7">
        <f>SUMIF(RecoveredRaw!$B:$B,$A7,RecoveredRaw!AD:AD)</f>
        <v>1</v>
      </c>
      <c r="AB7">
        <f>SUMIF(RecoveredRaw!$B:$B,$A7,RecoveredRaw!AE:AE)</f>
        <v>1</v>
      </c>
      <c r="AC7">
        <f>SUMIF(RecoveredRaw!$B:$B,$A7,RecoveredRaw!AF:AF)</f>
        <v>12</v>
      </c>
      <c r="AD7">
        <f>SUMIF(RecoveredRaw!$B:$B,$A7,RecoveredRaw!AG:AG)</f>
        <v>12</v>
      </c>
      <c r="AE7">
        <f>SUMIF(RecoveredRaw!$B:$B,$A7,RecoveredRaw!AH:AH)</f>
        <v>12</v>
      </c>
      <c r="AF7">
        <f>SUMIF(RecoveredRaw!$B:$B,$A7,RecoveredRaw!AI:AI)</f>
        <v>14</v>
      </c>
      <c r="AG7">
        <f>SUMIF(RecoveredRaw!$B:$B,$A7,RecoveredRaw!AJ:AJ)</f>
        <v>14</v>
      </c>
      <c r="AH7">
        <f>SUMIF(RecoveredRaw!$B:$B,$A7,RecoveredRaw!AK:AK)</f>
        <v>14</v>
      </c>
      <c r="AI7">
        <f>SUMIF(RecoveredRaw!$B:$B,$A7,RecoveredRaw!AL:AL)</f>
        <v>14</v>
      </c>
      <c r="AJ7">
        <f>SUMIF(RecoveredRaw!$B:$B,$A7,RecoveredRaw!AM:AM)</f>
        <v>14</v>
      </c>
      <c r="AK7">
        <f>SUMIF(RecoveredRaw!$B:$B,$A7,RecoveredRaw!AN:AN)</f>
        <v>15</v>
      </c>
      <c r="AL7">
        <f>SUMIF(RecoveredRaw!$B:$B,$A7,RecoveredRaw!AO:AO)</f>
        <v>16</v>
      </c>
      <c r="AM7">
        <f>SUMIF(RecoveredRaw!$B:$B,$A7,RecoveredRaw!AP:AP)</f>
        <v>16</v>
      </c>
      <c r="AN7">
        <f>SUMIF(RecoveredRaw!$B:$B,$A7,RecoveredRaw!AQ:AQ)</f>
        <v>16</v>
      </c>
      <c r="AO7">
        <f>SUMIF(RecoveredRaw!$B:$B,$A7,RecoveredRaw!AR:AR)</f>
        <v>16</v>
      </c>
      <c r="AP7">
        <f>SUMIF(RecoveredRaw!$B:$B,$A7,RecoveredRaw!AS:AS)</f>
        <v>16</v>
      </c>
      <c r="AQ7">
        <f>SUMIF(RecoveredRaw!$B:$B,$A7,RecoveredRaw!AT:AT)</f>
        <v>16</v>
      </c>
      <c r="AR7">
        <f>SUMIF(RecoveredRaw!$B:$B,$A7,RecoveredRaw!AU:AU)</f>
        <v>16</v>
      </c>
      <c r="AS7">
        <f>SUMIF(RecoveredRaw!$B:$B,$A7,RecoveredRaw!AV:AV)</f>
        <v>16</v>
      </c>
      <c r="AT7">
        <f>SUMIF(RecoveredRaw!$B:$B,$A7,RecoveredRaw!AW:AW)</f>
        <v>17</v>
      </c>
      <c r="AU7">
        <f>SUMIF(RecoveredRaw!$B:$B,$A7,RecoveredRaw!AX:AX)</f>
        <v>18</v>
      </c>
      <c r="AV7">
        <f>SUMIF(RecoveredRaw!$B:$B,$A7,RecoveredRaw!AY:AY)</f>
        <v>18</v>
      </c>
      <c r="AW7">
        <f>SUMIF(RecoveredRaw!$B:$B,$A7,RecoveredRaw!AZ:AZ)</f>
        <v>18</v>
      </c>
      <c r="AX7">
        <f>SUMIF(RecoveredRaw!$B:$B,$A7,RecoveredRaw!BA:BA)</f>
        <v>18</v>
      </c>
      <c r="AY7">
        <f>SUMIF(RecoveredRaw!$B:$B,$A7,RecoveredRaw!BB:BB)</f>
        <v>25</v>
      </c>
      <c r="AZ7">
        <f>SUMIF(RecoveredRaw!$B:$B,$A7,RecoveredRaw!BC:BC)</f>
        <v>25</v>
      </c>
      <c r="BA7">
        <f>SUMIF(RecoveredRaw!$B:$B,$A7,RecoveredRaw!BD:BD)</f>
        <v>46</v>
      </c>
      <c r="BB7">
        <f>SUMIF(RecoveredRaw!$B:$B,$A7,RecoveredRaw!BE:BE)</f>
        <v>46</v>
      </c>
      <c r="BC7">
        <f>SUMIF(RecoveredRaw!$B:$B,$A7,RecoveredRaw!BF:BF)</f>
        <v>46</v>
      </c>
      <c r="BD7">
        <f>SUMIF(RecoveredRaw!$B:$B,$A7,RecoveredRaw!BG:BG)</f>
        <v>67</v>
      </c>
      <c r="BE7">
        <f>SUMIF(RecoveredRaw!$B:$B,$A7,RecoveredRaw!BH:BH)</f>
        <v>67</v>
      </c>
      <c r="BF7">
        <f>SUMIF(RecoveredRaw!$B:$B,$A7,RecoveredRaw!BI:BI)</f>
        <v>105</v>
      </c>
      <c r="BG7">
        <f>SUMIF(RecoveredRaw!$B:$B,$A7,RecoveredRaw!BJ:BJ)</f>
        <v>0</v>
      </c>
      <c r="BH7">
        <f>SUMIF(RecoveredRaw!$B:$B,$A7,RecoveredRaw!BK:BK)</f>
        <v>0</v>
      </c>
      <c r="BI7">
        <f>SUMIF(RecoveredRaw!$B:$B,$A7,RecoveredRaw!BL:BL)</f>
        <v>0</v>
      </c>
      <c r="BJ7">
        <f>SUMIF(RecoveredRaw!$B:$B,$A7,RecoveredRaw!BM:BM)</f>
        <v>0</v>
      </c>
      <c r="BK7">
        <f>SUMIF(RecoveredRaw!$B:$B,$A7,RecoveredRaw!BN:BN)</f>
        <v>0</v>
      </c>
      <c r="BL7">
        <f>SUMIF(RecoveredRaw!$B:$B,$A7,RecoveredRaw!BO:BO)</f>
        <v>0</v>
      </c>
      <c r="BM7">
        <f>SUMIF(RecoveredRaw!$B:$B,$A7,RecoveredRaw!BP:BP)</f>
        <v>0</v>
      </c>
      <c r="BN7">
        <f>SUMIF(RecoveredRaw!$B:$B,$A7,RecoveredRaw!BQ:BQ)</f>
        <v>0</v>
      </c>
      <c r="BO7">
        <f>SUMIF(RecoveredRaw!$B:$B,$A7,RecoveredRaw!BR:BR)</f>
        <v>0</v>
      </c>
      <c r="BP7">
        <f>SUMIF(RecoveredRaw!$B:$B,$A7,RecoveredRaw!BS:BS)</f>
        <v>0</v>
      </c>
      <c r="BQ7">
        <f>SUMIF(RecoveredRaw!$B:$B,$A7,RecoveredRaw!BT:BT)</f>
        <v>0</v>
      </c>
      <c r="BR7">
        <f>SUMIF(RecoveredRaw!$B:$B,$A7,RecoveredRaw!BU:BU)</f>
        <v>0</v>
      </c>
      <c r="BS7">
        <f>SUMIF(RecoveredRaw!$B:$B,$A7,RecoveredRaw!BV:BV)</f>
        <v>0</v>
      </c>
      <c r="BT7">
        <f>SUMIF(RecoveredRaw!$B:$B,$A7,RecoveredRaw!BW:BW)</f>
        <v>0</v>
      </c>
    </row>
    <row r="8" spans="1:72" ht="15" thickBot="1" x14ac:dyDescent="0.35">
      <c r="A8" s="4" t="s">
        <v>41</v>
      </c>
      <c r="B8">
        <f>SUMIF(RecoveredRaw!$B:$B,$A8,RecoveredRaw!E:E)</f>
        <v>0</v>
      </c>
      <c r="C8">
        <f>SUMIF(RecoveredRaw!$B:$B,$A8,RecoveredRaw!F:F)</f>
        <v>0</v>
      </c>
      <c r="D8">
        <f>SUMIF(RecoveredRaw!$B:$B,$A8,RecoveredRaw!G:G)</f>
        <v>0</v>
      </c>
      <c r="E8">
        <f>SUMIF(RecoveredRaw!$B:$B,$A8,RecoveredRaw!H:H)</f>
        <v>0</v>
      </c>
      <c r="F8">
        <f>SUMIF(RecoveredRaw!$B:$B,$A8,RecoveredRaw!I:I)</f>
        <v>0</v>
      </c>
      <c r="G8">
        <f>SUMIF(RecoveredRaw!$B:$B,$A8,RecoveredRaw!J:J)</f>
        <v>0</v>
      </c>
      <c r="H8">
        <f>SUMIF(RecoveredRaw!$B:$B,$A8,RecoveredRaw!K:K)</f>
        <v>0</v>
      </c>
      <c r="I8">
        <f>SUMIF(RecoveredRaw!$B:$B,$A8,RecoveredRaw!L:L)</f>
        <v>0</v>
      </c>
      <c r="J8">
        <f>SUMIF(RecoveredRaw!$B:$B,$A8,RecoveredRaw!M:M)</f>
        <v>0</v>
      </c>
      <c r="K8">
        <f>SUMIF(RecoveredRaw!$B:$B,$A8,RecoveredRaw!N:N)</f>
        <v>0</v>
      </c>
      <c r="L8">
        <f>SUMIF(RecoveredRaw!$B:$B,$A8,RecoveredRaw!O:O)</f>
        <v>0</v>
      </c>
      <c r="M8">
        <f>SUMIF(RecoveredRaw!$B:$B,$A8,RecoveredRaw!P:P)</f>
        <v>0</v>
      </c>
      <c r="N8">
        <f>SUMIF(RecoveredRaw!$B:$B,$A8,RecoveredRaw!Q:Q)</f>
        <v>0</v>
      </c>
      <c r="O8">
        <f>SUMIF(RecoveredRaw!$B:$B,$A8,RecoveredRaw!R:R)</f>
        <v>0</v>
      </c>
      <c r="P8">
        <f>SUMIF(RecoveredRaw!$B:$B,$A8,RecoveredRaw!S:S)</f>
        <v>0</v>
      </c>
      <c r="Q8">
        <f>SUMIF(RecoveredRaw!$B:$B,$A8,RecoveredRaw!T:T)</f>
        <v>0</v>
      </c>
      <c r="R8">
        <f>SUMIF(RecoveredRaw!$B:$B,$A8,RecoveredRaw!U:U)</f>
        <v>0</v>
      </c>
      <c r="S8">
        <f>SUMIF(RecoveredRaw!$B:$B,$A8,RecoveredRaw!V:V)</f>
        <v>0</v>
      </c>
      <c r="T8">
        <f>SUMIF(RecoveredRaw!$B:$B,$A8,RecoveredRaw!W:W)</f>
        <v>0</v>
      </c>
      <c r="U8">
        <f>SUMIF(RecoveredRaw!$B:$B,$A8,RecoveredRaw!X:X)</f>
        <v>0</v>
      </c>
      <c r="V8">
        <f>SUMIF(RecoveredRaw!$B:$B,$A8,RecoveredRaw!Y:Y)</f>
        <v>0</v>
      </c>
      <c r="W8">
        <f>SUMIF(RecoveredRaw!$B:$B,$A8,RecoveredRaw!Z:Z)</f>
        <v>2</v>
      </c>
      <c r="X8">
        <f>SUMIF(RecoveredRaw!$B:$B,$A8,RecoveredRaw!AA:AA)</f>
        <v>2</v>
      </c>
      <c r="Y8">
        <f>SUMIF(RecoveredRaw!$B:$B,$A8,RecoveredRaw!AB:AB)</f>
        <v>2</v>
      </c>
      <c r="Z8">
        <f>SUMIF(RecoveredRaw!$B:$B,$A8,RecoveredRaw!AC:AC)</f>
        <v>4</v>
      </c>
      <c r="AA8">
        <f>SUMIF(RecoveredRaw!$B:$B,$A8,RecoveredRaw!AD:AD)</f>
        <v>4</v>
      </c>
      <c r="AB8">
        <f>SUMIF(RecoveredRaw!$B:$B,$A8,RecoveredRaw!AE:AE)</f>
        <v>4</v>
      </c>
      <c r="AC8">
        <f>SUMIF(RecoveredRaw!$B:$B,$A8,RecoveredRaw!AF:AF)</f>
        <v>4</v>
      </c>
      <c r="AD8">
        <f>SUMIF(RecoveredRaw!$B:$B,$A8,RecoveredRaw!AG:AG)</f>
        <v>4</v>
      </c>
      <c r="AE8">
        <f>SUMIF(RecoveredRaw!$B:$B,$A8,RecoveredRaw!AH:AH)</f>
        <v>4</v>
      </c>
      <c r="AF8">
        <f>SUMIF(RecoveredRaw!$B:$B,$A8,RecoveredRaw!AI:AI)</f>
        <v>4</v>
      </c>
      <c r="AG8">
        <f>SUMIF(RecoveredRaw!$B:$B,$A8,RecoveredRaw!AJ:AJ)</f>
        <v>4</v>
      </c>
      <c r="AH8">
        <f>SUMIF(RecoveredRaw!$B:$B,$A8,RecoveredRaw!AK:AK)</f>
        <v>4</v>
      </c>
      <c r="AI8">
        <f>SUMIF(RecoveredRaw!$B:$B,$A8,RecoveredRaw!AL:AL)</f>
        <v>4</v>
      </c>
      <c r="AJ8">
        <f>SUMIF(RecoveredRaw!$B:$B,$A8,RecoveredRaw!AM:AM)</f>
        <v>11</v>
      </c>
      <c r="AK8">
        <f>SUMIF(RecoveredRaw!$B:$B,$A8,RecoveredRaw!AN:AN)</f>
        <v>11</v>
      </c>
      <c r="AL8">
        <f>SUMIF(RecoveredRaw!$B:$B,$A8,RecoveredRaw!AO:AO)</f>
        <v>11</v>
      </c>
      <c r="AM8">
        <f>SUMIF(RecoveredRaw!$B:$B,$A8,RecoveredRaw!AP:AP)</f>
        <v>11</v>
      </c>
      <c r="AN8">
        <f>SUMIF(RecoveredRaw!$B:$B,$A8,RecoveredRaw!AQ:AQ)</f>
        <v>12</v>
      </c>
      <c r="AO8">
        <f>SUMIF(RecoveredRaw!$B:$B,$A8,RecoveredRaw!AR:AR)</f>
        <v>12</v>
      </c>
      <c r="AP8">
        <f>SUMIF(RecoveredRaw!$B:$B,$A8,RecoveredRaw!AS:AS)</f>
        <v>12</v>
      </c>
      <c r="AQ8">
        <f>SUMIF(RecoveredRaw!$B:$B,$A8,RecoveredRaw!AT:AT)</f>
        <v>12</v>
      </c>
      <c r="AR8">
        <f>SUMIF(RecoveredRaw!$B:$B,$A8,RecoveredRaw!AU:AU)</f>
        <v>12</v>
      </c>
      <c r="AS8">
        <f>SUMIF(RecoveredRaw!$B:$B,$A8,RecoveredRaw!AV:AV)</f>
        <v>12</v>
      </c>
      <c r="AT8">
        <f>SUMIF(RecoveredRaw!$B:$B,$A8,RecoveredRaw!AW:AW)</f>
        <v>12</v>
      </c>
      <c r="AU8">
        <f>SUMIF(RecoveredRaw!$B:$B,$A8,RecoveredRaw!AX:AX)</f>
        <v>12</v>
      </c>
      <c r="AV8">
        <f>SUMIF(RecoveredRaw!$B:$B,$A8,RecoveredRaw!AY:AY)</f>
        <v>12</v>
      </c>
      <c r="AW8">
        <f>SUMIF(RecoveredRaw!$B:$B,$A8,RecoveredRaw!AZ:AZ)</f>
        <v>12</v>
      </c>
      <c r="AX8">
        <f>SUMIF(RecoveredRaw!$B:$B,$A8,RecoveredRaw!BA:BA)</f>
        <v>12</v>
      </c>
      <c r="AY8">
        <f>SUMIF(RecoveredRaw!$B:$B,$A8,RecoveredRaw!BB:BB)</f>
        <v>12</v>
      </c>
      <c r="AZ8">
        <f>SUMIF(RecoveredRaw!$B:$B,$A8,RecoveredRaw!BC:BC)</f>
        <v>12</v>
      </c>
      <c r="BA8">
        <f>SUMIF(RecoveredRaw!$B:$B,$A8,RecoveredRaw!BD:BD)</f>
        <v>12</v>
      </c>
      <c r="BB8">
        <f>SUMIF(RecoveredRaw!$B:$B,$A8,RecoveredRaw!BE:BE)</f>
        <v>12</v>
      </c>
      <c r="BC8">
        <f>SUMIF(RecoveredRaw!$B:$B,$A8,RecoveredRaw!BF:BF)</f>
        <v>12</v>
      </c>
      <c r="BD8">
        <f>SUMIF(RecoveredRaw!$B:$B,$A8,RecoveredRaw!BG:BG)</f>
        <v>12</v>
      </c>
      <c r="BE8">
        <f>SUMIF(RecoveredRaw!$B:$B,$A8,RecoveredRaw!BH:BH)</f>
        <v>12</v>
      </c>
      <c r="BF8">
        <f>SUMIF(RecoveredRaw!$B:$B,$A8,RecoveredRaw!BI:BI)</f>
        <v>12</v>
      </c>
      <c r="BG8">
        <f>SUMIF(RecoveredRaw!$B:$B,$A8,RecoveredRaw!BJ:BJ)</f>
        <v>0</v>
      </c>
      <c r="BH8">
        <f>SUMIF(RecoveredRaw!$B:$B,$A8,RecoveredRaw!BK:BK)</f>
        <v>0</v>
      </c>
      <c r="BI8">
        <f>SUMIF(RecoveredRaw!$B:$B,$A8,RecoveredRaw!BL:BL)</f>
        <v>0</v>
      </c>
      <c r="BJ8">
        <f>SUMIF(RecoveredRaw!$B:$B,$A8,RecoveredRaw!BM:BM)</f>
        <v>0</v>
      </c>
      <c r="BK8">
        <f>SUMIF(RecoveredRaw!$B:$B,$A8,RecoveredRaw!BN:BN)</f>
        <v>0</v>
      </c>
      <c r="BL8">
        <f>SUMIF(RecoveredRaw!$B:$B,$A8,RecoveredRaw!BO:BO)</f>
        <v>0</v>
      </c>
      <c r="BM8">
        <f>SUMIF(RecoveredRaw!$B:$B,$A8,RecoveredRaw!BP:BP)</f>
        <v>0</v>
      </c>
      <c r="BN8">
        <f>SUMIF(RecoveredRaw!$B:$B,$A8,RecoveredRaw!BQ:BQ)</f>
        <v>0</v>
      </c>
      <c r="BO8">
        <f>SUMIF(RecoveredRaw!$B:$B,$A8,RecoveredRaw!BR:BR)</f>
        <v>0</v>
      </c>
      <c r="BP8">
        <f>SUMIF(RecoveredRaw!$B:$B,$A8,RecoveredRaw!BS:BS)</f>
        <v>0</v>
      </c>
      <c r="BQ8">
        <f>SUMIF(RecoveredRaw!$B:$B,$A8,RecoveredRaw!BT:BT)</f>
        <v>0</v>
      </c>
      <c r="BR8">
        <f>SUMIF(RecoveredRaw!$B:$B,$A8,RecoveredRaw!BU:BU)</f>
        <v>0</v>
      </c>
      <c r="BS8">
        <f>SUMIF(RecoveredRaw!$B:$B,$A8,RecoveredRaw!BV:BV)</f>
        <v>0</v>
      </c>
      <c r="BT8">
        <f>SUMIF(RecoveredRaw!$B:$B,$A8,RecoveredRaw!BW:BW)</f>
        <v>0</v>
      </c>
    </row>
    <row r="9" spans="1:72" ht="15" thickBot="1" x14ac:dyDescent="0.35">
      <c r="A9" s="3" t="s">
        <v>38</v>
      </c>
      <c r="B9">
        <f>SUMIF(RecoveredRaw!$B:$B,$A9,RecoveredRaw!E:E)</f>
        <v>0</v>
      </c>
      <c r="C9">
        <f>SUMIF(RecoveredRaw!$B:$B,$A9,RecoveredRaw!F:F)</f>
        <v>0</v>
      </c>
      <c r="D9">
        <f>SUMIF(RecoveredRaw!$B:$B,$A9,RecoveredRaw!G:G)</f>
        <v>0</v>
      </c>
      <c r="E9">
        <f>SUMIF(RecoveredRaw!$B:$B,$A9,RecoveredRaw!H:H)</f>
        <v>0</v>
      </c>
      <c r="F9">
        <f>SUMIF(RecoveredRaw!$B:$B,$A9,RecoveredRaw!I:I)</f>
        <v>0</v>
      </c>
      <c r="G9">
        <f>SUMIF(RecoveredRaw!$B:$B,$A9,RecoveredRaw!J:J)</f>
        <v>0</v>
      </c>
      <c r="H9">
        <f>SUMIF(RecoveredRaw!$B:$B,$A9,RecoveredRaw!K:K)</f>
        <v>0</v>
      </c>
      <c r="I9">
        <f>SUMIF(RecoveredRaw!$B:$B,$A9,RecoveredRaw!L:L)</f>
        <v>0</v>
      </c>
      <c r="J9">
        <f>SUMIF(RecoveredRaw!$B:$B,$A9,RecoveredRaw!M:M)</f>
        <v>0</v>
      </c>
      <c r="K9">
        <f>SUMIF(RecoveredRaw!$B:$B,$A9,RecoveredRaw!N:N)</f>
        <v>0</v>
      </c>
      <c r="L9">
        <f>SUMIF(RecoveredRaw!$B:$B,$A9,RecoveredRaw!O:O)</f>
        <v>0</v>
      </c>
      <c r="M9">
        <f>SUMIF(RecoveredRaw!$B:$B,$A9,RecoveredRaw!P:P)</f>
        <v>0</v>
      </c>
      <c r="N9">
        <f>SUMIF(RecoveredRaw!$B:$B,$A9,RecoveredRaw!Q:Q)</f>
        <v>0</v>
      </c>
      <c r="O9">
        <f>SUMIF(RecoveredRaw!$B:$B,$A9,RecoveredRaw!R:R)</f>
        <v>0</v>
      </c>
      <c r="P9">
        <f>SUMIF(RecoveredRaw!$B:$B,$A9,RecoveredRaw!S:S)</f>
        <v>0</v>
      </c>
      <c r="Q9">
        <f>SUMIF(RecoveredRaw!$B:$B,$A9,RecoveredRaw!T:T)</f>
        <v>0</v>
      </c>
      <c r="R9">
        <f>SUMIF(RecoveredRaw!$B:$B,$A9,RecoveredRaw!U:U)</f>
        <v>0</v>
      </c>
      <c r="S9">
        <f>SUMIF(RecoveredRaw!$B:$B,$A9,RecoveredRaw!V:V)</f>
        <v>0</v>
      </c>
      <c r="T9">
        <f>SUMIF(RecoveredRaw!$B:$B,$A9,RecoveredRaw!W:W)</f>
        <v>3</v>
      </c>
      <c r="U9">
        <f>SUMIF(RecoveredRaw!$B:$B,$A9,RecoveredRaw!X:X)</f>
        <v>3</v>
      </c>
      <c r="V9">
        <f>SUMIF(RecoveredRaw!$B:$B,$A9,RecoveredRaw!Y:Y)</f>
        <v>3</v>
      </c>
      <c r="W9">
        <f>SUMIF(RecoveredRaw!$B:$B,$A9,RecoveredRaw!Z:Z)</f>
        <v>3</v>
      </c>
      <c r="X9">
        <f>SUMIF(RecoveredRaw!$B:$B,$A9,RecoveredRaw!AA:AA)</f>
        <v>3</v>
      </c>
      <c r="Y9">
        <f>SUMIF(RecoveredRaw!$B:$B,$A9,RecoveredRaw!AB:AB)</f>
        <v>3</v>
      </c>
      <c r="Z9">
        <f>SUMIF(RecoveredRaw!$B:$B,$A9,RecoveredRaw!AC:AC)</f>
        <v>3</v>
      </c>
      <c r="AA9">
        <f>SUMIF(RecoveredRaw!$B:$B,$A9,RecoveredRaw!AD:AD)</f>
        <v>3</v>
      </c>
      <c r="AB9">
        <f>SUMIF(RecoveredRaw!$B:$B,$A9,RecoveredRaw!AE:AE)</f>
        <v>3</v>
      </c>
      <c r="AC9">
        <f>SUMIF(RecoveredRaw!$B:$B,$A9,RecoveredRaw!AF:AF)</f>
        <v>3</v>
      </c>
      <c r="AD9">
        <f>SUMIF(RecoveredRaw!$B:$B,$A9,RecoveredRaw!AG:AG)</f>
        <v>3</v>
      </c>
      <c r="AE9">
        <f>SUMIF(RecoveredRaw!$B:$B,$A9,RecoveredRaw!AH:AH)</f>
        <v>3</v>
      </c>
      <c r="AF9">
        <f>SUMIF(RecoveredRaw!$B:$B,$A9,RecoveredRaw!AI:AI)</f>
        <v>5</v>
      </c>
      <c r="AG9">
        <f>SUMIF(RecoveredRaw!$B:$B,$A9,RecoveredRaw!AJ:AJ)</f>
        <v>5</v>
      </c>
      <c r="AH9">
        <f>SUMIF(RecoveredRaw!$B:$B,$A9,RecoveredRaw!AK:AK)</f>
        <v>5</v>
      </c>
      <c r="AI9">
        <f>SUMIF(RecoveredRaw!$B:$B,$A9,RecoveredRaw!AL:AL)</f>
        <v>5</v>
      </c>
      <c r="AJ9">
        <f>SUMIF(RecoveredRaw!$B:$B,$A9,RecoveredRaw!AM:AM)</f>
        <v>6</v>
      </c>
      <c r="AK9">
        <f>SUMIF(RecoveredRaw!$B:$B,$A9,RecoveredRaw!AN:AN)</f>
        <v>6</v>
      </c>
      <c r="AL9">
        <f>SUMIF(RecoveredRaw!$B:$B,$A9,RecoveredRaw!AO:AO)</f>
        <v>6</v>
      </c>
      <c r="AM9">
        <f>SUMIF(RecoveredRaw!$B:$B,$A9,RecoveredRaw!AP:AP)</f>
        <v>7</v>
      </c>
      <c r="AN9">
        <f>SUMIF(RecoveredRaw!$B:$B,$A9,RecoveredRaw!AQ:AQ)</f>
        <v>7</v>
      </c>
      <c r="AO9">
        <f>SUMIF(RecoveredRaw!$B:$B,$A9,RecoveredRaw!AR:AR)</f>
        <v>7</v>
      </c>
      <c r="AP9">
        <f>SUMIF(RecoveredRaw!$B:$B,$A9,RecoveredRaw!AS:AS)</f>
        <v>7</v>
      </c>
      <c r="AQ9">
        <f>SUMIF(RecoveredRaw!$B:$B,$A9,RecoveredRaw!AT:AT)</f>
        <v>7</v>
      </c>
      <c r="AR9">
        <f>SUMIF(RecoveredRaw!$B:$B,$A9,RecoveredRaw!AU:AU)</f>
        <v>7</v>
      </c>
      <c r="AS9">
        <f>SUMIF(RecoveredRaw!$B:$B,$A9,RecoveredRaw!AV:AV)</f>
        <v>7</v>
      </c>
      <c r="AT9">
        <f>SUMIF(RecoveredRaw!$B:$B,$A9,RecoveredRaw!AW:AW)</f>
        <v>7</v>
      </c>
      <c r="AU9">
        <f>SUMIF(RecoveredRaw!$B:$B,$A9,RecoveredRaw!AX:AX)</f>
        <v>7</v>
      </c>
      <c r="AV9">
        <f>SUMIF(RecoveredRaw!$B:$B,$A9,RecoveredRaw!AY:AY)</f>
        <v>7</v>
      </c>
      <c r="AW9">
        <f>SUMIF(RecoveredRaw!$B:$B,$A9,RecoveredRaw!AZ:AZ)</f>
        <v>7</v>
      </c>
      <c r="AX9">
        <f>SUMIF(RecoveredRaw!$B:$B,$A9,RecoveredRaw!BA:BA)</f>
        <v>8</v>
      </c>
      <c r="AY9">
        <f>SUMIF(RecoveredRaw!$B:$B,$A9,RecoveredRaw!BB:BB)</f>
        <v>8</v>
      </c>
      <c r="AZ9">
        <f>SUMIF(RecoveredRaw!$B:$B,$A9,RecoveredRaw!BC:BC)</f>
        <v>12</v>
      </c>
      <c r="BA9">
        <f>SUMIF(RecoveredRaw!$B:$B,$A9,RecoveredRaw!BD:BD)</f>
        <v>12</v>
      </c>
      <c r="BB9">
        <f>SUMIF(RecoveredRaw!$B:$B,$A9,RecoveredRaw!BE:BE)</f>
        <v>12</v>
      </c>
      <c r="BC9">
        <f>SUMIF(RecoveredRaw!$B:$B,$A9,RecoveredRaw!BF:BF)</f>
        <v>12</v>
      </c>
      <c r="BD9">
        <f>SUMIF(RecoveredRaw!$B:$B,$A9,RecoveredRaw!BG:BG)</f>
        <v>17</v>
      </c>
      <c r="BE9">
        <f>SUMIF(RecoveredRaw!$B:$B,$A9,RecoveredRaw!BH:BH)</f>
        <v>17</v>
      </c>
      <c r="BF9">
        <f>SUMIF(RecoveredRaw!$B:$B,$A9,RecoveredRaw!BI:BI)</f>
        <v>0</v>
      </c>
      <c r="BG9">
        <f>SUMIF(RecoveredRaw!$B:$B,$A9,RecoveredRaw!BJ:BJ)</f>
        <v>0</v>
      </c>
      <c r="BH9">
        <f>SUMIF(RecoveredRaw!$B:$B,$A9,RecoveredRaw!BK:BK)</f>
        <v>0</v>
      </c>
      <c r="BI9">
        <f>SUMIF(RecoveredRaw!$B:$B,$A9,RecoveredRaw!BL:BL)</f>
        <v>0</v>
      </c>
      <c r="BJ9">
        <f>SUMIF(RecoveredRaw!$B:$B,$A9,RecoveredRaw!BM:BM)</f>
        <v>0</v>
      </c>
      <c r="BK9">
        <f>SUMIF(RecoveredRaw!$B:$B,$A9,RecoveredRaw!BN:BN)</f>
        <v>0</v>
      </c>
      <c r="BL9">
        <f>SUMIF(RecoveredRaw!$B:$B,$A9,RecoveredRaw!BO:BO)</f>
        <v>0</v>
      </c>
      <c r="BM9">
        <f>SUMIF(RecoveredRaw!$B:$B,$A9,RecoveredRaw!BP:BP)</f>
        <v>0</v>
      </c>
      <c r="BN9">
        <f>SUMIF(RecoveredRaw!$B:$B,$A9,RecoveredRaw!BQ:BQ)</f>
        <v>0</v>
      </c>
      <c r="BO9">
        <f>SUMIF(RecoveredRaw!$B:$B,$A9,RecoveredRaw!BR:BR)</f>
        <v>0</v>
      </c>
      <c r="BP9">
        <f>SUMIF(RecoveredRaw!$B:$B,$A9,RecoveredRaw!BS:BS)</f>
        <v>0</v>
      </c>
      <c r="BQ9">
        <f>SUMIF(RecoveredRaw!$B:$B,$A9,RecoveredRaw!BT:BT)</f>
        <v>0</v>
      </c>
      <c r="BR9">
        <f>SUMIF(RecoveredRaw!$B:$B,$A9,RecoveredRaw!BU:BU)</f>
        <v>0</v>
      </c>
      <c r="BS9">
        <f>SUMIF(RecoveredRaw!$B:$B,$A9,RecoveredRaw!BV:BV)</f>
        <v>0</v>
      </c>
      <c r="BT9">
        <f>SUMIF(RecoveredRaw!$B:$B,$A9,RecoveredRaw!BW:BW)</f>
        <v>0</v>
      </c>
    </row>
    <row r="10" spans="1:72" ht="15" thickBot="1" x14ac:dyDescent="0.35">
      <c r="A10" s="4" t="s">
        <v>77</v>
      </c>
      <c r="B10">
        <f>SUMIF(RecoveredRaw!$B:$B,$A10,RecoveredRaw!E:E)</f>
        <v>0</v>
      </c>
      <c r="C10">
        <f>SUMIF(RecoveredRaw!$B:$B,$A10,RecoveredRaw!F:F)</f>
        <v>0</v>
      </c>
      <c r="D10">
        <f>SUMIF(RecoveredRaw!$B:$B,$A10,RecoveredRaw!G:G)</f>
        <v>0</v>
      </c>
      <c r="E10">
        <f>SUMIF(RecoveredRaw!$B:$B,$A10,RecoveredRaw!H:H)</f>
        <v>0</v>
      </c>
      <c r="F10">
        <f>SUMIF(RecoveredRaw!$B:$B,$A10,RecoveredRaw!I:I)</f>
        <v>0</v>
      </c>
      <c r="G10">
        <f>SUMIF(RecoveredRaw!$B:$B,$A10,RecoveredRaw!J:J)</f>
        <v>0</v>
      </c>
      <c r="H10">
        <f>SUMIF(RecoveredRaw!$B:$B,$A10,RecoveredRaw!K:K)</f>
        <v>0</v>
      </c>
      <c r="I10">
        <f>SUMIF(RecoveredRaw!$B:$B,$A10,RecoveredRaw!L:L)</f>
        <v>0</v>
      </c>
      <c r="J10">
        <f>SUMIF(RecoveredRaw!$B:$B,$A10,RecoveredRaw!M:M)</f>
        <v>0</v>
      </c>
      <c r="K10">
        <f>SUMIF(RecoveredRaw!$B:$B,$A10,RecoveredRaw!N:N)</f>
        <v>0</v>
      </c>
      <c r="L10">
        <f>SUMIF(RecoveredRaw!$B:$B,$A10,RecoveredRaw!O:O)</f>
        <v>0</v>
      </c>
      <c r="M10">
        <f>SUMIF(RecoveredRaw!$B:$B,$A10,RecoveredRaw!P:P)</f>
        <v>0</v>
      </c>
      <c r="N10">
        <f>SUMIF(RecoveredRaw!$B:$B,$A10,RecoveredRaw!Q:Q)</f>
        <v>0</v>
      </c>
      <c r="O10">
        <f>SUMIF(RecoveredRaw!$B:$B,$A10,RecoveredRaw!R:R)</f>
        <v>0</v>
      </c>
      <c r="P10">
        <f>SUMIF(RecoveredRaw!$B:$B,$A10,RecoveredRaw!S:S)</f>
        <v>0</v>
      </c>
      <c r="Q10">
        <f>SUMIF(RecoveredRaw!$B:$B,$A10,RecoveredRaw!T:T)</f>
        <v>0</v>
      </c>
      <c r="R10">
        <f>SUMIF(RecoveredRaw!$B:$B,$A10,RecoveredRaw!U:U)</f>
        <v>0</v>
      </c>
      <c r="S10">
        <f>SUMIF(RecoveredRaw!$B:$B,$A10,RecoveredRaw!V:V)</f>
        <v>0</v>
      </c>
      <c r="T10">
        <f>SUMIF(RecoveredRaw!$B:$B,$A10,RecoveredRaw!W:W)</f>
        <v>0</v>
      </c>
      <c r="U10">
        <f>SUMIF(RecoveredRaw!$B:$B,$A10,RecoveredRaw!X:X)</f>
        <v>0</v>
      </c>
      <c r="V10">
        <f>SUMIF(RecoveredRaw!$B:$B,$A10,RecoveredRaw!Y:Y)</f>
        <v>0</v>
      </c>
      <c r="W10">
        <f>SUMIF(RecoveredRaw!$B:$B,$A10,RecoveredRaw!Z:Z)</f>
        <v>0</v>
      </c>
      <c r="X10">
        <f>SUMIF(RecoveredRaw!$B:$B,$A10,RecoveredRaw!AA:AA)</f>
        <v>0</v>
      </c>
      <c r="Y10">
        <f>SUMIF(RecoveredRaw!$B:$B,$A10,RecoveredRaw!AB:AB)</f>
        <v>0</v>
      </c>
      <c r="Z10">
        <f>SUMIF(RecoveredRaw!$B:$B,$A10,RecoveredRaw!AC:AC)</f>
        <v>0</v>
      </c>
      <c r="AA10">
        <f>SUMIF(RecoveredRaw!$B:$B,$A10,RecoveredRaw!AD:AD)</f>
        <v>0</v>
      </c>
      <c r="AB10">
        <f>SUMIF(RecoveredRaw!$B:$B,$A10,RecoveredRaw!AE:AE)</f>
        <v>0</v>
      </c>
      <c r="AC10">
        <f>SUMIF(RecoveredRaw!$B:$B,$A10,RecoveredRaw!AF:AF)</f>
        <v>0</v>
      </c>
      <c r="AD10">
        <f>SUMIF(RecoveredRaw!$B:$B,$A10,RecoveredRaw!AG:AG)</f>
        <v>0</v>
      </c>
      <c r="AE10">
        <f>SUMIF(RecoveredRaw!$B:$B,$A10,RecoveredRaw!AH:AH)</f>
        <v>0</v>
      </c>
      <c r="AF10">
        <f>SUMIF(RecoveredRaw!$B:$B,$A10,RecoveredRaw!AI:AI)</f>
        <v>0</v>
      </c>
      <c r="AG10">
        <f>SUMIF(RecoveredRaw!$B:$B,$A10,RecoveredRaw!AJ:AJ)</f>
        <v>0</v>
      </c>
      <c r="AH10">
        <f>SUMIF(RecoveredRaw!$B:$B,$A10,RecoveredRaw!AK:AK)</f>
        <v>0</v>
      </c>
      <c r="AI10">
        <f>SUMIF(RecoveredRaw!$B:$B,$A10,RecoveredRaw!AL:AL)</f>
        <v>0</v>
      </c>
      <c r="AJ10">
        <f>SUMIF(RecoveredRaw!$B:$B,$A10,RecoveredRaw!AM:AM)</f>
        <v>0</v>
      </c>
      <c r="AK10">
        <f>SUMIF(RecoveredRaw!$B:$B,$A10,RecoveredRaw!AN:AN)</f>
        <v>0</v>
      </c>
      <c r="AL10">
        <f>SUMIF(RecoveredRaw!$B:$B,$A10,RecoveredRaw!AO:AO)</f>
        <v>0</v>
      </c>
      <c r="AM10">
        <f>SUMIF(RecoveredRaw!$B:$B,$A10,RecoveredRaw!AP:AP)</f>
        <v>0</v>
      </c>
      <c r="AN10">
        <f>SUMIF(RecoveredRaw!$B:$B,$A10,RecoveredRaw!AQ:AQ)</f>
        <v>0</v>
      </c>
      <c r="AO10">
        <f>SUMIF(RecoveredRaw!$B:$B,$A10,RecoveredRaw!AR:AR)</f>
        <v>0</v>
      </c>
      <c r="AP10">
        <f>SUMIF(RecoveredRaw!$B:$B,$A10,RecoveredRaw!AS:AS)</f>
        <v>0</v>
      </c>
      <c r="AQ10">
        <f>SUMIF(RecoveredRaw!$B:$B,$A10,RecoveredRaw!AT:AT)</f>
        <v>2</v>
      </c>
      <c r="AR10">
        <f>SUMIF(RecoveredRaw!$B:$B,$A10,RecoveredRaw!AU:AU)</f>
        <v>3</v>
      </c>
      <c r="AS10">
        <f>SUMIF(RecoveredRaw!$B:$B,$A10,RecoveredRaw!AV:AV)</f>
        <v>3</v>
      </c>
      <c r="AT10">
        <f>SUMIF(RecoveredRaw!$B:$B,$A10,RecoveredRaw!AW:AW)</f>
        <v>3</v>
      </c>
      <c r="AU10">
        <f>SUMIF(RecoveredRaw!$B:$B,$A10,RecoveredRaw!AX:AX)</f>
        <v>3</v>
      </c>
      <c r="AV10">
        <f>SUMIF(RecoveredRaw!$B:$B,$A10,RecoveredRaw!AY:AY)</f>
        <v>3</v>
      </c>
      <c r="AW10">
        <f>SUMIF(RecoveredRaw!$B:$B,$A10,RecoveredRaw!AZ:AZ)</f>
        <v>3</v>
      </c>
      <c r="AX10">
        <f>SUMIF(RecoveredRaw!$B:$B,$A10,RecoveredRaw!BA:BA)</f>
        <v>3</v>
      </c>
      <c r="AY10">
        <f>SUMIF(RecoveredRaw!$B:$B,$A10,RecoveredRaw!BB:BB)</f>
        <v>4</v>
      </c>
      <c r="AZ10">
        <f>SUMIF(RecoveredRaw!$B:$B,$A10,RecoveredRaw!BC:BC)</f>
        <v>4</v>
      </c>
      <c r="BA10">
        <f>SUMIF(RecoveredRaw!$B:$B,$A10,RecoveredRaw!BD:BD)</f>
        <v>4</v>
      </c>
      <c r="BB10">
        <f>SUMIF(RecoveredRaw!$B:$B,$A10,RecoveredRaw!BE:BE)</f>
        <v>4</v>
      </c>
      <c r="BC10">
        <f>SUMIF(RecoveredRaw!$B:$B,$A10,RecoveredRaw!BF:BF)</f>
        <v>4</v>
      </c>
      <c r="BD10">
        <f>SUMIF(RecoveredRaw!$B:$B,$A10,RecoveredRaw!BG:BG)</f>
        <v>4</v>
      </c>
      <c r="BE10">
        <f>SUMIF(RecoveredRaw!$B:$B,$A10,RecoveredRaw!BH:BH)</f>
        <v>4</v>
      </c>
      <c r="BF10">
        <f>SUMIF(RecoveredRaw!$B:$B,$A10,RecoveredRaw!BI:BI)</f>
        <v>15</v>
      </c>
      <c r="BG10">
        <f>SUMIF(RecoveredRaw!$B:$B,$A10,RecoveredRaw!BJ:BJ)</f>
        <v>0</v>
      </c>
      <c r="BH10">
        <f>SUMIF(RecoveredRaw!$B:$B,$A10,RecoveredRaw!BK:BK)</f>
        <v>0</v>
      </c>
      <c r="BI10">
        <f>SUMIF(RecoveredRaw!$B:$B,$A10,RecoveredRaw!BL:BL)</f>
        <v>0</v>
      </c>
      <c r="BJ10">
        <f>SUMIF(RecoveredRaw!$B:$B,$A10,RecoveredRaw!BM:BM)</f>
        <v>0</v>
      </c>
      <c r="BK10">
        <f>SUMIF(RecoveredRaw!$B:$B,$A10,RecoveredRaw!BN:BN)</f>
        <v>0</v>
      </c>
      <c r="BL10">
        <f>SUMIF(RecoveredRaw!$B:$B,$A10,RecoveredRaw!BO:BO)</f>
        <v>0</v>
      </c>
      <c r="BM10">
        <f>SUMIF(RecoveredRaw!$B:$B,$A10,RecoveredRaw!BP:BP)</f>
        <v>0</v>
      </c>
      <c r="BN10">
        <f>SUMIF(RecoveredRaw!$B:$B,$A10,RecoveredRaw!BQ:BQ)</f>
        <v>0</v>
      </c>
      <c r="BO10">
        <f>SUMIF(RecoveredRaw!$B:$B,$A10,RecoveredRaw!BR:BR)</f>
        <v>0</v>
      </c>
      <c r="BP10">
        <f>SUMIF(RecoveredRaw!$B:$B,$A10,RecoveredRaw!BS:BS)</f>
        <v>0</v>
      </c>
      <c r="BQ10">
        <f>SUMIF(RecoveredRaw!$B:$B,$A10,RecoveredRaw!BT:BT)</f>
        <v>0</v>
      </c>
      <c r="BR10">
        <f>SUMIF(RecoveredRaw!$B:$B,$A10,RecoveredRaw!BU:BU)</f>
        <v>0</v>
      </c>
      <c r="BS10">
        <f>SUMIF(RecoveredRaw!$B:$B,$A10,RecoveredRaw!BV:BV)</f>
        <v>0</v>
      </c>
      <c r="BT10">
        <f>SUMIF(RecoveredRaw!$B:$B,$A10,RecoveredRaw!BW:BW)</f>
        <v>0</v>
      </c>
    </row>
    <row r="11" spans="1:72" ht="15" thickBot="1" x14ac:dyDescent="0.35">
      <c r="A11" s="4" t="s">
        <v>85</v>
      </c>
      <c r="B11">
        <f>SUMIF(RecoveredRaw!$B:$B,$A11,RecoveredRaw!E:E)</f>
        <v>0</v>
      </c>
      <c r="C11">
        <f>SUMIF(RecoveredRaw!$B:$B,$A11,RecoveredRaw!F:F)</f>
        <v>0</v>
      </c>
      <c r="D11">
        <f>SUMIF(RecoveredRaw!$B:$B,$A11,RecoveredRaw!G:G)</f>
        <v>0</v>
      </c>
      <c r="E11">
        <f>SUMIF(RecoveredRaw!$B:$B,$A11,RecoveredRaw!H:H)</f>
        <v>0</v>
      </c>
      <c r="F11">
        <f>SUMIF(RecoveredRaw!$B:$B,$A11,RecoveredRaw!I:I)</f>
        <v>0</v>
      </c>
      <c r="G11">
        <f>SUMIF(RecoveredRaw!$B:$B,$A11,RecoveredRaw!J:J)</f>
        <v>0</v>
      </c>
      <c r="H11">
        <f>SUMIF(RecoveredRaw!$B:$B,$A11,RecoveredRaw!K:K)</f>
        <v>0</v>
      </c>
      <c r="I11">
        <f>SUMIF(RecoveredRaw!$B:$B,$A11,RecoveredRaw!L:L)</f>
        <v>0</v>
      </c>
      <c r="J11">
        <f>SUMIF(RecoveredRaw!$B:$B,$A11,RecoveredRaw!M:M)</f>
        <v>0</v>
      </c>
      <c r="K11">
        <f>SUMIF(RecoveredRaw!$B:$B,$A11,RecoveredRaw!N:N)</f>
        <v>0</v>
      </c>
      <c r="L11">
        <f>SUMIF(RecoveredRaw!$B:$B,$A11,RecoveredRaw!O:O)</f>
        <v>0</v>
      </c>
      <c r="M11">
        <f>SUMIF(RecoveredRaw!$B:$B,$A11,RecoveredRaw!P:P)</f>
        <v>0</v>
      </c>
      <c r="N11">
        <f>SUMIF(RecoveredRaw!$B:$B,$A11,RecoveredRaw!Q:Q)</f>
        <v>0</v>
      </c>
      <c r="O11">
        <f>SUMIF(RecoveredRaw!$B:$B,$A11,RecoveredRaw!R:R)</f>
        <v>0</v>
      </c>
      <c r="P11">
        <f>SUMIF(RecoveredRaw!$B:$B,$A11,RecoveredRaw!S:S)</f>
        <v>0</v>
      </c>
      <c r="Q11">
        <f>SUMIF(RecoveredRaw!$B:$B,$A11,RecoveredRaw!T:T)</f>
        <v>0</v>
      </c>
      <c r="R11">
        <f>SUMIF(RecoveredRaw!$B:$B,$A11,RecoveredRaw!U:U)</f>
        <v>0</v>
      </c>
      <c r="S11">
        <f>SUMIF(RecoveredRaw!$B:$B,$A11,RecoveredRaw!V:V)</f>
        <v>0</v>
      </c>
      <c r="T11">
        <f>SUMIF(RecoveredRaw!$B:$B,$A11,RecoveredRaw!W:W)</f>
        <v>0</v>
      </c>
      <c r="U11">
        <f>SUMIF(RecoveredRaw!$B:$B,$A11,RecoveredRaw!X:X)</f>
        <v>0</v>
      </c>
      <c r="V11">
        <f>SUMIF(RecoveredRaw!$B:$B,$A11,RecoveredRaw!Y:Y)</f>
        <v>0</v>
      </c>
      <c r="W11">
        <f>SUMIF(RecoveredRaw!$B:$B,$A11,RecoveredRaw!Z:Z)</f>
        <v>0</v>
      </c>
      <c r="X11">
        <f>SUMIF(RecoveredRaw!$B:$B,$A11,RecoveredRaw!AA:AA)</f>
        <v>0</v>
      </c>
      <c r="Y11">
        <f>SUMIF(RecoveredRaw!$B:$B,$A11,RecoveredRaw!AB:AB)</f>
        <v>0</v>
      </c>
      <c r="Z11">
        <f>SUMIF(RecoveredRaw!$B:$B,$A11,RecoveredRaw!AC:AC)</f>
        <v>0</v>
      </c>
      <c r="AA11">
        <f>SUMIF(RecoveredRaw!$B:$B,$A11,RecoveredRaw!AD:AD)</f>
        <v>0</v>
      </c>
      <c r="AB11">
        <f>SUMIF(RecoveredRaw!$B:$B,$A11,RecoveredRaw!AE:AE)</f>
        <v>0</v>
      </c>
      <c r="AC11">
        <f>SUMIF(RecoveredRaw!$B:$B,$A11,RecoveredRaw!AF:AF)</f>
        <v>0</v>
      </c>
      <c r="AD11">
        <f>SUMIF(RecoveredRaw!$B:$B,$A11,RecoveredRaw!AG:AG)</f>
        <v>0</v>
      </c>
      <c r="AE11">
        <f>SUMIF(RecoveredRaw!$B:$B,$A11,RecoveredRaw!AH:AH)</f>
        <v>0</v>
      </c>
      <c r="AF11">
        <f>SUMIF(RecoveredRaw!$B:$B,$A11,RecoveredRaw!AI:AI)</f>
        <v>0</v>
      </c>
      <c r="AG11">
        <f>SUMIF(RecoveredRaw!$B:$B,$A11,RecoveredRaw!AJ:AJ)</f>
        <v>0</v>
      </c>
      <c r="AH11">
        <f>SUMIF(RecoveredRaw!$B:$B,$A11,RecoveredRaw!AK:AK)</f>
        <v>0</v>
      </c>
      <c r="AI11">
        <f>SUMIF(RecoveredRaw!$B:$B,$A11,RecoveredRaw!AL:AL)</f>
        <v>0</v>
      </c>
      <c r="AJ11">
        <f>SUMIF(RecoveredRaw!$B:$B,$A11,RecoveredRaw!AM:AM)</f>
        <v>0</v>
      </c>
      <c r="AK11">
        <f>SUMIF(RecoveredRaw!$B:$B,$A11,RecoveredRaw!AN:AN)</f>
        <v>0</v>
      </c>
      <c r="AL11">
        <f>SUMIF(RecoveredRaw!$B:$B,$A11,RecoveredRaw!AO:AO)</f>
        <v>0</v>
      </c>
      <c r="AM11">
        <f>SUMIF(RecoveredRaw!$B:$B,$A11,RecoveredRaw!AP:AP)</f>
        <v>0</v>
      </c>
      <c r="AN11">
        <f>SUMIF(RecoveredRaw!$B:$B,$A11,RecoveredRaw!AQ:AQ)</f>
        <v>0</v>
      </c>
      <c r="AO11">
        <f>SUMIF(RecoveredRaw!$B:$B,$A11,RecoveredRaw!AR:AR)</f>
        <v>0</v>
      </c>
      <c r="AP11">
        <f>SUMIF(RecoveredRaw!$B:$B,$A11,RecoveredRaw!AS:AS)</f>
        <v>0</v>
      </c>
      <c r="AQ11">
        <f>SUMIF(RecoveredRaw!$B:$B,$A11,RecoveredRaw!AT:AT)</f>
        <v>0</v>
      </c>
      <c r="AR11">
        <f>SUMIF(RecoveredRaw!$B:$B,$A11,RecoveredRaw!AU:AU)</f>
        <v>0</v>
      </c>
      <c r="AS11">
        <f>SUMIF(RecoveredRaw!$B:$B,$A11,RecoveredRaw!AV:AV)</f>
        <v>0</v>
      </c>
      <c r="AT11">
        <f>SUMIF(RecoveredRaw!$B:$B,$A11,RecoveredRaw!AW:AW)</f>
        <v>0</v>
      </c>
      <c r="AU11">
        <f>SUMIF(RecoveredRaw!$B:$B,$A11,RecoveredRaw!AX:AX)</f>
        <v>0</v>
      </c>
      <c r="AV11">
        <f>SUMIF(RecoveredRaw!$B:$B,$A11,RecoveredRaw!AY:AY)</f>
        <v>0</v>
      </c>
      <c r="AW11">
        <f>SUMIF(RecoveredRaw!$B:$B,$A11,RecoveredRaw!AZ:AZ)</f>
        <v>1</v>
      </c>
      <c r="AX11">
        <f>SUMIF(RecoveredRaw!$B:$B,$A11,RecoveredRaw!BA:BA)</f>
        <v>1</v>
      </c>
      <c r="AY11">
        <f>SUMIF(RecoveredRaw!$B:$B,$A11,RecoveredRaw!BB:BB)</f>
        <v>1</v>
      </c>
      <c r="AZ11">
        <f>SUMIF(RecoveredRaw!$B:$B,$A11,RecoveredRaw!BC:BC)</f>
        <v>1</v>
      </c>
      <c r="BA11">
        <f>SUMIF(RecoveredRaw!$B:$B,$A11,RecoveredRaw!BD:BD)</f>
        <v>1</v>
      </c>
      <c r="BB11">
        <f>SUMIF(RecoveredRaw!$B:$B,$A11,RecoveredRaw!BE:BE)</f>
        <v>1</v>
      </c>
      <c r="BC11">
        <f>SUMIF(RecoveredRaw!$B:$B,$A11,RecoveredRaw!BF:BF)</f>
        <v>1</v>
      </c>
      <c r="BD11">
        <f>SUMIF(RecoveredRaw!$B:$B,$A11,RecoveredRaw!BG:BG)</f>
        <v>1</v>
      </c>
      <c r="BE11">
        <f>SUMIF(RecoveredRaw!$B:$B,$A11,RecoveredRaw!BH:BH)</f>
        <v>1</v>
      </c>
      <c r="BF11">
        <f>SUMIF(RecoveredRaw!$B:$B,$A11,RecoveredRaw!BI:BI)</f>
        <v>1</v>
      </c>
      <c r="BG11">
        <f>SUMIF(RecoveredRaw!$B:$B,$A11,RecoveredRaw!BJ:BJ)</f>
        <v>0</v>
      </c>
      <c r="BH11">
        <f>SUMIF(RecoveredRaw!$B:$B,$A11,RecoveredRaw!BK:BK)</f>
        <v>0</v>
      </c>
      <c r="BI11">
        <f>SUMIF(RecoveredRaw!$B:$B,$A11,RecoveredRaw!BL:BL)</f>
        <v>0</v>
      </c>
      <c r="BJ11">
        <f>SUMIF(RecoveredRaw!$B:$B,$A11,RecoveredRaw!BM:BM)</f>
        <v>0</v>
      </c>
      <c r="BK11">
        <f>SUMIF(RecoveredRaw!$B:$B,$A11,RecoveredRaw!BN:BN)</f>
        <v>0</v>
      </c>
      <c r="BL11">
        <f>SUMIF(RecoveredRaw!$B:$B,$A11,RecoveredRaw!BO:BO)</f>
        <v>0</v>
      </c>
      <c r="BM11">
        <f>SUMIF(RecoveredRaw!$B:$B,$A11,RecoveredRaw!BP:BP)</f>
        <v>0</v>
      </c>
      <c r="BN11">
        <f>SUMIF(RecoveredRaw!$B:$B,$A11,RecoveredRaw!BQ:BQ)</f>
        <v>0</v>
      </c>
      <c r="BO11">
        <f>SUMIF(RecoveredRaw!$B:$B,$A11,RecoveredRaw!BR:BR)</f>
        <v>0</v>
      </c>
      <c r="BP11">
        <f>SUMIF(RecoveredRaw!$B:$B,$A11,RecoveredRaw!BS:BS)</f>
        <v>0</v>
      </c>
      <c r="BQ11">
        <f>SUMIF(RecoveredRaw!$B:$B,$A11,RecoveredRaw!BT:BT)</f>
        <v>0</v>
      </c>
      <c r="BR11">
        <f>SUMIF(RecoveredRaw!$B:$B,$A11,RecoveredRaw!BU:BU)</f>
        <v>0</v>
      </c>
      <c r="BS11">
        <f>SUMIF(RecoveredRaw!$B:$B,$A11,RecoveredRaw!BV:BV)</f>
        <v>0</v>
      </c>
      <c r="BT11">
        <f>SUMIF(RecoveredRaw!$B:$B,$A11,RecoveredRaw!BW:BW)</f>
        <v>0</v>
      </c>
    </row>
    <row r="12" spans="1:72" ht="15" thickBot="1" x14ac:dyDescent="0.35">
      <c r="A12" s="4" t="s">
        <v>59</v>
      </c>
      <c r="B12">
        <f>SUMIF(RecoveredRaw!$B:$B,$A12,RecoveredRaw!E:E)</f>
        <v>0</v>
      </c>
      <c r="C12">
        <f>SUMIF(RecoveredRaw!$B:$B,$A12,RecoveredRaw!F:F)</f>
        <v>0</v>
      </c>
      <c r="D12">
        <f>SUMIF(RecoveredRaw!$B:$B,$A12,RecoveredRaw!G:G)</f>
        <v>0</v>
      </c>
      <c r="E12">
        <f>SUMIF(RecoveredRaw!$B:$B,$A12,RecoveredRaw!H:H)</f>
        <v>0</v>
      </c>
      <c r="F12">
        <f>SUMIF(RecoveredRaw!$B:$B,$A12,RecoveredRaw!I:I)</f>
        <v>0</v>
      </c>
      <c r="G12">
        <f>SUMIF(RecoveredRaw!$B:$B,$A12,RecoveredRaw!J:J)</f>
        <v>0</v>
      </c>
      <c r="H12">
        <f>SUMIF(RecoveredRaw!$B:$B,$A12,RecoveredRaw!K:K)</f>
        <v>0</v>
      </c>
      <c r="I12">
        <f>SUMIF(RecoveredRaw!$B:$B,$A12,RecoveredRaw!L:L)</f>
        <v>0</v>
      </c>
      <c r="J12">
        <f>SUMIF(RecoveredRaw!$B:$B,$A12,RecoveredRaw!M:M)</f>
        <v>0</v>
      </c>
      <c r="K12">
        <f>SUMIF(RecoveredRaw!$B:$B,$A12,RecoveredRaw!N:N)</f>
        <v>0</v>
      </c>
      <c r="L12">
        <f>SUMIF(RecoveredRaw!$B:$B,$A12,RecoveredRaw!O:O)</f>
        <v>0</v>
      </c>
      <c r="M12">
        <f>SUMIF(RecoveredRaw!$B:$B,$A12,RecoveredRaw!P:P)</f>
        <v>0</v>
      </c>
      <c r="N12">
        <f>SUMIF(RecoveredRaw!$B:$B,$A12,RecoveredRaw!Q:Q)</f>
        <v>0</v>
      </c>
      <c r="O12">
        <f>SUMIF(RecoveredRaw!$B:$B,$A12,RecoveredRaw!R:R)</f>
        <v>0</v>
      </c>
      <c r="P12">
        <f>SUMIF(RecoveredRaw!$B:$B,$A12,RecoveredRaw!S:S)</f>
        <v>0</v>
      </c>
      <c r="Q12">
        <f>SUMIF(RecoveredRaw!$B:$B,$A12,RecoveredRaw!T:T)</f>
        <v>0</v>
      </c>
      <c r="R12">
        <f>SUMIF(RecoveredRaw!$B:$B,$A12,RecoveredRaw!U:U)</f>
        <v>0</v>
      </c>
      <c r="S12">
        <f>SUMIF(RecoveredRaw!$B:$B,$A12,RecoveredRaw!V:V)</f>
        <v>0</v>
      </c>
      <c r="T12">
        <f>SUMIF(RecoveredRaw!$B:$B,$A12,RecoveredRaw!W:W)</f>
        <v>0</v>
      </c>
      <c r="U12">
        <f>SUMIF(RecoveredRaw!$B:$B,$A12,RecoveredRaw!X:X)</f>
        <v>0</v>
      </c>
      <c r="V12">
        <f>SUMIF(RecoveredRaw!$B:$B,$A12,RecoveredRaw!Y:Y)</f>
        <v>0</v>
      </c>
      <c r="W12">
        <f>SUMIF(RecoveredRaw!$B:$B,$A12,RecoveredRaw!Z:Z)</f>
        <v>0</v>
      </c>
      <c r="X12">
        <f>SUMIF(RecoveredRaw!$B:$B,$A12,RecoveredRaw!AA:AA)</f>
        <v>0</v>
      </c>
      <c r="Y12">
        <f>SUMIF(RecoveredRaw!$B:$B,$A12,RecoveredRaw!AB:AB)</f>
        <v>0</v>
      </c>
      <c r="Z12">
        <f>SUMIF(RecoveredRaw!$B:$B,$A12,RecoveredRaw!AC:AC)</f>
        <v>0</v>
      </c>
      <c r="AA12">
        <f>SUMIF(RecoveredRaw!$B:$B,$A12,RecoveredRaw!AD:AD)</f>
        <v>0</v>
      </c>
      <c r="AB12">
        <f>SUMIF(RecoveredRaw!$B:$B,$A12,RecoveredRaw!AE:AE)</f>
        <v>0</v>
      </c>
      <c r="AC12">
        <f>SUMIF(RecoveredRaw!$B:$B,$A12,RecoveredRaw!AF:AF)</f>
        <v>0</v>
      </c>
      <c r="AD12">
        <f>SUMIF(RecoveredRaw!$B:$B,$A12,RecoveredRaw!AG:AG)</f>
        <v>0</v>
      </c>
      <c r="AE12">
        <f>SUMIF(RecoveredRaw!$B:$B,$A12,RecoveredRaw!AH:AH)</f>
        <v>0</v>
      </c>
      <c r="AF12">
        <f>SUMIF(RecoveredRaw!$B:$B,$A12,RecoveredRaw!AI:AI)</f>
        <v>0</v>
      </c>
      <c r="AG12">
        <f>SUMIF(RecoveredRaw!$B:$B,$A12,RecoveredRaw!AJ:AJ)</f>
        <v>0</v>
      </c>
      <c r="AH12">
        <f>SUMIF(RecoveredRaw!$B:$B,$A12,RecoveredRaw!AK:AK)</f>
        <v>0</v>
      </c>
      <c r="AI12">
        <f>SUMIF(RecoveredRaw!$B:$B,$A12,RecoveredRaw!AL:AL)</f>
        <v>0</v>
      </c>
      <c r="AJ12">
        <f>SUMIF(RecoveredRaw!$B:$B,$A12,RecoveredRaw!AM:AM)</f>
        <v>0</v>
      </c>
      <c r="AK12">
        <f>SUMIF(RecoveredRaw!$B:$B,$A12,RecoveredRaw!AN:AN)</f>
        <v>0</v>
      </c>
      <c r="AL12">
        <f>SUMIF(RecoveredRaw!$B:$B,$A12,RecoveredRaw!AO:AO)</f>
        <v>0</v>
      </c>
      <c r="AM12">
        <f>SUMIF(RecoveredRaw!$B:$B,$A12,RecoveredRaw!AP:AP)</f>
        <v>0</v>
      </c>
      <c r="AN12">
        <f>SUMIF(RecoveredRaw!$B:$B,$A12,RecoveredRaw!AQ:AQ)</f>
        <v>0</v>
      </c>
      <c r="AO12">
        <f>SUMIF(RecoveredRaw!$B:$B,$A12,RecoveredRaw!AR:AR)</f>
        <v>0</v>
      </c>
      <c r="AP12">
        <f>SUMIF(RecoveredRaw!$B:$B,$A12,RecoveredRaw!AS:AS)</f>
        <v>0</v>
      </c>
      <c r="AQ12">
        <f>SUMIF(RecoveredRaw!$B:$B,$A12,RecoveredRaw!AT:AT)</f>
        <v>0</v>
      </c>
      <c r="AR12">
        <f>SUMIF(RecoveredRaw!$B:$B,$A12,RecoveredRaw!AU:AU)</f>
        <v>0</v>
      </c>
      <c r="AS12">
        <f>SUMIF(RecoveredRaw!$B:$B,$A12,RecoveredRaw!AV:AV)</f>
        <v>0</v>
      </c>
      <c r="AT12">
        <f>SUMIF(RecoveredRaw!$B:$B,$A12,RecoveredRaw!AW:AW)</f>
        <v>0</v>
      </c>
      <c r="AU12">
        <f>SUMIF(RecoveredRaw!$B:$B,$A12,RecoveredRaw!AX:AX)</f>
        <v>0</v>
      </c>
      <c r="AV12">
        <f>SUMIF(RecoveredRaw!$B:$B,$A12,RecoveredRaw!AY:AY)</f>
        <v>0</v>
      </c>
      <c r="AW12">
        <f>SUMIF(RecoveredRaw!$B:$B,$A12,RecoveredRaw!AZ:AZ)</f>
        <v>1</v>
      </c>
      <c r="AX12">
        <f>SUMIF(RecoveredRaw!$B:$B,$A12,RecoveredRaw!BA:BA)</f>
        <v>1</v>
      </c>
      <c r="AY12">
        <f>SUMIF(RecoveredRaw!$B:$B,$A12,RecoveredRaw!BB:BB)</f>
        <v>1</v>
      </c>
      <c r="AZ12">
        <f>SUMIF(RecoveredRaw!$B:$B,$A12,RecoveredRaw!BC:BC)</f>
        <v>1</v>
      </c>
      <c r="BA12">
        <f>SUMIF(RecoveredRaw!$B:$B,$A12,RecoveredRaw!BD:BD)</f>
        <v>1</v>
      </c>
      <c r="BB12">
        <f>SUMIF(RecoveredRaw!$B:$B,$A12,RecoveredRaw!BE:BE)</f>
        <v>1</v>
      </c>
      <c r="BC12">
        <f>SUMIF(RecoveredRaw!$B:$B,$A12,RecoveredRaw!BF:BF)</f>
        <v>1</v>
      </c>
      <c r="BD12">
        <f>SUMIF(RecoveredRaw!$B:$B,$A12,RecoveredRaw!BG:BG)</f>
        <v>1</v>
      </c>
      <c r="BE12">
        <f>SUMIF(RecoveredRaw!$B:$B,$A12,RecoveredRaw!BH:BH)</f>
        <v>1</v>
      </c>
      <c r="BF12">
        <f>SUMIF(RecoveredRaw!$B:$B,$A12,RecoveredRaw!BI:BI)</f>
        <v>1</v>
      </c>
      <c r="BG12">
        <f>SUMIF(RecoveredRaw!$B:$B,$A12,RecoveredRaw!BJ:BJ)</f>
        <v>0</v>
      </c>
      <c r="BH12">
        <f>SUMIF(RecoveredRaw!$B:$B,$A12,RecoveredRaw!BK:BK)</f>
        <v>0</v>
      </c>
      <c r="BI12">
        <f>SUMIF(RecoveredRaw!$B:$B,$A12,RecoveredRaw!BL:BL)</f>
        <v>0</v>
      </c>
      <c r="BJ12">
        <f>SUMIF(RecoveredRaw!$B:$B,$A12,RecoveredRaw!BM:BM)</f>
        <v>0</v>
      </c>
      <c r="BK12">
        <f>SUMIF(RecoveredRaw!$B:$B,$A12,RecoveredRaw!BN:BN)</f>
        <v>0</v>
      </c>
      <c r="BL12">
        <f>SUMIF(RecoveredRaw!$B:$B,$A12,RecoveredRaw!BO:BO)</f>
        <v>0</v>
      </c>
      <c r="BM12">
        <f>SUMIF(RecoveredRaw!$B:$B,$A12,RecoveredRaw!BP:BP)</f>
        <v>0</v>
      </c>
      <c r="BN12">
        <f>SUMIF(RecoveredRaw!$B:$B,$A12,RecoveredRaw!BQ:BQ)</f>
        <v>0</v>
      </c>
      <c r="BO12">
        <f>SUMIF(RecoveredRaw!$B:$B,$A12,RecoveredRaw!BR:BR)</f>
        <v>0</v>
      </c>
      <c r="BP12">
        <f>SUMIF(RecoveredRaw!$B:$B,$A12,RecoveredRaw!BS:BS)</f>
        <v>0</v>
      </c>
      <c r="BQ12">
        <f>SUMIF(RecoveredRaw!$B:$B,$A12,RecoveredRaw!BT:BT)</f>
        <v>0</v>
      </c>
      <c r="BR12">
        <f>SUMIF(RecoveredRaw!$B:$B,$A12,RecoveredRaw!BU:BU)</f>
        <v>0</v>
      </c>
      <c r="BS12">
        <f>SUMIF(RecoveredRaw!$B:$B,$A12,RecoveredRaw!BV:BV)</f>
        <v>0</v>
      </c>
      <c r="BT12">
        <f>SUMIF(RecoveredRaw!$B:$B,$A12,RecoveredRaw!BW:BW)</f>
        <v>0</v>
      </c>
    </row>
    <row r="13" spans="1:72" ht="15" thickBot="1" x14ac:dyDescent="0.35">
      <c r="A13" s="3" t="s">
        <v>87</v>
      </c>
      <c r="B13">
        <f>SUMIF(RecoveredRaw!$B:$B,$A13,RecoveredRaw!E:E)</f>
        <v>0</v>
      </c>
      <c r="C13">
        <f>SUMIF(RecoveredRaw!$B:$B,$A13,RecoveredRaw!F:F)</f>
        <v>0</v>
      </c>
      <c r="D13">
        <f>SUMIF(RecoveredRaw!$B:$B,$A13,RecoveredRaw!G:G)</f>
        <v>0</v>
      </c>
      <c r="E13">
        <f>SUMIF(RecoveredRaw!$B:$B,$A13,RecoveredRaw!H:H)</f>
        <v>0</v>
      </c>
      <c r="F13">
        <f>SUMIF(RecoveredRaw!$B:$B,$A13,RecoveredRaw!I:I)</f>
        <v>0</v>
      </c>
      <c r="G13">
        <f>SUMIF(RecoveredRaw!$B:$B,$A13,RecoveredRaw!J:J)</f>
        <v>0</v>
      </c>
      <c r="H13">
        <f>SUMIF(RecoveredRaw!$B:$B,$A13,RecoveredRaw!K:K)</f>
        <v>0</v>
      </c>
      <c r="I13">
        <f>SUMIF(RecoveredRaw!$B:$B,$A13,RecoveredRaw!L:L)</f>
        <v>0</v>
      </c>
      <c r="J13">
        <f>SUMIF(RecoveredRaw!$B:$B,$A13,RecoveredRaw!M:M)</f>
        <v>0</v>
      </c>
      <c r="K13">
        <f>SUMIF(RecoveredRaw!$B:$B,$A13,RecoveredRaw!N:N)</f>
        <v>0</v>
      </c>
      <c r="L13">
        <f>SUMIF(RecoveredRaw!$B:$B,$A13,RecoveredRaw!O:O)</f>
        <v>0</v>
      </c>
      <c r="M13">
        <f>SUMIF(RecoveredRaw!$B:$B,$A13,RecoveredRaw!P:P)</f>
        <v>0</v>
      </c>
      <c r="N13">
        <f>SUMIF(RecoveredRaw!$B:$B,$A13,RecoveredRaw!Q:Q)</f>
        <v>0</v>
      </c>
      <c r="O13">
        <f>SUMIF(RecoveredRaw!$B:$B,$A13,RecoveredRaw!R:R)</f>
        <v>0</v>
      </c>
      <c r="P13">
        <f>SUMIF(RecoveredRaw!$B:$B,$A13,RecoveredRaw!S:S)</f>
        <v>0</v>
      </c>
      <c r="Q13">
        <f>SUMIF(RecoveredRaw!$B:$B,$A13,RecoveredRaw!T:T)</f>
        <v>0</v>
      </c>
      <c r="R13">
        <f>SUMIF(RecoveredRaw!$B:$B,$A13,RecoveredRaw!U:U)</f>
        <v>0</v>
      </c>
      <c r="S13">
        <f>SUMIF(RecoveredRaw!$B:$B,$A13,RecoveredRaw!V:V)</f>
        <v>0</v>
      </c>
      <c r="T13">
        <f>SUMIF(RecoveredRaw!$B:$B,$A13,RecoveredRaw!W:W)</f>
        <v>0</v>
      </c>
      <c r="U13">
        <f>SUMIF(RecoveredRaw!$B:$B,$A13,RecoveredRaw!X:X)</f>
        <v>0</v>
      </c>
      <c r="V13">
        <f>SUMIF(RecoveredRaw!$B:$B,$A13,RecoveredRaw!Y:Y)</f>
        <v>0</v>
      </c>
      <c r="W13">
        <f>SUMIF(RecoveredRaw!$B:$B,$A13,RecoveredRaw!Z:Z)</f>
        <v>0</v>
      </c>
      <c r="X13">
        <f>SUMIF(RecoveredRaw!$B:$B,$A13,RecoveredRaw!AA:AA)</f>
        <v>0</v>
      </c>
      <c r="Y13">
        <f>SUMIF(RecoveredRaw!$B:$B,$A13,RecoveredRaw!AB:AB)</f>
        <v>0</v>
      </c>
      <c r="Z13">
        <f>SUMIF(RecoveredRaw!$B:$B,$A13,RecoveredRaw!AC:AC)</f>
        <v>0</v>
      </c>
      <c r="AA13">
        <f>SUMIF(RecoveredRaw!$B:$B,$A13,RecoveredRaw!AD:AD)</f>
        <v>0</v>
      </c>
      <c r="AB13">
        <f>SUMIF(RecoveredRaw!$B:$B,$A13,RecoveredRaw!AE:AE)</f>
        <v>0</v>
      </c>
      <c r="AC13">
        <f>SUMIF(RecoveredRaw!$B:$B,$A13,RecoveredRaw!AF:AF)</f>
        <v>0</v>
      </c>
      <c r="AD13">
        <f>SUMIF(RecoveredRaw!$B:$B,$A13,RecoveredRaw!AG:AG)</f>
        <v>0</v>
      </c>
      <c r="AE13">
        <f>SUMIF(RecoveredRaw!$B:$B,$A13,RecoveredRaw!AH:AH)</f>
        <v>0</v>
      </c>
      <c r="AF13">
        <f>SUMIF(RecoveredRaw!$B:$B,$A13,RecoveredRaw!AI:AI)</f>
        <v>0</v>
      </c>
      <c r="AG13">
        <f>SUMIF(RecoveredRaw!$B:$B,$A13,RecoveredRaw!AJ:AJ)</f>
        <v>0</v>
      </c>
      <c r="AH13">
        <f>SUMIF(RecoveredRaw!$B:$B,$A13,RecoveredRaw!AK:AK)</f>
        <v>0</v>
      </c>
      <c r="AI13">
        <f>SUMIF(RecoveredRaw!$B:$B,$A13,RecoveredRaw!AL:AL)</f>
        <v>0</v>
      </c>
      <c r="AJ13">
        <f>SUMIF(RecoveredRaw!$B:$B,$A13,RecoveredRaw!AM:AM)</f>
        <v>0</v>
      </c>
      <c r="AK13">
        <f>SUMIF(RecoveredRaw!$B:$B,$A13,RecoveredRaw!AN:AN)</f>
        <v>0</v>
      </c>
      <c r="AL13">
        <f>SUMIF(RecoveredRaw!$B:$B,$A13,RecoveredRaw!AO:AO)</f>
        <v>0</v>
      </c>
      <c r="AM13">
        <f>SUMIF(RecoveredRaw!$B:$B,$A13,RecoveredRaw!AP:AP)</f>
        <v>0</v>
      </c>
      <c r="AN13">
        <f>SUMIF(RecoveredRaw!$B:$B,$A13,RecoveredRaw!AQ:AQ)</f>
        <v>0</v>
      </c>
      <c r="AO13">
        <f>SUMIF(RecoveredRaw!$B:$B,$A13,RecoveredRaw!AR:AR)</f>
        <v>0</v>
      </c>
      <c r="AP13">
        <f>SUMIF(RecoveredRaw!$B:$B,$A13,RecoveredRaw!AS:AS)</f>
        <v>0</v>
      </c>
      <c r="AQ13">
        <f>SUMIF(RecoveredRaw!$B:$B,$A13,RecoveredRaw!AT:AT)</f>
        <v>0</v>
      </c>
      <c r="AR13">
        <f>SUMIF(RecoveredRaw!$B:$B,$A13,RecoveredRaw!AU:AU)</f>
        <v>0</v>
      </c>
      <c r="AS13">
        <f>SUMIF(RecoveredRaw!$B:$B,$A13,RecoveredRaw!AV:AV)</f>
        <v>0</v>
      </c>
      <c r="AT13">
        <f>SUMIF(RecoveredRaw!$B:$B,$A13,RecoveredRaw!AW:AW)</f>
        <v>1</v>
      </c>
      <c r="AU13">
        <f>SUMIF(RecoveredRaw!$B:$B,$A13,RecoveredRaw!AX:AX)</f>
        <v>1</v>
      </c>
      <c r="AV13">
        <f>SUMIF(RecoveredRaw!$B:$B,$A13,RecoveredRaw!AY:AY)</f>
        <v>1</v>
      </c>
      <c r="AW13">
        <f>SUMIF(RecoveredRaw!$B:$B,$A13,RecoveredRaw!AZ:AZ)</f>
        <v>1</v>
      </c>
      <c r="AX13">
        <f>SUMIF(RecoveredRaw!$B:$B,$A13,RecoveredRaw!BA:BA)</f>
        <v>1</v>
      </c>
      <c r="AY13">
        <f>SUMIF(RecoveredRaw!$B:$B,$A13,RecoveredRaw!BB:BB)</f>
        <v>1</v>
      </c>
      <c r="AZ13">
        <f>SUMIF(RecoveredRaw!$B:$B,$A13,RecoveredRaw!BC:BC)</f>
        <v>1</v>
      </c>
      <c r="BA13">
        <f>SUMIF(RecoveredRaw!$B:$B,$A13,RecoveredRaw!BD:BD)</f>
        <v>1</v>
      </c>
      <c r="BB13">
        <f>SUMIF(RecoveredRaw!$B:$B,$A13,RecoveredRaw!BE:BE)</f>
        <v>1</v>
      </c>
      <c r="BC13">
        <f>SUMIF(RecoveredRaw!$B:$B,$A13,RecoveredRaw!BF:BF)</f>
        <v>1</v>
      </c>
      <c r="BD13">
        <f>SUMIF(RecoveredRaw!$B:$B,$A13,RecoveredRaw!BG:BG)</f>
        <v>1</v>
      </c>
      <c r="BE13">
        <f>SUMIF(RecoveredRaw!$B:$B,$A13,RecoveredRaw!BH:BH)</f>
        <v>1</v>
      </c>
      <c r="BF13">
        <f>SUMIF(RecoveredRaw!$B:$B,$A13,RecoveredRaw!BI:BI)</f>
        <v>1</v>
      </c>
      <c r="BG13">
        <f>SUMIF(RecoveredRaw!$B:$B,$A13,RecoveredRaw!BJ:BJ)</f>
        <v>0</v>
      </c>
      <c r="BH13">
        <f>SUMIF(RecoveredRaw!$B:$B,$A13,RecoveredRaw!BK:BK)</f>
        <v>0</v>
      </c>
      <c r="BI13">
        <f>SUMIF(RecoveredRaw!$B:$B,$A13,RecoveredRaw!BL:BL)</f>
        <v>0</v>
      </c>
      <c r="BJ13">
        <f>SUMIF(RecoveredRaw!$B:$B,$A13,RecoveredRaw!BM:BM)</f>
        <v>0</v>
      </c>
      <c r="BK13">
        <f>SUMIF(RecoveredRaw!$B:$B,$A13,RecoveredRaw!BN:BN)</f>
        <v>0</v>
      </c>
      <c r="BL13">
        <f>SUMIF(RecoveredRaw!$B:$B,$A13,RecoveredRaw!BO:BO)</f>
        <v>0</v>
      </c>
      <c r="BM13">
        <f>SUMIF(RecoveredRaw!$B:$B,$A13,RecoveredRaw!BP:BP)</f>
        <v>0</v>
      </c>
      <c r="BN13">
        <f>SUMIF(RecoveredRaw!$B:$B,$A13,RecoveredRaw!BQ:BQ)</f>
        <v>0</v>
      </c>
      <c r="BO13">
        <f>SUMIF(RecoveredRaw!$B:$B,$A13,RecoveredRaw!BR:BR)</f>
        <v>0</v>
      </c>
      <c r="BP13">
        <f>SUMIF(RecoveredRaw!$B:$B,$A13,RecoveredRaw!BS:BS)</f>
        <v>0</v>
      </c>
      <c r="BQ13">
        <f>SUMIF(RecoveredRaw!$B:$B,$A13,RecoveredRaw!BT:BT)</f>
        <v>0</v>
      </c>
      <c r="BR13">
        <f>SUMIF(RecoveredRaw!$B:$B,$A13,RecoveredRaw!BU:BU)</f>
        <v>0</v>
      </c>
      <c r="BS13">
        <f>SUMIF(RecoveredRaw!$B:$B,$A13,RecoveredRaw!BV:BV)</f>
        <v>0</v>
      </c>
      <c r="BT13">
        <f>SUMIF(RecoveredRaw!$B:$B,$A13,RecoveredRaw!BW:BW)</f>
        <v>0</v>
      </c>
    </row>
    <row r="14" spans="1:72" ht="15" thickBot="1" x14ac:dyDescent="0.35">
      <c r="A14" s="3" t="s">
        <v>89</v>
      </c>
      <c r="B14">
        <f>SUMIF(RecoveredRaw!$B:$B,$A14,RecoveredRaw!E:E)</f>
        <v>0</v>
      </c>
      <c r="C14">
        <f>SUMIF(RecoveredRaw!$B:$B,$A14,RecoveredRaw!F:F)</f>
        <v>0</v>
      </c>
      <c r="D14">
        <f>SUMIF(RecoveredRaw!$B:$B,$A14,RecoveredRaw!G:G)</f>
        <v>0</v>
      </c>
      <c r="E14">
        <f>SUMIF(RecoveredRaw!$B:$B,$A14,RecoveredRaw!H:H)</f>
        <v>0</v>
      </c>
      <c r="F14">
        <f>SUMIF(RecoveredRaw!$B:$B,$A14,RecoveredRaw!I:I)</f>
        <v>0</v>
      </c>
      <c r="G14">
        <f>SUMIF(RecoveredRaw!$B:$B,$A14,RecoveredRaw!J:J)</f>
        <v>0</v>
      </c>
      <c r="H14">
        <f>SUMIF(RecoveredRaw!$B:$B,$A14,RecoveredRaw!K:K)</f>
        <v>0</v>
      </c>
      <c r="I14">
        <f>SUMIF(RecoveredRaw!$B:$B,$A14,RecoveredRaw!L:L)</f>
        <v>0</v>
      </c>
      <c r="J14">
        <f>SUMIF(RecoveredRaw!$B:$B,$A14,RecoveredRaw!M:M)</f>
        <v>0</v>
      </c>
      <c r="K14">
        <f>SUMIF(RecoveredRaw!$B:$B,$A14,RecoveredRaw!N:N)</f>
        <v>0</v>
      </c>
      <c r="L14">
        <f>SUMIF(RecoveredRaw!$B:$B,$A14,RecoveredRaw!O:O)</f>
        <v>0</v>
      </c>
      <c r="M14">
        <f>SUMIF(RecoveredRaw!$B:$B,$A14,RecoveredRaw!P:P)</f>
        <v>0</v>
      </c>
      <c r="N14">
        <f>SUMIF(RecoveredRaw!$B:$B,$A14,RecoveredRaw!Q:Q)</f>
        <v>0</v>
      </c>
      <c r="O14">
        <f>SUMIF(RecoveredRaw!$B:$B,$A14,RecoveredRaw!R:R)</f>
        <v>0</v>
      </c>
      <c r="P14">
        <f>SUMIF(RecoveredRaw!$B:$B,$A14,RecoveredRaw!S:S)</f>
        <v>0</v>
      </c>
      <c r="Q14">
        <f>SUMIF(RecoveredRaw!$B:$B,$A14,RecoveredRaw!T:T)</f>
        <v>0</v>
      </c>
      <c r="R14">
        <f>SUMIF(RecoveredRaw!$B:$B,$A14,RecoveredRaw!U:U)</f>
        <v>0</v>
      </c>
      <c r="S14">
        <f>SUMIF(RecoveredRaw!$B:$B,$A14,RecoveredRaw!V:V)</f>
        <v>0</v>
      </c>
      <c r="T14">
        <f>SUMIF(RecoveredRaw!$B:$B,$A14,RecoveredRaw!W:W)</f>
        <v>0</v>
      </c>
      <c r="U14">
        <f>SUMIF(RecoveredRaw!$B:$B,$A14,RecoveredRaw!X:X)</f>
        <v>0</v>
      </c>
      <c r="V14">
        <f>SUMIF(RecoveredRaw!$B:$B,$A14,RecoveredRaw!Y:Y)</f>
        <v>0</v>
      </c>
      <c r="W14">
        <f>SUMIF(RecoveredRaw!$B:$B,$A14,RecoveredRaw!Z:Z)</f>
        <v>0</v>
      </c>
      <c r="X14">
        <f>SUMIF(RecoveredRaw!$B:$B,$A14,RecoveredRaw!AA:AA)</f>
        <v>0</v>
      </c>
      <c r="Y14">
        <f>SUMIF(RecoveredRaw!$B:$B,$A14,RecoveredRaw!AB:AB)</f>
        <v>0</v>
      </c>
      <c r="Z14">
        <f>SUMIF(RecoveredRaw!$B:$B,$A14,RecoveredRaw!AC:AC)</f>
        <v>0</v>
      </c>
      <c r="AA14">
        <f>SUMIF(RecoveredRaw!$B:$B,$A14,RecoveredRaw!AD:AD)</f>
        <v>0</v>
      </c>
      <c r="AB14">
        <f>SUMIF(RecoveredRaw!$B:$B,$A14,RecoveredRaw!AE:AE)</f>
        <v>0</v>
      </c>
      <c r="AC14">
        <f>SUMIF(RecoveredRaw!$B:$B,$A14,RecoveredRaw!AF:AF)</f>
        <v>0</v>
      </c>
      <c r="AD14">
        <f>SUMIF(RecoveredRaw!$B:$B,$A14,RecoveredRaw!AG:AG)</f>
        <v>0</v>
      </c>
      <c r="AE14">
        <f>SUMIF(RecoveredRaw!$B:$B,$A14,RecoveredRaw!AH:AH)</f>
        <v>0</v>
      </c>
      <c r="AF14">
        <f>SUMIF(RecoveredRaw!$B:$B,$A14,RecoveredRaw!AI:AI)</f>
        <v>0</v>
      </c>
      <c r="AG14">
        <f>SUMIF(RecoveredRaw!$B:$B,$A14,RecoveredRaw!AJ:AJ)</f>
        <v>0</v>
      </c>
      <c r="AH14">
        <f>SUMIF(RecoveredRaw!$B:$B,$A14,RecoveredRaw!AK:AK)</f>
        <v>0</v>
      </c>
      <c r="AI14">
        <f>SUMIF(RecoveredRaw!$B:$B,$A14,RecoveredRaw!AL:AL)</f>
        <v>0</v>
      </c>
      <c r="AJ14">
        <f>SUMIF(RecoveredRaw!$B:$B,$A14,RecoveredRaw!AM:AM)</f>
        <v>0</v>
      </c>
      <c r="AK14">
        <f>SUMIF(RecoveredRaw!$B:$B,$A14,RecoveredRaw!AN:AN)</f>
        <v>0</v>
      </c>
      <c r="AL14">
        <f>SUMIF(RecoveredRaw!$B:$B,$A14,RecoveredRaw!AO:AO)</f>
        <v>0</v>
      </c>
      <c r="AM14">
        <f>SUMIF(RecoveredRaw!$B:$B,$A14,RecoveredRaw!AP:AP)</f>
        <v>0</v>
      </c>
      <c r="AN14">
        <f>SUMIF(RecoveredRaw!$B:$B,$A14,RecoveredRaw!AQ:AQ)</f>
        <v>0</v>
      </c>
      <c r="AO14">
        <f>SUMIF(RecoveredRaw!$B:$B,$A14,RecoveredRaw!AR:AR)</f>
        <v>0</v>
      </c>
      <c r="AP14">
        <f>SUMIF(RecoveredRaw!$B:$B,$A14,RecoveredRaw!AS:AS)</f>
        <v>0</v>
      </c>
      <c r="AQ14">
        <f>SUMIF(RecoveredRaw!$B:$B,$A14,RecoveredRaw!AT:AT)</f>
        <v>0</v>
      </c>
      <c r="AR14">
        <f>SUMIF(RecoveredRaw!$B:$B,$A14,RecoveredRaw!AU:AU)</f>
        <v>0</v>
      </c>
      <c r="AS14">
        <f>SUMIF(RecoveredRaw!$B:$B,$A14,RecoveredRaw!AV:AV)</f>
        <v>0</v>
      </c>
      <c r="AT14">
        <f>SUMIF(RecoveredRaw!$B:$B,$A14,RecoveredRaw!AW:AW)</f>
        <v>0</v>
      </c>
      <c r="AU14">
        <f>SUMIF(RecoveredRaw!$B:$B,$A14,RecoveredRaw!AX:AX)</f>
        <v>0</v>
      </c>
      <c r="AV14">
        <f>SUMIF(RecoveredRaw!$B:$B,$A14,RecoveredRaw!AY:AY)</f>
        <v>0</v>
      </c>
      <c r="AW14">
        <f>SUMIF(RecoveredRaw!$B:$B,$A14,RecoveredRaw!AZ:AZ)</f>
        <v>0</v>
      </c>
      <c r="AX14">
        <f>SUMIF(RecoveredRaw!$B:$B,$A14,RecoveredRaw!BA:BA)</f>
        <v>0</v>
      </c>
      <c r="AY14">
        <f>SUMIF(RecoveredRaw!$B:$B,$A14,RecoveredRaw!BB:BB)</f>
        <v>0</v>
      </c>
      <c r="AZ14">
        <f>SUMIF(RecoveredRaw!$B:$B,$A14,RecoveredRaw!BC:BC)</f>
        <v>0</v>
      </c>
      <c r="BA14">
        <f>SUMIF(RecoveredRaw!$B:$B,$A14,RecoveredRaw!BD:BD)</f>
        <v>0</v>
      </c>
      <c r="BB14">
        <f>SUMIF(RecoveredRaw!$B:$B,$A14,RecoveredRaw!BE:BE)</f>
        <v>2</v>
      </c>
      <c r="BC14">
        <f>SUMIF(RecoveredRaw!$B:$B,$A14,RecoveredRaw!BF:BF)</f>
        <v>2</v>
      </c>
      <c r="BD14">
        <f>SUMIF(RecoveredRaw!$B:$B,$A14,RecoveredRaw!BG:BG)</f>
        <v>2</v>
      </c>
      <c r="BE14">
        <f>SUMIF(RecoveredRaw!$B:$B,$A14,RecoveredRaw!BH:BH)</f>
        <v>2</v>
      </c>
      <c r="BF14">
        <f>SUMIF(RecoveredRaw!$B:$B,$A14,RecoveredRaw!BI:BI)</f>
        <v>2</v>
      </c>
      <c r="BG14">
        <f>SUMIF(RecoveredRaw!$B:$B,$A14,RecoveredRaw!BJ:BJ)</f>
        <v>0</v>
      </c>
      <c r="BH14">
        <f>SUMIF(RecoveredRaw!$B:$B,$A14,RecoveredRaw!BK:BK)</f>
        <v>0</v>
      </c>
      <c r="BI14">
        <f>SUMIF(RecoveredRaw!$B:$B,$A14,RecoveredRaw!BL:BL)</f>
        <v>0</v>
      </c>
      <c r="BJ14">
        <f>SUMIF(RecoveredRaw!$B:$B,$A14,RecoveredRaw!BM:BM)</f>
        <v>0</v>
      </c>
      <c r="BK14">
        <f>SUMIF(RecoveredRaw!$B:$B,$A14,RecoveredRaw!BN:BN)</f>
        <v>0</v>
      </c>
      <c r="BL14">
        <f>SUMIF(RecoveredRaw!$B:$B,$A14,RecoveredRaw!BO:BO)</f>
        <v>0</v>
      </c>
      <c r="BM14">
        <f>SUMIF(RecoveredRaw!$B:$B,$A14,RecoveredRaw!BP:BP)</f>
        <v>0</v>
      </c>
      <c r="BN14">
        <f>SUMIF(RecoveredRaw!$B:$B,$A14,RecoveredRaw!BQ:BQ)</f>
        <v>0</v>
      </c>
      <c r="BO14">
        <f>SUMIF(RecoveredRaw!$B:$B,$A14,RecoveredRaw!BR:BR)</f>
        <v>0</v>
      </c>
      <c r="BP14">
        <f>SUMIF(RecoveredRaw!$B:$B,$A14,RecoveredRaw!BS:BS)</f>
        <v>0</v>
      </c>
      <c r="BQ14">
        <f>SUMIF(RecoveredRaw!$B:$B,$A14,RecoveredRaw!BT:BT)</f>
        <v>0</v>
      </c>
      <c r="BR14">
        <f>SUMIF(RecoveredRaw!$B:$B,$A14,RecoveredRaw!BU:BU)</f>
        <v>0</v>
      </c>
      <c r="BS14">
        <f>SUMIF(RecoveredRaw!$B:$B,$A14,RecoveredRaw!BV:BV)</f>
        <v>0</v>
      </c>
      <c r="BT14">
        <f>SUMIF(RecoveredRaw!$B:$B,$A14,RecoveredRaw!BW:BW)</f>
        <v>0</v>
      </c>
    </row>
    <row r="15" spans="1:72" ht="15" thickBot="1" x14ac:dyDescent="0.35">
      <c r="A15" s="3" t="s">
        <v>349</v>
      </c>
      <c r="B15">
        <f>SUMIF(RecoveredRaw!$B:$B,$A15,RecoveredRaw!E:E)</f>
        <v>0</v>
      </c>
      <c r="C15">
        <f>SUMIF(RecoveredRaw!$B:$B,$A15,RecoveredRaw!F:F)</f>
        <v>0</v>
      </c>
      <c r="D15">
        <f>SUMIF(RecoveredRaw!$B:$B,$A15,RecoveredRaw!G:G)</f>
        <v>0</v>
      </c>
      <c r="E15">
        <f>SUMIF(RecoveredRaw!$B:$B,$A15,RecoveredRaw!H:H)</f>
        <v>0</v>
      </c>
      <c r="F15">
        <f>SUMIF(RecoveredRaw!$B:$B,$A15,RecoveredRaw!I:I)</f>
        <v>0</v>
      </c>
      <c r="G15">
        <f>SUMIF(RecoveredRaw!$B:$B,$A15,RecoveredRaw!J:J)</f>
        <v>0</v>
      </c>
      <c r="H15">
        <f>SUMIF(RecoveredRaw!$B:$B,$A15,RecoveredRaw!K:K)</f>
        <v>0</v>
      </c>
      <c r="I15">
        <f>SUMIF(RecoveredRaw!$B:$B,$A15,RecoveredRaw!L:L)</f>
        <v>0</v>
      </c>
      <c r="J15">
        <f>SUMIF(RecoveredRaw!$B:$B,$A15,RecoveredRaw!M:M)</f>
        <v>0</v>
      </c>
      <c r="K15">
        <f>SUMIF(RecoveredRaw!$B:$B,$A15,RecoveredRaw!N:N)</f>
        <v>0</v>
      </c>
      <c r="L15">
        <f>SUMIF(RecoveredRaw!$B:$B,$A15,RecoveredRaw!O:O)</f>
        <v>0</v>
      </c>
      <c r="M15">
        <f>SUMIF(RecoveredRaw!$B:$B,$A15,RecoveredRaw!P:P)</f>
        <v>0</v>
      </c>
      <c r="N15">
        <f>SUMIF(RecoveredRaw!$B:$B,$A15,RecoveredRaw!Q:Q)</f>
        <v>0</v>
      </c>
      <c r="O15">
        <f>SUMIF(RecoveredRaw!$B:$B,$A15,RecoveredRaw!R:R)</f>
        <v>0</v>
      </c>
      <c r="P15">
        <f>SUMIF(RecoveredRaw!$B:$B,$A15,RecoveredRaw!S:S)</f>
        <v>0</v>
      </c>
      <c r="Q15">
        <f>SUMIF(RecoveredRaw!$B:$B,$A15,RecoveredRaw!T:T)</f>
        <v>0</v>
      </c>
      <c r="R15">
        <f>SUMIF(RecoveredRaw!$B:$B,$A15,RecoveredRaw!U:U)</f>
        <v>0</v>
      </c>
      <c r="S15">
        <f>SUMIF(RecoveredRaw!$B:$B,$A15,RecoveredRaw!V:V)</f>
        <v>0</v>
      </c>
      <c r="T15">
        <f>SUMIF(RecoveredRaw!$B:$B,$A15,RecoveredRaw!W:W)</f>
        <v>0</v>
      </c>
      <c r="U15">
        <f>SUMIF(RecoveredRaw!$B:$B,$A15,RecoveredRaw!X:X)</f>
        <v>0</v>
      </c>
      <c r="V15">
        <f>SUMIF(RecoveredRaw!$B:$B,$A15,RecoveredRaw!Y:Y)</f>
        <v>0</v>
      </c>
      <c r="W15">
        <f>SUMIF(RecoveredRaw!$B:$B,$A15,RecoveredRaw!Z:Z)</f>
        <v>1</v>
      </c>
      <c r="X15">
        <f>SUMIF(RecoveredRaw!$B:$B,$A15,RecoveredRaw!AA:AA)</f>
        <v>1</v>
      </c>
      <c r="Y15">
        <f>SUMIF(RecoveredRaw!$B:$B,$A15,RecoveredRaw!AB:AB)</f>
        <v>1</v>
      </c>
      <c r="Z15">
        <f>SUMIF(RecoveredRaw!$B:$B,$A15,RecoveredRaw!AC:AC)</f>
        <v>1</v>
      </c>
      <c r="AA15">
        <f>SUMIF(RecoveredRaw!$B:$B,$A15,RecoveredRaw!AD:AD)</f>
        <v>8</v>
      </c>
      <c r="AB15">
        <f>SUMIF(RecoveredRaw!$B:$B,$A15,RecoveredRaw!AE:AE)</f>
        <v>8</v>
      </c>
      <c r="AC15">
        <f>SUMIF(RecoveredRaw!$B:$B,$A15,RecoveredRaw!AF:AF)</f>
        <v>8</v>
      </c>
      <c r="AD15">
        <f>SUMIF(RecoveredRaw!$B:$B,$A15,RecoveredRaw!AG:AG)</f>
        <v>8</v>
      </c>
      <c r="AE15">
        <f>SUMIF(RecoveredRaw!$B:$B,$A15,RecoveredRaw!AH:AH)</f>
        <v>8</v>
      </c>
      <c r="AF15">
        <f>SUMIF(RecoveredRaw!$B:$B,$A15,RecoveredRaw!AI:AI)</f>
        <v>8</v>
      </c>
      <c r="AG15">
        <f>SUMIF(RecoveredRaw!$B:$B,$A15,RecoveredRaw!AJ:AJ)</f>
        <v>8</v>
      </c>
      <c r="AH15">
        <f>SUMIF(RecoveredRaw!$B:$B,$A15,RecoveredRaw!AK:AK)</f>
        <v>8</v>
      </c>
      <c r="AI15">
        <f>SUMIF(RecoveredRaw!$B:$B,$A15,RecoveredRaw!AL:AL)</f>
        <v>8</v>
      </c>
      <c r="AJ15">
        <f>SUMIF(RecoveredRaw!$B:$B,$A15,RecoveredRaw!AM:AM)</f>
        <v>8</v>
      </c>
      <c r="AK15">
        <f>SUMIF(RecoveredRaw!$B:$B,$A15,RecoveredRaw!AN:AN)</f>
        <v>8</v>
      </c>
      <c r="AL15">
        <f>SUMIF(RecoveredRaw!$B:$B,$A15,RecoveredRaw!AO:AO)</f>
        <v>8</v>
      </c>
      <c r="AM15">
        <f>SUMIF(RecoveredRaw!$B:$B,$A15,RecoveredRaw!AP:AP)</f>
        <v>8</v>
      </c>
      <c r="AN15">
        <f>SUMIF(RecoveredRaw!$B:$B,$A15,RecoveredRaw!AQ:AQ)</f>
        <v>8</v>
      </c>
      <c r="AO15">
        <f>SUMIF(RecoveredRaw!$B:$B,$A15,RecoveredRaw!AR:AR)</f>
        <v>8</v>
      </c>
      <c r="AP15">
        <f>SUMIF(RecoveredRaw!$B:$B,$A15,RecoveredRaw!AS:AS)</f>
        <v>8</v>
      </c>
      <c r="AQ15">
        <f>SUMIF(RecoveredRaw!$B:$B,$A15,RecoveredRaw!AT:AT)</f>
        <v>8</v>
      </c>
      <c r="AR15">
        <f>SUMIF(RecoveredRaw!$B:$B,$A15,RecoveredRaw!AU:AU)</f>
        <v>8</v>
      </c>
      <c r="AS15">
        <f>SUMIF(RecoveredRaw!$B:$B,$A15,RecoveredRaw!AV:AV)</f>
        <v>8</v>
      </c>
      <c r="AT15">
        <f>SUMIF(RecoveredRaw!$B:$B,$A15,RecoveredRaw!AW:AW)</f>
        <v>8</v>
      </c>
      <c r="AU15">
        <f>SUMIF(RecoveredRaw!$B:$B,$A15,RecoveredRaw!AX:AX)</f>
        <v>18</v>
      </c>
      <c r="AV15">
        <f>SUMIF(RecoveredRaw!$B:$B,$A15,RecoveredRaw!AY:AY)</f>
        <v>18</v>
      </c>
      <c r="AW15">
        <f>SUMIF(RecoveredRaw!$B:$B,$A15,RecoveredRaw!AZ:AZ)</f>
        <v>18</v>
      </c>
      <c r="AX15">
        <f>SUMIF(RecoveredRaw!$B:$B,$A15,RecoveredRaw!BA:BA)</f>
        <v>19</v>
      </c>
      <c r="AY15">
        <f>SUMIF(RecoveredRaw!$B:$B,$A15,RecoveredRaw!BB:BB)</f>
        <v>19</v>
      </c>
      <c r="AZ15">
        <f>SUMIF(RecoveredRaw!$B:$B,$A15,RecoveredRaw!BC:BC)</f>
        <v>19</v>
      </c>
      <c r="BA15">
        <f>SUMIF(RecoveredRaw!$B:$B,$A15,RecoveredRaw!BD:BD)</f>
        <v>19</v>
      </c>
      <c r="BB15">
        <f>SUMIF(RecoveredRaw!$B:$B,$A15,RecoveredRaw!BE:BE)</f>
        <v>19</v>
      </c>
      <c r="BC15">
        <f>SUMIF(RecoveredRaw!$B:$B,$A15,RecoveredRaw!BF:BF)</f>
        <v>19</v>
      </c>
      <c r="BD15">
        <f>SUMIF(RecoveredRaw!$B:$B,$A15,RecoveredRaw!BG:BG)</f>
        <v>21</v>
      </c>
      <c r="BE15">
        <f>SUMIF(RecoveredRaw!$B:$B,$A15,RecoveredRaw!BH:BH)</f>
        <v>53</v>
      </c>
      <c r="BF15">
        <f>SUMIF(RecoveredRaw!$B:$B,$A15,RecoveredRaw!BI:BI)</f>
        <v>67</v>
      </c>
      <c r="BG15">
        <f>SUMIF(RecoveredRaw!$B:$B,$A15,RecoveredRaw!BJ:BJ)</f>
        <v>0</v>
      </c>
      <c r="BH15">
        <f>SUMIF(RecoveredRaw!$B:$B,$A15,RecoveredRaw!BK:BK)</f>
        <v>0</v>
      </c>
      <c r="BI15">
        <f>SUMIF(RecoveredRaw!$B:$B,$A15,RecoveredRaw!BL:BL)</f>
        <v>0</v>
      </c>
      <c r="BJ15">
        <f>SUMIF(RecoveredRaw!$B:$B,$A15,RecoveredRaw!BM:BM)</f>
        <v>0</v>
      </c>
      <c r="BK15">
        <f>SUMIF(RecoveredRaw!$B:$B,$A15,RecoveredRaw!BN:BN)</f>
        <v>0</v>
      </c>
      <c r="BL15">
        <f>SUMIF(RecoveredRaw!$B:$B,$A15,RecoveredRaw!BO:BO)</f>
        <v>0</v>
      </c>
      <c r="BM15">
        <f>SUMIF(RecoveredRaw!$B:$B,$A15,RecoveredRaw!BP:BP)</f>
        <v>0</v>
      </c>
      <c r="BN15">
        <f>SUMIF(RecoveredRaw!$B:$B,$A15,RecoveredRaw!BQ:BQ)</f>
        <v>0</v>
      </c>
      <c r="BO15">
        <f>SUMIF(RecoveredRaw!$B:$B,$A15,RecoveredRaw!BR:BR)</f>
        <v>0</v>
      </c>
      <c r="BP15">
        <f>SUMIF(RecoveredRaw!$B:$B,$A15,RecoveredRaw!BS:BS)</f>
        <v>0</v>
      </c>
      <c r="BQ15">
        <f>SUMIF(RecoveredRaw!$B:$B,$A15,RecoveredRaw!BT:BT)</f>
        <v>0</v>
      </c>
      <c r="BR15">
        <f>SUMIF(RecoveredRaw!$B:$B,$A15,RecoveredRaw!BU:BU)</f>
        <v>0</v>
      </c>
      <c r="BS15">
        <f>SUMIF(RecoveredRaw!$B:$B,$A15,RecoveredRaw!BV:BV)</f>
        <v>0</v>
      </c>
      <c r="BT15">
        <f>SUMIF(RecoveredRaw!$B:$B,$A15,RecoveredRaw!BW:BW)</f>
        <v>0</v>
      </c>
    </row>
    <row r="16" spans="1:72" ht="15" thickBot="1" x14ac:dyDescent="0.35">
      <c r="A16" s="4" t="s">
        <v>36</v>
      </c>
      <c r="B16">
        <f>SUMIF(RecoveredRaw!$B:$B,$A16,RecoveredRaw!E:E)</f>
        <v>0</v>
      </c>
      <c r="C16">
        <f>SUMIF(RecoveredRaw!$B:$B,$A16,RecoveredRaw!F:F)</f>
        <v>0</v>
      </c>
      <c r="D16">
        <f>SUMIF(RecoveredRaw!$B:$B,$A16,RecoveredRaw!G:G)</f>
        <v>0</v>
      </c>
      <c r="E16">
        <f>SUMIF(RecoveredRaw!$B:$B,$A16,RecoveredRaw!H:H)</f>
        <v>0</v>
      </c>
      <c r="F16">
        <f>SUMIF(RecoveredRaw!$B:$B,$A16,RecoveredRaw!I:I)</f>
        <v>1</v>
      </c>
      <c r="G16">
        <f>SUMIF(RecoveredRaw!$B:$B,$A16,RecoveredRaw!J:J)</f>
        <v>1</v>
      </c>
      <c r="H16">
        <f>SUMIF(RecoveredRaw!$B:$B,$A16,RecoveredRaw!K:K)</f>
        <v>1</v>
      </c>
      <c r="I16">
        <f>SUMIF(RecoveredRaw!$B:$B,$A16,RecoveredRaw!L:L)</f>
        <v>1</v>
      </c>
      <c r="J16">
        <f>SUMIF(RecoveredRaw!$B:$B,$A16,RecoveredRaw!M:M)</f>
        <v>1</v>
      </c>
      <c r="K16">
        <f>SUMIF(RecoveredRaw!$B:$B,$A16,RecoveredRaw!N:N)</f>
        <v>1</v>
      </c>
      <c r="L16">
        <f>SUMIF(RecoveredRaw!$B:$B,$A16,RecoveredRaw!O:O)</f>
        <v>1</v>
      </c>
      <c r="M16">
        <f>SUMIF(RecoveredRaw!$B:$B,$A16,RecoveredRaw!P:P)</f>
        <v>1</v>
      </c>
      <c r="N16">
        <f>SUMIF(RecoveredRaw!$B:$B,$A16,RecoveredRaw!Q:Q)</f>
        <v>1</v>
      </c>
      <c r="O16">
        <f>SUMIF(RecoveredRaw!$B:$B,$A16,RecoveredRaw!R:R)</f>
        <v>1</v>
      </c>
      <c r="P16">
        <f>SUMIF(RecoveredRaw!$B:$B,$A16,RecoveredRaw!S:S)</f>
        <v>1</v>
      </c>
      <c r="Q16">
        <f>SUMIF(RecoveredRaw!$B:$B,$A16,RecoveredRaw!T:T)</f>
        <v>1</v>
      </c>
      <c r="R16">
        <f>SUMIF(RecoveredRaw!$B:$B,$A16,RecoveredRaw!U:U)</f>
        <v>1</v>
      </c>
      <c r="S16">
        <f>SUMIF(RecoveredRaw!$B:$B,$A16,RecoveredRaw!V:V)</f>
        <v>1</v>
      </c>
      <c r="T16">
        <f>SUMIF(RecoveredRaw!$B:$B,$A16,RecoveredRaw!W:W)</f>
        <v>1</v>
      </c>
      <c r="U16">
        <f>SUMIF(RecoveredRaw!$B:$B,$A16,RecoveredRaw!X:X)</f>
        <v>4</v>
      </c>
      <c r="V16">
        <f>SUMIF(RecoveredRaw!$B:$B,$A16,RecoveredRaw!Y:Y)</f>
        <v>9</v>
      </c>
      <c r="W16">
        <f>SUMIF(RecoveredRaw!$B:$B,$A16,RecoveredRaw!Z:Z)</f>
        <v>9</v>
      </c>
      <c r="X16">
        <f>SUMIF(RecoveredRaw!$B:$B,$A16,RecoveredRaw!AA:AA)</f>
        <v>9</v>
      </c>
      <c r="Y16">
        <f>SUMIF(RecoveredRaw!$B:$B,$A16,RecoveredRaw!AB:AB)</f>
        <v>9</v>
      </c>
      <c r="Z16">
        <f>SUMIF(RecoveredRaw!$B:$B,$A16,RecoveredRaw!AC:AC)</f>
        <v>12</v>
      </c>
      <c r="AA16">
        <f>SUMIF(RecoveredRaw!$B:$B,$A16,RecoveredRaw!AD:AD)</f>
        <v>12</v>
      </c>
      <c r="AB16">
        <f>SUMIF(RecoveredRaw!$B:$B,$A16,RecoveredRaw!AE:AE)</f>
        <v>12</v>
      </c>
      <c r="AC16">
        <f>SUMIF(RecoveredRaw!$B:$B,$A16,RecoveredRaw!AF:AF)</f>
        <v>13</v>
      </c>
      <c r="AD16">
        <f>SUMIF(RecoveredRaw!$B:$B,$A16,RecoveredRaw!AG:AG)</f>
        <v>18</v>
      </c>
      <c r="AE16">
        <f>SUMIF(RecoveredRaw!$B:$B,$A16,RecoveredRaw!AH:AH)</f>
        <v>18</v>
      </c>
      <c r="AF16">
        <f>SUMIF(RecoveredRaw!$B:$B,$A16,RecoveredRaw!AI:AI)</f>
        <v>22</v>
      </c>
      <c r="AG16">
        <f>SUMIF(RecoveredRaw!$B:$B,$A16,RecoveredRaw!AJ:AJ)</f>
        <v>22</v>
      </c>
      <c r="AH16">
        <f>SUMIF(RecoveredRaw!$B:$B,$A16,RecoveredRaw!AK:AK)</f>
        <v>22</v>
      </c>
      <c r="AI16">
        <f>SUMIF(RecoveredRaw!$B:$B,$A16,RecoveredRaw!AL:AL)</f>
        <v>22</v>
      </c>
      <c r="AJ16">
        <f>SUMIF(RecoveredRaw!$B:$B,$A16,RecoveredRaw!AM:AM)</f>
        <v>22</v>
      </c>
      <c r="AK16">
        <f>SUMIF(RecoveredRaw!$B:$B,$A16,RecoveredRaw!AN:AN)</f>
        <v>22</v>
      </c>
      <c r="AL16">
        <f>SUMIF(RecoveredRaw!$B:$B,$A16,RecoveredRaw!AO:AO)</f>
        <v>22</v>
      </c>
      <c r="AM16">
        <f>SUMIF(RecoveredRaw!$B:$B,$A16,RecoveredRaw!AP:AP)</f>
        <v>22</v>
      </c>
      <c r="AN16">
        <f>SUMIF(RecoveredRaw!$B:$B,$A16,RecoveredRaw!AQ:AQ)</f>
        <v>32</v>
      </c>
      <c r="AO16">
        <f>SUMIF(RecoveredRaw!$B:$B,$A16,RecoveredRaw!AR:AR)</f>
        <v>32</v>
      </c>
      <c r="AP16">
        <f>SUMIF(RecoveredRaw!$B:$B,$A16,RecoveredRaw!AS:AS)</f>
        <v>32</v>
      </c>
      <c r="AQ16">
        <f>SUMIF(RecoveredRaw!$B:$B,$A16,RecoveredRaw!AT:AT)</f>
        <v>43</v>
      </c>
      <c r="AR16">
        <f>SUMIF(RecoveredRaw!$B:$B,$A16,RecoveredRaw!AU:AU)</f>
        <v>43</v>
      </c>
      <c r="AS16">
        <f>SUMIF(RecoveredRaw!$B:$B,$A16,RecoveredRaw!AV:AV)</f>
        <v>43</v>
      </c>
      <c r="AT16">
        <f>SUMIF(RecoveredRaw!$B:$B,$A16,RecoveredRaw!AW:AW)</f>
        <v>46</v>
      </c>
      <c r="AU16">
        <f>SUMIF(RecoveredRaw!$B:$B,$A16,RecoveredRaw!AX:AX)</f>
        <v>76</v>
      </c>
      <c r="AV16">
        <f>SUMIF(RecoveredRaw!$B:$B,$A16,RecoveredRaw!AY:AY)</f>
        <v>76</v>
      </c>
      <c r="AW16">
        <f>SUMIF(RecoveredRaw!$B:$B,$A16,RecoveredRaw!AZ:AZ)</f>
        <v>76</v>
      </c>
      <c r="AX16">
        <f>SUMIF(RecoveredRaw!$B:$B,$A16,RecoveredRaw!BA:BA)</f>
        <v>101</v>
      </c>
      <c r="AY16">
        <f>SUMIF(RecoveredRaw!$B:$B,$A16,RecoveredRaw!BB:BB)</f>
        <v>118</v>
      </c>
      <c r="AZ16">
        <f>SUMIF(RecoveredRaw!$B:$B,$A16,RecoveredRaw!BC:BC)</f>
        <v>118</v>
      </c>
      <c r="BA16">
        <f>SUMIF(RecoveredRaw!$B:$B,$A16,RecoveredRaw!BD:BD)</f>
        <v>118</v>
      </c>
      <c r="BB16">
        <f>SUMIF(RecoveredRaw!$B:$B,$A16,RecoveredRaw!BE:BE)</f>
        <v>118</v>
      </c>
      <c r="BC16">
        <f>SUMIF(RecoveredRaw!$B:$B,$A16,RecoveredRaw!BF:BF)</f>
        <v>118</v>
      </c>
      <c r="BD16">
        <f>SUMIF(RecoveredRaw!$B:$B,$A16,RecoveredRaw!BG:BG)</f>
        <v>144</v>
      </c>
      <c r="BE16">
        <f>SUMIF(RecoveredRaw!$B:$B,$A16,RecoveredRaw!BH:BH)</f>
        <v>144</v>
      </c>
      <c r="BF16">
        <f>SUMIF(RecoveredRaw!$B:$B,$A16,RecoveredRaw!BI:BI)</f>
        <v>144</v>
      </c>
      <c r="BG16">
        <f>SUMIF(RecoveredRaw!$B:$B,$A16,RecoveredRaw!BJ:BJ)</f>
        <v>0</v>
      </c>
      <c r="BH16">
        <f>SUMIF(RecoveredRaw!$B:$B,$A16,RecoveredRaw!BK:BK)</f>
        <v>0</v>
      </c>
      <c r="BI16">
        <f>SUMIF(RecoveredRaw!$B:$B,$A16,RecoveredRaw!BL:BL)</f>
        <v>0</v>
      </c>
      <c r="BJ16">
        <f>SUMIF(RecoveredRaw!$B:$B,$A16,RecoveredRaw!BM:BM)</f>
        <v>0</v>
      </c>
      <c r="BK16">
        <f>SUMIF(RecoveredRaw!$B:$B,$A16,RecoveredRaw!BN:BN)</f>
        <v>0</v>
      </c>
      <c r="BL16">
        <f>SUMIF(RecoveredRaw!$B:$B,$A16,RecoveredRaw!BO:BO)</f>
        <v>0</v>
      </c>
      <c r="BM16">
        <f>SUMIF(RecoveredRaw!$B:$B,$A16,RecoveredRaw!BP:BP)</f>
        <v>0</v>
      </c>
      <c r="BN16">
        <f>SUMIF(RecoveredRaw!$B:$B,$A16,RecoveredRaw!BQ:BQ)</f>
        <v>0</v>
      </c>
      <c r="BO16">
        <f>SUMIF(RecoveredRaw!$B:$B,$A16,RecoveredRaw!BR:BR)</f>
        <v>0</v>
      </c>
      <c r="BP16">
        <f>SUMIF(RecoveredRaw!$B:$B,$A16,RecoveredRaw!BS:BS)</f>
        <v>0</v>
      </c>
      <c r="BQ16">
        <f>SUMIF(RecoveredRaw!$B:$B,$A16,RecoveredRaw!BT:BT)</f>
        <v>0</v>
      </c>
      <c r="BR16">
        <f>SUMIF(RecoveredRaw!$B:$B,$A16,RecoveredRaw!BU:BU)</f>
        <v>0</v>
      </c>
      <c r="BS16">
        <f>SUMIF(RecoveredRaw!$B:$B,$A16,RecoveredRaw!BV:BV)</f>
        <v>0</v>
      </c>
      <c r="BT16">
        <f>SUMIF(RecoveredRaw!$B:$B,$A16,RecoveredRaw!BW:BW)</f>
        <v>0</v>
      </c>
    </row>
    <row r="17" spans="1:72" ht="15" thickBot="1" x14ac:dyDescent="0.35">
      <c r="A17" s="4" t="s">
        <v>340</v>
      </c>
      <c r="B17">
        <f>SUMIF(RecoveredRaw!$B:$B,$A17,RecoveredRaw!E:E)</f>
        <v>0</v>
      </c>
      <c r="C17">
        <f>SUMIF(RecoveredRaw!$B:$B,$A17,RecoveredRaw!F:F)</f>
        <v>0</v>
      </c>
      <c r="D17">
        <f>SUMIF(RecoveredRaw!$B:$B,$A17,RecoveredRaw!G:G)</f>
        <v>0</v>
      </c>
      <c r="E17">
        <f>SUMIF(RecoveredRaw!$B:$B,$A17,RecoveredRaw!H:H)</f>
        <v>0</v>
      </c>
      <c r="F17">
        <f>SUMIF(RecoveredRaw!$B:$B,$A17,RecoveredRaw!I:I)</f>
        <v>0</v>
      </c>
      <c r="G17">
        <f>SUMIF(RecoveredRaw!$B:$B,$A17,RecoveredRaw!J:J)</f>
        <v>0</v>
      </c>
      <c r="H17">
        <f>SUMIF(RecoveredRaw!$B:$B,$A17,RecoveredRaw!K:K)</f>
        <v>0</v>
      </c>
      <c r="I17">
        <f>SUMIF(RecoveredRaw!$B:$B,$A17,RecoveredRaw!L:L)</f>
        <v>0</v>
      </c>
      <c r="J17">
        <f>SUMIF(RecoveredRaw!$B:$B,$A17,RecoveredRaw!M:M)</f>
        <v>0</v>
      </c>
      <c r="K17">
        <f>SUMIF(RecoveredRaw!$B:$B,$A17,RecoveredRaw!N:N)</f>
        <v>0</v>
      </c>
      <c r="L17">
        <f>SUMIF(RecoveredRaw!$B:$B,$A17,RecoveredRaw!O:O)</f>
        <v>0</v>
      </c>
      <c r="M17">
        <f>SUMIF(RecoveredRaw!$B:$B,$A17,RecoveredRaw!P:P)</f>
        <v>0</v>
      </c>
      <c r="N17">
        <f>SUMIF(RecoveredRaw!$B:$B,$A17,RecoveredRaw!Q:Q)</f>
        <v>0</v>
      </c>
      <c r="O17">
        <f>SUMIF(RecoveredRaw!$B:$B,$A17,RecoveredRaw!R:R)</f>
        <v>0</v>
      </c>
      <c r="P17">
        <f>SUMIF(RecoveredRaw!$B:$B,$A17,RecoveredRaw!S:S)</f>
        <v>0</v>
      </c>
      <c r="Q17">
        <f>SUMIF(RecoveredRaw!$B:$B,$A17,RecoveredRaw!T:T)</f>
        <v>0</v>
      </c>
      <c r="R17">
        <f>SUMIF(RecoveredRaw!$B:$B,$A17,RecoveredRaw!U:U)</f>
        <v>0</v>
      </c>
      <c r="S17">
        <f>SUMIF(RecoveredRaw!$B:$B,$A17,RecoveredRaw!V:V)</f>
        <v>0</v>
      </c>
      <c r="T17">
        <f>SUMIF(RecoveredRaw!$B:$B,$A17,RecoveredRaw!W:W)</f>
        <v>0</v>
      </c>
      <c r="U17">
        <f>SUMIF(RecoveredRaw!$B:$B,$A17,RecoveredRaw!X:X)</f>
        <v>0</v>
      </c>
      <c r="V17">
        <f>SUMIF(RecoveredRaw!$B:$B,$A17,RecoveredRaw!Y:Y)</f>
        <v>0</v>
      </c>
      <c r="W17">
        <f>SUMIF(RecoveredRaw!$B:$B,$A17,RecoveredRaw!Z:Z)</f>
        <v>0</v>
      </c>
      <c r="X17">
        <f>SUMIF(RecoveredRaw!$B:$B,$A17,RecoveredRaw!AA:AA)</f>
        <v>0</v>
      </c>
      <c r="Y17">
        <f>SUMIF(RecoveredRaw!$B:$B,$A17,RecoveredRaw!AB:AB)</f>
        <v>0</v>
      </c>
      <c r="Z17">
        <f>SUMIF(RecoveredRaw!$B:$B,$A17,RecoveredRaw!AC:AC)</f>
        <v>0</v>
      </c>
      <c r="AA17">
        <f>SUMIF(RecoveredRaw!$B:$B,$A17,RecoveredRaw!AD:AD)</f>
        <v>0</v>
      </c>
      <c r="AB17">
        <f>SUMIF(RecoveredRaw!$B:$B,$A17,RecoveredRaw!AE:AE)</f>
        <v>0</v>
      </c>
      <c r="AC17">
        <f>SUMIF(RecoveredRaw!$B:$B,$A17,RecoveredRaw!AF:AF)</f>
        <v>0</v>
      </c>
      <c r="AD17">
        <f>SUMIF(RecoveredRaw!$B:$B,$A17,RecoveredRaw!AG:AG)</f>
        <v>1</v>
      </c>
      <c r="AE17">
        <f>SUMIF(RecoveredRaw!$B:$B,$A17,RecoveredRaw!AH:AH)</f>
        <v>1</v>
      </c>
      <c r="AF17">
        <f>SUMIF(RecoveredRaw!$B:$B,$A17,RecoveredRaw!AI:AI)</f>
        <v>1</v>
      </c>
      <c r="AG17">
        <f>SUMIF(RecoveredRaw!$B:$B,$A17,RecoveredRaw!AJ:AJ)</f>
        <v>1</v>
      </c>
      <c r="AH17">
        <f>SUMIF(RecoveredRaw!$B:$B,$A17,RecoveredRaw!AK:AK)</f>
        <v>0</v>
      </c>
      <c r="AI17">
        <f>SUMIF(RecoveredRaw!$B:$B,$A17,RecoveredRaw!AL:AL)</f>
        <v>0</v>
      </c>
      <c r="AJ17">
        <f>SUMIF(RecoveredRaw!$B:$B,$A17,RecoveredRaw!AM:AM)</f>
        <v>0</v>
      </c>
      <c r="AK17">
        <f>SUMIF(RecoveredRaw!$B:$B,$A17,RecoveredRaw!AN:AN)</f>
        <v>10</v>
      </c>
      <c r="AL17">
        <f>SUMIF(RecoveredRaw!$B:$B,$A17,RecoveredRaw!AO:AO)</f>
        <v>10</v>
      </c>
      <c r="AM17">
        <f>SUMIF(RecoveredRaw!$B:$B,$A17,RecoveredRaw!AP:AP)</f>
        <v>10</v>
      </c>
      <c r="AN17">
        <f>SUMIF(RecoveredRaw!$B:$B,$A17,RecoveredRaw!AQ:AQ)</f>
        <v>10</v>
      </c>
      <c r="AO17">
        <f>SUMIF(RecoveredRaw!$B:$B,$A17,RecoveredRaw!AR:AR)</f>
        <v>10</v>
      </c>
      <c r="AP17">
        <f>SUMIF(RecoveredRaw!$B:$B,$A17,RecoveredRaw!AS:AS)</f>
        <v>10</v>
      </c>
      <c r="AQ17">
        <f>SUMIF(RecoveredRaw!$B:$B,$A17,RecoveredRaw!AT:AT)</f>
        <v>10</v>
      </c>
      <c r="AR17">
        <f>SUMIF(RecoveredRaw!$B:$B,$A17,RecoveredRaw!AU:AU)</f>
        <v>10</v>
      </c>
      <c r="AS17">
        <f>SUMIF(RecoveredRaw!$B:$B,$A17,RecoveredRaw!AV:AV)</f>
        <v>10</v>
      </c>
      <c r="AT17">
        <f>SUMIF(RecoveredRaw!$B:$B,$A17,RecoveredRaw!AW:AW)</f>
        <v>40</v>
      </c>
      <c r="AU17">
        <f>SUMIF(RecoveredRaw!$B:$B,$A17,RecoveredRaw!AX:AX)</f>
        <v>40</v>
      </c>
      <c r="AV17">
        <f>SUMIF(RecoveredRaw!$B:$B,$A17,RecoveredRaw!AY:AY)</f>
        <v>40</v>
      </c>
      <c r="AW17">
        <f>SUMIF(RecoveredRaw!$B:$B,$A17,RecoveredRaw!AZ:AZ)</f>
        <v>40</v>
      </c>
      <c r="AX17">
        <f>SUMIF(RecoveredRaw!$B:$B,$A17,RecoveredRaw!BA:BA)</f>
        <v>40</v>
      </c>
      <c r="AY17">
        <f>SUMIF(RecoveredRaw!$B:$B,$A17,RecoveredRaw!BB:BB)</f>
        <v>325</v>
      </c>
      <c r="AZ17">
        <f>SUMIF(RecoveredRaw!$B:$B,$A17,RecoveredRaw!BC:BC)</f>
        <v>325</v>
      </c>
      <c r="BA17">
        <f>SUMIF(RecoveredRaw!$B:$B,$A17,RecoveredRaw!BD:BD)</f>
        <v>325</v>
      </c>
      <c r="BB17">
        <f>SUMIF(RecoveredRaw!$B:$B,$A17,RecoveredRaw!BE:BE)</f>
        <v>325</v>
      </c>
      <c r="BC17">
        <f>SUMIF(RecoveredRaw!$B:$B,$A17,RecoveredRaw!BF:BF)</f>
        <v>325</v>
      </c>
      <c r="BD17">
        <f>SUMIF(RecoveredRaw!$B:$B,$A17,RecoveredRaw!BG:BG)</f>
        <v>325</v>
      </c>
      <c r="BE17">
        <f>SUMIF(RecoveredRaw!$B:$B,$A17,RecoveredRaw!BH:BH)</f>
        <v>325</v>
      </c>
      <c r="BF17">
        <f>SUMIF(RecoveredRaw!$B:$B,$A17,RecoveredRaw!BI:BI)</f>
        <v>325</v>
      </c>
      <c r="BG17">
        <f>SUMIF(RecoveredRaw!$B:$B,$A17,RecoveredRaw!BJ:BJ)</f>
        <v>0</v>
      </c>
      <c r="BH17">
        <f>SUMIF(RecoveredRaw!$B:$B,$A17,RecoveredRaw!BK:BK)</f>
        <v>0</v>
      </c>
      <c r="BI17">
        <f>SUMIF(RecoveredRaw!$B:$B,$A17,RecoveredRaw!BL:BL)</f>
        <v>0</v>
      </c>
      <c r="BJ17">
        <f>SUMIF(RecoveredRaw!$B:$B,$A17,RecoveredRaw!BM:BM)</f>
        <v>0</v>
      </c>
      <c r="BK17">
        <f>SUMIF(RecoveredRaw!$B:$B,$A17,RecoveredRaw!BN:BN)</f>
        <v>0</v>
      </c>
      <c r="BL17">
        <f>SUMIF(RecoveredRaw!$B:$B,$A17,RecoveredRaw!BO:BO)</f>
        <v>0</v>
      </c>
      <c r="BM17">
        <f>SUMIF(RecoveredRaw!$B:$B,$A17,RecoveredRaw!BP:BP)</f>
        <v>0</v>
      </c>
      <c r="BN17">
        <f>SUMIF(RecoveredRaw!$B:$B,$A17,RecoveredRaw!BQ:BQ)</f>
        <v>0</v>
      </c>
      <c r="BO17">
        <f>SUMIF(RecoveredRaw!$B:$B,$A17,RecoveredRaw!BR:BR)</f>
        <v>0</v>
      </c>
      <c r="BP17">
        <f>SUMIF(RecoveredRaw!$B:$B,$A17,RecoveredRaw!BS:BS)</f>
        <v>0</v>
      </c>
      <c r="BQ17">
        <f>SUMIF(RecoveredRaw!$B:$B,$A17,RecoveredRaw!BT:BT)</f>
        <v>0</v>
      </c>
      <c r="BR17">
        <f>SUMIF(RecoveredRaw!$B:$B,$A17,RecoveredRaw!BU:BU)</f>
        <v>0</v>
      </c>
      <c r="BS17">
        <f>SUMIF(RecoveredRaw!$B:$B,$A17,RecoveredRaw!BV:BV)</f>
        <v>0</v>
      </c>
      <c r="BT17">
        <f>SUMIF(RecoveredRaw!$B:$B,$A17,RecoveredRaw!BW:BW)</f>
        <v>0</v>
      </c>
    </row>
    <row r="18" spans="1:72" ht="15" thickBot="1" x14ac:dyDescent="0.35">
      <c r="A18" s="3" t="s">
        <v>63</v>
      </c>
      <c r="B18">
        <f>SUMIF(RecoveredRaw!$B:$B,$A18,RecoveredRaw!E:E)</f>
        <v>0</v>
      </c>
      <c r="C18">
        <f>SUMIF(RecoveredRaw!$B:$B,$A18,RecoveredRaw!F:F)</f>
        <v>0</v>
      </c>
      <c r="D18">
        <f>SUMIF(RecoveredRaw!$B:$B,$A18,RecoveredRaw!G:G)</f>
        <v>0</v>
      </c>
      <c r="E18">
        <f>SUMIF(RecoveredRaw!$B:$B,$A18,RecoveredRaw!H:H)</f>
        <v>0</v>
      </c>
      <c r="F18">
        <f>SUMIF(RecoveredRaw!$B:$B,$A18,RecoveredRaw!I:I)</f>
        <v>0</v>
      </c>
      <c r="G18">
        <f>SUMIF(RecoveredRaw!$B:$B,$A18,RecoveredRaw!J:J)</f>
        <v>0</v>
      </c>
      <c r="H18">
        <f>SUMIF(RecoveredRaw!$B:$B,$A18,RecoveredRaw!K:K)</f>
        <v>0</v>
      </c>
      <c r="I18">
        <f>SUMIF(RecoveredRaw!$B:$B,$A18,RecoveredRaw!L:L)</f>
        <v>0</v>
      </c>
      <c r="J18">
        <f>SUMIF(RecoveredRaw!$B:$B,$A18,RecoveredRaw!M:M)</f>
        <v>0</v>
      </c>
      <c r="K18">
        <f>SUMIF(RecoveredRaw!$B:$B,$A18,RecoveredRaw!N:N)</f>
        <v>0</v>
      </c>
      <c r="L18">
        <f>SUMIF(RecoveredRaw!$B:$B,$A18,RecoveredRaw!O:O)</f>
        <v>0</v>
      </c>
      <c r="M18">
        <f>SUMIF(RecoveredRaw!$B:$B,$A18,RecoveredRaw!P:P)</f>
        <v>0</v>
      </c>
      <c r="N18">
        <f>SUMIF(RecoveredRaw!$B:$B,$A18,RecoveredRaw!Q:Q)</f>
        <v>0</v>
      </c>
      <c r="O18">
        <f>SUMIF(RecoveredRaw!$B:$B,$A18,RecoveredRaw!R:R)</f>
        <v>0</v>
      </c>
      <c r="P18">
        <f>SUMIF(RecoveredRaw!$B:$B,$A18,RecoveredRaw!S:S)</f>
        <v>0</v>
      </c>
      <c r="Q18">
        <f>SUMIF(RecoveredRaw!$B:$B,$A18,RecoveredRaw!T:T)</f>
        <v>0</v>
      </c>
      <c r="R18">
        <f>SUMIF(RecoveredRaw!$B:$B,$A18,RecoveredRaw!U:U)</f>
        <v>0</v>
      </c>
      <c r="S18">
        <f>SUMIF(RecoveredRaw!$B:$B,$A18,RecoveredRaw!V:V)</f>
        <v>0</v>
      </c>
      <c r="T18">
        <f>SUMIF(RecoveredRaw!$B:$B,$A18,RecoveredRaw!W:W)</f>
        <v>0</v>
      </c>
      <c r="U18">
        <f>SUMIF(RecoveredRaw!$B:$B,$A18,RecoveredRaw!X:X)</f>
        <v>0</v>
      </c>
      <c r="V18">
        <f>SUMIF(RecoveredRaw!$B:$B,$A18,RecoveredRaw!Y:Y)</f>
        <v>0</v>
      </c>
      <c r="W18">
        <f>SUMIF(RecoveredRaw!$B:$B,$A18,RecoveredRaw!Z:Z)</f>
        <v>0</v>
      </c>
      <c r="X18">
        <f>SUMIF(RecoveredRaw!$B:$B,$A18,RecoveredRaw!AA:AA)</f>
        <v>0</v>
      </c>
      <c r="Y18">
        <f>SUMIF(RecoveredRaw!$B:$B,$A18,RecoveredRaw!AB:AB)</f>
        <v>0</v>
      </c>
      <c r="Z18">
        <f>SUMIF(RecoveredRaw!$B:$B,$A18,RecoveredRaw!AC:AC)</f>
        <v>0</v>
      </c>
      <c r="AA18">
        <f>SUMIF(RecoveredRaw!$B:$B,$A18,RecoveredRaw!AD:AD)</f>
        <v>0</v>
      </c>
      <c r="AB18">
        <f>SUMIF(RecoveredRaw!$B:$B,$A18,RecoveredRaw!AE:AE)</f>
        <v>1</v>
      </c>
      <c r="AC18">
        <f>SUMIF(RecoveredRaw!$B:$B,$A18,RecoveredRaw!AF:AF)</f>
        <v>1</v>
      </c>
      <c r="AD18">
        <f>SUMIF(RecoveredRaw!$B:$B,$A18,RecoveredRaw!AG:AG)</f>
        <v>1</v>
      </c>
      <c r="AE18">
        <f>SUMIF(RecoveredRaw!$B:$B,$A18,RecoveredRaw!AH:AH)</f>
        <v>1</v>
      </c>
      <c r="AF18">
        <f>SUMIF(RecoveredRaw!$B:$B,$A18,RecoveredRaw!AI:AI)</f>
        <v>1</v>
      </c>
      <c r="AG18">
        <f>SUMIF(RecoveredRaw!$B:$B,$A18,RecoveredRaw!AJ:AJ)</f>
        <v>1</v>
      </c>
      <c r="AH18">
        <f>SUMIF(RecoveredRaw!$B:$B,$A18,RecoveredRaw!AK:AK)</f>
        <v>1</v>
      </c>
      <c r="AI18">
        <f>SUMIF(RecoveredRaw!$B:$B,$A18,RecoveredRaw!AL:AL)</f>
        <v>1</v>
      </c>
      <c r="AJ18">
        <f>SUMIF(RecoveredRaw!$B:$B,$A18,RecoveredRaw!AM:AM)</f>
        <v>1</v>
      </c>
      <c r="AK18">
        <f>SUMIF(RecoveredRaw!$B:$B,$A18,RecoveredRaw!AN:AN)</f>
        <v>1</v>
      </c>
      <c r="AL18">
        <f>SUMIF(RecoveredRaw!$B:$B,$A18,RecoveredRaw!AO:AO)</f>
        <v>1</v>
      </c>
      <c r="AM18">
        <f>SUMIF(RecoveredRaw!$B:$B,$A18,RecoveredRaw!AP:AP)</f>
        <v>1</v>
      </c>
      <c r="AN18">
        <f>SUMIF(RecoveredRaw!$B:$B,$A18,RecoveredRaw!AQ:AQ)</f>
        <v>1</v>
      </c>
      <c r="AO18">
        <f>SUMIF(RecoveredRaw!$B:$B,$A18,RecoveredRaw!AR:AR)</f>
        <v>1</v>
      </c>
      <c r="AP18">
        <f>SUMIF(RecoveredRaw!$B:$B,$A18,RecoveredRaw!AS:AS)</f>
        <v>1</v>
      </c>
      <c r="AQ18">
        <f>SUMIF(RecoveredRaw!$B:$B,$A18,RecoveredRaw!AT:AT)</f>
        <v>1</v>
      </c>
      <c r="AR18">
        <f>SUMIF(RecoveredRaw!$B:$B,$A18,RecoveredRaw!AU:AU)</f>
        <v>1</v>
      </c>
      <c r="AS18">
        <f>SUMIF(RecoveredRaw!$B:$B,$A18,RecoveredRaw!AV:AV)</f>
        <v>1</v>
      </c>
      <c r="AT18">
        <f>SUMIF(RecoveredRaw!$B:$B,$A18,RecoveredRaw!AW:AW)</f>
        <v>1</v>
      </c>
      <c r="AU18">
        <f>SUMIF(RecoveredRaw!$B:$B,$A18,RecoveredRaw!AX:AX)</f>
        <v>1</v>
      </c>
      <c r="AV18">
        <f>SUMIF(RecoveredRaw!$B:$B,$A18,RecoveredRaw!AY:AY)</f>
        <v>1</v>
      </c>
      <c r="AW18">
        <f>SUMIF(RecoveredRaw!$B:$B,$A18,RecoveredRaw!AZ:AZ)</f>
        <v>1</v>
      </c>
      <c r="AX18">
        <f>SUMIF(RecoveredRaw!$B:$B,$A18,RecoveredRaw!BA:BA)</f>
        <v>1</v>
      </c>
      <c r="AY18">
        <f>SUMIF(RecoveredRaw!$B:$B,$A18,RecoveredRaw!BB:BB)</f>
        <v>1</v>
      </c>
      <c r="AZ18">
        <f>SUMIF(RecoveredRaw!$B:$B,$A18,RecoveredRaw!BC:BC)</f>
        <v>1</v>
      </c>
      <c r="BA18">
        <f>SUMIF(RecoveredRaw!$B:$B,$A18,RecoveredRaw!BD:BD)</f>
        <v>1</v>
      </c>
      <c r="BB18">
        <f>SUMIF(RecoveredRaw!$B:$B,$A18,RecoveredRaw!BE:BE)</f>
        <v>1</v>
      </c>
      <c r="BC18">
        <f>SUMIF(RecoveredRaw!$B:$B,$A18,RecoveredRaw!BF:BF)</f>
        <v>1</v>
      </c>
      <c r="BD18">
        <f>SUMIF(RecoveredRaw!$B:$B,$A18,RecoveredRaw!BG:BG)</f>
        <v>1</v>
      </c>
      <c r="BE18">
        <f>SUMIF(RecoveredRaw!$B:$B,$A18,RecoveredRaw!BH:BH)</f>
        <v>1</v>
      </c>
      <c r="BF18">
        <f>SUMIF(RecoveredRaw!$B:$B,$A18,RecoveredRaw!BI:BI)</f>
        <v>31</v>
      </c>
      <c r="BG18">
        <f>SUMIF(RecoveredRaw!$B:$B,$A18,RecoveredRaw!BJ:BJ)</f>
        <v>0</v>
      </c>
      <c r="BH18">
        <f>SUMIF(RecoveredRaw!$B:$B,$A18,RecoveredRaw!BK:BK)</f>
        <v>0</v>
      </c>
      <c r="BI18">
        <f>SUMIF(RecoveredRaw!$B:$B,$A18,RecoveredRaw!BL:BL)</f>
        <v>0</v>
      </c>
      <c r="BJ18">
        <f>SUMIF(RecoveredRaw!$B:$B,$A18,RecoveredRaw!BM:BM)</f>
        <v>0</v>
      </c>
      <c r="BK18">
        <f>SUMIF(RecoveredRaw!$B:$B,$A18,RecoveredRaw!BN:BN)</f>
        <v>0</v>
      </c>
      <c r="BL18">
        <f>SUMIF(RecoveredRaw!$B:$B,$A18,RecoveredRaw!BO:BO)</f>
        <v>0</v>
      </c>
      <c r="BM18">
        <f>SUMIF(RecoveredRaw!$B:$B,$A18,RecoveredRaw!BP:BP)</f>
        <v>0</v>
      </c>
      <c r="BN18">
        <f>SUMIF(RecoveredRaw!$B:$B,$A18,RecoveredRaw!BQ:BQ)</f>
        <v>0</v>
      </c>
      <c r="BO18">
        <f>SUMIF(RecoveredRaw!$B:$B,$A18,RecoveredRaw!BR:BR)</f>
        <v>0</v>
      </c>
      <c r="BP18">
        <f>SUMIF(RecoveredRaw!$B:$B,$A18,RecoveredRaw!BS:BS)</f>
        <v>0</v>
      </c>
      <c r="BQ18">
        <f>SUMIF(RecoveredRaw!$B:$B,$A18,RecoveredRaw!BT:BT)</f>
        <v>0</v>
      </c>
      <c r="BR18">
        <f>SUMIF(RecoveredRaw!$B:$B,$A18,RecoveredRaw!BU:BU)</f>
        <v>0</v>
      </c>
      <c r="BS18">
        <f>SUMIF(RecoveredRaw!$B:$B,$A18,RecoveredRaw!BV:BV)</f>
        <v>0</v>
      </c>
      <c r="BT18">
        <f>SUMIF(RecoveredRaw!$B:$B,$A18,RecoveredRaw!BW:BW)</f>
        <v>0</v>
      </c>
    </row>
    <row r="19" spans="1:72" ht="15" thickBot="1" x14ac:dyDescent="0.35">
      <c r="A19" s="3" t="s">
        <v>78</v>
      </c>
      <c r="B19">
        <f>SUMIF(RecoveredRaw!$B:$B,$A19,RecoveredRaw!E:E)</f>
        <v>0</v>
      </c>
      <c r="C19">
        <f>SUMIF(RecoveredRaw!$B:$B,$A19,RecoveredRaw!F:F)</f>
        <v>0</v>
      </c>
      <c r="D19">
        <f>SUMIF(RecoveredRaw!$B:$B,$A19,RecoveredRaw!G:G)</f>
        <v>0</v>
      </c>
      <c r="E19">
        <f>SUMIF(RecoveredRaw!$B:$B,$A19,RecoveredRaw!H:H)</f>
        <v>0</v>
      </c>
      <c r="F19">
        <f>SUMIF(RecoveredRaw!$B:$B,$A19,RecoveredRaw!I:I)</f>
        <v>0</v>
      </c>
      <c r="G19">
        <f>SUMIF(RecoveredRaw!$B:$B,$A19,RecoveredRaw!J:J)</f>
        <v>0</v>
      </c>
      <c r="H19">
        <f>SUMIF(RecoveredRaw!$B:$B,$A19,RecoveredRaw!K:K)</f>
        <v>0</v>
      </c>
      <c r="I19">
        <f>SUMIF(RecoveredRaw!$B:$B,$A19,RecoveredRaw!L:L)</f>
        <v>0</v>
      </c>
      <c r="J19">
        <f>SUMIF(RecoveredRaw!$B:$B,$A19,RecoveredRaw!M:M)</f>
        <v>0</v>
      </c>
      <c r="K19">
        <f>SUMIF(RecoveredRaw!$B:$B,$A19,RecoveredRaw!N:N)</f>
        <v>0</v>
      </c>
      <c r="L19">
        <f>SUMIF(RecoveredRaw!$B:$B,$A19,RecoveredRaw!O:O)</f>
        <v>0</v>
      </c>
      <c r="M19">
        <f>SUMIF(RecoveredRaw!$B:$B,$A19,RecoveredRaw!P:P)</f>
        <v>0</v>
      </c>
      <c r="N19">
        <f>SUMIF(RecoveredRaw!$B:$B,$A19,RecoveredRaw!Q:Q)</f>
        <v>0</v>
      </c>
      <c r="O19">
        <f>SUMIF(RecoveredRaw!$B:$B,$A19,RecoveredRaw!R:R)</f>
        <v>0</v>
      </c>
      <c r="P19">
        <f>SUMIF(RecoveredRaw!$B:$B,$A19,RecoveredRaw!S:S)</f>
        <v>0</v>
      </c>
      <c r="Q19">
        <f>SUMIF(RecoveredRaw!$B:$B,$A19,RecoveredRaw!T:T)</f>
        <v>0</v>
      </c>
      <c r="R19">
        <f>SUMIF(RecoveredRaw!$B:$B,$A19,RecoveredRaw!U:U)</f>
        <v>0</v>
      </c>
      <c r="S19">
        <f>SUMIF(RecoveredRaw!$B:$B,$A19,RecoveredRaw!V:V)</f>
        <v>0</v>
      </c>
      <c r="T19">
        <f>SUMIF(RecoveredRaw!$B:$B,$A19,RecoveredRaw!W:W)</f>
        <v>0</v>
      </c>
      <c r="U19">
        <f>SUMIF(RecoveredRaw!$B:$B,$A19,RecoveredRaw!X:X)</f>
        <v>0</v>
      </c>
      <c r="V19">
        <f>SUMIF(RecoveredRaw!$B:$B,$A19,RecoveredRaw!Y:Y)</f>
        <v>0</v>
      </c>
      <c r="W19">
        <f>SUMIF(RecoveredRaw!$B:$B,$A19,RecoveredRaw!Z:Z)</f>
        <v>0</v>
      </c>
      <c r="X19">
        <f>SUMIF(RecoveredRaw!$B:$B,$A19,RecoveredRaw!AA:AA)</f>
        <v>0</v>
      </c>
      <c r="Y19">
        <f>SUMIF(RecoveredRaw!$B:$B,$A19,RecoveredRaw!AB:AB)</f>
        <v>0</v>
      </c>
      <c r="Z19">
        <f>SUMIF(RecoveredRaw!$B:$B,$A19,RecoveredRaw!AC:AC)</f>
        <v>0</v>
      </c>
      <c r="AA19">
        <f>SUMIF(RecoveredRaw!$B:$B,$A19,RecoveredRaw!AD:AD)</f>
        <v>0</v>
      </c>
      <c r="AB19">
        <f>SUMIF(RecoveredRaw!$B:$B,$A19,RecoveredRaw!AE:AE)</f>
        <v>0</v>
      </c>
      <c r="AC19">
        <f>SUMIF(RecoveredRaw!$B:$B,$A19,RecoveredRaw!AF:AF)</f>
        <v>0</v>
      </c>
      <c r="AD19">
        <f>SUMIF(RecoveredRaw!$B:$B,$A19,RecoveredRaw!AG:AG)</f>
        <v>0</v>
      </c>
      <c r="AE19">
        <f>SUMIF(RecoveredRaw!$B:$B,$A19,RecoveredRaw!AH:AH)</f>
        <v>0</v>
      </c>
      <c r="AF19">
        <f>SUMIF(RecoveredRaw!$B:$B,$A19,RecoveredRaw!AI:AI)</f>
        <v>0</v>
      </c>
      <c r="AG19">
        <f>SUMIF(RecoveredRaw!$B:$B,$A19,RecoveredRaw!AJ:AJ)</f>
        <v>0</v>
      </c>
      <c r="AH19">
        <f>SUMIF(RecoveredRaw!$B:$B,$A19,RecoveredRaw!AK:AK)</f>
        <v>0</v>
      </c>
      <c r="AI19">
        <f>SUMIF(RecoveredRaw!$B:$B,$A19,RecoveredRaw!AL:AL)</f>
        <v>0</v>
      </c>
      <c r="AJ19">
        <f>SUMIF(RecoveredRaw!$B:$B,$A19,RecoveredRaw!AM:AM)</f>
        <v>0</v>
      </c>
      <c r="AK19">
        <f>SUMIF(RecoveredRaw!$B:$B,$A19,RecoveredRaw!AN:AN)</f>
        <v>0</v>
      </c>
      <c r="AL19">
        <f>SUMIF(RecoveredRaw!$B:$B,$A19,RecoveredRaw!AO:AO)</f>
        <v>0</v>
      </c>
      <c r="AM19">
        <f>SUMIF(RecoveredRaw!$B:$B,$A19,RecoveredRaw!AP:AP)</f>
        <v>0</v>
      </c>
      <c r="AN19">
        <f>SUMIF(RecoveredRaw!$B:$B,$A19,RecoveredRaw!AQ:AQ)</f>
        <v>0</v>
      </c>
      <c r="AO19">
        <f>SUMIF(RecoveredRaw!$B:$B,$A19,RecoveredRaw!AR:AR)</f>
        <v>0</v>
      </c>
      <c r="AP19">
        <f>SUMIF(RecoveredRaw!$B:$B,$A19,RecoveredRaw!AS:AS)</f>
        <v>0</v>
      </c>
      <c r="AQ19">
        <f>SUMIF(RecoveredRaw!$B:$B,$A19,RecoveredRaw!AT:AT)</f>
        <v>0</v>
      </c>
      <c r="AR19">
        <f>SUMIF(RecoveredRaw!$B:$B,$A19,RecoveredRaw!AU:AU)</f>
        <v>0</v>
      </c>
      <c r="AS19">
        <f>SUMIF(RecoveredRaw!$B:$B,$A19,RecoveredRaw!AV:AV)</f>
        <v>0</v>
      </c>
      <c r="AT19">
        <f>SUMIF(RecoveredRaw!$B:$B,$A19,RecoveredRaw!AW:AW)</f>
        <v>0</v>
      </c>
      <c r="AU19">
        <f>SUMIF(RecoveredRaw!$B:$B,$A19,RecoveredRaw!AX:AX)</f>
        <v>0</v>
      </c>
      <c r="AV19">
        <f>SUMIF(RecoveredRaw!$B:$B,$A19,RecoveredRaw!AY:AY)</f>
        <v>0</v>
      </c>
      <c r="AW19">
        <f>SUMIF(RecoveredRaw!$B:$B,$A19,RecoveredRaw!AZ:AZ)</f>
        <v>2</v>
      </c>
      <c r="AX19">
        <f>SUMIF(RecoveredRaw!$B:$B,$A19,RecoveredRaw!BA:BA)</f>
        <v>4</v>
      </c>
      <c r="AY19">
        <f>SUMIF(RecoveredRaw!$B:$B,$A19,RecoveredRaw!BB:BB)</f>
        <v>4</v>
      </c>
      <c r="AZ19">
        <f>SUMIF(RecoveredRaw!$B:$B,$A19,RecoveredRaw!BC:BC)</f>
        <v>4</v>
      </c>
      <c r="BA19">
        <f>SUMIF(RecoveredRaw!$B:$B,$A19,RecoveredRaw!BD:BD)</f>
        <v>6</v>
      </c>
      <c r="BB19">
        <f>SUMIF(RecoveredRaw!$B:$B,$A19,RecoveredRaw!BE:BE)</f>
        <v>6</v>
      </c>
      <c r="BC19">
        <f>SUMIF(RecoveredRaw!$B:$B,$A19,RecoveredRaw!BF:BF)</f>
        <v>6</v>
      </c>
      <c r="BD19">
        <f>SUMIF(RecoveredRaw!$B:$B,$A19,RecoveredRaw!BG:BG)</f>
        <v>6</v>
      </c>
      <c r="BE19">
        <f>SUMIF(RecoveredRaw!$B:$B,$A19,RecoveredRaw!BH:BH)</f>
        <v>1</v>
      </c>
      <c r="BF19">
        <f>SUMIF(RecoveredRaw!$B:$B,$A19,RecoveredRaw!BI:BI)</f>
        <v>9</v>
      </c>
      <c r="BG19">
        <f>SUMIF(RecoveredRaw!$B:$B,$A19,RecoveredRaw!BJ:BJ)</f>
        <v>0</v>
      </c>
      <c r="BH19">
        <f>SUMIF(RecoveredRaw!$B:$B,$A19,RecoveredRaw!BK:BK)</f>
        <v>0</v>
      </c>
      <c r="BI19">
        <f>SUMIF(RecoveredRaw!$B:$B,$A19,RecoveredRaw!BL:BL)</f>
        <v>0</v>
      </c>
      <c r="BJ19">
        <f>SUMIF(RecoveredRaw!$B:$B,$A19,RecoveredRaw!BM:BM)</f>
        <v>0</v>
      </c>
      <c r="BK19">
        <f>SUMIF(RecoveredRaw!$B:$B,$A19,RecoveredRaw!BN:BN)</f>
        <v>0</v>
      </c>
      <c r="BL19">
        <f>SUMIF(RecoveredRaw!$B:$B,$A19,RecoveredRaw!BO:BO)</f>
        <v>0</v>
      </c>
      <c r="BM19">
        <f>SUMIF(RecoveredRaw!$B:$B,$A19,RecoveredRaw!BP:BP)</f>
        <v>0</v>
      </c>
      <c r="BN19">
        <f>SUMIF(RecoveredRaw!$B:$B,$A19,RecoveredRaw!BQ:BQ)</f>
        <v>0</v>
      </c>
      <c r="BO19">
        <f>SUMIF(RecoveredRaw!$B:$B,$A19,RecoveredRaw!BR:BR)</f>
        <v>0</v>
      </c>
      <c r="BP19">
        <f>SUMIF(RecoveredRaw!$B:$B,$A19,RecoveredRaw!BS:BS)</f>
        <v>0</v>
      </c>
      <c r="BQ19">
        <f>SUMIF(RecoveredRaw!$B:$B,$A19,RecoveredRaw!BT:BT)</f>
        <v>0</v>
      </c>
      <c r="BR19">
        <f>SUMIF(RecoveredRaw!$B:$B,$A19,RecoveredRaw!BU:BU)</f>
        <v>0</v>
      </c>
      <c r="BS19">
        <f>SUMIF(RecoveredRaw!$B:$B,$A19,RecoveredRaw!BV:BV)</f>
        <v>0</v>
      </c>
      <c r="BT19">
        <f>SUMIF(RecoveredRaw!$B:$B,$A19,RecoveredRaw!BW:BW)</f>
        <v>0</v>
      </c>
    </row>
    <row r="20" spans="1:72" ht="15" thickBot="1" x14ac:dyDescent="0.35">
      <c r="A20" s="3" t="s">
        <v>101</v>
      </c>
      <c r="B20">
        <f>SUMIF(RecoveredRaw!$B:$B,$A20,RecoveredRaw!E:E)</f>
        <v>0</v>
      </c>
      <c r="C20">
        <f>SUMIF(RecoveredRaw!$B:$B,$A20,RecoveredRaw!F:F)</f>
        <v>0</v>
      </c>
      <c r="D20">
        <f>SUMIF(RecoveredRaw!$B:$B,$A20,RecoveredRaw!G:G)</f>
        <v>0</v>
      </c>
      <c r="E20">
        <f>SUMIF(RecoveredRaw!$B:$B,$A20,RecoveredRaw!H:H)</f>
        <v>0</v>
      </c>
      <c r="F20">
        <f>SUMIF(RecoveredRaw!$B:$B,$A20,RecoveredRaw!I:I)</f>
        <v>0</v>
      </c>
      <c r="G20">
        <f>SUMIF(RecoveredRaw!$B:$B,$A20,RecoveredRaw!J:J)</f>
        <v>0</v>
      </c>
      <c r="H20">
        <f>SUMIF(RecoveredRaw!$B:$B,$A20,RecoveredRaw!K:K)</f>
        <v>0</v>
      </c>
      <c r="I20">
        <f>SUMIF(RecoveredRaw!$B:$B,$A20,RecoveredRaw!L:L)</f>
        <v>0</v>
      </c>
      <c r="J20">
        <f>SUMIF(RecoveredRaw!$B:$B,$A20,RecoveredRaw!M:M)</f>
        <v>0</v>
      </c>
      <c r="K20">
        <f>SUMIF(RecoveredRaw!$B:$B,$A20,RecoveredRaw!N:N)</f>
        <v>0</v>
      </c>
      <c r="L20">
        <f>SUMIF(RecoveredRaw!$B:$B,$A20,RecoveredRaw!O:O)</f>
        <v>0</v>
      </c>
      <c r="M20">
        <f>SUMIF(RecoveredRaw!$B:$B,$A20,RecoveredRaw!P:P)</f>
        <v>0</v>
      </c>
      <c r="N20">
        <f>SUMIF(RecoveredRaw!$B:$B,$A20,RecoveredRaw!Q:Q)</f>
        <v>0</v>
      </c>
      <c r="O20">
        <f>SUMIF(RecoveredRaw!$B:$B,$A20,RecoveredRaw!R:R)</f>
        <v>0</v>
      </c>
      <c r="P20">
        <f>SUMIF(RecoveredRaw!$B:$B,$A20,RecoveredRaw!S:S)</f>
        <v>0</v>
      </c>
      <c r="Q20">
        <f>SUMIF(RecoveredRaw!$B:$B,$A20,RecoveredRaw!T:T)</f>
        <v>0</v>
      </c>
      <c r="R20">
        <f>SUMIF(RecoveredRaw!$B:$B,$A20,RecoveredRaw!U:U)</f>
        <v>0</v>
      </c>
      <c r="S20">
        <f>SUMIF(RecoveredRaw!$B:$B,$A20,RecoveredRaw!V:V)</f>
        <v>0</v>
      </c>
      <c r="T20">
        <f>SUMIF(RecoveredRaw!$B:$B,$A20,RecoveredRaw!W:W)</f>
        <v>0</v>
      </c>
      <c r="U20">
        <f>SUMIF(RecoveredRaw!$B:$B,$A20,RecoveredRaw!X:X)</f>
        <v>0</v>
      </c>
      <c r="V20">
        <f>SUMIF(RecoveredRaw!$B:$B,$A20,RecoveredRaw!Y:Y)</f>
        <v>0</v>
      </c>
      <c r="W20">
        <f>SUMIF(RecoveredRaw!$B:$B,$A20,RecoveredRaw!Z:Z)</f>
        <v>0</v>
      </c>
      <c r="X20">
        <f>SUMIF(RecoveredRaw!$B:$B,$A20,RecoveredRaw!AA:AA)</f>
        <v>0</v>
      </c>
      <c r="Y20">
        <f>SUMIF(RecoveredRaw!$B:$B,$A20,RecoveredRaw!AB:AB)</f>
        <v>0</v>
      </c>
      <c r="Z20">
        <f>SUMIF(RecoveredRaw!$B:$B,$A20,RecoveredRaw!AC:AC)</f>
        <v>0</v>
      </c>
      <c r="AA20">
        <f>SUMIF(RecoveredRaw!$B:$B,$A20,RecoveredRaw!AD:AD)</f>
        <v>0</v>
      </c>
      <c r="AB20">
        <f>SUMIF(RecoveredRaw!$B:$B,$A20,RecoveredRaw!AE:AE)</f>
        <v>0</v>
      </c>
      <c r="AC20">
        <f>SUMIF(RecoveredRaw!$B:$B,$A20,RecoveredRaw!AF:AF)</f>
        <v>0</v>
      </c>
      <c r="AD20">
        <f>SUMIF(RecoveredRaw!$B:$B,$A20,RecoveredRaw!AG:AG)</f>
        <v>0</v>
      </c>
      <c r="AE20">
        <f>SUMIF(RecoveredRaw!$B:$B,$A20,RecoveredRaw!AH:AH)</f>
        <v>0</v>
      </c>
      <c r="AF20">
        <f>SUMIF(RecoveredRaw!$B:$B,$A20,RecoveredRaw!AI:AI)</f>
        <v>0</v>
      </c>
      <c r="AG20">
        <f>SUMIF(RecoveredRaw!$B:$B,$A20,RecoveredRaw!AJ:AJ)</f>
        <v>0</v>
      </c>
      <c r="AH20">
        <f>SUMIF(RecoveredRaw!$B:$B,$A20,RecoveredRaw!AK:AK)</f>
        <v>0</v>
      </c>
      <c r="AI20">
        <f>SUMIF(RecoveredRaw!$B:$B,$A20,RecoveredRaw!AL:AL)</f>
        <v>0</v>
      </c>
      <c r="AJ20">
        <f>SUMIF(RecoveredRaw!$B:$B,$A20,RecoveredRaw!AM:AM)</f>
        <v>0</v>
      </c>
      <c r="AK20">
        <f>SUMIF(RecoveredRaw!$B:$B,$A20,RecoveredRaw!AN:AN)</f>
        <v>0</v>
      </c>
      <c r="AL20">
        <f>SUMIF(RecoveredRaw!$B:$B,$A20,RecoveredRaw!AO:AO)</f>
        <v>0</v>
      </c>
      <c r="AM20">
        <f>SUMIF(RecoveredRaw!$B:$B,$A20,RecoveredRaw!AP:AP)</f>
        <v>0</v>
      </c>
      <c r="AN20">
        <f>SUMIF(RecoveredRaw!$B:$B,$A20,RecoveredRaw!AQ:AQ)</f>
        <v>0</v>
      </c>
      <c r="AO20">
        <f>SUMIF(RecoveredRaw!$B:$B,$A20,RecoveredRaw!AR:AR)</f>
        <v>0</v>
      </c>
      <c r="AP20">
        <f>SUMIF(RecoveredRaw!$B:$B,$A20,RecoveredRaw!AS:AS)</f>
        <v>0</v>
      </c>
      <c r="AQ20">
        <f>SUMIF(RecoveredRaw!$B:$B,$A20,RecoveredRaw!AT:AT)</f>
        <v>0</v>
      </c>
      <c r="AR20">
        <f>SUMIF(RecoveredRaw!$B:$B,$A20,RecoveredRaw!AU:AU)</f>
        <v>0</v>
      </c>
      <c r="AS20">
        <f>SUMIF(RecoveredRaw!$B:$B,$A20,RecoveredRaw!AV:AV)</f>
        <v>0</v>
      </c>
      <c r="AT20">
        <f>SUMIF(RecoveredRaw!$B:$B,$A20,RecoveredRaw!AW:AW)</f>
        <v>0</v>
      </c>
      <c r="AU20">
        <f>SUMIF(RecoveredRaw!$B:$B,$A20,RecoveredRaw!AX:AX)</f>
        <v>0</v>
      </c>
      <c r="AV20">
        <f>SUMIF(RecoveredRaw!$B:$B,$A20,RecoveredRaw!AY:AY)</f>
        <v>0</v>
      </c>
      <c r="AW20">
        <f>SUMIF(RecoveredRaw!$B:$B,$A20,RecoveredRaw!AZ:AZ)</f>
        <v>0</v>
      </c>
      <c r="AX20">
        <f>SUMIF(RecoveredRaw!$B:$B,$A20,RecoveredRaw!BA:BA)</f>
        <v>0</v>
      </c>
      <c r="AY20">
        <f>SUMIF(RecoveredRaw!$B:$B,$A20,RecoveredRaw!BB:BB)</f>
        <v>0</v>
      </c>
      <c r="AZ20">
        <f>SUMIF(RecoveredRaw!$B:$B,$A20,RecoveredRaw!BC:BC)</f>
        <v>0</v>
      </c>
      <c r="BA20">
        <f>SUMIF(RecoveredRaw!$B:$B,$A20,RecoveredRaw!BD:BD)</f>
        <v>0</v>
      </c>
      <c r="BB20">
        <f>SUMIF(RecoveredRaw!$B:$B,$A20,RecoveredRaw!BE:BE)</f>
        <v>4</v>
      </c>
      <c r="BC20">
        <f>SUMIF(RecoveredRaw!$B:$B,$A20,RecoveredRaw!BF:BF)</f>
        <v>4</v>
      </c>
      <c r="BD20">
        <f>SUMIF(RecoveredRaw!$B:$B,$A20,RecoveredRaw!BG:BG)</f>
        <v>4</v>
      </c>
      <c r="BE20">
        <f>SUMIF(RecoveredRaw!$B:$B,$A20,RecoveredRaw!BH:BH)</f>
        <v>4</v>
      </c>
      <c r="BF20">
        <f>SUMIF(RecoveredRaw!$B:$B,$A20,RecoveredRaw!BI:BI)</f>
        <v>4</v>
      </c>
      <c r="BG20">
        <f>SUMIF(RecoveredRaw!$B:$B,$A20,RecoveredRaw!BJ:BJ)</f>
        <v>0</v>
      </c>
      <c r="BH20">
        <f>SUMIF(RecoveredRaw!$B:$B,$A20,RecoveredRaw!BK:BK)</f>
        <v>0</v>
      </c>
      <c r="BI20">
        <f>SUMIF(RecoveredRaw!$B:$B,$A20,RecoveredRaw!BL:BL)</f>
        <v>0</v>
      </c>
      <c r="BJ20">
        <f>SUMIF(RecoveredRaw!$B:$B,$A20,RecoveredRaw!BM:BM)</f>
        <v>0</v>
      </c>
      <c r="BK20">
        <f>SUMIF(RecoveredRaw!$B:$B,$A20,RecoveredRaw!BN:BN)</f>
        <v>0</v>
      </c>
      <c r="BL20">
        <f>SUMIF(RecoveredRaw!$B:$B,$A20,RecoveredRaw!BO:BO)</f>
        <v>0</v>
      </c>
      <c r="BM20">
        <f>SUMIF(RecoveredRaw!$B:$B,$A20,RecoveredRaw!BP:BP)</f>
        <v>0</v>
      </c>
      <c r="BN20">
        <f>SUMIF(RecoveredRaw!$B:$B,$A20,RecoveredRaw!BQ:BQ)</f>
        <v>0</v>
      </c>
      <c r="BO20">
        <f>SUMIF(RecoveredRaw!$B:$B,$A20,RecoveredRaw!BR:BR)</f>
        <v>0</v>
      </c>
      <c r="BP20">
        <f>SUMIF(RecoveredRaw!$B:$B,$A20,RecoveredRaw!BS:BS)</f>
        <v>0</v>
      </c>
      <c r="BQ20">
        <f>SUMIF(RecoveredRaw!$B:$B,$A20,RecoveredRaw!BT:BT)</f>
        <v>0</v>
      </c>
      <c r="BR20">
        <f>SUMIF(RecoveredRaw!$B:$B,$A20,RecoveredRaw!BU:BU)</f>
        <v>0</v>
      </c>
      <c r="BS20">
        <f>SUMIF(RecoveredRaw!$B:$B,$A20,RecoveredRaw!BV:BV)</f>
        <v>0</v>
      </c>
      <c r="BT20">
        <f>SUMIF(RecoveredRaw!$B:$B,$A20,RecoveredRaw!BW:BW)</f>
        <v>0</v>
      </c>
    </row>
    <row r="21" spans="1:72" ht="15" thickBot="1" x14ac:dyDescent="0.35">
      <c r="A21" s="3" t="s">
        <v>48</v>
      </c>
      <c r="B21">
        <f>SUMIF(RecoveredRaw!$B:$B,$A21,RecoveredRaw!E:E)</f>
        <v>0</v>
      </c>
      <c r="C21">
        <f>SUMIF(RecoveredRaw!$B:$B,$A21,RecoveredRaw!F:F)</f>
        <v>0</v>
      </c>
      <c r="D21">
        <f>SUMIF(RecoveredRaw!$B:$B,$A21,RecoveredRaw!G:G)</f>
        <v>0</v>
      </c>
      <c r="E21">
        <f>SUMIF(RecoveredRaw!$B:$B,$A21,RecoveredRaw!H:H)</f>
        <v>0</v>
      </c>
      <c r="F21">
        <f>SUMIF(RecoveredRaw!$B:$B,$A21,RecoveredRaw!I:I)</f>
        <v>0</v>
      </c>
      <c r="G21">
        <f>SUMIF(RecoveredRaw!$B:$B,$A21,RecoveredRaw!J:J)</f>
        <v>0</v>
      </c>
      <c r="H21">
        <f>SUMIF(RecoveredRaw!$B:$B,$A21,RecoveredRaw!K:K)</f>
        <v>0</v>
      </c>
      <c r="I21">
        <f>SUMIF(RecoveredRaw!$B:$B,$A21,RecoveredRaw!L:L)</f>
        <v>0</v>
      </c>
      <c r="J21">
        <f>SUMIF(RecoveredRaw!$B:$B,$A21,RecoveredRaw!M:M)</f>
        <v>2</v>
      </c>
      <c r="K21">
        <f>SUMIF(RecoveredRaw!$B:$B,$A21,RecoveredRaw!N:N)</f>
        <v>2</v>
      </c>
      <c r="L21">
        <f>SUMIF(RecoveredRaw!$B:$B,$A21,RecoveredRaw!O:O)</f>
        <v>2</v>
      </c>
      <c r="M21">
        <f>SUMIF(RecoveredRaw!$B:$B,$A21,RecoveredRaw!P:P)</f>
        <v>2</v>
      </c>
      <c r="N21">
        <f>SUMIF(RecoveredRaw!$B:$B,$A21,RecoveredRaw!Q:Q)</f>
        <v>2</v>
      </c>
      <c r="O21">
        <f>SUMIF(RecoveredRaw!$B:$B,$A21,RecoveredRaw!R:R)</f>
        <v>2</v>
      </c>
      <c r="P21">
        <f>SUMIF(RecoveredRaw!$B:$B,$A21,RecoveredRaw!S:S)</f>
        <v>2</v>
      </c>
      <c r="Q21">
        <f>SUMIF(RecoveredRaw!$B:$B,$A21,RecoveredRaw!T:T)</f>
        <v>2</v>
      </c>
      <c r="R21">
        <f>SUMIF(RecoveredRaw!$B:$B,$A21,RecoveredRaw!U:U)</f>
        <v>2</v>
      </c>
      <c r="S21">
        <f>SUMIF(RecoveredRaw!$B:$B,$A21,RecoveredRaw!V:V)</f>
        <v>2</v>
      </c>
      <c r="T21">
        <f>SUMIF(RecoveredRaw!$B:$B,$A21,RecoveredRaw!W:W)</f>
        <v>2</v>
      </c>
      <c r="U21">
        <f>SUMIF(RecoveredRaw!$B:$B,$A21,RecoveredRaw!X:X)</f>
        <v>2</v>
      </c>
      <c r="V21">
        <f>SUMIF(RecoveredRaw!$B:$B,$A21,RecoveredRaw!Y:Y)</f>
        <v>2</v>
      </c>
      <c r="W21">
        <f>SUMIF(RecoveredRaw!$B:$B,$A21,RecoveredRaw!Z:Z)</f>
        <v>2</v>
      </c>
      <c r="X21">
        <f>SUMIF(RecoveredRaw!$B:$B,$A21,RecoveredRaw!AA:AA)</f>
        <v>8</v>
      </c>
      <c r="Y21">
        <f>SUMIF(RecoveredRaw!$B:$B,$A21,RecoveredRaw!AB:AB)</f>
        <v>8</v>
      </c>
      <c r="Z21">
        <f>SUMIF(RecoveredRaw!$B:$B,$A21,RecoveredRaw!AC:AC)</f>
        <v>8</v>
      </c>
      <c r="AA21">
        <f>SUMIF(RecoveredRaw!$B:$B,$A21,RecoveredRaw!AD:AD)</f>
        <v>8</v>
      </c>
      <c r="AB21">
        <f>SUMIF(RecoveredRaw!$B:$B,$A21,RecoveredRaw!AE:AE)</f>
        <v>10</v>
      </c>
      <c r="AC21">
        <f>SUMIF(RecoveredRaw!$B:$B,$A21,RecoveredRaw!AF:AF)</f>
        <v>10</v>
      </c>
      <c r="AD21">
        <f>SUMIF(RecoveredRaw!$B:$B,$A21,RecoveredRaw!AG:AG)</f>
        <v>10</v>
      </c>
      <c r="AE21">
        <f>SUMIF(RecoveredRaw!$B:$B,$A21,RecoveredRaw!AH:AH)</f>
        <v>10</v>
      </c>
      <c r="AF21">
        <f>SUMIF(RecoveredRaw!$B:$B,$A21,RecoveredRaw!AI:AI)</f>
        <v>11</v>
      </c>
      <c r="AG21">
        <f>SUMIF(RecoveredRaw!$B:$B,$A21,RecoveredRaw!AJ:AJ)</f>
        <v>11</v>
      </c>
      <c r="AH21">
        <f>SUMIF(RecoveredRaw!$B:$B,$A21,RecoveredRaw!AK:AK)</f>
        <v>11</v>
      </c>
      <c r="AI21">
        <f>SUMIF(RecoveredRaw!$B:$B,$A21,RecoveredRaw!AL:AL)</f>
        <v>11</v>
      </c>
      <c r="AJ21">
        <f>SUMIF(RecoveredRaw!$B:$B,$A21,RecoveredRaw!AM:AM)</f>
        <v>11</v>
      </c>
      <c r="AK21">
        <f>SUMIF(RecoveredRaw!$B:$B,$A21,RecoveredRaw!AN:AN)</f>
        <v>11</v>
      </c>
      <c r="AL21">
        <f>SUMIF(RecoveredRaw!$B:$B,$A21,RecoveredRaw!AO:AO)</f>
        <v>11</v>
      </c>
      <c r="AM21">
        <f>SUMIF(RecoveredRaw!$B:$B,$A21,RecoveredRaw!AP:AP)</f>
        <v>11</v>
      </c>
      <c r="AN21">
        <f>SUMIF(RecoveredRaw!$B:$B,$A21,RecoveredRaw!AQ:AQ)</f>
        <v>11</v>
      </c>
      <c r="AO21">
        <f>SUMIF(RecoveredRaw!$B:$B,$A21,RecoveredRaw!AR:AR)</f>
        <v>11</v>
      </c>
      <c r="AP21">
        <f>SUMIF(RecoveredRaw!$B:$B,$A21,RecoveredRaw!AS:AS)</f>
        <v>11</v>
      </c>
      <c r="AQ21">
        <f>SUMIF(RecoveredRaw!$B:$B,$A21,RecoveredRaw!AT:AT)</f>
        <v>11</v>
      </c>
      <c r="AR21">
        <f>SUMIF(RecoveredRaw!$B:$B,$A21,RecoveredRaw!AU:AU)</f>
        <v>11</v>
      </c>
      <c r="AS21">
        <f>SUMIF(RecoveredRaw!$B:$B,$A21,RecoveredRaw!AV:AV)</f>
        <v>21</v>
      </c>
      <c r="AT21">
        <f>SUMIF(RecoveredRaw!$B:$B,$A21,RecoveredRaw!AW:AW)</f>
        <v>21</v>
      </c>
      <c r="AU21">
        <f>SUMIF(RecoveredRaw!$B:$B,$A21,RecoveredRaw!AX:AX)</f>
        <v>21</v>
      </c>
      <c r="AV21">
        <f>SUMIF(RecoveredRaw!$B:$B,$A21,RecoveredRaw!AY:AY)</f>
        <v>21</v>
      </c>
      <c r="AW21">
        <f>SUMIF(RecoveredRaw!$B:$B,$A21,RecoveredRaw!AZ:AZ)</f>
        <v>21</v>
      </c>
      <c r="AX21">
        <f>SUMIF(RecoveredRaw!$B:$B,$A21,RecoveredRaw!BA:BA)</f>
        <v>21</v>
      </c>
      <c r="AY21">
        <f>SUMIF(RecoveredRaw!$B:$B,$A21,RecoveredRaw!BB:BB)</f>
        <v>21</v>
      </c>
      <c r="AZ21">
        <f>SUMIF(RecoveredRaw!$B:$B,$A21,RecoveredRaw!BC:BC)</f>
        <v>21</v>
      </c>
      <c r="BA21">
        <f>SUMIF(RecoveredRaw!$B:$B,$A21,RecoveredRaw!BD:BD)</f>
        <v>23</v>
      </c>
      <c r="BB21">
        <f>SUMIF(RecoveredRaw!$B:$B,$A21,RecoveredRaw!BE:BE)</f>
        <v>23</v>
      </c>
      <c r="BC21">
        <f>SUMIF(RecoveredRaw!$B:$B,$A21,RecoveredRaw!BF:BF)</f>
        <v>23</v>
      </c>
      <c r="BD21">
        <f>SUMIF(RecoveredRaw!$B:$B,$A21,RecoveredRaw!BG:BG)</f>
        <v>23</v>
      </c>
      <c r="BE21">
        <f>SUMIF(RecoveredRaw!$B:$B,$A21,RecoveredRaw!BH:BH)</f>
        <v>23</v>
      </c>
      <c r="BF21">
        <f>SUMIF(RecoveredRaw!$B:$B,$A21,RecoveredRaw!BI:BI)</f>
        <v>23</v>
      </c>
      <c r="BG21">
        <f>SUMIF(RecoveredRaw!$B:$B,$A21,RecoveredRaw!BJ:BJ)</f>
        <v>0</v>
      </c>
      <c r="BH21">
        <f>SUMIF(RecoveredRaw!$B:$B,$A21,RecoveredRaw!BK:BK)</f>
        <v>0</v>
      </c>
      <c r="BI21">
        <f>SUMIF(RecoveredRaw!$B:$B,$A21,RecoveredRaw!BL:BL)</f>
        <v>0</v>
      </c>
      <c r="BJ21">
        <f>SUMIF(RecoveredRaw!$B:$B,$A21,RecoveredRaw!BM:BM)</f>
        <v>0</v>
      </c>
      <c r="BK21">
        <f>SUMIF(RecoveredRaw!$B:$B,$A21,RecoveredRaw!BN:BN)</f>
        <v>0</v>
      </c>
      <c r="BL21">
        <f>SUMIF(RecoveredRaw!$B:$B,$A21,RecoveredRaw!BO:BO)</f>
        <v>0</v>
      </c>
      <c r="BM21">
        <f>SUMIF(RecoveredRaw!$B:$B,$A21,RecoveredRaw!BP:BP)</f>
        <v>0</v>
      </c>
      <c r="BN21">
        <f>SUMIF(RecoveredRaw!$B:$B,$A21,RecoveredRaw!BQ:BQ)</f>
        <v>0</v>
      </c>
      <c r="BO21">
        <f>SUMIF(RecoveredRaw!$B:$B,$A21,RecoveredRaw!BR:BR)</f>
        <v>0</v>
      </c>
      <c r="BP21">
        <f>SUMIF(RecoveredRaw!$B:$B,$A21,RecoveredRaw!BS:BS)</f>
        <v>0</v>
      </c>
      <c r="BQ21">
        <f>SUMIF(RecoveredRaw!$B:$B,$A21,RecoveredRaw!BT:BT)</f>
        <v>0</v>
      </c>
      <c r="BR21">
        <f>SUMIF(RecoveredRaw!$B:$B,$A21,RecoveredRaw!BU:BU)</f>
        <v>0</v>
      </c>
      <c r="BS21">
        <f>SUMIF(RecoveredRaw!$B:$B,$A21,RecoveredRaw!BV:BV)</f>
        <v>0</v>
      </c>
      <c r="BT21">
        <f>SUMIF(RecoveredRaw!$B:$B,$A21,RecoveredRaw!BW:BW)</f>
        <v>0</v>
      </c>
    </row>
    <row r="22" spans="1:72" ht="15" thickBot="1" x14ac:dyDescent="0.35">
      <c r="A22" s="3" t="s">
        <v>40</v>
      </c>
      <c r="B22">
        <f>SUMIF(RecoveredRaw!$B:$B,$A22,RecoveredRaw!E:E)</f>
        <v>0</v>
      </c>
      <c r="C22">
        <f>SUMIF(RecoveredRaw!$B:$B,$A22,RecoveredRaw!F:F)</f>
        <v>0</v>
      </c>
      <c r="D22">
        <f>SUMIF(RecoveredRaw!$B:$B,$A22,RecoveredRaw!G:G)</f>
        <v>0</v>
      </c>
      <c r="E22">
        <f>SUMIF(RecoveredRaw!$B:$B,$A22,RecoveredRaw!H:H)</f>
        <v>0</v>
      </c>
      <c r="F22">
        <f>SUMIF(RecoveredRaw!$B:$B,$A22,RecoveredRaw!I:I)</f>
        <v>0</v>
      </c>
      <c r="G22">
        <f>SUMIF(RecoveredRaw!$B:$B,$A22,RecoveredRaw!J:J)</f>
        <v>0</v>
      </c>
      <c r="H22">
        <f>SUMIF(RecoveredRaw!$B:$B,$A22,RecoveredRaw!K:K)</f>
        <v>0</v>
      </c>
      <c r="I22">
        <f>SUMIF(RecoveredRaw!$B:$B,$A22,RecoveredRaw!L:L)</f>
        <v>0</v>
      </c>
      <c r="J22">
        <f>SUMIF(RecoveredRaw!$B:$B,$A22,RecoveredRaw!M:M)</f>
        <v>0</v>
      </c>
      <c r="K22">
        <f>SUMIF(RecoveredRaw!$B:$B,$A22,RecoveredRaw!N:N)</f>
        <v>0</v>
      </c>
      <c r="L22">
        <f>SUMIF(RecoveredRaw!$B:$B,$A22,RecoveredRaw!O:O)</f>
        <v>0</v>
      </c>
      <c r="M22">
        <f>SUMIF(RecoveredRaw!$B:$B,$A22,RecoveredRaw!P:P)</f>
        <v>0</v>
      </c>
      <c r="N22">
        <f>SUMIF(RecoveredRaw!$B:$B,$A22,RecoveredRaw!Q:Q)</f>
        <v>0</v>
      </c>
      <c r="O22">
        <f>SUMIF(RecoveredRaw!$B:$B,$A22,RecoveredRaw!R:R)</f>
        <v>0</v>
      </c>
      <c r="P22">
        <f>SUMIF(RecoveredRaw!$B:$B,$A22,RecoveredRaw!S:S)</f>
        <v>0</v>
      </c>
      <c r="Q22">
        <f>SUMIF(RecoveredRaw!$B:$B,$A22,RecoveredRaw!T:T)</f>
        <v>0</v>
      </c>
      <c r="R22">
        <f>SUMIF(RecoveredRaw!$B:$B,$A22,RecoveredRaw!U:U)</f>
        <v>0</v>
      </c>
      <c r="S22">
        <f>SUMIF(RecoveredRaw!$B:$B,$A22,RecoveredRaw!V:V)</f>
        <v>2</v>
      </c>
      <c r="T22">
        <f>SUMIF(RecoveredRaw!$B:$B,$A22,RecoveredRaw!W:W)</f>
        <v>2</v>
      </c>
      <c r="U22">
        <f>SUMIF(RecoveredRaw!$B:$B,$A22,RecoveredRaw!X:X)</f>
        <v>2</v>
      </c>
      <c r="V22">
        <f>SUMIF(RecoveredRaw!$B:$B,$A22,RecoveredRaw!Y:Y)</f>
        <v>9</v>
      </c>
      <c r="W22">
        <f>SUMIF(RecoveredRaw!$B:$B,$A22,RecoveredRaw!Z:Z)</f>
        <v>15</v>
      </c>
      <c r="X22">
        <f>SUMIF(RecoveredRaw!$B:$B,$A22,RecoveredRaw!AA:AA)</f>
        <v>15</v>
      </c>
      <c r="Y22">
        <f>SUMIF(RecoveredRaw!$B:$B,$A22,RecoveredRaw!AB:AB)</f>
        <v>17</v>
      </c>
      <c r="Z22">
        <f>SUMIF(RecoveredRaw!$B:$B,$A22,RecoveredRaw!AC:AC)</f>
        <v>18</v>
      </c>
      <c r="AA22">
        <f>SUMIF(RecoveredRaw!$B:$B,$A22,RecoveredRaw!AD:AD)</f>
        <v>18</v>
      </c>
      <c r="AB22">
        <f>SUMIF(RecoveredRaw!$B:$B,$A22,RecoveredRaw!AE:AE)</f>
        <v>24</v>
      </c>
      <c r="AC22">
        <f>SUMIF(RecoveredRaw!$B:$B,$A22,RecoveredRaw!AF:AF)</f>
        <v>29</v>
      </c>
      <c r="AD22">
        <f>SUMIF(RecoveredRaw!$B:$B,$A22,RecoveredRaw!AG:AG)</f>
        <v>34</v>
      </c>
      <c r="AE22">
        <f>SUMIF(RecoveredRaw!$B:$B,$A22,RecoveredRaw!AH:AH)</f>
        <v>34</v>
      </c>
      <c r="AF22">
        <f>SUMIF(RecoveredRaw!$B:$B,$A22,RecoveredRaw!AI:AI)</f>
        <v>37</v>
      </c>
      <c r="AG22">
        <f>SUMIF(RecoveredRaw!$B:$B,$A22,RecoveredRaw!AJ:AJ)</f>
        <v>37</v>
      </c>
      <c r="AH22">
        <f>SUMIF(RecoveredRaw!$B:$B,$A22,RecoveredRaw!AK:AK)</f>
        <v>51</v>
      </c>
      <c r="AI22">
        <f>SUMIF(RecoveredRaw!$B:$B,$A22,RecoveredRaw!AL:AL)</f>
        <v>51</v>
      </c>
      <c r="AJ22">
        <f>SUMIF(RecoveredRaw!$B:$B,$A22,RecoveredRaw!AM:AM)</f>
        <v>53</v>
      </c>
      <c r="AK22">
        <f>SUMIF(RecoveredRaw!$B:$B,$A22,RecoveredRaw!AN:AN)</f>
        <v>62</v>
      </c>
      <c r="AL22">
        <f>SUMIF(RecoveredRaw!$B:$B,$A22,RecoveredRaw!AO:AO)</f>
        <v>62</v>
      </c>
      <c r="AM22">
        <f>SUMIF(RecoveredRaw!$B:$B,$A22,RecoveredRaw!AP:AP)</f>
        <v>62</v>
      </c>
      <c r="AN22">
        <f>SUMIF(RecoveredRaw!$B:$B,$A22,RecoveredRaw!AQ:AQ)</f>
        <v>72</v>
      </c>
      <c r="AO22">
        <f>SUMIF(RecoveredRaw!$B:$B,$A22,RecoveredRaw!AR:AR)</f>
        <v>72</v>
      </c>
      <c r="AP22">
        <f>SUMIF(RecoveredRaw!$B:$B,$A22,RecoveredRaw!AS:AS)</f>
        <v>78</v>
      </c>
      <c r="AQ22">
        <f>SUMIF(RecoveredRaw!$B:$B,$A22,RecoveredRaw!AT:AT)</f>
        <v>78</v>
      </c>
      <c r="AR22">
        <f>SUMIF(RecoveredRaw!$B:$B,$A22,RecoveredRaw!AU:AU)</f>
        <v>78</v>
      </c>
      <c r="AS22">
        <f>SUMIF(RecoveredRaw!$B:$B,$A22,RecoveredRaw!AV:AV)</f>
        <v>78</v>
      </c>
      <c r="AT22">
        <f>SUMIF(RecoveredRaw!$B:$B,$A22,RecoveredRaw!AW:AW)</f>
        <v>78</v>
      </c>
      <c r="AU22">
        <f>SUMIF(RecoveredRaw!$B:$B,$A22,RecoveredRaw!AX:AX)</f>
        <v>78</v>
      </c>
      <c r="AV22">
        <f>SUMIF(RecoveredRaw!$B:$B,$A22,RecoveredRaw!AY:AY)</f>
        <v>78</v>
      </c>
      <c r="AW22">
        <f>SUMIF(RecoveredRaw!$B:$B,$A22,RecoveredRaw!AZ:AZ)</f>
        <v>78</v>
      </c>
      <c r="AX22">
        <f>SUMIF(RecoveredRaw!$B:$B,$A22,RecoveredRaw!BA:BA)</f>
        <v>78</v>
      </c>
      <c r="AY22">
        <f>SUMIF(RecoveredRaw!$B:$B,$A22,RecoveredRaw!BB:BB)</f>
        <v>96</v>
      </c>
      <c r="AZ22">
        <f>SUMIF(RecoveredRaw!$B:$B,$A22,RecoveredRaw!BC:BC)</f>
        <v>96</v>
      </c>
      <c r="BA22">
        <f>SUMIF(RecoveredRaw!$B:$B,$A22,RecoveredRaw!BD:BD)</f>
        <v>97</v>
      </c>
      <c r="BB22">
        <f>SUMIF(RecoveredRaw!$B:$B,$A22,RecoveredRaw!BE:BE)</f>
        <v>105</v>
      </c>
      <c r="BC22">
        <f>SUMIF(RecoveredRaw!$B:$B,$A22,RecoveredRaw!BF:BF)</f>
        <v>105</v>
      </c>
      <c r="BD22">
        <f>SUMIF(RecoveredRaw!$B:$B,$A22,RecoveredRaw!BG:BG)</f>
        <v>109</v>
      </c>
      <c r="BE22">
        <f>SUMIF(RecoveredRaw!$B:$B,$A22,RecoveredRaw!BH:BH)</f>
        <v>114</v>
      </c>
      <c r="BF22">
        <f>SUMIF(RecoveredRaw!$B:$B,$A22,RecoveredRaw!BI:BI)</f>
        <v>114</v>
      </c>
      <c r="BG22">
        <f>SUMIF(RecoveredRaw!$B:$B,$A22,RecoveredRaw!BJ:BJ)</f>
        <v>0</v>
      </c>
      <c r="BH22">
        <f>SUMIF(RecoveredRaw!$B:$B,$A22,RecoveredRaw!BK:BK)</f>
        <v>0</v>
      </c>
      <c r="BI22">
        <f>SUMIF(RecoveredRaw!$B:$B,$A22,RecoveredRaw!BL:BL)</f>
        <v>0</v>
      </c>
      <c r="BJ22">
        <f>SUMIF(RecoveredRaw!$B:$B,$A22,RecoveredRaw!BM:BM)</f>
        <v>0</v>
      </c>
      <c r="BK22">
        <f>SUMIF(RecoveredRaw!$B:$B,$A22,RecoveredRaw!BN:BN)</f>
        <v>0</v>
      </c>
      <c r="BL22">
        <f>SUMIF(RecoveredRaw!$B:$B,$A22,RecoveredRaw!BO:BO)</f>
        <v>0</v>
      </c>
      <c r="BM22">
        <f>SUMIF(RecoveredRaw!$B:$B,$A22,RecoveredRaw!BP:BP)</f>
        <v>0</v>
      </c>
      <c r="BN22">
        <f>SUMIF(RecoveredRaw!$B:$B,$A22,RecoveredRaw!BQ:BQ)</f>
        <v>0</v>
      </c>
      <c r="BO22">
        <f>SUMIF(RecoveredRaw!$B:$B,$A22,RecoveredRaw!BR:BR)</f>
        <v>0</v>
      </c>
      <c r="BP22">
        <f>SUMIF(RecoveredRaw!$B:$B,$A22,RecoveredRaw!BS:BS)</f>
        <v>0</v>
      </c>
      <c r="BQ22">
        <f>SUMIF(RecoveredRaw!$B:$B,$A22,RecoveredRaw!BT:BT)</f>
        <v>0</v>
      </c>
      <c r="BR22">
        <f>SUMIF(RecoveredRaw!$B:$B,$A22,RecoveredRaw!BU:BU)</f>
        <v>0</v>
      </c>
      <c r="BS22">
        <f>SUMIF(RecoveredRaw!$B:$B,$A22,RecoveredRaw!BV:BV)</f>
        <v>0</v>
      </c>
      <c r="BT22">
        <f>SUMIF(RecoveredRaw!$B:$B,$A22,RecoveredRaw!BW:BW)</f>
        <v>0</v>
      </c>
    </row>
    <row r="23" spans="1:72" ht="15" thickBot="1" x14ac:dyDescent="0.35">
      <c r="A23" s="3" t="s">
        <v>43</v>
      </c>
      <c r="B23">
        <f>SUMIF(RecoveredRaw!$B:$B,$A23,RecoveredRaw!E:E)</f>
        <v>0</v>
      </c>
      <c r="C23">
        <f>SUMIF(RecoveredRaw!$B:$B,$A23,RecoveredRaw!F:F)</f>
        <v>0</v>
      </c>
      <c r="D23">
        <f>SUMIF(RecoveredRaw!$B:$B,$A23,RecoveredRaw!G:G)</f>
        <v>0</v>
      </c>
      <c r="E23">
        <f>SUMIF(RecoveredRaw!$B:$B,$A23,RecoveredRaw!H:H)</f>
        <v>0</v>
      </c>
      <c r="F23">
        <f>SUMIF(RecoveredRaw!$B:$B,$A23,RecoveredRaw!I:I)</f>
        <v>0</v>
      </c>
      <c r="G23">
        <f>SUMIF(RecoveredRaw!$B:$B,$A23,RecoveredRaw!J:J)</f>
        <v>0</v>
      </c>
      <c r="H23">
        <f>SUMIF(RecoveredRaw!$B:$B,$A23,RecoveredRaw!K:K)</f>
        <v>0</v>
      </c>
      <c r="I23">
        <f>SUMIF(RecoveredRaw!$B:$B,$A23,RecoveredRaw!L:L)</f>
        <v>0</v>
      </c>
      <c r="J23">
        <f>SUMIF(RecoveredRaw!$B:$B,$A23,RecoveredRaw!M:M)</f>
        <v>0</v>
      </c>
      <c r="K23">
        <f>SUMIF(RecoveredRaw!$B:$B,$A23,RecoveredRaw!N:N)</f>
        <v>0</v>
      </c>
      <c r="L23">
        <f>SUMIF(RecoveredRaw!$B:$B,$A23,RecoveredRaw!O:O)</f>
        <v>0</v>
      </c>
      <c r="M23">
        <f>SUMIF(RecoveredRaw!$B:$B,$A23,RecoveredRaw!P:P)</f>
        <v>0</v>
      </c>
      <c r="N23">
        <f>SUMIF(RecoveredRaw!$B:$B,$A23,RecoveredRaw!Q:Q)</f>
        <v>0</v>
      </c>
      <c r="O23">
        <f>SUMIF(RecoveredRaw!$B:$B,$A23,RecoveredRaw!R:R)</f>
        <v>0</v>
      </c>
      <c r="P23">
        <f>SUMIF(RecoveredRaw!$B:$B,$A23,RecoveredRaw!S:S)</f>
        <v>0</v>
      </c>
      <c r="Q23">
        <f>SUMIF(RecoveredRaw!$B:$B,$A23,RecoveredRaw!T:T)</f>
        <v>0</v>
      </c>
      <c r="R23">
        <f>SUMIF(RecoveredRaw!$B:$B,$A23,RecoveredRaw!U:U)</f>
        <v>1</v>
      </c>
      <c r="S23">
        <f>SUMIF(RecoveredRaw!$B:$B,$A23,RecoveredRaw!V:V)</f>
        <v>1</v>
      </c>
      <c r="T23">
        <f>SUMIF(RecoveredRaw!$B:$B,$A23,RecoveredRaw!W:W)</f>
        <v>1</v>
      </c>
      <c r="U23">
        <f>SUMIF(RecoveredRaw!$B:$B,$A23,RecoveredRaw!X:X)</f>
        <v>1</v>
      </c>
      <c r="V23">
        <f>SUMIF(RecoveredRaw!$B:$B,$A23,RecoveredRaw!Y:Y)</f>
        <v>3</v>
      </c>
      <c r="W23">
        <f>SUMIF(RecoveredRaw!$B:$B,$A23,RecoveredRaw!Z:Z)</f>
        <v>3</v>
      </c>
      <c r="X23">
        <f>SUMIF(RecoveredRaw!$B:$B,$A23,RecoveredRaw!AA:AA)</f>
        <v>3</v>
      </c>
      <c r="Y23">
        <f>SUMIF(RecoveredRaw!$B:$B,$A23,RecoveredRaw!AB:AB)</f>
        <v>3</v>
      </c>
      <c r="Z23">
        <f>SUMIF(RecoveredRaw!$B:$B,$A23,RecoveredRaw!AC:AC)</f>
        <v>7</v>
      </c>
      <c r="AA23">
        <f>SUMIF(RecoveredRaw!$B:$B,$A23,RecoveredRaw!AD:AD)</f>
        <v>7</v>
      </c>
      <c r="AB23">
        <f>SUMIF(RecoveredRaw!$B:$B,$A23,RecoveredRaw!AE:AE)</f>
        <v>7</v>
      </c>
      <c r="AC23">
        <f>SUMIF(RecoveredRaw!$B:$B,$A23,RecoveredRaw!AF:AF)</f>
        <v>13</v>
      </c>
      <c r="AD23">
        <f>SUMIF(RecoveredRaw!$B:$B,$A23,RecoveredRaw!AG:AG)</f>
        <v>15</v>
      </c>
      <c r="AE23">
        <f>SUMIF(RecoveredRaw!$B:$B,$A23,RecoveredRaw!AH:AH)</f>
        <v>15</v>
      </c>
      <c r="AF23">
        <f>SUMIF(RecoveredRaw!$B:$B,$A23,RecoveredRaw!AI:AI)</f>
        <v>15</v>
      </c>
      <c r="AG23">
        <f>SUMIF(RecoveredRaw!$B:$B,$A23,RecoveredRaw!AJ:AJ)</f>
        <v>15</v>
      </c>
      <c r="AH23">
        <f>SUMIF(RecoveredRaw!$B:$B,$A23,RecoveredRaw!AK:AK)</f>
        <v>15</v>
      </c>
      <c r="AI23">
        <f>SUMIF(RecoveredRaw!$B:$B,$A23,RecoveredRaw!AL:AL)</f>
        <v>18</v>
      </c>
      <c r="AJ23">
        <f>SUMIF(RecoveredRaw!$B:$B,$A23,RecoveredRaw!AM:AM)</f>
        <v>18</v>
      </c>
      <c r="AK23">
        <f>SUMIF(RecoveredRaw!$B:$B,$A23,RecoveredRaw!AN:AN)</f>
        <v>18</v>
      </c>
      <c r="AL23">
        <f>SUMIF(RecoveredRaw!$B:$B,$A23,RecoveredRaw!AO:AO)</f>
        <v>18</v>
      </c>
      <c r="AM23">
        <f>SUMIF(RecoveredRaw!$B:$B,$A23,RecoveredRaw!AP:AP)</f>
        <v>18</v>
      </c>
      <c r="AN23">
        <f>SUMIF(RecoveredRaw!$B:$B,$A23,RecoveredRaw!AQ:AQ)</f>
        <v>18</v>
      </c>
      <c r="AO23">
        <f>SUMIF(RecoveredRaw!$B:$B,$A23,RecoveredRaw!AR:AR)</f>
        <v>18</v>
      </c>
      <c r="AP23">
        <f>SUMIF(RecoveredRaw!$B:$B,$A23,RecoveredRaw!AS:AS)</f>
        <v>18</v>
      </c>
      <c r="AQ23">
        <f>SUMIF(RecoveredRaw!$B:$B,$A23,RecoveredRaw!AT:AT)</f>
        <v>22</v>
      </c>
      <c r="AR23">
        <f>SUMIF(RecoveredRaw!$B:$B,$A23,RecoveredRaw!AU:AU)</f>
        <v>22</v>
      </c>
      <c r="AS23">
        <f>SUMIF(RecoveredRaw!$B:$B,$A23,RecoveredRaw!AV:AV)</f>
        <v>22</v>
      </c>
      <c r="AT23">
        <f>SUMIF(RecoveredRaw!$B:$B,$A23,RecoveredRaw!AW:AW)</f>
        <v>22</v>
      </c>
      <c r="AU23">
        <f>SUMIF(RecoveredRaw!$B:$B,$A23,RecoveredRaw!AX:AX)</f>
        <v>23</v>
      </c>
      <c r="AV23">
        <f>SUMIF(RecoveredRaw!$B:$B,$A23,RecoveredRaw!AY:AY)</f>
        <v>24</v>
      </c>
      <c r="AW23">
        <f>SUMIF(RecoveredRaw!$B:$B,$A23,RecoveredRaw!AZ:AZ)</f>
        <v>24</v>
      </c>
      <c r="AX23">
        <f>SUMIF(RecoveredRaw!$B:$B,$A23,RecoveredRaw!BA:BA)</f>
        <v>24</v>
      </c>
      <c r="AY23">
        <f>SUMIF(RecoveredRaw!$B:$B,$A23,RecoveredRaw!BB:BB)</f>
        <v>26</v>
      </c>
      <c r="AZ23">
        <f>SUMIF(RecoveredRaw!$B:$B,$A23,RecoveredRaw!BC:BC)</f>
        <v>26</v>
      </c>
      <c r="BA23">
        <f>SUMIF(RecoveredRaw!$B:$B,$A23,RecoveredRaw!BD:BD)</f>
        <v>26</v>
      </c>
      <c r="BB23">
        <f>SUMIF(RecoveredRaw!$B:$B,$A23,RecoveredRaw!BE:BE)</f>
        <v>35</v>
      </c>
      <c r="BC23">
        <f>SUMIF(RecoveredRaw!$B:$B,$A23,RecoveredRaw!BF:BF)</f>
        <v>42</v>
      </c>
      <c r="BD23">
        <f>SUMIF(RecoveredRaw!$B:$B,$A23,RecoveredRaw!BG:BG)</f>
        <v>42</v>
      </c>
      <c r="BE23">
        <f>SUMIF(RecoveredRaw!$B:$B,$A23,RecoveredRaw!BH:BH)</f>
        <v>49</v>
      </c>
      <c r="BF23">
        <f>SUMIF(RecoveredRaw!$B:$B,$A23,RecoveredRaw!BI:BI)</f>
        <v>60</v>
      </c>
      <c r="BG23">
        <f>SUMIF(RecoveredRaw!$B:$B,$A23,RecoveredRaw!BJ:BJ)</f>
        <v>0</v>
      </c>
      <c r="BH23">
        <f>SUMIF(RecoveredRaw!$B:$B,$A23,RecoveredRaw!BK:BK)</f>
        <v>0</v>
      </c>
      <c r="BI23">
        <f>SUMIF(RecoveredRaw!$B:$B,$A23,RecoveredRaw!BL:BL)</f>
        <v>0</v>
      </c>
      <c r="BJ23">
        <f>SUMIF(RecoveredRaw!$B:$B,$A23,RecoveredRaw!BM:BM)</f>
        <v>0</v>
      </c>
      <c r="BK23">
        <f>SUMIF(RecoveredRaw!$B:$B,$A23,RecoveredRaw!BN:BN)</f>
        <v>0</v>
      </c>
      <c r="BL23">
        <f>SUMIF(RecoveredRaw!$B:$B,$A23,RecoveredRaw!BO:BO)</f>
        <v>0</v>
      </c>
      <c r="BM23">
        <f>SUMIF(RecoveredRaw!$B:$B,$A23,RecoveredRaw!BP:BP)</f>
        <v>0</v>
      </c>
      <c r="BN23">
        <f>SUMIF(RecoveredRaw!$B:$B,$A23,RecoveredRaw!BQ:BQ)</f>
        <v>0</v>
      </c>
      <c r="BO23">
        <f>SUMIF(RecoveredRaw!$B:$B,$A23,RecoveredRaw!BR:BR)</f>
        <v>0</v>
      </c>
      <c r="BP23">
        <f>SUMIF(RecoveredRaw!$B:$B,$A23,RecoveredRaw!BS:BS)</f>
        <v>0</v>
      </c>
      <c r="BQ23">
        <f>SUMIF(RecoveredRaw!$B:$B,$A23,RecoveredRaw!BT:BT)</f>
        <v>0</v>
      </c>
      <c r="BR23">
        <f>SUMIF(RecoveredRaw!$B:$B,$A23,RecoveredRaw!BU:BU)</f>
        <v>0</v>
      </c>
      <c r="BS23">
        <f>SUMIF(RecoveredRaw!$B:$B,$A23,RecoveredRaw!BV:BV)</f>
        <v>0</v>
      </c>
      <c r="BT23">
        <f>SUMIF(RecoveredRaw!$B:$B,$A23,RecoveredRaw!BW:BW)</f>
        <v>0</v>
      </c>
    </row>
    <row r="24" spans="1:72" ht="15" thickBot="1" x14ac:dyDescent="0.35">
      <c r="A24" s="4" t="s">
        <v>45</v>
      </c>
      <c r="B24">
        <f>SUMIF(RecoveredRaw!$B:$B,$A24,RecoveredRaw!E:E)</f>
        <v>0</v>
      </c>
      <c r="C24">
        <f>SUMIF(RecoveredRaw!$B:$B,$A24,RecoveredRaw!F:F)</f>
        <v>0</v>
      </c>
      <c r="D24">
        <f>SUMIF(RecoveredRaw!$B:$B,$A24,RecoveredRaw!G:G)</f>
        <v>0</v>
      </c>
      <c r="E24">
        <f>SUMIF(RecoveredRaw!$B:$B,$A24,RecoveredRaw!H:H)</f>
        <v>0</v>
      </c>
      <c r="F24">
        <f>SUMIF(RecoveredRaw!$B:$B,$A24,RecoveredRaw!I:I)</f>
        <v>0</v>
      </c>
      <c r="G24">
        <f>SUMIF(RecoveredRaw!$B:$B,$A24,RecoveredRaw!J:J)</f>
        <v>0</v>
      </c>
      <c r="H24">
        <f>SUMIF(RecoveredRaw!$B:$B,$A24,RecoveredRaw!K:K)</f>
        <v>0</v>
      </c>
      <c r="I24">
        <f>SUMIF(RecoveredRaw!$B:$B,$A24,RecoveredRaw!L:L)</f>
        <v>0</v>
      </c>
      <c r="J24">
        <f>SUMIF(RecoveredRaw!$B:$B,$A24,RecoveredRaw!M:M)</f>
        <v>0</v>
      </c>
      <c r="K24">
        <f>SUMIF(RecoveredRaw!$B:$B,$A24,RecoveredRaw!N:N)</f>
        <v>0</v>
      </c>
      <c r="L24">
        <f>SUMIF(RecoveredRaw!$B:$B,$A24,RecoveredRaw!O:O)</f>
        <v>0</v>
      </c>
      <c r="M24">
        <f>SUMIF(RecoveredRaw!$B:$B,$A24,RecoveredRaw!P:P)</f>
        <v>0</v>
      </c>
      <c r="N24">
        <f>SUMIF(RecoveredRaw!$B:$B,$A24,RecoveredRaw!Q:Q)</f>
        <v>0</v>
      </c>
      <c r="O24">
        <f>SUMIF(RecoveredRaw!$B:$B,$A24,RecoveredRaw!R:R)</f>
        <v>0</v>
      </c>
      <c r="P24">
        <f>SUMIF(RecoveredRaw!$B:$B,$A24,RecoveredRaw!S:S)</f>
        <v>0</v>
      </c>
      <c r="Q24">
        <f>SUMIF(RecoveredRaw!$B:$B,$A24,RecoveredRaw!T:T)</f>
        <v>0</v>
      </c>
      <c r="R24">
        <f>SUMIF(RecoveredRaw!$B:$B,$A24,RecoveredRaw!U:U)</f>
        <v>0</v>
      </c>
      <c r="S24">
        <f>SUMIF(RecoveredRaw!$B:$B,$A24,RecoveredRaw!V:V)</f>
        <v>0</v>
      </c>
      <c r="T24">
        <f>SUMIF(RecoveredRaw!$B:$B,$A24,RecoveredRaw!W:W)</f>
        <v>0</v>
      </c>
      <c r="U24">
        <f>SUMIF(RecoveredRaw!$B:$B,$A24,RecoveredRaw!X:X)</f>
        <v>0</v>
      </c>
      <c r="V24">
        <f>SUMIF(RecoveredRaw!$B:$B,$A24,RecoveredRaw!Y:Y)</f>
        <v>0</v>
      </c>
      <c r="W24">
        <f>SUMIF(RecoveredRaw!$B:$B,$A24,RecoveredRaw!Z:Z)</f>
        <v>1</v>
      </c>
      <c r="X24">
        <f>SUMIF(RecoveredRaw!$B:$B,$A24,RecoveredRaw!AA:AA)</f>
        <v>1</v>
      </c>
      <c r="Y24">
        <f>SUMIF(RecoveredRaw!$B:$B,$A24,RecoveredRaw!AB:AB)</f>
        <v>1</v>
      </c>
      <c r="Z24">
        <f>SUMIF(RecoveredRaw!$B:$B,$A24,RecoveredRaw!AC:AC)</f>
        <v>1</v>
      </c>
      <c r="AA24">
        <f>SUMIF(RecoveredRaw!$B:$B,$A24,RecoveredRaw!AD:AD)</f>
        <v>1</v>
      </c>
      <c r="AB24">
        <f>SUMIF(RecoveredRaw!$B:$B,$A24,RecoveredRaw!AE:AE)</f>
        <v>1</v>
      </c>
      <c r="AC24">
        <f>SUMIF(RecoveredRaw!$B:$B,$A24,RecoveredRaw!AF:AF)</f>
        <v>1</v>
      </c>
      <c r="AD24">
        <f>SUMIF(RecoveredRaw!$B:$B,$A24,RecoveredRaw!AG:AG)</f>
        <v>1</v>
      </c>
      <c r="AE24">
        <f>SUMIF(RecoveredRaw!$B:$B,$A24,RecoveredRaw!AH:AH)</f>
        <v>1</v>
      </c>
      <c r="AF24">
        <f>SUMIF(RecoveredRaw!$B:$B,$A24,RecoveredRaw!AI:AI)</f>
        <v>3</v>
      </c>
      <c r="AG24">
        <f>SUMIF(RecoveredRaw!$B:$B,$A24,RecoveredRaw!AJ:AJ)</f>
        <v>3</v>
      </c>
      <c r="AH24">
        <f>SUMIF(RecoveredRaw!$B:$B,$A24,RecoveredRaw!AK:AK)</f>
        <v>3</v>
      </c>
      <c r="AI24">
        <f>SUMIF(RecoveredRaw!$B:$B,$A24,RecoveredRaw!AL:AL)</f>
        <v>3</v>
      </c>
      <c r="AJ24">
        <f>SUMIF(RecoveredRaw!$B:$B,$A24,RecoveredRaw!AM:AM)</f>
        <v>3</v>
      </c>
      <c r="AK24">
        <f>SUMIF(RecoveredRaw!$B:$B,$A24,RecoveredRaw!AN:AN)</f>
        <v>3</v>
      </c>
      <c r="AL24">
        <f>SUMIF(RecoveredRaw!$B:$B,$A24,RecoveredRaw!AO:AO)</f>
        <v>6</v>
      </c>
      <c r="AM24">
        <f>SUMIF(RecoveredRaw!$B:$B,$A24,RecoveredRaw!AP:AP)</f>
        <v>6</v>
      </c>
      <c r="AN24">
        <f>SUMIF(RecoveredRaw!$B:$B,$A24,RecoveredRaw!AQ:AQ)</f>
        <v>6</v>
      </c>
      <c r="AO24">
        <f>SUMIF(RecoveredRaw!$B:$B,$A24,RecoveredRaw!AR:AR)</f>
        <v>6</v>
      </c>
      <c r="AP24">
        <f>SUMIF(RecoveredRaw!$B:$B,$A24,RecoveredRaw!AS:AS)</f>
        <v>6</v>
      </c>
      <c r="AQ24">
        <f>SUMIF(RecoveredRaw!$B:$B,$A24,RecoveredRaw!AT:AT)</f>
        <v>6</v>
      </c>
      <c r="AR24">
        <f>SUMIF(RecoveredRaw!$B:$B,$A24,RecoveredRaw!AU:AU)</f>
        <v>6</v>
      </c>
      <c r="AS24">
        <f>SUMIF(RecoveredRaw!$B:$B,$A24,RecoveredRaw!AV:AV)</f>
        <v>6</v>
      </c>
      <c r="AT24">
        <f>SUMIF(RecoveredRaw!$B:$B,$A24,RecoveredRaw!AW:AW)</f>
        <v>6</v>
      </c>
      <c r="AU24">
        <f>SUMIF(RecoveredRaw!$B:$B,$A24,RecoveredRaw!AX:AX)</f>
        <v>8</v>
      </c>
      <c r="AV24">
        <f>SUMIF(RecoveredRaw!$B:$B,$A24,RecoveredRaw!AY:AY)</f>
        <v>8</v>
      </c>
      <c r="AW24">
        <f>SUMIF(RecoveredRaw!$B:$B,$A24,RecoveredRaw!AZ:AZ)</f>
        <v>8</v>
      </c>
      <c r="AX24">
        <f>SUMIF(RecoveredRaw!$B:$B,$A24,RecoveredRaw!BA:BA)</f>
        <v>8</v>
      </c>
      <c r="AY24">
        <f>SUMIF(RecoveredRaw!$B:$B,$A24,RecoveredRaw!BB:BB)</f>
        <v>8</v>
      </c>
      <c r="AZ24">
        <f>SUMIF(RecoveredRaw!$B:$B,$A24,RecoveredRaw!BC:BC)</f>
        <v>8</v>
      </c>
      <c r="BA24">
        <f>SUMIF(RecoveredRaw!$B:$B,$A24,RecoveredRaw!BD:BD)</f>
        <v>8</v>
      </c>
      <c r="BB24">
        <f>SUMIF(RecoveredRaw!$B:$B,$A24,RecoveredRaw!BE:BE)</f>
        <v>8</v>
      </c>
      <c r="BC24">
        <f>SUMIF(RecoveredRaw!$B:$B,$A24,RecoveredRaw!BF:BF)</f>
        <v>8</v>
      </c>
      <c r="BD24">
        <f>SUMIF(RecoveredRaw!$B:$B,$A24,RecoveredRaw!BG:BG)</f>
        <v>9</v>
      </c>
      <c r="BE24">
        <f>SUMIF(RecoveredRaw!$B:$B,$A24,RecoveredRaw!BH:BH)</f>
        <v>9</v>
      </c>
      <c r="BF24">
        <f>SUMIF(RecoveredRaw!$B:$B,$A24,RecoveredRaw!BI:BI)</f>
        <v>9</v>
      </c>
      <c r="BG24">
        <f>SUMIF(RecoveredRaw!$B:$B,$A24,RecoveredRaw!BJ:BJ)</f>
        <v>0</v>
      </c>
      <c r="BH24">
        <f>SUMIF(RecoveredRaw!$B:$B,$A24,RecoveredRaw!BK:BK)</f>
        <v>0</v>
      </c>
      <c r="BI24">
        <f>SUMIF(RecoveredRaw!$B:$B,$A24,RecoveredRaw!BL:BL)</f>
        <v>0</v>
      </c>
      <c r="BJ24">
        <f>SUMIF(RecoveredRaw!$B:$B,$A24,RecoveredRaw!BM:BM)</f>
        <v>0</v>
      </c>
      <c r="BK24">
        <f>SUMIF(RecoveredRaw!$B:$B,$A24,RecoveredRaw!BN:BN)</f>
        <v>0</v>
      </c>
      <c r="BL24">
        <f>SUMIF(RecoveredRaw!$B:$B,$A24,RecoveredRaw!BO:BO)</f>
        <v>0</v>
      </c>
      <c r="BM24">
        <f>SUMIF(RecoveredRaw!$B:$B,$A24,RecoveredRaw!BP:BP)</f>
        <v>0</v>
      </c>
      <c r="BN24">
        <f>SUMIF(RecoveredRaw!$B:$B,$A24,RecoveredRaw!BQ:BQ)</f>
        <v>0</v>
      </c>
      <c r="BO24">
        <f>SUMIF(RecoveredRaw!$B:$B,$A24,RecoveredRaw!BR:BR)</f>
        <v>0</v>
      </c>
      <c r="BP24">
        <f>SUMIF(RecoveredRaw!$B:$B,$A24,RecoveredRaw!BS:BS)</f>
        <v>0</v>
      </c>
      <c r="BQ24">
        <f>SUMIF(RecoveredRaw!$B:$B,$A24,RecoveredRaw!BT:BT)</f>
        <v>0</v>
      </c>
      <c r="BR24">
        <f>SUMIF(RecoveredRaw!$B:$B,$A24,RecoveredRaw!BU:BU)</f>
        <v>0</v>
      </c>
      <c r="BS24">
        <f>SUMIF(RecoveredRaw!$B:$B,$A24,RecoveredRaw!BV:BV)</f>
        <v>0</v>
      </c>
      <c r="BT24">
        <f>SUMIF(RecoveredRaw!$B:$B,$A24,RecoveredRaw!BW:BW)</f>
        <v>0</v>
      </c>
    </row>
    <row r="25" spans="1:72" ht="15" thickBot="1" x14ac:dyDescent="0.35">
      <c r="A25" s="4" t="s">
        <v>83</v>
      </c>
      <c r="B25">
        <f>SUMIF(RecoveredRaw!$B:$B,$A25,RecoveredRaw!E:E)</f>
        <v>0</v>
      </c>
      <c r="C25">
        <f>SUMIF(RecoveredRaw!$B:$B,$A25,RecoveredRaw!F:F)</f>
        <v>0</v>
      </c>
      <c r="D25">
        <f>SUMIF(RecoveredRaw!$B:$B,$A25,RecoveredRaw!G:G)</f>
        <v>0</v>
      </c>
      <c r="E25">
        <f>SUMIF(RecoveredRaw!$B:$B,$A25,RecoveredRaw!H:H)</f>
        <v>0</v>
      </c>
      <c r="F25">
        <f>SUMIF(RecoveredRaw!$B:$B,$A25,RecoveredRaw!I:I)</f>
        <v>0</v>
      </c>
      <c r="G25">
        <f>SUMIF(RecoveredRaw!$B:$B,$A25,RecoveredRaw!J:J)</f>
        <v>0</v>
      </c>
      <c r="H25">
        <f>SUMIF(RecoveredRaw!$B:$B,$A25,RecoveredRaw!K:K)</f>
        <v>0</v>
      </c>
      <c r="I25">
        <f>SUMIF(RecoveredRaw!$B:$B,$A25,RecoveredRaw!L:L)</f>
        <v>0</v>
      </c>
      <c r="J25">
        <f>SUMIF(RecoveredRaw!$B:$B,$A25,RecoveredRaw!M:M)</f>
        <v>0</v>
      </c>
      <c r="K25">
        <f>SUMIF(RecoveredRaw!$B:$B,$A25,RecoveredRaw!N:N)</f>
        <v>0</v>
      </c>
      <c r="L25">
        <f>SUMIF(RecoveredRaw!$B:$B,$A25,RecoveredRaw!O:O)</f>
        <v>0</v>
      </c>
      <c r="M25">
        <f>SUMIF(RecoveredRaw!$B:$B,$A25,RecoveredRaw!P:P)</f>
        <v>0</v>
      </c>
      <c r="N25">
        <f>SUMIF(RecoveredRaw!$B:$B,$A25,RecoveredRaw!Q:Q)</f>
        <v>0</v>
      </c>
      <c r="O25">
        <f>SUMIF(RecoveredRaw!$B:$B,$A25,RecoveredRaw!R:R)</f>
        <v>0</v>
      </c>
      <c r="P25">
        <f>SUMIF(RecoveredRaw!$B:$B,$A25,RecoveredRaw!S:S)</f>
        <v>0</v>
      </c>
      <c r="Q25">
        <f>SUMIF(RecoveredRaw!$B:$B,$A25,RecoveredRaw!T:T)</f>
        <v>0</v>
      </c>
      <c r="R25">
        <f>SUMIF(RecoveredRaw!$B:$B,$A25,RecoveredRaw!U:U)</f>
        <v>0</v>
      </c>
      <c r="S25">
        <f>SUMIF(RecoveredRaw!$B:$B,$A25,RecoveredRaw!V:V)</f>
        <v>0</v>
      </c>
      <c r="T25">
        <f>SUMIF(RecoveredRaw!$B:$B,$A25,RecoveredRaw!W:W)</f>
        <v>0</v>
      </c>
      <c r="U25">
        <f>SUMIF(RecoveredRaw!$B:$B,$A25,RecoveredRaw!X:X)</f>
        <v>0</v>
      </c>
      <c r="V25">
        <f>SUMIF(RecoveredRaw!$B:$B,$A25,RecoveredRaw!Y:Y)</f>
        <v>0</v>
      </c>
      <c r="W25">
        <f>SUMIF(RecoveredRaw!$B:$B,$A25,RecoveredRaw!Z:Z)</f>
        <v>0</v>
      </c>
      <c r="X25">
        <f>SUMIF(RecoveredRaw!$B:$B,$A25,RecoveredRaw!AA:AA)</f>
        <v>0</v>
      </c>
      <c r="Y25">
        <f>SUMIF(RecoveredRaw!$B:$B,$A25,RecoveredRaw!AB:AB)</f>
        <v>0</v>
      </c>
      <c r="Z25">
        <f>SUMIF(RecoveredRaw!$B:$B,$A25,RecoveredRaw!AC:AC)</f>
        <v>0</v>
      </c>
      <c r="AA25">
        <f>SUMIF(RecoveredRaw!$B:$B,$A25,RecoveredRaw!AD:AD)</f>
        <v>0</v>
      </c>
      <c r="AB25">
        <f>SUMIF(RecoveredRaw!$B:$B,$A25,RecoveredRaw!AE:AE)</f>
        <v>0</v>
      </c>
      <c r="AC25">
        <f>SUMIF(RecoveredRaw!$B:$B,$A25,RecoveredRaw!AF:AF)</f>
        <v>0</v>
      </c>
      <c r="AD25">
        <f>SUMIF(RecoveredRaw!$B:$B,$A25,RecoveredRaw!AG:AG)</f>
        <v>0</v>
      </c>
      <c r="AE25">
        <f>SUMIF(RecoveredRaw!$B:$B,$A25,RecoveredRaw!AH:AH)</f>
        <v>0</v>
      </c>
      <c r="AF25">
        <f>SUMIF(RecoveredRaw!$B:$B,$A25,RecoveredRaw!AI:AI)</f>
        <v>0</v>
      </c>
      <c r="AG25">
        <f>SUMIF(RecoveredRaw!$B:$B,$A25,RecoveredRaw!AJ:AJ)</f>
        <v>0</v>
      </c>
      <c r="AH25">
        <f>SUMIF(RecoveredRaw!$B:$B,$A25,RecoveredRaw!AK:AK)</f>
        <v>0</v>
      </c>
      <c r="AI25">
        <f>SUMIF(RecoveredRaw!$B:$B,$A25,RecoveredRaw!AL:AL)</f>
        <v>0</v>
      </c>
      <c r="AJ25">
        <f>SUMIF(RecoveredRaw!$B:$B,$A25,RecoveredRaw!AM:AM)</f>
        <v>0</v>
      </c>
      <c r="AK25">
        <f>SUMIF(RecoveredRaw!$B:$B,$A25,RecoveredRaw!AN:AN)</f>
        <v>0</v>
      </c>
      <c r="AL25">
        <f>SUMIF(RecoveredRaw!$B:$B,$A25,RecoveredRaw!AO:AO)</f>
        <v>0</v>
      </c>
      <c r="AM25">
        <f>SUMIF(RecoveredRaw!$B:$B,$A25,RecoveredRaw!AP:AP)</f>
        <v>0</v>
      </c>
      <c r="AN25">
        <f>SUMIF(RecoveredRaw!$B:$B,$A25,RecoveredRaw!AQ:AQ)</f>
        <v>0</v>
      </c>
      <c r="AO25">
        <f>SUMIF(RecoveredRaw!$B:$B,$A25,RecoveredRaw!AR:AR)</f>
        <v>0</v>
      </c>
      <c r="AP25">
        <f>SUMIF(RecoveredRaw!$B:$B,$A25,RecoveredRaw!AS:AS)</f>
        <v>0</v>
      </c>
      <c r="AQ25">
        <f>SUMIF(RecoveredRaw!$B:$B,$A25,RecoveredRaw!AT:AT)</f>
        <v>0</v>
      </c>
      <c r="AR25">
        <f>SUMIF(RecoveredRaw!$B:$B,$A25,RecoveredRaw!AU:AU)</f>
        <v>0</v>
      </c>
      <c r="AS25">
        <f>SUMIF(RecoveredRaw!$B:$B,$A25,RecoveredRaw!AV:AV)</f>
        <v>0</v>
      </c>
      <c r="AT25">
        <f>SUMIF(RecoveredRaw!$B:$B,$A25,RecoveredRaw!AW:AW)</f>
        <v>0</v>
      </c>
      <c r="AU25">
        <f>SUMIF(RecoveredRaw!$B:$B,$A25,RecoveredRaw!AX:AX)</f>
        <v>0</v>
      </c>
      <c r="AV25">
        <f>SUMIF(RecoveredRaw!$B:$B,$A25,RecoveredRaw!AY:AY)</f>
        <v>0</v>
      </c>
      <c r="AW25">
        <f>SUMIF(RecoveredRaw!$B:$B,$A25,RecoveredRaw!AZ:AZ)</f>
        <v>0</v>
      </c>
      <c r="AX25">
        <f>SUMIF(RecoveredRaw!$B:$B,$A25,RecoveredRaw!BA:BA)</f>
        <v>0</v>
      </c>
      <c r="AY25">
        <f>SUMIF(RecoveredRaw!$B:$B,$A25,RecoveredRaw!BB:BB)</f>
        <v>0</v>
      </c>
      <c r="AZ25">
        <f>SUMIF(RecoveredRaw!$B:$B,$A25,RecoveredRaw!BC:BC)</f>
        <v>0</v>
      </c>
      <c r="BA25">
        <f>SUMIF(RecoveredRaw!$B:$B,$A25,RecoveredRaw!BD:BD)</f>
        <v>0</v>
      </c>
      <c r="BB25">
        <f>SUMIF(RecoveredRaw!$B:$B,$A25,RecoveredRaw!BE:BE)</f>
        <v>8</v>
      </c>
      <c r="BC25">
        <f>SUMIF(RecoveredRaw!$B:$B,$A25,RecoveredRaw!BF:BF)</f>
        <v>8</v>
      </c>
      <c r="BD25">
        <f>SUMIF(RecoveredRaw!$B:$B,$A25,RecoveredRaw!BG:BG)</f>
        <v>8</v>
      </c>
      <c r="BE25">
        <f>SUMIF(RecoveredRaw!$B:$B,$A25,RecoveredRaw!BH:BH)</f>
        <v>8</v>
      </c>
      <c r="BF25">
        <f>SUMIF(RecoveredRaw!$B:$B,$A25,RecoveredRaw!BI:BI)</f>
        <v>8</v>
      </c>
      <c r="BG25">
        <f>SUMIF(RecoveredRaw!$B:$B,$A25,RecoveredRaw!BJ:BJ)</f>
        <v>0</v>
      </c>
      <c r="BH25">
        <f>SUMIF(RecoveredRaw!$B:$B,$A25,RecoveredRaw!BK:BK)</f>
        <v>0</v>
      </c>
      <c r="BI25">
        <f>SUMIF(RecoveredRaw!$B:$B,$A25,RecoveredRaw!BL:BL)</f>
        <v>0</v>
      </c>
      <c r="BJ25">
        <f>SUMIF(RecoveredRaw!$B:$B,$A25,RecoveredRaw!BM:BM)</f>
        <v>0</v>
      </c>
      <c r="BK25">
        <f>SUMIF(RecoveredRaw!$B:$B,$A25,RecoveredRaw!BN:BN)</f>
        <v>0</v>
      </c>
      <c r="BL25">
        <f>SUMIF(RecoveredRaw!$B:$B,$A25,RecoveredRaw!BO:BO)</f>
        <v>0</v>
      </c>
      <c r="BM25">
        <f>SUMIF(RecoveredRaw!$B:$B,$A25,RecoveredRaw!BP:BP)</f>
        <v>0</v>
      </c>
      <c r="BN25">
        <f>SUMIF(RecoveredRaw!$B:$B,$A25,RecoveredRaw!BQ:BQ)</f>
        <v>0</v>
      </c>
      <c r="BO25">
        <f>SUMIF(RecoveredRaw!$B:$B,$A25,RecoveredRaw!BR:BR)</f>
        <v>0</v>
      </c>
      <c r="BP25">
        <f>SUMIF(RecoveredRaw!$B:$B,$A25,RecoveredRaw!BS:BS)</f>
        <v>0</v>
      </c>
      <c r="BQ25">
        <f>SUMIF(RecoveredRaw!$B:$B,$A25,RecoveredRaw!BT:BT)</f>
        <v>0</v>
      </c>
      <c r="BR25">
        <f>SUMIF(RecoveredRaw!$B:$B,$A25,RecoveredRaw!BU:BU)</f>
        <v>0</v>
      </c>
      <c r="BS25">
        <f>SUMIF(RecoveredRaw!$B:$B,$A25,RecoveredRaw!BV:BV)</f>
        <v>0</v>
      </c>
      <c r="BT25">
        <f>SUMIF(RecoveredRaw!$B:$B,$A25,RecoveredRaw!BW:BW)</f>
        <v>0</v>
      </c>
    </row>
    <row r="26" spans="1:72" ht="15" thickBot="1" x14ac:dyDescent="0.35">
      <c r="A26" s="4" t="s">
        <v>73</v>
      </c>
      <c r="B26">
        <f>SUMIF(RecoveredRaw!$B:$B,$A26,RecoveredRaw!E:E)</f>
        <v>0</v>
      </c>
      <c r="C26">
        <f>SUMIF(RecoveredRaw!$B:$B,$A26,RecoveredRaw!F:F)</f>
        <v>0</v>
      </c>
      <c r="D26">
        <f>SUMIF(RecoveredRaw!$B:$B,$A26,RecoveredRaw!G:G)</f>
        <v>0</v>
      </c>
      <c r="E26">
        <f>SUMIF(RecoveredRaw!$B:$B,$A26,RecoveredRaw!H:H)</f>
        <v>0</v>
      </c>
      <c r="F26">
        <f>SUMIF(RecoveredRaw!$B:$B,$A26,RecoveredRaw!I:I)</f>
        <v>0</v>
      </c>
      <c r="G26">
        <f>SUMIF(RecoveredRaw!$B:$B,$A26,RecoveredRaw!J:J)</f>
        <v>0</v>
      </c>
      <c r="H26">
        <f>SUMIF(RecoveredRaw!$B:$B,$A26,RecoveredRaw!K:K)</f>
        <v>0</v>
      </c>
      <c r="I26">
        <f>SUMIF(RecoveredRaw!$B:$B,$A26,RecoveredRaw!L:L)</f>
        <v>0</v>
      </c>
      <c r="J26">
        <f>SUMIF(RecoveredRaw!$B:$B,$A26,RecoveredRaw!M:M)</f>
        <v>0</v>
      </c>
      <c r="K26">
        <f>SUMIF(RecoveredRaw!$B:$B,$A26,RecoveredRaw!N:N)</f>
        <v>0</v>
      </c>
      <c r="L26">
        <f>SUMIF(RecoveredRaw!$B:$B,$A26,RecoveredRaw!O:O)</f>
        <v>0</v>
      </c>
      <c r="M26">
        <f>SUMIF(RecoveredRaw!$B:$B,$A26,RecoveredRaw!P:P)</f>
        <v>0</v>
      </c>
      <c r="N26">
        <f>SUMIF(RecoveredRaw!$B:$B,$A26,RecoveredRaw!Q:Q)</f>
        <v>0</v>
      </c>
      <c r="O26">
        <f>SUMIF(RecoveredRaw!$B:$B,$A26,RecoveredRaw!R:R)</f>
        <v>0</v>
      </c>
      <c r="P26">
        <f>SUMIF(RecoveredRaw!$B:$B,$A26,RecoveredRaw!S:S)</f>
        <v>0</v>
      </c>
      <c r="Q26">
        <f>SUMIF(RecoveredRaw!$B:$B,$A26,RecoveredRaw!T:T)</f>
        <v>0</v>
      </c>
      <c r="R26">
        <f>SUMIF(RecoveredRaw!$B:$B,$A26,RecoveredRaw!U:U)</f>
        <v>0</v>
      </c>
      <c r="S26">
        <f>SUMIF(RecoveredRaw!$B:$B,$A26,RecoveredRaw!V:V)</f>
        <v>0</v>
      </c>
      <c r="T26">
        <f>SUMIF(RecoveredRaw!$B:$B,$A26,RecoveredRaw!W:W)</f>
        <v>0</v>
      </c>
      <c r="U26">
        <f>SUMIF(RecoveredRaw!$B:$B,$A26,RecoveredRaw!X:X)</f>
        <v>0</v>
      </c>
      <c r="V26">
        <f>SUMIF(RecoveredRaw!$B:$B,$A26,RecoveredRaw!Y:Y)</f>
        <v>0</v>
      </c>
      <c r="W26">
        <f>SUMIF(RecoveredRaw!$B:$B,$A26,RecoveredRaw!Z:Z)</f>
        <v>0</v>
      </c>
      <c r="X26">
        <f>SUMIF(RecoveredRaw!$B:$B,$A26,RecoveredRaw!AA:AA)</f>
        <v>0</v>
      </c>
      <c r="Y26">
        <f>SUMIF(RecoveredRaw!$B:$B,$A26,RecoveredRaw!AB:AB)</f>
        <v>0</v>
      </c>
      <c r="Z26">
        <f>SUMIF(RecoveredRaw!$B:$B,$A26,RecoveredRaw!AC:AC)</f>
        <v>0</v>
      </c>
      <c r="AA26">
        <f>SUMIF(RecoveredRaw!$B:$B,$A26,RecoveredRaw!AD:AD)</f>
        <v>0</v>
      </c>
      <c r="AB26">
        <f>SUMIF(RecoveredRaw!$B:$B,$A26,RecoveredRaw!AE:AE)</f>
        <v>0</v>
      </c>
      <c r="AC26">
        <f>SUMIF(RecoveredRaw!$B:$B,$A26,RecoveredRaw!AF:AF)</f>
        <v>0</v>
      </c>
      <c r="AD26">
        <f>SUMIF(RecoveredRaw!$B:$B,$A26,RecoveredRaw!AG:AG)</f>
        <v>0</v>
      </c>
      <c r="AE26">
        <f>SUMIF(RecoveredRaw!$B:$B,$A26,RecoveredRaw!AH:AH)</f>
        <v>0</v>
      </c>
      <c r="AF26">
        <f>SUMIF(RecoveredRaw!$B:$B,$A26,RecoveredRaw!AI:AI)</f>
        <v>0</v>
      </c>
      <c r="AG26">
        <f>SUMIF(RecoveredRaw!$B:$B,$A26,RecoveredRaw!AJ:AJ)</f>
        <v>0</v>
      </c>
      <c r="AH26">
        <f>SUMIF(RecoveredRaw!$B:$B,$A26,RecoveredRaw!AK:AK)</f>
        <v>0</v>
      </c>
      <c r="AI26">
        <f>SUMIF(RecoveredRaw!$B:$B,$A26,RecoveredRaw!AL:AL)</f>
        <v>0</v>
      </c>
      <c r="AJ26">
        <f>SUMIF(RecoveredRaw!$B:$B,$A26,RecoveredRaw!AM:AM)</f>
        <v>0</v>
      </c>
      <c r="AK26">
        <f>SUMIF(RecoveredRaw!$B:$B,$A26,RecoveredRaw!AN:AN)</f>
        <v>0</v>
      </c>
      <c r="AL26">
        <f>SUMIF(RecoveredRaw!$B:$B,$A26,RecoveredRaw!AO:AO)</f>
        <v>0</v>
      </c>
      <c r="AM26">
        <f>SUMIF(RecoveredRaw!$B:$B,$A26,RecoveredRaw!AP:AP)</f>
        <v>0</v>
      </c>
      <c r="AN26">
        <f>SUMIF(RecoveredRaw!$B:$B,$A26,RecoveredRaw!AQ:AQ)</f>
        <v>0</v>
      </c>
      <c r="AO26">
        <f>SUMIF(RecoveredRaw!$B:$B,$A26,RecoveredRaw!AR:AR)</f>
        <v>0</v>
      </c>
      <c r="AP26">
        <f>SUMIF(RecoveredRaw!$B:$B,$A26,RecoveredRaw!AS:AS)</f>
        <v>0</v>
      </c>
      <c r="AQ26">
        <f>SUMIF(RecoveredRaw!$B:$B,$A26,RecoveredRaw!AT:AT)</f>
        <v>0</v>
      </c>
      <c r="AR26">
        <f>SUMIF(RecoveredRaw!$B:$B,$A26,RecoveredRaw!AU:AU)</f>
        <v>0</v>
      </c>
      <c r="AS26">
        <f>SUMIF(RecoveredRaw!$B:$B,$A26,RecoveredRaw!AV:AV)</f>
        <v>0</v>
      </c>
      <c r="AT26">
        <f>SUMIF(RecoveredRaw!$B:$B,$A26,RecoveredRaw!AW:AW)</f>
        <v>4</v>
      </c>
      <c r="AU26">
        <f>SUMIF(RecoveredRaw!$B:$B,$A26,RecoveredRaw!AX:AX)</f>
        <v>4</v>
      </c>
      <c r="AV26">
        <f>SUMIF(RecoveredRaw!$B:$B,$A26,RecoveredRaw!AY:AY)</f>
        <v>4</v>
      </c>
      <c r="AW26">
        <f>SUMIF(RecoveredRaw!$B:$B,$A26,RecoveredRaw!AZ:AZ)</f>
        <v>14</v>
      </c>
      <c r="AX26">
        <f>SUMIF(RecoveredRaw!$B:$B,$A26,RecoveredRaw!BA:BA)</f>
        <v>22</v>
      </c>
      <c r="AY26">
        <f>SUMIF(RecoveredRaw!$B:$B,$A26,RecoveredRaw!BB:BB)</f>
        <v>35</v>
      </c>
      <c r="AZ26">
        <f>SUMIF(RecoveredRaw!$B:$B,$A26,RecoveredRaw!BC:BC)</f>
        <v>35</v>
      </c>
      <c r="BA26">
        <f>SUMIF(RecoveredRaw!$B:$B,$A26,RecoveredRaw!BD:BD)</f>
        <v>44</v>
      </c>
      <c r="BB26">
        <f>SUMIF(RecoveredRaw!$B:$B,$A26,RecoveredRaw!BE:BE)</f>
        <v>44</v>
      </c>
      <c r="BC26">
        <f>SUMIF(RecoveredRaw!$B:$B,$A26,RecoveredRaw!BF:BF)</f>
        <v>60</v>
      </c>
      <c r="BD26">
        <f>SUMIF(RecoveredRaw!$B:$B,$A26,RecoveredRaw!BG:BG)</f>
        <v>77</v>
      </c>
      <c r="BE26">
        <f>SUMIF(RecoveredRaw!$B:$B,$A26,RecoveredRaw!BH:BH)</f>
        <v>81</v>
      </c>
      <c r="BF26">
        <f>SUMIF(RecoveredRaw!$B:$B,$A26,RecoveredRaw!BI:BI)</f>
        <v>88</v>
      </c>
      <c r="BG26">
        <f>SUMIF(RecoveredRaw!$B:$B,$A26,RecoveredRaw!BJ:BJ)</f>
        <v>0</v>
      </c>
      <c r="BH26">
        <f>SUMIF(RecoveredRaw!$B:$B,$A26,RecoveredRaw!BK:BK)</f>
        <v>0</v>
      </c>
      <c r="BI26">
        <f>SUMIF(RecoveredRaw!$B:$B,$A26,RecoveredRaw!BL:BL)</f>
        <v>0</v>
      </c>
      <c r="BJ26">
        <f>SUMIF(RecoveredRaw!$B:$B,$A26,RecoveredRaw!BM:BM)</f>
        <v>0</v>
      </c>
      <c r="BK26">
        <f>SUMIF(RecoveredRaw!$B:$B,$A26,RecoveredRaw!BN:BN)</f>
        <v>0</v>
      </c>
      <c r="BL26">
        <f>SUMIF(RecoveredRaw!$B:$B,$A26,RecoveredRaw!BO:BO)</f>
        <v>0</v>
      </c>
      <c r="BM26">
        <f>SUMIF(RecoveredRaw!$B:$B,$A26,RecoveredRaw!BP:BP)</f>
        <v>0</v>
      </c>
      <c r="BN26">
        <f>SUMIF(RecoveredRaw!$B:$B,$A26,RecoveredRaw!BQ:BQ)</f>
        <v>0</v>
      </c>
      <c r="BO26">
        <f>SUMIF(RecoveredRaw!$B:$B,$A26,RecoveredRaw!BR:BR)</f>
        <v>0</v>
      </c>
      <c r="BP26">
        <f>SUMIF(RecoveredRaw!$B:$B,$A26,RecoveredRaw!BS:BS)</f>
        <v>0</v>
      </c>
      <c r="BQ26">
        <f>SUMIF(RecoveredRaw!$B:$B,$A26,RecoveredRaw!BT:BT)</f>
        <v>0</v>
      </c>
      <c r="BR26">
        <f>SUMIF(RecoveredRaw!$B:$B,$A26,RecoveredRaw!BU:BU)</f>
        <v>0</v>
      </c>
      <c r="BS26">
        <f>SUMIF(RecoveredRaw!$B:$B,$A26,RecoveredRaw!BV:BV)</f>
        <v>0</v>
      </c>
      <c r="BT26">
        <f>SUMIF(RecoveredRaw!$B:$B,$A26,RecoveredRaw!BW:BW)</f>
        <v>0</v>
      </c>
    </row>
    <row r="27" spans="1:72" ht="15" thickBot="1" x14ac:dyDescent="0.35">
      <c r="A27" s="4" t="s">
        <v>79</v>
      </c>
      <c r="B27">
        <f>SUMIF(RecoveredRaw!$B:$B,$A27,RecoveredRaw!E:E)</f>
        <v>0</v>
      </c>
      <c r="C27">
        <f>SUMIF(RecoveredRaw!$B:$B,$A27,RecoveredRaw!F:F)</f>
        <v>0</v>
      </c>
      <c r="D27">
        <f>SUMIF(RecoveredRaw!$B:$B,$A27,RecoveredRaw!G:G)</f>
        <v>0</v>
      </c>
      <c r="E27">
        <f>SUMIF(RecoveredRaw!$B:$B,$A27,RecoveredRaw!H:H)</f>
        <v>0</v>
      </c>
      <c r="F27">
        <f>SUMIF(RecoveredRaw!$B:$B,$A27,RecoveredRaw!I:I)</f>
        <v>0</v>
      </c>
      <c r="G27">
        <f>SUMIF(RecoveredRaw!$B:$B,$A27,RecoveredRaw!J:J)</f>
        <v>0</v>
      </c>
      <c r="H27">
        <f>SUMIF(RecoveredRaw!$B:$B,$A27,RecoveredRaw!K:K)</f>
        <v>0</v>
      </c>
      <c r="I27">
        <f>SUMIF(RecoveredRaw!$B:$B,$A27,RecoveredRaw!L:L)</f>
        <v>0</v>
      </c>
      <c r="J27">
        <f>SUMIF(RecoveredRaw!$B:$B,$A27,RecoveredRaw!M:M)</f>
        <v>0</v>
      </c>
      <c r="K27">
        <f>SUMIF(RecoveredRaw!$B:$B,$A27,RecoveredRaw!N:N)</f>
        <v>0</v>
      </c>
      <c r="L27">
        <f>SUMIF(RecoveredRaw!$B:$B,$A27,RecoveredRaw!O:O)</f>
        <v>0</v>
      </c>
      <c r="M27">
        <f>SUMIF(RecoveredRaw!$B:$B,$A27,RecoveredRaw!P:P)</f>
        <v>0</v>
      </c>
      <c r="N27">
        <f>SUMIF(RecoveredRaw!$B:$B,$A27,RecoveredRaw!Q:Q)</f>
        <v>0</v>
      </c>
      <c r="O27">
        <f>SUMIF(RecoveredRaw!$B:$B,$A27,RecoveredRaw!R:R)</f>
        <v>0</v>
      </c>
      <c r="P27">
        <f>SUMIF(RecoveredRaw!$B:$B,$A27,RecoveredRaw!S:S)</f>
        <v>0</v>
      </c>
      <c r="Q27">
        <f>SUMIF(RecoveredRaw!$B:$B,$A27,RecoveredRaw!T:T)</f>
        <v>0</v>
      </c>
      <c r="R27">
        <f>SUMIF(RecoveredRaw!$B:$B,$A27,RecoveredRaw!U:U)</f>
        <v>0</v>
      </c>
      <c r="S27">
        <f>SUMIF(RecoveredRaw!$B:$B,$A27,RecoveredRaw!V:V)</f>
        <v>0</v>
      </c>
      <c r="T27">
        <f>SUMIF(RecoveredRaw!$B:$B,$A27,RecoveredRaw!W:W)</f>
        <v>0</v>
      </c>
      <c r="U27">
        <f>SUMIF(RecoveredRaw!$B:$B,$A27,RecoveredRaw!X:X)</f>
        <v>0</v>
      </c>
      <c r="V27">
        <f>SUMIF(RecoveredRaw!$B:$B,$A27,RecoveredRaw!Y:Y)</f>
        <v>0</v>
      </c>
      <c r="W27">
        <f>SUMIF(RecoveredRaw!$B:$B,$A27,RecoveredRaw!Z:Z)</f>
        <v>0</v>
      </c>
      <c r="X27">
        <f>SUMIF(RecoveredRaw!$B:$B,$A27,RecoveredRaw!AA:AA)</f>
        <v>0</v>
      </c>
      <c r="Y27">
        <f>SUMIF(RecoveredRaw!$B:$B,$A27,RecoveredRaw!AB:AB)</f>
        <v>0</v>
      </c>
      <c r="Z27">
        <f>SUMIF(RecoveredRaw!$B:$B,$A27,RecoveredRaw!AC:AC)</f>
        <v>0</v>
      </c>
      <c r="AA27">
        <f>SUMIF(RecoveredRaw!$B:$B,$A27,RecoveredRaw!AD:AD)</f>
        <v>0</v>
      </c>
      <c r="AB27">
        <f>SUMIF(RecoveredRaw!$B:$B,$A27,RecoveredRaw!AE:AE)</f>
        <v>0</v>
      </c>
      <c r="AC27">
        <f>SUMIF(RecoveredRaw!$B:$B,$A27,RecoveredRaw!AF:AF)</f>
        <v>0</v>
      </c>
      <c r="AD27">
        <f>SUMIF(RecoveredRaw!$B:$B,$A27,RecoveredRaw!AG:AG)</f>
        <v>0</v>
      </c>
      <c r="AE27">
        <f>SUMIF(RecoveredRaw!$B:$B,$A27,RecoveredRaw!AH:AH)</f>
        <v>0</v>
      </c>
      <c r="AF27">
        <f>SUMIF(RecoveredRaw!$B:$B,$A27,RecoveredRaw!AI:AI)</f>
        <v>0</v>
      </c>
      <c r="AG27">
        <f>SUMIF(RecoveredRaw!$B:$B,$A27,RecoveredRaw!AJ:AJ)</f>
        <v>0</v>
      </c>
      <c r="AH27">
        <f>SUMIF(RecoveredRaw!$B:$B,$A27,RecoveredRaw!AK:AK)</f>
        <v>0</v>
      </c>
      <c r="AI27">
        <f>SUMIF(RecoveredRaw!$B:$B,$A27,RecoveredRaw!AL:AL)</f>
        <v>0</v>
      </c>
      <c r="AJ27">
        <f>SUMIF(RecoveredRaw!$B:$B,$A27,RecoveredRaw!AM:AM)</f>
        <v>0</v>
      </c>
      <c r="AK27">
        <f>SUMIF(RecoveredRaw!$B:$B,$A27,RecoveredRaw!AN:AN)</f>
        <v>0</v>
      </c>
      <c r="AL27">
        <f>SUMIF(RecoveredRaw!$B:$B,$A27,RecoveredRaw!AO:AO)</f>
        <v>1</v>
      </c>
      <c r="AM27">
        <f>SUMIF(RecoveredRaw!$B:$B,$A27,RecoveredRaw!AP:AP)</f>
        <v>1</v>
      </c>
      <c r="AN27">
        <f>SUMIF(RecoveredRaw!$B:$B,$A27,RecoveredRaw!AQ:AQ)</f>
        <v>1</v>
      </c>
      <c r="AO27">
        <f>SUMIF(RecoveredRaw!$B:$B,$A27,RecoveredRaw!AR:AR)</f>
        <v>1</v>
      </c>
      <c r="AP27">
        <f>SUMIF(RecoveredRaw!$B:$B,$A27,RecoveredRaw!AS:AS)</f>
        <v>1</v>
      </c>
      <c r="AQ27">
        <f>SUMIF(RecoveredRaw!$B:$B,$A27,RecoveredRaw!AT:AT)</f>
        <v>1</v>
      </c>
      <c r="AR27">
        <f>SUMIF(RecoveredRaw!$B:$B,$A27,RecoveredRaw!AU:AU)</f>
        <v>1</v>
      </c>
      <c r="AS27">
        <f>SUMIF(RecoveredRaw!$B:$B,$A27,RecoveredRaw!AV:AV)</f>
        <v>1</v>
      </c>
      <c r="AT27">
        <f>SUMIF(RecoveredRaw!$B:$B,$A27,RecoveredRaw!AW:AW)</f>
        <v>2</v>
      </c>
      <c r="AU27">
        <f>SUMIF(RecoveredRaw!$B:$B,$A27,RecoveredRaw!AX:AX)</f>
        <v>2</v>
      </c>
      <c r="AV27">
        <f>SUMIF(RecoveredRaw!$B:$B,$A27,RecoveredRaw!AY:AY)</f>
        <v>2</v>
      </c>
      <c r="AW27">
        <f>SUMIF(RecoveredRaw!$B:$B,$A27,RecoveredRaw!AZ:AZ)</f>
        <v>2</v>
      </c>
      <c r="AX27">
        <f>SUMIF(RecoveredRaw!$B:$B,$A27,RecoveredRaw!BA:BA)</f>
        <v>4</v>
      </c>
      <c r="AY27">
        <f>SUMIF(RecoveredRaw!$B:$B,$A27,RecoveredRaw!BB:BB)</f>
        <v>4</v>
      </c>
      <c r="AZ27">
        <f>SUMIF(RecoveredRaw!$B:$B,$A27,RecoveredRaw!BC:BC)</f>
        <v>4</v>
      </c>
      <c r="BA27">
        <f>SUMIF(RecoveredRaw!$B:$B,$A27,RecoveredRaw!BD:BD)</f>
        <v>4</v>
      </c>
      <c r="BB27">
        <f>SUMIF(RecoveredRaw!$B:$B,$A27,RecoveredRaw!BE:BE)</f>
        <v>4</v>
      </c>
      <c r="BC27">
        <f>SUMIF(RecoveredRaw!$B:$B,$A27,RecoveredRaw!BF:BF)</f>
        <v>4</v>
      </c>
      <c r="BD27">
        <f>SUMIF(RecoveredRaw!$B:$B,$A27,RecoveredRaw!BG:BG)</f>
        <v>4</v>
      </c>
      <c r="BE27">
        <f>SUMIF(RecoveredRaw!$B:$B,$A27,RecoveredRaw!BH:BH)</f>
        <v>11</v>
      </c>
      <c r="BF27">
        <f>SUMIF(RecoveredRaw!$B:$B,$A27,RecoveredRaw!BI:BI)</f>
        <v>11</v>
      </c>
      <c r="BG27">
        <f>SUMIF(RecoveredRaw!$B:$B,$A27,RecoveredRaw!BJ:BJ)</f>
        <v>0</v>
      </c>
      <c r="BH27">
        <f>SUMIF(RecoveredRaw!$B:$B,$A27,RecoveredRaw!BK:BK)</f>
        <v>0</v>
      </c>
      <c r="BI27">
        <f>SUMIF(RecoveredRaw!$B:$B,$A27,RecoveredRaw!BL:BL)</f>
        <v>0</v>
      </c>
      <c r="BJ27">
        <f>SUMIF(RecoveredRaw!$B:$B,$A27,RecoveredRaw!BM:BM)</f>
        <v>0</v>
      </c>
      <c r="BK27">
        <f>SUMIF(RecoveredRaw!$B:$B,$A27,RecoveredRaw!BN:BN)</f>
        <v>0</v>
      </c>
      <c r="BL27">
        <f>SUMIF(RecoveredRaw!$B:$B,$A27,RecoveredRaw!BO:BO)</f>
        <v>0</v>
      </c>
      <c r="BM27">
        <f>SUMIF(RecoveredRaw!$B:$B,$A27,RecoveredRaw!BP:BP)</f>
        <v>0</v>
      </c>
      <c r="BN27">
        <f>SUMIF(RecoveredRaw!$B:$B,$A27,RecoveredRaw!BQ:BQ)</f>
        <v>0</v>
      </c>
      <c r="BO27">
        <f>SUMIF(RecoveredRaw!$B:$B,$A27,RecoveredRaw!BR:BR)</f>
        <v>0</v>
      </c>
      <c r="BP27">
        <f>SUMIF(RecoveredRaw!$B:$B,$A27,RecoveredRaw!BS:BS)</f>
        <v>0</v>
      </c>
      <c r="BQ27">
        <f>SUMIF(RecoveredRaw!$B:$B,$A27,RecoveredRaw!BT:BT)</f>
        <v>0</v>
      </c>
      <c r="BR27">
        <f>SUMIF(RecoveredRaw!$B:$B,$A27,RecoveredRaw!BU:BU)</f>
        <v>0</v>
      </c>
      <c r="BS27">
        <f>SUMIF(RecoveredRaw!$B:$B,$A27,RecoveredRaw!BV:BV)</f>
        <v>0</v>
      </c>
      <c r="BT27">
        <f>SUMIF(RecoveredRaw!$B:$B,$A27,RecoveredRaw!BW:BW)</f>
        <v>0</v>
      </c>
    </row>
    <row r="28" spans="1:72" ht="15" thickBot="1" x14ac:dyDescent="0.35">
      <c r="A28" s="3" t="s">
        <v>54</v>
      </c>
      <c r="B28">
        <f>SUMIF(RecoveredRaw!$B:$B,$A28,RecoveredRaw!E:E)</f>
        <v>0</v>
      </c>
      <c r="C28">
        <f>SUMIF(RecoveredRaw!$B:$B,$A28,RecoveredRaw!F:F)</f>
        <v>0</v>
      </c>
      <c r="D28">
        <f>SUMIF(RecoveredRaw!$B:$B,$A28,RecoveredRaw!G:G)</f>
        <v>0</v>
      </c>
      <c r="E28">
        <f>SUMIF(RecoveredRaw!$B:$B,$A28,RecoveredRaw!H:H)</f>
        <v>0</v>
      </c>
      <c r="F28">
        <f>SUMIF(RecoveredRaw!$B:$B,$A28,RecoveredRaw!I:I)</f>
        <v>0</v>
      </c>
      <c r="G28">
        <f>SUMIF(RecoveredRaw!$B:$B,$A28,RecoveredRaw!J:J)</f>
        <v>0</v>
      </c>
      <c r="H28">
        <f>SUMIF(RecoveredRaw!$B:$B,$A28,RecoveredRaw!K:K)</f>
        <v>0</v>
      </c>
      <c r="I28">
        <f>SUMIF(RecoveredRaw!$B:$B,$A28,RecoveredRaw!L:L)</f>
        <v>0</v>
      </c>
      <c r="J28">
        <f>SUMIF(RecoveredRaw!$B:$B,$A28,RecoveredRaw!M:M)</f>
        <v>0</v>
      </c>
      <c r="K28">
        <f>SUMIF(RecoveredRaw!$B:$B,$A28,RecoveredRaw!N:N)</f>
        <v>0</v>
      </c>
      <c r="L28">
        <f>SUMIF(RecoveredRaw!$B:$B,$A28,RecoveredRaw!O:O)</f>
        <v>0</v>
      </c>
      <c r="M28">
        <f>SUMIF(RecoveredRaw!$B:$B,$A28,RecoveredRaw!P:P)</f>
        <v>0</v>
      </c>
      <c r="N28">
        <f>SUMIF(RecoveredRaw!$B:$B,$A28,RecoveredRaw!Q:Q)</f>
        <v>0</v>
      </c>
      <c r="O28">
        <f>SUMIF(RecoveredRaw!$B:$B,$A28,RecoveredRaw!R:R)</f>
        <v>0</v>
      </c>
      <c r="P28">
        <f>SUMIF(RecoveredRaw!$B:$B,$A28,RecoveredRaw!S:S)</f>
        <v>0</v>
      </c>
      <c r="Q28">
        <f>SUMIF(RecoveredRaw!$B:$B,$A28,RecoveredRaw!T:T)</f>
        <v>0</v>
      </c>
      <c r="R28">
        <f>SUMIF(RecoveredRaw!$B:$B,$A28,RecoveredRaw!U:U)</f>
        <v>0</v>
      </c>
      <c r="S28">
        <f>SUMIF(RecoveredRaw!$B:$B,$A28,RecoveredRaw!V:V)</f>
        <v>0</v>
      </c>
      <c r="T28">
        <f>SUMIF(RecoveredRaw!$B:$B,$A28,RecoveredRaw!W:W)</f>
        <v>0</v>
      </c>
      <c r="U28">
        <f>SUMIF(RecoveredRaw!$B:$B,$A28,RecoveredRaw!X:X)</f>
        <v>0</v>
      </c>
      <c r="V28">
        <f>SUMIF(RecoveredRaw!$B:$B,$A28,RecoveredRaw!Y:Y)</f>
        <v>0</v>
      </c>
      <c r="W28">
        <f>SUMIF(RecoveredRaw!$B:$B,$A28,RecoveredRaw!Z:Z)</f>
        <v>1</v>
      </c>
      <c r="X28">
        <f>SUMIF(RecoveredRaw!$B:$B,$A28,RecoveredRaw!AA:AA)</f>
        <v>1</v>
      </c>
      <c r="Y28">
        <f>SUMIF(RecoveredRaw!$B:$B,$A28,RecoveredRaw!AB:AB)</f>
        <v>1</v>
      </c>
      <c r="Z28">
        <f>SUMIF(RecoveredRaw!$B:$B,$A28,RecoveredRaw!AC:AC)</f>
        <v>1</v>
      </c>
      <c r="AA28">
        <f>SUMIF(RecoveredRaw!$B:$B,$A28,RecoveredRaw!AD:AD)</f>
        <v>1</v>
      </c>
      <c r="AB28">
        <f>SUMIF(RecoveredRaw!$B:$B,$A28,RecoveredRaw!AE:AE)</f>
        <v>1</v>
      </c>
      <c r="AC28">
        <f>SUMIF(RecoveredRaw!$B:$B,$A28,RecoveredRaw!AF:AF)</f>
        <v>1</v>
      </c>
      <c r="AD28">
        <f>SUMIF(RecoveredRaw!$B:$B,$A28,RecoveredRaw!AG:AG)</f>
        <v>1</v>
      </c>
      <c r="AE28">
        <f>SUMIF(RecoveredRaw!$B:$B,$A28,RecoveredRaw!AH:AH)</f>
        <v>1</v>
      </c>
      <c r="AF28">
        <f>SUMIF(RecoveredRaw!$B:$B,$A28,RecoveredRaw!AI:AI)</f>
        <v>1</v>
      </c>
      <c r="AG28">
        <f>SUMIF(RecoveredRaw!$B:$B,$A28,RecoveredRaw!AJ:AJ)</f>
        <v>1</v>
      </c>
      <c r="AH28">
        <f>SUMIF(RecoveredRaw!$B:$B,$A28,RecoveredRaw!AK:AK)</f>
        <v>1</v>
      </c>
      <c r="AI28">
        <f>SUMIF(RecoveredRaw!$B:$B,$A28,RecoveredRaw!AL:AL)</f>
        <v>1</v>
      </c>
      <c r="AJ28">
        <f>SUMIF(RecoveredRaw!$B:$B,$A28,RecoveredRaw!AM:AM)</f>
        <v>1</v>
      </c>
      <c r="AK28">
        <f>SUMIF(RecoveredRaw!$B:$B,$A28,RecoveredRaw!AN:AN)</f>
        <v>1</v>
      </c>
      <c r="AL28">
        <f>SUMIF(RecoveredRaw!$B:$B,$A28,RecoveredRaw!AO:AO)</f>
        <v>1</v>
      </c>
      <c r="AM28">
        <f>SUMIF(RecoveredRaw!$B:$B,$A28,RecoveredRaw!AP:AP)</f>
        <v>1</v>
      </c>
      <c r="AN28">
        <f>SUMIF(RecoveredRaw!$B:$B,$A28,RecoveredRaw!AQ:AQ)</f>
        <v>1</v>
      </c>
      <c r="AO28">
        <f>SUMIF(RecoveredRaw!$B:$B,$A28,RecoveredRaw!AR:AR)</f>
        <v>1</v>
      </c>
      <c r="AP28">
        <f>SUMIF(RecoveredRaw!$B:$B,$A28,RecoveredRaw!AS:AS)</f>
        <v>1</v>
      </c>
      <c r="AQ28">
        <f>SUMIF(RecoveredRaw!$B:$B,$A28,RecoveredRaw!AT:AT)</f>
        <v>1</v>
      </c>
      <c r="AR28">
        <f>SUMIF(RecoveredRaw!$B:$B,$A28,RecoveredRaw!AU:AU)</f>
        <v>1</v>
      </c>
      <c r="AS28">
        <f>SUMIF(RecoveredRaw!$B:$B,$A28,RecoveredRaw!AV:AV)</f>
        <v>1</v>
      </c>
      <c r="AT28">
        <f>SUMIF(RecoveredRaw!$B:$B,$A28,RecoveredRaw!AW:AW)</f>
        <v>1</v>
      </c>
      <c r="AU28">
        <f>SUMIF(RecoveredRaw!$B:$B,$A28,RecoveredRaw!AX:AX)</f>
        <v>1</v>
      </c>
      <c r="AV28">
        <f>SUMIF(RecoveredRaw!$B:$B,$A28,RecoveredRaw!AY:AY)</f>
        <v>1</v>
      </c>
      <c r="AW28">
        <f>SUMIF(RecoveredRaw!$B:$B,$A28,RecoveredRaw!AZ:AZ)</f>
        <v>1</v>
      </c>
      <c r="AX28">
        <f>SUMIF(RecoveredRaw!$B:$B,$A28,RecoveredRaw!BA:BA)</f>
        <v>1</v>
      </c>
      <c r="AY28">
        <f>SUMIF(RecoveredRaw!$B:$B,$A28,RecoveredRaw!BB:BB)</f>
        <v>1</v>
      </c>
      <c r="AZ28">
        <f>SUMIF(RecoveredRaw!$B:$B,$A28,RecoveredRaw!BC:BC)</f>
        <v>1</v>
      </c>
      <c r="BA28">
        <f>SUMIF(RecoveredRaw!$B:$B,$A28,RecoveredRaw!BD:BD)</f>
        <v>1</v>
      </c>
      <c r="BB28">
        <f>SUMIF(RecoveredRaw!$B:$B,$A28,RecoveredRaw!BE:BE)</f>
        <v>1</v>
      </c>
      <c r="BC28">
        <f>SUMIF(RecoveredRaw!$B:$B,$A28,RecoveredRaw!BF:BF)</f>
        <v>10</v>
      </c>
      <c r="BD28">
        <f>SUMIF(RecoveredRaw!$B:$B,$A28,RecoveredRaw!BG:BG)</f>
        <v>10</v>
      </c>
      <c r="BE28">
        <f>SUMIF(RecoveredRaw!$B:$B,$A28,RecoveredRaw!BH:BH)</f>
        <v>10</v>
      </c>
      <c r="BF28">
        <f>SUMIF(RecoveredRaw!$B:$B,$A28,RecoveredRaw!BI:BI)</f>
        <v>10</v>
      </c>
      <c r="BG28">
        <f>SUMIF(RecoveredRaw!$B:$B,$A28,RecoveredRaw!BJ:BJ)</f>
        <v>0</v>
      </c>
      <c r="BH28">
        <f>SUMIF(RecoveredRaw!$B:$B,$A28,RecoveredRaw!BK:BK)</f>
        <v>0</v>
      </c>
      <c r="BI28">
        <f>SUMIF(RecoveredRaw!$B:$B,$A28,RecoveredRaw!BL:BL)</f>
        <v>0</v>
      </c>
      <c r="BJ28">
        <f>SUMIF(RecoveredRaw!$B:$B,$A28,RecoveredRaw!BM:BM)</f>
        <v>0</v>
      </c>
      <c r="BK28">
        <f>SUMIF(RecoveredRaw!$B:$B,$A28,RecoveredRaw!BN:BN)</f>
        <v>0</v>
      </c>
      <c r="BL28">
        <f>SUMIF(RecoveredRaw!$B:$B,$A28,RecoveredRaw!BO:BO)</f>
        <v>0</v>
      </c>
      <c r="BM28">
        <f>SUMIF(RecoveredRaw!$B:$B,$A28,RecoveredRaw!BP:BP)</f>
        <v>0</v>
      </c>
      <c r="BN28">
        <f>SUMIF(RecoveredRaw!$B:$B,$A28,RecoveredRaw!BQ:BQ)</f>
        <v>0</v>
      </c>
      <c r="BO28">
        <f>SUMIF(RecoveredRaw!$B:$B,$A28,RecoveredRaw!BR:BR)</f>
        <v>0</v>
      </c>
      <c r="BP28">
        <f>SUMIF(RecoveredRaw!$B:$B,$A28,RecoveredRaw!BS:BS)</f>
        <v>0</v>
      </c>
      <c r="BQ28">
        <f>SUMIF(RecoveredRaw!$B:$B,$A28,RecoveredRaw!BT:BT)</f>
        <v>0</v>
      </c>
      <c r="BR28">
        <f>SUMIF(RecoveredRaw!$B:$B,$A28,RecoveredRaw!BU:BU)</f>
        <v>0</v>
      </c>
      <c r="BS28">
        <f>SUMIF(RecoveredRaw!$B:$B,$A28,RecoveredRaw!BV:BV)</f>
        <v>0</v>
      </c>
      <c r="BT28">
        <f>SUMIF(RecoveredRaw!$B:$B,$A28,RecoveredRaw!BW:BW)</f>
        <v>0</v>
      </c>
    </row>
    <row r="29" spans="1:72" ht="15" thickBot="1" x14ac:dyDescent="0.35">
      <c r="A29" s="4" t="s">
        <v>81</v>
      </c>
      <c r="B29">
        <f>SUMIF(RecoveredRaw!$B:$B,$A29,RecoveredRaw!E:E)</f>
        <v>0</v>
      </c>
      <c r="C29">
        <f>SUMIF(RecoveredRaw!$B:$B,$A29,RecoveredRaw!F:F)</f>
        <v>0</v>
      </c>
      <c r="D29">
        <f>SUMIF(RecoveredRaw!$B:$B,$A29,RecoveredRaw!G:G)</f>
        <v>0</v>
      </c>
      <c r="E29">
        <f>SUMIF(RecoveredRaw!$B:$B,$A29,RecoveredRaw!H:H)</f>
        <v>0</v>
      </c>
      <c r="F29">
        <f>SUMIF(RecoveredRaw!$B:$B,$A29,RecoveredRaw!I:I)</f>
        <v>0</v>
      </c>
      <c r="G29">
        <f>SUMIF(RecoveredRaw!$B:$B,$A29,RecoveredRaw!J:J)</f>
        <v>0</v>
      </c>
      <c r="H29">
        <f>SUMIF(RecoveredRaw!$B:$B,$A29,RecoveredRaw!K:K)</f>
        <v>0</v>
      </c>
      <c r="I29">
        <f>SUMIF(RecoveredRaw!$B:$B,$A29,RecoveredRaw!L:L)</f>
        <v>0</v>
      </c>
      <c r="J29">
        <f>SUMIF(RecoveredRaw!$B:$B,$A29,RecoveredRaw!M:M)</f>
        <v>0</v>
      </c>
      <c r="K29">
        <f>SUMIF(RecoveredRaw!$B:$B,$A29,RecoveredRaw!N:N)</f>
        <v>0</v>
      </c>
      <c r="L29">
        <f>SUMIF(RecoveredRaw!$B:$B,$A29,RecoveredRaw!O:O)</f>
        <v>0</v>
      </c>
      <c r="M29">
        <f>SUMIF(RecoveredRaw!$B:$B,$A29,RecoveredRaw!P:P)</f>
        <v>0</v>
      </c>
      <c r="N29">
        <f>SUMIF(RecoveredRaw!$B:$B,$A29,RecoveredRaw!Q:Q)</f>
        <v>0</v>
      </c>
      <c r="O29">
        <f>SUMIF(RecoveredRaw!$B:$B,$A29,RecoveredRaw!R:R)</f>
        <v>0</v>
      </c>
      <c r="P29">
        <f>SUMIF(RecoveredRaw!$B:$B,$A29,RecoveredRaw!S:S)</f>
        <v>0</v>
      </c>
      <c r="Q29">
        <f>SUMIF(RecoveredRaw!$B:$B,$A29,RecoveredRaw!T:T)</f>
        <v>0</v>
      </c>
      <c r="R29">
        <f>SUMIF(RecoveredRaw!$B:$B,$A29,RecoveredRaw!U:U)</f>
        <v>0</v>
      </c>
      <c r="S29">
        <f>SUMIF(RecoveredRaw!$B:$B,$A29,RecoveredRaw!V:V)</f>
        <v>0</v>
      </c>
      <c r="T29">
        <f>SUMIF(RecoveredRaw!$B:$B,$A29,RecoveredRaw!W:W)</f>
        <v>0</v>
      </c>
      <c r="U29">
        <f>SUMIF(RecoveredRaw!$B:$B,$A29,RecoveredRaw!X:X)</f>
        <v>0</v>
      </c>
      <c r="V29">
        <f>SUMIF(RecoveredRaw!$B:$B,$A29,RecoveredRaw!Y:Y)</f>
        <v>0</v>
      </c>
      <c r="W29">
        <f>SUMIF(RecoveredRaw!$B:$B,$A29,RecoveredRaw!Z:Z)</f>
        <v>0</v>
      </c>
      <c r="X29">
        <f>SUMIF(RecoveredRaw!$B:$B,$A29,RecoveredRaw!AA:AA)</f>
        <v>0</v>
      </c>
      <c r="Y29">
        <f>SUMIF(RecoveredRaw!$B:$B,$A29,RecoveredRaw!AB:AB)</f>
        <v>0</v>
      </c>
      <c r="Z29">
        <f>SUMIF(RecoveredRaw!$B:$B,$A29,RecoveredRaw!AC:AC)</f>
        <v>0</v>
      </c>
      <c r="AA29">
        <f>SUMIF(RecoveredRaw!$B:$B,$A29,RecoveredRaw!AD:AD)</f>
        <v>0</v>
      </c>
      <c r="AB29">
        <f>SUMIF(RecoveredRaw!$B:$B,$A29,RecoveredRaw!AE:AE)</f>
        <v>0</v>
      </c>
      <c r="AC29">
        <f>SUMIF(RecoveredRaw!$B:$B,$A29,RecoveredRaw!AF:AF)</f>
        <v>0</v>
      </c>
      <c r="AD29">
        <f>SUMIF(RecoveredRaw!$B:$B,$A29,RecoveredRaw!AG:AG)</f>
        <v>0</v>
      </c>
      <c r="AE29">
        <f>SUMIF(RecoveredRaw!$B:$B,$A29,RecoveredRaw!AH:AH)</f>
        <v>0</v>
      </c>
      <c r="AF29">
        <f>SUMIF(RecoveredRaw!$B:$B,$A29,RecoveredRaw!AI:AI)</f>
        <v>0</v>
      </c>
      <c r="AG29">
        <f>SUMIF(RecoveredRaw!$B:$B,$A29,RecoveredRaw!AJ:AJ)</f>
        <v>0</v>
      </c>
      <c r="AH29">
        <f>SUMIF(RecoveredRaw!$B:$B,$A29,RecoveredRaw!AK:AK)</f>
        <v>0</v>
      </c>
      <c r="AI29">
        <f>SUMIF(RecoveredRaw!$B:$B,$A29,RecoveredRaw!AL:AL)</f>
        <v>0</v>
      </c>
      <c r="AJ29">
        <f>SUMIF(RecoveredRaw!$B:$B,$A29,RecoveredRaw!AM:AM)</f>
        <v>0</v>
      </c>
      <c r="AK29">
        <f>SUMIF(RecoveredRaw!$B:$B,$A29,RecoveredRaw!AN:AN)</f>
        <v>0</v>
      </c>
      <c r="AL29">
        <f>SUMIF(RecoveredRaw!$B:$B,$A29,RecoveredRaw!AO:AO)</f>
        <v>0</v>
      </c>
      <c r="AM29">
        <f>SUMIF(RecoveredRaw!$B:$B,$A29,RecoveredRaw!AP:AP)</f>
        <v>0</v>
      </c>
      <c r="AN29">
        <f>SUMIF(RecoveredRaw!$B:$B,$A29,RecoveredRaw!AQ:AQ)</f>
        <v>0</v>
      </c>
      <c r="AO29">
        <f>SUMIF(RecoveredRaw!$B:$B,$A29,RecoveredRaw!AR:AR)</f>
        <v>0</v>
      </c>
      <c r="AP29">
        <f>SUMIF(RecoveredRaw!$B:$B,$A29,RecoveredRaw!AS:AS)</f>
        <v>0</v>
      </c>
      <c r="AQ29">
        <f>SUMIF(RecoveredRaw!$B:$B,$A29,RecoveredRaw!AT:AT)</f>
        <v>0</v>
      </c>
      <c r="AR29">
        <f>SUMIF(RecoveredRaw!$B:$B,$A29,RecoveredRaw!AU:AU)</f>
        <v>0</v>
      </c>
      <c r="AS29">
        <f>SUMIF(RecoveredRaw!$B:$B,$A29,RecoveredRaw!AV:AV)</f>
        <v>0</v>
      </c>
      <c r="AT29">
        <f>SUMIF(RecoveredRaw!$B:$B,$A29,RecoveredRaw!AW:AW)</f>
        <v>0</v>
      </c>
      <c r="AU29">
        <f>SUMIF(RecoveredRaw!$B:$B,$A29,RecoveredRaw!AX:AX)</f>
        <v>0</v>
      </c>
      <c r="AV29">
        <f>SUMIF(RecoveredRaw!$B:$B,$A29,RecoveredRaw!AY:AY)</f>
        <v>0</v>
      </c>
      <c r="AW29">
        <f>SUMIF(RecoveredRaw!$B:$B,$A29,RecoveredRaw!AZ:AZ)</f>
        <v>0</v>
      </c>
      <c r="AX29">
        <f>SUMIF(RecoveredRaw!$B:$B,$A29,RecoveredRaw!BA:BA)</f>
        <v>0</v>
      </c>
      <c r="AY29">
        <f>SUMIF(RecoveredRaw!$B:$B,$A29,RecoveredRaw!BB:BB)</f>
        <v>0</v>
      </c>
      <c r="AZ29">
        <f>SUMIF(RecoveredRaw!$B:$B,$A29,RecoveredRaw!BC:BC)</f>
        <v>0</v>
      </c>
      <c r="BA29">
        <f>SUMIF(RecoveredRaw!$B:$B,$A29,RecoveredRaw!BD:BD)</f>
        <v>0</v>
      </c>
      <c r="BB29">
        <f>SUMIF(RecoveredRaw!$B:$B,$A29,RecoveredRaw!BE:BE)</f>
        <v>0</v>
      </c>
      <c r="BC29">
        <f>SUMIF(RecoveredRaw!$B:$B,$A29,RecoveredRaw!BF:BF)</f>
        <v>0</v>
      </c>
      <c r="BD29">
        <f>SUMIF(RecoveredRaw!$B:$B,$A29,RecoveredRaw!BG:BG)</f>
        <v>1</v>
      </c>
      <c r="BE29">
        <f>SUMIF(RecoveredRaw!$B:$B,$A29,RecoveredRaw!BH:BH)</f>
        <v>2</v>
      </c>
      <c r="BF29">
        <f>SUMIF(RecoveredRaw!$B:$B,$A29,RecoveredRaw!BI:BI)</f>
        <v>2</v>
      </c>
      <c r="BG29">
        <f>SUMIF(RecoveredRaw!$B:$B,$A29,RecoveredRaw!BJ:BJ)</f>
        <v>0</v>
      </c>
      <c r="BH29">
        <f>SUMIF(RecoveredRaw!$B:$B,$A29,RecoveredRaw!BK:BK)</f>
        <v>0</v>
      </c>
      <c r="BI29">
        <f>SUMIF(RecoveredRaw!$B:$B,$A29,RecoveredRaw!BL:BL)</f>
        <v>0</v>
      </c>
      <c r="BJ29">
        <f>SUMIF(RecoveredRaw!$B:$B,$A29,RecoveredRaw!BM:BM)</f>
        <v>0</v>
      </c>
      <c r="BK29">
        <f>SUMIF(RecoveredRaw!$B:$B,$A29,RecoveredRaw!BN:BN)</f>
        <v>0</v>
      </c>
      <c r="BL29">
        <f>SUMIF(RecoveredRaw!$B:$B,$A29,RecoveredRaw!BO:BO)</f>
        <v>0</v>
      </c>
      <c r="BM29">
        <f>SUMIF(RecoveredRaw!$B:$B,$A29,RecoveredRaw!BP:BP)</f>
        <v>0</v>
      </c>
      <c r="BN29">
        <f>SUMIF(RecoveredRaw!$B:$B,$A29,RecoveredRaw!BQ:BQ)</f>
        <v>0</v>
      </c>
      <c r="BO29">
        <f>SUMIF(RecoveredRaw!$B:$B,$A29,RecoveredRaw!BR:BR)</f>
        <v>0</v>
      </c>
      <c r="BP29">
        <f>SUMIF(RecoveredRaw!$B:$B,$A29,RecoveredRaw!BS:BS)</f>
        <v>0</v>
      </c>
      <c r="BQ29">
        <f>SUMIF(RecoveredRaw!$B:$B,$A29,RecoveredRaw!BT:BT)</f>
        <v>0</v>
      </c>
      <c r="BR29">
        <f>SUMIF(RecoveredRaw!$B:$B,$A29,RecoveredRaw!BU:BU)</f>
        <v>0</v>
      </c>
      <c r="BS29">
        <f>SUMIF(RecoveredRaw!$B:$B,$A29,RecoveredRaw!BV:BV)</f>
        <v>0</v>
      </c>
      <c r="BT29">
        <f>SUMIF(RecoveredRaw!$B:$B,$A29,RecoveredRaw!BW:BW)</f>
        <v>0</v>
      </c>
    </row>
    <row r="30" spans="1:72" ht="15" thickBot="1" x14ac:dyDescent="0.35">
      <c r="A30" s="3" t="s">
        <v>341</v>
      </c>
      <c r="B30">
        <f>SUMIF(RecoveredRaw!$B:$B,$A30,RecoveredRaw!E:E)</f>
        <v>0</v>
      </c>
      <c r="C30">
        <f>SUMIF(RecoveredRaw!$B:$B,$A30,RecoveredRaw!F:F)</f>
        <v>0</v>
      </c>
      <c r="D30">
        <f>SUMIF(RecoveredRaw!$B:$B,$A30,RecoveredRaw!G:G)</f>
        <v>0</v>
      </c>
      <c r="E30">
        <f>SUMIF(RecoveredRaw!$B:$B,$A30,RecoveredRaw!H:H)</f>
        <v>0</v>
      </c>
      <c r="F30">
        <f>SUMIF(RecoveredRaw!$B:$B,$A30,RecoveredRaw!I:I)</f>
        <v>0</v>
      </c>
      <c r="G30">
        <f>SUMIF(RecoveredRaw!$B:$B,$A30,RecoveredRaw!J:J)</f>
        <v>0</v>
      </c>
      <c r="H30">
        <f>SUMIF(RecoveredRaw!$B:$B,$A30,RecoveredRaw!K:K)</f>
        <v>0</v>
      </c>
      <c r="I30">
        <f>SUMIF(RecoveredRaw!$B:$B,$A30,RecoveredRaw!L:L)</f>
        <v>0</v>
      </c>
      <c r="J30">
        <f>SUMIF(RecoveredRaw!$B:$B,$A30,RecoveredRaw!M:M)</f>
        <v>0</v>
      </c>
      <c r="K30">
        <f>SUMIF(RecoveredRaw!$B:$B,$A30,RecoveredRaw!N:N)</f>
        <v>0</v>
      </c>
      <c r="L30">
        <f>SUMIF(RecoveredRaw!$B:$B,$A30,RecoveredRaw!O:O)</f>
        <v>0</v>
      </c>
      <c r="M30">
        <f>SUMIF(RecoveredRaw!$B:$B,$A30,RecoveredRaw!P:P)</f>
        <v>0</v>
      </c>
      <c r="N30">
        <f>SUMIF(RecoveredRaw!$B:$B,$A30,RecoveredRaw!Q:Q)</f>
        <v>0</v>
      </c>
      <c r="O30">
        <f>SUMIF(RecoveredRaw!$B:$B,$A30,RecoveredRaw!R:R)</f>
        <v>0</v>
      </c>
      <c r="P30">
        <f>SUMIF(RecoveredRaw!$B:$B,$A30,RecoveredRaw!S:S)</f>
        <v>0</v>
      </c>
      <c r="Q30">
        <f>SUMIF(RecoveredRaw!$B:$B,$A30,RecoveredRaw!T:T)</f>
        <v>0</v>
      </c>
      <c r="R30">
        <f>SUMIF(RecoveredRaw!$B:$B,$A30,RecoveredRaw!U:U)</f>
        <v>0</v>
      </c>
      <c r="S30">
        <f>SUMIF(RecoveredRaw!$B:$B,$A30,RecoveredRaw!V:V)</f>
        <v>0</v>
      </c>
      <c r="T30">
        <f>SUMIF(RecoveredRaw!$B:$B,$A30,RecoveredRaw!W:W)</f>
        <v>0</v>
      </c>
      <c r="U30">
        <f>SUMIF(RecoveredRaw!$B:$B,$A30,RecoveredRaw!X:X)</f>
        <v>0</v>
      </c>
      <c r="V30">
        <f>SUMIF(RecoveredRaw!$B:$B,$A30,RecoveredRaw!Y:Y)</f>
        <v>0</v>
      </c>
      <c r="W30">
        <f>SUMIF(RecoveredRaw!$B:$B,$A30,RecoveredRaw!Z:Z)</f>
        <v>0</v>
      </c>
      <c r="X30">
        <f>SUMIF(RecoveredRaw!$B:$B,$A30,RecoveredRaw!AA:AA)</f>
        <v>0</v>
      </c>
      <c r="Y30">
        <f>SUMIF(RecoveredRaw!$B:$B,$A30,RecoveredRaw!AB:AB)</f>
        <v>0</v>
      </c>
      <c r="Z30">
        <f>SUMIF(RecoveredRaw!$B:$B,$A30,RecoveredRaw!AC:AC)</f>
        <v>0</v>
      </c>
      <c r="AA30">
        <f>SUMIF(RecoveredRaw!$B:$B,$A30,RecoveredRaw!AD:AD)</f>
        <v>0</v>
      </c>
      <c r="AB30">
        <f>SUMIF(RecoveredRaw!$B:$B,$A30,RecoveredRaw!AE:AE)</f>
        <v>0</v>
      </c>
      <c r="AC30">
        <f>SUMIF(RecoveredRaw!$B:$B,$A30,RecoveredRaw!AF:AF)</f>
        <v>0</v>
      </c>
      <c r="AD30">
        <f>SUMIF(RecoveredRaw!$B:$B,$A30,RecoveredRaw!AG:AG)</f>
        <v>0</v>
      </c>
      <c r="AE30">
        <f>SUMIF(RecoveredRaw!$B:$B,$A30,RecoveredRaw!AH:AH)</f>
        <v>0</v>
      </c>
      <c r="AF30">
        <f>SUMIF(RecoveredRaw!$B:$B,$A30,RecoveredRaw!AI:AI)</f>
        <v>0</v>
      </c>
      <c r="AG30">
        <f>SUMIF(RecoveredRaw!$B:$B,$A30,RecoveredRaw!AJ:AJ)</f>
        <v>0</v>
      </c>
      <c r="AH30">
        <f>SUMIF(RecoveredRaw!$B:$B,$A30,RecoveredRaw!AK:AK)</f>
        <v>0</v>
      </c>
      <c r="AI30">
        <f>SUMIF(RecoveredRaw!$B:$B,$A30,RecoveredRaw!AL:AL)</f>
        <v>0</v>
      </c>
      <c r="AJ30">
        <f>SUMIF(RecoveredRaw!$B:$B,$A30,RecoveredRaw!AM:AM)</f>
        <v>0</v>
      </c>
      <c r="AK30">
        <f>SUMIF(RecoveredRaw!$B:$B,$A30,RecoveredRaw!AN:AN)</f>
        <v>0</v>
      </c>
      <c r="AL30">
        <f>SUMIF(RecoveredRaw!$B:$B,$A30,RecoveredRaw!AO:AO)</f>
        <v>0</v>
      </c>
      <c r="AM30">
        <f>SUMIF(RecoveredRaw!$B:$B,$A30,RecoveredRaw!AP:AP)</f>
        <v>0</v>
      </c>
      <c r="AN30">
        <f>SUMIF(RecoveredRaw!$B:$B,$A30,RecoveredRaw!AQ:AQ)</f>
        <v>0</v>
      </c>
      <c r="AO30">
        <f>SUMIF(RecoveredRaw!$B:$B,$A30,RecoveredRaw!AR:AR)</f>
        <v>0</v>
      </c>
      <c r="AP30">
        <f>SUMIF(RecoveredRaw!$B:$B,$A30,RecoveredRaw!AS:AS)</f>
        <v>0</v>
      </c>
      <c r="AQ30">
        <f>SUMIF(RecoveredRaw!$B:$B,$A30,RecoveredRaw!AT:AT)</f>
        <v>0</v>
      </c>
      <c r="AR30">
        <f>SUMIF(RecoveredRaw!$B:$B,$A30,RecoveredRaw!AU:AU)</f>
        <v>0</v>
      </c>
      <c r="AS30">
        <f>SUMIF(RecoveredRaw!$B:$B,$A30,RecoveredRaw!AV:AV)</f>
        <v>0</v>
      </c>
      <c r="AT30">
        <f>SUMIF(RecoveredRaw!$B:$B,$A30,RecoveredRaw!AW:AW)</f>
        <v>0</v>
      </c>
      <c r="AU30">
        <f>SUMIF(RecoveredRaw!$B:$B,$A30,RecoveredRaw!AX:AX)</f>
        <v>0</v>
      </c>
      <c r="AV30">
        <f>SUMIF(RecoveredRaw!$B:$B,$A30,RecoveredRaw!AY:AY)</f>
        <v>0</v>
      </c>
      <c r="AW30">
        <f>SUMIF(RecoveredRaw!$B:$B,$A30,RecoveredRaw!AZ:AZ)</f>
        <v>0</v>
      </c>
      <c r="AX30">
        <f>SUMIF(RecoveredRaw!$B:$B,$A30,RecoveredRaw!BA:BA)</f>
        <v>0</v>
      </c>
      <c r="AY30">
        <f>SUMIF(RecoveredRaw!$B:$B,$A30,RecoveredRaw!BB:BB)</f>
        <v>0</v>
      </c>
      <c r="AZ30">
        <f>SUMIF(RecoveredRaw!$B:$B,$A30,RecoveredRaw!BC:BC)</f>
        <v>0</v>
      </c>
      <c r="BA30">
        <f>SUMIF(RecoveredRaw!$B:$B,$A30,RecoveredRaw!BD:BD)</f>
        <v>0</v>
      </c>
      <c r="BB30">
        <f>SUMIF(RecoveredRaw!$B:$B,$A30,RecoveredRaw!BE:BE)</f>
        <v>0</v>
      </c>
      <c r="BC30">
        <f>SUMIF(RecoveredRaw!$B:$B,$A30,RecoveredRaw!BF:BF)</f>
        <v>0</v>
      </c>
      <c r="BD30">
        <f>SUMIF(RecoveredRaw!$B:$B,$A30,RecoveredRaw!BG:BG)</f>
        <v>3</v>
      </c>
      <c r="BE30">
        <f>SUMIF(RecoveredRaw!$B:$B,$A30,RecoveredRaw!BH:BH)</f>
        <v>3</v>
      </c>
      <c r="BF30">
        <f>SUMIF(RecoveredRaw!$B:$B,$A30,RecoveredRaw!BI:BI)</f>
        <v>3</v>
      </c>
      <c r="BG30">
        <f>SUMIF(RecoveredRaw!$B:$B,$A30,RecoveredRaw!BJ:BJ)</f>
        <v>0</v>
      </c>
      <c r="BH30">
        <f>SUMIF(RecoveredRaw!$B:$B,$A30,RecoveredRaw!BK:BK)</f>
        <v>0</v>
      </c>
      <c r="BI30">
        <f>SUMIF(RecoveredRaw!$B:$B,$A30,RecoveredRaw!BL:BL)</f>
        <v>0</v>
      </c>
      <c r="BJ30">
        <f>SUMIF(RecoveredRaw!$B:$B,$A30,RecoveredRaw!BM:BM)</f>
        <v>0</v>
      </c>
      <c r="BK30">
        <f>SUMIF(RecoveredRaw!$B:$B,$A30,RecoveredRaw!BN:BN)</f>
        <v>0</v>
      </c>
      <c r="BL30">
        <f>SUMIF(RecoveredRaw!$B:$B,$A30,RecoveredRaw!BO:BO)</f>
        <v>0</v>
      </c>
      <c r="BM30">
        <f>SUMIF(RecoveredRaw!$B:$B,$A30,RecoveredRaw!BP:BP)</f>
        <v>0</v>
      </c>
      <c r="BN30">
        <f>SUMIF(RecoveredRaw!$B:$B,$A30,RecoveredRaw!BQ:BQ)</f>
        <v>0</v>
      </c>
      <c r="BO30">
        <f>SUMIF(RecoveredRaw!$B:$B,$A30,RecoveredRaw!BR:BR)</f>
        <v>0</v>
      </c>
      <c r="BP30">
        <f>SUMIF(RecoveredRaw!$B:$B,$A30,RecoveredRaw!BS:BS)</f>
        <v>0</v>
      </c>
      <c r="BQ30">
        <f>SUMIF(RecoveredRaw!$B:$B,$A30,RecoveredRaw!BT:BT)</f>
        <v>0</v>
      </c>
      <c r="BR30">
        <f>SUMIF(RecoveredRaw!$B:$B,$A30,RecoveredRaw!BU:BU)</f>
        <v>0</v>
      </c>
      <c r="BS30">
        <f>SUMIF(RecoveredRaw!$B:$B,$A30,RecoveredRaw!BV:BV)</f>
        <v>0</v>
      </c>
      <c r="BT30">
        <f>SUMIF(RecoveredRaw!$B:$B,$A30,RecoveredRaw!BW:BW)</f>
        <v>0</v>
      </c>
    </row>
    <row r="31" spans="1:72" ht="15" thickBot="1" x14ac:dyDescent="0.35">
      <c r="A31" s="4" t="s">
        <v>141</v>
      </c>
      <c r="B31">
        <f>SUMIF(RecoveredRaw!$B:$B,$A31,RecoveredRaw!E:E)</f>
        <v>0</v>
      </c>
      <c r="C31">
        <f>SUMIF(RecoveredRaw!$B:$B,$A31,RecoveredRaw!F:F)</f>
        <v>0</v>
      </c>
      <c r="D31">
        <f>SUMIF(RecoveredRaw!$B:$B,$A31,RecoveredRaw!G:G)</f>
        <v>0</v>
      </c>
      <c r="E31">
        <f>SUMIF(RecoveredRaw!$B:$B,$A31,RecoveredRaw!H:H)</f>
        <v>0</v>
      </c>
      <c r="F31">
        <f>SUMIF(RecoveredRaw!$B:$B,$A31,RecoveredRaw!I:I)</f>
        <v>0</v>
      </c>
      <c r="G31">
        <f>SUMIF(RecoveredRaw!$B:$B,$A31,RecoveredRaw!J:J)</f>
        <v>0</v>
      </c>
      <c r="H31">
        <f>SUMIF(RecoveredRaw!$B:$B,$A31,RecoveredRaw!K:K)</f>
        <v>0</v>
      </c>
      <c r="I31">
        <f>SUMIF(RecoveredRaw!$B:$B,$A31,RecoveredRaw!L:L)</f>
        <v>0</v>
      </c>
      <c r="J31">
        <f>SUMIF(RecoveredRaw!$B:$B,$A31,RecoveredRaw!M:M)</f>
        <v>0</v>
      </c>
      <c r="K31">
        <f>SUMIF(RecoveredRaw!$B:$B,$A31,RecoveredRaw!N:N)</f>
        <v>0</v>
      </c>
      <c r="L31">
        <f>SUMIF(RecoveredRaw!$B:$B,$A31,RecoveredRaw!O:O)</f>
        <v>0</v>
      </c>
      <c r="M31">
        <f>SUMIF(RecoveredRaw!$B:$B,$A31,RecoveredRaw!P:P)</f>
        <v>0</v>
      </c>
      <c r="N31">
        <f>SUMIF(RecoveredRaw!$B:$B,$A31,RecoveredRaw!Q:Q)</f>
        <v>0</v>
      </c>
      <c r="O31">
        <f>SUMIF(RecoveredRaw!$B:$B,$A31,RecoveredRaw!R:R)</f>
        <v>0</v>
      </c>
      <c r="P31">
        <f>SUMIF(RecoveredRaw!$B:$B,$A31,RecoveredRaw!S:S)</f>
        <v>0</v>
      </c>
      <c r="Q31">
        <f>SUMIF(RecoveredRaw!$B:$B,$A31,RecoveredRaw!T:T)</f>
        <v>0</v>
      </c>
      <c r="R31">
        <f>SUMIF(RecoveredRaw!$B:$B,$A31,RecoveredRaw!U:U)</f>
        <v>0</v>
      </c>
      <c r="S31">
        <f>SUMIF(RecoveredRaw!$B:$B,$A31,RecoveredRaw!V:V)</f>
        <v>0</v>
      </c>
      <c r="T31">
        <f>SUMIF(RecoveredRaw!$B:$B,$A31,RecoveredRaw!W:W)</f>
        <v>0</v>
      </c>
      <c r="U31">
        <f>SUMIF(RecoveredRaw!$B:$B,$A31,RecoveredRaw!X:X)</f>
        <v>0</v>
      </c>
      <c r="V31">
        <f>SUMIF(RecoveredRaw!$B:$B,$A31,RecoveredRaw!Y:Y)</f>
        <v>0</v>
      </c>
      <c r="W31">
        <f>SUMIF(RecoveredRaw!$B:$B,$A31,RecoveredRaw!Z:Z)</f>
        <v>0</v>
      </c>
      <c r="X31">
        <f>SUMIF(RecoveredRaw!$B:$B,$A31,RecoveredRaw!AA:AA)</f>
        <v>0</v>
      </c>
      <c r="Y31">
        <f>SUMIF(RecoveredRaw!$B:$B,$A31,RecoveredRaw!AB:AB)</f>
        <v>0</v>
      </c>
      <c r="Z31">
        <f>SUMIF(RecoveredRaw!$B:$B,$A31,RecoveredRaw!AC:AC)</f>
        <v>0</v>
      </c>
      <c r="AA31">
        <f>SUMIF(RecoveredRaw!$B:$B,$A31,RecoveredRaw!AD:AD)</f>
        <v>0</v>
      </c>
      <c r="AB31">
        <f>SUMIF(RecoveredRaw!$B:$B,$A31,RecoveredRaw!AE:AE)</f>
        <v>0</v>
      </c>
      <c r="AC31">
        <f>SUMIF(RecoveredRaw!$B:$B,$A31,RecoveredRaw!AF:AF)</f>
        <v>0</v>
      </c>
      <c r="AD31">
        <f>SUMIF(RecoveredRaw!$B:$B,$A31,RecoveredRaw!AG:AG)</f>
        <v>0</v>
      </c>
      <c r="AE31">
        <f>SUMIF(RecoveredRaw!$B:$B,$A31,RecoveredRaw!AH:AH)</f>
        <v>0</v>
      </c>
      <c r="AF31">
        <f>SUMIF(RecoveredRaw!$B:$B,$A31,RecoveredRaw!AI:AI)</f>
        <v>0</v>
      </c>
      <c r="AG31">
        <f>SUMIF(RecoveredRaw!$B:$B,$A31,RecoveredRaw!AJ:AJ)</f>
        <v>0</v>
      </c>
      <c r="AH31">
        <f>SUMIF(RecoveredRaw!$B:$B,$A31,RecoveredRaw!AK:AK)</f>
        <v>0</v>
      </c>
      <c r="AI31">
        <f>SUMIF(RecoveredRaw!$B:$B,$A31,RecoveredRaw!AL:AL)</f>
        <v>0</v>
      </c>
      <c r="AJ31">
        <f>SUMIF(RecoveredRaw!$B:$B,$A31,RecoveredRaw!AM:AM)</f>
        <v>0</v>
      </c>
      <c r="AK31">
        <f>SUMIF(RecoveredRaw!$B:$B,$A31,RecoveredRaw!AN:AN)</f>
        <v>0</v>
      </c>
      <c r="AL31">
        <f>SUMIF(RecoveredRaw!$B:$B,$A31,RecoveredRaw!AO:AO)</f>
        <v>0</v>
      </c>
      <c r="AM31">
        <f>SUMIF(RecoveredRaw!$B:$B,$A31,RecoveredRaw!AP:AP)</f>
        <v>0</v>
      </c>
      <c r="AN31">
        <f>SUMIF(RecoveredRaw!$B:$B,$A31,RecoveredRaw!AQ:AQ)</f>
        <v>0</v>
      </c>
      <c r="AO31">
        <f>SUMIF(RecoveredRaw!$B:$B,$A31,RecoveredRaw!AR:AR)</f>
        <v>0</v>
      </c>
      <c r="AP31">
        <f>SUMIF(RecoveredRaw!$B:$B,$A31,RecoveredRaw!AS:AS)</f>
        <v>0</v>
      </c>
      <c r="AQ31">
        <f>SUMIF(RecoveredRaw!$B:$B,$A31,RecoveredRaw!AT:AT)</f>
        <v>0</v>
      </c>
      <c r="AR31">
        <f>SUMIF(RecoveredRaw!$B:$B,$A31,RecoveredRaw!AU:AU)</f>
        <v>0</v>
      </c>
      <c r="AS31">
        <f>SUMIF(RecoveredRaw!$B:$B,$A31,RecoveredRaw!AV:AV)</f>
        <v>0</v>
      </c>
      <c r="AT31">
        <f>SUMIF(RecoveredRaw!$B:$B,$A31,RecoveredRaw!AW:AW)</f>
        <v>0</v>
      </c>
      <c r="AU31">
        <f>SUMIF(RecoveredRaw!$B:$B,$A31,RecoveredRaw!AX:AX)</f>
        <v>0</v>
      </c>
      <c r="AV31">
        <f>SUMIF(RecoveredRaw!$B:$B,$A31,RecoveredRaw!AY:AY)</f>
        <v>0</v>
      </c>
      <c r="AW31">
        <f>SUMIF(RecoveredRaw!$B:$B,$A31,RecoveredRaw!AZ:AZ)</f>
        <v>0</v>
      </c>
      <c r="AX31">
        <f>SUMIF(RecoveredRaw!$B:$B,$A31,RecoveredRaw!BA:BA)</f>
        <v>0</v>
      </c>
      <c r="AY31">
        <f>SUMIF(RecoveredRaw!$B:$B,$A31,RecoveredRaw!BB:BB)</f>
        <v>0</v>
      </c>
      <c r="AZ31">
        <f>SUMIF(RecoveredRaw!$B:$B,$A31,RecoveredRaw!BC:BC)</f>
        <v>0</v>
      </c>
      <c r="BA31">
        <f>SUMIF(RecoveredRaw!$B:$B,$A31,RecoveredRaw!BD:BD)</f>
        <v>0</v>
      </c>
      <c r="BB31">
        <f>SUMIF(RecoveredRaw!$B:$B,$A31,RecoveredRaw!BE:BE)</f>
        <v>0</v>
      </c>
      <c r="BC31">
        <f>SUMIF(RecoveredRaw!$B:$B,$A31,RecoveredRaw!BF:BF)</f>
        <v>0</v>
      </c>
      <c r="BD31">
        <f>SUMIF(RecoveredRaw!$B:$B,$A31,RecoveredRaw!BG:BG)</f>
        <v>0</v>
      </c>
      <c r="BE31">
        <f>SUMIF(RecoveredRaw!$B:$B,$A31,RecoveredRaw!BH:BH)</f>
        <v>0</v>
      </c>
      <c r="BF31">
        <f>SUMIF(RecoveredRaw!$B:$B,$A31,RecoveredRaw!BI:BI)</f>
        <v>0</v>
      </c>
      <c r="BG31">
        <f>SUMIF(RecoveredRaw!$B:$B,$A31,RecoveredRaw!BJ:BJ)</f>
        <v>0</v>
      </c>
      <c r="BH31">
        <f>SUMIF(RecoveredRaw!$B:$B,$A31,RecoveredRaw!BK:BK)</f>
        <v>0</v>
      </c>
      <c r="BI31">
        <f>SUMIF(RecoveredRaw!$B:$B,$A31,RecoveredRaw!BL:BL)</f>
        <v>0</v>
      </c>
      <c r="BJ31">
        <f>SUMIF(RecoveredRaw!$B:$B,$A31,RecoveredRaw!BM:BM)</f>
        <v>0</v>
      </c>
      <c r="BK31">
        <f>SUMIF(RecoveredRaw!$B:$B,$A31,RecoveredRaw!BN:BN)</f>
        <v>0</v>
      </c>
      <c r="BL31">
        <f>SUMIF(RecoveredRaw!$B:$B,$A31,RecoveredRaw!BO:BO)</f>
        <v>0</v>
      </c>
      <c r="BM31">
        <f>SUMIF(RecoveredRaw!$B:$B,$A31,RecoveredRaw!BP:BP)</f>
        <v>0</v>
      </c>
      <c r="BN31">
        <f>SUMIF(RecoveredRaw!$B:$B,$A31,RecoveredRaw!BQ:BQ)</f>
        <v>0</v>
      </c>
      <c r="BO31">
        <f>SUMIF(RecoveredRaw!$B:$B,$A31,RecoveredRaw!BR:BR)</f>
        <v>0</v>
      </c>
      <c r="BP31">
        <f>SUMIF(RecoveredRaw!$B:$B,$A31,RecoveredRaw!BS:BS)</f>
        <v>0</v>
      </c>
      <c r="BQ31">
        <f>SUMIF(RecoveredRaw!$B:$B,$A31,RecoveredRaw!BT:BT)</f>
        <v>0</v>
      </c>
      <c r="BR31">
        <f>SUMIF(RecoveredRaw!$B:$B,$A31,RecoveredRaw!BU:BU)</f>
        <v>0</v>
      </c>
      <c r="BS31">
        <f>SUMIF(RecoveredRaw!$B:$B,$A31,RecoveredRaw!BV:BV)</f>
        <v>0</v>
      </c>
      <c r="BT31">
        <f>SUMIF(RecoveredRaw!$B:$B,$A31,RecoveredRaw!BW:BW)</f>
        <v>0</v>
      </c>
    </row>
    <row r="32" spans="1:72" ht="15" thickBot="1" x14ac:dyDescent="0.35">
      <c r="A32" s="4" t="s">
        <v>92</v>
      </c>
      <c r="B32">
        <f>SUMIF(RecoveredRaw!$B:$B,$A32,RecoveredRaw!E:E)</f>
        <v>0</v>
      </c>
      <c r="C32">
        <f>SUMIF(RecoveredRaw!$B:$B,$A32,RecoveredRaw!F:F)</f>
        <v>0</v>
      </c>
      <c r="D32">
        <f>SUMIF(RecoveredRaw!$B:$B,$A32,RecoveredRaw!G:G)</f>
        <v>0</v>
      </c>
      <c r="E32">
        <f>SUMIF(RecoveredRaw!$B:$B,$A32,RecoveredRaw!H:H)</f>
        <v>0</v>
      </c>
      <c r="F32">
        <f>SUMIF(RecoveredRaw!$B:$B,$A32,RecoveredRaw!I:I)</f>
        <v>0</v>
      </c>
      <c r="G32">
        <f>SUMIF(RecoveredRaw!$B:$B,$A32,RecoveredRaw!J:J)</f>
        <v>0</v>
      </c>
      <c r="H32">
        <f>SUMIF(RecoveredRaw!$B:$B,$A32,RecoveredRaw!K:K)</f>
        <v>0</v>
      </c>
      <c r="I32">
        <f>SUMIF(RecoveredRaw!$B:$B,$A32,RecoveredRaw!L:L)</f>
        <v>0</v>
      </c>
      <c r="J32">
        <f>SUMIF(RecoveredRaw!$B:$B,$A32,RecoveredRaw!M:M)</f>
        <v>0</v>
      </c>
      <c r="K32">
        <f>SUMIF(RecoveredRaw!$B:$B,$A32,RecoveredRaw!N:N)</f>
        <v>0</v>
      </c>
      <c r="L32">
        <f>SUMIF(RecoveredRaw!$B:$B,$A32,RecoveredRaw!O:O)</f>
        <v>0</v>
      </c>
      <c r="M32">
        <f>SUMIF(RecoveredRaw!$B:$B,$A32,RecoveredRaw!P:P)</f>
        <v>0</v>
      </c>
      <c r="N32">
        <f>SUMIF(RecoveredRaw!$B:$B,$A32,RecoveredRaw!Q:Q)</f>
        <v>0</v>
      </c>
      <c r="O32">
        <f>SUMIF(RecoveredRaw!$B:$B,$A32,RecoveredRaw!R:R)</f>
        <v>0</v>
      </c>
      <c r="P32">
        <f>SUMIF(RecoveredRaw!$B:$B,$A32,RecoveredRaw!S:S)</f>
        <v>0</v>
      </c>
      <c r="Q32">
        <f>SUMIF(RecoveredRaw!$B:$B,$A32,RecoveredRaw!T:T)</f>
        <v>0</v>
      </c>
      <c r="R32">
        <f>SUMIF(RecoveredRaw!$B:$B,$A32,RecoveredRaw!U:U)</f>
        <v>0</v>
      </c>
      <c r="S32">
        <f>SUMIF(RecoveredRaw!$B:$B,$A32,RecoveredRaw!V:V)</f>
        <v>0</v>
      </c>
      <c r="T32">
        <f>SUMIF(RecoveredRaw!$B:$B,$A32,RecoveredRaw!W:W)</f>
        <v>0</v>
      </c>
      <c r="U32">
        <f>SUMIF(RecoveredRaw!$B:$B,$A32,RecoveredRaw!X:X)</f>
        <v>0</v>
      </c>
      <c r="V32">
        <f>SUMIF(RecoveredRaw!$B:$B,$A32,RecoveredRaw!Y:Y)</f>
        <v>0</v>
      </c>
      <c r="W32">
        <f>SUMIF(RecoveredRaw!$B:$B,$A32,RecoveredRaw!Z:Z)</f>
        <v>0</v>
      </c>
      <c r="X32">
        <f>SUMIF(RecoveredRaw!$B:$B,$A32,RecoveredRaw!AA:AA)</f>
        <v>0</v>
      </c>
      <c r="Y32">
        <f>SUMIF(RecoveredRaw!$B:$B,$A32,RecoveredRaw!AB:AB)</f>
        <v>0</v>
      </c>
      <c r="Z32">
        <f>SUMIF(RecoveredRaw!$B:$B,$A32,RecoveredRaw!AC:AC)</f>
        <v>0</v>
      </c>
      <c r="AA32">
        <f>SUMIF(RecoveredRaw!$B:$B,$A32,RecoveredRaw!AD:AD)</f>
        <v>0</v>
      </c>
      <c r="AB32">
        <f>SUMIF(RecoveredRaw!$B:$B,$A32,RecoveredRaw!AE:AE)</f>
        <v>0</v>
      </c>
      <c r="AC32">
        <f>SUMIF(RecoveredRaw!$B:$B,$A32,RecoveredRaw!AF:AF)</f>
        <v>0</v>
      </c>
      <c r="AD32">
        <f>SUMIF(RecoveredRaw!$B:$B,$A32,RecoveredRaw!AG:AG)</f>
        <v>0</v>
      </c>
      <c r="AE32">
        <f>SUMIF(RecoveredRaw!$B:$B,$A32,RecoveredRaw!AH:AH)</f>
        <v>0</v>
      </c>
      <c r="AF32">
        <f>SUMIF(RecoveredRaw!$B:$B,$A32,RecoveredRaw!AI:AI)</f>
        <v>0</v>
      </c>
      <c r="AG32">
        <f>SUMIF(RecoveredRaw!$B:$B,$A32,RecoveredRaw!AJ:AJ)</f>
        <v>0</v>
      </c>
      <c r="AH32">
        <f>SUMIF(RecoveredRaw!$B:$B,$A32,RecoveredRaw!AK:AK)</f>
        <v>0</v>
      </c>
      <c r="AI32">
        <f>SUMIF(RecoveredRaw!$B:$B,$A32,RecoveredRaw!AL:AL)</f>
        <v>0</v>
      </c>
      <c r="AJ32">
        <f>SUMIF(RecoveredRaw!$B:$B,$A32,RecoveredRaw!AM:AM)</f>
        <v>0</v>
      </c>
      <c r="AK32">
        <f>SUMIF(RecoveredRaw!$B:$B,$A32,RecoveredRaw!AN:AN)</f>
        <v>0</v>
      </c>
      <c r="AL32">
        <f>SUMIF(RecoveredRaw!$B:$B,$A32,RecoveredRaw!AO:AO)</f>
        <v>0</v>
      </c>
      <c r="AM32">
        <f>SUMIF(RecoveredRaw!$B:$B,$A32,RecoveredRaw!AP:AP)</f>
        <v>0</v>
      </c>
      <c r="AN32">
        <f>SUMIF(RecoveredRaw!$B:$B,$A32,RecoveredRaw!AQ:AQ)</f>
        <v>0</v>
      </c>
      <c r="AO32">
        <f>SUMIF(RecoveredRaw!$B:$B,$A32,RecoveredRaw!AR:AR)</f>
        <v>0</v>
      </c>
      <c r="AP32">
        <f>SUMIF(RecoveredRaw!$B:$B,$A32,RecoveredRaw!AS:AS)</f>
        <v>0</v>
      </c>
      <c r="AQ32">
        <f>SUMIF(RecoveredRaw!$B:$B,$A32,RecoveredRaw!AT:AT)</f>
        <v>0</v>
      </c>
      <c r="AR32">
        <f>SUMIF(RecoveredRaw!$B:$B,$A32,RecoveredRaw!AU:AU)</f>
        <v>0</v>
      </c>
      <c r="AS32">
        <f>SUMIF(RecoveredRaw!$B:$B,$A32,RecoveredRaw!AV:AV)</f>
        <v>0</v>
      </c>
      <c r="AT32">
        <f>SUMIF(RecoveredRaw!$B:$B,$A32,RecoveredRaw!AW:AW)</f>
        <v>0</v>
      </c>
      <c r="AU32">
        <f>SUMIF(RecoveredRaw!$B:$B,$A32,RecoveredRaw!AX:AX)</f>
        <v>0</v>
      </c>
      <c r="AV32">
        <f>SUMIF(RecoveredRaw!$B:$B,$A32,RecoveredRaw!AY:AY)</f>
        <v>0</v>
      </c>
      <c r="AW32">
        <f>SUMIF(RecoveredRaw!$B:$B,$A32,RecoveredRaw!AZ:AZ)</f>
        <v>0</v>
      </c>
      <c r="AX32">
        <f>SUMIF(RecoveredRaw!$B:$B,$A32,RecoveredRaw!BA:BA)</f>
        <v>1</v>
      </c>
      <c r="AY32">
        <f>SUMIF(RecoveredRaw!$B:$B,$A32,RecoveredRaw!BB:BB)</f>
        <v>1</v>
      </c>
      <c r="AZ32">
        <f>SUMIF(RecoveredRaw!$B:$B,$A32,RecoveredRaw!BC:BC)</f>
        <v>1</v>
      </c>
      <c r="BA32">
        <f>SUMIF(RecoveredRaw!$B:$B,$A32,RecoveredRaw!BD:BD)</f>
        <v>1</v>
      </c>
      <c r="BB32">
        <f>SUMIF(RecoveredRaw!$B:$B,$A32,RecoveredRaw!BE:BE)</f>
        <v>1</v>
      </c>
      <c r="BC32">
        <f>SUMIF(RecoveredRaw!$B:$B,$A32,RecoveredRaw!BF:BF)</f>
        <v>8</v>
      </c>
      <c r="BD32">
        <f>SUMIF(RecoveredRaw!$B:$B,$A32,RecoveredRaw!BG:BG)</f>
        <v>0</v>
      </c>
      <c r="BE32">
        <f>SUMIF(RecoveredRaw!$B:$B,$A32,RecoveredRaw!BH:BH)</f>
        <v>0</v>
      </c>
      <c r="BF32">
        <f>SUMIF(RecoveredRaw!$B:$B,$A32,RecoveredRaw!BI:BI)</f>
        <v>5</v>
      </c>
      <c r="BG32">
        <f>SUMIF(RecoveredRaw!$B:$B,$A32,RecoveredRaw!BJ:BJ)</f>
        <v>0</v>
      </c>
      <c r="BH32">
        <f>SUMIF(RecoveredRaw!$B:$B,$A32,RecoveredRaw!BK:BK)</f>
        <v>0</v>
      </c>
      <c r="BI32">
        <f>SUMIF(RecoveredRaw!$B:$B,$A32,RecoveredRaw!BL:BL)</f>
        <v>0</v>
      </c>
      <c r="BJ32">
        <f>SUMIF(RecoveredRaw!$B:$B,$A32,RecoveredRaw!BM:BM)</f>
        <v>0</v>
      </c>
      <c r="BK32">
        <f>SUMIF(RecoveredRaw!$B:$B,$A32,RecoveredRaw!BN:BN)</f>
        <v>0</v>
      </c>
      <c r="BL32">
        <f>SUMIF(RecoveredRaw!$B:$B,$A32,RecoveredRaw!BO:BO)</f>
        <v>0</v>
      </c>
      <c r="BM32">
        <f>SUMIF(RecoveredRaw!$B:$B,$A32,RecoveredRaw!BP:BP)</f>
        <v>0</v>
      </c>
      <c r="BN32">
        <f>SUMIF(RecoveredRaw!$B:$B,$A32,RecoveredRaw!BQ:BQ)</f>
        <v>0</v>
      </c>
      <c r="BO32">
        <f>SUMIF(RecoveredRaw!$B:$B,$A32,RecoveredRaw!BR:BR)</f>
        <v>0</v>
      </c>
      <c r="BP32">
        <f>SUMIF(RecoveredRaw!$B:$B,$A32,RecoveredRaw!BS:BS)</f>
        <v>0</v>
      </c>
      <c r="BQ32">
        <f>SUMIF(RecoveredRaw!$B:$B,$A32,RecoveredRaw!BT:BT)</f>
        <v>0</v>
      </c>
      <c r="BR32">
        <f>SUMIF(RecoveredRaw!$B:$B,$A32,RecoveredRaw!BU:BU)</f>
        <v>0</v>
      </c>
      <c r="BS32">
        <f>SUMIF(RecoveredRaw!$B:$B,$A32,RecoveredRaw!BV:BV)</f>
        <v>0</v>
      </c>
      <c r="BT32">
        <f>SUMIF(RecoveredRaw!$B:$B,$A32,RecoveredRaw!BW:BW)</f>
        <v>0</v>
      </c>
    </row>
    <row r="33" spans="1:72" ht="15" thickBot="1" x14ac:dyDescent="0.35">
      <c r="A33" s="3" t="s">
        <v>108</v>
      </c>
      <c r="B33">
        <f>SUMIF(RecoveredRaw!$B:$B,$A33,RecoveredRaw!E:E)</f>
        <v>0</v>
      </c>
      <c r="C33">
        <f>SUMIF(RecoveredRaw!$B:$B,$A33,RecoveredRaw!F:F)</f>
        <v>0</v>
      </c>
      <c r="D33">
        <f>SUMIF(RecoveredRaw!$B:$B,$A33,RecoveredRaw!G:G)</f>
        <v>0</v>
      </c>
      <c r="E33">
        <f>SUMIF(RecoveredRaw!$B:$B,$A33,RecoveredRaw!H:H)</f>
        <v>0</v>
      </c>
      <c r="F33">
        <f>SUMIF(RecoveredRaw!$B:$B,$A33,RecoveredRaw!I:I)</f>
        <v>0</v>
      </c>
      <c r="G33">
        <f>SUMIF(RecoveredRaw!$B:$B,$A33,RecoveredRaw!J:J)</f>
        <v>0</v>
      </c>
      <c r="H33">
        <f>SUMIF(RecoveredRaw!$B:$B,$A33,RecoveredRaw!K:K)</f>
        <v>0</v>
      </c>
      <c r="I33">
        <f>SUMIF(RecoveredRaw!$B:$B,$A33,RecoveredRaw!L:L)</f>
        <v>0</v>
      </c>
      <c r="J33">
        <f>SUMIF(RecoveredRaw!$B:$B,$A33,RecoveredRaw!M:M)</f>
        <v>0</v>
      </c>
      <c r="K33">
        <f>SUMIF(RecoveredRaw!$B:$B,$A33,RecoveredRaw!N:N)</f>
        <v>0</v>
      </c>
      <c r="L33">
        <f>SUMIF(RecoveredRaw!$B:$B,$A33,RecoveredRaw!O:O)</f>
        <v>0</v>
      </c>
      <c r="M33">
        <f>SUMIF(RecoveredRaw!$B:$B,$A33,RecoveredRaw!P:P)</f>
        <v>0</v>
      </c>
      <c r="N33">
        <f>SUMIF(RecoveredRaw!$B:$B,$A33,RecoveredRaw!Q:Q)</f>
        <v>0</v>
      </c>
      <c r="O33">
        <f>SUMIF(RecoveredRaw!$B:$B,$A33,RecoveredRaw!R:R)</f>
        <v>0</v>
      </c>
      <c r="P33">
        <f>SUMIF(RecoveredRaw!$B:$B,$A33,RecoveredRaw!S:S)</f>
        <v>0</v>
      </c>
      <c r="Q33">
        <f>SUMIF(RecoveredRaw!$B:$B,$A33,RecoveredRaw!T:T)</f>
        <v>0</v>
      </c>
      <c r="R33">
        <f>SUMIF(RecoveredRaw!$B:$B,$A33,RecoveredRaw!U:U)</f>
        <v>0</v>
      </c>
      <c r="S33">
        <f>SUMIF(RecoveredRaw!$B:$B,$A33,RecoveredRaw!V:V)</f>
        <v>0</v>
      </c>
      <c r="T33">
        <f>SUMIF(RecoveredRaw!$B:$B,$A33,RecoveredRaw!W:W)</f>
        <v>0</v>
      </c>
      <c r="U33">
        <f>SUMIF(RecoveredRaw!$B:$B,$A33,RecoveredRaw!X:X)</f>
        <v>0</v>
      </c>
      <c r="V33">
        <f>SUMIF(RecoveredRaw!$B:$B,$A33,RecoveredRaw!Y:Y)</f>
        <v>0</v>
      </c>
      <c r="W33">
        <f>SUMIF(RecoveredRaw!$B:$B,$A33,RecoveredRaw!Z:Z)</f>
        <v>0</v>
      </c>
      <c r="X33">
        <f>SUMIF(RecoveredRaw!$B:$B,$A33,RecoveredRaw!AA:AA)</f>
        <v>0</v>
      </c>
      <c r="Y33">
        <f>SUMIF(RecoveredRaw!$B:$B,$A33,RecoveredRaw!AB:AB)</f>
        <v>0</v>
      </c>
      <c r="Z33">
        <f>SUMIF(RecoveredRaw!$B:$B,$A33,RecoveredRaw!AC:AC)</f>
        <v>0</v>
      </c>
      <c r="AA33">
        <f>SUMIF(RecoveredRaw!$B:$B,$A33,RecoveredRaw!AD:AD)</f>
        <v>0</v>
      </c>
      <c r="AB33">
        <f>SUMIF(RecoveredRaw!$B:$B,$A33,RecoveredRaw!AE:AE)</f>
        <v>0</v>
      </c>
      <c r="AC33">
        <f>SUMIF(RecoveredRaw!$B:$B,$A33,RecoveredRaw!AF:AF)</f>
        <v>0</v>
      </c>
      <c r="AD33">
        <f>SUMIF(RecoveredRaw!$B:$B,$A33,RecoveredRaw!AG:AG)</f>
        <v>0</v>
      </c>
      <c r="AE33">
        <f>SUMIF(RecoveredRaw!$B:$B,$A33,RecoveredRaw!AH:AH)</f>
        <v>0</v>
      </c>
      <c r="AF33">
        <f>SUMIF(RecoveredRaw!$B:$B,$A33,RecoveredRaw!AI:AI)</f>
        <v>0</v>
      </c>
      <c r="AG33">
        <f>SUMIF(RecoveredRaw!$B:$B,$A33,RecoveredRaw!AJ:AJ)</f>
        <v>0</v>
      </c>
      <c r="AH33">
        <f>SUMIF(RecoveredRaw!$B:$B,$A33,RecoveredRaw!AK:AK)</f>
        <v>0</v>
      </c>
      <c r="AI33">
        <f>SUMIF(RecoveredRaw!$B:$B,$A33,RecoveredRaw!AL:AL)</f>
        <v>0</v>
      </c>
      <c r="AJ33">
        <f>SUMIF(RecoveredRaw!$B:$B,$A33,RecoveredRaw!AM:AM)</f>
        <v>0</v>
      </c>
      <c r="AK33">
        <f>SUMIF(RecoveredRaw!$B:$B,$A33,RecoveredRaw!AN:AN)</f>
        <v>0</v>
      </c>
      <c r="AL33">
        <f>SUMIF(RecoveredRaw!$B:$B,$A33,RecoveredRaw!AO:AO)</f>
        <v>0</v>
      </c>
      <c r="AM33">
        <f>SUMIF(RecoveredRaw!$B:$B,$A33,RecoveredRaw!AP:AP)</f>
        <v>0</v>
      </c>
      <c r="AN33">
        <f>SUMIF(RecoveredRaw!$B:$B,$A33,RecoveredRaw!AQ:AQ)</f>
        <v>0</v>
      </c>
      <c r="AO33">
        <f>SUMIF(RecoveredRaw!$B:$B,$A33,RecoveredRaw!AR:AR)</f>
        <v>0</v>
      </c>
      <c r="AP33">
        <f>SUMIF(RecoveredRaw!$B:$B,$A33,RecoveredRaw!AS:AS)</f>
        <v>0</v>
      </c>
      <c r="AQ33">
        <f>SUMIF(RecoveredRaw!$B:$B,$A33,RecoveredRaw!AT:AT)</f>
        <v>0</v>
      </c>
      <c r="AR33">
        <f>SUMIF(RecoveredRaw!$B:$B,$A33,RecoveredRaw!AU:AU)</f>
        <v>0</v>
      </c>
      <c r="AS33">
        <f>SUMIF(RecoveredRaw!$B:$B,$A33,RecoveredRaw!AV:AV)</f>
        <v>0</v>
      </c>
      <c r="AT33">
        <f>SUMIF(RecoveredRaw!$B:$B,$A33,RecoveredRaw!AW:AW)</f>
        <v>0</v>
      </c>
      <c r="AU33">
        <f>SUMIF(RecoveredRaw!$B:$B,$A33,RecoveredRaw!AX:AX)</f>
        <v>0</v>
      </c>
      <c r="AV33">
        <f>SUMIF(RecoveredRaw!$B:$B,$A33,RecoveredRaw!AY:AY)</f>
        <v>0</v>
      </c>
      <c r="AW33">
        <f>SUMIF(RecoveredRaw!$B:$B,$A33,RecoveredRaw!AZ:AZ)</f>
        <v>0</v>
      </c>
      <c r="AX33">
        <f>SUMIF(RecoveredRaw!$B:$B,$A33,RecoveredRaw!BA:BA)</f>
        <v>0</v>
      </c>
      <c r="AY33">
        <f>SUMIF(RecoveredRaw!$B:$B,$A33,RecoveredRaw!BB:BB)</f>
        <v>0</v>
      </c>
      <c r="AZ33">
        <f>SUMIF(RecoveredRaw!$B:$B,$A33,RecoveredRaw!BC:BC)</f>
        <v>0</v>
      </c>
      <c r="BA33">
        <f>SUMIF(RecoveredRaw!$B:$B,$A33,RecoveredRaw!BD:BD)</f>
        <v>1</v>
      </c>
      <c r="BB33">
        <f>SUMIF(RecoveredRaw!$B:$B,$A33,RecoveredRaw!BE:BE)</f>
        <v>2</v>
      </c>
      <c r="BC33">
        <f>SUMIF(RecoveredRaw!$B:$B,$A33,RecoveredRaw!BF:BF)</f>
        <v>2</v>
      </c>
      <c r="BD33">
        <f>SUMIF(RecoveredRaw!$B:$B,$A33,RecoveredRaw!BG:BG)</f>
        <v>3</v>
      </c>
      <c r="BE33">
        <f>SUMIF(RecoveredRaw!$B:$B,$A33,RecoveredRaw!BH:BH)</f>
        <v>3</v>
      </c>
      <c r="BF33">
        <f>SUMIF(RecoveredRaw!$B:$B,$A33,RecoveredRaw!BI:BI)</f>
        <v>3</v>
      </c>
      <c r="BG33">
        <f>SUMIF(RecoveredRaw!$B:$B,$A33,RecoveredRaw!BJ:BJ)</f>
        <v>0</v>
      </c>
      <c r="BH33">
        <f>SUMIF(RecoveredRaw!$B:$B,$A33,RecoveredRaw!BK:BK)</f>
        <v>0</v>
      </c>
      <c r="BI33">
        <f>SUMIF(RecoveredRaw!$B:$B,$A33,RecoveredRaw!BL:BL)</f>
        <v>0</v>
      </c>
      <c r="BJ33">
        <f>SUMIF(RecoveredRaw!$B:$B,$A33,RecoveredRaw!BM:BM)</f>
        <v>0</v>
      </c>
      <c r="BK33">
        <f>SUMIF(RecoveredRaw!$B:$B,$A33,RecoveredRaw!BN:BN)</f>
        <v>0</v>
      </c>
      <c r="BL33">
        <f>SUMIF(RecoveredRaw!$B:$B,$A33,RecoveredRaw!BO:BO)</f>
        <v>0</v>
      </c>
      <c r="BM33">
        <f>SUMIF(RecoveredRaw!$B:$B,$A33,RecoveredRaw!BP:BP)</f>
        <v>0</v>
      </c>
      <c r="BN33">
        <f>SUMIF(RecoveredRaw!$B:$B,$A33,RecoveredRaw!BQ:BQ)</f>
        <v>0</v>
      </c>
      <c r="BO33">
        <f>SUMIF(RecoveredRaw!$B:$B,$A33,RecoveredRaw!BR:BR)</f>
        <v>0</v>
      </c>
      <c r="BP33">
        <f>SUMIF(RecoveredRaw!$B:$B,$A33,RecoveredRaw!BS:BS)</f>
        <v>0</v>
      </c>
      <c r="BQ33">
        <f>SUMIF(RecoveredRaw!$B:$B,$A33,RecoveredRaw!BT:BT)</f>
        <v>0</v>
      </c>
      <c r="BR33">
        <f>SUMIF(RecoveredRaw!$B:$B,$A33,RecoveredRaw!BU:BU)</f>
        <v>0</v>
      </c>
      <c r="BS33">
        <f>SUMIF(RecoveredRaw!$B:$B,$A33,RecoveredRaw!BV:BV)</f>
        <v>0</v>
      </c>
      <c r="BT33">
        <f>SUMIF(RecoveredRaw!$B:$B,$A33,RecoveredRaw!BW:BW)</f>
        <v>0</v>
      </c>
    </row>
    <row r="34" spans="1:72" ht="15" thickBot="1" x14ac:dyDescent="0.35">
      <c r="A34" s="3" t="s">
        <v>70</v>
      </c>
      <c r="B34">
        <f>SUMIF(RecoveredRaw!$B:$B,$A34,RecoveredRaw!E:E)</f>
        <v>0</v>
      </c>
      <c r="C34">
        <f>SUMIF(RecoveredRaw!$B:$B,$A34,RecoveredRaw!F:F)</f>
        <v>0</v>
      </c>
      <c r="D34">
        <f>SUMIF(RecoveredRaw!$B:$B,$A34,RecoveredRaw!G:G)</f>
        <v>0</v>
      </c>
      <c r="E34">
        <f>SUMIF(RecoveredRaw!$B:$B,$A34,RecoveredRaw!H:H)</f>
        <v>0</v>
      </c>
      <c r="F34">
        <f>SUMIF(RecoveredRaw!$B:$B,$A34,RecoveredRaw!I:I)</f>
        <v>0</v>
      </c>
      <c r="G34">
        <f>SUMIF(RecoveredRaw!$B:$B,$A34,RecoveredRaw!J:J)</f>
        <v>0</v>
      </c>
      <c r="H34">
        <f>SUMIF(RecoveredRaw!$B:$B,$A34,RecoveredRaw!K:K)</f>
        <v>0</v>
      </c>
      <c r="I34">
        <f>SUMIF(RecoveredRaw!$B:$B,$A34,RecoveredRaw!L:L)</f>
        <v>0</v>
      </c>
      <c r="J34">
        <f>SUMIF(RecoveredRaw!$B:$B,$A34,RecoveredRaw!M:M)</f>
        <v>0</v>
      </c>
      <c r="K34">
        <f>SUMIF(RecoveredRaw!$B:$B,$A34,RecoveredRaw!N:N)</f>
        <v>0</v>
      </c>
      <c r="L34">
        <f>SUMIF(RecoveredRaw!$B:$B,$A34,RecoveredRaw!O:O)</f>
        <v>0</v>
      </c>
      <c r="M34">
        <f>SUMIF(RecoveredRaw!$B:$B,$A34,RecoveredRaw!P:P)</f>
        <v>0</v>
      </c>
      <c r="N34">
        <f>SUMIF(RecoveredRaw!$B:$B,$A34,RecoveredRaw!Q:Q)</f>
        <v>0</v>
      </c>
      <c r="O34">
        <f>SUMIF(RecoveredRaw!$B:$B,$A34,RecoveredRaw!R:R)</f>
        <v>0</v>
      </c>
      <c r="P34">
        <f>SUMIF(RecoveredRaw!$B:$B,$A34,RecoveredRaw!S:S)</f>
        <v>0</v>
      </c>
      <c r="Q34">
        <f>SUMIF(RecoveredRaw!$B:$B,$A34,RecoveredRaw!T:T)</f>
        <v>0</v>
      </c>
      <c r="R34">
        <f>SUMIF(RecoveredRaw!$B:$B,$A34,RecoveredRaw!U:U)</f>
        <v>0</v>
      </c>
      <c r="S34">
        <f>SUMIF(RecoveredRaw!$B:$B,$A34,RecoveredRaw!V:V)</f>
        <v>0</v>
      </c>
      <c r="T34">
        <f>SUMIF(RecoveredRaw!$B:$B,$A34,RecoveredRaw!W:W)</f>
        <v>0</v>
      </c>
      <c r="U34">
        <f>SUMIF(RecoveredRaw!$B:$B,$A34,RecoveredRaw!X:X)</f>
        <v>0</v>
      </c>
      <c r="V34">
        <f>SUMIF(RecoveredRaw!$B:$B,$A34,RecoveredRaw!Y:Y)</f>
        <v>0</v>
      </c>
      <c r="W34">
        <f>SUMIF(RecoveredRaw!$B:$B,$A34,RecoveredRaw!Z:Z)</f>
        <v>0</v>
      </c>
      <c r="X34">
        <f>SUMIF(RecoveredRaw!$B:$B,$A34,RecoveredRaw!AA:AA)</f>
        <v>0</v>
      </c>
      <c r="Y34">
        <f>SUMIF(RecoveredRaw!$B:$B,$A34,RecoveredRaw!AB:AB)</f>
        <v>0</v>
      </c>
      <c r="Z34">
        <f>SUMIF(RecoveredRaw!$B:$B,$A34,RecoveredRaw!AC:AC)</f>
        <v>0</v>
      </c>
      <c r="AA34">
        <f>SUMIF(RecoveredRaw!$B:$B,$A34,RecoveredRaw!AD:AD)</f>
        <v>0</v>
      </c>
      <c r="AB34">
        <f>SUMIF(RecoveredRaw!$B:$B,$A34,RecoveredRaw!AE:AE)</f>
        <v>0</v>
      </c>
      <c r="AC34">
        <f>SUMIF(RecoveredRaw!$B:$B,$A34,RecoveredRaw!AF:AF)</f>
        <v>0</v>
      </c>
      <c r="AD34">
        <f>SUMIF(RecoveredRaw!$B:$B,$A34,RecoveredRaw!AG:AG)</f>
        <v>0</v>
      </c>
      <c r="AE34">
        <f>SUMIF(RecoveredRaw!$B:$B,$A34,RecoveredRaw!AH:AH)</f>
        <v>0</v>
      </c>
      <c r="AF34">
        <f>SUMIF(RecoveredRaw!$B:$B,$A34,RecoveredRaw!AI:AI)</f>
        <v>0</v>
      </c>
      <c r="AG34">
        <f>SUMIF(RecoveredRaw!$B:$B,$A34,RecoveredRaw!AJ:AJ)</f>
        <v>0</v>
      </c>
      <c r="AH34">
        <f>SUMIF(RecoveredRaw!$B:$B,$A34,RecoveredRaw!AK:AK)</f>
        <v>0</v>
      </c>
      <c r="AI34">
        <f>SUMIF(RecoveredRaw!$B:$B,$A34,RecoveredRaw!AL:AL)</f>
        <v>0</v>
      </c>
      <c r="AJ34">
        <f>SUMIF(RecoveredRaw!$B:$B,$A34,RecoveredRaw!AM:AM)</f>
        <v>0</v>
      </c>
      <c r="AK34">
        <f>SUMIF(RecoveredRaw!$B:$B,$A34,RecoveredRaw!AN:AN)</f>
        <v>0</v>
      </c>
      <c r="AL34">
        <f>SUMIF(RecoveredRaw!$B:$B,$A34,RecoveredRaw!AO:AO)</f>
        <v>0</v>
      </c>
      <c r="AM34">
        <f>SUMIF(RecoveredRaw!$B:$B,$A34,RecoveredRaw!AP:AP)</f>
        <v>0</v>
      </c>
      <c r="AN34">
        <f>SUMIF(RecoveredRaw!$B:$B,$A34,RecoveredRaw!AQ:AQ)</f>
        <v>0</v>
      </c>
      <c r="AO34">
        <f>SUMIF(RecoveredRaw!$B:$B,$A34,RecoveredRaw!AR:AR)</f>
        <v>0</v>
      </c>
      <c r="AP34">
        <f>SUMIF(RecoveredRaw!$B:$B,$A34,RecoveredRaw!AS:AS)</f>
        <v>0</v>
      </c>
      <c r="AQ34">
        <f>SUMIF(RecoveredRaw!$B:$B,$A34,RecoveredRaw!AT:AT)</f>
        <v>0</v>
      </c>
      <c r="AR34">
        <f>SUMIF(RecoveredRaw!$B:$B,$A34,RecoveredRaw!AU:AU)</f>
        <v>0</v>
      </c>
      <c r="AS34">
        <f>SUMIF(RecoveredRaw!$B:$B,$A34,RecoveredRaw!AV:AV)</f>
        <v>0</v>
      </c>
      <c r="AT34">
        <f>SUMIF(RecoveredRaw!$B:$B,$A34,RecoveredRaw!AW:AW)</f>
        <v>0</v>
      </c>
      <c r="AU34">
        <f>SUMIF(RecoveredRaw!$B:$B,$A34,RecoveredRaw!AX:AX)</f>
        <v>0</v>
      </c>
      <c r="AV34">
        <f>SUMIF(RecoveredRaw!$B:$B,$A34,RecoveredRaw!AY:AY)</f>
        <v>0</v>
      </c>
      <c r="AW34">
        <f>SUMIF(RecoveredRaw!$B:$B,$A34,RecoveredRaw!AZ:AZ)</f>
        <v>3</v>
      </c>
      <c r="AX34">
        <f>SUMIF(RecoveredRaw!$B:$B,$A34,RecoveredRaw!BA:BA)</f>
        <v>3</v>
      </c>
      <c r="AY34">
        <f>SUMIF(RecoveredRaw!$B:$B,$A34,RecoveredRaw!BB:BB)</f>
        <v>15</v>
      </c>
      <c r="AZ34">
        <f>SUMIF(RecoveredRaw!$B:$B,$A34,RecoveredRaw!BC:BC)</f>
        <v>15</v>
      </c>
      <c r="BA34">
        <f>SUMIF(RecoveredRaw!$B:$B,$A34,RecoveredRaw!BD:BD)</f>
        <v>24</v>
      </c>
      <c r="BB34">
        <f>SUMIF(RecoveredRaw!$B:$B,$A34,RecoveredRaw!BE:BE)</f>
        <v>26</v>
      </c>
      <c r="BC34">
        <f>SUMIF(RecoveredRaw!$B:$B,$A34,RecoveredRaw!BF:BF)</f>
        <v>26</v>
      </c>
      <c r="BD34">
        <f>SUMIF(RecoveredRaw!$B:$B,$A34,RecoveredRaw!BG:BG)</f>
        <v>26</v>
      </c>
      <c r="BE34">
        <f>SUMIF(RecoveredRaw!$B:$B,$A34,RecoveredRaw!BH:BH)</f>
        <v>32</v>
      </c>
      <c r="BF34">
        <f>SUMIF(RecoveredRaw!$B:$B,$A34,RecoveredRaw!BI:BI)</f>
        <v>43</v>
      </c>
      <c r="BG34">
        <f>SUMIF(RecoveredRaw!$B:$B,$A34,RecoveredRaw!BJ:BJ)</f>
        <v>0</v>
      </c>
      <c r="BH34">
        <f>SUMIF(RecoveredRaw!$B:$B,$A34,RecoveredRaw!BK:BK)</f>
        <v>0</v>
      </c>
      <c r="BI34">
        <f>SUMIF(RecoveredRaw!$B:$B,$A34,RecoveredRaw!BL:BL)</f>
        <v>0</v>
      </c>
      <c r="BJ34">
        <f>SUMIF(RecoveredRaw!$B:$B,$A34,RecoveredRaw!BM:BM)</f>
        <v>0</v>
      </c>
      <c r="BK34">
        <f>SUMIF(RecoveredRaw!$B:$B,$A34,RecoveredRaw!BN:BN)</f>
        <v>0</v>
      </c>
      <c r="BL34">
        <f>SUMIF(RecoveredRaw!$B:$B,$A34,RecoveredRaw!BO:BO)</f>
        <v>0</v>
      </c>
      <c r="BM34">
        <f>SUMIF(RecoveredRaw!$B:$B,$A34,RecoveredRaw!BP:BP)</f>
        <v>0</v>
      </c>
      <c r="BN34">
        <f>SUMIF(RecoveredRaw!$B:$B,$A34,RecoveredRaw!BQ:BQ)</f>
        <v>0</v>
      </c>
      <c r="BO34">
        <f>SUMIF(RecoveredRaw!$B:$B,$A34,RecoveredRaw!BR:BR)</f>
        <v>0</v>
      </c>
      <c r="BP34">
        <f>SUMIF(RecoveredRaw!$B:$B,$A34,RecoveredRaw!BS:BS)</f>
        <v>0</v>
      </c>
      <c r="BQ34">
        <f>SUMIF(RecoveredRaw!$B:$B,$A34,RecoveredRaw!BT:BT)</f>
        <v>0</v>
      </c>
      <c r="BR34">
        <f>SUMIF(RecoveredRaw!$B:$B,$A34,RecoveredRaw!BU:BU)</f>
        <v>0</v>
      </c>
      <c r="BS34">
        <f>SUMIF(RecoveredRaw!$B:$B,$A34,RecoveredRaw!BV:BV)</f>
        <v>0</v>
      </c>
      <c r="BT34">
        <f>SUMIF(RecoveredRaw!$B:$B,$A34,RecoveredRaw!BW:BW)</f>
        <v>0</v>
      </c>
    </row>
    <row r="35" spans="1:72" ht="15" thickBot="1" x14ac:dyDescent="0.35">
      <c r="A35" s="4" t="s">
        <v>98</v>
      </c>
      <c r="B35">
        <f>SUMIF(RecoveredRaw!$B:$B,$A35,RecoveredRaw!E:E)</f>
        <v>0</v>
      </c>
      <c r="C35">
        <f>SUMIF(RecoveredRaw!$B:$B,$A35,RecoveredRaw!F:F)</f>
        <v>0</v>
      </c>
      <c r="D35">
        <f>SUMIF(RecoveredRaw!$B:$B,$A35,RecoveredRaw!G:G)</f>
        <v>0</v>
      </c>
      <c r="E35">
        <f>SUMIF(RecoveredRaw!$B:$B,$A35,RecoveredRaw!H:H)</f>
        <v>0</v>
      </c>
      <c r="F35">
        <f>SUMIF(RecoveredRaw!$B:$B,$A35,RecoveredRaw!I:I)</f>
        <v>0</v>
      </c>
      <c r="G35">
        <f>SUMIF(RecoveredRaw!$B:$B,$A35,RecoveredRaw!J:J)</f>
        <v>0</v>
      </c>
      <c r="H35">
        <f>SUMIF(RecoveredRaw!$B:$B,$A35,RecoveredRaw!K:K)</f>
        <v>0</v>
      </c>
      <c r="I35">
        <f>SUMIF(RecoveredRaw!$B:$B,$A35,RecoveredRaw!L:L)</f>
        <v>0</v>
      </c>
      <c r="J35">
        <f>SUMIF(RecoveredRaw!$B:$B,$A35,RecoveredRaw!M:M)</f>
        <v>0</v>
      </c>
      <c r="K35">
        <f>SUMIF(RecoveredRaw!$B:$B,$A35,RecoveredRaw!N:N)</f>
        <v>0</v>
      </c>
      <c r="L35">
        <f>SUMIF(RecoveredRaw!$B:$B,$A35,RecoveredRaw!O:O)</f>
        <v>0</v>
      </c>
      <c r="M35">
        <f>SUMIF(RecoveredRaw!$B:$B,$A35,RecoveredRaw!P:P)</f>
        <v>0</v>
      </c>
      <c r="N35">
        <f>SUMIF(RecoveredRaw!$B:$B,$A35,RecoveredRaw!Q:Q)</f>
        <v>0</v>
      </c>
      <c r="O35">
        <f>SUMIF(RecoveredRaw!$B:$B,$A35,RecoveredRaw!R:R)</f>
        <v>0</v>
      </c>
      <c r="P35">
        <f>SUMIF(RecoveredRaw!$B:$B,$A35,RecoveredRaw!S:S)</f>
        <v>0</v>
      </c>
      <c r="Q35">
        <f>SUMIF(RecoveredRaw!$B:$B,$A35,RecoveredRaw!T:T)</f>
        <v>0</v>
      </c>
      <c r="R35">
        <f>SUMIF(RecoveredRaw!$B:$B,$A35,RecoveredRaw!U:U)</f>
        <v>0</v>
      </c>
      <c r="S35">
        <f>SUMIF(RecoveredRaw!$B:$B,$A35,RecoveredRaw!V:V)</f>
        <v>0</v>
      </c>
      <c r="T35">
        <f>SUMIF(RecoveredRaw!$B:$B,$A35,RecoveredRaw!W:W)</f>
        <v>0</v>
      </c>
      <c r="U35">
        <f>SUMIF(RecoveredRaw!$B:$B,$A35,RecoveredRaw!X:X)</f>
        <v>0</v>
      </c>
      <c r="V35">
        <f>SUMIF(RecoveredRaw!$B:$B,$A35,RecoveredRaw!Y:Y)</f>
        <v>0</v>
      </c>
      <c r="W35">
        <f>SUMIF(RecoveredRaw!$B:$B,$A35,RecoveredRaw!Z:Z)</f>
        <v>0</v>
      </c>
      <c r="X35">
        <f>SUMIF(RecoveredRaw!$B:$B,$A35,RecoveredRaw!AA:AA)</f>
        <v>0</v>
      </c>
      <c r="Y35">
        <f>SUMIF(RecoveredRaw!$B:$B,$A35,RecoveredRaw!AB:AB)</f>
        <v>0</v>
      </c>
      <c r="Z35">
        <f>SUMIF(RecoveredRaw!$B:$B,$A35,RecoveredRaw!AC:AC)</f>
        <v>0</v>
      </c>
      <c r="AA35">
        <f>SUMIF(RecoveredRaw!$B:$B,$A35,RecoveredRaw!AD:AD)</f>
        <v>0</v>
      </c>
      <c r="AB35">
        <f>SUMIF(RecoveredRaw!$B:$B,$A35,RecoveredRaw!AE:AE)</f>
        <v>0</v>
      </c>
      <c r="AC35">
        <f>SUMIF(RecoveredRaw!$B:$B,$A35,RecoveredRaw!AF:AF)</f>
        <v>0</v>
      </c>
      <c r="AD35">
        <f>SUMIF(RecoveredRaw!$B:$B,$A35,RecoveredRaw!AG:AG)</f>
        <v>0</v>
      </c>
      <c r="AE35">
        <f>SUMIF(RecoveredRaw!$B:$B,$A35,RecoveredRaw!AH:AH)</f>
        <v>0</v>
      </c>
      <c r="AF35">
        <f>SUMIF(RecoveredRaw!$B:$B,$A35,RecoveredRaw!AI:AI)</f>
        <v>0</v>
      </c>
      <c r="AG35">
        <f>SUMIF(RecoveredRaw!$B:$B,$A35,RecoveredRaw!AJ:AJ)</f>
        <v>0</v>
      </c>
      <c r="AH35">
        <f>SUMIF(RecoveredRaw!$B:$B,$A35,RecoveredRaw!AK:AK)</f>
        <v>0</v>
      </c>
      <c r="AI35">
        <f>SUMIF(RecoveredRaw!$B:$B,$A35,RecoveredRaw!AL:AL)</f>
        <v>0</v>
      </c>
      <c r="AJ35">
        <f>SUMIF(RecoveredRaw!$B:$B,$A35,RecoveredRaw!AM:AM)</f>
        <v>0</v>
      </c>
      <c r="AK35">
        <f>SUMIF(RecoveredRaw!$B:$B,$A35,RecoveredRaw!AN:AN)</f>
        <v>0</v>
      </c>
      <c r="AL35">
        <f>SUMIF(RecoveredRaw!$B:$B,$A35,RecoveredRaw!AO:AO)</f>
        <v>0</v>
      </c>
      <c r="AM35">
        <f>SUMIF(RecoveredRaw!$B:$B,$A35,RecoveredRaw!AP:AP)</f>
        <v>0</v>
      </c>
      <c r="AN35">
        <f>SUMIF(RecoveredRaw!$B:$B,$A35,RecoveredRaw!AQ:AQ)</f>
        <v>0</v>
      </c>
      <c r="AO35">
        <f>SUMIF(RecoveredRaw!$B:$B,$A35,RecoveredRaw!AR:AR)</f>
        <v>0</v>
      </c>
      <c r="AP35">
        <f>SUMIF(RecoveredRaw!$B:$B,$A35,RecoveredRaw!AS:AS)</f>
        <v>0</v>
      </c>
      <c r="AQ35">
        <f>SUMIF(RecoveredRaw!$B:$B,$A35,RecoveredRaw!AT:AT)</f>
        <v>0</v>
      </c>
      <c r="AR35">
        <f>SUMIF(RecoveredRaw!$B:$B,$A35,RecoveredRaw!AU:AU)</f>
        <v>0</v>
      </c>
      <c r="AS35">
        <f>SUMIF(RecoveredRaw!$B:$B,$A35,RecoveredRaw!AV:AV)</f>
        <v>0</v>
      </c>
      <c r="AT35">
        <f>SUMIF(RecoveredRaw!$B:$B,$A35,RecoveredRaw!AW:AW)</f>
        <v>0</v>
      </c>
      <c r="AU35">
        <f>SUMIF(RecoveredRaw!$B:$B,$A35,RecoveredRaw!AX:AX)</f>
        <v>0</v>
      </c>
      <c r="AV35">
        <f>SUMIF(RecoveredRaw!$B:$B,$A35,RecoveredRaw!AY:AY)</f>
        <v>0</v>
      </c>
      <c r="AW35">
        <f>SUMIF(RecoveredRaw!$B:$B,$A35,RecoveredRaw!AZ:AZ)</f>
        <v>0</v>
      </c>
      <c r="AX35">
        <f>SUMIF(RecoveredRaw!$B:$B,$A35,RecoveredRaw!BA:BA)</f>
        <v>0</v>
      </c>
      <c r="AY35">
        <f>SUMIF(RecoveredRaw!$B:$B,$A35,RecoveredRaw!BB:BB)</f>
        <v>0</v>
      </c>
      <c r="AZ35">
        <f>SUMIF(RecoveredRaw!$B:$B,$A35,RecoveredRaw!BC:BC)</f>
        <v>0</v>
      </c>
      <c r="BA35">
        <f>SUMIF(RecoveredRaw!$B:$B,$A35,RecoveredRaw!BD:BD)</f>
        <v>0</v>
      </c>
      <c r="BB35">
        <f>SUMIF(RecoveredRaw!$B:$B,$A35,RecoveredRaw!BE:BE)</f>
        <v>0</v>
      </c>
      <c r="BC35">
        <f>SUMIF(RecoveredRaw!$B:$B,$A35,RecoveredRaw!BF:BF)</f>
        <v>0</v>
      </c>
      <c r="BD35">
        <f>SUMIF(RecoveredRaw!$B:$B,$A35,RecoveredRaw!BG:BG)</f>
        <v>0</v>
      </c>
      <c r="BE35">
        <f>SUMIF(RecoveredRaw!$B:$B,$A35,RecoveredRaw!BH:BH)</f>
        <v>5</v>
      </c>
      <c r="BF35">
        <f>SUMIF(RecoveredRaw!$B:$B,$A35,RecoveredRaw!BI:BI)</f>
        <v>5</v>
      </c>
      <c r="BG35">
        <f>SUMIF(RecoveredRaw!$B:$B,$A35,RecoveredRaw!BJ:BJ)</f>
        <v>0</v>
      </c>
      <c r="BH35">
        <f>SUMIF(RecoveredRaw!$B:$B,$A35,RecoveredRaw!BK:BK)</f>
        <v>0</v>
      </c>
      <c r="BI35">
        <f>SUMIF(RecoveredRaw!$B:$B,$A35,RecoveredRaw!BL:BL)</f>
        <v>0</v>
      </c>
      <c r="BJ35">
        <f>SUMIF(RecoveredRaw!$B:$B,$A35,RecoveredRaw!BM:BM)</f>
        <v>0</v>
      </c>
      <c r="BK35">
        <f>SUMIF(RecoveredRaw!$B:$B,$A35,RecoveredRaw!BN:BN)</f>
        <v>0</v>
      </c>
      <c r="BL35">
        <f>SUMIF(RecoveredRaw!$B:$B,$A35,RecoveredRaw!BO:BO)</f>
        <v>0</v>
      </c>
      <c r="BM35">
        <f>SUMIF(RecoveredRaw!$B:$B,$A35,RecoveredRaw!BP:BP)</f>
        <v>0</v>
      </c>
      <c r="BN35">
        <f>SUMIF(RecoveredRaw!$B:$B,$A35,RecoveredRaw!BQ:BQ)</f>
        <v>0</v>
      </c>
      <c r="BO35">
        <f>SUMIF(RecoveredRaw!$B:$B,$A35,RecoveredRaw!BR:BR)</f>
        <v>0</v>
      </c>
      <c r="BP35">
        <f>SUMIF(RecoveredRaw!$B:$B,$A35,RecoveredRaw!BS:BS)</f>
        <v>0</v>
      </c>
      <c r="BQ35">
        <f>SUMIF(RecoveredRaw!$B:$B,$A35,RecoveredRaw!BT:BT)</f>
        <v>0</v>
      </c>
      <c r="BR35">
        <f>SUMIF(RecoveredRaw!$B:$B,$A35,RecoveredRaw!BU:BU)</f>
        <v>0</v>
      </c>
      <c r="BS35">
        <f>SUMIF(RecoveredRaw!$B:$B,$A35,RecoveredRaw!BV:BV)</f>
        <v>0</v>
      </c>
      <c r="BT35">
        <f>SUMIF(RecoveredRaw!$B:$B,$A35,RecoveredRaw!BW:BW)</f>
        <v>0</v>
      </c>
    </row>
    <row r="36" spans="1:72" ht="15" thickBot="1" x14ac:dyDescent="0.35">
      <c r="A36" s="3" t="s">
        <v>86</v>
      </c>
      <c r="B36">
        <f>SUMIF(RecoveredRaw!$B:$B,$A36,RecoveredRaw!E:E)</f>
        <v>0</v>
      </c>
      <c r="C36">
        <f>SUMIF(RecoveredRaw!$B:$B,$A36,RecoveredRaw!F:F)</f>
        <v>0</v>
      </c>
      <c r="D36">
        <f>SUMIF(RecoveredRaw!$B:$B,$A36,RecoveredRaw!G:G)</f>
        <v>0</v>
      </c>
      <c r="E36">
        <f>SUMIF(RecoveredRaw!$B:$B,$A36,RecoveredRaw!H:H)</f>
        <v>0</v>
      </c>
      <c r="F36">
        <f>SUMIF(RecoveredRaw!$B:$B,$A36,RecoveredRaw!I:I)</f>
        <v>0</v>
      </c>
      <c r="G36">
        <f>SUMIF(RecoveredRaw!$B:$B,$A36,RecoveredRaw!J:J)</f>
        <v>0</v>
      </c>
      <c r="H36">
        <f>SUMIF(RecoveredRaw!$B:$B,$A36,RecoveredRaw!K:K)</f>
        <v>0</v>
      </c>
      <c r="I36">
        <f>SUMIF(RecoveredRaw!$B:$B,$A36,RecoveredRaw!L:L)</f>
        <v>0</v>
      </c>
      <c r="J36">
        <f>SUMIF(RecoveredRaw!$B:$B,$A36,RecoveredRaw!M:M)</f>
        <v>0</v>
      </c>
      <c r="K36">
        <f>SUMIF(RecoveredRaw!$B:$B,$A36,RecoveredRaw!N:N)</f>
        <v>0</v>
      </c>
      <c r="L36">
        <f>SUMIF(RecoveredRaw!$B:$B,$A36,RecoveredRaw!O:O)</f>
        <v>0</v>
      </c>
      <c r="M36">
        <f>SUMIF(RecoveredRaw!$B:$B,$A36,RecoveredRaw!P:P)</f>
        <v>0</v>
      </c>
      <c r="N36">
        <f>SUMIF(RecoveredRaw!$B:$B,$A36,RecoveredRaw!Q:Q)</f>
        <v>0</v>
      </c>
      <c r="O36">
        <f>SUMIF(RecoveredRaw!$B:$B,$A36,RecoveredRaw!R:R)</f>
        <v>0</v>
      </c>
      <c r="P36">
        <f>SUMIF(RecoveredRaw!$B:$B,$A36,RecoveredRaw!S:S)</f>
        <v>0</v>
      </c>
      <c r="Q36">
        <f>SUMIF(RecoveredRaw!$B:$B,$A36,RecoveredRaw!T:T)</f>
        <v>0</v>
      </c>
      <c r="R36">
        <f>SUMIF(RecoveredRaw!$B:$B,$A36,RecoveredRaw!U:U)</f>
        <v>0</v>
      </c>
      <c r="S36">
        <f>SUMIF(RecoveredRaw!$B:$B,$A36,RecoveredRaw!V:V)</f>
        <v>0</v>
      </c>
      <c r="T36">
        <f>SUMIF(RecoveredRaw!$B:$B,$A36,RecoveredRaw!W:W)</f>
        <v>0</v>
      </c>
      <c r="U36">
        <f>SUMIF(RecoveredRaw!$B:$B,$A36,RecoveredRaw!X:X)</f>
        <v>0</v>
      </c>
      <c r="V36">
        <f>SUMIF(RecoveredRaw!$B:$B,$A36,RecoveredRaw!Y:Y)</f>
        <v>0</v>
      </c>
      <c r="W36">
        <f>SUMIF(RecoveredRaw!$B:$B,$A36,RecoveredRaw!Z:Z)</f>
        <v>0</v>
      </c>
      <c r="X36">
        <f>SUMIF(RecoveredRaw!$B:$B,$A36,RecoveredRaw!AA:AA)</f>
        <v>0</v>
      </c>
      <c r="Y36">
        <f>SUMIF(RecoveredRaw!$B:$B,$A36,RecoveredRaw!AB:AB)</f>
        <v>0</v>
      </c>
      <c r="Z36">
        <f>SUMIF(RecoveredRaw!$B:$B,$A36,RecoveredRaw!AC:AC)</f>
        <v>0</v>
      </c>
      <c r="AA36">
        <f>SUMIF(RecoveredRaw!$B:$B,$A36,RecoveredRaw!AD:AD)</f>
        <v>0</v>
      </c>
      <c r="AB36">
        <f>SUMIF(RecoveredRaw!$B:$B,$A36,RecoveredRaw!AE:AE)</f>
        <v>0</v>
      </c>
      <c r="AC36">
        <f>SUMIF(RecoveredRaw!$B:$B,$A36,RecoveredRaw!AF:AF)</f>
        <v>0</v>
      </c>
      <c r="AD36">
        <f>SUMIF(RecoveredRaw!$B:$B,$A36,RecoveredRaw!AG:AG)</f>
        <v>0</v>
      </c>
      <c r="AE36">
        <f>SUMIF(RecoveredRaw!$B:$B,$A36,RecoveredRaw!AH:AH)</f>
        <v>0</v>
      </c>
      <c r="AF36">
        <f>SUMIF(RecoveredRaw!$B:$B,$A36,RecoveredRaw!AI:AI)</f>
        <v>0</v>
      </c>
      <c r="AG36">
        <f>SUMIF(RecoveredRaw!$B:$B,$A36,RecoveredRaw!AJ:AJ)</f>
        <v>0</v>
      </c>
      <c r="AH36">
        <f>SUMIF(RecoveredRaw!$B:$B,$A36,RecoveredRaw!AK:AK)</f>
        <v>0</v>
      </c>
      <c r="AI36">
        <f>SUMIF(RecoveredRaw!$B:$B,$A36,RecoveredRaw!AL:AL)</f>
        <v>0</v>
      </c>
      <c r="AJ36">
        <f>SUMIF(RecoveredRaw!$B:$B,$A36,RecoveredRaw!AM:AM)</f>
        <v>0</v>
      </c>
      <c r="AK36">
        <f>SUMIF(RecoveredRaw!$B:$B,$A36,RecoveredRaw!AN:AN)</f>
        <v>0</v>
      </c>
      <c r="AL36">
        <f>SUMIF(RecoveredRaw!$B:$B,$A36,RecoveredRaw!AO:AO)</f>
        <v>0</v>
      </c>
      <c r="AM36">
        <f>SUMIF(RecoveredRaw!$B:$B,$A36,RecoveredRaw!AP:AP)</f>
        <v>0</v>
      </c>
      <c r="AN36">
        <f>SUMIF(RecoveredRaw!$B:$B,$A36,RecoveredRaw!AQ:AQ)</f>
        <v>0</v>
      </c>
      <c r="AO36">
        <f>SUMIF(RecoveredRaw!$B:$B,$A36,RecoveredRaw!AR:AR)</f>
        <v>0</v>
      </c>
      <c r="AP36">
        <f>SUMIF(RecoveredRaw!$B:$B,$A36,RecoveredRaw!AS:AS)</f>
        <v>0</v>
      </c>
      <c r="AQ36">
        <f>SUMIF(RecoveredRaw!$B:$B,$A36,RecoveredRaw!AT:AT)</f>
        <v>0</v>
      </c>
      <c r="AR36">
        <f>SUMIF(RecoveredRaw!$B:$B,$A36,RecoveredRaw!AU:AU)</f>
        <v>1</v>
      </c>
      <c r="AS36">
        <f>SUMIF(RecoveredRaw!$B:$B,$A36,RecoveredRaw!AV:AV)</f>
        <v>1</v>
      </c>
      <c r="AT36">
        <f>SUMIF(RecoveredRaw!$B:$B,$A36,RecoveredRaw!AW:AW)</f>
        <v>1</v>
      </c>
      <c r="AU36">
        <f>SUMIF(RecoveredRaw!$B:$B,$A36,RecoveredRaw!AX:AX)</f>
        <v>3</v>
      </c>
      <c r="AV36">
        <f>SUMIF(RecoveredRaw!$B:$B,$A36,RecoveredRaw!AY:AY)</f>
        <v>3</v>
      </c>
      <c r="AW36">
        <f>SUMIF(RecoveredRaw!$B:$B,$A36,RecoveredRaw!AZ:AZ)</f>
        <v>3</v>
      </c>
      <c r="AX36">
        <f>SUMIF(RecoveredRaw!$B:$B,$A36,RecoveredRaw!BA:BA)</f>
        <v>3</v>
      </c>
      <c r="AY36">
        <f>SUMIF(RecoveredRaw!$B:$B,$A36,RecoveredRaw!BB:BB)</f>
        <v>6</v>
      </c>
      <c r="AZ36">
        <f>SUMIF(RecoveredRaw!$B:$B,$A36,RecoveredRaw!BC:BC)</f>
        <v>6</v>
      </c>
      <c r="BA36">
        <f>SUMIF(RecoveredRaw!$B:$B,$A36,RecoveredRaw!BD:BD)</f>
        <v>7</v>
      </c>
      <c r="BB36">
        <f>SUMIF(RecoveredRaw!$B:$B,$A36,RecoveredRaw!BE:BE)</f>
        <v>9</v>
      </c>
      <c r="BC36">
        <f>SUMIF(RecoveredRaw!$B:$B,$A36,RecoveredRaw!BF:BF)</f>
        <v>9</v>
      </c>
      <c r="BD36">
        <f>SUMIF(RecoveredRaw!$B:$B,$A36,RecoveredRaw!BG:BG)</f>
        <v>9</v>
      </c>
      <c r="BE36">
        <f>SUMIF(RecoveredRaw!$B:$B,$A36,RecoveredRaw!BH:BH)</f>
        <v>16</v>
      </c>
      <c r="BF36">
        <f>SUMIF(RecoveredRaw!$B:$B,$A36,RecoveredRaw!BI:BI)</f>
        <v>19</v>
      </c>
      <c r="BG36">
        <f>SUMIF(RecoveredRaw!$B:$B,$A36,RecoveredRaw!BJ:BJ)</f>
        <v>0</v>
      </c>
      <c r="BH36">
        <f>SUMIF(RecoveredRaw!$B:$B,$A36,RecoveredRaw!BK:BK)</f>
        <v>0</v>
      </c>
      <c r="BI36">
        <f>SUMIF(RecoveredRaw!$B:$B,$A36,RecoveredRaw!BL:BL)</f>
        <v>0</v>
      </c>
      <c r="BJ36">
        <f>SUMIF(RecoveredRaw!$B:$B,$A36,RecoveredRaw!BM:BM)</f>
        <v>0</v>
      </c>
      <c r="BK36">
        <f>SUMIF(RecoveredRaw!$B:$B,$A36,RecoveredRaw!BN:BN)</f>
        <v>0</v>
      </c>
      <c r="BL36">
        <f>SUMIF(RecoveredRaw!$B:$B,$A36,RecoveredRaw!BO:BO)</f>
        <v>0</v>
      </c>
      <c r="BM36">
        <f>SUMIF(RecoveredRaw!$B:$B,$A36,RecoveredRaw!BP:BP)</f>
        <v>0</v>
      </c>
      <c r="BN36">
        <f>SUMIF(RecoveredRaw!$B:$B,$A36,RecoveredRaw!BQ:BQ)</f>
        <v>0</v>
      </c>
      <c r="BO36">
        <f>SUMIF(RecoveredRaw!$B:$B,$A36,RecoveredRaw!BR:BR)</f>
        <v>0</v>
      </c>
      <c r="BP36">
        <f>SUMIF(RecoveredRaw!$B:$B,$A36,RecoveredRaw!BS:BS)</f>
        <v>0</v>
      </c>
      <c r="BQ36">
        <f>SUMIF(RecoveredRaw!$B:$B,$A36,RecoveredRaw!BT:BT)</f>
        <v>0</v>
      </c>
      <c r="BR36">
        <f>SUMIF(RecoveredRaw!$B:$B,$A36,RecoveredRaw!BU:BU)</f>
        <v>0</v>
      </c>
      <c r="BS36">
        <f>SUMIF(RecoveredRaw!$B:$B,$A36,RecoveredRaw!BV:BV)</f>
        <v>0</v>
      </c>
      <c r="BT36">
        <f>SUMIF(RecoveredRaw!$B:$B,$A36,RecoveredRaw!BW:BW)</f>
        <v>0</v>
      </c>
    </row>
    <row r="37" spans="1:72" ht="15" thickBot="1" x14ac:dyDescent="0.35">
      <c r="A37" s="4" t="s">
        <v>113</v>
      </c>
      <c r="B37">
        <f>SUMIF(RecoveredRaw!$B:$B,$A37,RecoveredRaw!E:E)</f>
        <v>0</v>
      </c>
      <c r="C37">
        <f>SUMIF(RecoveredRaw!$B:$B,$A37,RecoveredRaw!F:F)</f>
        <v>0</v>
      </c>
      <c r="D37">
        <f>SUMIF(RecoveredRaw!$B:$B,$A37,RecoveredRaw!G:G)</f>
        <v>0</v>
      </c>
      <c r="E37">
        <f>SUMIF(RecoveredRaw!$B:$B,$A37,RecoveredRaw!H:H)</f>
        <v>0</v>
      </c>
      <c r="F37">
        <f>SUMIF(RecoveredRaw!$B:$B,$A37,RecoveredRaw!I:I)</f>
        <v>0</v>
      </c>
      <c r="G37">
        <f>SUMIF(RecoveredRaw!$B:$B,$A37,RecoveredRaw!J:J)</f>
        <v>0</v>
      </c>
      <c r="H37">
        <f>SUMIF(RecoveredRaw!$B:$B,$A37,RecoveredRaw!K:K)</f>
        <v>0</v>
      </c>
      <c r="I37">
        <f>SUMIF(RecoveredRaw!$B:$B,$A37,RecoveredRaw!L:L)</f>
        <v>0</v>
      </c>
      <c r="J37">
        <f>SUMIF(RecoveredRaw!$B:$B,$A37,RecoveredRaw!M:M)</f>
        <v>0</v>
      </c>
      <c r="K37">
        <f>SUMIF(RecoveredRaw!$B:$B,$A37,RecoveredRaw!N:N)</f>
        <v>0</v>
      </c>
      <c r="L37">
        <f>SUMIF(RecoveredRaw!$B:$B,$A37,RecoveredRaw!O:O)</f>
        <v>0</v>
      </c>
      <c r="M37">
        <f>SUMIF(RecoveredRaw!$B:$B,$A37,RecoveredRaw!P:P)</f>
        <v>0</v>
      </c>
      <c r="N37">
        <f>SUMIF(RecoveredRaw!$B:$B,$A37,RecoveredRaw!Q:Q)</f>
        <v>0</v>
      </c>
      <c r="O37">
        <f>SUMIF(RecoveredRaw!$B:$B,$A37,RecoveredRaw!R:R)</f>
        <v>0</v>
      </c>
      <c r="P37">
        <f>SUMIF(RecoveredRaw!$B:$B,$A37,RecoveredRaw!S:S)</f>
        <v>0</v>
      </c>
      <c r="Q37">
        <f>SUMIF(RecoveredRaw!$B:$B,$A37,RecoveredRaw!T:T)</f>
        <v>0</v>
      </c>
      <c r="R37">
        <f>SUMIF(RecoveredRaw!$B:$B,$A37,RecoveredRaw!U:U)</f>
        <v>0</v>
      </c>
      <c r="S37">
        <f>SUMIF(RecoveredRaw!$B:$B,$A37,RecoveredRaw!V:V)</f>
        <v>0</v>
      </c>
      <c r="T37">
        <f>SUMIF(RecoveredRaw!$B:$B,$A37,RecoveredRaw!W:W)</f>
        <v>0</v>
      </c>
      <c r="U37">
        <f>SUMIF(RecoveredRaw!$B:$B,$A37,RecoveredRaw!X:X)</f>
        <v>0</v>
      </c>
      <c r="V37">
        <f>SUMIF(RecoveredRaw!$B:$B,$A37,RecoveredRaw!Y:Y)</f>
        <v>0</v>
      </c>
      <c r="W37">
        <f>SUMIF(RecoveredRaw!$B:$B,$A37,RecoveredRaw!Z:Z)</f>
        <v>0</v>
      </c>
      <c r="X37">
        <f>SUMIF(RecoveredRaw!$B:$B,$A37,RecoveredRaw!AA:AA)</f>
        <v>0</v>
      </c>
      <c r="Y37">
        <f>SUMIF(RecoveredRaw!$B:$B,$A37,RecoveredRaw!AB:AB)</f>
        <v>0</v>
      </c>
      <c r="Z37">
        <f>SUMIF(RecoveredRaw!$B:$B,$A37,RecoveredRaw!AC:AC)</f>
        <v>0</v>
      </c>
      <c r="AA37">
        <f>SUMIF(RecoveredRaw!$B:$B,$A37,RecoveredRaw!AD:AD)</f>
        <v>0</v>
      </c>
      <c r="AB37">
        <f>SUMIF(RecoveredRaw!$B:$B,$A37,RecoveredRaw!AE:AE)</f>
        <v>0</v>
      </c>
      <c r="AC37">
        <f>SUMIF(RecoveredRaw!$B:$B,$A37,RecoveredRaw!AF:AF)</f>
        <v>0</v>
      </c>
      <c r="AD37">
        <f>SUMIF(RecoveredRaw!$B:$B,$A37,RecoveredRaw!AG:AG)</f>
        <v>0</v>
      </c>
      <c r="AE37">
        <f>SUMIF(RecoveredRaw!$B:$B,$A37,RecoveredRaw!AH:AH)</f>
        <v>0</v>
      </c>
      <c r="AF37">
        <f>SUMIF(RecoveredRaw!$B:$B,$A37,RecoveredRaw!AI:AI)</f>
        <v>0</v>
      </c>
      <c r="AG37">
        <f>SUMIF(RecoveredRaw!$B:$B,$A37,RecoveredRaw!AJ:AJ)</f>
        <v>0</v>
      </c>
      <c r="AH37">
        <f>SUMIF(RecoveredRaw!$B:$B,$A37,RecoveredRaw!AK:AK)</f>
        <v>0</v>
      </c>
      <c r="AI37">
        <f>SUMIF(RecoveredRaw!$B:$B,$A37,RecoveredRaw!AL:AL)</f>
        <v>0</v>
      </c>
      <c r="AJ37">
        <f>SUMIF(RecoveredRaw!$B:$B,$A37,RecoveredRaw!AM:AM)</f>
        <v>0</v>
      </c>
      <c r="AK37">
        <f>SUMIF(RecoveredRaw!$B:$B,$A37,RecoveredRaw!AN:AN)</f>
        <v>0</v>
      </c>
      <c r="AL37">
        <f>SUMIF(RecoveredRaw!$B:$B,$A37,RecoveredRaw!AO:AO)</f>
        <v>0</v>
      </c>
      <c r="AM37">
        <f>SUMIF(RecoveredRaw!$B:$B,$A37,RecoveredRaw!AP:AP)</f>
        <v>0</v>
      </c>
      <c r="AN37">
        <f>SUMIF(RecoveredRaw!$B:$B,$A37,RecoveredRaw!AQ:AQ)</f>
        <v>0</v>
      </c>
      <c r="AO37">
        <f>SUMIF(RecoveredRaw!$B:$B,$A37,RecoveredRaw!AR:AR)</f>
        <v>0</v>
      </c>
      <c r="AP37">
        <f>SUMIF(RecoveredRaw!$B:$B,$A37,RecoveredRaw!AS:AS)</f>
        <v>0</v>
      </c>
      <c r="AQ37">
        <f>SUMIF(RecoveredRaw!$B:$B,$A37,RecoveredRaw!AT:AT)</f>
        <v>0</v>
      </c>
      <c r="AR37">
        <f>SUMIF(RecoveredRaw!$B:$B,$A37,RecoveredRaw!AU:AU)</f>
        <v>0</v>
      </c>
      <c r="AS37">
        <f>SUMIF(RecoveredRaw!$B:$B,$A37,RecoveredRaw!AV:AV)</f>
        <v>0</v>
      </c>
      <c r="AT37">
        <f>SUMIF(RecoveredRaw!$B:$B,$A37,RecoveredRaw!AW:AW)</f>
        <v>0</v>
      </c>
      <c r="AU37">
        <f>SUMIF(RecoveredRaw!$B:$B,$A37,RecoveredRaw!AX:AX)</f>
        <v>0</v>
      </c>
      <c r="AV37">
        <f>SUMIF(RecoveredRaw!$B:$B,$A37,RecoveredRaw!AY:AY)</f>
        <v>0</v>
      </c>
      <c r="AW37">
        <f>SUMIF(RecoveredRaw!$B:$B,$A37,RecoveredRaw!AZ:AZ)</f>
        <v>0</v>
      </c>
      <c r="AX37">
        <f>SUMIF(RecoveredRaw!$B:$B,$A37,RecoveredRaw!BA:BA)</f>
        <v>1</v>
      </c>
      <c r="AY37">
        <f>SUMIF(RecoveredRaw!$B:$B,$A37,RecoveredRaw!BB:BB)</f>
        <v>1</v>
      </c>
      <c r="AZ37">
        <f>SUMIF(RecoveredRaw!$B:$B,$A37,RecoveredRaw!BC:BC)</f>
        <v>1</v>
      </c>
      <c r="BA37">
        <f>SUMIF(RecoveredRaw!$B:$B,$A37,RecoveredRaw!BD:BD)</f>
        <v>1</v>
      </c>
      <c r="BB37">
        <f>SUMIF(RecoveredRaw!$B:$B,$A37,RecoveredRaw!BE:BE)</f>
        <v>1</v>
      </c>
      <c r="BC37">
        <f>SUMIF(RecoveredRaw!$B:$B,$A37,RecoveredRaw!BF:BF)</f>
        <v>1</v>
      </c>
      <c r="BD37">
        <f>SUMIF(RecoveredRaw!$B:$B,$A37,RecoveredRaw!BG:BG)</f>
        <v>2</v>
      </c>
      <c r="BE37">
        <f>SUMIF(RecoveredRaw!$B:$B,$A37,RecoveredRaw!BH:BH)</f>
        <v>6</v>
      </c>
      <c r="BF37">
        <f>SUMIF(RecoveredRaw!$B:$B,$A37,RecoveredRaw!BI:BI)</f>
        <v>6</v>
      </c>
      <c r="BG37">
        <f>SUMIF(RecoveredRaw!$B:$B,$A37,RecoveredRaw!BJ:BJ)</f>
        <v>0</v>
      </c>
      <c r="BH37">
        <f>SUMIF(RecoveredRaw!$B:$B,$A37,RecoveredRaw!BK:BK)</f>
        <v>0</v>
      </c>
      <c r="BI37">
        <f>SUMIF(RecoveredRaw!$B:$B,$A37,RecoveredRaw!BL:BL)</f>
        <v>0</v>
      </c>
      <c r="BJ37">
        <f>SUMIF(RecoveredRaw!$B:$B,$A37,RecoveredRaw!BM:BM)</f>
        <v>0</v>
      </c>
      <c r="BK37">
        <f>SUMIF(RecoveredRaw!$B:$B,$A37,RecoveredRaw!BN:BN)</f>
        <v>0</v>
      </c>
      <c r="BL37">
        <f>SUMIF(RecoveredRaw!$B:$B,$A37,RecoveredRaw!BO:BO)</f>
        <v>0</v>
      </c>
      <c r="BM37">
        <f>SUMIF(RecoveredRaw!$B:$B,$A37,RecoveredRaw!BP:BP)</f>
        <v>0</v>
      </c>
      <c r="BN37">
        <f>SUMIF(RecoveredRaw!$B:$B,$A37,RecoveredRaw!BQ:BQ)</f>
        <v>0</v>
      </c>
      <c r="BO37">
        <f>SUMIF(RecoveredRaw!$B:$B,$A37,RecoveredRaw!BR:BR)</f>
        <v>0</v>
      </c>
      <c r="BP37">
        <f>SUMIF(RecoveredRaw!$B:$B,$A37,RecoveredRaw!BS:BS)</f>
        <v>0</v>
      </c>
      <c r="BQ37">
        <f>SUMIF(RecoveredRaw!$B:$B,$A37,RecoveredRaw!BT:BT)</f>
        <v>0</v>
      </c>
      <c r="BR37">
        <f>SUMIF(RecoveredRaw!$B:$B,$A37,RecoveredRaw!BU:BU)</f>
        <v>0</v>
      </c>
      <c r="BS37">
        <f>SUMIF(RecoveredRaw!$B:$B,$A37,RecoveredRaw!BV:BV)</f>
        <v>0</v>
      </c>
      <c r="BT37">
        <f>SUMIF(RecoveredRaw!$B:$B,$A37,RecoveredRaw!BW:BW)</f>
        <v>0</v>
      </c>
    </row>
    <row r="38" spans="1:72" ht="15" thickBot="1" x14ac:dyDescent="0.35">
      <c r="A38" s="4" t="s">
        <v>55</v>
      </c>
      <c r="B38">
        <f>SUMIF(RecoveredRaw!$B:$B,$A38,RecoveredRaw!E:E)</f>
        <v>0</v>
      </c>
      <c r="C38">
        <f>SUMIF(RecoveredRaw!$B:$B,$A38,RecoveredRaw!F:F)</f>
        <v>0</v>
      </c>
      <c r="D38">
        <f>SUMIF(RecoveredRaw!$B:$B,$A38,RecoveredRaw!G:G)</f>
        <v>0</v>
      </c>
      <c r="E38">
        <f>SUMIF(RecoveredRaw!$B:$B,$A38,RecoveredRaw!H:H)</f>
        <v>0</v>
      </c>
      <c r="F38">
        <f>SUMIF(RecoveredRaw!$B:$B,$A38,RecoveredRaw!I:I)</f>
        <v>0</v>
      </c>
      <c r="G38">
        <f>SUMIF(RecoveredRaw!$B:$B,$A38,RecoveredRaw!J:J)</f>
        <v>0</v>
      </c>
      <c r="H38">
        <f>SUMIF(RecoveredRaw!$B:$B,$A38,RecoveredRaw!K:K)</f>
        <v>0</v>
      </c>
      <c r="I38">
        <f>SUMIF(RecoveredRaw!$B:$B,$A38,RecoveredRaw!L:L)</f>
        <v>0</v>
      </c>
      <c r="J38">
        <f>SUMIF(RecoveredRaw!$B:$B,$A38,RecoveredRaw!M:M)</f>
        <v>0</v>
      </c>
      <c r="K38">
        <f>SUMIF(RecoveredRaw!$B:$B,$A38,RecoveredRaw!N:N)</f>
        <v>0</v>
      </c>
      <c r="L38">
        <f>SUMIF(RecoveredRaw!$B:$B,$A38,RecoveredRaw!O:O)</f>
        <v>0</v>
      </c>
      <c r="M38">
        <f>SUMIF(RecoveredRaw!$B:$B,$A38,RecoveredRaw!P:P)</f>
        <v>0</v>
      </c>
      <c r="N38">
        <f>SUMIF(RecoveredRaw!$B:$B,$A38,RecoveredRaw!Q:Q)</f>
        <v>0</v>
      </c>
      <c r="O38">
        <f>SUMIF(RecoveredRaw!$B:$B,$A38,RecoveredRaw!R:R)</f>
        <v>0</v>
      </c>
      <c r="P38">
        <f>SUMIF(RecoveredRaw!$B:$B,$A38,RecoveredRaw!S:S)</f>
        <v>0</v>
      </c>
      <c r="Q38">
        <f>SUMIF(RecoveredRaw!$B:$B,$A38,RecoveredRaw!T:T)</f>
        <v>0</v>
      </c>
      <c r="R38">
        <f>SUMIF(RecoveredRaw!$B:$B,$A38,RecoveredRaw!U:U)</f>
        <v>0</v>
      </c>
      <c r="S38">
        <f>SUMIF(RecoveredRaw!$B:$B,$A38,RecoveredRaw!V:V)</f>
        <v>0</v>
      </c>
      <c r="T38">
        <f>SUMIF(RecoveredRaw!$B:$B,$A38,RecoveredRaw!W:W)</f>
        <v>0</v>
      </c>
      <c r="U38">
        <f>SUMIF(RecoveredRaw!$B:$B,$A38,RecoveredRaw!X:X)</f>
        <v>0</v>
      </c>
      <c r="V38">
        <f>SUMIF(RecoveredRaw!$B:$B,$A38,RecoveredRaw!Y:Y)</f>
        <v>0</v>
      </c>
      <c r="W38">
        <f>SUMIF(RecoveredRaw!$B:$B,$A38,RecoveredRaw!Z:Z)</f>
        <v>1</v>
      </c>
      <c r="X38">
        <f>SUMIF(RecoveredRaw!$B:$B,$A38,RecoveredRaw!AA:AA)</f>
        <v>1</v>
      </c>
      <c r="Y38">
        <f>SUMIF(RecoveredRaw!$B:$B,$A38,RecoveredRaw!AB:AB)</f>
        <v>1</v>
      </c>
      <c r="Z38">
        <f>SUMIF(RecoveredRaw!$B:$B,$A38,RecoveredRaw!AC:AC)</f>
        <v>3</v>
      </c>
      <c r="AA38">
        <f>SUMIF(RecoveredRaw!$B:$B,$A38,RecoveredRaw!AD:AD)</f>
        <v>4</v>
      </c>
      <c r="AB38">
        <f>SUMIF(RecoveredRaw!$B:$B,$A38,RecoveredRaw!AE:AE)</f>
        <v>4</v>
      </c>
      <c r="AC38">
        <f>SUMIF(RecoveredRaw!$B:$B,$A38,RecoveredRaw!AF:AF)</f>
        <v>4</v>
      </c>
      <c r="AD38">
        <f>SUMIF(RecoveredRaw!$B:$B,$A38,RecoveredRaw!AG:AG)</f>
        <v>4</v>
      </c>
      <c r="AE38">
        <f>SUMIF(RecoveredRaw!$B:$B,$A38,RecoveredRaw!AH:AH)</f>
        <v>4</v>
      </c>
      <c r="AF38">
        <f>SUMIF(RecoveredRaw!$B:$B,$A38,RecoveredRaw!AI:AI)</f>
        <v>4</v>
      </c>
      <c r="AG38">
        <f>SUMIF(RecoveredRaw!$B:$B,$A38,RecoveredRaw!AJ:AJ)</f>
        <v>4</v>
      </c>
      <c r="AH38">
        <f>SUMIF(RecoveredRaw!$B:$B,$A38,RecoveredRaw!AK:AK)</f>
        <v>4</v>
      </c>
      <c r="AI38">
        <f>SUMIF(RecoveredRaw!$B:$B,$A38,RecoveredRaw!AL:AL)</f>
        <v>4</v>
      </c>
      <c r="AJ38">
        <f>SUMIF(RecoveredRaw!$B:$B,$A38,RecoveredRaw!AM:AM)</f>
        <v>4</v>
      </c>
      <c r="AK38">
        <f>SUMIF(RecoveredRaw!$B:$B,$A38,RecoveredRaw!AN:AN)</f>
        <v>4</v>
      </c>
      <c r="AL38">
        <f>SUMIF(RecoveredRaw!$B:$B,$A38,RecoveredRaw!AO:AO)</f>
        <v>4</v>
      </c>
      <c r="AM38">
        <f>SUMIF(RecoveredRaw!$B:$B,$A38,RecoveredRaw!AP:AP)</f>
        <v>5</v>
      </c>
      <c r="AN38">
        <f>SUMIF(RecoveredRaw!$B:$B,$A38,RecoveredRaw!AQ:AQ)</f>
        <v>5</v>
      </c>
      <c r="AO38">
        <f>SUMIF(RecoveredRaw!$B:$B,$A38,RecoveredRaw!AR:AR)</f>
        <v>5</v>
      </c>
      <c r="AP38">
        <f>SUMIF(RecoveredRaw!$B:$B,$A38,RecoveredRaw!AS:AS)</f>
        <v>5</v>
      </c>
      <c r="AQ38">
        <f>SUMIF(RecoveredRaw!$B:$B,$A38,RecoveredRaw!AT:AT)</f>
        <v>5</v>
      </c>
      <c r="AR38">
        <f>SUMIF(RecoveredRaw!$B:$B,$A38,RecoveredRaw!AU:AU)</f>
        <v>5</v>
      </c>
      <c r="AS38">
        <f>SUMIF(RecoveredRaw!$B:$B,$A38,RecoveredRaw!AV:AV)</f>
        <v>5</v>
      </c>
      <c r="AT38">
        <f>SUMIF(RecoveredRaw!$B:$B,$A38,RecoveredRaw!AW:AW)</f>
        <v>5</v>
      </c>
      <c r="AU38">
        <f>SUMIF(RecoveredRaw!$B:$B,$A38,RecoveredRaw!AX:AX)</f>
        <v>7</v>
      </c>
      <c r="AV38">
        <f>SUMIF(RecoveredRaw!$B:$B,$A38,RecoveredRaw!AY:AY)</f>
        <v>7</v>
      </c>
      <c r="AW38">
        <f>SUMIF(RecoveredRaw!$B:$B,$A38,RecoveredRaw!AZ:AZ)</f>
        <v>7</v>
      </c>
      <c r="AX38">
        <f>SUMIF(RecoveredRaw!$B:$B,$A38,RecoveredRaw!BA:BA)</f>
        <v>12</v>
      </c>
      <c r="AY38">
        <f>SUMIF(RecoveredRaw!$B:$B,$A38,RecoveredRaw!BB:BB)</f>
        <v>17</v>
      </c>
      <c r="AZ38">
        <f>SUMIF(RecoveredRaw!$B:$B,$A38,RecoveredRaw!BC:BC)</f>
        <v>17</v>
      </c>
      <c r="BA38">
        <f>SUMIF(RecoveredRaw!$B:$B,$A38,RecoveredRaw!BD:BD)</f>
        <v>17</v>
      </c>
      <c r="BB38">
        <f>SUMIF(RecoveredRaw!$B:$B,$A38,RecoveredRaw!BE:BE)</f>
        <v>17</v>
      </c>
      <c r="BC38">
        <f>SUMIF(RecoveredRaw!$B:$B,$A38,RecoveredRaw!BF:BF)</f>
        <v>23</v>
      </c>
      <c r="BD38">
        <f>SUMIF(RecoveredRaw!$B:$B,$A38,RecoveredRaw!BG:BG)</f>
        <v>23</v>
      </c>
      <c r="BE38">
        <f>SUMIF(RecoveredRaw!$B:$B,$A38,RecoveredRaw!BH:BH)</f>
        <v>23</v>
      </c>
      <c r="BF38">
        <f>SUMIF(RecoveredRaw!$B:$B,$A38,RecoveredRaw!BI:BI)</f>
        <v>26</v>
      </c>
      <c r="BG38">
        <f>SUMIF(RecoveredRaw!$B:$B,$A38,RecoveredRaw!BJ:BJ)</f>
        <v>0</v>
      </c>
      <c r="BH38">
        <f>SUMIF(RecoveredRaw!$B:$B,$A38,RecoveredRaw!BK:BK)</f>
        <v>0</v>
      </c>
      <c r="BI38">
        <f>SUMIF(RecoveredRaw!$B:$B,$A38,RecoveredRaw!BL:BL)</f>
        <v>0</v>
      </c>
      <c r="BJ38">
        <f>SUMIF(RecoveredRaw!$B:$B,$A38,RecoveredRaw!BM:BM)</f>
        <v>0</v>
      </c>
      <c r="BK38">
        <f>SUMIF(RecoveredRaw!$B:$B,$A38,RecoveredRaw!BN:BN)</f>
        <v>0</v>
      </c>
      <c r="BL38">
        <f>SUMIF(RecoveredRaw!$B:$B,$A38,RecoveredRaw!BO:BO)</f>
        <v>0</v>
      </c>
      <c r="BM38">
        <f>SUMIF(RecoveredRaw!$B:$B,$A38,RecoveredRaw!BP:BP)</f>
        <v>0</v>
      </c>
      <c r="BN38">
        <f>SUMIF(RecoveredRaw!$B:$B,$A38,RecoveredRaw!BQ:BQ)</f>
        <v>0</v>
      </c>
      <c r="BO38">
        <f>SUMIF(RecoveredRaw!$B:$B,$A38,RecoveredRaw!BR:BR)</f>
        <v>0</v>
      </c>
      <c r="BP38">
        <f>SUMIF(RecoveredRaw!$B:$B,$A38,RecoveredRaw!BS:BS)</f>
        <v>0</v>
      </c>
      <c r="BQ38">
        <f>SUMIF(RecoveredRaw!$B:$B,$A38,RecoveredRaw!BT:BT)</f>
        <v>0</v>
      </c>
      <c r="BR38">
        <f>SUMIF(RecoveredRaw!$B:$B,$A38,RecoveredRaw!BU:BU)</f>
        <v>0</v>
      </c>
      <c r="BS38">
        <f>SUMIF(RecoveredRaw!$B:$B,$A38,RecoveredRaw!BV:BV)</f>
        <v>0</v>
      </c>
      <c r="BT38">
        <f>SUMIF(RecoveredRaw!$B:$B,$A38,RecoveredRaw!BW:BW)</f>
        <v>0</v>
      </c>
    </row>
    <row r="39" spans="1:72" ht="15" thickBot="1" x14ac:dyDescent="0.35">
      <c r="A39" s="4" t="s">
        <v>57</v>
      </c>
      <c r="B39">
        <f>SUMIF(RecoveredRaw!$B:$B,$A39,RecoveredRaw!E:E)</f>
        <v>0</v>
      </c>
      <c r="C39">
        <f>SUMIF(RecoveredRaw!$B:$B,$A39,RecoveredRaw!F:F)</f>
        <v>0</v>
      </c>
      <c r="D39">
        <f>SUMIF(RecoveredRaw!$B:$B,$A39,RecoveredRaw!G:G)</f>
        <v>0</v>
      </c>
      <c r="E39">
        <f>SUMIF(RecoveredRaw!$B:$B,$A39,RecoveredRaw!H:H)</f>
        <v>0</v>
      </c>
      <c r="F39">
        <f>SUMIF(RecoveredRaw!$B:$B,$A39,RecoveredRaw!I:I)</f>
        <v>0</v>
      </c>
      <c r="G39">
        <f>SUMIF(RecoveredRaw!$B:$B,$A39,RecoveredRaw!J:J)</f>
        <v>0</v>
      </c>
      <c r="H39">
        <f>SUMIF(RecoveredRaw!$B:$B,$A39,RecoveredRaw!K:K)</f>
        <v>0</v>
      </c>
      <c r="I39">
        <f>SUMIF(RecoveredRaw!$B:$B,$A39,RecoveredRaw!L:L)</f>
        <v>0</v>
      </c>
      <c r="J39">
        <f>SUMIF(RecoveredRaw!$B:$B,$A39,RecoveredRaw!M:M)</f>
        <v>0</v>
      </c>
      <c r="K39">
        <f>SUMIF(RecoveredRaw!$B:$B,$A39,RecoveredRaw!N:N)</f>
        <v>0</v>
      </c>
      <c r="L39">
        <f>SUMIF(RecoveredRaw!$B:$B,$A39,RecoveredRaw!O:O)</f>
        <v>0</v>
      </c>
      <c r="M39">
        <f>SUMIF(RecoveredRaw!$B:$B,$A39,RecoveredRaw!P:P)</f>
        <v>0</v>
      </c>
      <c r="N39">
        <f>SUMIF(RecoveredRaw!$B:$B,$A39,RecoveredRaw!Q:Q)</f>
        <v>0</v>
      </c>
      <c r="O39">
        <f>SUMIF(RecoveredRaw!$B:$B,$A39,RecoveredRaw!R:R)</f>
        <v>0</v>
      </c>
      <c r="P39">
        <f>SUMIF(RecoveredRaw!$B:$B,$A39,RecoveredRaw!S:S)</f>
        <v>0</v>
      </c>
      <c r="Q39">
        <f>SUMIF(RecoveredRaw!$B:$B,$A39,RecoveredRaw!T:T)</f>
        <v>0</v>
      </c>
      <c r="R39">
        <f>SUMIF(RecoveredRaw!$B:$B,$A39,RecoveredRaw!U:U)</f>
        <v>0</v>
      </c>
      <c r="S39">
        <f>SUMIF(RecoveredRaw!$B:$B,$A39,RecoveredRaw!V:V)</f>
        <v>0</v>
      </c>
      <c r="T39">
        <f>SUMIF(RecoveredRaw!$B:$B,$A39,RecoveredRaw!W:W)</f>
        <v>0</v>
      </c>
      <c r="U39">
        <f>SUMIF(RecoveredRaw!$B:$B,$A39,RecoveredRaw!X:X)</f>
        <v>0</v>
      </c>
      <c r="V39">
        <f>SUMIF(RecoveredRaw!$B:$B,$A39,RecoveredRaw!Y:Y)</f>
        <v>0</v>
      </c>
      <c r="W39">
        <f>SUMIF(RecoveredRaw!$B:$B,$A39,RecoveredRaw!Z:Z)</f>
        <v>0</v>
      </c>
      <c r="X39">
        <f>SUMIF(RecoveredRaw!$B:$B,$A39,RecoveredRaw!AA:AA)</f>
        <v>0</v>
      </c>
      <c r="Y39">
        <f>SUMIF(RecoveredRaw!$B:$B,$A39,RecoveredRaw!AB:AB)</f>
        <v>0</v>
      </c>
      <c r="Z39">
        <f>SUMIF(RecoveredRaw!$B:$B,$A39,RecoveredRaw!AC:AC)</f>
        <v>0</v>
      </c>
      <c r="AA39">
        <f>SUMIF(RecoveredRaw!$B:$B,$A39,RecoveredRaw!AD:AD)</f>
        <v>3</v>
      </c>
      <c r="AB39">
        <f>SUMIF(RecoveredRaw!$B:$B,$A39,RecoveredRaw!AE:AE)</f>
        <v>3</v>
      </c>
      <c r="AC39">
        <f>SUMIF(RecoveredRaw!$B:$B,$A39,RecoveredRaw!AF:AF)</f>
        <v>3</v>
      </c>
      <c r="AD39">
        <f>SUMIF(RecoveredRaw!$B:$B,$A39,RecoveredRaw!AG:AG)</f>
        <v>3</v>
      </c>
      <c r="AE39">
        <f>SUMIF(RecoveredRaw!$B:$B,$A39,RecoveredRaw!AH:AH)</f>
        <v>3</v>
      </c>
      <c r="AF39">
        <f>SUMIF(RecoveredRaw!$B:$B,$A39,RecoveredRaw!AI:AI)</f>
        <v>3</v>
      </c>
      <c r="AG39">
        <f>SUMIF(RecoveredRaw!$B:$B,$A39,RecoveredRaw!AJ:AJ)</f>
        <v>3</v>
      </c>
      <c r="AH39">
        <f>SUMIF(RecoveredRaw!$B:$B,$A39,RecoveredRaw!AK:AK)</f>
        <v>3</v>
      </c>
      <c r="AI39">
        <f>SUMIF(RecoveredRaw!$B:$B,$A39,RecoveredRaw!AL:AL)</f>
        <v>3</v>
      </c>
      <c r="AJ39">
        <f>SUMIF(RecoveredRaw!$B:$B,$A39,RecoveredRaw!AM:AM)</f>
        <v>3</v>
      </c>
      <c r="AK39">
        <f>SUMIF(RecoveredRaw!$B:$B,$A39,RecoveredRaw!AN:AN)</f>
        <v>3</v>
      </c>
      <c r="AL39">
        <f>SUMIF(RecoveredRaw!$B:$B,$A39,RecoveredRaw!AO:AO)</f>
        <v>3</v>
      </c>
      <c r="AM39">
        <f>SUMIF(RecoveredRaw!$B:$B,$A39,RecoveredRaw!AP:AP)</f>
        <v>3</v>
      </c>
      <c r="AN39">
        <f>SUMIF(RecoveredRaw!$B:$B,$A39,RecoveredRaw!AQ:AQ)</f>
        <v>3</v>
      </c>
      <c r="AO39">
        <f>SUMIF(RecoveredRaw!$B:$B,$A39,RecoveredRaw!AR:AR)</f>
        <v>3</v>
      </c>
      <c r="AP39">
        <f>SUMIF(RecoveredRaw!$B:$B,$A39,RecoveredRaw!AS:AS)</f>
        <v>3</v>
      </c>
      <c r="AQ39">
        <f>SUMIF(RecoveredRaw!$B:$B,$A39,RecoveredRaw!AT:AT)</f>
        <v>3</v>
      </c>
      <c r="AR39">
        <f>SUMIF(RecoveredRaw!$B:$B,$A39,RecoveredRaw!AU:AU)</f>
        <v>3</v>
      </c>
      <c r="AS39">
        <f>SUMIF(RecoveredRaw!$B:$B,$A39,RecoveredRaw!AV:AV)</f>
        <v>3</v>
      </c>
      <c r="AT39">
        <f>SUMIF(RecoveredRaw!$B:$B,$A39,RecoveredRaw!AW:AW)</f>
        <v>3</v>
      </c>
      <c r="AU39">
        <f>SUMIF(RecoveredRaw!$B:$B,$A39,RecoveredRaw!AX:AX)</f>
        <v>3</v>
      </c>
      <c r="AV39">
        <f>SUMIF(RecoveredRaw!$B:$B,$A39,RecoveredRaw!AY:AY)</f>
        <v>3</v>
      </c>
      <c r="AW39">
        <f>SUMIF(RecoveredRaw!$B:$B,$A39,RecoveredRaw!AZ:AZ)</f>
        <v>3</v>
      </c>
      <c r="AX39">
        <f>SUMIF(RecoveredRaw!$B:$B,$A39,RecoveredRaw!BA:BA)</f>
        <v>4</v>
      </c>
      <c r="AY39">
        <f>SUMIF(RecoveredRaw!$B:$B,$A39,RecoveredRaw!BB:BB)</f>
        <v>4</v>
      </c>
      <c r="AZ39">
        <f>SUMIF(RecoveredRaw!$B:$B,$A39,RecoveredRaw!BC:BC)</f>
        <v>4</v>
      </c>
      <c r="BA39">
        <f>SUMIF(RecoveredRaw!$B:$B,$A39,RecoveredRaw!BD:BD)</f>
        <v>4</v>
      </c>
      <c r="BB39">
        <f>SUMIF(RecoveredRaw!$B:$B,$A39,RecoveredRaw!BE:BE)</f>
        <v>4</v>
      </c>
      <c r="BC39">
        <f>SUMIF(RecoveredRaw!$B:$B,$A39,RecoveredRaw!BF:BF)</f>
        <v>13</v>
      </c>
      <c r="BD39">
        <f>SUMIF(RecoveredRaw!$B:$B,$A39,RecoveredRaw!BG:BG)</f>
        <v>13</v>
      </c>
      <c r="BE39">
        <f>SUMIF(RecoveredRaw!$B:$B,$A39,RecoveredRaw!BH:BH)</f>
        <v>14</v>
      </c>
      <c r="BF39">
        <f>SUMIF(RecoveredRaw!$B:$B,$A39,RecoveredRaw!BI:BI)</f>
        <v>14</v>
      </c>
      <c r="BG39">
        <f>SUMIF(RecoveredRaw!$B:$B,$A39,RecoveredRaw!BJ:BJ)</f>
        <v>0</v>
      </c>
      <c r="BH39">
        <f>SUMIF(RecoveredRaw!$B:$B,$A39,RecoveredRaw!BK:BK)</f>
        <v>0</v>
      </c>
      <c r="BI39">
        <f>SUMIF(RecoveredRaw!$B:$B,$A39,RecoveredRaw!BL:BL)</f>
        <v>0</v>
      </c>
      <c r="BJ39">
        <f>SUMIF(RecoveredRaw!$B:$B,$A39,RecoveredRaw!BM:BM)</f>
        <v>0</v>
      </c>
      <c r="BK39">
        <f>SUMIF(RecoveredRaw!$B:$B,$A39,RecoveredRaw!BN:BN)</f>
        <v>0</v>
      </c>
      <c r="BL39">
        <f>SUMIF(RecoveredRaw!$B:$B,$A39,RecoveredRaw!BO:BO)</f>
        <v>0</v>
      </c>
      <c r="BM39">
        <f>SUMIF(RecoveredRaw!$B:$B,$A39,RecoveredRaw!BP:BP)</f>
        <v>0</v>
      </c>
      <c r="BN39">
        <f>SUMIF(RecoveredRaw!$B:$B,$A39,RecoveredRaw!BQ:BQ)</f>
        <v>0</v>
      </c>
      <c r="BO39">
        <f>SUMIF(RecoveredRaw!$B:$B,$A39,RecoveredRaw!BR:BR)</f>
        <v>0</v>
      </c>
      <c r="BP39">
        <f>SUMIF(RecoveredRaw!$B:$B,$A39,RecoveredRaw!BS:BS)</f>
        <v>0</v>
      </c>
      <c r="BQ39">
        <f>SUMIF(RecoveredRaw!$B:$B,$A39,RecoveredRaw!BT:BT)</f>
        <v>0</v>
      </c>
      <c r="BR39">
        <f>SUMIF(RecoveredRaw!$B:$B,$A39,RecoveredRaw!BU:BU)</f>
        <v>0</v>
      </c>
      <c r="BS39">
        <f>SUMIF(RecoveredRaw!$B:$B,$A39,RecoveredRaw!BV:BV)</f>
        <v>0</v>
      </c>
      <c r="BT39">
        <f>SUMIF(RecoveredRaw!$B:$B,$A39,RecoveredRaw!BW:BW)</f>
        <v>0</v>
      </c>
    </row>
    <row r="40" spans="1:72" ht="15" thickBot="1" x14ac:dyDescent="0.35">
      <c r="A40" s="4" t="s">
        <v>65</v>
      </c>
      <c r="B40">
        <f>SUMIF(RecoveredRaw!$B:$B,$A40,RecoveredRaw!E:E)</f>
        <v>0</v>
      </c>
      <c r="C40">
        <f>SUMIF(RecoveredRaw!$B:$B,$A40,RecoveredRaw!F:F)</f>
        <v>0</v>
      </c>
      <c r="D40">
        <f>SUMIF(RecoveredRaw!$B:$B,$A40,RecoveredRaw!G:G)</f>
        <v>0</v>
      </c>
      <c r="E40">
        <f>SUMIF(RecoveredRaw!$B:$B,$A40,RecoveredRaw!H:H)</f>
        <v>0</v>
      </c>
      <c r="F40">
        <f>SUMIF(RecoveredRaw!$B:$B,$A40,RecoveredRaw!I:I)</f>
        <v>0</v>
      </c>
      <c r="G40">
        <f>SUMIF(RecoveredRaw!$B:$B,$A40,RecoveredRaw!J:J)</f>
        <v>0</v>
      </c>
      <c r="H40">
        <f>SUMIF(RecoveredRaw!$B:$B,$A40,RecoveredRaw!K:K)</f>
        <v>0</v>
      </c>
      <c r="I40">
        <f>SUMIF(RecoveredRaw!$B:$B,$A40,RecoveredRaw!L:L)</f>
        <v>0</v>
      </c>
      <c r="J40">
        <f>SUMIF(RecoveredRaw!$B:$B,$A40,RecoveredRaw!M:M)</f>
        <v>0</v>
      </c>
      <c r="K40">
        <f>SUMIF(RecoveredRaw!$B:$B,$A40,RecoveredRaw!N:N)</f>
        <v>0</v>
      </c>
      <c r="L40">
        <f>SUMIF(RecoveredRaw!$B:$B,$A40,RecoveredRaw!O:O)</f>
        <v>0</v>
      </c>
      <c r="M40">
        <f>SUMIF(RecoveredRaw!$B:$B,$A40,RecoveredRaw!P:P)</f>
        <v>0</v>
      </c>
      <c r="N40">
        <f>SUMIF(RecoveredRaw!$B:$B,$A40,RecoveredRaw!Q:Q)</f>
        <v>0</v>
      </c>
      <c r="O40">
        <f>SUMIF(RecoveredRaw!$B:$B,$A40,RecoveredRaw!R:R)</f>
        <v>0</v>
      </c>
      <c r="P40">
        <f>SUMIF(RecoveredRaw!$B:$B,$A40,RecoveredRaw!S:S)</f>
        <v>0</v>
      </c>
      <c r="Q40">
        <f>SUMIF(RecoveredRaw!$B:$B,$A40,RecoveredRaw!T:T)</f>
        <v>0</v>
      </c>
      <c r="R40">
        <f>SUMIF(RecoveredRaw!$B:$B,$A40,RecoveredRaw!U:U)</f>
        <v>0</v>
      </c>
      <c r="S40">
        <f>SUMIF(RecoveredRaw!$B:$B,$A40,RecoveredRaw!V:V)</f>
        <v>0</v>
      </c>
      <c r="T40">
        <f>SUMIF(RecoveredRaw!$B:$B,$A40,RecoveredRaw!W:W)</f>
        <v>0</v>
      </c>
      <c r="U40">
        <f>SUMIF(RecoveredRaw!$B:$B,$A40,RecoveredRaw!X:X)</f>
        <v>0</v>
      </c>
      <c r="V40">
        <f>SUMIF(RecoveredRaw!$B:$B,$A40,RecoveredRaw!Y:Y)</f>
        <v>0</v>
      </c>
      <c r="W40">
        <f>SUMIF(RecoveredRaw!$B:$B,$A40,RecoveredRaw!Z:Z)</f>
        <v>0</v>
      </c>
      <c r="X40">
        <f>SUMIF(RecoveredRaw!$B:$B,$A40,RecoveredRaw!AA:AA)</f>
        <v>0</v>
      </c>
      <c r="Y40">
        <f>SUMIF(RecoveredRaw!$B:$B,$A40,RecoveredRaw!AB:AB)</f>
        <v>0</v>
      </c>
      <c r="Z40">
        <f>SUMIF(RecoveredRaw!$B:$B,$A40,RecoveredRaw!AC:AC)</f>
        <v>0</v>
      </c>
      <c r="AA40">
        <f>SUMIF(RecoveredRaw!$B:$B,$A40,RecoveredRaw!AD:AD)</f>
        <v>0</v>
      </c>
      <c r="AB40">
        <f>SUMIF(RecoveredRaw!$B:$B,$A40,RecoveredRaw!AE:AE)</f>
        <v>0</v>
      </c>
      <c r="AC40">
        <f>SUMIF(RecoveredRaw!$B:$B,$A40,RecoveredRaw!AF:AF)</f>
        <v>0</v>
      </c>
      <c r="AD40">
        <f>SUMIF(RecoveredRaw!$B:$B,$A40,RecoveredRaw!AG:AG)</f>
        <v>0</v>
      </c>
      <c r="AE40">
        <f>SUMIF(RecoveredRaw!$B:$B,$A40,RecoveredRaw!AH:AH)</f>
        <v>0</v>
      </c>
      <c r="AF40">
        <f>SUMIF(RecoveredRaw!$B:$B,$A40,RecoveredRaw!AI:AI)</f>
        <v>0</v>
      </c>
      <c r="AG40">
        <f>SUMIF(RecoveredRaw!$B:$B,$A40,RecoveredRaw!AJ:AJ)</f>
        <v>0</v>
      </c>
      <c r="AH40">
        <f>SUMIF(RecoveredRaw!$B:$B,$A40,RecoveredRaw!AK:AK)</f>
        <v>0</v>
      </c>
      <c r="AI40">
        <f>SUMIF(RecoveredRaw!$B:$B,$A40,RecoveredRaw!AL:AL)</f>
        <v>0</v>
      </c>
      <c r="AJ40">
        <f>SUMIF(RecoveredRaw!$B:$B,$A40,RecoveredRaw!AM:AM)</f>
        <v>0</v>
      </c>
      <c r="AK40">
        <f>SUMIF(RecoveredRaw!$B:$B,$A40,RecoveredRaw!AN:AN)</f>
        <v>0</v>
      </c>
      <c r="AL40">
        <f>SUMIF(RecoveredRaw!$B:$B,$A40,RecoveredRaw!AO:AO)</f>
        <v>0</v>
      </c>
      <c r="AM40">
        <f>SUMIF(RecoveredRaw!$B:$B,$A40,RecoveredRaw!AP:AP)</f>
        <v>1</v>
      </c>
      <c r="AN40">
        <f>SUMIF(RecoveredRaw!$B:$B,$A40,RecoveredRaw!AQ:AQ)</f>
        <v>1</v>
      </c>
      <c r="AO40">
        <f>SUMIF(RecoveredRaw!$B:$B,$A40,RecoveredRaw!AR:AR)</f>
        <v>1</v>
      </c>
      <c r="AP40">
        <f>SUMIF(RecoveredRaw!$B:$B,$A40,RecoveredRaw!AS:AS)</f>
        <v>1</v>
      </c>
      <c r="AQ40">
        <f>SUMIF(RecoveredRaw!$B:$B,$A40,RecoveredRaw!AT:AT)</f>
        <v>1</v>
      </c>
      <c r="AR40">
        <f>SUMIF(RecoveredRaw!$B:$B,$A40,RecoveredRaw!AU:AU)</f>
        <v>1</v>
      </c>
      <c r="AS40">
        <f>SUMIF(RecoveredRaw!$B:$B,$A40,RecoveredRaw!AV:AV)</f>
        <v>1</v>
      </c>
      <c r="AT40">
        <f>SUMIF(RecoveredRaw!$B:$B,$A40,RecoveredRaw!AW:AW)</f>
        <v>1</v>
      </c>
      <c r="AU40">
        <f>SUMIF(RecoveredRaw!$B:$B,$A40,RecoveredRaw!AX:AX)</f>
        <v>1</v>
      </c>
      <c r="AV40">
        <f>SUMIF(RecoveredRaw!$B:$B,$A40,RecoveredRaw!AY:AY)</f>
        <v>1</v>
      </c>
      <c r="AW40">
        <f>SUMIF(RecoveredRaw!$B:$B,$A40,RecoveredRaw!AZ:AZ)</f>
        <v>1</v>
      </c>
      <c r="AX40">
        <f>SUMIF(RecoveredRaw!$B:$B,$A40,RecoveredRaw!BA:BA)</f>
        <v>1</v>
      </c>
      <c r="AY40">
        <f>SUMIF(RecoveredRaw!$B:$B,$A40,RecoveredRaw!BB:BB)</f>
        <v>27</v>
      </c>
      <c r="AZ40">
        <f>SUMIF(RecoveredRaw!$B:$B,$A40,RecoveredRaw!BC:BC)</f>
        <v>27</v>
      </c>
      <c r="BA40">
        <f>SUMIF(RecoveredRaw!$B:$B,$A40,RecoveredRaw!BD:BD)</f>
        <v>27</v>
      </c>
      <c r="BB40">
        <f>SUMIF(RecoveredRaw!$B:$B,$A40,RecoveredRaw!BE:BE)</f>
        <v>27</v>
      </c>
      <c r="BC40">
        <f>SUMIF(RecoveredRaw!$B:$B,$A40,RecoveredRaw!BF:BF)</f>
        <v>21</v>
      </c>
      <c r="BD40">
        <f>SUMIF(RecoveredRaw!$B:$B,$A40,RecoveredRaw!BG:BG)</f>
        <v>27</v>
      </c>
      <c r="BE40">
        <f>SUMIF(RecoveredRaw!$B:$B,$A40,RecoveredRaw!BH:BH)</f>
        <v>32</v>
      </c>
      <c r="BF40">
        <f>SUMIF(RecoveredRaw!$B:$B,$A40,RecoveredRaw!BI:BI)</f>
        <v>32</v>
      </c>
      <c r="BG40">
        <f>SUMIF(RecoveredRaw!$B:$B,$A40,RecoveredRaw!BJ:BJ)</f>
        <v>0</v>
      </c>
      <c r="BH40">
        <f>SUMIF(RecoveredRaw!$B:$B,$A40,RecoveredRaw!BK:BK)</f>
        <v>0</v>
      </c>
      <c r="BI40">
        <f>SUMIF(RecoveredRaw!$B:$B,$A40,RecoveredRaw!BL:BL)</f>
        <v>0</v>
      </c>
      <c r="BJ40">
        <f>SUMIF(RecoveredRaw!$B:$B,$A40,RecoveredRaw!BM:BM)</f>
        <v>0</v>
      </c>
      <c r="BK40">
        <f>SUMIF(RecoveredRaw!$B:$B,$A40,RecoveredRaw!BN:BN)</f>
        <v>0</v>
      </c>
      <c r="BL40">
        <f>SUMIF(RecoveredRaw!$B:$B,$A40,RecoveredRaw!BO:BO)</f>
        <v>0</v>
      </c>
      <c r="BM40">
        <f>SUMIF(RecoveredRaw!$B:$B,$A40,RecoveredRaw!BP:BP)</f>
        <v>0</v>
      </c>
      <c r="BN40">
        <f>SUMIF(RecoveredRaw!$B:$B,$A40,RecoveredRaw!BQ:BQ)</f>
        <v>0</v>
      </c>
      <c r="BO40">
        <f>SUMIF(RecoveredRaw!$B:$B,$A40,RecoveredRaw!BR:BR)</f>
        <v>0</v>
      </c>
      <c r="BP40">
        <f>SUMIF(RecoveredRaw!$B:$B,$A40,RecoveredRaw!BS:BS)</f>
        <v>0</v>
      </c>
      <c r="BQ40">
        <f>SUMIF(RecoveredRaw!$B:$B,$A40,RecoveredRaw!BT:BT)</f>
        <v>0</v>
      </c>
      <c r="BR40">
        <f>SUMIF(RecoveredRaw!$B:$B,$A40,RecoveredRaw!BU:BU)</f>
        <v>0</v>
      </c>
      <c r="BS40">
        <f>SUMIF(RecoveredRaw!$B:$B,$A40,RecoveredRaw!BV:BV)</f>
        <v>0</v>
      </c>
      <c r="BT40">
        <f>SUMIF(RecoveredRaw!$B:$B,$A40,RecoveredRaw!BW:BW)</f>
        <v>0</v>
      </c>
    </row>
    <row r="41" spans="1:72" ht="15" thickBot="1" x14ac:dyDescent="0.35">
      <c r="A41" s="3" t="s">
        <v>74</v>
      </c>
      <c r="B41">
        <f>SUMIF(RecoveredRaw!$B:$B,$A41,RecoveredRaw!E:E)</f>
        <v>0</v>
      </c>
      <c r="C41">
        <f>SUMIF(RecoveredRaw!$B:$B,$A41,RecoveredRaw!F:F)</f>
        <v>0</v>
      </c>
      <c r="D41">
        <f>SUMIF(RecoveredRaw!$B:$B,$A41,RecoveredRaw!G:G)</f>
        <v>0</v>
      </c>
      <c r="E41">
        <f>SUMIF(RecoveredRaw!$B:$B,$A41,RecoveredRaw!H:H)</f>
        <v>0</v>
      </c>
      <c r="F41">
        <f>SUMIF(RecoveredRaw!$B:$B,$A41,RecoveredRaw!I:I)</f>
        <v>0</v>
      </c>
      <c r="G41">
        <f>SUMIF(RecoveredRaw!$B:$B,$A41,RecoveredRaw!J:J)</f>
        <v>0</v>
      </c>
      <c r="H41">
        <f>SUMIF(RecoveredRaw!$B:$B,$A41,RecoveredRaw!K:K)</f>
        <v>0</v>
      </c>
      <c r="I41">
        <f>SUMIF(RecoveredRaw!$B:$B,$A41,RecoveredRaw!L:L)</f>
        <v>0</v>
      </c>
      <c r="J41">
        <f>SUMIF(RecoveredRaw!$B:$B,$A41,RecoveredRaw!M:M)</f>
        <v>0</v>
      </c>
      <c r="K41">
        <f>SUMIF(RecoveredRaw!$B:$B,$A41,RecoveredRaw!N:N)</f>
        <v>0</v>
      </c>
      <c r="L41">
        <f>SUMIF(RecoveredRaw!$B:$B,$A41,RecoveredRaw!O:O)</f>
        <v>0</v>
      </c>
      <c r="M41">
        <f>SUMIF(RecoveredRaw!$B:$B,$A41,RecoveredRaw!P:P)</f>
        <v>0</v>
      </c>
      <c r="N41">
        <f>SUMIF(RecoveredRaw!$B:$B,$A41,RecoveredRaw!Q:Q)</f>
        <v>0</v>
      </c>
      <c r="O41">
        <f>SUMIF(RecoveredRaw!$B:$B,$A41,RecoveredRaw!R:R)</f>
        <v>0</v>
      </c>
      <c r="P41">
        <f>SUMIF(RecoveredRaw!$B:$B,$A41,RecoveredRaw!S:S)</f>
        <v>0</v>
      </c>
      <c r="Q41">
        <f>SUMIF(RecoveredRaw!$B:$B,$A41,RecoveredRaw!T:T)</f>
        <v>0</v>
      </c>
      <c r="R41">
        <f>SUMIF(RecoveredRaw!$B:$B,$A41,RecoveredRaw!U:U)</f>
        <v>0</v>
      </c>
      <c r="S41">
        <f>SUMIF(RecoveredRaw!$B:$B,$A41,RecoveredRaw!V:V)</f>
        <v>0</v>
      </c>
      <c r="T41">
        <f>SUMIF(RecoveredRaw!$B:$B,$A41,RecoveredRaw!W:W)</f>
        <v>0</v>
      </c>
      <c r="U41">
        <f>SUMIF(RecoveredRaw!$B:$B,$A41,RecoveredRaw!X:X)</f>
        <v>0</v>
      </c>
      <c r="V41">
        <f>SUMIF(RecoveredRaw!$B:$B,$A41,RecoveredRaw!Y:Y)</f>
        <v>0</v>
      </c>
      <c r="W41">
        <f>SUMIF(RecoveredRaw!$B:$B,$A41,RecoveredRaw!Z:Z)</f>
        <v>0</v>
      </c>
      <c r="X41">
        <f>SUMIF(RecoveredRaw!$B:$B,$A41,RecoveredRaw!AA:AA)</f>
        <v>0</v>
      </c>
      <c r="Y41">
        <f>SUMIF(RecoveredRaw!$B:$B,$A41,RecoveredRaw!AB:AB)</f>
        <v>0</v>
      </c>
      <c r="Z41">
        <f>SUMIF(RecoveredRaw!$B:$B,$A41,RecoveredRaw!AC:AC)</f>
        <v>0</v>
      </c>
      <c r="AA41">
        <f>SUMIF(RecoveredRaw!$B:$B,$A41,RecoveredRaw!AD:AD)</f>
        <v>0</v>
      </c>
      <c r="AB41">
        <f>SUMIF(RecoveredRaw!$B:$B,$A41,RecoveredRaw!AE:AE)</f>
        <v>0</v>
      </c>
      <c r="AC41">
        <f>SUMIF(RecoveredRaw!$B:$B,$A41,RecoveredRaw!AF:AF)</f>
        <v>0</v>
      </c>
      <c r="AD41">
        <f>SUMIF(RecoveredRaw!$B:$B,$A41,RecoveredRaw!AG:AG)</f>
        <v>0</v>
      </c>
      <c r="AE41">
        <f>SUMIF(RecoveredRaw!$B:$B,$A41,RecoveredRaw!AH:AH)</f>
        <v>0</v>
      </c>
      <c r="AF41">
        <f>SUMIF(RecoveredRaw!$B:$B,$A41,RecoveredRaw!AI:AI)</f>
        <v>0</v>
      </c>
      <c r="AG41">
        <f>SUMIF(RecoveredRaw!$B:$B,$A41,RecoveredRaw!AJ:AJ)</f>
        <v>0</v>
      </c>
      <c r="AH41">
        <f>SUMIF(RecoveredRaw!$B:$B,$A41,RecoveredRaw!AK:AK)</f>
        <v>0</v>
      </c>
      <c r="AI41">
        <f>SUMIF(RecoveredRaw!$B:$B,$A41,RecoveredRaw!AL:AL)</f>
        <v>0</v>
      </c>
      <c r="AJ41">
        <f>SUMIF(RecoveredRaw!$B:$B,$A41,RecoveredRaw!AM:AM)</f>
        <v>0</v>
      </c>
      <c r="AK41">
        <f>SUMIF(RecoveredRaw!$B:$B,$A41,RecoveredRaw!AN:AN)</f>
        <v>0</v>
      </c>
      <c r="AL41">
        <f>SUMIF(RecoveredRaw!$B:$B,$A41,RecoveredRaw!AO:AO)</f>
        <v>0</v>
      </c>
      <c r="AM41">
        <f>SUMIF(RecoveredRaw!$B:$B,$A41,RecoveredRaw!AP:AP)</f>
        <v>0</v>
      </c>
      <c r="AN41">
        <f>SUMIF(RecoveredRaw!$B:$B,$A41,RecoveredRaw!AQ:AQ)</f>
        <v>0</v>
      </c>
      <c r="AO41">
        <f>SUMIF(RecoveredRaw!$B:$B,$A41,RecoveredRaw!AR:AR)</f>
        <v>0</v>
      </c>
      <c r="AP41">
        <f>SUMIF(RecoveredRaw!$B:$B,$A41,RecoveredRaw!AS:AS)</f>
        <v>0</v>
      </c>
      <c r="AQ41">
        <f>SUMIF(RecoveredRaw!$B:$B,$A41,RecoveredRaw!AT:AT)</f>
        <v>0</v>
      </c>
      <c r="AR41">
        <f>SUMIF(RecoveredRaw!$B:$B,$A41,RecoveredRaw!AU:AU)</f>
        <v>0</v>
      </c>
      <c r="AS41">
        <f>SUMIF(RecoveredRaw!$B:$B,$A41,RecoveredRaw!AV:AV)</f>
        <v>0</v>
      </c>
      <c r="AT41">
        <f>SUMIF(RecoveredRaw!$B:$B,$A41,RecoveredRaw!AW:AW)</f>
        <v>0</v>
      </c>
      <c r="AU41">
        <f>SUMIF(RecoveredRaw!$B:$B,$A41,RecoveredRaw!AX:AX)</f>
        <v>0</v>
      </c>
      <c r="AV41">
        <f>SUMIF(RecoveredRaw!$B:$B,$A41,RecoveredRaw!AY:AY)</f>
        <v>1</v>
      </c>
      <c r="AW41">
        <f>SUMIF(RecoveredRaw!$B:$B,$A41,RecoveredRaw!AZ:AZ)</f>
        <v>1</v>
      </c>
      <c r="AX41">
        <f>SUMIF(RecoveredRaw!$B:$B,$A41,RecoveredRaw!BA:BA)</f>
        <v>1</v>
      </c>
      <c r="AY41">
        <f>SUMIF(RecoveredRaw!$B:$B,$A41,RecoveredRaw!BB:BB)</f>
        <v>2</v>
      </c>
      <c r="AZ41">
        <f>SUMIF(RecoveredRaw!$B:$B,$A41,RecoveredRaw!BC:BC)</f>
        <v>5</v>
      </c>
      <c r="BA41">
        <f>SUMIF(RecoveredRaw!$B:$B,$A41,RecoveredRaw!BD:BD)</f>
        <v>5</v>
      </c>
      <c r="BB41">
        <f>SUMIF(RecoveredRaw!$B:$B,$A41,RecoveredRaw!BE:BE)</f>
        <v>5</v>
      </c>
      <c r="BC41">
        <f>SUMIF(RecoveredRaw!$B:$B,$A41,RecoveredRaw!BF:BF)</f>
        <v>5</v>
      </c>
      <c r="BD41">
        <f>SUMIF(RecoveredRaw!$B:$B,$A41,RecoveredRaw!BG:BG)</f>
        <v>9</v>
      </c>
      <c r="BE41">
        <f>SUMIF(RecoveredRaw!$B:$B,$A41,RecoveredRaw!BH:BH)</f>
        <v>9</v>
      </c>
      <c r="BF41">
        <f>SUMIF(RecoveredRaw!$B:$B,$A41,RecoveredRaw!BI:BI)</f>
        <v>15</v>
      </c>
      <c r="BG41">
        <f>SUMIF(RecoveredRaw!$B:$B,$A41,RecoveredRaw!BJ:BJ)</f>
        <v>0</v>
      </c>
      <c r="BH41">
        <f>SUMIF(RecoveredRaw!$B:$B,$A41,RecoveredRaw!BK:BK)</f>
        <v>0</v>
      </c>
      <c r="BI41">
        <f>SUMIF(RecoveredRaw!$B:$B,$A41,RecoveredRaw!BL:BL)</f>
        <v>0</v>
      </c>
      <c r="BJ41">
        <f>SUMIF(RecoveredRaw!$B:$B,$A41,RecoveredRaw!BM:BM)</f>
        <v>0</v>
      </c>
      <c r="BK41">
        <f>SUMIF(RecoveredRaw!$B:$B,$A41,RecoveredRaw!BN:BN)</f>
        <v>0</v>
      </c>
      <c r="BL41">
        <f>SUMIF(RecoveredRaw!$B:$B,$A41,RecoveredRaw!BO:BO)</f>
        <v>0</v>
      </c>
      <c r="BM41">
        <f>SUMIF(RecoveredRaw!$B:$B,$A41,RecoveredRaw!BP:BP)</f>
        <v>0</v>
      </c>
      <c r="BN41">
        <f>SUMIF(RecoveredRaw!$B:$B,$A41,RecoveredRaw!BQ:BQ)</f>
        <v>0</v>
      </c>
      <c r="BO41">
        <f>SUMIF(RecoveredRaw!$B:$B,$A41,RecoveredRaw!BR:BR)</f>
        <v>0</v>
      </c>
      <c r="BP41">
        <f>SUMIF(RecoveredRaw!$B:$B,$A41,RecoveredRaw!BS:BS)</f>
        <v>0</v>
      </c>
      <c r="BQ41">
        <f>SUMIF(RecoveredRaw!$B:$B,$A41,RecoveredRaw!BT:BT)</f>
        <v>0</v>
      </c>
      <c r="BR41">
        <f>SUMIF(RecoveredRaw!$B:$B,$A41,RecoveredRaw!BU:BU)</f>
        <v>0</v>
      </c>
      <c r="BS41">
        <f>SUMIF(RecoveredRaw!$B:$B,$A41,RecoveredRaw!BV:BV)</f>
        <v>0</v>
      </c>
      <c r="BT41">
        <f>SUMIF(RecoveredRaw!$B:$B,$A41,RecoveredRaw!BW:BW)</f>
        <v>0</v>
      </c>
    </row>
    <row r="42" spans="1:72" ht="15" thickBot="1" x14ac:dyDescent="0.35">
      <c r="A42" s="4" t="s">
        <v>90</v>
      </c>
      <c r="B42">
        <f>SUMIF(RecoveredRaw!$B:$B,$A42,RecoveredRaw!E:E)</f>
        <v>0</v>
      </c>
      <c r="C42">
        <f>SUMIF(RecoveredRaw!$B:$B,$A42,RecoveredRaw!F:F)</f>
        <v>0</v>
      </c>
      <c r="D42">
        <f>SUMIF(RecoveredRaw!$B:$B,$A42,RecoveredRaw!G:G)</f>
        <v>0</v>
      </c>
      <c r="E42">
        <f>SUMIF(RecoveredRaw!$B:$B,$A42,RecoveredRaw!H:H)</f>
        <v>0</v>
      </c>
      <c r="F42">
        <f>SUMIF(RecoveredRaw!$B:$B,$A42,RecoveredRaw!I:I)</f>
        <v>0</v>
      </c>
      <c r="G42">
        <f>SUMIF(RecoveredRaw!$B:$B,$A42,RecoveredRaw!J:J)</f>
        <v>0</v>
      </c>
      <c r="H42">
        <f>SUMIF(RecoveredRaw!$B:$B,$A42,RecoveredRaw!K:K)</f>
        <v>0</v>
      </c>
      <c r="I42">
        <f>SUMIF(RecoveredRaw!$B:$B,$A42,RecoveredRaw!L:L)</f>
        <v>0</v>
      </c>
      <c r="J42">
        <f>SUMIF(RecoveredRaw!$B:$B,$A42,RecoveredRaw!M:M)</f>
        <v>0</v>
      </c>
      <c r="K42">
        <f>SUMIF(RecoveredRaw!$B:$B,$A42,RecoveredRaw!N:N)</f>
        <v>0</v>
      </c>
      <c r="L42">
        <f>SUMIF(RecoveredRaw!$B:$B,$A42,RecoveredRaw!O:O)</f>
        <v>0</v>
      </c>
      <c r="M42">
        <f>SUMIF(RecoveredRaw!$B:$B,$A42,RecoveredRaw!P:P)</f>
        <v>0</v>
      </c>
      <c r="N42">
        <f>SUMIF(RecoveredRaw!$B:$B,$A42,RecoveredRaw!Q:Q)</f>
        <v>0</v>
      </c>
      <c r="O42">
        <f>SUMIF(RecoveredRaw!$B:$B,$A42,RecoveredRaw!R:R)</f>
        <v>0</v>
      </c>
      <c r="P42">
        <f>SUMIF(RecoveredRaw!$B:$B,$A42,RecoveredRaw!S:S)</f>
        <v>0</v>
      </c>
      <c r="Q42">
        <f>SUMIF(RecoveredRaw!$B:$B,$A42,RecoveredRaw!T:T)</f>
        <v>0</v>
      </c>
      <c r="R42">
        <f>SUMIF(RecoveredRaw!$B:$B,$A42,RecoveredRaw!U:U)</f>
        <v>0</v>
      </c>
      <c r="S42">
        <f>SUMIF(RecoveredRaw!$B:$B,$A42,RecoveredRaw!V:V)</f>
        <v>0</v>
      </c>
      <c r="T42">
        <f>SUMIF(RecoveredRaw!$B:$B,$A42,RecoveredRaw!W:W)</f>
        <v>0</v>
      </c>
      <c r="U42">
        <f>SUMIF(RecoveredRaw!$B:$B,$A42,RecoveredRaw!X:X)</f>
        <v>0</v>
      </c>
      <c r="V42">
        <f>SUMIF(RecoveredRaw!$B:$B,$A42,RecoveredRaw!Y:Y)</f>
        <v>0</v>
      </c>
      <c r="W42">
        <f>SUMIF(RecoveredRaw!$B:$B,$A42,RecoveredRaw!Z:Z)</f>
        <v>0</v>
      </c>
      <c r="X42">
        <f>SUMIF(RecoveredRaw!$B:$B,$A42,RecoveredRaw!AA:AA)</f>
        <v>0</v>
      </c>
      <c r="Y42">
        <f>SUMIF(RecoveredRaw!$B:$B,$A42,RecoveredRaw!AB:AB)</f>
        <v>0</v>
      </c>
      <c r="Z42">
        <f>SUMIF(RecoveredRaw!$B:$B,$A42,RecoveredRaw!AC:AC)</f>
        <v>0</v>
      </c>
      <c r="AA42">
        <f>SUMIF(RecoveredRaw!$B:$B,$A42,RecoveredRaw!AD:AD)</f>
        <v>0</v>
      </c>
      <c r="AB42">
        <f>SUMIF(RecoveredRaw!$B:$B,$A42,RecoveredRaw!AE:AE)</f>
        <v>0</v>
      </c>
      <c r="AC42">
        <f>SUMIF(RecoveredRaw!$B:$B,$A42,RecoveredRaw!AF:AF)</f>
        <v>0</v>
      </c>
      <c r="AD42">
        <f>SUMIF(RecoveredRaw!$B:$B,$A42,RecoveredRaw!AG:AG)</f>
        <v>0</v>
      </c>
      <c r="AE42">
        <f>SUMIF(RecoveredRaw!$B:$B,$A42,RecoveredRaw!AH:AH)</f>
        <v>0</v>
      </c>
      <c r="AF42">
        <f>SUMIF(RecoveredRaw!$B:$B,$A42,RecoveredRaw!AI:AI)</f>
        <v>0</v>
      </c>
      <c r="AG42">
        <f>SUMIF(RecoveredRaw!$B:$B,$A42,RecoveredRaw!AJ:AJ)</f>
        <v>0</v>
      </c>
      <c r="AH42">
        <f>SUMIF(RecoveredRaw!$B:$B,$A42,RecoveredRaw!AK:AK)</f>
        <v>0</v>
      </c>
      <c r="AI42">
        <f>SUMIF(RecoveredRaw!$B:$B,$A42,RecoveredRaw!AL:AL)</f>
        <v>0</v>
      </c>
      <c r="AJ42">
        <f>SUMIF(RecoveredRaw!$B:$B,$A42,RecoveredRaw!AM:AM)</f>
        <v>0</v>
      </c>
      <c r="AK42">
        <f>SUMIF(RecoveredRaw!$B:$B,$A42,RecoveredRaw!AN:AN)</f>
        <v>0</v>
      </c>
      <c r="AL42">
        <f>SUMIF(RecoveredRaw!$B:$B,$A42,RecoveredRaw!AO:AO)</f>
        <v>0</v>
      </c>
      <c r="AM42">
        <f>SUMIF(RecoveredRaw!$B:$B,$A42,RecoveredRaw!AP:AP)</f>
        <v>0</v>
      </c>
      <c r="AN42">
        <f>SUMIF(RecoveredRaw!$B:$B,$A42,RecoveredRaw!AQ:AQ)</f>
        <v>0</v>
      </c>
      <c r="AO42">
        <f>SUMIF(RecoveredRaw!$B:$B,$A42,RecoveredRaw!AR:AR)</f>
        <v>0</v>
      </c>
      <c r="AP42">
        <f>SUMIF(RecoveredRaw!$B:$B,$A42,RecoveredRaw!AS:AS)</f>
        <v>0</v>
      </c>
      <c r="AQ42">
        <f>SUMIF(RecoveredRaw!$B:$B,$A42,RecoveredRaw!AT:AT)</f>
        <v>0</v>
      </c>
      <c r="AR42">
        <f>SUMIF(RecoveredRaw!$B:$B,$A42,RecoveredRaw!AU:AU)</f>
        <v>0</v>
      </c>
      <c r="AS42">
        <f>SUMIF(RecoveredRaw!$B:$B,$A42,RecoveredRaw!AV:AV)</f>
        <v>0</v>
      </c>
      <c r="AT42">
        <f>SUMIF(RecoveredRaw!$B:$B,$A42,RecoveredRaw!AW:AW)</f>
        <v>0</v>
      </c>
      <c r="AU42">
        <f>SUMIF(RecoveredRaw!$B:$B,$A42,RecoveredRaw!AX:AX)</f>
        <v>0</v>
      </c>
      <c r="AV42">
        <f>SUMIF(RecoveredRaw!$B:$B,$A42,RecoveredRaw!AY:AY)</f>
        <v>0</v>
      </c>
      <c r="AW42">
        <f>SUMIF(RecoveredRaw!$B:$B,$A42,RecoveredRaw!AZ:AZ)</f>
        <v>0</v>
      </c>
      <c r="AX42">
        <f>SUMIF(RecoveredRaw!$B:$B,$A42,RecoveredRaw!BA:BA)</f>
        <v>0</v>
      </c>
      <c r="AY42">
        <f>SUMIF(RecoveredRaw!$B:$B,$A42,RecoveredRaw!BB:BB)</f>
        <v>0</v>
      </c>
      <c r="AZ42">
        <f>SUMIF(RecoveredRaw!$B:$B,$A42,RecoveredRaw!BC:BC)</f>
        <v>0</v>
      </c>
      <c r="BA42">
        <f>SUMIF(RecoveredRaw!$B:$B,$A42,RecoveredRaw!BD:BD)</f>
        <v>0</v>
      </c>
      <c r="BB42">
        <f>SUMIF(RecoveredRaw!$B:$B,$A42,RecoveredRaw!BE:BE)</f>
        <v>4</v>
      </c>
      <c r="BC42">
        <f>SUMIF(RecoveredRaw!$B:$B,$A42,RecoveredRaw!BF:BF)</f>
        <v>4</v>
      </c>
      <c r="BD42">
        <f>SUMIF(RecoveredRaw!$B:$B,$A42,RecoveredRaw!BG:BG)</f>
        <v>4</v>
      </c>
      <c r="BE42">
        <f>SUMIF(RecoveredRaw!$B:$B,$A42,RecoveredRaw!BH:BH)</f>
        <v>4</v>
      </c>
      <c r="BF42">
        <f>SUMIF(RecoveredRaw!$B:$B,$A42,RecoveredRaw!BI:BI)</f>
        <v>4</v>
      </c>
      <c r="BG42">
        <f>SUMIF(RecoveredRaw!$B:$B,$A42,RecoveredRaw!BJ:BJ)</f>
        <v>0</v>
      </c>
      <c r="BH42">
        <f>SUMIF(RecoveredRaw!$B:$B,$A42,RecoveredRaw!BK:BK)</f>
        <v>0</v>
      </c>
      <c r="BI42">
        <f>SUMIF(RecoveredRaw!$B:$B,$A42,RecoveredRaw!BL:BL)</f>
        <v>0</v>
      </c>
      <c r="BJ42">
        <f>SUMIF(RecoveredRaw!$B:$B,$A42,RecoveredRaw!BM:BM)</f>
        <v>0</v>
      </c>
      <c r="BK42">
        <f>SUMIF(RecoveredRaw!$B:$B,$A42,RecoveredRaw!BN:BN)</f>
        <v>0</v>
      </c>
      <c r="BL42">
        <f>SUMIF(RecoveredRaw!$B:$B,$A42,RecoveredRaw!BO:BO)</f>
        <v>0</v>
      </c>
      <c r="BM42">
        <f>SUMIF(RecoveredRaw!$B:$B,$A42,RecoveredRaw!BP:BP)</f>
        <v>0</v>
      </c>
      <c r="BN42">
        <f>SUMIF(RecoveredRaw!$B:$B,$A42,RecoveredRaw!BQ:BQ)</f>
        <v>0</v>
      </c>
      <c r="BO42">
        <f>SUMIF(RecoveredRaw!$B:$B,$A42,RecoveredRaw!BR:BR)</f>
        <v>0</v>
      </c>
      <c r="BP42">
        <f>SUMIF(RecoveredRaw!$B:$B,$A42,RecoveredRaw!BS:BS)</f>
        <v>0</v>
      </c>
      <c r="BQ42">
        <f>SUMIF(RecoveredRaw!$B:$B,$A42,RecoveredRaw!BT:BT)</f>
        <v>0</v>
      </c>
      <c r="BR42">
        <f>SUMIF(RecoveredRaw!$B:$B,$A42,RecoveredRaw!BU:BU)</f>
        <v>0</v>
      </c>
      <c r="BS42">
        <f>SUMIF(RecoveredRaw!$B:$B,$A42,RecoveredRaw!BV:BV)</f>
        <v>0</v>
      </c>
      <c r="BT42">
        <f>SUMIF(RecoveredRaw!$B:$B,$A42,RecoveredRaw!BW:BW)</f>
        <v>0</v>
      </c>
    </row>
    <row r="43" spans="1:72" ht="15" thickBot="1" x14ac:dyDescent="0.35">
      <c r="A43" s="4" t="s">
        <v>88</v>
      </c>
      <c r="B43">
        <f>SUMIF(RecoveredRaw!$B:$B,$A43,RecoveredRaw!E:E)</f>
        <v>0</v>
      </c>
      <c r="C43">
        <f>SUMIF(RecoveredRaw!$B:$B,$A43,RecoveredRaw!F:F)</f>
        <v>0</v>
      </c>
      <c r="D43">
        <f>SUMIF(RecoveredRaw!$B:$B,$A43,RecoveredRaw!G:G)</f>
        <v>0</v>
      </c>
      <c r="E43">
        <f>SUMIF(RecoveredRaw!$B:$B,$A43,RecoveredRaw!H:H)</f>
        <v>0</v>
      </c>
      <c r="F43">
        <f>SUMIF(RecoveredRaw!$B:$B,$A43,RecoveredRaw!I:I)</f>
        <v>0</v>
      </c>
      <c r="G43">
        <f>SUMIF(RecoveredRaw!$B:$B,$A43,RecoveredRaw!J:J)</f>
        <v>0</v>
      </c>
      <c r="H43">
        <f>SUMIF(RecoveredRaw!$B:$B,$A43,RecoveredRaw!K:K)</f>
        <v>0</v>
      </c>
      <c r="I43">
        <f>SUMIF(RecoveredRaw!$B:$B,$A43,RecoveredRaw!L:L)</f>
        <v>0</v>
      </c>
      <c r="J43">
        <f>SUMIF(RecoveredRaw!$B:$B,$A43,RecoveredRaw!M:M)</f>
        <v>0</v>
      </c>
      <c r="K43">
        <f>SUMIF(RecoveredRaw!$B:$B,$A43,RecoveredRaw!N:N)</f>
        <v>0</v>
      </c>
      <c r="L43">
        <f>SUMIF(RecoveredRaw!$B:$B,$A43,RecoveredRaw!O:O)</f>
        <v>0</v>
      </c>
      <c r="M43">
        <f>SUMIF(RecoveredRaw!$B:$B,$A43,RecoveredRaw!P:P)</f>
        <v>0</v>
      </c>
      <c r="N43">
        <f>SUMIF(RecoveredRaw!$B:$B,$A43,RecoveredRaw!Q:Q)</f>
        <v>0</v>
      </c>
      <c r="O43">
        <f>SUMIF(RecoveredRaw!$B:$B,$A43,RecoveredRaw!R:R)</f>
        <v>0</v>
      </c>
      <c r="P43">
        <f>SUMIF(RecoveredRaw!$B:$B,$A43,RecoveredRaw!S:S)</f>
        <v>0</v>
      </c>
      <c r="Q43">
        <f>SUMIF(RecoveredRaw!$B:$B,$A43,RecoveredRaw!T:T)</f>
        <v>0</v>
      </c>
      <c r="R43">
        <f>SUMIF(RecoveredRaw!$B:$B,$A43,RecoveredRaw!U:U)</f>
        <v>0</v>
      </c>
      <c r="S43">
        <f>SUMIF(RecoveredRaw!$B:$B,$A43,RecoveredRaw!V:V)</f>
        <v>0</v>
      </c>
      <c r="T43">
        <f>SUMIF(RecoveredRaw!$B:$B,$A43,RecoveredRaw!W:W)</f>
        <v>0</v>
      </c>
      <c r="U43">
        <f>SUMIF(RecoveredRaw!$B:$B,$A43,RecoveredRaw!X:X)</f>
        <v>0</v>
      </c>
      <c r="V43">
        <f>SUMIF(RecoveredRaw!$B:$B,$A43,RecoveredRaw!Y:Y)</f>
        <v>0</v>
      </c>
      <c r="W43">
        <f>SUMIF(RecoveredRaw!$B:$B,$A43,RecoveredRaw!Z:Z)</f>
        <v>0</v>
      </c>
      <c r="X43">
        <f>SUMIF(RecoveredRaw!$B:$B,$A43,RecoveredRaw!AA:AA)</f>
        <v>0</v>
      </c>
      <c r="Y43">
        <f>SUMIF(RecoveredRaw!$B:$B,$A43,RecoveredRaw!AB:AB)</f>
        <v>0</v>
      </c>
      <c r="Z43">
        <f>SUMIF(RecoveredRaw!$B:$B,$A43,RecoveredRaw!AC:AC)</f>
        <v>0</v>
      </c>
      <c r="AA43">
        <f>SUMIF(RecoveredRaw!$B:$B,$A43,RecoveredRaw!AD:AD)</f>
        <v>0</v>
      </c>
      <c r="AB43">
        <f>SUMIF(RecoveredRaw!$B:$B,$A43,RecoveredRaw!AE:AE)</f>
        <v>0</v>
      </c>
      <c r="AC43">
        <f>SUMIF(RecoveredRaw!$B:$B,$A43,RecoveredRaw!AF:AF)</f>
        <v>0</v>
      </c>
      <c r="AD43">
        <f>SUMIF(RecoveredRaw!$B:$B,$A43,RecoveredRaw!AG:AG)</f>
        <v>0</v>
      </c>
      <c r="AE43">
        <f>SUMIF(RecoveredRaw!$B:$B,$A43,RecoveredRaw!AH:AH)</f>
        <v>0</v>
      </c>
      <c r="AF43">
        <f>SUMIF(RecoveredRaw!$B:$B,$A43,RecoveredRaw!AI:AI)</f>
        <v>0</v>
      </c>
      <c r="AG43">
        <f>SUMIF(RecoveredRaw!$B:$B,$A43,RecoveredRaw!AJ:AJ)</f>
        <v>0</v>
      </c>
      <c r="AH43">
        <f>SUMIF(RecoveredRaw!$B:$B,$A43,RecoveredRaw!AK:AK)</f>
        <v>0</v>
      </c>
      <c r="AI43">
        <f>SUMIF(RecoveredRaw!$B:$B,$A43,RecoveredRaw!AL:AL)</f>
        <v>0</v>
      </c>
      <c r="AJ43">
        <f>SUMIF(RecoveredRaw!$B:$B,$A43,RecoveredRaw!AM:AM)</f>
        <v>0</v>
      </c>
      <c r="AK43">
        <f>SUMIF(RecoveredRaw!$B:$B,$A43,RecoveredRaw!AN:AN)</f>
        <v>0</v>
      </c>
      <c r="AL43">
        <f>SUMIF(RecoveredRaw!$B:$B,$A43,RecoveredRaw!AO:AO)</f>
        <v>0</v>
      </c>
      <c r="AM43">
        <f>SUMIF(RecoveredRaw!$B:$B,$A43,RecoveredRaw!AP:AP)</f>
        <v>0</v>
      </c>
      <c r="AN43">
        <f>SUMIF(RecoveredRaw!$B:$B,$A43,RecoveredRaw!AQ:AQ)</f>
        <v>0</v>
      </c>
      <c r="AO43">
        <f>SUMIF(RecoveredRaw!$B:$B,$A43,RecoveredRaw!AR:AR)</f>
        <v>0</v>
      </c>
      <c r="AP43">
        <f>SUMIF(RecoveredRaw!$B:$B,$A43,RecoveredRaw!AS:AS)</f>
        <v>0</v>
      </c>
      <c r="AQ43">
        <f>SUMIF(RecoveredRaw!$B:$B,$A43,RecoveredRaw!AT:AT)</f>
        <v>0</v>
      </c>
      <c r="AR43">
        <f>SUMIF(RecoveredRaw!$B:$B,$A43,RecoveredRaw!AU:AU)</f>
        <v>0</v>
      </c>
      <c r="AS43">
        <f>SUMIF(RecoveredRaw!$B:$B,$A43,RecoveredRaw!AV:AV)</f>
        <v>0</v>
      </c>
      <c r="AT43">
        <f>SUMIF(RecoveredRaw!$B:$B,$A43,RecoveredRaw!AW:AW)</f>
        <v>0</v>
      </c>
      <c r="AU43">
        <f>SUMIF(RecoveredRaw!$B:$B,$A43,RecoveredRaw!AX:AX)</f>
        <v>0</v>
      </c>
      <c r="AV43">
        <f>SUMIF(RecoveredRaw!$B:$B,$A43,RecoveredRaw!AY:AY)</f>
        <v>0</v>
      </c>
      <c r="AW43">
        <f>SUMIF(RecoveredRaw!$B:$B,$A43,RecoveredRaw!AZ:AZ)</f>
        <v>0</v>
      </c>
      <c r="AX43">
        <f>SUMIF(RecoveredRaw!$B:$B,$A43,RecoveredRaw!BA:BA)</f>
        <v>0</v>
      </c>
      <c r="AY43">
        <f>SUMIF(RecoveredRaw!$B:$B,$A43,RecoveredRaw!BB:BB)</f>
        <v>0</v>
      </c>
      <c r="AZ43">
        <f>SUMIF(RecoveredRaw!$B:$B,$A43,RecoveredRaw!BC:BC)</f>
        <v>0</v>
      </c>
      <c r="BA43">
        <f>SUMIF(RecoveredRaw!$B:$B,$A43,RecoveredRaw!BD:BD)</f>
        <v>0</v>
      </c>
      <c r="BB43">
        <f>SUMIF(RecoveredRaw!$B:$B,$A43,RecoveredRaw!BE:BE)</f>
        <v>0</v>
      </c>
      <c r="BC43">
        <f>SUMIF(RecoveredRaw!$B:$B,$A43,RecoveredRaw!BF:BF)</f>
        <v>1</v>
      </c>
      <c r="BD43">
        <f>SUMIF(RecoveredRaw!$B:$B,$A43,RecoveredRaw!BG:BG)</f>
        <v>1</v>
      </c>
      <c r="BE43">
        <f>SUMIF(RecoveredRaw!$B:$B,$A43,RecoveredRaw!BH:BH)</f>
        <v>1</v>
      </c>
      <c r="BF43">
        <f>SUMIF(RecoveredRaw!$B:$B,$A43,RecoveredRaw!BI:BI)</f>
        <v>1</v>
      </c>
      <c r="BG43">
        <f>SUMIF(RecoveredRaw!$B:$B,$A43,RecoveredRaw!BJ:BJ)</f>
        <v>0</v>
      </c>
      <c r="BH43">
        <f>SUMIF(RecoveredRaw!$B:$B,$A43,RecoveredRaw!BK:BK)</f>
        <v>0</v>
      </c>
      <c r="BI43">
        <f>SUMIF(RecoveredRaw!$B:$B,$A43,RecoveredRaw!BL:BL)</f>
        <v>0</v>
      </c>
      <c r="BJ43">
        <f>SUMIF(RecoveredRaw!$B:$B,$A43,RecoveredRaw!BM:BM)</f>
        <v>0</v>
      </c>
      <c r="BK43">
        <f>SUMIF(RecoveredRaw!$B:$B,$A43,RecoveredRaw!BN:BN)</f>
        <v>0</v>
      </c>
      <c r="BL43">
        <f>SUMIF(RecoveredRaw!$B:$B,$A43,RecoveredRaw!BO:BO)</f>
        <v>0</v>
      </c>
      <c r="BM43">
        <f>SUMIF(RecoveredRaw!$B:$B,$A43,RecoveredRaw!BP:BP)</f>
        <v>0</v>
      </c>
      <c r="BN43">
        <f>SUMIF(RecoveredRaw!$B:$B,$A43,RecoveredRaw!BQ:BQ)</f>
        <v>0</v>
      </c>
      <c r="BO43">
        <f>SUMIF(RecoveredRaw!$B:$B,$A43,RecoveredRaw!BR:BR)</f>
        <v>0</v>
      </c>
      <c r="BP43">
        <f>SUMIF(RecoveredRaw!$B:$B,$A43,RecoveredRaw!BS:BS)</f>
        <v>0</v>
      </c>
      <c r="BQ43">
        <f>SUMIF(RecoveredRaw!$B:$B,$A43,RecoveredRaw!BT:BT)</f>
        <v>0</v>
      </c>
      <c r="BR43">
        <f>SUMIF(RecoveredRaw!$B:$B,$A43,RecoveredRaw!BU:BU)</f>
        <v>0</v>
      </c>
      <c r="BS43">
        <f>SUMIF(RecoveredRaw!$B:$B,$A43,RecoveredRaw!BV:BV)</f>
        <v>0</v>
      </c>
      <c r="BT43">
        <f>SUMIF(RecoveredRaw!$B:$B,$A43,RecoveredRaw!BW:BW)</f>
        <v>0</v>
      </c>
    </row>
    <row r="44" spans="1:72" ht="15" thickBot="1" x14ac:dyDescent="0.35">
      <c r="A44" s="4" t="s">
        <v>67</v>
      </c>
      <c r="B44">
        <f>SUMIF(RecoveredRaw!$B:$B,$A44,RecoveredRaw!E:E)</f>
        <v>0</v>
      </c>
      <c r="C44">
        <f>SUMIF(RecoveredRaw!$B:$B,$A44,RecoveredRaw!F:F)</f>
        <v>0</v>
      </c>
      <c r="D44">
        <f>SUMIF(RecoveredRaw!$B:$B,$A44,RecoveredRaw!G:G)</f>
        <v>0</v>
      </c>
      <c r="E44">
        <f>SUMIF(RecoveredRaw!$B:$B,$A44,RecoveredRaw!H:H)</f>
        <v>0</v>
      </c>
      <c r="F44">
        <f>SUMIF(RecoveredRaw!$B:$B,$A44,RecoveredRaw!I:I)</f>
        <v>0</v>
      </c>
      <c r="G44">
        <f>SUMIF(RecoveredRaw!$B:$B,$A44,RecoveredRaw!J:J)</f>
        <v>0</v>
      </c>
      <c r="H44">
        <f>SUMIF(RecoveredRaw!$B:$B,$A44,RecoveredRaw!K:K)</f>
        <v>0</v>
      </c>
      <c r="I44">
        <f>SUMIF(RecoveredRaw!$B:$B,$A44,RecoveredRaw!L:L)</f>
        <v>0</v>
      </c>
      <c r="J44">
        <f>SUMIF(RecoveredRaw!$B:$B,$A44,RecoveredRaw!M:M)</f>
        <v>0</v>
      </c>
      <c r="K44">
        <f>SUMIF(RecoveredRaw!$B:$B,$A44,RecoveredRaw!N:N)</f>
        <v>0</v>
      </c>
      <c r="L44">
        <f>SUMIF(RecoveredRaw!$B:$B,$A44,RecoveredRaw!O:O)</f>
        <v>0</v>
      </c>
      <c r="M44">
        <f>SUMIF(RecoveredRaw!$B:$B,$A44,RecoveredRaw!P:P)</f>
        <v>0</v>
      </c>
      <c r="N44">
        <f>SUMIF(RecoveredRaw!$B:$B,$A44,RecoveredRaw!Q:Q)</f>
        <v>0</v>
      </c>
      <c r="O44">
        <f>SUMIF(RecoveredRaw!$B:$B,$A44,RecoveredRaw!R:R)</f>
        <v>0</v>
      </c>
      <c r="P44">
        <f>SUMIF(RecoveredRaw!$B:$B,$A44,RecoveredRaw!S:S)</f>
        <v>0</v>
      </c>
      <c r="Q44">
        <f>SUMIF(RecoveredRaw!$B:$B,$A44,RecoveredRaw!T:T)</f>
        <v>0</v>
      </c>
      <c r="R44">
        <f>SUMIF(RecoveredRaw!$B:$B,$A44,RecoveredRaw!U:U)</f>
        <v>0</v>
      </c>
      <c r="S44">
        <f>SUMIF(RecoveredRaw!$B:$B,$A44,RecoveredRaw!V:V)</f>
        <v>0</v>
      </c>
      <c r="T44">
        <f>SUMIF(RecoveredRaw!$B:$B,$A44,RecoveredRaw!W:W)</f>
        <v>0</v>
      </c>
      <c r="U44">
        <f>SUMIF(RecoveredRaw!$B:$B,$A44,RecoveredRaw!X:X)</f>
        <v>0</v>
      </c>
      <c r="V44">
        <f>SUMIF(RecoveredRaw!$B:$B,$A44,RecoveredRaw!Y:Y)</f>
        <v>0</v>
      </c>
      <c r="W44">
        <f>SUMIF(RecoveredRaw!$B:$B,$A44,RecoveredRaw!Z:Z)</f>
        <v>0</v>
      </c>
      <c r="X44">
        <f>SUMIF(RecoveredRaw!$B:$B,$A44,RecoveredRaw!AA:AA)</f>
        <v>0</v>
      </c>
      <c r="Y44">
        <f>SUMIF(RecoveredRaw!$B:$B,$A44,RecoveredRaw!AB:AB)</f>
        <v>0</v>
      </c>
      <c r="Z44">
        <f>SUMIF(RecoveredRaw!$B:$B,$A44,RecoveredRaw!AC:AC)</f>
        <v>0</v>
      </c>
      <c r="AA44">
        <f>SUMIF(RecoveredRaw!$B:$B,$A44,RecoveredRaw!AD:AD)</f>
        <v>0</v>
      </c>
      <c r="AB44">
        <f>SUMIF(RecoveredRaw!$B:$B,$A44,RecoveredRaw!AE:AE)</f>
        <v>0</v>
      </c>
      <c r="AC44">
        <f>SUMIF(RecoveredRaw!$B:$B,$A44,RecoveredRaw!AF:AF)</f>
        <v>0</v>
      </c>
      <c r="AD44">
        <f>SUMIF(RecoveredRaw!$B:$B,$A44,RecoveredRaw!AG:AG)</f>
        <v>0</v>
      </c>
      <c r="AE44">
        <f>SUMIF(RecoveredRaw!$B:$B,$A44,RecoveredRaw!AH:AH)</f>
        <v>0</v>
      </c>
      <c r="AF44">
        <f>SUMIF(RecoveredRaw!$B:$B,$A44,RecoveredRaw!AI:AI)</f>
        <v>0</v>
      </c>
      <c r="AG44">
        <f>SUMIF(RecoveredRaw!$B:$B,$A44,RecoveredRaw!AJ:AJ)</f>
        <v>0</v>
      </c>
      <c r="AH44">
        <f>SUMIF(RecoveredRaw!$B:$B,$A44,RecoveredRaw!AK:AK)</f>
        <v>0</v>
      </c>
      <c r="AI44">
        <f>SUMIF(RecoveredRaw!$B:$B,$A44,RecoveredRaw!AL:AL)</f>
        <v>0</v>
      </c>
      <c r="AJ44">
        <f>SUMIF(RecoveredRaw!$B:$B,$A44,RecoveredRaw!AM:AM)</f>
        <v>0</v>
      </c>
      <c r="AK44">
        <f>SUMIF(RecoveredRaw!$B:$B,$A44,RecoveredRaw!AN:AN)</f>
        <v>0</v>
      </c>
      <c r="AL44">
        <f>SUMIF(RecoveredRaw!$B:$B,$A44,RecoveredRaw!AO:AO)</f>
        <v>0</v>
      </c>
      <c r="AM44">
        <f>SUMIF(RecoveredRaw!$B:$B,$A44,RecoveredRaw!AP:AP)</f>
        <v>0</v>
      </c>
      <c r="AN44">
        <f>SUMIF(RecoveredRaw!$B:$B,$A44,RecoveredRaw!AQ:AQ)</f>
        <v>0</v>
      </c>
      <c r="AO44">
        <f>SUMIF(RecoveredRaw!$B:$B,$A44,RecoveredRaw!AR:AR)</f>
        <v>0</v>
      </c>
      <c r="AP44">
        <f>SUMIF(RecoveredRaw!$B:$B,$A44,RecoveredRaw!AS:AS)</f>
        <v>0</v>
      </c>
      <c r="AQ44">
        <f>SUMIF(RecoveredRaw!$B:$B,$A44,RecoveredRaw!AT:AT)</f>
        <v>0</v>
      </c>
      <c r="AR44">
        <f>SUMIF(RecoveredRaw!$B:$B,$A44,RecoveredRaw!AU:AU)</f>
        <v>1</v>
      </c>
      <c r="AS44">
        <f>SUMIF(RecoveredRaw!$B:$B,$A44,RecoveredRaw!AV:AV)</f>
        <v>1</v>
      </c>
      <c r="AT44">
        <f>SUMIF(RecoveredRaw!$B:$B,$A44,RecoveredRaw!AW:AW)</f>
        <v>1</v>
      </c>
      <c r="AU44">
        <f>SUMIF(RecoveredRaw!$B:$B,$A44,RecoveredRaw!AX:AX)</f>
        <v>1</v>
      </c>
      <c r="AV44">
        <f>SUMIF(RecoveredRaw!$B:$B,$A44,RecoveredRaw!AY:AY)</f>
        <v>1</v>
      </c>
      <c r="AW44">
        <f>SUMIF(RecoveredRaw!$B:$B,$A44,RecoveredRaw!AZ:AZ)</f>
        <v>1</v>
      </c>
      <c r="AX44">
        <f>SUMIF(RecoveredRaw!$B:$B,$A44,RecoveredRaw!BA:BA)</f>
        <v>1</v>
      </c>
      <c r="AY44">
        <f>SUMIF(RecoveredRaw!$B:$B,$A44,RecoveredRaw!BB:BB)</f>
        <v>1</v>
      </c>
      <c r="AZ44">
        <f>SUMIF(RecoveredRaw!$B:$B,$A44,RecoveredRaw!BC:BC)</f>
        <v>1</v>
      </c>
      <c r="BA44">
        <f>SUMIF(RecoveredRaw!$B:$B,$A44,RecoveredRaw!BD:BD)</f>
        <v>1</v>
      </c>
      <c r="BB44">
        <f>SUMIF(RecoveredRaw!$B:$B,$A44,RecoveredRaw!BE:BE)</f>
        <v>1</v>
      </c>
      <c r="BC44">
        <f>SUMIF(RecoveredRaw!$B:$B,$A44,RecoveredRaw!BF:BF)</f>
        <v>1</v>
      </c>
      <c r="BD44">
        <f>SUMIF(RecoveredRaw!$B:$B,$A44,RecoveredRaw!BG:BG)</f>
        <v>1</v>
      </c>
      <c r="BE44">
        <f>SUMIF(RecoveredRaw!$B:$B,$A44,RecoveredRaw!BH:BH)</f>
        <v>3</v>
      </c>
      <c r="BF44">
        <f>SUMIF(RecoveredRaw!$B:$B,$A44,RecoveredRaw!BI:BI)</f>
        <v>3</v>
      </c>
      <c r="BG44">
        <f>SUMIF(RecoveredRaw!$B:$B,$A44,RecoveredRaw!BJ:BJ)</f>
        <v>0</v>
      </c>
      <c r="BH44">
        <f>SUMIF(RecoveredRaw!$B:$B,$A44,RecoveredRaw!BK:BK)</f>
        <v>0</v>
      </c>
      <c r="BI44">
        <f>SUMIF(RecoveredRaw!$B:$B,$A44,RecoveredRaw!BL:BL)</f>
        <v>0</v>
      </c>
      <c r="BJ44">
        <f>SUMIF(RecoveredRaw!$B:$B,$A44,RecoveredRaw!BM:BM)</f>
        <v>0</v>
      </c>
      <c r="BK44">
        <f>SUMIF(RecoveredRaw!$B:$B,$A44,RecoveredRaw!BN:BN)</f>
        <v>0</v>
      </c>
      <c r="BL44">
        <f>SUMIF(RecoveredRaw!$B:$B,$A44,RecoveredRaw!BO:BO)</f>
        <v>0</v>
      </c>
      <c r="BM44">
        <f>SUMIF(RecoveredRaw!$B:$B,$A44,RecoveredRaw!BP:BP)</f>
        <v>0</v>
      </c>
      <c r="BN44">
        <f>SUMIF(RecoveredRaw!$B:$B,$A44,RecoveredRaw!BQ:BQ)</f>
        <v>0</v>
      </c>
      <c r="BO44">
        <f>SUMIF(RecoveredRaw!$B:$B,$A44,RecoveredRaw!BR:BR)</f>
        <v>0</v>
      </c>
      <c r="BP44">
        <f>SUMIF(RecoveredRaw!$B:$B,$A44,RecoveredRaw!BS:BS)</f>
        <v>0</v>
      </c>
      <c r="BQ44">
        <f>SUMIF(RecoveredRaw!$B:$B,$A44,RecoveredRaw!BT:BT)</f>
        <v>0</v>
      </c>
      <c r="BR44">
        <f>SUMIF(RecoveredRaw!$B:$B,$A44,RecoveredRaw!BU:BU)</f>
        <v>0</v>
      </c>
      <c r="BS44">
        <f>SUMIF(RecoveredRaw!$B:$B,$A44,RecoveredRaw!BV:BV)</f>
        <v>0</v>
      </c>
      <c r="BT44">
        <f>SUMIF(RecoveredRaw!$B:$B,$A44,RecoveredRaw!BW:BW)</f>
        <v>0</v>
      </c>
    </row>
    <row r="45" spans="1:72" ht="15" thickBot="1" x14ac:dyDescent="0.35">
      <c r="A45" s="3" t="s">
        <v>35</v>
      </c>
      <c r="B45">
        <f>SUMIF(RecoveredRaw!$B:$B,$A45,RecoveredRaw!E:E)</f>
        <v>0</v>
      </c>
      <c r="C45">
        <f>SUMIF(RecoveredRaw!$B:$B,$A45,RecoveredRaw!F:F)</f>
        <v>0</v>
      </c>
      <c r="D45">
        <f>SUMIF(RecoveredRaw!$B:$B,$A45,RecoveredRaw!G:G)</f>
        <v>0</v>
      </c>
      <c r="E45">
        <f>SUMIF(RecoveredRaw!$B:$B,$A45,RecoveredRaw!H:H)</f>
        <v>0</v>
      </c>
      <c r="F45">
        <f>SUMIF(RecoveredRaw!$B:$B,$A45,RecoveredRaw!I:I)</f>
        <v>2</v>
      </c>
      <c r="G45">
        <f>SUMIF(RecoveredRaw!$B:$B,$A45,RecoveredRaw!J:J)</f>
        <v>2</v>
      </c>
      <c r="H45">
        <f>SUMIF(RecoveredRaw!$B:$B,$A45,RecoveredRaw!K:K)</f>
        <v>5</v>
      </c>
      <c r="I45">
        <f>SUMIF(RecoveredRaw!$B:$B,$A45,RecoveredRaw!L:L)</f>
        <v>5</v>
      </c>
      <c r="J45">
        <f>SUMIF(RecoveredRaw!$B:$B,$A45,RecoveredRaw!M:M)</f>
        <v>5</v>
      </c>
      <c r="K45">
        <f>SUMIF(RecoveredRaw!$B:$B,$A45,RecoveredRaw!N:N)</f>
        <v>5</v>
      </c>
      <c r="L45">
        <f>SUMIF(RecoveredRaw!$B:$B,$A45,RecoveredRaw!O:O)</f>
        <v>5</v>
      </c>
      <c r="M45">
        <f>SUMIF(RecoveredRaw!$B:$B,$A45,RecoveredRaw!P:P)</f>
        <v>5</v>
      </c>
      <c r="N45">
        <f>SUMIF(RecoveredRaw!$B:$B,$A45,RecoveredRaw!Q:Q)</f>
        <v>5</v>
      </c>
      <c r="O45">
        <f>SUMIF(RecoveredRaw!$B:$B,$A45,RecoveredRaw!R:R)</f>
        <v>5</v>
      </c>
      <c r="P45">
        <f>SUMIF(RecoveredRaw!$B:$B,$A45,RecoveredRaw!S:S)</f>
        <v>5</v>
      </c>
      <c r="Q45">
        <f>SUMIF(RecoveredRaw!$B:$B,$A45,RecoveredRaw!T:T)</f>
        <v>5</v>
      </c>
      <c r="R45">
        <f>SUMIF(RecoveredRaw!$B:$B,$A45,RecoveredRaw!U:U)</f>
        <v>5</v>
      </c>
      <c r="S45">
        <f>SUMIF(RecoveredRaw!$B:$B,$A45,RecoveredRaw!V:V)</f>
        <v>10</v>
      </c>
      <c r="T45">
        <f>SUMIF(RecoveredRaw!$B:$B,$A45,RecoveredRaw!W:W)</f>
        <v>10</v>
      </c>
      <c r="U45">
        <f>SUMIF(RecoveredRaw!$B:$B,$A45,RecoveredRaw!X:X)</f>
        <v>10</v>
      </c>
      <c r="V45">
        <f>SUMIF(RecoveredRaw!$B:$B,$A45,RecoveredRaw!Y:Y)</f>
        <v>10</v>
      </c>
      <c r="W45">
        <f>SUMIF(RecoveredRaw!$B:$B,$A45,RecoveredRaw!Z:Z)</f>
        <v>10</v>
      </c>
      <c r="X45">
        <f>SUMIF(RecoveredRaw!$B:$B,$A45,RecoveredRaw!AA:AA)</f>
        <v>12</v>
      </c>
      <c r="Y45">
        <f>SUMIF(RecoveredRaw!$B:$B,$A45,RecoveredRaw!AB:AB)</f>
        <v>12</v>
      </c>
      <c r="Z45">
        <f>SUMIF(RecoveredRaw!$B:$B,$A45,RecoveredRaw!AC:AC)</f>
        <v>12</v>
      </c>
      <c r="AA45">
        <f>SUMIF(RecoveredRaw!$B:$B,$A45,RecoveredRaw!AD:AD)</f>
        <v>14</v>
      </c>
      <c r="AB45">
        <f>SUMIF(RecoveredRaw!$B:$B,$A45,RecoveredRaw!AE:AE)</f>
        <v>15</v>
      </c>
      <c r="AC45">
        <f>SUMIF(RecoveredRaw!$B:$B,$A45,RecoveredRaw!AF:AF)</f>
        <v>15</v>
      </c>
      <c r="AD45">
        <f>SUMIF(RecoveredRaw!$B:$B,$A45,RecoveredRaw!AG:AG)</f>
        <v>15</v>
      </c>
      <c r="AE45">
        <f>SUMIF(RecoveredRaw!$B:$B,$A45,RecoveredRaw!AH:AH)</f>
        <v>15</v>
      </c>
      <c r="AF45">
        <f>SUMIF(RecoveredRaw!$B:$B,$A45,RecoveredRaw!AI:AI)</f>
        <v>17</v>
      </c>
      <c r="AG45">
        <f>SUMIF(RecoveredRaw!$B:$B,$A45,RecoveredRaw!AJ:AJ)</f>
        <v>17</v>
      </c>
      <c r="AH45">
        <f>SUMIF(RecoveredRaw!$B:$B,$A45,RecoveredRaw!AK:AK)</f>
        <v>21</v>
      </c>
      <c r="AI45">
        <f>SUMIF(RecoveredRaw!$B:$B,$A45,RecoveredRaw!AL:AL)</f>
        <v>21</v>
      </c>
      <c r="AJ45">
        <f>SUMIF(RecoveredRaw!$B:$B,$A45,RecoveredRaw!AM:AM)</f>
        <v>22</v>
      </c>
      <c r="AK45">
        <f>SUMIF(RecoveredRaw!$B:$B,$A45,RecoveredRaw!AN:AN)</f>
        <v>22</v>
      </c>
      <c r="AL45">
        <f>SUMIF(RecoveredRaw!$B:$B,$A45,RecoveredRaw!AO:AO)</f>
        <v>22</v>
      </c>
      <c r="AM45">
        <f>SUMIF(RecoveredRaw!$B:$B,$A45,RecoveredRaw!AP:AP)</f>
        <v>28</v>
      </c>
      <c r="AN45">
        <f>SUMIF(RecoveredRaw!$B:$B,$A45,RecoveredRaw!AQ:AQ)</f>
        <v>28</v>
      </c>
      <c r="AO45">
        <f>SUMIF(RecoveredRaw!$B:$B,$A45,RecoveredRaw!AR:AR)</f>
        <v>28</v>
      </c>
      <c r="AP45">
        <f>SUMIF(RecoveredRaw!$B:$B,$A45,RecoveredRaw!AS:AS)</f>
        <v>31</v>
      </c>
      <c r="AQ45">
        <f>SUMIF(RecoveredRaw!$B:$B,$A45,RecoveredRaw!AT:AT)</f>
        <v>31</v>
      </c>
      <c r="AR45">
        <f>SUMIF(RecoveredRaw!$B:$B,$A45,RecoveredRaw!AU:AU)</f>
        <v>31</v>
      </c>
      <c r="AS45">
        <f>SUMIF(RecoveredRaw!$B:$B,$A45,RecoveredRaw!AV:AV)</f>
        <v>31</v>
      </c>
      <c r="AT45">
        <f>SUMIF(RecoveredRaw!$B:$B,$A45,RecoveredRaw!AW:AW)</f>
        <v>31</v>
      </c>
      <c r="AU45">
        <f>SUMIF(RecoveredRaw!$B:$B,$A45,RecoveredRaw!AX:AX)</f>
        <v>31</v>
      </c>
      <c r="AV45">
        <f>SUMIF(RecoveredRaw!$B:$B,$A45,RecoveredRaw!AY:AY)</f>
        <v>31</v>
      </c>
      <c r="AW45">
        <f>SUMIF(RecoveredRaw!$B:$B,$A45,RecoveredRaw!AZ:AZ)</f>
        <v>31</v>
      </c>
      <c r="AX45">
        <f>SUMIF(RecoveredRaw!$B:$B,$A45,RecoveredRaw!BA:BA)</f>
        <v>33</v>
      </c>
      <c r="AY45">
        <f>SUMIF(RecoveredRaw!$B:$B,$A45,RecoveredRaw!BB:BB)</f>
        <v>34</v>
      </c>
      <c r="AZ45">
        <f>SUMIF(RecoveredRaw!$B:$B,$A45,RecoveredRaw!BC:BC)</f>
        <v>34</v>
      </c>
      <c r="BA45">
        <f>SUMIF(RecoveredRaw!$B:$B,$A45,RecoveredRaw!BD:BD)</f>
        <v>35</v>
      </c>
      <c r="BB45">
        <f>SUMIF(RecoveredRaw!$B:$B,$A45,RecoveredRaw!BE:BE)</f>
        <v>35</v>
      </c>
      <c r="BC45">
        <f>SUMIF(RecoveredRaw!$B:$B,$A45,RecoveredRaw!BF:BF)</f>
        <v>35</v>
      </c>
      <c r="BD45">
        <f>SUMIF(RecoveredRaw!$B:$B,$A45,RecoveredRaw!BG:BG)</f>
        <v>35</v>
      </c>
      <c r="BE45">
        <f>SUMIF(RecoveredRaw!$B:$B,$A45,RecoveredRaw!BH:BH)</f>
        <v>41</v>
      </c>
      <c r="BF45">
        <f>SUMIF(RecoveredRaw!$B:$B,$A45,RecoveredRaw!BI:BI)</f>
        <v>42</v>
      </c>
      <c r="BG45">
        <f>SUMIF(RecoveredRaw!$B:$B,$A45,RecoveredRaw!BJ:BJ)</f>
        <v>0</v>
      </c>
      <c r="BH45">
        <f>SUMIF(RecoveredRaw!$B:$B,$A45,RecoveredRaw!BK:BK)</f>
        <v>0</v>
      </c>
      <c r="BI45">
        <f>SUMIF(RecoveredRaw!$B:$B,$A45,RecoveredRaw!BL:BL)</f>
        <v>0</v>
      </c>
      <c r="BJ45">
        <f>SUMIF(RecoveredRaw!$B:$B,$A45,RecoveredRaw!BM:BM)</f>
        <v>0</v>
      </c>
      <c r="BK45">
        <f>SUMIF(RecoveredRaw!$B:$B,$A45,RecoveredRaw!BN:BN)</f>
        <v>0</v>
      </c>
      <c r="BL45">
        <f>SUMIF(RecoveredRaw!$B:$B,$A45,RecoveredRaw!BO:BO)</f>
        <v>0</v>
      </c>
      <c r="BM45">
        <f>SUMIF(RecoveredRaw!$B:$B,$A45,RecoveredRaw!BP:BP)</f>
        <v>0</v>
      </c>
      <c r="BN45">
        <f>SUMIF(RecoveredRaw!$B:$B,$A45,RecoveredRaw!BQ:BQ)</f>
        <v>0</v>
      </c>
      <c r="BO45">
        <f>SUMIF(RecoveredRaw!$B:$B,$A45,RecoveredRaw!BR:BR)</f>
        <v>0</v>
      </c>
      <c r="BP45">
        <f>SUMIF(RecoveredRaw!$B:$B,$A45,RecoveredRaw!BS:BS)</f>
        <v>0</v>
      </c>
      <c r="BQ45">
        <f>SUMIF(RecoveredRaw!$B:$B,$A45,RecoveredRaw!BT:BT)</f>
        <v>0</v>
      </c>
      <c r="BR45">
        <f>SUMIF(RecoveredRaw!$B:$B,$A45,RecoveredRaw!BU:BU)</f>
        <v>0</v>
      </c>
      <c r="BS45">
        <f>SUMIF(RecoveredRaw!$B:$B,$A45,RecoveredRaw!BV:BV)</f>
        <v>0</v>
      </c>
      <c r="BT45">
        <f>SUMIF(RecoveredRaw!$B:$B,$A45,RecoveredRaw!BW:BW)</f>
        <v>0</v>
      </c>
    </row>
    <row r="46" spans="1:72" ht="15" thickBot="1" x14ac:dyDescent="0.35">
      <c r="A46" s="4" t="s">
        <v>107</v>
      </c>
      <c r="B46">
        <f>SUMIF(RecoveredRaw!$B:$B,$A46,RecoveredRaw!E:E)</f>
        <v>0</v>
      </c>
      <c r="C46">
        <f>SUMIF(RecoveredRaw!$B:$B,$A46,RecoveredRaw!F:F)</f>
        <v>0</v>
      </c>
      <c r="D46">
        <f>SUMIF(RecoveredRaw!$B:$B,$A46,RecoveredRaw!G:G)</f>
        <v>0</v>
      </c>
      <c r="E46">
        <f>SUMIF(RecoveredRaw!$B:$B,$A46,RecoveredRaw!H:H)</f>
        <v>0</v>
      </c>
      <c r="F46">
        <f>SUMIF(RecoveredRaw!$B:$B,$A46,RecoveredRaw!I:I)</f>
        <v>0</v>
      </c>
      <c r="G46">
        <f>SUMIF(RecoveredRaw!$B:$B,$A46,RecoveredRaw!J:J)</f>
        <v>0</v>
      </c>
      <c r="H46">
        <f>SUMIF(RecoveredRaw!$B:$B,$A46,RecoveredRaw!K:K)</f>
        <v>0</v>
      </c>
      <c r="I46">
        <f>SUMIF(RecoveredRaw!$B:$B,$A46,RecoveredRaw!L:L)</f>
        <v>0</v>
      </c>
      <c r="J46">
        <f>SUMIF(RecoveredRaw!$B:$B,$A46,RecoveredRaw!M:M)</f>
        <v>0</v>
      </c>
      <c r="K46">
        <f>SUMIF(RecoveredRaw!$B:$B,$A46,RecoveredRaw!N:N)</f>
        <v>0</v>
      </c>
      <c r="L46">
        <f>SUMIF(RecoveredRaw!$B:$B,$A46,RecoveredRaw!O:O)</f>
        <v>0</v>
      </c>
      <c r="M46">
        <f>SUMIF(RecoveredRaw!$B:$B,$A46,RecoveredRaw!P:P)</f>
        <v>0</v>
      </c>
      <c r="N46">
        <f>SUMIF(RecoveredRaw!$B:$B,$A46,RecoveredRaw!Q:Q)</f>
        <v>0</v>
      </c>
      <c r="O46">
        <f>SUMIF(RecoveredRaw!$B:$B,$A46,RecoveredRaw!R:R)</f>
        <v>0</v>
      </c>
      <c r="P46">
        <f>SUMIF(RecoveredRaw!$B:$B,$A46,RecoveredRaw!S:S)</f>
        <v>0</v>
      </c>
      <c r="Q46">
        <f>SUMIF(RecoveredRaw!$B:$B,$A46,RecoveredRaw!T:T)</f>
        <v>0</v>
      </c>
      <c r="R46">
        <f>SUMIF(RecoveredRaw!$B:$B,$A46,RecoveredRaw!U:U)</f>
        <v>0</v>
      </c>
      <c r="S46">
        <f>SUMIF(RecoveredRaw!$B:$B,$A46,RecoveredRaw!V:V)</f>
        <v>0</v>
      </c>
      <c r="T46">
        <f>SUMIF(RecoveredRaw!$B:$B,$A46,RecoveredRaw!W:W)</f>
        <v>0</v>
      </c>
      <c r="U46">
        <f>SUMIF(RecoveredRaw!$B:$B,$A46,RecoveredRaw!X:X)</f>
        <v>0</v>
      </c>
      <c r="V46">
        <f>SUMIF(RecoveredRaw!$B:$B,$A46,RecoveredRaw!Y:Y)</f>
        <v>0</v>
      </c>
      <c r="W46">
        <f>SUMIF(RecoveredRaw!$B:$B,$A46,RecoveredRaw!Z:Z)</f>
        <v>0</v>
      </c>
      <c r="X46">
        <f>SUMIF(RecoveredRaw!$B:$B,$A46,RecoveredRaw!AA:AA)</f>
        <v>0</v>
      </c>
      <c r="Y46">
        <f>SUMIF(RecoveredRaw!$B:$B,$A46,RecoveredRaw!AB:AB)</f>
        <v>0</v>
      </c>
      <c r="Z46">
        <f>SUMIF(RecoveredRaw!$B:$B,$A46,RecoveredRaw!AC:AC)</f>
        <v>0</v>
      </c>
      <c r="AA46">
        <f>SUMIF(RecoveredRaw!$B:$B,$A46,RecoveredRaw!AD:AD)</f>
        <v>0</v>
      </c>
      <c r="AB46">
        <f>SUMIF(RecoveredRaw!$B:$B,$A46,RecoveredRaw!AE:AE)</f>
        <v>0</v>
      </c>
      <c r="AC46">
        <f>SUMIF(RecoveredRaw!$B:$B,$A46,RecoveredRaw!AF:AF)</f>
        <v>0</v>
      </c>
      <c r="AD46">
        <f>SUMIF(RecoveredRaw!$B:$B,$A46,RecoveredRaw!AG:AG)</f>
        <v>0</v>
      </c>
      <c r="AE46">
        <f>SUMIF(RecoveredRaw!$B:$B,$A46,RecoveredRaw!AH:AH)</f>
        <v>0</v>
      </c>
      <c r="AF46">
        <f>SUMIF(RecoveredRaw!$B:$B,$A46,RecoveredRaw!AI:AI)</f>
        <v>0</v>
      </c>
      <c r="AG46">
        <f>SUMIF(RecoveredRaw!$B:$B,$A46,RecoveredRaw!AJ:AJ)</f>
        <v>0</v>
      </c>
      <c r="AH46">
        <f>SUMIF(RecoveredRaw!$B:$B,$A46,RecoveredRaw!AK:AK)</f>
        <v>0</v>
      </c>
      <c r="AI46">
        <f>SUMIF(RecoveredRaw!$B:$B,$A46,RecoveredRaw!AL:AL)</f>
        <v>0</v>
      </c>
      <c r="AJ46">
        <f>SUMIF(RecoveredRaw!$B:$B,$A46,RecoveredRaw!AM:AM)</f>
        <v>0</v>
      </c>
      <c r="AK46">
        <f>SUMIF(RecoveredRaw!$B:$B,$A46,RecoveredRaw!AN:AN)</f>
        <v>0</v>
      </c>
      <c r="AL46">
        <f>SUMIF(RecoveredRaw!$B:$B,$A46,RecoveredRaw!AO:AO)</f>
        <v>0</v>
      </c>
      <c r="AM46">
        <f>SUMIF(RecoveredRaw!$B:$B,$A46,RecoveredRaw!AP:AP)</f>
        <v>0</v>
      </c>
      <c r="AN46">
        <f>SUMIF(RecoveredRaw!$B:$B,$A46,RecoveredRaw!AQ:AQ)</f>
        <v>0</v>
      </c>
      <c r="AO46">
        <f>SUMIF(RecoveredRaw!$B:$B,$A46,RecoveredRaw!AR:AR)</f>
        <v>0</v>
      </c>
      <c r="AP46">
        <f>SUMIF(RecoveredRaw!$B:$B,$A46,RecoveredRaw!AS:AS)</f>
        <v>0</v>
      </c>
      <c r="AQ46">
        <f>SUMIF(RecoveredRaw!$B:$B,$A46,RecoveredRaw!AT:AT)</f>
        <v>0</v>
      </c>
      <c r="AR46">
        <f>SUMIF(RecoveredRaw!$B:$B,$A46,RecoveredRaw!AU:AU)</f>
        <v>0</v>
      </c>
      <c r="AS46">
        <f>SUMIF(RecoveredRaw!$B:$B,$A46,RecoveredRaw!AV:AV)</f>
        <v>0</v>
      </c>
      <c r="AT46">
        <f>SUMIF(RecoveredRaw!$B:$B,$A46,RecoveredRaw!AW:AW)</f>
        <v>0</v>
      </c>
      <c r="AU46">
        <f>SUMIF(RecoveredRaw!$B:$B,$A46,RecoveredRaw!AX:AX)</f>
        <v>0</v>
      </c>
      <c r="AV46">
        <f>SUMIF(RecoveredRaw!$B:$B,$A46,RecoveredRaw!AY:AY)</f>
        <v>0</v>
      </c>
      <c r="AW46">
        <f>SUMIF(RecoveredRaw!$B:$B,$A46,RecoveredRaw!AZ:AZ)</f>
        <v>0</v>
      </c>
      <c r="AX46">
        <f>SUMIF(RecoveredRaw!$B:$B,$A46,RecoveredRaw!BA:BA)</f>
        <v>2</v>
      </c>
      <c r="AY46">
        <f>SUMIF(RecoveredRaw!$B:$B,$A46,RecoveredRaw!BB:BB)</f>
        <v>2</v>
      </c>
      <c r="AZ46">
        <f>SUMIF(RecoveredRaw!$B:$B,$A46,RecoveredRaw!BC:BC)</f>
        <v>2</v>
      </c>
      <c r="BA46">
        <f>SUMIF(RecoveredRaw!$B:$B,$A46,RecoveredRaw!BD:BD)</f>
        <v>2</v>
      </c>
      <c r="BB46">
        <f>SUMIF(RecoveredRaw!$B:$B,$A46,RecoveredRaw!BE:BE)</f>
        <v>8</v>
      </c>
      <c r="BC46">
        <f>SUMIF(RecoveredRaw!$B:$B,$A46,RecoveredRaw!BF:BF)</f>
        <v>8</v>
      </c>
      <c r="BD46">
        <f>SUMIF(RecoveredRaw!$B:$B,$A46,RecoveredRaw!BG:BG)</f>
        <v>8</v>
      </c>
      <c r="BE46">
        <f>SUMIF(RecoveredRaw!$B:$B,$A46,RecoveredRaw!BH:BH)</f>
        <v>8</v>
      </c>
      <c r="BF46">
        <f>SUMIF(RecoveredRaw!$B:$B,$A46,RecoveredRaw!BI:BI)</f>
        <v>11</v>
      </c>
      <c r="BG46">
        <f>SUMIF(RecoveredRaw!$B:$B,$A46,RecoveredRaw!BJ:BJ)</f>
        <v>0</v>
      </c>
      <c r="BH46">
        <f>SUMIF(RecoveredRaw!$B:$B,$A46,RecoveredRaw!BK:BK)</f>
        <v>0</v>
      </c>
      <c r="BI46">
        <f>SUMIF(RecoveredRaw!$B:$B,$A46,RecoveredRaw!BL:BL)</f>
        <v>0</v>
      </c>
      <c r="BJ46">
        <f>SUMIF(RecoveredRaw!$B:$B,$A46,RecoveredRaw!BM:BM)</f>
        <v>0</v>
      </c>
      <c r="BK46">
        <f>SUMIF(RecoveredRaw!$B:$B,$A46,RecoveredRaw!BN:BN)</f>
        <v>0</v>
      </c>
      <c r="BL46">
        <f>SUMIF(RecoveredRaw!$B:$B,$A46,RecoveredRaw!BO:BO)</f>
        <v>0</v>
      </c>
      <c r="BM46">
        <f>SUMIF(RecoveredRaw!$B:$B,$A46,RecoveredRaw!BP:BP)</f>
        <v>0</v>
      </c>
      <c r="BN46">
        <f>SUMIF(RecoveredRaw!$B:$B,$A46,RecoveredRaw!BQ:BQ)</f>
        <v>0</v>
      </c>
      <c r="BO46">
        <f>SUMIF(RecoveredRaw!$B:$B,$A46,RecoveredRaw!BR:BR)</f>
        <v>0</v>
      </c>
      <c r="BP46">
        <f>SUMIF(RecoveredRaw!$B:$B,$A46,RecoveredRaw!BS:BS)</f>
        <v>0</v>
      </c>
      <c r="BQ46">
        <f>SUMIF(RecoveredRaw!$B:$B,$A46,RecoveredRaw!BT:BT)</f>
        <v>0</v>
      </c>
      <c r="BR46">
        <f>SUMIF(RecoveredRaw!$B:$B,$A46,RecoveredRaw!BU:BU)</f>
        <v>0</v>
      </c>
      <c r="BS46">
        <f>SUMIF(RecoveredRaw!$B:$B,$A46,RecoveredRaw!BV:BV)</f>
        <v>0</v>
      </c>
      <c r="BT46">
        <f>SUMIF(RecoveredRaw!$B:$B,$A46,RecoveredRaw!BW:BW)</f>
        <v>0</v>
      </c>
    </row>
    <row r="47" spans="1:72" ht="15" thickBot="1" x14ac:dyDescent="0.35">
      <c r="A47" s="3" t="s">
        <v>137</v>
      </c>
      <c r="B47">
        <f>SUMIF(RecoveredRaw!$B:$B,$A47,RecoveredRaw!E:E)</f>
        <v>0</v>
      </c>
      <c r="C47">
        <f>SUMIF(RecoveredRaw!$B:$B,$A47,RecoveredRaw!F:F)</f>
        <v>0</v>
      </c>
      <c r="D47">
        <f>SUMIF(RecoveredRaw!$B:$B,$A47,RecoveredRaw!G:G)</f>
        <v>0</v>
      </c>
      <c r="E47">
        <f>SUMIF(RecoveredRaw!$B:$B,$A47,RecoveredRaw!H:H)</f>
        <v>0</v>
      </c>
      <c r="F47">
        <f>SUMIF(RecoveredRaw!$B:$B,$A47,RecoveredRaw!I:I)</f>
        <v>0</v>
      </c>
      <c r="G47">
        <f>SUMIF(RecoveredRaw!$B:$B,$A47,RecoveredRaw!J:J)</f>
        <v>0</v>
      </c>
      <c r="H47">
        <f>SUMIF(RecoveredRaw!$B:$B,$A47,RecoveredRaw!K:K)</f>
        <v>0</v>
      </c>
      <c r="I47">
        <f>SUMIF(RecoveredRaw!$B:$B,$A47,RecoveredRaw!L:L)</f>
        <v>0</v>
      </c>
      <c r="J47">
        <f>SUMIF(RecoveredRaw!$B:$B,$A47,RecoveredRaw!M:M)</f>
        <v>0</v>
      </c>
      <c r="K47">
        <f>SUMIF(RecoveredRaw!$B:$B,$A47,RecoveredRaw!N:N)</f>
        <v>0</v>
      </c>
      <c r="L47">
        <f>SUMIF(RecoveredRaw!$B:$B,$A47,RecoveredRaw!O:O)</f>
        <v>0</v>
      </c>
      <c r="M47">
        <f>SUMIF(RecoveredRaw!$B:$B,$A47,RecoveredRaw!P:P)</f>
        <v>0</v>
      </c>
      <c r="N47">
        <f>SUMIF(RecoveredRaw!$B:$B,$A47,RecoveredRaw!Q:Q)</f>
        <v>0</v>
      </c>
      <c r="O47">
        <f>SUMIF(RecoveredRaw!$B:$B,$A47,RecoveredRaw!R:R)</f>
        <v>0</v>
      </c>
      <c r="P47">
        <f>SUMIF(RecoveredRaw!$B:$B,$A47,RecoveredRaw!S:S)</f>
        <v>0</v>
      </c>
      <c r="Q47">
        <f>SUMIF(RecoveredRaw!$B:$B,$A47,RecoveredRaw!T:T)</f>
        <v>0</v>
      </c>
      <c r="R47">
        <f>SUMIF(RecoveredRaw!$B:$B,$A47,RecoveredRaw!U:U)</f>
        <v>0</v>
      </c>
      <c r="S47">
        <f>SUMIF(RecoveredRaw!$B:$B,$A47,RecoveredRaw!V:V)</f>
        <v>0</v>
      </c>
      <c r="T47">
        <f>SUMIF(RecoveredRaw!$B:$B,$A47,RecoveredRaw!W:W)</f>
        <v>0</v>
      </c>
      <c r="U47">
        <f>SUMIF(RecoveredRaw!$B:$B,$A47,RecoveredRaw!X:X)</f>
        <v>0</v>
      </c>
      <c r="V47">
        <f>SUMIF(RecoveredRaw!$B:$B,$A47,RecoveredRaw!Y:Y)</f>
        <v>0</v>
      </c>
      <c r="W47">
        <f>SUMIF(RecoveredRaw!$B:$B,$A47,RecoveredRaw!Z:Z)</f>
        <v>0</v>
      </c>
      <c r="X47">
        <f>SUMIF(RecoveredRaw!$B:$B,$A47,RecoveredRaw!AA:AA)</f>
        <v>0</v>
      </c>
      <c r="Y47">
        <f>SUMIF(RecoveredRaw!$B:$B,$A47,RecoveredRaw!AB:AB)</f>
        <v>0</v>
      </c>
      <c r="Z47">
        <f>SUMIF(RecoveredRaw!$B:$B,$A47,RecoveredRaw!AC:AC)</f>
        <v>0</v>
      </c>
      <c r="AA47">
        <f>SUMIF(RecoveredRaw!$B:$B,$A47,RecoveredRaw!AD:AD)</f>
        <v>0</v>
      </c>
      <c r="AB47">
        <f>SUMIF(RecoveredRaw!$B:$B,$A47,RecoveredRaw!AE:AE)</f>
        <v>0</v>
      </c>
      <c r="AC47">
        <f>SUMIF(RecoveredRaw!$B:$B,$A47,RecoveredRaw!AF:AF)</f>
        <v>0</v>
      </c>
      <c r="AD47">
        <f>SUMIF(RecoveredRaw!$B:$B,$A47,RecoveredRaw!AG:AG)</f>
        <v>0</v>
      </c>
      <c r="AE47">
        <f>SUMIF(RecoveredRaw!$B:$B,$A47,RecoveredRaw!AH:AH)</f>
        <v>0</v>
      </c>
      <c r="AF47">
        <f>SUMIF(RecoveredRaw!$B:$B,$A47,RecoveredRaw!AI:AI)</f>
        <v>0</v>
      </c>
      <c r="AG47">
        <f>SUMIF(RecoveredRaw!$B:$B,$A47,RecoveredRaw!AJ:AJ)</f>
        <v>0</v>
      </c>
      <c r="AH47">
        <f>SUMIF(RecoveredRaw!$B:$B,$A47,RecoveredRaw!AK:AK)</f>
        <v>0</v>
      </c>
      <c r="AI47">
        <f>SUMIF(RecoveredRaw!$B:$B,$A47,RecoveredRaw!AL:AL)</f>
        <v>0</v>
      </c>
      <c r="AJ47">
        <f>SUMIF(RecoveredRaw!$B:$B,$A47,RecoveredRaw!AM:AM)</f>
        <v>0</v>
      </c>
      <c r="AK47">
        <f>SUMIF(RecoveredRaw!$B:$B,$A47,RecoveredRaw!AN:AN)</f>
        <v>0</v>
      </c>
      <c r="AL47">
        <f>SUMIF(RecoveredRaw!$B:$B,$A47,RecoveredRaw!AO:AO)</f>
        <v>0</v>
      </c>
      <c r="AM47">
        <f>SUMIF(RecoveredRaw!$B:$B,$A47,RecoveredRaw!AP:AP)</f>
        <v>0</v>
      </c>
      <c r="AN47">
        <f>SUMIF(RecoveredRaw!$B:$B,$A47,RecoveredRaw!AQ:AQ)</f>
        <v>0</v>
      </c>
      <c r="AO47">
        <f>SUMIF(RecoveredRaw!$B:$B,$A47,RecoveredRaw!AR:AR)</f>
        <v>0</v>
      </c>
      <c r="AP47">
        <f>SUMIF(RecoveredRaw!$B:$B,$A47,RecoveredRaw!AS:AS)</f>
        <v>0</v>
      </c>
      <c r="AQ47">
        <f>SUMIF(RecoveredRaw!$B:$B,$A47,RecoveredRaw!AT:AT)</f>
        <v>0</v>
      </c>
      <c r="AR47">
        <f>SUMIF(RecoveredRaw!$B:$B,$A47,RecoveredRaw!AU:AU)</f>
        <v>0</v>
      </c>
      <c r="AS47">
        <f>SUMIF(RecoveredRaw!$B:$B,$A47,RecoveredRaw!AV:AV)</f>
        <v>0</v>
      </c>
      <c r="AT47">
        <f>SUMIF(RecoveredRaw!$B:$B,$A47,RecoveredRaw!AW:AW)</f>
        <v>0</v>
      </c>
      <c r="AU47">
        <f>SUMIF(RecoveredRaw!$B:$B,$A47,RecoveredRaw!AX:AX)</f>
        <v>0</v>
      </c>
      <c r="AV47">
        <f>SUMIF(RecoveredRaw!$B:$B,$A47,RecoveredRaw!AY:AY)</f>
        <v>0</v>
      </c>
      <c r="AW47">
        <f>SUMIF(RecoveredRaw!$B:$B,$A47,RecoveredRaw!AZ:AZ)</f>
        <v>0</v>
      </c>
      <c r="AX47">
        <f>SUMIF(RecoveredRaw!$B:$B,$A47,RecoveredRaw!BA:BA)</f>
        <v>0</v>
      </c>
      <c r="AY47">
        <f>SUMIF(RecoveredRaw!$B:$B,$A47,RecoveredRaw!BB:BB)</f>
        <v>0</v>
      </c>
      <c r="AZ47">
        <f>SUMIF(RecoveredRaw!$B:$B,$A47,RecoveredRaw!BC:BC)</f>
        <v>0</v>
      </c>
      <c r="BA47">
        <f>SUMIF(RecoveredRaw!$B:$B,$A47,RecoveredRaw!BD:BD)</f>
        <v>0</v>
      </c>
      <c r="BB47">
        <f>SUMIF(RecoveredRaw!$B:$B,$A47,RecoveredRaw!BE:BE)</f>
        <v>0</v>
      </c>
      <c r="BC47">
        <f>SUMIF(RecoveredRaw!$B:$B,$A47,RecoveredRaw!BF:BF)</f>
        <v>0</v>
      </c>
      <c r="BD47">
        <f>SUMIF(RecoveredRaw!$B:$B,$A47,RecoveredRaw!BG:BG)</f>
        <v>13</v>
      </c>
      <c r="BE47">
        <f>SUMIF(RecoveredRaw!$B:$B,$A47,RecoveredRaw!BH:BH)</f>
        <v>13</v>
      </c>
      <c r="BF47">
        <f>SUMIF(RecoveredRaw!$B:$B,$A47,RecoveredRaw!BI:BI)</f>
        <v>13</v>
      </c>
      <c r="BG47">
        <f>SUMIF(RecoveredRaw!$B:$B,$A47,RecoveredRaw!BJ:BJ)</f>
        <v>0</v>
      </c>
      <c r="BH47">
        <f>SUMIF(RecoveredRaw!$B:$B,$A47,RecoveredRaw!BK:BK)</f>
        <v>0</v>
      </c>
      <c r="BI47">
        <f>SUMIF(RecoveredRaw!$B:$B,$A47,RecoveredRaw!BL:BL)</f>
        <v>0</v>
      </c>
      <c r="BJ47">
        <f>SUMIF(RecoveredRaw!$B:$B,$A47,RecoveredRaw!BM:BM)</f>
        <v>0</v>
      </c>
      <c r="BK47">
        <f>SUMIF(RecoveredRaw!$B:$B,$A47,RecoveredRaw!BN:BN)</f>
        <v>0</v>
      </c>
      <c r="BL47">
        <f>SUMIF(RecoveredRaw!$B:$B,$A47,RecoveredRaw!BO:BO)</f>
        <v>0</v>
      </c>
      <c r="BM47">
        <f>SUMIF(RecoveredRaw!$B:$B,$A47,RecoveredRaw!BP:BP)</f>
        <v>0</v>
      </c>
      <c r="BN47">
        <f>SUMIF(RecoveredRaw!$B:$B,$A47,RecoveredRaw!BQ:BQ)</f>
        <v>0</v>
      </c>
      <c r="BO47">
        <f>SUMIF(RecoveredRaw!$B:$B,$A47,RecoveredRaw!BR:BR)</f>
        <v>0</v>
      </c>
      <c r="BP47">
        <f>SUMIF(RecoveredRaw!$B:$B,$A47,RecoveredRaw!BS:BS)</f>
        <v>0</v>
      </c>
      <c r="BQ47">
        <f>SUMIF(RecoveredRaw!$B:$B,$A47,RecoveredRaw!BT:BT)</f>
        <v>0</v>
      </c>
      <c r="BR47">
        <f>SUMIF(RecoveredRaw!$B:$B,$A47,RecoveredRaw!BU:BU)</f>
        <v>0</v>
      </c>
      <c r="BS47">
        <f>SUMIF(RecoveredRaw!$B:$B,$A47,RecoveredRaw!BV:BV)</f>
        <v>0</v>
      </c>
      <c r="BT47">
        <f>SUMIF(RecoveredRaw!$B:$B,$A47,RecoveredRaw!BW:BW)</f>
        <v>0</v>
      </c>
    </row>
    <row r="48" spans="1:72" ht="15" thickBot="1" x14ac:dyDescent="0.35">
      <c r="A48" s="3" t="s">
        <v>56</v>
      </c>
      <c r="B48">
        <f>SUMIF(RecoveredRaw!$B:$B,$A48,RecoveredRaw!E:E)</f>
        <v>0</v>
      </c>
      <c r="C48">
        <f>SUMIF(RecoveredRaw!$B:$B,$A48,RecoveredRaw!F:F)</f>
        <v>0</v>
      </c>
      <c r="D48">
        <f>SUMIF(RecoveredRaw!$B:$B,$A48,RecoveredRaw!G:G)</f>
        <v>0</v>
      </c>
      <c r="E48">
        <f>SUMIF(RecoveredRaw!$B:$B,$A48,RecoveredRaw!H:H)</f>
        <v>0</v>
      </c>
      <c r="F48">
        <f>SUMIF(RecoveredRaw!$B:$B,$A48,RecoveredRaw!I:I)</f>
        <v>0</v>
      </c>
      <c r="G48">
        <f>SUMIF(RecoveredRaw!$B:$B,$A48,RecoveredRaw!J:J)</f>
        <v>0</v>
      </c>
      <c r="H48">
        <f>SUMIF(RecoveredRaw!$B:$B,$A48,RecoveredRaw!K:K)</f>
        <v>0</v>
      </c>
      <c r="I48">
        <f>SUMIF(RecoveredRaw!$B:$B,$A48,RecoveredRaw!L:L)</f>
        <v>0</v>
      </c>
      <c r="J48">
        <f>SUMIF(RecoveredRaw!$B:$B,$A48,RecoveredRaw!M:M)</f>
        <v>0</v>
      </c>
      <c r="K48">
        <f>SUMIF(RecoveredRaw!$B:$B,$A48,RecoveredRaw!N:N)</f>
        <v>0</v>
      </c>
      <c r="L48">
        <f>SUMIF(RecoveredRaw!$B:$B,$A48,RecoveredRaw!O:O)</f>
        <v>0</v>
      </c>
      <c r="M48">
        <f>SUMIF(RecoveredRaw!$B:$B,$A48,RecoveredRaw!P:P)</f>
        <v>0</v>
      </c>
      <c r="N48">
        <f>SUMIF(RecoveredRaw!$B:$B,$A48,RecoveredRaw!Q:Q)</f>
        <v>0</v>
      </c>
      <c r="O48">
        <f>SUMIF(RecoveredRaw!$B:$B,$A48,RecoveredRaw!R:R)</f>
        <v>0</v>
      </c>
      <c r="P48">
        <f>SUMIF(RecoveredRaw!$B:$B,$A48,RecoveredRaw!S:S)</f>
        <v>0</v>
      </c>
      <c r="Q48">
        <f>SUMIF(RecoveredRaw!$B:$B,$A48,RecoveredRaw!T:T)</f>
        <v>0</v>
      </c>
      <c r="R48">
        <f>SUMIF(RecoveredRaw!$B:$B,$A48,RecoveredRaw!U:U)</f>
        <v>0</v>
      </c>
      <c r="S48">
        <f>SUMIF(RecoveredRaw!$B:$B,$A48,RecoveredRaw!V:V)</f>
        <v>0</v>
      </c>
      <c r="T48">
        <f>SUMIF(RecoveredRaw!$B:$B,$A48,RecoveredRaw!W:W)</f>
        <v>0</v>
      </c>
      <c r="U48">
        <f>SUMIF(RecoveredRaw!$B:$B,$A48,RecoveredRaw!X:X)</f>
        <v>0</v>
      </c>
      <c r="V48">
        <f>SUMIF(RecoveredRaw!$B:$B,$A48,RecoveredRaw!Y:Y)</f>
        <v>0</v>
      </c>
      <c r="W48">
        <f>SUMIF(RecoveredRaw!$B:$B,$A48,RecoveredRaw!Z:Z)</f>
        <v>1</v>
      </c>
      <c r="X48">
        <f>SUMIF(RecoveredRaw!$B:$B,$A48,RecoveredRaw!AA:AA)</f>
        <v>1</v>
      </c>
      <c r="Y48">
        <f>SUMIF(RecoveredRaw!$B:$B,$A48,RecoveredRaw!AB:AB)</f>
        <v>1</v>
      </c>
      <c r="Z48">
        <f>SUMIF(RecoveredRaw!$B:$B,$A48,RecoveredRaw!AC:AC)</f>
        <v>1</v>
      </c>
      <c r="AA48">
        <f>SUMIF(RecoveredRaw!$B:$B,$A48,RecoveredRaw!AD:AD)</f>
        <v>1</v>
      </c>
      <c r="AB48">
        <f>SUMIF(RecoveredRaw!$B:$B,$A48,RecoveredRaw!AE:AE)</f>
        <v>1</v>
      </c>
      <c r="AC48">
        <f>SUMIF(RecoveredRaw!$B:$B,$A48,RecoveredRaw!AF:AF)</f>
        <v>1</v>
      </c>
      <c r="AD48">
        <f>SUMIF(RecoveredRaw!$B:$B,$A48,RecoveredRaw!AG:AG)</f>
        <v>1</v>
      </c>
      <c r="AE48">
        <f>SUMIF(RecoveredRaw!$B:$B,$A48,RecoveredRaw!AH:AH)</f>
        <v>1</v>
      </c>
      <c r="AF48">
        <f>SUMIF(RecoveredRaw!$B:$B,$A48,RecoveredRaw!AI:AI)</f>
        <v>1</v>
      </c>
      <c r="AG48">
        <f>SUMIF(RecoveredRaw!$B:$B,$A48,RecoveredRaw!AJ:AJ)</f>
        <v>1</v>
      </c>
      <c r="AH48">
        <f>SUMIF(RecoveredRaw!$B:$B,$A48,RecoveredRaw!AK:AK)</f>
        <v>1</v>
      </c>
      <c r="AI48">
        <f>SUMIF(RecoveredRaw!$B:$B,$A48,RecoveredRaw!AL:AL)</f>
        <v>1</v>
      </c>
      <c r="AJ48">
        <f>SUMIF(RecoveredRaw!$B:$B,$A48,RecoveredRaw!AM:AM)</f>
        <v>1</v>
      </c>
      <c r="AK48">
        <f>SUMIF(RecoveredRaw!$B:$B,$A48,RecoveredRaw!AN:AN)</f>
        <v>1</v>
      </c>
      <c r="AL48">
        <f>SUMIF(RecoveredRaw!$B:$B,$A48,RecoveredRaw!AO:AO)</f>
        <v>1</v>
      </c>
      <c r="AM48">
        <f>SUMIF(RecoveredRaw!$B:$B,$A48,RecoveredRaw!AP:AP)</f>
        <v>1</v>
      </c>
      <c r="AN48">
        <f>SUMIF(RecoveredRaw!$B:$B,$A48,RecoveredRaw!AQ:AQ)</f>
        <v>1</v>
      </c>
      <c r="AO48">
        <f>SUMIF(RecoveredRaw!$B:$B,$A48,RecoveredRaw!AR:AR)</f>
        <v>1</v>
      </c>
      <c r="AP48">
        <f>SUMIF(RecoveredRaw!$B:$B,$A48,RecoveredRaw!AS:AS)</f>
        <v>1</v>
      </c>
      <c r="AQ48">
        <f>SUMIF(RecoveredRaw!$B:$B,$A48,RecoveredRaw!AT:AT)</f>
        <v>1</v>
      </c>
      <c r="AR48">
        <f>SUMIF(RecoveredRaw!$B:$B,$A48,RecoveredRaw!AU:AU)</f>
        <v>1</v>
      </c>
      <c r="AS48">
        <f>SUMIF(RecoveredRaw!$B:$B,$A48,RecoveredRaw!AV:AV)</f>
        <v>1</v>
      </c>
      <c r="AT48">
        <f>SUMIF(RecoveredRaw!$B:$B,$A48,RecoveredRaw!AW:AW)</f>
        <v>1</v>
      </c>
      <c r="AU48">
        <f>SUMIF(RecoveredRaw!$B:$B,$A48,RecoveredRaw!AX:AX)</f>
        <v>1</v>
      </c>
      <c r="AV48">
        <f>SUMIF(RecoveredRaw!$B:$B,$A48,RecoveredRaw!AY:AY)</f>
        <v>1</v>
      </c>
      <c r="AW48">
        <f>SUMIF(RecoveredRaw!$B:$B,$A48,RecoveredRaw!AZ:AZ)</f>
        <v>1</v>
      </c>
      <c r="AX48">
        <f>SUMIF(RecoveredRaw!$B:$B,$A48,RecoveredRaw!BA:BA)</f>
        <v>2</v>
      </c>
      <c r="AY48">
        <f>SUMIF(RecoveredRaw!$B:$B,$A48,RecoveredRaw!BB:BB)</f>
        <v>2</v>
      </c>
      <c r="AZ48">
        <f>SUMIF(RecoveredRaw!$B:$B,$A48,RecoveredRaw!BC:BC)</f>
        <v>2</v>
      </c>
      <c r="BA48">
        <f>SUMIF(RecoveredRaw!$B:$B,$A48,RecoveredRaw!BD:BD)</f>
        <v>2</v>
      </c>
      <c r="BB48">
        <f>SUMIF(RecoveredRaw!$B:$B,$A48,RecoveredRaw!BE:BE)</f>
        <v>2</v>
      </c>
      <c r="BC48">
        <f>SUMIF(RecoveredRaw!$B:$B,$A48,RecoveredRaw!BF:BF)</f>
        <v>2</v>
      </c>
      <c r="BD48">
        <f>SUMIF(RecoveredRaw!$B:$B,$A48,RecoveredRaw!BG:BG)</f>
        <v>2</v>
      </c>
      <c r="BE48">
        <f>SUMIF(RecoveredRaw!$B:$B,$A48,RecoveredRaw!BH:BH)</f>
        <v>5</v>
      </c>
      <c r="BF48">
        <f>SUMIF(RecoveredRaw!$B:$B,$A48,RecoveredRaw!BI:BI)</f>
        <v>5</v>
      </c>
      <c r="BG48">
        <f>SUMIF(RecoveredRaw!$B:$B,$A48,RecoveredRaw!BJ:BJ)</f>
        <v>0</v>
      </c>
      <c r="BH48">
        <f>SUMIF(RecoveredRaw!$B:$B,$A48,RecoveredRaw!BK:BK)</f>
        <v>0</v>
      </c>
      <c r="BI48">
        <f>SUMIF(RecoveredRaw!$B:$B,$A48,RecoveredRaw!BL:BL)</f>
        <v>0</v>
      </c>
      <c r="BJ48">
        <f>SUMIF(RecoveredRaw!$B:$B,$A48,RecoveredRaw!BM:BM)</f>
        <v>0</v>
      </c>
      <c r="BK48">
        <f>SUMIF(RecoveredRaw!$B:$B,$A48,RecoveredRaw!BN:BN)</f>
        <v>0</v>
      </c>
      <c r="BL48">
        <f>SUMIF(RecoveredRaw!$B:$B,$A48,RecoveredRaw!BO:BO)</f>
        <v>0</v>
      </c>
      <c r="BM48">
        <f>SUMIF(RecoveredRaw!$B:$B,$A48,RecoveredRaw!BP:BP)</f>
        <v>0</v>
      </c>
      <c r="BN48">
        <f>SUMIF(RecoveredRaw!$B:$B,$A48,RecoveredRaw!BQ:BQ)</f>
        <v>0</v>
      </c>
      <c r="BO48">
        <f>SUMIF(RecoveredRaw!$B:$B,$A48,RecoveredRaw!BR:BR)</f>
        <v>0</v>
      </c>
      <c r="BP48">
        <f>SUMIF(RecoveredRaw!$B:$B,$A48,RecoveredRaw!BS:BS)</f>
        <v>0</v>
      </c>
      <c r="BQ48">
        <f>SUMIF(RecoveredRaw!$B:$B,$A48,RecoveredRaw!BT:BT)</f>
        <v>0</v>
      </c>
      <c r="BR48">
        <f>SUMIF(RecoveredRaw!$B:$B,$A48,RecoveredRaw!BU:BU)</f>
        <v>0</v>
      </c>
      <c r="BS48">
        <f>SUMIF(RecoveredRaw!$B:$B,$A48,RecoveredRaw!BV:BV)</f>
        <v>0</v>
      </c>
      <c r="BT48">
        <f>SUMIF(RecoveredRaw!$B:$B,$A48,RecoveredRaw!BW:BW)</f>
        <v>0</v>
      </c>
    </row>
    <row r="49" spans="1:72" ht="15" thickBot="1" x14ac:dyDescent="0.35">
      <c r="A49" s="3" t="s">
        <v>342</v>
      </c>
      <c r="B49">
        <f>SUMIF(RecoveredRaw!$B:$B,$A49,RecoveredRaw!E:E)</f>
        <v>0</v>
      </c>
      <c r="C49">
        <f>SUMIF(RecoveredRaw!$B:$B,$A49,RecoveredRaw!F:F)</f>
        <v>0</v>
      </c>
      <c r="D49">
        <f>SUMIF(RecoveredRaw!$B:$B,$A49,RecoveredRaw!G:G)</f>
        <v>0</v>
      </c>
      <c r="E49">
        <f>SUMIF(RecoveredRaw!$B:$B,$A49,RecoveredRaw!H:H)</f>
        <v>0</v>
      </c>
      <c r="F49">
        <f>SUMIF(RecoveredRaw!$B:$B,$A49,RecoveredRaw!I:I)</f>
        <v>0</v>
      </c>
      <c r="G49">
        <f>SUMIF(RecoveredRaw!$B:$B,$A49,RecoveredRaw!J:J)</f>
        <v>0</v>
      </c>
      <c r="H49">
        <f>SUMIF(RecoveredRaw!$B:$B,$A49,RecoveredRaw!K:K)</f>
        <v>0</v>
      </c>
      <c r="I49">
        <f>SUMIF(RecoveredRaw!$B:$B,$A49,RecoveredRaw!L:L)</f>
        <v>0</v>
      </c>
      <c r="J49">
        <f>SUMIF(RecoveredRaw!$B:$B,$A49,RecoveredRaw!M:M)</f>
        <v>0</v>
      </c>
      <c r="K49">
        <f>SUMIF(RecoveredRaw!$B:$B,$A49,RecoveredRaw!N:N)</f>
        <v>0</v>
      </c>
      <c r="L49">
        <f>SUMIF(RecoveredRaw!$B:$B,$A49,RecoveredRaw!O:O)</f>
        <v>0</v>
      </c>
      <c r="M49">
        <f>SUMIF(RecoveredRaw!$B:$B,$A49,RecoveredRaw!P:P)</f>
        <v>0</v>
      </c>
      <c r="N49">
        <f>SUMIF(RecoveredRaw!$B:$B,$A49,RecoveredRaw!Q:Q)</f>
        <v>0</v>
      </c>
      <c r="O49">
        <f>SUMIF(RecoveredRaw!$B:$B,$A49,RecoveredRaw!R:R)</f>
        <v>0</v>
      </c>
      <c r="P49">
        <f>SUMIF(RecoveredRaw!$B:$B,$A49,RecoveredRaw!S:S)</f>
        <v>0</v>
      </c>
      <c r="Q49">
        <f>SUMIF(RecoveredRaw!$B:$B,$A49,RecoveredRaw!T:T)</f>
        <v>1</v>
      </c>
      <c r="R49">
        <f>SUMIF(RecoveredRaw!$B:$B,$A49,RecoveredRaw!U:U)</f>
        <v>1</v>
      </c>
      <c r="S49">
        <f>SUMIF(RecoveredRaw!$B:$B,$A49,RecoveredRaw!V:V)</f>
        <v>1</v>
      </c>
      <c r="T49">
        <f>SUMIF(RecoveredRaw!$B:$B,$A49,RecoveredRaw!W:W)</f>
        <v>1</v>
      </c>
      <c r="U49">
        <f>SUMIF(RecoveredRaw!$B:$B,$A49,RecoveredRaw!X:X)</f>
        <v>1</v>
      </c>
      <c r="V49">
        <f>SUMIF(RecoveredRaw!$B:$B,$A49,RecoveredRaw!Y:Y)</f>
        <v>1</v>
      </c>
      <c r="W49">
        <f>SUMIF(RecoveredRaw!$B:$B,$A49,RecoveredRaw!Z:Z)</f>
        <v>1</v>
      </c>
      <c r="X49">
        <f>SUMIF(RecoveredRaw!$B:$B,$A49,RecoveredRaw!AA:AA)</f>
        <v>1</v>
      </c>
      <c r="Y49">
        <f>SUMIF(RecoveredRaw!$B:$B,$A49,RecoveredRaw!AB:AB)</f>
        <v>2</v>
      </c>
      <c r="Z49">
        <f>SUMIF(RecoveredRaw!$B:$B,$A49,RecoveredRaw!AC:AC)</f>
        <v>2</v>
      </c>
      <c r="AA49">
        <f>SUMIF(RecoveredRaw!$B:$B,$A49,RecoveredRaw!AD:AD)</f>
        <v>2</v>
      </c>
      <c r="AB49">
        <f>SUMIF(RecoveredRaw!$B:$B,$A49,RecoveredRaw!AE:AE)</f>
        <v>2</v>
      </c>
      <c r="AC49">
        <f>SUMIF(RecoveredRaw!$B:$B,$A49,RecoveredRaw!AF:AF)</f>
        <v>2</v>
      </c>
      <c r="AD49">
        <f>SUMIF(RecoveredRaw!$B:$B,$A49,RecoveredRaw!AG:AG)</f>
        <v>2</v>
      </c>
      <c r="AE49">
        <f>SUMIF(RecoveredRaw!$B:$B,$A49,RecoveredRaw!AH:AH)</f>
        <v>2</v>
      </c>
      <c r="AF49">
        <f>SUMIF(RecoveredRaw!$B:$B,$A49,RecoveredRaw!AI:AI)</f>
        <v>2</v>
      </c>
      <c r="AG49">
        <f>SUMIF(RecoveredRaw!$B:$B,$A49,RecoveredRaw!AJ:AJ)</f>
        <v>2</v>
      </c>
      <c r="AH49">
        <f>SUMIF(RecoveredRaw!$B:$B,$A49,RecoveredRaw!AK:AK)</f>
        <v>2</v>
      </c>
      <c r="AI49">
        <f>SUMIF(RecoveredRaw!$B:$B,$A49,RecoveredRaw!AL:AL)</f>
        <v>5</v>
      </c>
      <c r="AJ49">
        <f>SUMIF(RecoveredRaw!$B:$B,$A49,RecoveredRaw!AM:AM)</f>
        <v>5</v>
      </c>
      <c r="AK49">
        <f>SUMIF(RecoveredRaw!$B:$B,$A49,RecoveredRaw!AN:AN)</f>
        <v>5</v>
      </c>
      <c r="AL49">
        <f>SUMIF(RecoveredRaw!$B:$B,$A49,RecoveredRaw!AO:AO)</f>
        <v>5</v>
      </c>
      <c r="AM49">
        <f>SUMIF(RecoveredRaw!$B:$B,$A49,RecoveredRaw!AP:AP)</f>
        <v>6</v>
      </c>
      <c r="AN49">
        <f>SUMIF(RecoveredRaw!$B:$B,$A49,RecoveredRaw!AQ:AQ)</f>
        <v>9</v>
      </c>
      <c r="AO49">
        <f>SUMIF(RecoveredRaw!$B:$B,$A49,RecoveredRaw!AR:AR)</f>
        <v>9</v>
      </c>
      <c r="AP49">
        <f>SUMIF(RecoveredRaw!$B:$B,$A49,RecoveredRaw!AS:AS)</f>
        <v>12</v>
      </c>
      <c r="AQ49">
        <f>SUMIF(RecoveredRaw!$B:$B,$A49,RecoveredRaw!AT:AT)</f>
        <v>12</v>
      </c>
      <c r="AR49">
        <f>SUMIF(RecoveredRaw!$B:$B,$A49,RecoveredRaw!AU:AU)</f>
        <v>12</v>
      </c>
      <c r="AS49">
        <f>SUMIF(RecoveredRaw!$B:$B,$A49,RecoveredRaw!AV:AV)</f>
        <v>12</v>
      </c>
      <c r="AT49">
        <f>SUMIF(RecoveredRaw!$B:$B,$A49,RecoveredRaw!AW:AW)</f>
        <v>12</v>
      </c>
      <c r="AU49">
        <f>SUMIF(RecoveredRaw!$B:$B,$A49,RecoveredRaw!AX:AX)</f>
        <v>12</v>
      </c>
      <c r="AV49">
        <f>SUMIF(RecoveredRaw!$B:$B,$A49,RecoveredRaw!AY:AY)</f>
        <v>13</v>
      </c>
      <c r="AW49">
        <f>SUMIF(RecoveredRaw!$B:$B,$A49,RecoveredRaw!AZ:AZ)</f>
        <v>15</v>
      </c>
      <c r="AX49">
        <f>SUMIF(RecoveredRaw!$B:$B,$A49,RecoveredRaw!BA:BA)</f>
        <v>17</v>
      </c>
      <c r="AY49">
        <f>SUMIF(RecoveredRaw!$B:$B,$A49,RecoveredRaw!BB:BB)</f>
        <v>17</v>
      </c>
      <c r="AZ49">
        <f>SUMIF(RecoveredRaw!$B:$B,$A49,RecoveredRaw!BC:BC)</f>
        <v>20</v>
      </c>
      <c r="BA49">
        <f>SUMIF(RecoveredRaw!$B:$B,$A49,RecoveredRaw!BD:BD)</f>
        <v>20</v>
      </c>
      <c r="BB49">
        <f>SUMIF(RecoveredRaw!$B:$B,$A49,RecoveredRaw!BE:BE)</f>
        <v>20</v>
      </c>
      <c r="BC49">
        <f>SUMIF(RecoveredRaw!$B:$B,$A49,RecoveredRaw!BF:BF)</f>
        <v>20</v>
      </c>
      <c r="BD49">
        <f>SUMIF(RecoveredRaw!$B:$B,$A49,RecoveredRaw!BG:BG)</f>
        <v>20</v>
      </c>
      <c r="BE49">
        <f>SUMIF(RecoveredRaw!$B:$B,$A49,RecoveredRaw!BH:BH)</f>
        <v>22</v>
      </c>
      <c r="BF49">
        <f>SUMIF(RecoveredRaw!$B:$B,$A49,RecoveredRaw!BI:BI)</f>
        <v>22</v>
      </c>
      <c r="BG49">
        <f>SUMIF(RecoveredRaw!$B:$B,$A49,RecoveredRaw!BJ:BJ)</f>
        <v>0</v>
      </c>
      <c r="BH49">
        <f>SUMIF(RecoveredRaw!$B:$B,$A49,RecoveredRaw!BK:BK)</f>
        <v>0</v>
      </c>
      <c r="BI49">
        <f>SUMIF(RecoveredRaw!$B:$B,$A49,RecoveredRaw!BL:BL)</f>
        <v>0</v>
      </c>
      <c r="BJ49">
        <f>SUMIF(RecoveredRaw!$B:$B,$A49,RecoveredRaw!BM:BM)</f>
        <v>0</v>
      </c>
      <c r="BK49">
        <f>SUMIF(RecoveredRaw!$B:$B,$A49,RecoveredRaw!BN:BN)</f>
        <v>0</v>
      </c>
      <c r="BL49">
        <f>SUMIF(RecoveredRaw!$B:$B,$A49,RecoveredRaw!BO:BO)</f>
        <v>0</v>
      </c>
      <c r="BM49">
        <f>SUMIF(RecoveredRaw!$B:$B,$A49,RecoveredRaw!BP:BP)</f>
        <v>0</v>
      </c>
      <c r="BN49">
        <f>SUMIF(RecoveredRaw!$B:$B,$A49,RecoveredRaw!BQ:BQ)</f>
        <v>0</v>
      </c>
      <c r="BO49">
        <f>SUMIF(RecoveredRaw!$B:$B,$A49,RecoveredRaw!BR:BR)</f>
        <v>0</v>
      </c>
      <c r="BP49">
        <f>SUMIF(RecoveredRaw!$B:$B,$A49,RecoveredRaw!BS:BS)</f>
        <v>0</v>
      </c>
      <c r="BQ49">
        <f>SUMIF(RecoveredRaw!$B:$B,$A49,RecoveredRaw!BT:BT)</f>
        <v>0</v>
      </c>
      <c r="BR49">
        <f>SUMIF(RecoveredRaw!$B:$B,$A49,RecoveredRaw!BU:BU)</f>
        <v>0</v>
      </c>
      <c r="BS49">
        <f>SUMIF(RecoveredRaw!$B:$B,$A49,RecoveredRaw!BV:BV)</f>
        <v>0</v>
      </c>
      <c r="BT49">
        <f>SUMIF(RecoveredRaw!$B:$B,$A49,RecoveredRaw!BW:BW)</f>
        <v>0</v>
      </c>
    </row>
    <row r="50" spans="1:72" ht="15" thickBot="1" x14ac:dyDescent="0.35">
      <c r="A50" s="4" t="s">
        <v>343</v>
      </c>
      <c r="B50">
        <f>SUMIF(RecoveredRaw!$B:$B,$A50,RecoveredRaw!E:E)</f>
        <v>0</v>
      </c>
      <c r="C50">
        <f>SUMIF(RecoveredRaw!$B:$B,$A50,RecoveredRaw!F:F)</f>
        <v>0</v>
      </c>
      <c r="D50">
        <f>SUMIF(RecoveredRaw!$B:$B,$A50,RecoveredRaw!G:G)</f>
        <v>0</v>
      </c>
      <c r="E50">
        <f>SUMIF(RecoveredRaw!$B:$B,$A50,RecoveredRaw!H:H)</f>
        <v>0</v>
      </c>
      <c r="F50">
        <f>SUMIF(RecoveredRaw!$B:$B,$A50,RecoveredRaw!I:I)</f>
        <v>0</v>
      </c>
      <c r="G50">
        <f>SUMIF(RecoveredRaw!$B:$B,$A50,RecoveredRaw!J:J)</f>
        <v>0</v>
      </c>
      <c r="H50">
        <f>SUMIF(RecoveredRaw!$B:$B,$A50,RecoveredRaw!K:K)</f>
        <v>0</v>
      </c>
      <c r="I50">
        <f>SUMIF(RecoveredRaw!$B:$B,$A50,RecoveredRaw!L:L)</f>
        <v>0</v>
      </c>
      <c r="J50">
        <f>SUMIF(RecoveredRaw!$B:$B,$A50,RecoveredRaw!M:M)</f>
        <v>0</v>
      </c>
      <c r="K50">
        <f>SUMIF(RecoveredRaw!$B:$B,$A50,RecoveredRaw!N:N)</f>
        <v>0</v>
      </c>
      <c r="L50">
        <f>SUMIF(RecoveredRaw!$B:$B,$A50,RecoveredRaw!O:O)</f>
        <v>1</v>
      </c>
      <c r="M50">
        <f>SUMIF(RecoveredRaw!$B:$B,$A50,RecoveredRaw!P:P)</f>
        <v>1</v>
      </c>
      <c r="N50">
        <f>SUMIF(RecoveredRaw!$B:$B,$A50,RecoveredRaw!Q:Q)</f>
        <v>1</v>
      </c>
      <c r="O50">
        <f>SUMIF(RecoveredRaw!$B:$B,$A50,RecoveredRaw!R:R)</f>
        <v>1</v>
      </c>
      <c r="P50">
        <f>SUMIF(RecoveredRaw!$B:$B,$A50,RecoveredRaw!S:S)</f>
        <v>1</v>
      </c>
      <c r="Q50">
        <f>SUMIF(RecoveredRaw!$B:$B,$A50,RecoveredRaw!T:T)</f>
        <v>1</v>
      </c>
      <c r="R50">
        <f>SUMIF(RecoveredRaw!$B:$B,$A50,RecoveredRaw!U:U)</f>
        <v>1</v>
      </c>
      <c r="S50">
        <f>SUMIF(RecoveredRaw!$B:$B,$A50,RecoveredRaw!V:V)</f>
        <v>1</v>
      </c>
      <c r="T50">
        <f>SUMIF(RecoveredRaw!$B:$B,$A50,RecoveredRaw!W:W)</f>
        <v>1</v>
      </c>
      <c r="U50">
        <f>SUMIF(RecoveredRaw!$B:$B,$A50,RecoveredRaw!X:X)</f>
        <v>1</v>
      </c>
      <c r="V50">
        <f>SUMIF(RecoveredRaw!$B:$B,$A50,RecoveredRaw!Y:Y)</f>
        <v>6</v>
      </c>
      <c r="W50">
        <f>SUMIF(RecoveredRaw!$B:$B,$A50,RecoveredRaw!Z:Z)</f>
        <v>6</v>
      </c>
      <c r="X50">
        <f>SUMIF(RecoveredRaw!$B:$B,$A50,RecoveredRaw!AA:AA)</f>
        <v>7</v>
      </c>
      <c r="Y50">
        <f>SUMIF(RecoveredRaw!$B:$B,$A50,RecoveredRaw!AB:AB)</f>
        <v>7</v>
      </c>
      <c r="Z50">
        <f>SUMIF(RecoveredRaw!$B:$B,$A50,RecoveredRaw!AC:AC)</f>
        <v>7</v>
      </c>
      <c r="AA50">
        <f>SUMIF(RecoveredRaw!$B:$B,$A50,RecoveredRaw!AD:AD)</f>
        <v>7</v>
      </c>
      <c r="AB50">
        <f>SUMIF(RecoveredRaw!$B:$B,$A50,RecoveredRaw!AE:AE)</f>
        <v>7</v>
      </c>
      <c r="AC50">
        <f>SUMIF(RecoveredRaw!$B:$B,$A50,RecoveredRaw!AF:AF)</f>
        <v>7</v>
      </c>
      <c r="AD50">
        <f>SUMIF(RecoveredRaw!$B:$B,$A50,RecoveredRaw!AG:AG)</f>
        <v>7</v>
      </c>
      <c r="AE50">
        <f>SUMIF(RecoveredRaw!$B:$B,$A50,RecoveredRaw!AH:AH)</f>
        <v>7</v>
      </c>
      <c r="AF50">
        <f>SUMIF(RecoveredRaw!$B:$B,$A50,RecoveredRaw!AI:AI)</f>
        <v>14</v>
      </c>
      <c r="AG50">
        <f>SUMIF(RecoveredRaw!$B:$B,$A50,RecoveredRaw!AJ:AJ)</f>
        <v>14</v>
      </c>
      <c r="AH50">
        <f>SUMIF(RecoveredRaw!$B:$B,$A50,RecoveredRaw!AK:AK)</f>
        <v>14</v>
      </c>
      <c r="AI50">
        <f>SUMIF(RecoveredRaw!$B:$B,$A50,RecoveredRaw!AL:AL)</f>
        <v>14</v>
      </c>
      <c r="AJ50">
        <f>SUMIF(RecoveredRaw!$B:$B,$A50,RecoveredRaw!AM:AM)</f>
        <v>16</v>
      </c>
      <c r="AK50">
        <f>SUMIF(RecoveredRaw!$B:$B,$A50,RecoveredRaw!AN:AN)</f>
        <v>16</v>
      </c>
      <c r="AL50">
        <f>SUMIF(RecoveredRaw!$B:$B,$A50,RecoveredRaw!AO:AO)</f>
        <v>16</v>
      </c>
      <c r="AM50">
        <f>SUMIF(RecoveredRaw!$B:$B,$A50,RecoveredRaw!AP:AP)</f>
        <v>16</v>
      </c>
      <c r="AN50">
        <f>SUMIF(RecoveredRaw!$B:$B,$A50,RecoveredRaw!AQ:AQ)</f>
        <v>16</v>
      </c>
      <c r="AO50">
        <f>SUMIF(RecoveredRaw!$B:$B,$A50,RecoveredRaw!AR:AR)</f>
        <v>16</v>
      </c>
      <c r="AP50">
        <f>SUMIF(RecoveredRaw!$B:$B,$A50,RecoveredRaw!AS:AS)</f>
        <v>16</v>
      </c>
      <c r="AQ50">
        <f>SUMIF(RecoveredRaw!$B:$B,$A50,RecoveredRaw!AT:AT)</f>
        <v>16</v>
      </c>
      <c r="AR50">
        <f>SUMIF(RecoveredRaw!$B:$B,$A50,RecoveredRaw!AU:AU)</f>
        <v>16</v>
      </c>
      <c r="AS50">
        <f>SUMIF(RecoveredRaw!$B:$B,$A50,RecoveredRaw!AV:AV)</f>
        <v>16</v>
      </c>
      <c r="AT50">
        <f>SUMIF(RecoveredRaw!$B:$B,$A50,RecoveredRaw!AW:AW)</f>
        <v>16</v>
      </c>
      <c r="AU50">
        <f>SUMIF(RecoveredRaw!$B:$B,$A50,RecoveredRaw!AX:AX)</f>
        <v>16</v>
      </c>
      <c r="AV50">
        <f>SUMIF(RecoveredRaw!$B:$B,$A50,RecoveredRaw!AY:AY)</f>
        <v>16</v>
      </c>
      <c r="AW50">
        <f>SUMIF(RecoveredRaw!$B:$B,$A50,RecoveredRaw!AZ:AZ)</f>
        <v>16</v>
      </c>
      <c r="AX50">
        <f>SUMIF(RecoveredRaw!$B:$B,$A50,RecoveredRaw!BA:BA)</f>
        <v>16</v>
      </c>
      <c r="AY50">
        <f>SUMIF(RecoveredRaw!$B:$B,$A50,RecoveredRaw!BB:BB)</f>
        <v>16</v>
      </c>
      <c r="AZ50">
        <f>SUMIF(RecoveredRaw!$B:$B,$A50,RecoveredRaw!BC:BC)</f>
        <v>16</v>
      </c>
      <c r="BA50">
        <f>SUMIF(RecoveredRaw!$B:$B,$A50,RecoveredRaw!BD:BD)</f>
        <v>16</v>
      </c>
      <c r="BB50">
        <f>SUMIF(RecoveredRaw!$B:$B,$A50,RecoveredRaw!BE:BE)</f>
        <v>16</v>
      </c>
      <c r="BC50">
        <f>SUMIF(RecoveredRaw!$B:$B,$A50,RecoveredRaw!BF:BF)</f>
        <v>16</v>
      </c>
      <c r="BD50">
        <f>SUMIF(RecoveredRaw!$B:$B,$A50,RecoveredRaw!BG:BG)</f>
        <v>16</v>
      </c>
      <c r="BE50">
        <f>SUMIF(RecoveredRaw!$B:$B,$A50,RecoveredRaw!BH:BH)</f>
        <v>16</v>
      </c>
      <c r="BF50">
        <f>SUMIF(RecoveredRaw!$B:$B,$A50,RecoveredRaw!BI:BI)</f>
        <v>16</v>
      </c>
      <c r="BG50">
        <f>SUMIF(RecoveredRaw!$B:$B,$A50,RecoveredRaw!BJ:BJ)</f>
        <v>0</v>
      </c>
      <c r="BH50">
        <f>SUMIF(RecoveredRaw!$B:$B,$A50,RecoveredRaw!BK:BK)</f>
        <v>0</v>
      </c>
      <c r="BI50">
        <f>SUMIF(RecoveredRaw!$B:$B,$A50,RecoveredRaw!BL:BL)</f>
        <v>0</v>
      </c>
      <c r="BJ50">
        <f>SUMIF(RecoveredRaw!$B:$B,$A50,RecoveredRaw!BM:BM)</f>
        <v>0</v>
      </c>
      <c r="BK50">
        <f>SUMIF(RecoveredRaw!$B:$B,$A50,RecoveredRaw!BN:BN)</f>
        <v>0</v>
      </c>
      <c r="BL50">
        <f>SUMIF(RecoveredRaw!$B:$B,$A50,RecoveredRaw!BO:BO)</f>
        <v>0</v>
      </c>
      <c r="BM50">
        <f>SUMIF(RecoveredRaw!$B:$B,$A50,RecoveredRaw!BP:BP)</f>
        <v>0</v>
      </c>
      <c r="BN50">
        <f>SUMIF(RecoveredRaw!$B:$B,$A50,RecoveredRaw!BQ:BQ)</f>
        <v>0</v>
      </c>
      <c r="BO50">
        <f>SUMIF(RecoveredRaw!$B:$B,$A50,RecoveredRaw!BR:BR)</f>
        <v>0</v>
      </c>
      <c r="BP50">
        <f>SUMIF(RecoveredRaw!$B:$B,$A50,RecoveredRaw!BS:BS)</f>
        <v>0</v>
      </c>
      <c r="BQ50">
        <f>SUMIF(RecoveredRaw!$B:$B,$A50,RecoveredRaw!BT:BT)</f>
        <v>0</v>
      </c>
      <c r="BR50">
        <f>SUMIF(RecoveredRaw!$B:$B,$A50,RecoveredRaw!BU:BU)</f>
        <v>0</v>
      </c>
      <c r="BS50">
        <f>SUMIF(RecoveredRaw!$B:$B,$A50,RecoveredRaw!BV:BV)</f>
        <v>0</v>
      </c>
      <c r="BT50">
        <f>SUMIF(RecoveredRaw!$B:$B,$A50,RecoveredRaw!BW:BW)</f>
        <v>0</v>
      </c>
    </row>
    <row r="51" spans="1:72" ht="15" thickBot="1" x14ac:dyDescent="0.35">
      <c r="A51" s="3" t="s">
        <v>344</v>
      </c>
      <c r="B51">
        <f>SUMIF(RecoveredRaw!$B:$B,$A51,RecoveredRaw!E:E)</f>
        <v>0</v>
      </c>
      <c r="C51">
        <f>SUMIF(RecoveredRaw!$B:$B,$A51,RecoveredRaw!F:F)</f>
        <v>0</v>
      </c>
      <c r="D51">
        <f>SUMIF(RecoveredRaw!$B:$B,$A51,RecoveredRaw!G:G)</f>
        <v>0</v>
      </c>
      <c r="E51">
        <f>SUMIF(RecoveredRaw!$B:$B,$A51,RecoveredRaw!H:H)</f>
        <v>0</v>
      </c>
      <c r="F51">
        <f>SUMIF(RecoveredRaw!$B:$B,$A51,RecoveredRaw!I:I)</f>
        <v>0</v>
      </c>
      <c r="G51">
        <f>SUMIF(RecoveredRaw!$B:$B,$A51,RecoveredRaw!J:J)</f>
        <v>0</v>
      </c>
      <c r="H51">
        <f>SUMIF(RecoveredRaw!$B:$B,$A51,RecoveredRaw!K:K)</f>
        <v>0</v>
      </c>
      <c r="I51">
        <f>SUMIF(RecoveredRaw!$B:$B,$A51,RecoveredRaw!L:L)</f>
        <v>0</v>
      </c>
      <c r="J51">
        <f>SUMIF(RecoveredRaw!$B:$B,$A51,RecoveredRaw!M:M)</f>
        <v>0</v>
      </c>
      <c r="K51">
        <f>SUMIF(RecoveredRaw!$B:$B,$A51,RecoveredRaw!N:N)</f>
        <v>0</v>
      </c>
      <c r="L51">
        <f>SUMIF(RecoveredRaw!$B:$B,$A51,RecoveredRaw!O:O)</f>
        <v>0</v>
      </c>
      <c r="M51">
        <f>SUMIF(RecoveredRaw!$B:$B,$A51,RecoveredRaw!P:P)</f>
        <v>0</v>
      </c>
      <c r="N51">
        <f>SUMIF(RecoveredRaw!$B:$B,$A51,RecoveredRaw!Q:Q)</f>
        <v>0</v>
      </c>
      <c r="O51">
        <f>SUMIF(RecoveredRaw!$B:$B,$A51,RecoveredRaw!R:R)</f>
        <v>0</v>
      </c>
      <c r="P51">
        <f>SUMIF(RecoveredRaw!$B:$B,$A51,RecoveredRaw!S:S)</f>
        <v>0</v>
      </c>
      <c r="Q51">
        <f>SUMIF(RecoveredRaw!$B:$B,$A51,RecoveredRaw!T:T)</f>
        <v>0</v>
      </c>
      <c r="R51">
        <f>SUMIF(RecoveredRaw!$B:$B,$A51,RecoveredRaw!U:U)</f>
        <v>0</v>
      </c>
      <c r="S51">
        <f>SUMIF(RecoveredRaw!$B:$B,$A51,RecoveredRaw!V:V)</f>
        <v>0</v>
      </c>
      <c r="T51">
        <f>SUMIF(RecoveredRaw!$B:$B,$A51,RecoveredRaw!W:W)</f>
        <v>0</v>
      </c>
      <c r="U51">
        <f>SUMIF(RecoveredRaw!$B:$B,$A51,RecoveredRaw!X:X)</f>
        <v>0</v>
      </c>
      <c r="V51">
        <f>SUMIF(RecoveredRaw!$B:$B,$A51,RecoveredRaw!Y:Y)</f>
        <v>0</v>
      </c>
      <c r="W51">
        <f>SUMIF(RecoveredRaw!$B:$B,$A51,RecoveredRaw!Z:Z)</f>
        <v>2</v>
      </c>
      <c r="X51">
        <f>SUMIF(RecoveredRaw!$B:$B,$A51,RecoveredRaw!AA:AA)</f>
        <v>2</v>
      </c>
      <c r="Y51">
        <f>SUMIF(RecoveredRaw!$B:$B,$A51,RecoveredRaw!AB:AB)</f>
        <v>2</v>
      </c>
      <c r="Z51">
        <f>SUMIF(RecoveredRaw!$B:$B,$A51,RecoveredRaw!AC:AC)</f>
        <v>2</v>
      </c>
      <c r="AA51">
        <f>SUMIF(RecoveredRaw!$B:$B,$A51,RecoveredRaw!AD:AD)</f>
        <v>2</v>
      </c>
      <c r="AB51">
        <f>SUMIF(RecoveredRaw!$B:$B,$A51,RecoveredRaw!AE:AE)</f>
        <v>2</v>
      </c>
      <c r="AC51">
        <f>SUMIF(RecoveredRaw!$B:$B,$A51,RecoveredRaw!AF:AF)</f>
        <v>2</v>
      </c>
      <c r="AD51">
        <f>SUMIF(RecoveredRaw!$B:$B,$A51,RecoveredRaw!AG:AG)</f>
        <v>2</v>
      </c>
      <c r="AE51">
        <f>SUMIF(RecoveredRaw!$B:$B,$A51,RecoveredRaw!AH:AH)</f>
        <v>2</v>
      </c>
      <c r="AF51">
        <f>SUMIF(RecoveredRaw!$B:$B,$A51,RecoveredRaw!AI:AI)</f>
        <v>2</v>
      </c>
      <c r="AG51">
        <f>SUMIF(RecoveredRaw!$B:$B,$A51,RecoveredRaw!AJ:AJ)</f>
        <v>2</v>
      </c>
      <c r="AH51">
        <f>SUMIF(RecoveredRaw!$B:$B,$A51,RecoveredRaw!AK:AK)</f>
        <v>2</v>
      </c>
      <c r="AI51">
        <f>SUMIF(RecoveredRaw!$B:$B,$A51,RecoveredRaw!AL:AL)</f>
        <v>2</v>
      </c>
      <c r="AJ51">
        <f>SUMIF(RecoveredRaw!$B:$B,$A51,RecoveredRaw!AM:AM)</f>
        <v>2</v>
      </c>
      <c r="AK51">
        <f>SUMIF(RecoveredRaw!$B:$B,$A51,RecoveredRaw!AN:AN)</f>
        <v>2</v>
      </c>
      <c r="AL51">
        <f>SUMIF(RecoveredRaw!$B:$B,$A51,RecoveredRaw!AO:AO)</f>
        <v>2</v>
      </c>
      <c r="AM51">
        <f>SUMIF(RecoveredRaw!$B:$B,$A51,RecoveredRaw!AP:AP)</f>
        <v>2</v>
      </c>
      <c r="AN51">
        <f>SUMIF(RecoveredRaw!$B:$B,$A51,RecoveredRaw!AQ:AQ)</f>
        <v>2</v>
      </c>
      <c r="AO51">
        <f>SUMIF(RecoveredRaw!$B:$B,$A51,RecoveredRaw!AR:AR)</f>
        <v>2</v>
      </c>
      <c r="AP51">
        <f>SUMIF(RecoveredRaw!$B:$B,$A51,RecoveredRaw!AS:AS)</f>
        <v>2</v>
      </c>
      <c r="AQ51">
        <f>SUMIF(RecoveredRaw!$B:$B,$A51,RecoveredRaw!AT:AT)</f>
        <v>2</v>
      </c>
      <c r="AR51">
        <f>SUMIF(RecoveredRaw!$B:$B,$A51,RecoveredRaw!AU:AU)</f>
        <v>2</v>
      </c>
      <c r="AS51">
        <f>SUMIF(RecoveredRaw!$B:$B,$A51,RecoveredRaw!AV:AV)</f>
        <v>2</v>
      </c>
      <c r="AT51">
        <f>SUMIF(RecoveredRaw!$B:$B,$A51,RecoveredRaw!AW:AW)</f>
        <v>2</v>
      </c>
      <c r="AU51">
        <f>SUMIF(RecoveredRaw!$B:$B,$A51,RecoveredRaw!AX:AX)</f>
        <v>2</v>
      </c>
      <c r="AV51">
        <f>SUMIF(RecoveredRaw!$B:$B,$A51,RecoveredRaw!AY:AY)</f>
        <v>3</v>
      </c>
      <c r="AW51">
        <f>SUMIF(RecoveredRaw!$B:$B,$A51,RecoveredRaw!AZ:AZ)</f>
        <v>3</v>
      </c>
      <c r="AX51">
        <f>SUMIF(RecoveredRaw!$B:$B,$A51,RecoveredRaw!BA:BA)</f>
        <v>3</v>
      </c>
      <c r="AY51">
        <f>SUMIF(RecoveredRaw!$B:$B,$A51,RecoveredRaw!BB:BB)</f>
        <v>3</v>
      </c>
      <c r="AZ51">
        <f>SUMIF(RecoveredRaw!$B:$B,$A51,RecoveredRaw!BC:BC)</f>
        <v>3</v>
      </c>
      <c r="BA51">
        <f>SUMIF(RecoveredRaw!$B:$B,$A51,RecoveredRaw!BD:BD)</f>
        <v>3</v>
      </c>
      <c r="BB51">
        <f>SUMIF(RecoveredRaw!$B:$B,$A51,RecoveredRaw!BE:BE)</f>
        <v>8</v>
      </c>
      <c r="BC51">
        <f>SUMIF(RecoveredRaw!$B:$B,$A51,RecoveredRaw!BF:BF)</f>
        <v>8</v>
      </c>
      <c r="BD51">
        <f>SUMIF(RecoveredRaw!$B:$B,$A51,RecoveredRaw!BG:BG)</f>
        <v>8</v>
      </c>
      <c r="BE51">
        <f>SUMIF(RecoveredRaw!$B:$B,$A51,RecoveredRaw!BH:BH)</f>
        <v>8</v>
      </c>
      <c r="BF51">
        <f>SUMIF(RecoveredRaw!$B:$B,$A51,RecoveredRaw!BI:BI)</f>
        <v>8</v>
      </c>
      <c r="BG51">
        <f>SUMIF(RecoveredRaw!$B:$B,$A51,RecoveredRaw!BJ:BJ)</f>
        <v>0</v>
      </c>
      <c r="BH51">
        <f>SUMIF(RecoveredRaw!$B:$B,$A51,RecoveredRaw!BK:BK)</f>
        <v>0</v>
      </c>
      <c r="BI51">
        <f>SUMIF(RecoveredRaw!$B:$B,$A51,RecoveredRaw!BL:BL)</f>
        <v>0</v>
      </c>
      <c r="BJ51">
        <f>SUMIF(RecoveredRaw!$B:$B,$A51,RecoveredRaw!BM:BM)</f>
        <v>0</v>
      </c>
      <c r="BK51">
        <f>SUMIF(RecoveredRaw!$B:$B,$A51,RecoveredRaw!BN:BN)</f>
        <v>0</v>
      </c>
      <c r="BL51">
        <f>SUMIF(RecoveredRaw!$B:$B,$A51,RecoveredRaw!BO:BO)</f>
        <v>0</v>
      </c>
      <c r="BM51">
        <f>SUMIF(RecoveredRaw!$B:$B,$A51,RecoveredRaw!BP:BP)</f>
        <v>0</v>
      </c>
      <c r="BN51">
        <f>SUMIF(RecoveredRaw!$B:$B,$A51,RecoveredRaw!BQ:BQ)</f>
        <v>0</v>
      </c>
      <c r="BO51">
        <f>SUMIF(RecoveredRaw!$B:$B,$A51,RecoveredRaw!BR:BR)</f>
        <v>0</v>
      </c>
      <c r="BP51">
        <f>SUMIF(RecoveredRaw!$B:$B,$A51,RecoveredRaw!BS:BS)</f>
        <v>0</v>
      </c>
      <c r="BQ51">
        <f>SUMIF(RecoveredRaw!$B:$B,$A51,RecoveredRaw!BT:BT)</f>
        <v>0</v>
      </c>
      <c r="BR51">
        <f>SUMIF(RecoveredRaw!$B:$B,$A51,RecoveredRaw!BU:BU)</f>
        <v>0</v>
      </c>
      <c r="BS51">
        <f>SUMIF(RecoveredRaw!$B:$B,$A51,RecoveredRaw!BV:BV)</f>
        <v>0</v>
      </c>
      <c r="BT51">
        <f>SUMIF(RecoveredRaw!$B:$B,$A51,RecoveredRaw!BW:BW)</f>
        <v>0</v>
      </c>
    </row>
    <row r="52" spans="1:72" ht="15" thickBot="1" x14ac:dyDescent="0.35">
      <c r="A52" s="3" t="s">
        <v>124</v>
      </c>
      <c r="B52">
        <f>SUMIF(RecoveredRaw!$B:$B,$A52,RecoveredRaw!E:E)</f>
        <v>0</v>
      </c>
      <c r="C52">
        <f>SUMIF(RecoveredRaw!$B:$B,$A52,RecoveredRaw!F:F)</f>
        <v>0</v>
      </c>
      <c r="D52">
        <f>SUMIF(RecoveredRaw!$B:$B,$A52,RecoveredRaw!G:G)</f>
        <v>0</v>
      </c>
      <c r="E52">
        <f>SUMIF(RecoveredRaw!$B:$B,$A52,RecoveredRaw!H:H)</f>
        <v>0</v>
      </c>
      <c r="F52">
        <f>SUMIF(RecoveredRaw!$B:$B,$A52,RecoveredRaw!I:I)</f>
        <v>0</v>
      </c>
      <c r="G52">
        <f>SUMIF(RecoveredRaw!$B:$B,$A52,RecoveredRaw!J:J)</f>
        <v>0</v>
      </c>
      <c r="H52">
        <f>SUMIF(RecoveredRaw!$B:$B,$A52,RecoveredRaw!K:K)</f>
        <v>0</v>
      </c>
      <c r="I52">
        <f>SUMIF(RecoveredRaw!$B:$B,$A52,RecoveredRaw!L:L)</f>
        <v>0</v>
      </c>
      <c r="J52">
        <f>SUMIF(RecoveredRaw!$B:$B,$A52,RecoveredRaw!M:M)</f>
        <v>0</v>
      </c>
      <c r="K52">
        <f>SUMIF(RecoveredRaw!$B:$B,$A52,RecoveredRaw!N:N)</f>
        <v>0</v>
      </c>
      <c r="L52">
        <f>SUMIF(RecoveredRaw!$B:$B,$A52,RecoveredRaw!O:O)</f>
        <v>0</v>
      </c>
      <c r="M52">
        <f>SUMIF(RecoveredRaw!$B:$B,$A52,RecoveredRaw!P:P)</f>
        <v>0</v>
      </c>
      <c r="N52">
        <f>SUMIF(RecoveredRaw!$B:$B,$A52,RecoveredRaw!Q:Q)</f>
        <v>0</v>
      </c>
      <c r="O52">
        <f>SUMIF(RecoveredRaw!$B:$B,$A52,RecoveredRaw!R:R)</f>
        <v>0</v>
      </c>
      <c r="P52">
        <f>SUMIF(RecoveredRaw!$B:$B,$A52,RecoveredRaw!S:S)</f>
        <v>0</v>
      </c>
      <c r="Q52">
        <f>SUMIF(RecoveredRaw!$B:$B,$A52,RecoveredRaw!T:T)</f>
        <v>0</v>
      </c>
      <c r="R52">
        <f>SUMIF(RecoveredRaw!$B:$B,$A52,RecoveredRaw!U:U)</f>
        <v>0</v>
      </c>
      <c r="S52">
        <f>SUMIF(RecoveredRaw!$B:$B,$A52,RecoveredRaw!V:V)</f>
        <v>0</v>
      </c>
      <c r="T52">
        <f>SUMIF(RecoveredRaw!$B:$B,$A52,RecoveredRaw!W:W)</f>
        <v>0</v>
      </c>
      <c r="U52">
        <f>SUMIF(RecoveredRaw!$B:$B,$A52,RecoveredRaw!X:X)</f>
        <v>0</v>
      </c>
      <c r="V52">
        <f>SUMIF(RecoveredRaw!$B:$B,$A52,RecoveredRaw!Y:Y)</f>
        <v>0</v>
      </c>
      <c r="W52">
        <f>SUMIF(RecoveredRaw!$B:$B,$A52,RecoveredRaw!Z:Z)</f>
        <v>0</v>
      </c>
      <c r="X52">
        <f>SUMIF(RecoveredRaw!$B:$B,$A52,RecoveredRaw!AA:AA)</f>
        <v>0</v>
      </c>
      <c r="Y52">
        <f>SUMIF(RecoveredRaw!$B:$B,$A52,RecoveredRaw!AB:AB)</f>
        <v>0</v>
      </c>
      <c r="Z52">
        <f>SUMIF(RecoveredRaw!$B:$B,$A52,RecoveredRaw!AC:AC)</f>
        <v>0</v>
      </c>
      <c r="AA52">
        <f>SUMIF(RecoveredRaw!$B:$B,$A52,RecoveredRaw!AD:AD)</f>
        <v>0</v>
      </c>
      <c r="AB52">
        <f>SUMIF(RecoveredRaw!$B:$B,$A52,RecoveredRaw!AE:AE)</f>
        <v>0</v>
      </c>
      <c r="AC52">
        <f>SUMIF(RecoveredRaw!$B:$B,$A52,RecoveredRaw!AF:AF)</f>
        <v>0</v>
      </c>
      <c r="AD52">
        <f>SUMIF(RecoveredRaw!$B:$B,$A52,RecoveredRaw!AG:AG)</f>
        <v>0</v>
      </c>
      <c r="AE52">
        <f>SUMIF(RecoveredRaw!$B:$B,$A52,RecoveredRaw!AH:AH)</f>
        <v>0</v>
      </c>
      <c r="AF52">
        <f>SUMIF(RecoveredRaw!$B:$B,$A52,RecoveredRaw!AI:AI)</f>
        <v>0</v>
      </c>
      <c r="AG52">
        <f>SUMIF(RecoveredRaw!$B:$B,$A52,RecoveredRaw!AJ:AJ)</f>
        <v>0</v>
      </c>
      <c r="AH52">
        <f>SUMIF(RecoveredRaw!$B:$B,$A52,RecoveredRaw!AK:AK)</f>
        <v>0</v>
      </c>
      <c r="AI52">
        <f>SUMIF(RecoveredRaw!$B:$B,$A52,RecoveredRaw!AL:AL)</f>
        <v>0</v>
      </c>
      <c r="AJ52">
        <f>SUMIF(RecoveredRaw!$B:$B,$A52,RecoveredRaw!AM:AM)</f>
        <v>0</v>
      </c>
      <c r="AK52">
        <f>SUMIF(RecoveredRaw!$B:$B,$A52,RecoveredRaw!AN:AN)</f>
        <v>0</v>
      </c>
      <c r="AL52">
        <f>SUMIF(RecoveredRaw!$B:$B,$A52,RecoveredRaw!AO:AO)</f>
        <v>0</v>
      </c>
      <c r="AM52">
        <f>SUMIF(RecoveredRaw!$B:$B,$A52,RecoveredRaw!AP:AP)</f>
        <v>0</v>
      </c>
      <c r="AN52">
        <f>SUMIF(RecoveredRaw!$B:$B,$A52,RecoveredRaw!AQ:AQ)</f>
        <v>0</v>
      </c>
      <c r="AO52">
        <f>SUMIF(RecoveredRaw!$B:$B,$A52,RecoveredRaw!AR:AR)</f>
        <v>0</v>
      </c>
      <c r="AP52">
        <f>SUMIF(RecoveredRaw!$B:$B,$A52,RecoveredRaw!AS:AS)</f>
        <v>0</v>
      </c>
      <c r="AQ52">
        <f>SUMIF(RecoveredRaw!$B:$B,$A52,RecoveredRaw!AT:AT)</f>
        <v>0</v>
      </c>
      <c r="AR52">
        <f>SUMIF(RecoveredRaw!$B:$B,$A52,RecoveredRaw!AU:AU)</f>
        <v>0</v>
      </c>
      <c r="AS52">
        <f>SUMIF(RecoveredRaw!$B:$B,$A52,RecoveredRaw!AV:AV)</f>
        <v>0</v>
      </c>
      <c r="AT52">
        <f>SUMIF(RecoveredRaw!$B:$B,$A52,RecoveredRaw!AW:AW)</f>
        <v>0</v>
      </c>
      <c r="AU52">
        <f>SUMIF(RecoveredRaw!$B:$B,$A52,RecoveredRaw!AX:AX)</f>
        <v>0</v>
      </c>
      <c r="AV52">
        <f>SUMIF(RecoveredRaw!$B:$B,$A52,RecoveredRaw!AY:AY)</f>
        <v>0</v>
      </c>
      <c r="AW52">
        <f>SUMIF(RecoveredRaw!$B:$B,$A52,RecoveredRaw!AZ:AZ)</f>
        <v>0</v>
      </c>
      <c r="AX52">
        <f>SUMIF(RecoveredRaw!$B:$B,$A52,RecoveredRaw!BA:BA)</f>
        <v>0</v>
      </c>
      <c r="AY52">
        <f>SUMIF(RecoveredRaw!$B:$B,$A52,RecoveredRaw!BB:BB)</f>
        <v>0</v>
      </c>
      <c r="AZ52">
        <f>SUMIF(RecoveredRaw!$B:$B,$A52,RecoveredRaw!BC:BC)</f>
        <v>0</v>
      </c>
      <c r="BA52">
        <f>SUMIF(RecoveredRaw!$B:$B,$A52,RecoveredRaw!BD:BD)</f>
        <v>0</v>
      </c>
      <c r="BB52">
        <f>SUMIF(RecoveredRaw!$B:$B,$A52,RecoveredRaw!BE:BE)</f>
        <v>0</v>
      </c>
      <c r="BC52">
        <f>SUMIF(RecoveredRaw!$B:$B,$A52,RecoveredRaw!BF:BF)</f>
        <v>0</v>
      </c>
      <c r="BD52">
        <f>SUMIF(RecoveredRaw!$B:$B,$A52,RecoveredRaw!BG:BG)</f>
        <v>0</v>
      </c>
      <c r="BE52">
        <f>SUMIF(RecoveredRaw!$B:$B,$A52,RecoveredRaw!BH:BH)</f>
        <v>0</v>
      </c>
      <c r="BF52">
        <f>SUMIF(RecoveredRaw!$B:$B,$A52,RecoveredRaw!BI:BI)</f>
        <v>0</v>
      </c>
      <c r="BG52">
        <f>SUMIF(RecoveredRaw!$B:$B,$A52,RecoveredRaw!BJ:BJ)</f>
        <v>0</v>
      </c>
      <c r="BH52">
        <f>SUMIF(RecoveredRaw!$B:$B,$A52,RecoveredRaw!BK:BK)</f>
        <v>0</v>
      </c>
      <c r="BI52">
        <f>SUMIF(RecoveredRaw!$B:$B,$A52,RecoveredRaw!BL:BL)</f>
        <v>0</v>
      </c>
      <c r="BJ52">
        <f>SUMIF(RecoveredRaw!$B:$B,$A52,RecoveredRaw!BM:BM)</f>
        <v>0</v>
      </c>
      <c r="BK52">
        <f>SUMIF(RecoveredRaw!$B:$B,$A52,RecoveredRaw!BN:BN)</f>
        <v>0</v>
      </c>
      <c r="BL52">
        <f>SUMIF(RecoveredRaw!$B:$B,$A52,RecoveredRaw!BO:BO)</f>
        <v>0</v>
      </c>
      <c r="BM52">
        <f>SUMIF(RecoveredRaw!$B:$B,$A52,RecoveredRaw!BP:BP)</f>
        <v>0</v>
      </c>
      <c r="BN52">
        <f>SUMIF(RecoveredRaw!$B:$B,$A52,RecoveredRaw!BQ:BQ)</f>
        <v>0</v>
      </c>
      <c r="BO52">
        <f>SUMIF(RecoveredRaw!$B:$B,$A52,RecoveredRaw!BR:BR)</f>
        <v>0</v>
      </c>
      <c r="BP52">
        <f>SUMIF(RecoveredRaw!$B:$B,$A52,RecoveredRaw!BS:BS)</f>
        <v>0</v>
      </c>
      <c r="BQ52">
        <f>SUMIF(RecoveredRaw!$B:$B,$A52,RecoveredRaw!BT:BT)</f>
        <v>0</v>
      </c>
      <c r="BR52">
        <f>SUMIF(RecoveredRaw!$B:$B,$A52,RecoveredRaw!BU:BU)</f>
        <v>0</v>
      </c>
      <c r="BS52">
        <f>SUMIF(RecoveredRaw!$B:$B,$A52,RecoveredRaw!BV:BV)</f>
        <v>0</v>
      </c>
      <c r="BT52">
        <f>SUMIF(RecoveredRaw!$B:$B,$A52,RecoveredRaw!BW:BW)</f>
        <v>0</v>
      </c>
    </row>
    <row r="53" spans="1:72" ht="15" thickBot="1" x14ac:dyDescent="0.35">
      <c r="A53" s="4" t="s">
        <v>233</v>
      </c>
      <c r="B53">
        <f>SUMIF(RecoveredRaw!$B:$B,$A53,RecoveredRaw!E:E)</f>
        <v>0</v>
      </c>
      <c r="C53">
        <f>SUMIF(RecoveredRaw!$B:$B,$A53,RecoveredRaw!F:F)</f>
        <v>0</v>
      </c>
      <c r="D53">
        <f>SUMIF(RecoveredRaw!$B:$B,$A53,RecoveredRaw!G:G)</f>
        <v>0</v>
      </c>
      <c r="E53">
        <f>SUMIF(RecoveredRaw!$B:$B,$A53,RecoveredRaw!H:H)</f>
        <v>0</v>
      </c>
      <c r="F53">
        <f>SUMIF(RecoveredRaw!$B:$B,$A53,RecoveredRaw!I:I)</f>
        <v>0</v>
      </c>
      <c r="G53">
        <f>SUMIF(RecoveredRaw!$B:$B,$A53,RecoveredRaw!J:J)</f>
        <v>0</v>
      </c>
      <c r="H53">
        <f>SUMIF(RecoveredRaw!$B:$B,$A53,RecoveredRaw!K:K)</f>
        <v>0</v>
      </c>
      <c r="I53">
        <f>SUMIF(RecoveredRaw!$B:$B,$A53,RecoveredRaw!L:L)</f>
        <v>0</v>
      </c>
      <c r="J53">
        <f>SUMIF(RecoveredRaw!$B:$B,$A53,RecoveredRaw!M:M)</f>
        <v>0</v>
      </c>
      <c r="K53">
        <f>SUMIF(RecoveredRaw!$B:$B,$A53,RecoveredRaw!N:N)</f>
        <v>0</v>
      </c>
      <c r="L53">
        <f>SUMIF(RecoveredRaw!$B:$B,$A53,RecoveredRaw!O:O)</f>
        <v>0</v>
      </c>
      <c r="M53">
        <f>SUMIF(RecoveredRaw!$B:$B,$A53,RecoveredRaw!P:P)</f>
        <v>0</v>
      </c>
      <c r="N53">
        <f>SUMIF(RecoveredRaw!$B:$B,$A53,RecoveredRaw!Q:Q)</f>
        <v>0</v>
      </c>
      <c r="O53">
        <f>SUMIF(RecoveredRaw!$B:$B,$A53,RecoveredRaw!R:R)</f>
        <v>0</v>
      </c>
      <c r="P53">
        <f>SUMIF(RecoveredRaw!$B:$B,$A53,RecoveredRaw!S:S)</f>
        <v>0</v>
      </c>
      <c r="Q53">
        <f>SUMIF(RecoveredRaw!$B:$B,$A53,RecoveredRaw!T:T)</f>
        <v>0</v>
      </c>
      <c r="R53">
        <f>SUMIF(RecoveredRaw!$B:$B,$A53,RecoveredRaw!U:U)</f>
        <v>0</v>
      </c>
      <c r="S53">
        <f>SUMIF(RecoveredRaw!$B:$B,$A53,RecoveredRaw!V:V)</f>
        <v>0</v>
      </c>
      <c r="T53">
        <f>SUMIF(RecoveredRaw!$B:$B,$A53,RecoveredRaw!W:W)</f>
        <v>0</v>
      </c>
      <c r="U53">
        <f>SUMIF(RecoveredRaw!$B:$B,$A53,RecoveredRaw!X:X)</f>
        <v>0</v>
      </c>
      <c r="V53">
        <f>SUMIF(RecoveredRaw!$B:$B,$A53,RecoveredRaw!Y:Y)</f>
        <v>0</v>
      </c>
      <c r="W53">
        <f>SUMIF(RecoveredRaw!$B:$B,$A53,RecoveredRaw!Z:Z)</f>
        <v>0</v>
      </c>
      <c r="X53">
        <f>SUMIF(RecoveredRaw!$B:$B,$A53,RecoveredRaw!AA:AA)</f>
        <v>0</v>
      </c>
      <c r="Y53">
        <f>SUMIF(RecoveredRaw!$B:$B,$A53,RecoveredRaw!AB:AB)</f>
        <v>0</v>
      </c>
      <c r="Z53">
        <f>SUMIF(RecoveredRaw!$B:$B,$A53,RecoveredRaw!AC:AC)</f>
        <v>0</v>
      </c>
      <c r="AA53">
        <f>SUMIF(RecoveredRaw!$B:$B,$A53,RecoveredRaw!AD:AD)</f>
        <v>0</v>
      </c>
      <c r="AB53">
        <f>SUMIF(RecoveredRaw!$B:$B,$A53,RecoveredRaw!AE:AE)</f>
        <v>0</v>
      </c>
      <c r="AC53">
        <f>SUMIF(RecoveredRaw!$B:$B,$A53,RecoveredRaw!AF:AF)</f>
        <v>0</v>
      </c>
      <c r="AD53">
        <f>SUMIF(RecoveredRaw!$B:$B,$A53,RecoveredRaw!AG:AG)</f>
        <v>0</v>
      </c>
      <c r="AE53">
        <f>SUMIF(RecoveredRaw!$B:$B,$A53,RecoveredRaw!AH:AH)</f>
        <v>0</v>
      </c>
      <c r="AF53">
        <f>SUMIF(RecoveredRaw!$B:$B,$A53,RecoveredRaw!AI:AI)</f>
        <v>0</v>
      </c>
      <c r="AG53">
        <f>SUMIF(RecoveredRaw!$B:$B,$A53,RecoveredRaw!AJ:AJ)</f>
        <v>0</v>
      </c>
      <c r="AH53">
        <f>SUMIF(RecoveredRaw!$B:$B,$A53,RecoveredRaw!AK:AK)</f>
        <v>0</v>
      </c>
      <c r="AI53">
        <f>SUMIF(RecoveredRaw!$B:$B,$A53,RecoveredRaw!AL:AL)</f>
        <v>0</v>
      </c>
      <c r="AJ53">
        <f>SUMIF(RecoveredRaw!$B:$B,$A53,RecoveredRaw!AM:AM)</f>
        <v>0</v>
      </c>
      <c r="AK53">
        <f>SUMIF(RecoveredRaw!$B:$B,$A53,RecoveredRaw!AN:AN)</f>
        <v>0</v>
      </c>
      <c r="AL53">
        <f>SUMIF(RecoveredRaw!$B:$B,$A53,RecoveredRaw!AO:AO)</f>
        <v>0</v>
      </c>
      <c r="AM53">
        <f>SUMIF(RecoveredRaw!$B:$B,$A53,RecoveredRaw!AP:AP)</f>
        <v>0</v>
      </c>
      <c r="AN53">
        <f>SUMIF(RecoveredRaw!$B:$B,$A53,RecoveredRaw!AQ:AQ)</f>
        <v>0</v>
      </c>
      <c r="AO53">
        <f>SUMIF(RecoveredRaw!$B:$B,$A53,RecoveredRaw!AR:AR)</f>
        <v>0</v>
      </c>
      <c r="AP53">
        <f>SUMIF(RecoveredRaw!$B:$B,$A53,RecoveredRaw!AS:AS)</f>
        <v>0</v>
      </c>
      <c r="AQ53">
        <f>SUMIF(RecoveredRaw!$B:$B,$A53,RecoveredRaw!AT:AT)</f>
        <v>0</v>
      </c>
      <c r="AR53">
        <f>SUMIF(RecoveredRaw!$B:$B,$A53,RecoveredRaw!AU:AU)</f>
        <v>0</v>
      </c>
      <c r="AS53">
        <f>SUMIF(RecoveredRaw!$B:$B,$A53,RecoveredRaw!AV:AV)</f>
        <v>0</v>
      </c>
      <c r="AT53">
        <f>SUMIF(RecoveredRaw!$B:$B,$A53,RecoveredRaw!AW:AW)</f>
        <v>0</v>
      </c>
      <c r="AU53">
        <f>SUMIF(RecoveredRaw!$B:$B,$A53,RecoveredRaw!AX:AX)</f>
        <v>0</v>
      </c>
      <c r="AV53">
        <f>SUMIF(RecoveredRaw!$B:$B,$A53,RecoveredRaw!AY:AY)</f>
        <v>0</v>
      </c>
      <c r="AW53">
        <f>SUMIF(RecoveredRaw!$B:$B,$A53,RecoveredRaw!AZ:AZ)</f>
        <v>0</v>
      </c>
      <c r="AX53">
        <f>SUMIF(RecoveredRaw!$B:$B,$A53,RecoveredRaw!BA:BA)</f>
        <v>0</v>
      </c>
      <c r="AY53">
        <f>SUMIF(RecoveredRaw!$B:$B,$A53,RecoveredRaw!BB:BB)</f>
        <v>0</v>
      </c>
      <c r="AZ53">
        <f>SUMIF(RecoveredRaw!$B:$B,$A53,RecoveredRaw!BC:BC)</f>
        <v>0</v>
      </c>
      <c r="BA53">
        <f>SUMIF(RecoveredRaw!$B:$B,$A53,RecoveredRaw!BD:BD)</f>
        <v>0</v>
      </c>
      <c r="BB53">
        <f>SUMIF(RecoveredRaw!$B:$B,$A53,RecoveredRaw!BE:BE)</f>
        <v>0</v>
      </c>
      <c r="BC53">
        <f>SUMIF(RecoveredRaw!$B:$B,$A53,RecoveredRaw!BF:BF)</f>
        <v>0</v>
      </c>
      <c r="BD53">
        <f>SUMIF(RecoveredRaw!$B:$B,$A53,RecoveredRaw!BG:BG)</f>
        <v>0</v>
      </c>
      <c r="BE53">
        <f>SUMIF(RecoveredRaw!$B:$B,$A53,RecoveredRaw!BH:BH)</f>
        <v>0</v>
      </c>
      <c r="BF53">
        <f>SUMIF(RecoveredRaw!$B:$B,$A53,RecoveredRaw!BI:BI)</f>
        <v>0</v>
      </c>
      <c r="BG53">
        <f>SUMIF(RecoveredRaw!$B:$B,$A53,RecoveredRaw!BJ:BJ)</f>
        <v>0</v>
      </c>
      <c r="BH53">
        <f>SUMIF(RecoveredRaw!$B:$B,$A53,RecoveredRaw!BK:BK)</f>
        <v>0</v>
      </c>
      <c r="BI53">
        <f>SUMIF(RecoveredRaw!$B:$B,$A53,RecoveredRaw!BL:BL)</f>
        <v>0</v>
      </c>
      <c r="BJ53">
        <f>SUMIF(RecoveredRaw!$B:$B,$A53,RecoveredRaw!BM:BM)</f>
        <v>0</v>
      </c>
      <c r="BK53">
        <f>SUMIF(RecoveredRaw!$B:$B,$A53,RecoveredRaw!BN:BN)</f>
        <v>0</v>
      </c>
      <c r="BL53">
        <f>SUMIF(RecoveredRaw!$B:$B,$A53,RecoveredRaw!BO:BO)</f>
        <v>0</v>
      </c>
      <c r="BM53">
        <f>SUMIF(RecoveredRaw!$B:$B,$A53,RecoveredRaw!BP:BP)</f>
        <v>0</v>
      </c>
      <c r="BN53">
        <f>SUMIF(RecoveredRaw!$B:$B,$A53,RecoveredRaw!BQ:BQ)</f>
        <v>0</v>
      </c>
      <c r="BO53">
        <f>SUMIF(RecoveredRaw!$B:$B,$A53,RecoveredRaw!BR:BR)</f>
        <v>0</v>
      </c>
      <c r="BP53">
        <f>SUMIF(RecoveredRaw!$B:$B,$A53,RecoveredRaw!BS:BS)</f>
        <v>0</v>
      </c>
      <c r="BQ53">
        <f>SUMIF(RecoveredRaw!$B:$B,$A53,RecoveredRaw!BT:BT)</f>
        <v>0</v>
      </c>
      <c r="BR53">
        <f>SUMIF(RecoveredRaw!$B:$B,$A53,RecoveredRaw!BU:BU)</f>
        <v>0</v>
      </c>
      <c r="BS53">
        <f>SUMIF(RecoveredRaw!$B:$B,$A53,RecoveredRaw!BV:BV)</f>
        <v>0</v>
      </c>
      <c r="BT53">
        <f>SUMIF(RecoveredRaw!$B:$B,$A53,RecoveredRaw!BW:BW)</f>
        <v>0</v>
      </c>
    </row>
    <row r="54" spans="1:72" ht="15" thickBot="1" x14ac:dyDescent="0.35">
      <c r="A54" s="3" t="s">
        <v>161</v>
      </c>
      <c r="B54">
        <f>SUMIF(RecoveredRaw!$B:$B,$A54,RecoveredRaw!E:E)</f>
        <v>0</v>
      </c>
      <c r="C54">
        <f>SUMIF(RecoveredRaw!$B:$B,$A54,RecoveredRaw!F:F)</f>
        <v>0</v>
      </c>
      <c r="D54">
        <f>SUMIF(RecoveredRaw!$B:$B,$A54,RecoveredRaw!G:G)</f>
        <v>0</v>
      </c>
      <c r="E54">
        <f>SUMIF(RecoveredRaw!$B:$B,$A54,RecoveredRaw!H:H)</f>
        <v>0</v>
      </c>
      <c r="F54">
        <f>SUMIF(RecoveredRaw!$B:$B,$A54,RecoveredRaw!I:I)</f>
        <v>0</v>
      </c>
      <c r="G54">
        <f>SUMIF(RecoveredRaw!$B:$B,$A54,RecoveredRaw!J:J)</f>
        <v>0</v>
      </c>
      <c r="H54">
        <f>SUMIF(RecoveredRaw!$B:$B,$A54,RecoveredRaw!K:K)</f>
        <v>0</v>
      </c>
      <c r="I54">
        <f>SUMIF(RecoveredRaw!$B:$B,$A54,RecoveredRaw!L:L)</f>
        <v>0</v>
      </c>
      <c r="J54">
        <f>SUMIF(RecoveredRaw!$B:$B,$A54,RecoveredRaw!M:M)</f>
        <v>0</v>
      </c>
      <c r="K54">
        <f>SUMIF(RecoveredRaw!$B:$B,$A54,RecoveredRaw!N:N)</f>
        <v>0</v>
      </c>
      <c r="L54">
        <f>SUMIF(RecoveredRaw!$B:$B,$A54,RecoveredRaw!O:O)</f>
        <v>0</v>
      </c>
      <c r="M54">
        <f>SUMIF(RecoveredRaw!$B:$B,$A54,RecoveredRaw!P:P)</f>
        <v>0</v>
      </c>
      <c r="N54">
        <f>SUMIF(RecoveredRaw!$B:$B,$A54,RecoveredRaw!Q:Q)</f>
        <v>0</v>
      </c>
      <c r="O54">
        <f>SUMIF(RecoveredRaw!$B:$B,$A54,RecoveredRaw!R:R)</f>
        <v>0</v>
      </c>
      <c r="P54">
        <f>SUMIF(RecoveredRaw!$B:$B,$A54,RecoveredRaw!S:S)</f>
        <v>0</v>
      </c>
      <c r="Q54">
        <f>SUMIF(RecoveredRaw!$B:$B,$A54,RecoveredRaw!T:T)</f>
        <v>0</v>
      </c>
      <c r="R54">
        <f>SUMIF(RecoveredRaw!$B:$B,$A54,RecoveredRaw!U:U)</f>
        <v>0</v>
      </c>
      <c r="S54">
        <f>SUMIF(RecoveredRaw!$B:$B,$A54,RecoveredRaw!V:V)</f>
        <v>0</v>
      </c>
      <c r="T54">
        <f>SUMIF(RecoveredRaw!$B:$B,$A54,RecoveredRaw!W:W)</f>
        <v>0</v>
      </c>
      <c r="U54">
        <f>SUMIF(RecoveredRaw!$B:$B,$A54,RecoveredRaw!X:X)</f>
        <v>0</v>
      </c>
      <c r="V54">
        <f>SUMIF(RecoveredRaw!$B:$B,$A54,RecoveredRaw!Y:Y)</f>
        <v>0</v>
      </c>
      <c r="W54">
        <f>SUMIF(RecoveredRaw!$B:$B,$A54,RecoveredRaw!Z:Z)</f>
        <v>0</v>
      </c>
      <c r="X54">
        <f>SUMIF(RecoveredRaw!$B:$B,$A54,RecoveredRaw!AA:AA)</f>
        <v>0</v>
      </c>
      <c r="Y54">
        <f>SUMIF(RecoveredRaw!$B:$B,$A54,RecoveredRaw!AB:AB)</f>
        <v>0</v>
      </c>
      <c r="Z54">
        <f>SUMIF(RecoveredRaw!$B:$B,$A54,RecoveredRaw!AC:AC)</f>
        <v>0</v>
      </c>
      <c r="AA54">
        <f>SUMIF(RecoveredRaw!$B:$B,$A54,RecoveredRaw!AD:AD)</f>
        <v>0</v>
      </c>
      <c r="AB54">
        <f>SUMIF(RecoveredRaw!$B:$B,$A54,RecoveredRaw!AE:AE)</f>
        <v>0</v>
      </c>
      <c r="AC54">
        <f>SUMIF(RecoveredRaw!$B:$B,$A54,RecoveredRaw!AF:AF)</f>
        <v>0</v>
      </c>
      <c r="AD54">
        <f>SUMIF(RecoveredRaw!$B:$B,$A54,RecoveredRaw!AG:AG)</f>
        <v>0</v>
      </c>
      <c r="AE54">
        <f>SUMIF(RecoveredRaw!$B:$B,$A54,RecoveredRaw!AH:AH)</f>
        <v>0</v>
      </c>
      <c r="AF54">
        <f>SUMIF(RecoveredRaw!$B:$B,$A54,RecoveredRaw!AI:AI)</f>
        <v>0</v>
      </c>
      <c r="AG54">
        <f>SUMIF(RecoveredRaw!$B:$B,$A54,RecoveredRaw!AJ:AJ)</f>
        <v>0</v>
      </c>
      <c r="AH54">
        <f>SUMIF(RecoveredRaw!$B:$B,$A54,RecoveredRaw!AK:AK)</f>
        <v>0</v>
      </c>
      <c r="AI54">
        <f>SUMIF(RecoveredRaw!$B:$B,$A54,RecoveredRaw!AL:AL)</f>
        <v>0</v>
      </c>
      <c r="AJ54">
        <f>SUMIF(RecoveredRaw!$B:$B,$A54,RecoveredRaw!AM:AM)</f>
        <v>0</v>
      </c>
      <c r="AK54">
        <f>SUMIF(RecoveredRaw!$B:$B,$A54,RecoveredRaw!AN:AN)</f>
        <v>0</v>
      </c>
      <c r="AL54">
        <f>SUMIF(RecoveredRaw!$B:$B,$A54,RecoveredRaw!AO:AO)</f>
        <v>0</v>
      </c>
      <c r="AM54">
        <f>SUMIF(RecoveredRaw!$B:$B,$A54,RecoveredRaw!AP:AP)</f>
        <v>0</v>
      </c>
      <c r="AN54">
        <f>SUMIF(RecoveredRaw!$B:$B,$A54,RecoveredRaw!AQ:AQ)</f>
        <v>0</v>
      </c>
      <c r="AO54">
        <f>SUMIF(RecoveredRaw!$B:$B,$A54,RecoveredRaw!AR:AR)</f>
        <v>0</v>
      </c>
      <c r="AP54">
        <f>SUMIF(RecoveredRaw!$B:$B,$A54,RecoveredRaw!AS:AS)</f>
        <v>0</v>
      </c>
      <c r="AQ54">
        <f>SUMIF(RecoveredRaw!$B:$B,$A54,RecoveredRaw!AT:AT)</f>
        <v>0</v>
      </c>
      <c r="AR54">
        <f>SUMIF(RecoveredRaw!$B:$B,$A54,RecoveredRaw!AU:AU)</f>
        <v>0</v>
      </c>
      <c r="AS54">
        <f>SUMIF(RecoveredRaw!$B:$B,$A54,RecoveredRaw!AV:AV)</f>
        <v>0</v>
      </c>
      <c r="AT54">
        <f>SUMIF(RecoveredRaw!$B:$B,$A54,RecoveredRaw!AW:AW)</f>
        <v>0</v>
      </c>
      <c r="AU54">
        <f>SUMIF(RecoveredRaw!$B:$B,$A54,RecoveredRaw!AX:AX)</f>
        <v>0</v>
      </c>
      <c r="AV54">
        <f>SUMIF(RecoveredRaw!$B:$B,$A54,RecoveredRaw!AY:AY)</f>
        <v>0</v>
      </c>
      <c r="AW54">
        <f>SUMIF(RecoveredRaw!$B:$B,$A54,RecoveredRaw!AZ:AZ)</f>
        <v>0</v>
      </c>
      <c r="AX54">
        <f>SUMIF(RecoveredRaw!$B:$B,$A54,RecoveredRaw!BA:BA)</f>
        <v>0</v>
      </c>
      <c r="AY54">
        <f>SUMIF(RecoveredRaw!$B:$B,$A54,RecoveredRaw!BB:BB)</f>
        <v>0</v>
      </c>
      <c r="AZ54">
        <f>SUMIF(RecoveredRaw!$B:$B,$A54,RecoveredRaw!BC:BC)</f>
        <v>0</v>
      </c>
      <c r="BA54">
        <f>SUMIF(RecoveredRaw!$B:$B,$A54,RecoveredRaw!BD:BD)</f>
        <v>0</v>
      </c>
      <c r="BB54">
        <f>SUMIF(RecoveredRaw!$B:$B,$A54,RecoveredRaw!BE:BE)</f>
        <v>0</v>
      </c>
      <c r="BC54">
        <f>SUMIF(RecoveredRaw!$B:$B,$A54,RecoveredRaw!BF:BF)</f>
        <v>0</v>
      </c>
      <c r="BD54">
        <f>SUMIF(RecoveredRaw!$B:$B,$A54,RecoveredRaw!BG:BG)</f>
        <v>1</v>
      </c>
      <c r="BE54">
        <f>SUMIF(RecoveredRaw!$B:$B,$A54,RecoveredRaw!BH:BH)</f>
        <v>1</v>
      </c>
      <c r="BF54">
        <f>SUMIF(RecoveredRaw!$B:$B,$A54,RecoveredRaw!BI:BI)</f>
        <v>1</v>
      </c>
      <c r="BG54">
        <f>SUMIF(RecoveredRaw!$B:$B,$A54,RecoveredRaw!BJ:BJ)</f>
        <v>0</v>
      </c>
      <c r="BH54">
        <f>SUMIF(RecoveredRaw!$B:$B,$A54,RecoveredRaw!BK:BK)</f>
        <v>0</v>
      </c>
      <c r="BI54">
        <f>SUMIF(RecoveredRaw!$B:$B,$A54,RecoveredRaw!BL:BL)</f>
        <v>0</v>
      </c>
      <c r="BJ54">
        <f>SUMIF(RecoveredRaw!$B:$B,$A54,RecoveredRaw!BM:BM)</f>
        <v>0</v>
      </c>
      <c r="BK54">
        <f>SUMIF(RecoveredRaw!$B:$B,$A54,RecoveredRaw!BN:BN)</f>
        <v>0</v>
      </c>
      <c r="BL54">
        <f>SUMIF(RecoveredRaw!$B:$B,$A54,RecoveredRaw!BO:BO)</f>
        <v>0</v>
      </c>
      <c r="BM54">
        <f>SUMIF(RecoveredRaw!$B:$B,$A54,RecoveredRaw!BP:BP)</f>
        <v>0</v>
      </c>
      <c r="BN54">
        <f>SUMIF(RecoveredRaw!$B:$B,$A54,RecoveredRaw!BQ:BQ)</f>
        <v>0</v>
      </c>
      <c r="BO54">
        <f>SUMIF(RecoveredRaw!$B:$B,$A54,RecoveredRaw!BR:BR)</f>
        <v>0</v>
      </c>
      <c r="BP54">
        <f>SUMIF(RecoveredRaw!$B:$B,$A54,RecoveredRaw!BS:BS)</f>
        <v>0</v>
      </c>
      <c r="BQ54">
        <f>SUMIF(RecoveredRaw!$B:$B,$A54,RecoveredRaw!BT:BT)</f>
        <v>0</v>
      </c>
      <c r="BR54">
        <f>SUMIF(RecoveredRaw!$B:$B,$A54,RecoveredRaw!BU:BU)</f>
        <v>0</v>
      </c>
      <c r="BS54">
        <f>SUMIF(RecoveredRaw!$B:$B,$A54,RecoveredRaw!BV:BV)</f>
        <v>0</v>
      </c>
      <c r="BT54">
        <f>SUMIF(RecoveredRaw!$B:$B,$A54,RecoveredRaw!BW:BW)</f>
        <v>0</v>
      </c>
    </row>
    <row r="55" spans="1:72" ht="15" thickBot="1" x14ac:dyDescent="0.35">
      <c r="A55" s="3" t="s">
        <v>99</v>
      </c>
      <c r="B55">
        <f>SUMIF(RecoveredRaw!$B:$B,$A55,RecoveredRaw!E:E)</f>
        <v>0</v>
      </c>
      <c r="C55">
        <f>SUMIF(RecoveredRaw!$B:$B,$A55,RecoveredRaw!F:F)</f>
        <v>0</v>
      </c>
      <c r="D55">
        <f>SUMIF(RecoveredRaw!$B:$B,$A55,RecoveredRaw!G:G)</f>
        <v>0</v>
      </c>
      <c r="E55">
        <f>SUMIF(RecoveredRaw!$B:$B,$A55,RecoveredRaw!H:H)</f>
        <v>0</v>
      </c>
      <c r="F55">
        <f>SUMIF(RecoveredRaw!$B:$B,$A55,RecoveredRaw!I:I)</f>
        <v>0</v>
      </c>
      <c r="G55">
        <f>SUMIF(RecoveredRaw!$B:$B,$A55,RecoveredRaw!J:J)</f>
        <v>0</v>
      </c>
      <c r="H55">
        <f>SUMIF(RecoveredRaw!$B:$B,$A55,RecoveredRaw!K:K)</f>
        <v>0</v>
      </c>
      <c r="I55">
        <f>SUMIF(RecoveredRaw!$B:$B,$A55,RecoveredRaw!L:L)</f>
        <v>0</v>
      </c>
      <c r="J55">
        <f>SUMIF(RecoveredRaw!$B:$B,$A55,RecoveredRaw!M:M)</f>
        <v>0</v>
      </c>
      <c r="K55">
        <f>SUMIF(RecoveredRaw!$B:$B,$A55,RecoveredRaw!N:N)</f>
        <v>0</v>
      </c>
      <c r="L55">
        <f>SUMIF(RecoveredRaw!$B:$B,$A55,RecoveredRaw!O:O)</f>
        <v>0</v>
      </c>
      <c r="M55">
        <f>SUMIF(RecoveredRaw!$B:$B,$A55,RecoveredRaw!P:P)</f>
        <v>0</v>
      </c>
      <c r="N55">
        <f>SUMIF(RecoveredRaw!$B:$B,$A55,RecoveredRaw!Q:Q)</f>
        <v>0</v>
      </c>
      <c r="O55">
        <f>SUMIF(RecoveredRaw!$B:$B,$A55,RecoveredRaw!R:R)</f>
        <v>0</v>
      </c>
      <c r="P55">
        <f>SUMIF(RecoveredRaw!$B:$B,$A55,RecoveredRaw!S:S)</f>
        <v>0</v>
      </c>
      <c r="Q55">
        <f>SUMIF(RecoveredRaw!$B:$B,$A55,RecoveredRaw!T:T)</f>
        <v>0</v>
      </c>
      <c r="R55">
        <f>SUMIF(RecoveredRaw!$B:$B,$A55,RecoveredRaw!U:U)</f>
        <v>0</v>
      </c>
      <c r="S55">
        <f>SUMIF(RecoveredRaw!$B:$B,$A55,RecoveredRaw!V:V)</f>
        <v>0</v>
      </c>
      <c r="T55">
        <f>SUMIF(RecoveredRaw!$B:$B,$A55,RecoveredRaw!W:W)</f>
        <v>0</v>
      </c>
      <c r="U55">
        <f>SUMIF(RecoveredRaw!$B:$B,$A55,RecoveredRaw!X:X)</f>
        <v>0</v>
      </c>
      <c r="V55">
        <f>SUMIF(RecoveredRaw!$B:$B,$A55,RecoveredRaw!Y:Y)</f>
        <v>0</v>
      </c>
      <c r="W55">
        <f>SUMIF(RecoveredRaw!$B:$B,$A55,RecoveredRaw!Z:Z)</f>
        <v>0</v>
      </c>
      <c r="X55">
        <f>SUMIF(RecoveredRaw!$B:$B,$A55,RecoveredRaw!AA:AA)</f>
        <v>0</v>
      </c>
      <c r="Y55">
        <f>SUMIF(RecoveredRaw!$B:$B,$A55,RecoveredRaw!AB:AB)</f>
        <v>0</v>
      </c>
      <c r="Z55">
        <f>SUMIF(RecoveredRaw!$B:$B,$A55,RecoveredRaw!AC:AC)</f>
        <v>0</v>
      </c>
      <c r="AA55">
        <f>SUMIF(RecoveredRaw!$B:$B,$A55,RecoveredRaw!AD:AD)</f>
        <v>0</v>
      </c>
      <c r="AB55">
        <f>SUMIF(RecoveredRaw!$B:$B,$A55,RecoveredRaw!AE:AE)</f>
        <v>0</v>
      </c>
      <c r="AC55">
        <f>SUMIF(RecoveredRaw!$B:$B,$A55,RecoveredRaw!AF:AF)</f>
        <v>0</v>
      </c>
      <c r="AD55">
        <f>SUMIF(RecoveredRaw!$B:$B,$A55,RecoveredRaw!AG:AG)</f>
        <v>0</v>
      </c>
      <c r="AE55">
        <f>SUMIF(RecoveredRaw!$B:$B,$A55,RecoveredRaw!AH:AH)</f>
        <v>0</v>
      </c>
      <c r="AF55">
        <f>SUMIF(RecoveredRaw!$B:$B,$A55,RecoveredRaw!AI:AI)</f>
        <v>0</v>
      </c>
      <c r="AG55">
        <f>SUMIF(RecoveredRaw!$B:$B,$A55,RecoveredRaw!AJ:AJ)</f>
        <v>0</v>
      </c>
      <c r="AH55">
        <f>SUMIF(RecoveredRaw!$B:$B,$A55,RecoveredRaw!AK:AK)</f>
        <v>0</v>
      </c>
      <c r="AI55">
        <f>SUMIF(RecoveredRaw!$B:$B,$A55,RecoveredRaw!AL:AL)</f>
        <v>0</v>
      </c>
      <c r="AJ55">
        <f>SUMIF(RecoveredRaw!$B:$B,$A55,RecoveredRaw!AM:AM)</f>
        <v>0</v>
      </c>
      <c r="AK55">
        <f>SUMIF(RecoveredRaw!$B:$B,$A55,RecoveredRaw!AN:AN)</f>
        <v>0</v>
      </c>
      <c r="AL55">
        <f>SUMIF(RecoveredRaw!$B:$B,$A55,RecoveredRaw!AO:AO)</f>
        <v>0</v>
      </c>
      <c r="AM55">
        <f>SUMIF(RecoveredRaw!$B:$B,$A55,RecoveredRaw!AP:AP)</f>
        <v>0</v>
      </c>
      <c r="AN55">
        <f>SUMIF(RecoveredRaw!$B:$B,$A55,RecoveredRaw!AQ:AQ)</f>
        <v>0</v>
      </c>
      <c r="AO55">
        <f>SUMIF(RecoveredRaw!$B:$B,$A55,RecoveredRaw!AR:AR)</f>
        <v>0</v>
      </c>
      <c r="AP55">
        <f>SUMIF(RecoveredRaw!$B:$B,$A55,RecoveredRaw!AS:AS)</f>
        <v>0</v>
      </c>
      <c r="AQ55">
        <f>SUMIF(RecoveredRaw!$B:$B,$A55,RecoveredRaw!AT:AT)</f>
        <v>0</v>
      </c>
      <c r="AR55">
        <f>SUMIF(RecoveredRaw!$B:$B,$A55,RecoveredRaw!AU:AU)</f>
        <v>0</v>
      </c>
      <c r="AS55">
        <f>SUMIF(RecoveredRaw!$B:$B,$A55,RecoveredRaw!AV:AV)</f>
        <v>0</v>
      </c>
      <c r="AT55">
        <f>SUMIF(RecoveredRaw!$B:$B,$A55,RecoveredRaw!AW:AW)</f>
        <v>0</v>
      </c>
      <c r="AU55">
        <f>SUMIF(RecoveredRaw!$B:$B,$A55,RecoveredRaw!AX:AX)</f>
        <v>0</v>
      </c>
      <c r="AV55">
        <f>SUMIF(RecoveredRaw!$B:$B,$A55,RecoveredRaw!AY:AY)</f>
        <v>0</v>
      </c>
      <c r="AW55">
        <f>SUMIF(RecoveredRaw!$B:$B,$A55,RecoveredRaw!AZ:AZ)</f>
        <v>0</v>
      </c>
      <c r="AX55">
        <f>SUMIF(RecoveredRaw!$B:$B,$A55,RecoveredRaw!BA:BA)</f>
        <v>0</v>
      </c>
      <c r="AY55">
        <f>SUMIF(RecoveredRaw!$B:$B,$A55,RecoveredRaw!BB:BB)</f>
        <v>0</v>
      </c>
      <c r="AZ55">
        <f>SUMIF(RecoveredRaw!$B:$B,$A55,RecoveredRaw!BC:BC)</f>
        <v>0</v>
      </c>
      <c r="BA55">
        <f>SUMIF(RecoveredRaw!$B:$B,$A55,RecoveredRaw!BD:BD)</f>
        <v>0</v>
      </c>
      <c r="BB55">
        <f>SUMIF(RecoveredRaw!$B:$B,$A55,RecoveredRaw!BE:BE)</f>
        <v>0</v>
      </c>
      <c r="BC55">
        <f>SUMIF(RecoveredRaw!$B:$B,$A55,RecoveredRaw!BF:BF)</f>
        <v>0</v>
      </c>
      <c r="BD55">
        <f>SUMIF(RecoveredRaw!$B:$B,$A55,RecoveredRaw!BG:BG)</f>
        <v>0</v>
      </c>
      <c r="BE55">
        <f>SUMIF(RecoveredRaw!$B:$B,$A55,RecoveredRaw!BH:BH)</f>
        <v>0</v>
      </c>
      <c r="BF55">
        <f>SUMIF(RecoveredRaw!$B:$B,$A55,RecoveredRaw!BI:BI)</f>
        <v>0</v>
      </c>
      <c r="BG55">
        <f>SUMIF(RecoveredRaw!$B:$B,$A55,RecoveredRaw!BJ:BJ)</f>
        <v>0</v>
      </c>
      <c r="BH55">
        <f>SUMIF(RecoveredRaw!$B:$B,$A55,RecoveredRaw!BK:BK)</f>
        <v>0</v>
      </c>
      <c r="BI55">
        <f>SUMIF(RecoveredRaw!$B:$B,$A55,RecoveredRaw!BL:BL)</f>
        <v>0</v>
      </c>
      <c r="BJ55">
        <f>SUMIF(RecoveredRaw!$B:$B,$A55,RecoveredRaw!BM:BM)</f>
        <v>0</v>
      </c>
      <c r="BK55">
        <f>SUMIF(RecoveredRaw!$B:$B,$A55,RecoveredRaw!BN:BN)</f>
        <v>0</v>
      </c>
      <c r="BL55">
        <f>SUMIF(RecoveredRaw!$B:$B,$A55,RecoveredRaw!BO:BO)</f>
        <v>0</v>
      </c>
      <c r="BM55">
        <f>SUMIF(RecoveredRaw!$B:$B,$A55,RecoveredRaw!BP:BP)</f>
        <v>0</v>
      </c>
      <c r="BN55">
        <f>SUMIF(RecoveredRaw!$B:$B,$A55,RecoveredRaw!BQ:BQ)</f>
        <v>0</v>
      </c>
      <c r="BO55">
        <f>SUMIF(RecoveredRaw!$B:$B,$A55,RecoveredRaw!BR:BR)</f>
        <v>0</v>
      </c>
      <c r="BP55">
        <f>SUMIF(RecoveredRaw!$B:$B,$A55,RecoveredRaw!BS:BS)</f>
        <v>0</v>
      </c>
      <c r="BQ55">
        <f>SUMIF(RecoveredRaw!$B:$B,$A55,RecoveredRaw!BT:BT)</f>
        <v>0</v>
      </c>
      <c r="BR55">
        <f>SUMIF(RecoveredRaw!$B:$B,$A55,RecoveredRaw!BU:BU)</f>
        <v>0</v>
      </c>
      <c r="BS55">
        <f>SUMIF(RecoveredRaw!$B:$B,$A55,RecoveredRaw!BV:BV)</f>
        <v>0</v>
      </c>
      <c r="BT55">
        <f>SUMIF(RecoveredRaw!$B:$B,$A55,RecoveredRaw!BW:BW)</f>
        <v>0</v>
      </c>
    </row>
    <row r="56" spans="1:72" ht="15" thickBot="1" x14ac:dyDescent="0.35">
      <c r="A56" s="4" t="s">
        <v>230</v>
      </c>
      <c r="B56">
        <f>SUMIF(RecoveredRaw!$B:$B,$A56,RecoveredRaw!E:E)</f>
        <v>0</v>
      </c>
      <c r="C56">
        <f>SUMIF(RecoveredRaw!$B:$B,$A56,RecoveredRaw!F:F)</f>
        <v>0</v>
      </c>
      <c r="D56">
        <f>SUMIF(RecoveredRaw!$B:$B,$A56,RecoveredRaw!G:G)</f>
        <v>0</v>
      </c>
      <c r="E56">
        <f>SUMIF(RecoveredRaw!$B:$B,$A56,RecoveredRaw!H:H)</f>
        <v>0</v>
      </c>
      <c r="F56">
        <f>SUMIF(RecoveredRaw!$B:$B,$A56,RecoveredRaw!I:I)</f>
        <v>0</v>
      </c>
      <c r="G56">
        <f>SUMIF(RecoveredRaw!$B:$B,$A56,RecoveredRaw!J:J)</f>
        <v>0</v>
      </c>
      <c r="H56">
        <f>SUMIF(RecoveredRaw!$B:$B,$A56,RecoveredRaw!K:K)</f>
        <v>0</v>
      </c>
      <c r="I56">
        <f>SUMIF(RecoveredRaw!$B:$B,$A56,RecoveredRaw!L:L)</f>
        <v>0</v>
      </c>
      <c r="J56">
        <f>SUMIF(RecoveredRaw!$B:$B,$A56,RecoveredRaw!M:M)</f>
        <v>0</v>
      </c>
      <c r="K56">
        <f>SUMIF(RecoveredRaw!$B:$B,$A56,RecoveredRaw!N:N)</f>
        <v>0</v>
      </c>
      <c r="L56">
        <f>SUMIF(RecoveredRaw!$B:$B,$A56,RecoveredRaw!O:O)</f>
        <v>0</v>
      </c>
      <c r="M56">
        <f>SUMIF(RecoveredRaw!$B:$B,$A56,RecoveredRaw!P:P)</f>
        <v>0</v>
      </c>
      <c r="N56">
        <f>SUMIF(RecoveredRaw!$B:$B,$A56,RecoveredRaw!Q:Q)</f>
        <v>0</v>
      </c>
      <c r="O56">
        <f>SUMIF(RecoveredRaw!$B:$B,$A56,RecoveredRaw!R:R)</f>
        <v>0</v>
      </c>
      <c r="P56">
        <f>SUMIF(RecoveredRaw!$B:$B,$A56,RecoveredRaw!S:S)</f>
        <v>0</v>
      </c>
      <c r="Q56">
        <f>SUMIF(RecoveredRaw!$B:$B,$A56,RecoveredRaw!T:T)</f>
        <v>0</v>
      </c>
      <c r="R56">
        <f>SUMIF(RecoveredRaw!$B:$B,$A56,RecoveredRaw!U:U)</f>
        <v>0</v>
      </c>
      <c r="S56">
        <f>SUMIF(RecoveredRaw!$B:$B,$A56,RecoveredRaw!V:V)</f>
        <v>0</v>
      </c>
      <c r="T56">
        <f>SUMIF(RecoveredRaw!$B:$B,$A56,RecoveredRaw!W:W)</f>
        <v>0</v>
      </c>
      <c r="U56">
        <f>SUMIF(RecoveredRaw!$B:$B,$A56,RecoveredRaw!X:X)</f>
        <v>0</v>
      </c>
      <c r="V56">
        <f>SUMIF(RecoveredRaw!$B:$B,$A56,RecoveredRaw!Y:Y)</f>
        <v>0</v>
      </c>
      <c r="W56">
        <f>SUMIF(RecoveredRaw!$B:$B,$A56,RecoveredRaw!Z:Z)</f>
        <v>0</v>
      </c>
      <c r="X56">
        <f>SUMIF(RecoveredRaw!$B:$B,$A56,RecoveredRaw!AA:AA)</f>
        <v>0</v>
      </c>
      <c r="Y56">
        <f>SUMIF(RecoveredRaw!$B:$B,$A56,RecoveredRaw!AB:AB)</f>
        <v>0</v>
      </c>
      <c r="Z56">
        <f>SUMIF(RecoveredRaw!$B:$B,$A56,RecoveredRaw!AC:AC)</f>
        <v>0</v>
      </c>
      <c r="AA56">
        <f>SUMIF(RecoveredRaw!$B:$B,$A56,RecoveredRaw!AD:AD)</f>
        <v>0</v>
      </c>
      <c r="AB56">
        <f>SUMIF(RecoveredRaw!$B:$B,$A56,RecoveredRaw!AE:AE)</f>
        <v>0</v>
      </c>
      <c r="AC56">
        <f>SUMIF(RecoveredRaw!$B:$B,$A56,RecoveredRaw!AF:AF)</f>
        <v>0</v>
      </c>
      <c r="AD56">
        <f>SUMIF(RecoveredRaw!$B:$B,$A56,RecoveredRaw!AG:AG)</f>
        <v>0</v>
      </c>
      <c r="AE56">
        <f>SUMIF(RecoveredRaw!$B:$B,$A56,RecoveredRaw!AH:AH)</f>
        <v>0</v>
      </c>
      <c r="AF56">
        <f>SUMIF(RecoveredRaw!$B:$B,$A56,RecoveredRaw!AI:AI)</f>
        <v>0</v>
      </c>
      <c r="AG56">
        <f>SUMIF(RecoveredRaw!$B:$B,$A56,RecoveredRaw!AJ:AJ)</f>
        <v>0</v>
      </c>
      <c r="AH56">
        <f>SUMIF(RecoveredRaw!$B:$B,$A56,RecoveredRaw!AK:AK)</f>
        <v>0</v>
      </c>
      <c r="AI56">
        <f>SUMIF(RecoveredRaw!$B:$B,$A56,RecoveredRaw!AL:AL)</f>
        <v>0</v>
      </c>
      <c r="AJ56">
        <f>SUMIF(RecoveredRaw!$B:$B,$A56,RecoveredRaw!AM:AM)</f>
        <v>0</v>
      </c>
      <c r="AK56">
        <f>SUMIF(RecoveredRaw!$B:$B,$A56,RecoveredRaw!AN:AN)</f>
        <v>0</v>
      </c>
      <c r="AL56">
        <f>SUMIF(RecoveredRaw!$B:$B,$A56,RecoveredRaw!AO:AO)</f>
        <v>0</v>
      </c>
      <c r="AM56">
        <f>SUMIF(RecoveredRaw!$B:$B,$A56,RecoveredRaw!AP:AP)</f>
        <v>0</v>
      </c>
      <c r="AN56">
        <f>SUMIF(RecoveredRaw!$B:$B,$A56,RecoveredRaw!AQ:AQ)</f>
        <v>0</v>
      </c>
      <c r="AO56">
        <f>SUMIF(RecoveredRaw!$B:$B,$A56,RecoveredRaw!AR:AR)</f>
        <v>0</v>
      </c>
      <c r="AP56">
        <f>SUMIF(RecoveredRaw!$B:$B,$A56,RecoveredRaw!AS:AS)</f>
        <v>0</v>
      </c>
      <c r="AQ56">
        <f>SUMIF(RecoveredRaw!$B:$B,$A56,RecoveredRaw!AT:AT)</f>
        <v>0</v>
      </c>
      <c r="AR56">
        <f>SUMIF(RecoveredRaw!$B:$B,$A56,RecoveredRaw!AU:AU)</f>
        <v>0</v>
      </c>
      <c r="AS56">
        <f>SUMIF(RecoveredRaw!$B:$B,$A56,RecoveredRaw!AV:AV)</f>
        <v>0</v>
      </c>
      <c r="AT56">
        <f>SUMIF(RecoveredRaw!$B:$B,$A56,RecoveredRaw!AW:AW)</f>
        <v>0</v>
      </c>
      <c r="AU56">
        <f>SUMIF(RecoveredRaw!$B:$B,$A56,RecoveredRaw!AX:AX)</f>
        <v>0</v>
      </c>
      <c r="AV56">
        <f>SUMIF(RecoveredRaw!$B:$B,$A56,RecoveredRaw!AY:AY)</f>
        <v>0</v>
      </c>
      <c r="AW56">
        <f>SUMIF(RecoveredRaw!$B:$B,$A56,RecoveredRaw!AZ:AZ)</f>
        <v>0</v>
      </c>
      <c r="AX56">
        <f>SUMIF(RecoveredRaw!$B:$B,$A56,RecoveredRaw!BA:BA)</f>
        <v>0</v>
      </c>
      <c r="AY56">
        <f>SUMIF(RecoveredRaw!$B:$B,$A56,RecoveredRaw!BB:BB)</f>
        <v>0</v>
      </c>
      <c r="AZ56">
        <f>SUMIF(RecoveredRaw!$B:$B,$A56,RecoveredRaw!BC:BC)</f>
        <v>0</v>
      </c>
      <c r="BA56">
        <f>SUMIF(RecoveredRaw!$B:$B,$A56,RecoveredRaw!BD:BD)</f>
        <v>0</v>
      </c>
      <c r="BB56">
        <f>SUMIF(RecoveredRaw!$B:$B,$A56,RecoveredRaw!BE:BE)</f>
        <v>0</v>
      </c>
      <c r="BC56">
        <f>SUMIF(RecoveredRaw!$B:$B,$A56,RecoveredRaw!BF:BF)</f>
        <v>0</v>
      </c>
      <c r="BD56">
        <f>SUMIF(RecoveredRaw!$B:$B,$A56,RecoveredRaw!BG:BG)</f>
        <v>0</v>
      </c>
      <c r="BE56">
        <f>SUMIF(RecoveredRaw!$B:$B,$A56,RecoveredRaw!BH:BH)</f>
        <v>0</v>
      </c>
      <c r="BF56">
        <f>SUMIF(RecoveredRaw!$B:$B,$A56,RecoveredRaw!BI:BI)</f>
        <v>0</v>
      </c>
      <c r="BG56">
        <f>SUMIF(RecoveredRaw!$B:$B,$A56,RecoveredRaw!BJ:BJ)</f>
        <v>0</v>
      </c>
      <c r="BH56">
        <f>SUMIF(RecoveredRaw!$B:$B,$A56,RecoveredRaw!BK:BK)</f>
        <v>0</v>
      </c>
      <c r="BI56">
        <f>SUMIF(RecoveredRaw!$B:$B,$A56,RecoveredRaw!BL:BL)</f>
        <v>0</v>
      </c>
      <c r="BJ56">
        <f>SUMIF(RecoveredRaw!$B:$B,$A56,RecoveredRaw!BM:BM)</f>
        <v>0</v>
      </c>
      <c r="BK56">
        <f>SUMIF(RecoveredRaw!$B:$B,$A56,RecoveredRaw!BN:BN)</f>
        <v>0</v>
      </c>
      <c r="BL56">
        <f>SUMIF(RecoveredRaw!$B:$B,$A56,RecoveredRaw!BO:BO)</f>
        <v>0</v>
      </c>
      <c r="BM56">
        <f>SUMIF(RecoveredRaw!$B:$B,$A56,RecoveredRaw!BP:BP)</f>
        <v>0</v>
      </c>
      <c r="BN56">
        <f>SUMIF(RecoveredRaw!$B:$B,$A56,RecoveredRaw!BQ:BQ)</f>
        <v>0</v>
      </c>
      <c r="BO56">
        <f>SUMIF(RecoveredRaw!$B:$B,$A56,RecoveredRaw!BR:BR)</f>
        <v>0</v>
      </c>
      <c r="BP56">
        <f>SUMIF(RecoveredRaw!$B:$B,$A56,RecoveredRaw!BS:BS)</f>
        <v>0</v>
      </c>
      <c r="BQ56">
        <f>SUMIF(RecoveredRaw!$B:$B,$A56,RecoveredRaw!BT:BT)</f>
        <v>0</v>
      </c>
      <c r="BR56">
        <f>SUMIF(RecoveredRaw!$B:$B,$A56,RecoveredRaw!BU:BU)</f>
        <v>0</v>
      </c>
      <c r="BS56">
        <f>SUMIF(RecoveredRaw!$B:$B,$A56,RecoveredRaw!BV:BV)</f>
        <v>0</v>
      </c>
      <c r="BT56">
        <f>SUMIF(RecoveredRaw!$B:$B,$A56,RecoveredRaw!BW:BW)</f>
        <v>0</v>
      </c>
    </row>
    <row r="57" spans="1:72" ht="15" thickBot="1" x14ac:dyDescent="0.35">
      <c r="A57" s="3" t="s">
        <v>76</v>
      </c>
      <c r="B57">
        <f>SUMIF(RecoveredRaw!$B:$B,$A57,RecoveredRaw!E:E)</f>
        <v>0</v>
      </c>
      <c r="C57">
        <f>SUMIF(RecoveredRaw!$B:$B,$A57,RecoveredRaw!F:F)</f>
        <v>0</v>
      </c>
      <c r="D57">
        <f>SUMIF(RecoveredRaw!$B:$B,$A57,RecoveredRaw!G:G)</f>
        <v>0</v>
      </c>
      <c r="E57">
        <f>SUMIF(RecoveredRaw!$B:$B,$A57,RecoveredRaw!H:H)</f>
        <v>0</v>
      </c>
      <c r="F57">
        <f>SUMIF(RecoveredRaw!$B:$B,$A57,RecoveredRaw!I:I)</f>
        <v>0</v>
      </c>
      <c r="G57">
        <f>SUMIF(RecoveredRaw!$B:$B,$A57,RecoveredRaw!J:J)</f>
        <v>0</v>
      </c>
      <c r="H57">
        <f>SUMIF(RecoveredRaw!$B:$B,$A57,RecoveredRaw!K:K)</f>
        <v>0</v>
      </c>
      <c r="I57">
        <f>SUMIF(RecoveredRaw!$B:$B,$A57,RecoveredRaw!L:L)</f>
        <v>0</v>
      </c>
      <c r="J57">
        <f>SUMIF(RecoveredRaw!$B:$B,$A57,RecoveredRaw!M:M)</f>
        <v>0</v>
      </c>
      <c r="K57">
        <f>SUMIF(RecoveredRaw!$B:$B,$A57,RecoveredRaw!N:N)</f>
        <v>0</v>
      </c>
      <c r="L57">
        <f>SUMIF(RecoveredRaw!$B:$B,$A57,RecoveredRaw!O:O)</f>
        <v>0</v>
      </c>
      <c r="M57">
        <f>SUMIF(RecoveredRaw!$B:$B,$A57,RecoveredRaw!P:P)</f>
        <v>0</v>
      </c>
      <c r="N57">
        <f>SUMIF(RecoveredRaw!$B:$B,$A57,RecoveredRaw!Q:Q)</f>
        <v>0</v>
      </c>
      <c r="O57">
        <f>SUMIF(RecoveredRaw!$B:$B,$A57,RecoveredRaw!R:R)</f>
        <v>0</v>
      </c>
      <c r="P57">
        <f>SUMIF(RecoveredRaw!$B:$B,$A57,RecoveredRaw!S:S)</f>
        <v>0</v>
      </c>
      <c r="Q57">
        <f>SUMIF(RecoveredRaw!$B:$B,$A57,RecoveredRaw!T:T)</f>
        <v>0</v>
      </c>
      <c r="R57">
        <f>SUMIF(RecoveredRaw!$B:$B,$A57,RecoveredRaw!U:U)</f>
        <v>0</v>
      </c>
      <c r="S57">
        <f>SUMIF(RecoveredRaw!$B:$B,$A57,RecoveredRaw!V:V)</f>
        <v>0</v>
      </c>
      <c r="T57">
        <f>SUMIF(RecoveredRaw!$B:$B,$A57,RecoveredRaw!W:W)</f>
        <v>0</v>
      </c>
      <c r="U57">
        <f>SUMIF(RecoveredRaw!$B:$B,$A57,RecoveredRaw!X:X)</f>
        <v>0</v>
      </c>
      <c r="V57">
        <f>SUMIF(RecoveredRaw!$B:$B,$A57,RecoveredRaw!Y:Y)</f>
        <v>0</v>
      </c>
      <c r="W57">
        <f>SUMIF(RecoveredRaw!$B:$B,$A57,RecoveredRaw!Z:Z)</f>
        <v>0</v>
      </c>
      <c r="X57">
        <f>SUMIF(RecoveredRaw!$B:$B,$A57,RecoveredRaw!AA:AA)</f>
        <v>0</v>
      </c>
      <c r="Y57">
        <f>SUMIF(RecoveredRaw!$B:$B,$A57,RecoveredRaw!AB:AB)</f>
        <v>0</v>
      </c>
      <c r="Z57">
        <f>SUMIF(RecoveredRaw!$B:$B,$A57,RecoveredRaw!AC:AC)</f>
        <v>0</v>
      </c>
      <c r="AA57">
        <f>SUMIF(RecoveredRaw!$B:$B,$A57,RecoveredRaw!AD:AD)</f>
        <v>0</v>
      </c>
      <c r="AB57">
        <f>SUMIF(RecoveredRaw!$B:$B,$A57,RecoveredRaw!AE:AE)</f>
        <v>0</v>
      </c>
      <c r="AC57">
        <f>SUMIF(RecoveredRaw!$B:$B,$A57,RecoveredRaw!AF:AF)</f>
        <v>0</v>
      </c>
      <c r="AD57">
        <f>SUMIF(RecoveredRaw!$B:$B,$A57,RecoveredRaw!AG:AG)</f>
        <v>0</v>
      </c>
      <c r="AE57">
        <f>SUMIF(RecoveredRaw!$B:$B,$A57,RecoveredRaw!AH:AH)</f>
        <v>0</v>
      </c>
      <c r="AF57">
        <f>SUMIF(RecoveredRaw!$B:$B,$A57,RecoveredRaw!AI:AI)</f>
        <v>0</v>
      </c>
      <c r="AG57">
        <f>SUMIF(RecoveredRaw!$B:$B,$A57,RecoveredRaw!AJ:AJ)</f>
        <v>0</v>
      </c>
      <c r="AH57">
        <f>SUMIF(RecoveredRaw!$B:$B,$A57,RecoveredRaw!AK:AK)</f>
        <v>0</v>
      </c>
      <c r="AI57">
        <f>SUMIF(RecoveredRaw!$B:$B,$A57,RecoveredRaw!AL:AL)</f>
        <v>0</v>
      </c>
      <c r="AJ57">
        <f>SUMIF(RecoveredRaw!$B:$B,$A57,RecoveredRaw!AM:AM)</f>
        <v>0</v>
      </c>
      <c r="AK57">
        <f>SUMIF(RecoveredRaw!$B:$B,$A57,RecoveredRaw!AN:AN)</f>
        <v>0</v>
      </c>
      <c r="AL57">
        <f>SUMIF(RecoveredRaw!$B:$B,$A57,RecoveredRaw!AO:AO)</f>
        <v>0</v>
      </c>
      <c r="AM57">
        <f>SUMIF(RecoveredRaw!$B:$B,$A57,RecoveredRaw!AP:AP)</f>
        <v>0</v>
      </c>
      <c r="AN57">
        <f>SUMIF(RecoveredRaw!$B:$B,$A57,RecoveredRaw!AQ:AQ)</f>
        <v>0</v>
      </c>
      <c r="AO57">
        <f>SUMIF(RecoveredRaw!$B:$B,$A57,RecoveredRaw!AR:AR)</f>
        <v>0</v>
      </c>
      <c r="AP57">
        <f>SUMIF(RecoveredRaw!$B:$B,$A57,RecoveredRaw!AS:AS)</f>
        <v>0</v>
      </c>
      <c r="AQ57">
        <f>SUMIF(RecoveredRaw!$B:$B,$A57,RecoveredRaw!AT:AT)</f>
        <v>0</v>
      </c>
      <c r="AR57">
        <f>SUMIF(RecoveredRaw!$B:$B,$A57,RecoveredRaw!AU:AU)</f>
        <v>0</v>
      </c>
      <c r="AS57">
        <f>SUMIF(RecoveredRaw!$B:$B,$A57,RecoveredRaw!AV:AV)</f>
        <v>0</v>
      </c>
      <c r="AT57">
        <f>SUMIF(RecoveredRaw!$B:$B,$A57,RecoveredRaw!AW:AW)</f>
        <v>0</v>
      </c>
      <c r="AU57">
        <f>SUMIF(RecoveredRaw!$B:$B,$A57,RecoveredRaw!AX:AX)</f>
        <v>0</v>
      </c>
      <c r="AV57">
        <f>SUMIF(RecoveredRaw!$B:$B,$A57,RecoveredRaw!AY:AY)</f>
        <v>0</v>
      </c>
      <c r="AW57">
        <f>SUMIF(RecoveredRaw!$B:$B,$A57,RecoveredRaw!AZ:AZ)</f>
        <v>0</v>
      </c>
      <c r="AX57">
        <f>SUMIF(RecoveredRaw!$B:$B,$A57,RecoveredRaw!BA:BA)</f>
        <v>0</v>
      </c>
      <c r="AY57">
        <f>SUMIF(RecoveredRaw!$B:$B,$A57,RecoveredRaw!BB:BB)</f>
        <v>0</v>
      </c>
      <c r="AZ57">
        <f>SUMIF(RecoveredRaw!$B:$B,$A57,RecoveredRaw!BC:BC)</f>
        <v>0</v>
      </c>
      <c r="BA57">
        <f>SUMIF(RecoveredRaw!$B:$B,$A57,RecoveredRaw!BD:BD)</f>
        <v>1</v>
      </c>
      <c r="BB57">
        <f>SUMIF(RecoveredRaw!$B:$B,$A57,RecoveredRaw!BE:BE)</f>
        <v>1</v>
      </c>
      <c r="BC57">
        <f>SUMIF(RecoveredRaw!$B:$B,$A57,RecoveredRaw!BF:BF)</f>
        <v>1</v>
      </c>
      <c r="BD57">
        <f>SUMIF(RecoveredRaw!$B:$B,$A57,RecoveredRaw!BG:BG)</f>
        <v>2</v>
      </c>
      <c r="BE57">
        <f>SUMIF(RecoveredRaw!$B:$B,$A57,RecoveredRaw!BH:BH)</f>
        <v>4</v>
      </c>
      <c r="BF57">
        <f>SUMIF(RecoveredRaw!$B:$B,$A57,RecoveredRaw!BI:BI)</f>
        <v>4</v>
      </c>
      <c r="BG57">
        <f>SUMIF(RecoveredRaw!$B:$B,$A57,RecoveredRaw!BJ:BJ)</f>
        <v>0</v>
      </c>
      <c r="BH57">
        <f>SUMIF(RecoveredRaw!$B:$B,$A57,RecoveredRaw!BK:BK)</f>
        <v>0</v>
      </c>
      <c r="BI57">
        <f>SUMIF(RecoveredRaw!$B:$B,$A57,RecoveredRaw!BL:BL)</f>
        <v>0</v>
      </c>
      <c r="BJ57">
        <f>SUMIF(RecoveredRaw!$B:$B,$A57,RecoveredRaw!BM:BM)</f>
        <v>0</v>
      </c>
      <c r="BK57">
        <f>SUMIF(RecoveredRaw!$B:$B,$A57,RecoveredRaw!BN:BN)</f>
        <v>0</v>
      </c>
      <c r="BL57">
        <f>SUMIF(RecoveredRaw!$B:$B,$A57,RecoveredRaw!BO:BO)</f>
        <v>0</v>
      </c>
      <c r="BM57">
        <f>SUMIF(RecoveredRaw!$B:$B,$A57,RecoveredRaw!BP:BP)</f>
        <v>0</v>
      </c>
      <c r="BN57">
        <f>SUMIF(RecoveredRaw!$B:$B,$A57,RecoveredRaw!BQ:BQ)</f>
        <v>0</v>
      </c>
      <c r="BO57">
        <f>SUMIF(RecoveredRaw!$B:$B,$A57,RecoveredRaw!BR:BR)</f>
        <v>0</v>
      </c>
      <c r="BP57">
        <f>SUMIF(RecoveredRaw!$B:$B,$A57,RecoveredRaw!BS:BS)</f>
        <v>0</v>
      </c>
      <c r="BQ57">
        <f>SUMIF(RecoveredRaw!$B:$B,$A57,RecoveredRaw!BT:BT)</f>
        <v>0</v>
      </c>
      <c r="BR57">
        <f>SUMIF(RecoveredRaw!$B:$B,$A57,RecoveredRaw!BU:BU)</f>
        <v>0</v>
      </c>
      <c r="BS57">
        <f>SUMIF(RecoveredRaw!$B:$B,$A57,RecoveredRaw!BV:BV)</f>
        <v>0</v>
      </c>
      <c r="BT57">
        <f>SUMIF(RecoveredRaw!$B:$B,$A57,RecoveredRaw!BW:BW)</f>
        <v>0</v>
      </c>
    </row>
    <row r="58" spans="1:72" ht="15" thickBot="1" x14ac:dyDescent="0.35">
      <c r="A58" s="4" t="s">
        <v>162</v>
      </c>
      <c r="B58">
        <f>SUMIF(RecoveredRaw!$B:$B,$A58,RecoveredRaw!E:E)</f>
        <v>0</v>
      </c>
      <c r="C58">
        <f>SUMIF(RecoveredRaw!$B:$B,$A58,RecoveredRaw!F:F)</f>
        <v>0</v>
      </c>
      <c r="D58">
        <f>SUMIF(RecoveredRaw!$B:$B,$A58,RecoveredRaw!G:G)</f>
        <v>0</v>
      </c>
      <c r="E58">
        <f>SUMIF(RecoveredRaw!$B:$B,$A58,RecoveredRaw!H:H)</f>
        <v>0</v>
      </c>
      <c r="F58">
        <f>SUMIF(RecoveredRaw!$B:$B,$A58,RecoveredRaw!I:I)</f>
        <v>0</v>
      </c>
      <c r="G58">
        <f>SUMIF(RecoveredRaw!$B:$B,$A58,RecoveredRaw!J:J)</f>
        <v>0</v>
      </c>
      <c r="H58">
        <f>SUMIF(RecoveredRaw!$B:$B,$A58,RecoveredRaw!K:K)</f>
        <v>0</v>
      </c>
      <c r="I58">
        <f>SUMIF(RecoveredRaw!$B:$B,$A58,RecoveredRaw!L:L)</f>
        <v>0</v>
      </c>
      <c r="J58">
        <f>SUMIF(RecoveredRaw!$B:$B,$A58,RecoveredRaw!M:M)</f>
        <v>0</v>
      </c>
      <c r="K58">
        <f>SUMIF(RecoveredRaw!$B:$B,$A58,RecoveredRaw!N:N)</f>
        <v>0</v>
      </c>
      <c r="L58">
        <f>SUMIF(RecoveredRaw!$B:$B,$A58,RecoveredRaw!O:O)</f>
        <v>0</v>
      </c>
      <c r="M58">
        <f>SUMIF(RecoveredRaw!$B:$B,$A58,RecoveredRaw!P:P)</f>
        <v>0</v>
      </c>
      <c r="N58">
        <f>SUMIF(RecoveredRaw!$B:$B,$A58,RecoveredRaw!Q:Q)</f>
        <v>0</v>
      </c>
      <c r="O58">
        <f>SUMIF(RecoveredRaw!$B:$B,$A58,RecoveredRaw!R:R)</f>
        <v>0</v>
      </c>
      <c r="P58">
        <f>SUMIF(RecoveredRaw!$B:$B,$A58,RecoveredRaw!S:S)</f>
        <v>0</v>
      </c>
      <c r="Q58">
        <f>SUMIF(RecoveredRaw!$B:$B,$A58,RecoveredRaw!T:T)</f>
        <v>0</v>
      </c>
      <c r="R58">
        <f>SUMIF(RecoveredRaw!$B:$B,$A58,RecoveredRaw!U:U)</f>
        <v>0</v>
      </c>
      <c r="S58">
        <f>SUMIF(RecoveredRaw!$B:$B,$A58,RecoveredRaw!V:V)</f>
        <v>0</v>
      </c>
      <c r="T58">
        <f>SUMIF(RecoveredRaw!$B:$B,$A58,RecoveredRaw!W:W)</f>
        <v>0</v>
      </c>
      <c r="U58">
        <f>SUMIF(RecoveredRaw!$B:$B,$A58,RecoveredRaw!X:X)</f>
        <v>0</v>
      </c>
      <c r="V58">
        <f>SUMIF(RecoveredRaw!$B:$B,$A58,RecoveredRaw!Y:Y)</f>
        <v>0</v>
      </c>
      <c r="W58">
        <f>SUMIF(RecoveredRaw!$B:$B,$A58,RecoveredRaw!Z:Z)</f>
        <v>0</v>
      </c>
      <c r="X58">
        <f>SUMIF(RecoveredRaw!$B:$B,$A58,RecoveredRaw!AA:AA)</f>
        <v>0</v>
      </c>
      <c r="Y58">
        <f>SUMIF(RecoveredRaw!$B:$B,$A58,RecoveredRaw!AB:AB)</f>
        <v>0</v>
      </c>
      <c r="Z58">
        <f>SUMIF(RecoveredRaw!$B:$B,$A58,RecoveredRaw!AC:AC)</f>
        <v>0</v>
      </c>
      <c r="AA58">
        <f>SUMIF(RecoveredRaw!$B:$B,$A58,RecoveredRaw!AD:AD)</f>
        <v>0</v>
      </c>
      <c r="AB58">
        <f>SUMIF(RecoveredRaw!$B:$B,$A58,RecoveredRaw!AE:AE)</f>
        <v>0</v>
      </c>
      <c r="AC58">
        <f>SUMIF(RecoveredRaw!$B:$B,$A58,RecoveredRaw!AF:AF)</f>
        <v>0</v>
      </c>
      <c r="AD58">
        <f>SUMIF(RecoveredRaw!$B:$B,$A58,RecoveredRaw!AG:AG)</f>
        <v>0</v>
      </c>
      <c r="AE58">
        <f>SUMIF(RecoveredRaw!$B:$B,$A58,RecoveredRaw!AH:AH)</f>
        <v>0</v>
      </c>
      <c r="AF58">
        <f>SUMIF(RecoveredRaw!$B:$B,$A58,RecoveredRaw!AI:AI)</f>
        <v>0</v>
      </c>
      <c r="AG58">
        <f>SUMIF(RecoveredRaw!$B:$B,$A58,RecoveredRaw!AJ:AJ)</f>
        <v>0</v>
      </c>
      <c r="AH58">
        <f>SUMIF(RecoveredRaw!$B:$B,$A58,RecoveredRaw!AK:AK)</f>
        <v>0</v>
      </c>
      <c r="AI58">
        <f>SUMIF(RecoveredRaw!$B:$B,$A58,RecoveredRaw!AL:AL)</f>
        <v>0</v>
      </c>
      <c r="AJ58">
        <f>SUMIF(RecoveredRaw!$B:$B,$A58,RecoveredRaw!AM:AM)</f>
        <v>0</v>
      </c>
      <c r="AK58">
        <f>SUMIF(RecoveredRaw!$B:$B,$A58,RecoveredRaw!AN:AN)</f>
        <v>0</v>
      </c>
      <c r="AL58">
        <f>SUMIF(RecoveredRaw!$B:$B,$A58,RecoveredRaw!AO:AO)</f>
        <v>0</v>
      </c>
      <c r="AM58">
        <f>SUMIF(RecoveredRaw!$B:$B,$A58,RecoveredRaw!AP:AP)</f>
        <v>0</v>
      </c>
      <c r="AN58">
        <f>SUMIF(RecoveredRaw!$B:$B,$A58,RecoveredRaw!AQ:AQ)</f>
        <v>0</v>
      </c>
      <c r="AO58">
        <f>SUMIF(RecoveredRaw!$B:$B,$A58,RecoveredRaw!AR:AR)</f>
        <v>0</v>
      </c>
      <c r="AP58">
        <f>SUMIF(RecoveredRaw!$B:$B,$A58,RecoveredRaw!AS:AS)</f>
        <v>0</v>
      </c>
      <c r="AQ58">
        <f>SUMIF(RecoveredRaw!$B:$B,$A58,RecoveredRaw!AT:AT)</f>
        <v>0</v>
      </c>
      <c r="AR58">
        <f>SUMIF(RecoveredRaw!$B:$B,$A58,RecoveredRaw!AU:AU)</f>
        <v>0</v>
      </c>
      <c r="AS58">
        <f>SUMIF(RecoveredRaw!$B:$B,$A58,RecoveredRaw!AV:AV)</f>
        <v>0</v>
      </c>
      <c r="AT58">
        <f>SUMIF(RecoveredRaw!$B:$B,$A58,RecoveredRaw!AW:AW)</f>
        <v>0</v>
      </c>
      <c r="AU58">
        <f>SUMIF(RecoveredRaw!$B:$B,$A58,RecoveredRaw!AX:AX)</f>
        <v>0</v>
      </c>
      <c r="AV58">
        <f>SUMIF(RecoveredRaw!$B:$B,$A58,RecoveredRaw!AY:AY)</f>
        <v>0</v>
      </c>
      <c r="AW58">
        <f>SUMIF(RecoveredRaw!$B:$B,$A58,RecoveredRaw!AZ:AZ)</f>
        <v>0</v>
      </c>
      <c r="AX58">
        <f>SUMIF(RecoveredRaw!$B:$B,$A58,RecoveredRaw!BA:BA)</f>
        <v>0</v>
      </c>
      <c r="AY58">
        <f>SUMIF(RecoveredRaw!$B:$B,$A58,RecoveredRaw!BB:BB)</f>
        <v>0</v>
      </c>
      <c r="AZ58">
        <f>SUMIF(RecoveredRaw!$B:$B,$A58,RecoveredRaw!BC:BC)</f>
        <v>0</v>
      </c>
      <c r="BA58">
        <f>SUMIF(RecoveredRaw!$B:$B,$A58,RecoveredRaw!BD:BD)</f>
        <v>0</v>
      </c>
      <c r="BB58">
        <f>SUMIF(RecoveredRaw!$B:$B,$A58,RecoveredRaw!BE:BE)</f>
        <v>0</v>
      </c>
      <c r="BC58">
        <f>SUMIF(RecoveredRaw!$B:$B,$A58,RecoveredRaw!BF:BF)</f>
        <v>0</v>
      </c>
      <c r="BD58">
        <f>SUMIF(RecoveredRaw!$B:$B,$A58,RecoveredRaw!BG:BG)</f>
        <v>0</v>
      </c>
      <c r="BE58">
        <f>SUMIF(RecoveredRaw!$B:$B,$A58,RecoveredRaw!BH:BH)</f>
        <v>0</v>
      </c>
      <c r="BF58">
        <f>SUMIF(RecoveredRaw!$B:$B,$A58,RecoveredRaw!BI:BI)</f>
        <v>0</v>
      </c>
      <c r="BG58">
        <f>SUMIF(RecoveredRaw!$B:$B,$A58,RecoveredRaw!BJ:BJ)</f>
        <v>0</v>
      </c>
      <c r="BH58">
        <f>SUMIF(RecoveredRaw!$B:$B,$A58,RecoveredRaw!BK:BK)</f>
        <v>0</v>
      </c>
      <c r="BI58">
        <f>SUMIF(RecoveredRaw!$B:$B,$A58,RecoveredRaw!BL:BL)</f>
        <v>0</v>
      </c>
      <c r="BJ58">
        <f>SUMIF(RecoveredRaw!$B:$B,$A58,RecoveredRaw!BM:BM)</f>
        <v>0</v>
      </c>
      <c r="BK58">
        <f>SUMIF(RecoveredRaw!$B:$B,$A58,RecoveredRaw!BN:BN)</f>
        <v>0</v>
      </c>
      <c r="BL58">
        <f>SUMIF(RecoveredRaw!$B:$B,$A58,RecoveredRaw!BO:BO)</f>
        <v>0</v>
      </c>
      <c r="BM58">
        <f>SUMIF(RecoveredRaw!$B:$B,$A58,RecoveredRaw!BP:BP)</f>
        <v>0</v>
      </c>
      <c r="BN58">
        <f>SUMIF(RecoveredRaw!$B:$B,$A58,RecoveredRaw!BQ:BQ)</f>
        <v>0</v>
      </c>
      <c r="BO58">
        <f>SUMIF(RecoveredRaw!$B:$B,$A58,RecoveredRaw!BR:BR)</f>
        <v>0</v>
      </c>
      <c r="BP58">
        <f>SUMIF(RecoveredRaw!$B:$B,$A58,RecoveredRaw!BS:BS)</f>
        <v>0</v>
      </c>
      <c r="BQ58">
        <f>SUMIF(RecoveredRaw!$B:$B,$A58,RecoveredRaw!BT:BT)</f>
        <v>0</v>
      </c>
      <c r="BR58">
        <f>SUMIF(RecoveredRaw!$B:$B,$A58,RecoveredRaw!BU:BU)</f>
        <v>0</v>
      </c>
      <c r="BS58">
        <f>SUMIF(RecoveredRaw!$B:$B,$A58,RecoveredRaw!BV:BV)</f>
        <v>0</v>
      </c>
      <c r="BT58">
        <f>SUMIF(RecoveredRaw!$B:$B,$A58,RecoveredRaw!BW:BW)</f>
        <v>0</v>
      </c>
    </row>
    <row r="59" spans="1:72" ht="15" thickBot="1" x14ac:dyDescent="0.35">
      <c r="A59" s="4" t="s">
        <v>123</v>
      </c>
      <c r="B59">
        <f>SUMIF(RecoveredRaw!$B:$B,$A59,RecoveredRaw!E:E)</f>
        <v>0</v>
      </c>
      <c r="C59">
        <f>SUMIF(RecoveredRaw!$B:$B,$A59,RecoveredRaw!F:F)</f>
        <v>0</v>
      </c>
      <c r="D59">
        <f>SUMIF(RecoveredRaw!$B:$B,$A59,RecoveredRaw!G:G)</f>
        <v>0</v>
      </c>
      <c r="E59">
        <f>SUMIF(RecoveredRaw!$B:$B,$A59,RecoveredRaw!H:H)</f>
        <v>0</v>
      </c>
      <c r="F59">
        <f>SUMIF(RecoveredRaw!$B:$B,$A59,RecoveredRaw!I:I)</f>
        <v>0</v>
      </c>
      <c r="G59">
        <f>SUMIF(RecoveredRaw!$B:$B,$A59,RecoveredRaw!J:J)</f>
        <v>0</v>
      </c>
      <c r="H59">
        <f>SUMIF(RecoveredRaw!$B:$B,$A59,RecoveredRaw!K:K)</f>
        <v>0</v>
      </c>
      <c r="I59">
        <f>SUMIF(RecoveredRaw!$B:$B,$A59,RecoveredRaw!L:L)</f>
        <v>0</v>
      </c>
      <c r="J59">
        <f>SUMIF(RecoveredRaw!$B:$B,$A59,RecoveredRaw!M:M)</f>
        <v>0</v>
      </c>
      <c r="K59">
        <f>SUMIF(RecoveredRaw!$B:$B,$A59,RecoveredRaw!N:N)</f>
        <v>0</v>
      </c>
      <c r="L59">
        <f>SUMIF(RecoveredRaw!$B:$B,$A59,RecoveredRaw!O:O)</f>
        <v>0</v>
      </c>
      <c r="M59">
        <f>SUMIF(RecoveredRaw!$B:$B,$A59,RecoveredRaw!P:P)</f>
        <v>0</v>
      </c>
      <c r="N59">
        <f>SUMIF(RecoveredRaw!$B:$B,$A59,RecoveredRaw!Q:Q)</f>
        <v>0</v>
      </c>
      <c r="O59">
        <f>SUMIF(RecoveredRaw!$B:$B,$A59,RecoveredRaw!R:R)</f>
        <v>0</v>
      </c>
      <c r="P59">
        <f>SUMIF(RecoveredRaw!$B:$B,$A59,RecoveredRaw!S:S)</f>
        <v>0</v>
      </c>
      <c r="Q59">
        <f>SUMIF(RecoveredRaw!$B:$B,$A59,RecoveredRaw!T:T)</f>
        <v>0</v>
      </c>
      <c r="R59">
        <f>SUMIF(RecoveredRaw!$B:$B,$A59,RecoveredRaw!U:U)</f>
        <v>0</v>
      </c>
      <c r="S59">
        <f>SUMIF(RecoveredRaw!$B:$B,$A59,RecoveredRaw!V:V)</f>
        <v>0</v>
      </c>
      <c r="T59">
        <f>SUMIF(RecoveredRaw!$B:$B,$A59,RecoveredRaw!W:W)</f>
        <v>0</v>
      </c>
      <c r="U59">
        <f>SUMIF(RecoveredRaw!$B:$B,$A59,RecoveredRaw!X:X)</f>
        <v>0</v>
      </c>
      <c r="V59">
        <f>SUMIF(RecoveredRaw!$B:$B,$A59,RecoveredRaw!Y:Y)</f>
        <v>0</v>
      </c>
      <c r="W59">
        <f>SUMIF(RecoveredRaw!$B:$B,$A59,RecoveredRaw!Z:Z)</f>
        <v>0</v>
      </c>
      <c r="X59">
        <f>SUMIF(RecoveredRaw!$B:$B,$A59,RecoveredRaw!AA:AA)</f>
        <v>0</v>
      </c>
      <c r="Y59">
        <f>SUMIF(RecoveredRaw!$B:$B,$A59,RecoveredRaw!AB:AB)</f>
        <v>0</v>
      </c>
      <c r="Z59">
        <f>SUMIF(RecoveredRaw!$B:$B,$A59,RecoveredRaw!AC:AC)</f>
        <v>0</v>
      </c>
      <c r="AA59">
        <f>SUMIF(RecoveredRaw!$B:$B,$A59,RecoveredRaw!AD:AD)</f>
        <v>0</v>
      </c>
      <c r="AB59">
        <f>SUMIF(RecoveredRaw!$B:$B,$A59,RecoveredRaw!AE:AE)</f>
        <v>0</v>
      </c>
      <c r="AC59">
        <f>SUMIF(RecoveredRaw!$B:$B,$A59,RecoveredRaw!AF:AF)</f>
        <v>0</v>
      </c>
      <c r="AD59">
        <f>SUMIF(RecoveredRaw!$B:$B,$A59,RecoveredRaw!AG:AG)</f>
        <v>0</v>
      </c>
      <c r="AE59">
        <f>SUMIF(RecoveredRaw!$B:$B,$A59,RecoveredRaw!AH:AH)</f>
        <v>0</v>
      </c>
      <c r="AF59">
        <f>SUMIF(RecoveredRaw!$B:$B,$A59,RecoveredRaw!AI:AI)</f>
        <v>0</v>
      </c>
      <c r="AG59">
        <f>SUMIF(RecoveredRaw!$B:$B,$A59,RecoveredRaw!AJ:AJ)</f>
        <v>0</v>
      </c>
      <c r="AH59">
        <f>SUMIF(RecoveredRaw!$B:$B,$A59,RecoveredRaw!AK:AK)</f>
        <v>0</v>
      </c>
      <c r="AI59">
        <f>SUMIF(RecoveredRaw!$B:$B,$A59,RecoveredRaw!AL:AL)</f>
        <v>0</v>
      </c>
      <c r="AJ59">
        <f>SUMIF(RecoveredRaw!$B:$B,$A59,RecoveredRaw!AM:AM)</f>
        <v>0</v>
      </c>
      <c r="AK59">
        <f>SUMIF(RecoveredRaw!$B:$B,$A59,RecoveredRaw!AN:AN)</f>
        <v>0</v>
      </c>
      <c r="AL59">
        <f>SUMIF(RecoveredRaw!$B:$B,$A59,RecoveredRaw!AO:AO)</f>
        <v>0</v>
      </c>
      <c r="AM59">
        <f>SUMIF(RecoveredRaw!$B:$B,$A59,RecoveredRaw!AP:AP)</f>
        <v>0</v>
      </c>
      <c r="AN59">
        <f>SUMIF(RecoveredRaw!$B:$B,$A59,RecoveredRaw!AQ:AQ)</f>
        <v>0</v>
      </c>
      <c r="AO59">
        <f>SUMIF(RecoveredRaw!$B:$B,$A59,RecoveredRaw!AR:AR)</f>
        <v>0</v>
      </c>
      <c r="AP59">
        <f>SUMIF(RecoveredRaw!$B:$B,$A59,RecoveredRaw!AS:AS)</f>
        <v>0</v>
      </c>
      <c r="AQ59">
        <f>SUMIF(RecoveredRaw!$B:$B,$A59,RecoveredRaw!AT:AT)</f>
        <v>0</v>
      </c>
      <c r="AR59">
        <f>SUMIF(RecoveredRaw!$B:$B,$A59,RecoveredRaw!AU:AU)</f>
        <v>0</v>
      </c>
      <c r="AS59">
        <f>SUMIF(RecoveredRaw!$B:$B,$A59,RecoveredRaw!AV:AV)</f>
        <v>0</v>
      </c>
      <c r="AT59">
        <f>SUMIF(RecoveredRaw!$B:$B,$A59,RecoveredRaw!AW:AW)</f>
        <v>0</v>
      </c>
      <c r="AU59">
        <f>SUMIF(RecoveredRaw!$B:$B,$A59,RecoveredRaw!AX:AX)</f>
        <v>0</v>
      </c>
      <c r="AV59">
        <f>SUMIF(RecoveredRaw!$B:$B,$A59,RecoveredRaw!AY:AY)</f>
        <v>0</v>
      </c>
      <c r="AW59">
        <f>SUMIF(RecoveredRaw!$B:$B,$A59,RecoveredRaw!AZ:AZ)</f>
        <v>0</v>
      </c>
      <c r="AX59">
        <f>SUMIF(RecoveredRaw!$B:$B,$A59,RecoveredRaw!BA:BA)</f>
        <v>0</v>
      </c>
      <c r="AY59">
        <f>SUMIF(RecoveredRaw!$B:$B,$A59,RecoveredRaw!BB:BB)</f>
        <v>0</v>
      </c>
      <c r="AZ59">
        <f>SUMIF(RecoveredRaw!$B:$B,$A59,RecoveredRaw!BC:BC)</f>
        <v>0</v>
      </c>
      <c r="BA59">
        <f>SUMIF(RecoveredRaw!$B:$B,$A59,RecoveredRaw!BD:BD)</f>
        <v>0</v>
      </c>
      <c r="BB59">
        <f>SUMIF(RecoveredRaw!$B:$B,$A59,RecoveredRaw!BE:BE)</f>
        <v>1</v>
      </c>
      <c r="BC59">
        <f>SUMIF(RecoveredRaw!$B:$B,$A59,RecoveredRaw!BF:BF)</f>
        <v>1</v>
      </c>
      <c r="BD59">
        <f>SUMIF(RecoveredRaw!$B:$B,$A59,RecoveredRaw!BG:BG)</f>
        <v>1</v>
      </c>
      <c r="BE59">
        <f>SUMIF(RecoveredRaw!$B:$B,$A59,RecoveredRaw!BH:BH)</f>
        <v>3</v>
      </c>
      <c r="BF59">
        <f>SUMIF(RecoveredRaw!$B:$B,$A59,RecoveredRaw!BI:BI)</f>
        <v>3</v>
      </c>
      <c r="BG59">
        <f>SUMIF(RecoveredRaw!$B:$B,$A59,RecoveredRaw!BJ:BJ)</f>
        <v>0</v>
      </c>
      <c r="BH59">
        <f>SUMIF(RecoveredRaw!$B:$B,$A59,RecoveredRaw!BK:BK)</f>
        <v>0</v>
      </c>
      <c r="BI59">
        <f>SUMIF(RecoveredRaw!$B:$B,$A59,RecoveredRaw!BL:BL)</f>
        <v>0</v>
      </c>
      <c r="BJ59">
        <f>SUMIF(RecoveredRaw!$B:$B,$A59,RecoveredRaw!BM:BM)</f>
        <v>0</v>
      </c>
      <c r="BK59">
        <f>SUMIF(RecoveredRaw!$B:$B,$A59,RecoveredRaw!BN:BN)</f>
        <v>0</v>
      </c>
      <c r="BL59">
        <f>SUMIF(RecoveredRaw!$B:$B,$A59,RecoveredRaw!BO:BO)</f>
        <v>0</v>
      </c>
      <c r="BM59">
        <f>SUMIF(RecoveredRaw!$B:$B,$A59,RecoveredRaw!BP:BP)</f>
        <v>0</v>
      </c>
      <c r="BN59">
        <f>SUMIF(RecoveredRaw!$B:$B,$A59,RecoveredRaw!BQ:BQ)</f>
        <v>0</v>
      </c>
      <c r="BO59">
        <f>SUMIF(RecoveredRaw!$B:$B,$A59,RecoveredRaw!BR:BR)</f>
        <v>0</v>
      </c>
      <c r="BP59">
        <f>SUMIF(RecoveredRaw!$B:$B,$A59,RecoveredRaw!BS:BS)</f>
        <v>0</v>
      </c>
      <c r="BQ59">
        <f>SUMIF(RecoveredRaw!$B:$B,$A59,RecoveredRaw!BT:BT)</f>
        <v>0</v>
      </c>
      <c r="BR59">
        <f>SUMIF(RecoveredRaw!$B:$B,$A59,RecoveredRaw!BU:BU)</f>
        <v>0</v>
      </c>
      <c r="BS59">
        <f>SUMIF(RecoveredRaw!$B:$B,$A59,RecoveredRaw!BV:BV)</f>
        <v>0</v>
      </c>
      <c r="BT59">
        <f>SUMIF(RecoveredRaw!$B:$B,$A59,RecoveredRaw!BW:BW)</f>
        <v>0</v>
      </c>
    </row>
    <row r="60" spans="1:72" ht="15" thickBot="1" x14ac:dyDescent="0.35">
      <c r="A60" s="3" t="s">
        <v>80</v>
      </c>
      <c r="B60">
        <f>SUMIF(RecoveredRaw!$B:$B,$A60,RecoveredRaw!E:E)</f>
        <v>0</v>
      </c>
      <c r="C60">
        <f>SUMIF(RecoveredRaw!$B:$B,$A60,RecoveredRaw!F:F)</f>
        <v>0</v>
      </c>
      <c r="D60">
        <f>SUMIF(RecoveredRaw!$B:$B,$A60,RecoveredRaw!G:G)</f>
        <v>0</v>
      </c>
      <c r="E60">
        <f>SUMIF(RecoveredRaw!$B:$B,$A60,RecoveredRaw!H:H)</f>
        <v>0</v>
      </c>
      <c r="F60">
        <f>SUMIF(RecoveredRaw!$B:$B,$A60,RecoveredRaw!I:I)</f>
        <v>0</v>
      </c>
      <c r="G60">
        <f>SUMIF(RecoveredRaw!$B:$B,$A60,RecoveredRaw!J:J)</f>
        <v>0</v>
      </c>
      <c r="H60">
        <f>SUMIF(RecoveredRaw!$B:$B,$A60,RecoveredRaw!K:K)</f>
        <v>0</v>
      </c>
      <c r="I60">
        <f>SUMIF(RecoveredRaw!$B:$B,$A60,RecoveredRaw!L:L)</f>
        <v>0</v>
      </c>
      <c r="J60">
        <f>SUMIF(RecoveredRaw!$B:$B,$A60,RecoveredRaw!M:M)</f>
        <v>0</v>
      </c>
      <c r="K60">
        <f>SUMIF(RecoveredRaw!$B:$B,$A60,RecoveredRaw!N:N)</f>
        <v>0</v>
      </c>
      <c r="L60">
        <f>SUMIF(RecoveredRaw!$B:$B,$A60,RecoveredRaw!O:O)</f>
        <v>0</v>
      </c>
      <c r="M60">
        <f>SUMIF(RecoveredRaw!$B:$B,$A60,RecoveredRaw!P:P)</f>
        <v>0</v>
      </c>
      <c r="N60">
        <f>SUMIF(RecoveredRaw!$B:$B,$A60,RecoveredRaw!Q:Q)</f>
        <v>0</v>
      </c>
      <c r="O60">
        <f>SUMIF(RecoveredRaw!$B:$B,$A60,RecoveredRaw!R:R)</f>
        <v>0</v>
      </c>
      <c r="P60">
        <f>SUMIF(RecoveredRaw!$B:$B,$A60,RecoveredRaw!S:S)</f>
        <v>0</v>
      </c>
      <c r="Q60">
        <f>SUMIF(RecoveredRaw!$B:$B,$A60,RecoveredRaw!T:T)</f>
        <v>0</v>
      </c>
      <c r="R60">
        <f>SUMIF(RecoveredRaw!$B:$B,$A60,RecoveredRaw!U:U)</f>
        <v>0</v>
      </c>
      <c r="S60">
        <f>SUMIF(RecoveredRaw!$B:$B,$A60,RecoveredRaw!V:V)</f>
        <v>0</v>
      </c>
      <c r="T60">
        <f>SUMIF(RecoveredRaw!$B:$B,$A60,RecoveredRaw!W:W)</f>
        <v>0</v>
      </c>
      <c r="U60">
        <f>SUMIF(RecoveredRaw!$B:$B,$A60,RecoveredRaw!X:X)</f>
        <v>0</v>
      </c>
      <c r="V60">
        <f>SUMIF(RecoveredRaw!$B:$B,$A60,RecoveredRaw!Y:Y)</f>
        <v>0</v>
      </c>
      <c r="W60">
        <f>SUMIF(RecoveredRaw!$B:$B,$A60,RecoveredRaw!Z:Z)</f>
        <v>0</v>
      </c>
      <c r="X60">
        <f>SUMIF(RecoveredRaw!$B:$B,$A60,RecoveredRaw!AA:AA)</f>
        <v>0</v>
      </c>
      <c r="Y60">
        <f>SUMIF(RecoveredRaw!$B:$B,$A60,RecoveredRaw!AB:AB)</f>
        <v>0</v>
      </c>
      <c r="Z60">
        <f>SUMIF(RecoveredRaw!$B:$B,$A60,RecoveredRaw!AC:AC)</f>
        <v>0</v>
      </c>
      <c r="AA60">
        <f>SUMIF(RecoveredRaw!$B:$B,$A60,RecoveredRaw!AD:AD)</f>
        <v>0</v>
      </c>
      <c r="AB60">
        <f>SUMIF(RecoveredRaw!$B:$B,$A60,RecoveredRaw!AE:AE)</f>
        <v>0</v>
      </c>
      <c r="AC60">
        <f>SUMIF(RecoveredRaw!$B:$B,$A60,RecoveredRaw!AF:AF)</f>
        <v>0</v>
      </c>
      <c r="AD60">
        <f>SUMIF(RecoveredRaw!$B:$B,$A60,RecoveredRaw!AG:AG)</f>
        <v>0</v>
      </c>
      <c r="AE60">
        <f>SUMIF(RecoveredRaw!$B:$B,$A60,RecoveredRaw!AH:AH)</f>
        <v>0</v>
      </c>
      <c r="AF60">
        <f>SUMIF(RecoveredRaw!$B:$B,$A60,RecoveredRaw!AI:AI)</f>
        <v>0</v>
      </c>
      <c r="AG60">
        <f>SUMIF(RecoveredRaw!$B:$B,$A60,RecoveredRaw!AJ:AJ)</f>
        <v>0</v>
      </c>
      <c r="AH60">
        <f>SUMIF(RecoveredRaw!$B:$B,$A60,RecoveredRaw!AK:AK)</f>
        <v>0</v>
      </c>
      <c r="AI60">
        <f>SUMIF(RecoveredRaw!$B:$B,$A60,RecoveredRaw!AL:AL)</f>
        <v>0</v>
      </c>
      <c r="AJ60">
        <f>SUMIF(RecoveredRaw!$B:$B,$A60,RecoveredRaw!AM:AM)</f>
        <v>0</v>
      </c>
      <c r="AK60">
        <f>SUMIF(RecoveredRaw!$B:$B,$A60,RecoveredRaw!AN:AN)</f>
        <v>0</v>
      </c>
      <c r="AL60">
        <f>SUMIF(RecoveredRaw!$B:$B,$A60,RecoveredRaw!AO:AO)</f>
        <v>0</v>
      </c>
      <c r="AM60">
        <f>SUMIF(RecoveredRaw!$B:$B,$A60,RecoveredRaw!AP:AP)</f>
        <v>0</v>
      </c>
      <c r="AN60">
        <f>SUMIF(RecoveredRaw!$B:$B,$A60,RecoveredRaw!AQ:AQ)</f>
        <v>0</v>
      </c>
      <c r="AO60">
        <f>SUMIF(RecoveredRaw!$B:$B,$A60,RecoveredRaw!AR:AR)</f>
        <v>0</v>
      </c>
      <c r="AP60">
        <f>SUMIF(RecoveredRaw!$B:$B,$A60,RecoveredRaw!AS:AS)</f>
        <v>0</v>
      </c>
      <c r="AQ60">
        <f>SUMIF(RecoveredRaw!$B:$B,$A60,RecoveredRaw!AT:AT)</f>
        <v>0</v>
      </c>
      <c r="AR60">
        <f>SUMIF(RecoveredRaw!$B:$B,$A60,RecoveredRaw!AU:AU)</f>
        <v>0</v>
      </c>
      <c r="AS60">
        <f>SUMIF(RecoveredRaw!$B:$B,$A60,RecoveredRaw!AV:AV)</f>
        <v>0</v>
      </c>
      <c r="AT60">
        <f>SUMIF(RecoveredRaw!$B:$B,$A60,RecoveredRaw!AW:AW)</f>
        <v>0</v>
      </c>
      <c r="AU60">
        <f>SUMIF(RecoveredRaw!$B:$B,$A60,RecoveredRaw!AX:AX)</f>
        <v>0</v>
      </c>
      <c r="AV60">
        <f>SUMIF(RecoveredRaw!$B:$B,$A60,RecoveredRaw!AY:AY)</f>
        <v>1</v>
      </c>
      <c r="AW60">
        <f>SUMIF(RecoveredRaw!$B:$B,$A60,RecoveredRaw!AZ:AZ)</f>
        <v>1</v>
      </c>
      <c r="AX60">
        <f>SUMIF(RecoveredRaw!$B:$B,$A60,RecoveredRaw!BA:BA)</f>
        <v>1</v>
      </c>
      <c r="AY60">
        <f>SUMIF(RecoveredRaw!$B:$B,$A60,RecoveredRaw!BB:BB)</f>
        <v>2</v>
      </c>
      <c r="AZ60">
        <f>SUMIF(RecoveredRaw!$B:$B,$A60,RecoveredRaw!BC:BC)</f>
        <v>2</v>
      </c>
      <c r="BA60">
        <f>SUMIF(RecoveredRaw!$B:$B,$A60,RecoveredRaw!BD:BD)</f>
        <v>2</v>
      </c>
      <c r="BB60">
        <f>SUMIF(RecoveredRaw!$B:$B,$A60,RecoveredRaw!BE:BE)</f>
        <v>2</v>
      </c>
      <c r="BC60">
        <f>SUMIF(RecoveredRaw!$B:$B,$A60,RecoveredRaw!BF:BF)</f>
        <v>2</v>
      </c>
      <c r="BD60">
        <f>SUMIF(RecoveredRaw!$B:$B,$A60,RecoveredRaw!BG:BG)</f>
        <v>2</v>
      </c>
      <c r="BE60">
        <f>SUMIF(RecoveredRaw!$B:$B,$A60,RecoveredRaw!BH:BH)</f>
        <v>2</v>
      </c>
      <c r="BF60">
        <f>SUMIF(RecoveredRaw!$B:$B,$A60,RecoveredRaw!BI:BI)</f>
        <v>2</v>
      </c>
      <c r="BG60">
        <f>SUMIF(RecoveredRaw!$B:$B,$A60,RecoveredRaw!BJ:BJ)</f>
        <v>0</v>
      </c>
      <c r="BH60">
        <f>SUMIF(RecoveredRaw!$B:$B,$A60,RecoveredRaw!BK:BK)</f>
        <v>0</v>
      </c>
      <c r="BI60">
        <f>SUMIF(RecoveredRaw!$B:$B,$A60,RecoveredRaw!BL:BL)</f>
        <v>0</v>
      </c>
      <c r="BJ60">
        <f>SUMIF(RecoveredRaw!$B:$B,$A60,RecoveredRaw!BM:BM)</f>
        <v>0</v>
      </c>
      <c r="BK60">
        <f>SUMIF(RecoveredRaw!$B:$B,$A60,RecoveredRaw!BN:BN)</f>
        <v>0</v>
      </c>
      <c r="BL60">
        <f>SUMIF(RecoveredRaw!$B:$B,$A60,RecoveredRaw!BO:BO)</f>
        <v>0</v>
      </c>
      <c r="BM60">
        <f>SUMIF(RecoveredRaw!$B:$B,$A60,RecoveredRaw!BP:BP)</f>
        <v>0</v>
      </c>
      <c r="BN60">
        <f>SUMIF(RecoveredRaw!$B:$B,$A60,RecoveredRaw!BQ:BQ)</f>
        <v>0</v>
      </c>
      <c r="BO60">
        <f>SUMIF(RecoveredRaw!$B:$B,$A60,RecoveredRaw!BR:BR)</f>
        <v>0</v>
      </c>
      <c r="BP60">
        <f>SUMIF(RecoveredRaw!$B:$B,$A60,RecoveredRaw!BS:BS)</f>
        <v>0</v>
      </c>
      <c r="BQ60">
        <f>SUMIF(RecoveredRaw!$B:$B,$A60,RecoveredRaw!BT:BT)</f>
        <v>0</v>
      </c>
      <c r="BR60">
        <f>SUMIF(RecoveredRaw!$B:$B,$A60,RecoveredRaw!BU:BU)</f>
        <v>0</v>
      </c>
      <c r="BS60">
        <f>SUMIF(RecoveredRaw!$B:$B,$A60,RecoveredRaw!BV:BV)</f>
        <v>0</v>
      </c>
      <c r="BT60">
        <f>SUMIF(RecoveredRaw!$B:$B,$A60,RecoveredRaw!BW:BW)</f>
        <v>0</v>
      </c>
    </row>
    <row r="61" spans="1:72" ht="15" thickBot="1" x14ac:dyDescent="0.35">
      <c r="A61" s="4" t="s">
        <v>160</v>
      </c>
      <c r="B61">
        <f>SUMIF(RecoveredRaw!$B:$B,$A61,RecoveredRaw!E:E)</f>
        <v>0</v>
      </c>
      <c r="C61">
        <f>SUMIF(RecoveredRaw!$B:$B,$A61,RecoveredRaw!F:F)</f>
        <v>0</v>
      </c>
      <c r="D61">
        <f>SUMIF(RecoveredRaw!$B:$B,$A61,RecoveredRaw!G:G)</f>
        <v>0</v>
      </c>
      <c r="E61">
        <f>SUMIF(RecoveredRaw!$B:$B,$A61,RecoveredRaw!H:H)</f>
        <v>0</v>
      </c>
      <c r="F61">
        <f>SUMIF(RecoveredRaw!$B:$B,$A61,RecoveredRaw!I:I)</f>
        <v>0</v>
      </c>
      <c r="G61">
        <f>SUMIF(RecoveredRaw!$B:$B,$A61,RecoveredRaw!J:J)</f>
        <v>0</v>
      </c>
      <c r="H61">
        <f>SUMIF(RecoveredRaw!$B:$B,$A61,RecoveredRaw!K:K)</f>
        <v>0</v>
      </c>
      <c r="I61">
        <f>SUMIF(RecoveredRaw!$B:$B,$A61,RecoveredRaw!L:L)</f>
        <v>0</v>
      </c>
      <c r="J61">
        <f>SUMIF(RecoveredRaw!$B:$B,$A61,RecoveredRaw!M:M)</f>
        <v>0</v>
      </c>
      <c r="K61">
        <f>SUMIF(RecoveredRaw!$B:$B,$A61,RecoveredRaw!N:N)</f>
        <v>0</v>
      </c>
      <c r="L61">
        <f>SUMIF(RecoveredRaw!$B:$B,$A61,RecoveredRaw!O:O)</f>
        <v>0</v>
      </c>
      <c r="M61">
        <f>SUMIF(RecoveredRaw!$B:$B,$A61,RecoveredRaw!P:P)</f>
        <v>0</v>
      </c>
      <c r="N61">
        <f>SUMIF(RecoveredRaw!$B:$B,$A61,RecoveredRaw!Q:Q)</f>
        <v>0</v>
      </c>
      <c r="O61">
        <f>SUMIF(RecoveredRaw!$B:$B,$A61,RecoveredRaw!R:R)</f>
        <v>0</v>
      </c>
      <c r="P61">
        <f>SUMIF(RecoveredRaw!$B:$B,$A61,RecoveredRaw!S:S)</f>
        <v>0</v>
      </c>
      <c r="Q61">
        <f>SUMIF(RecoveredRaw!$B:$B,$A61,RecoveredRaw!T:T)</f>
        <v>0</v>
      </c>
      <c r="R61">
        <f>SUMIF(RecoveredRaw!$B:$B,$A61,RecoveredRaw!U:U)</f>
        <v>0</v>
      </c>
      <c r="S61">
        <f>SUMIF(RecoveredRaw!$B:$B,$A61,RecoveredRaw!V:V)</f>
        <v>0</v>
      </c>
      <c r="T61">
        <f>SUMIF(RecoveredRaw!$B:$B,$A61,RecoveredRaw!W:W)</f>
        <v>0</v>
      </c>
      <c r="U61">
        <f>SUMIF(RecoveredRaw!$B:$B,$A61,RecoveredRaw!X:X)</f>
        <v>0</v>
      </c>
      <c r="V61">
        <f>SUMIF(RecoveredRaw!$B:$B,$A61,RecoveredRaw!Y:Y)</f>
        <v>0</v>
      </c>
      <c r="W61">
        <f>SUMIF(RecoveredRaw!$B:$B,$A61,RecoveredRaw!Z:Z)</f>
        <v>0</v>
      </c>
      <c r="X61">
        <f>SUMIF(RecoveredRaw!$B:$B,$A61,RecoveredRaw!AA:AA)</f>
        <v>0</v>
      </c>
      <c r="Y61">
        <f>SUMIF(RecoveredRaw!$B:$B,$A61,RecoveredRaw!AB:AB)</f>
        <v>0</v>
      </c>
      <c r="Z61">
        <f>SUMIF(RecoveredRaw!$B:$B,$A61,RecoveredRaw!AC:AC)</f>
        <v>0</v>
      </c>
      <c r="AA61">
        <f>SUMIF(RecoveredRaw!$B:$B,$A61,RecoveredRaw!AD:AD)</f>
        <v>0</v>
      </c>
      <c r="AB61">
        <f>SUMIF(RecoveredRaw!$B:$B,$A61,RecoveredRaw!AE:AE)</f>
        <v>0</v>
      </c>
      <c r="AC61">
        <f>SUMIF(RecoveredRaw!$B:$B,$A61,RecoveredRaw!AF:AF)</f>
        <v>0</v>
      </c>
      <c r="AD61">
        <f>SUMIF(RecoveredRaw!$B:$B,$A61,RecoveredRaw!AG:AG)</f>
        <v>0</v>
      </c>
      <c r="AE61">
        <f>SUMIF(RecoveredRaw!$B:$B,$A61,RecoveredRaw!AH:AH)</f>
        <v>0</v>
      </c>
      <c r="AF61">
        <f>SUMIF(RecoveredRaw!$B:$B,$A61,RecoveredRaw!AI:AI)</f>
        <v>0</v>
      </c>
      <c r="AG61">
        <f>SUMIF(RecoveredRaw!$B:$B,$A61,RecoveredRaw!AJ:AJ)</f>
        <v>0</v>
      </c>
      <c r="AH61">
        <f>SUMIF(RecoveredRaw!$B:$B,$A61,RecoveredRaw!AK:AK)</f>
        <v>0</v>
      </c>
      <c r="AI61">
        <f>SUMIF(RecoveredRaw!$B:$B,$A61,RecoveredRaw!AL:AL)</f>
        <v>0</v>
      </c>
      <c r="AJ61">
        <f>SUMIF(RecoveredRaw!$B:$B,$A61,RecoveredRaw!AM:AM)</f>
        <v>0</v>
      </c>
      <c r="AK61">
        <f>SUMIF(RecoveredRaw!$B:$B,$A61,RecoveredRaw!AN:AN)</f>
        <v>0</v>
      </c>
      <c r="AL61">
        <f>SUMIF(RecoveredRaw!$B:$B,$A61,RecoveredRaw!AO:AO)</f>
        <v>0</v>
      </c>
      <c r="AM61">
        <f>SUMIF(RecoveredRaw!$B:$B,$A61,RecoveredRaw!AP:AP)</f>
        <v>0</v>
      </c>
      <c r="AN61">
        <f>SUMIF(RecoveredRaw!$B:$B,$A61,RecoveredRaw!AQ:AQ)</f>
        <v>0</v>
      </c>
      <c r="AO61">
        <f>SUMIF(RecoveredRaw!$B:$B,$A61,RecoveredRaw!AR:AR)</f>
        <v>0</v>
      </c>
      <c r="AP61">
        <f>SUMIF(RecoveredRaw!$B:$B,$A61,RecoveredRaw!AS:AS)</f>
        <v>0</v>
      </c>
      <c r="AQ61">
        <f>SUMIF(RecoveredRaw!$B:$B,$A61,RecoveredRaw!AT:AT)</f>
        <v>0</v>
      </c>
      <c r="AR61">
        <f>SUMIF(RecoveredRaw!$B:$B,$A61,RecoveredRaw!AU:AU)</f>
        <v>0</v>
      </c>
      <c r="AS61">
        <f>SUMIF(RecoveredRaw!$B:$B,$A61,RecoveredRaw!AV:AV)</f>
        <v>0</v>
      </c>
      <c r="AT61">
        <f>SUMIF(RecoveredRaw!$B:$B,$A61,RecoveredRaw!AW:AW)</f>
        <v>0</v>
      </c>
      <c r="AU61">
        <f>SUMIF(RecoveredRaw!$B:$B,$A61,RecoveredRaw!AX:AX)</f>
        <v>0</v>
      </c>
      <c r="AV61">
        <f>SUMIF(RecoveredRaw!$B:$B,$A61,RecoveredRaw!AY:AY)</f>
        <v>0</v>
      </c>
      <c r="AW61">
        <f>SUMIF(RecoveredRaw!$B:$B,$A61,RecoveredRaw!AZ:AZ)</f>
        <v>0</v>
      </c>
      <c r="AX61">
        <f>SUMIF(RecoveredRaw!$B:$B,$A61,RecoveredRaw!BA:BA)</f>
        <v>0</v>
      </c>
      <c r="AY61">
        <f>SUMIF(RecoveredRaw!$B:$B,$A61,RecoveredRaw!BB:BB)</f>
        <v>0</v>
      </c>
      <c r="AZ61">
        <f>SUMIF(RecoveredRaw!$B:$B,$A61,RecoveredRaw!BC:BC)</f>
        <v>0</v>
      </c>
      <c r="BA61">
        <f>SUMIF(RecoveredRaw!$B:$B,$A61,RecoveredRaw!BD:BD)</f>
        <v>0</v>
      </c>
      <c r="BB61">
        <f>SUMIF(RecoveredRaw!$B:$B,$A61,RecoveredRaw!BE:BE)</f>
        <v>0</v>
      </c>
      <c r="BC61">
        <f>SUMIF(RecoveredRaw!$B:$B,$A61,RecoveredRaw!BF:BF)</f>
        <v>0</v>
      </c>
      <c r="BD61">
        <f>SUMIF(RecoveredRaw!$B:$B,$A61,RecoveredRaw!BG:BG)</f>
        <v>0</v>
      </c>
      <c r="BE61">
        <f>SUMIF(RecoveredRaw!$B:$B,$A61,RecoveredRaw!BH:BH)</f>
        <v>1</v>
      </c>
      <c r="BF61">
        <f>SUMIF(RecoveredRaw!$B:$B,$A61,RecoveredRaw!BI:BI)</f>
        <v>1</v>
      </c>
      <c r="BG61">
        <f>SUMIF(RecoveredRaw!$B:$B,$A61,RecoveredRaw!BJ:BJ)</f>
        <v>0</v>
      </c>
      <c r="BH61">
        <f>SUMIF(RecoveredRaw!$B:$B,$A61,RecoveredRaw!BK:BK)</f>
        <v>0</v>
      </c>
      <c r="BI61">
        <f>SUMIF(RecoveredRaw!$B:$B,$A61,RecoveredRaw!BL:BL)</f>
        <v>0</v>
      </c>
      <c r="BJ61">
        <f>SUMIF(RecoveredRaw!$B:$B,$A61,RecoveredRaw!BM:BM)</f>
        <v>0</v>
      </c>
      <c r="BK61">
        <f>SUMIF(RecoveredRaw!$B:$B,$A61,RecoveredRaw!BN:BN)</f>
        <v>0</v>
      </c>
      <c r="BL61">
        <f>SUMIF(RecoveredRaw!$B:$B,$A61,RecoveredRaw!BO:BO)</f>
        <v>0</v>
      </c>
      <c r="BM61">
        <f>SUMIF(RecoveredRaw!$B:$B,$A61,RecoveredRaw!BP:BP)</f>
        <v>0</v>
      </c>
      <c r="BN61">
        <f>SUMIF(RecoveredRaw!$B:$B,$A61,RecoveredRaw!BQ:BQ)</f>
        <v>0</v>
      </c>
      <c r="BO61">
        <f>SUMIF(RecoveredRaw!$B:$B,$A61,RecoveredRaw!BR:BR)</f>
        <v>0</v>
      </c>
      <c r="BP61">
        <f>SUMIF(RecoveredRaw!$B:$B,$A61,RecoveredRaw!BS:BS)</f>
        <v>0</v>
      </c>
      <c r="BQ61">
        <f>SUMIF(RecoveredRaw!$B:$B,$A61,RecoveredRaw!BT:BT)</f>
        <v>0</v>
      </c>
      <c r="BR61">
        <f>SUMIF(RecoveredRaw!$B:$B,$A61,RecoveredRaw!BU:BU)</f>
        <v>0</v>
      </c>
      <c r="BS61">
        <f>SUMIF(RecoveredRaw!$B:$B,$A61,RecoveredRaw!BV:BV)</f>
        <v>0</v>
      </c>
      <c r="BT61">
        <f>SUMIF(RecoveredRaw!$B:$B,$A61,RecoveredRaw!BW:BW)</f>
        <v>0</v>
      </c>
    </row>
    <row r="62" spans="1:72" ht="15" thickBot="1" x14ac:dyDescent="0.35">
      <c r="A62" s="3" t="s">
        <v>91</v>
      </c>
      <c r="B62">
        <f>SUMIF(RecoveredRaw!$B:$B,$A62,RecoveredRaw!E:E)</f>
        <v>0</v>
      </c>
      <c r="C62">
        <f>SUMIF(RecoveredRaw!$B:$B,$A62,RecoveredRaw!F:F)</f>
        <v>0</v>
      </c>
      <c r="D62">
        <f>SUMIF(RecoveredRaw!$B:$B,$A62,RecoveredRaw!G:G)</f>
        <v>0</v>
      </c>
      <c r="E62">
        <f>SUMIF(RecoveredRaw!$B:$B,$A62,RecoveredRaw!H:H)</f>
        <v>0</v>
      </c>
      <c r="F62">
        <f>SUMIF(RecoveredRaw!$B:$B,$A62,RecoveredRaw!I:I)</f>
        <v>0</v>
      </c>
      <c r="G62">
        <f>SUMIF(RecoveredRaw!$B:$B,$A62,RecoveredRaw!J:J)</f>
        <v>0</v>
      </c>
      <c r="H62">
        <f>SUMIF(RecoveredRaw!$B:$B,$A62,RecoveredRaw!K:K)</f>
        <v>0</v>
      </c>
      <c r="I62">
        <f>SUMIF(RecoveredRaw!$B:$B,$A62,RecoveredRaw!L:L)</f>
        <v>0</v>
      </c>
      <c r="J62">
        <f>SUMIF(RecoveredRaw!$B:$B,$A62,RecoveredRaw!M:M)</f>
        <v>0</v>
      </c>
      <c r="K62">
        <f>SUMIF(RecoveredRaw!$B:$B,$A62,RecoveredRaw!N:N)</f>
        <v>0</v>
      </c>
      <c r="L62">
        <f>SUMIF(RecoveredRaw!$B:$B,$A62,RecoveredRaw!O:O)</f>
        <v>0</v>
      </c>
      <c r="M62">
        <f>SUMIF(RecoveredRaw!$B:$B,$A62,RecoveredRaw!P:P)</f>
        <v>0</v>
      </c>
      <c r="N62">
        <f>SUMIF(RecoveredRaw!$B:$B,$A62,RecoveredRaw!Q:Q)</f>
        <v>0</v>
      </c>
      <c r="O62">
        <f>SUMIF(RecoveredRaw!$B:$B,$A62,RecoveredRaw!R:R)</f>
        <v>0</v>
      </c>
      <c r="P62">
        <f>SUMIF(RecoveredRaw!$B:$B,$A62,RecoveredRaw!S:S)</f>
        <v>0</v>
      </c>
      <c r="Q62">
        <f>SUMIF(RecoveredRaw!$B:$B,$A62,RecoveredRaw!T:T)</f>
        <v>0</v>
      </c>
      <c r="R62">
        <f>SUMIF(RecoveredRaw!$B:$B,$A62,RecoveredRaw!U:U)</f>
        <v>0</v>
      </c>
      <c r="S62">
        <f>SUMIF(RecoveredRaw!$B:$B,$A62,RecoveredRaw!V:V)</f>
        <v>0</v>
      </c>
      <c r="T62">
        <f>SUMIF(RecoveredRaw!$B:$B,$A62,RecoveredRaw!W:W)</f>
        <v>0</v>
      </c>
      <c r="U62">
        <f>SUMIF(RecoveredRaw!$B:$B,$A62,RecoveredRaw!X:X)</f>
        <v>0</v>
      </c>
      <c r="V62">
        <f>SUMIF(RecoveredRaw!$B:$B,$A62,RecoveredRaw!Y:Y)</f>
        <v>0</v>
      </c>
      <c r="W62">
        <f>SUMIF(RecoveredRaw!$B:$B,$A62,RecoveredRaw!Z:Z)</f>
        <v>0</v>
      </c>
      <c r="X62">
        <f>SUMIF(RecoveredRaw!$B:$B,$A62,RecoveredRaw!AA:AA)</f>
        <v>0</v>
      </c>
      <c r="Y62">
        <f>SUMIF(RecoveredRaw!$B:$B,$A62,RecoveredRaw!AB:AB)</f>
        <v>0</v>
      </c>
      <c r="Z62">
        <f>SUMIF(RecoveredRaw!$B:$B,$A62,RecoveredRaw!AC:AC)</f>
        <v>0</v>
      </c>
      <c r="AA62">
        <f>SUMIF(RecoveredRaw!$B:$B,$A62,RecoveredRaw!AD:AD)</f>
        <v>0</v>
      </c>
      <c r="AB62">
        <f>SUMIF(RecoveredRaw!$B:$B,$A62,RecoveredRaw!AE:AE)</f>
        <v>0</v>
      </c>
      <c r="AC62">
        <f>SUMIF(RecoveredRaw!$B:$B,$A62,RecoveredRaw!AF:AF)</f>
        <v>0</v>
      </c>
      <c r="AD62">
        <f>SUMIF(RecoveredRaw!$B:$B,$A62,RecoveredRaw!AG:AG)</f>
        <v>0</v>
      </c>
      <c r="AE62">
        <f>SUMIF(RecoveredRaw!$B:$B,$A62,RecoveredRaw!AH:AH)</f>
        <v>0</v>
      </c>
      <c r="AF62">
        <f>SUMIF(RecoveredRaw!$B:$B,$A62,RecoveredRaw!AI:AI)</f>
        <v>0</v>
      </c>
      <c r="AG62">
        <f>SUMIF(RecoveredRaw!$B:$B,$A62,RecoveredRaw!AJ:AJ)</f>
        <v>0</v>
      </c>
      <c r="AH62">
        <f>SUMIF(RecoveredRaw!$B:$B,$A62,RecoveredRaw!AK:AK)</f>
        <v>0</v>
      </c>
      <c r="AI62">
        <f>SUMIF(RecoveredRaw!$B:$B,$A62,RecoveredRaw!AL:AL)</f>
        <v>0</v>
      </c>
      <c r="AJ62">
        <f>SUMIF(RecoveredRaw!$B:$B,$A62,RecoveredRaw!AM:AM)</f>
        <v>0</v>
      </c>
      <c r="AK62">
        <f>SUMIF(RecoveredRaw!$B:$B,$A62,RecoveredRaw!AN:AN)</f>
        <v>0</v>
      </c>
      <c r="AL62">
        <f>SUMIF(RecoveredRaw!$B:$B,$A62,RecoveredRaw!AO:AO)</f>
        <v>0</v>
      </c>
      <c r="AM62">
        <f>SUMIF(RecoveredRaw!$B:$B,$A62,RecoveredRaw!AP:AP)</f>
        <v>0</v>
      </c>
      <c r="AN62">
        <f>SUMIF(RecoveredRaw!$B:$B,$A62,RecoveredRaw!AQ:AQ)</f>
        <v>0</v>
      </c>
      <c r="AO62">
        <f>SUMIF(RecoveredRaw!$B:$B,$A62,RecoveredRaw!AR:AR)</f>
        <v>0</v>
      </c>
      <c r="AP62">
        <f>SUMIF(RecoveredRaw!$B:$B,$A62,RecoveredRaw!AS:AS)</f>
        <v>0</v>
      </c>
      <c r="AQ62">
        <f>SUMIF(RecoveredRaw!$B:$B,$A62,RecoveredRaw!AT:AT)</f>
        <v>0</v>
      </c>
      <c r="AR62">
        <f>SUMIF(RecoveredRaw!$B:$B,$A62,RecoveredRaw!AU:AU)</f>
        <v>0</v>
      </c>
      <c r="AS62">
        <f>SUMIF(RecoveredRaw!$B:$B,$A62,RecoveredRaw!AV:AV)</f>
        <v>0</v>
      </c>
      <c r="AT62">
        <f>SUMIF(RecoveredRaw!$B:$B,$A62,RecoveredRaw!AW:AW)</f>
        <v>0</v>
      </c>
      <c r="AU62">
        <f>SUMIF(RecoveredRaw!$B:$B,$A62,RecoveredRaw!AX:AX)</f>
        <v>0</v>
      </c>
      <c r="AV62">
        <f>SUMIF(RecoveredRaw!$B:$B,$A62,RecoveredRaw!AY:AY)</f>
        <v>0</v>
      </c>
      <c r="AW62">
        <f>SUMIF(RecoveredRaw!$B:$B,$A62,RecoveredRaw!AZ:AZ)</f>
        <v>1</v>
      </c>
      <c r="AX62">
        <f>SUMIF(RecoveredRaw!$B:$B,$A62,RecoveredRaw!BA:BA)</f>
        <v>3</v>
      </c>
      <c r="AY62">
        <f>SUMIF(RecoveredRaw!$B:$B,$A62,RecoveredRaw!BB:BB)</f>
        <v>3</v>
      </c>
      <c r="AZ62">
        <f>SUMIF(RecoveredRaw!$B:$B,$A62,RecoveredRaw!BC:BC)</f>
        <v>3</v>
      </c>
      <c r="BA62">
        <f>SUMIF(RecoveredRaw!$B:$B,$A62,RecoveredRaw!BD:BD)</f>
        <v>3</v>
      </c>
      <c r="BB62">
        <f>SUMIF(RecoveredRaw!$B:$B,$A62,RecoveredRaw!BE:BE)</f>
        <v>3</v>
      </c>
      <c r="BC62">
        <f>SUMIF(RecoveredRaw!$B:$B,$A62,RecoveredRaw!BF:BF)</f>
        <v>3</v>
      </c>
      <c r="BD62">
        <f>SUMIF(RecoveredRaw!$B:$B,$A62,RecoveredRaw!BG:BG)</f>
        <v>3</v>
      </c>
      <c r="BE62">
        <f>SUMIF(RecoveredRaw!$B:$B,$A62,RecoveredRaw!BH:BH)</f>
        <v>3</v>
      </c>
      <c r="BF62">
        <f>SUMIF(RecoveredRaw!$B:$B,$A62,RecoveredRaw!BI:BI)</f>
        <v>5</v>
      </c>
      <c r="BG62">
        <f>SUMIF(RecoveredRaw!$B:$B,$A62,RecoveredRaw!BJ:BJ)</f>
        <v>0</v>
      </c>
      <c r="BH62">
        <f>SUMIF(RecoveredRaw!$B:$B,$A62,RecoveredRaw!BK:BK)</f>
        <v>0</v>
      </c>
      <c r="BI62">
        <f>SUMIF(RecoveredRaw!$B:$B,$A62,RecoveredRaw!BL:BL)</f>
        <v>0</v>
      </c>
      <c r="BJ62">
        <f>SUMIF(RecoveredRaw!$B:$B,$A62,RecoveredRaw!BM:BM)</f>
        <v>0</v>
      </c>
      <c r="BK62">
        <f>SUMIF(RecoveredRaw!$B:$B,$A62,RecoveredRaw!BN:BN)</f>
        <v>0</v>
      </c>
      <c r="BL62">
        <f>SUMIF(RecoveredRaw!$B:$B,$A62,RecoveredRaw!BO:BO)</f>
        <v>0</v>
      </c>
      <c r="BM62">
        <f>SUMIF(RecoveredRaw!$B:$B,$A62,RecoveredRaw!BP:BP)</f>
        <v>0</v>
      </c>
      <c r="BN62">
        <f>SUMIF(RecoveredRaw!$B:$B,$A62,RecoveredRaw!BQ:BQ)</f>
        <v>0</v>
      </c>
      <c r="BO62">
        <f>SUMIF(RecoveredRaw!$B:$B,$A62,RecoveredRaw!BR:BR)</f>
        <v>0</v>
      </c>
      <c r="BP62">
        <f>SUMIF(RecoveredRaw!$B:$B,$A62,RecoveredRaw!BS:BS)</f>
        <v>0</v>
      </c>
      <c r="BQ62">
        <f>SUMIF(RecoveredRaw!$B:$B,$A62,RecoveredRaw!BT:BT)</f>
        <v>0</v>
      </c>
      <c r="BR62">
        <f>SUMIF(RecoveredRaw!$B:$B,$A62,RecoveredRaw!BU:BU)</f>
        <v>0</v>
      </c>
      <c r="BS62">
        <f>SUMIF(RecoveredRaw!$B:$B,$A62,RecoveredRaw!BV:BV)</f>
        <v>0</v>
      </c>
      <c r="BT62">
        <f>SUMIF(RecoveredRaw!$B:$B,$A62,RecoveredRaw!BW:BW)</f>
        <v>0</v>
      </c>
    </row>
    <row r="63" spans="1:72" ht="15" thickBot="1" x14ac:dyDescent="0.35">
      <c r="A63" s="3" t="s">
        <v>283</v>
      </c>
      <c r="B63">
        <f>SUMIF(RecoveredRaw!$B:$B,$A63,RecoveredRaw!E:E)</f>
        <v>0</v>
      </c>
      <c r="C63">
        <f>SUMIF(RecoveredRaw!$B:$B,$A63,RecoveredRaw!F:F)</f>
        <v>0</v>
      </c>
      <c r="D63">
        <f>SUMIF(RecoveredRaw!$B:$B,$A63,RecoveredRaw!G:G)</f>
        <v>0</v>
      </c>
      <c r="E63">
        <f>SUMIF(RecoveredRaw!$B:$B,$A63,RecoveredRaw!H:H)</f>
        <v>0</v>
      </c>
      <c r="F63">
        <f>SUMIF(RecoveredRaw!$B:$B,$A63,RecoveredRaw!I:I)</f>
        <v>0</v>
      </c>
      <c r="G63">
        <f>SUMIF(RecoveredRaw!$B:$B,$A63,RecoveredRaw!J:J)</f>
        <v>0</v>
      </c>
      <c r="H63">
        <f>SUMIF(RecoveredRaw!$B:$B,$A63,RecoveredRaw!K:K)</f>
        <v>0</v>
      </c>
      <c r="I63">
        <f>SUMIF(RecoveredRaw!$B:$B,$A63,RecoveredRaw!L:L)</f>
        <v>0</v>
      </c>
      <c r="J63">
        <f>SUMIF(RecoveredRaw!$B:$B,$A63,RecoveredRaw!M:M)</f>
        <v>0</v>
      </c>
      <c r="K63">
        <f>SUMIF(RecoveredRaw!$B:$B,$A63,RecoveredRaw!N:N)</f>
        <v>0</v>
      </c>
      <c r="L63">
        <f>SUMIF(RecoveredRaw!$B:$B,$A63,RecoveredRaw!O:O)</f>
        <v>0</v>
      </c>
      <c r="M63">
        <f>SUMIF(RecoveredRaw!$B:$B,$A63,RecoveredRaw!P:P)</f>
        <v>0</v>
      </c>
      <c r="N63">
        <f>SUMIF(RecoveredRaw!$B:$B,$A63,RecoveredRaw!Q:Q)</f>
        <v>0</v>
      </c>
      <c r="O63">
        <f>SUMIF(RecoveredRaw!$B:$B,$A63,RecoveredRaw!R:R)</f>
        <v>0</v>
      </c>
      <c r="P63">
        <f>SUMIF(RecoveredRaw!$B:$B,$A63,RecoveredRaw!S:S)</f>
        <v>0</v>
      </c>
      <c r="Q63">
        <f>SUMIF(RecoveredRaw!$B:$B,$A63,RecoveredRaw!T:T)</f>
        <v>0</v>
      </c>
      <c r="R63">
        <f>SUMIF(RecoveredRaw!$B:$B,$A63,RecoveredRaw!U:U)</f>
        <v>0</v>
      </c>
      <c r="S63">
        <f>SUMIF(RecoveredRaw!$B:$B,$A63,RecoveredRaw!V:V)</f>
        <v>0</v>
      </c>
      <c r="T63">
        <f>SUMIF(RecoveredRaw!$B:$B,$A63,RecoveredRaw!W:W)</f>
        <v>0</v>
      </c>
      <c r="U63">
        <f>SUMIF(RecoveredRaw!$B:$B,$A63,RecoveredRaw!X:X)</f>
        <v>0</v>
      </c>
      <c r="V63">
        <f>SUMIF(RecoveredRaw!$B:$B,$A63,RecoveredRaw!Y:Y)</f>
        <v>0</v>
      </c>
      <c r="W63">
        <f>SUMIF(RecoveredRaw!$B:$B,$A63,RecoveredRaw!Z:Z)</f>
        <v>0</v>
      </c>
      <c r="X63">
        <f>SUMIF(RecoveredRaw!$B:$B,$A63,RecoveredRaw!AA:AA)</f>
        <v>0</v>
      </c>
      <c r="Y63">
        <f>SUMIF(RecoveredRaw!$B:$B,$A63,RecoveredRaw!AB:AB)</f>
        <v>0</v>
      </c>
      <c r="Z63">
        <f>SUMIF(RecoveredRaw!$B:$B,$A63,RecoveredRaw!AC:AC)</f>
        <v>0</v>
      </c>
      <c r="AA63">
        <f>SUMIF(RecoveredRaw!$B:$B,$A63,RecoveredRaw!AD:AD)</f>
        <v>0</v>
      </c>
      <c r="AB63">
        <f>SUMIF(RecoveredRaw!$B:$B,$A63,RecoveredRaw!AE:AE)</f>
        <v>0</v>
      </c>
      <c r="AC63">
        <f>SUMIF(RecoveredRaw!$B:$B,$A63,RecoveredRaw!AF:AF)</f>
        <v>0</v>
      </c>
      <c r="AD63">
        <f>SUMIF(RecoveredRaw!$B:$B,$A63,RecoveredRaw!AG:AG)</f>
        <v>0</v>
      </c>
      <c r="AE63">
        <f>SUMIF(RecoveredRaw!$B:$B,$A63,RecoveredRaw!AH:AH)</f>
        <v>0</v>
      </c>
      <c r="AF63">
        <f>SUMIF(RecoveredRaw!$B:$B,$A63,RecoveredRaw!AI:AI)</f>
        <v>0</v>
      </c>
      <c r="AG63">
        <f>SUMIF(RecoveredRaw!$B:$B,$A63,RecoveredRaw!AJ:AJ)</f>
        <v>0</v>
      </c>
      <c r="AH63">
        <f>SUMIF(RecoveredRaw!$B:$B,$A63,RecoveredRaw!AK:AK)</f>
        <v>0</v>
      </c>
      <c r="AI63">
        <f>SUMIF(RecoveredRaw!$B:$B,$A63,RecoveredRaw!AL:AL)</f>
        <v>0</v>
      </c>
      <c r="AJ63">
        <f>SUMIF(RecoveredRaw!$B:$B,$A63,RecoveredRaw!AM:AM)</f>
        <v>0</v>
      </c>
      <c r="AK63">
        <f>SUMIF(RecoveredRaw!$B:$B,$A63,RecoveredRaw!AN:AN)</f>
        <v>0</v>
      </c>
      <c r="AL63">
        <f>SUMIF(RecoveredRaw!$B:$B,$A63,RecoveredRaw!AO:AO)</f>
        <v>0</v>
      </c>
      <c r="AM63">
        <f>SUMIF(RecoveredRaw!$B:$B,$A63,RecoveredRaw!AP:AP)</f>
        <v>0</v>
      </c>
      <c r="AN63">
        <f>SUMIF(RecoveredRaw!$B:$B,$A63,RecoveredRaw!AQ:AQ)</f>
        <v>0</v>
      </c>
      <c r="AO63">
        <f>SUMIF(RecoveredRaw!$B:$B,$A63,RecoveredRaw!AR:AR)</f>
        <v>0</v>
      </c>
      <c r="AP63">
        <f>SUMIF(RecoveredRaw!$B:$B,$A63,RecoveredRaw!AS:AS)</f>
        <v>0</v>
      </c>
      <c r="AQ63">
        <f>SUMIF(RecoveredRaw!$B:$B,$A63,RecoveredRaw!AT:AT)</f>
        <v>0</v>
      </c>
      <c r="AR63">
        <f>SUMIF(RecoveredRaw!$B:$B,$A63,RecoveredRaw!AU:AU)</f>
        <v>0</v>
      </c>
      <c r="AS63">
        <f>SUMIF(RecoveredRaw!$B:$B,$A63,RecoveredRaw!AV:AV)</f>
        <v>0</v>
      </c>
      <c r="AT63">
        <f>SUMIF(RecoveredRaw!$B:$B,$A63,RecoveredRaw!AW:AW)</f>
        <v>0</v>
      </c>
      <c r="AU63">
        <f>SUMIF(RecoveredRaw!$B:$B,$A63,RecoveredRaw!AX:AX)</f>
        <v>0</v>
      </c>
      <c r="AV63">
        <f>SUMIF(RecoveredRaw!$B:$B,$A63,RecoveredRaw!AY:AY)</f>
        <v>0</v>
      </c>
      <c r="AW63">
        <f>SUMIF(RecoveredRaw!$B:$B,$A63,RecoveredRaw!AZ:AZ)</f>
        <v>0</v>
      </c>
      <c r="AX63">
        <f>SUMIF(RecoveredRaw!$B:$B,$A63,RecoveredRaw!BA:BA)</f>
        <v>0</v>
      </c>
      <c r="AY63">
        <f>SUMIF(RecoveredRaw!$B:$B,$A63,RecoveredRaw!BB:BB)</f>
        <v>0</v>
      </c>
      <c r="AZ63">
        <f>SUMIF(RecoveredRaw!$B:$B,$A63,RecoveredRaw!BC:BC)</f>
        <v>0</v>
      </c>
      <c r="BA63">
        <f>SUMIF(RecoveredRaw!$B:$B,$A63,RecoveredRaw!BD:BD)</f>
        <v>0</v>
      </c>
      <c r="BB63">
        <f>SUMIF(RecoveredRaw!$B:$B,$A63,RecoveredRaw!BE:BE)</f>
        <v>0</v>
      </c>
      <c r="BC63">
        <f>SUMIF(RecoveredRaw!$B:$B,$A63,RecoveredRaw!BF:BF)</f>
        <v>0</v>
      </c>
      <c r="BD63">
        <f>SUMIF(RecoveredRaw!$B:$B,$A63,RecoveredRaw!BG:BG)</f>
        <v>0</v>
      </c>
      <c r="BE63">
        <f>SUMIF(RecoveredRaw!$B:$B,$A63,RecoveredRaw!BH:BH)</f>
        <v>0</v>
      </c>
      <c r="BF63">
        <f>SUMIF(RecoveredRaw!$B:$B,$A63,RecoveredRaw!BI:BI)</f>
        <v>0</v>
      </c>
      <c r="BG63">
        <f>SUMIF(RecoveredRaw!$B:$B,$A63,RecoveredRaw!BJ:BJ)</f>
        <v>0</v>
      </c>
      <c r="BH63">
        <f>SUMIF(RecoveredRaw!$B:$B,$A63,RecoveredRaw!BK:BK)</f>
        <v>0</v>
      </c>
      <c r="BI63">
        <f>SUMIF(RecoveredRaw!$B:$B,$A63,RecoveredRaw!BL:BL)</f>
        <v>0</v>
      </c>
      <c r="BJ63">
        <f>SUMIF(RecoveredRaw!$B:$B,$A63,RecoveredRaw!BM:BM)</f>
        <v>0</v>
      </c>
      <c r="BK63">
        <f>SUMIF(RecoveredRaw!$B:$B,$A63,RecoveredRaw!BN:BN)</f>
        <v>0</v>
      </c>
      <c r="BL63">
        <f>SUMIF(RecoveredRaw!$B:$B,$A63,RecoveredRaw!BO:BO)</f>
        <v>0</v>
      </c>
      <c r="BM63">
        <f>SUMIF(RecoveredRaw!$B:$B,$A63,RecoveredRaw!BP:BP)</f>
        <v>0</v>
      </c>
      <c r="BN63">
        <f>SUMIF(RecoveredRaw!$B:$B,$A63,RecoveredRaw!BQ:BQ)</f>
        <v>0</v>
      </c>
      <c r="BO63">
        <f>SUMIF(RecoveredRaw!$B:$B,$A63,RecoveredRaw!BR:BR)</f>
        <v>0</v>
      </c>
      <c r="BP63">
        <f>SUMIF(RecoveredRaw!$B:$B,$A63,RecoveredRaw!BS:BS)</f>
        <v>0</v>
      </c>
      <c r="BQ63">
        <f>SUMIF(RecoveredRaw!$B:$B,$A63,RecoveredRaw!BT:BT)</f>
        <v>0</v>
      </c>
      <c r="BR63">
        <f>SUMIF(RecoveredRaw!$B:$B,$A63,RecoveredRaw!BU:BU)</f>
        <v>0</v>
      </c>
      <c r="BS63">
        <f>SUMIF(RecoveredRaw!$B:$B,$A63,RecoveredRaw!BV:BV)</f>
        <v>0</v>
      </c>
      <c r="BT63">
        <f>SUMIF(RecoveredRaw!$B:$B,$A63,RecoveredRaw!BW:BW)</f>
        <v>0</v>
      </c>
    </row>
    <row r="64" spans="1:72" ht="15" thickBot="1" x14ac:dyDescent="0.35">
      <c r="A64" s="4" t="s">
        <v>75</v>
      </c>
      <c r="B64">
        <f>SUMIF(RecoveredRaw!$B:$B,$A64,RecoveredRaw!E:E)</f>
        <v>0</v>
      </c>
      <c r="C64">
        <f>SUMIF(RecoveredRaw!$B:$B,$A64,RecoveredRaw!F:F)</f>
        <v>0</v>
      </c>
      <c r="D64">
        <f>SUMIF(RecoveredRaw!$B:$B,$A64,RecoveredRaw!G:G)</f>
        <v>0</v>
      </c>
      <c r="E64">
        <f>SUMIF(RecoveredRaw!$B:$B,$A64,RecoveredRaw!H:H)</f>
        <v>0</v>
      </c>
      <c r="F64">
        <f>SUMIF(RecoveredRaw!$B:$B,$A64,RecoveredRaw!I:I)</f>
        <v>0</v>
      </c>
      <c r="G64">
        <f>SUMIF(RecoveredRaw!$B:$B,$A64,RecoveredRaw!J:J)</f>
        <v>0</v>
      </c>
      <c r="H64">
        <f>SUMIF(RecoveredRaw!$B:$B,$A64,RecoveredRaw!K:K)</f>
        <v>0</v>
      </c>
      <c r="I64">
        <f>SUMIF(RecoveredRaw!$B:$B,$A64,RecoveredRaw!L:L)</f>
        <v>0</v>
      </c>
      <c r="J64">
        <f>SUMIF(RecoveredRaw!$B:$B,$A64,RecoveredRaw!M:M)</f>
        <v>0</v>
      </c>
      <c r="K64">
        <f>SUMIF(RecoveredRaw!$B:$B,$A64,RecoveredRaw!N:N)</f>
        <v>0</v>
      </c>
      <c r="L64">
        <f>SUMIF(RecoveredRaw!$B:$B,$A64,RecoveredRaw!O:O)</f>
        <v>0</v>
      </c>
      <c r="M64">
        <f>SUMIF(RecoveredRaw!$B:$B,$A64,RecoveredRaw!P:P)</f>
        <v>0</v>
      </c>
      <c r="N64">
        <f>SUMIF(RecoveredRaw!$B:$B,$A64,RecoveredRaw!Q:Q)</f>
        <v>0</v>
      </c>
      <c r="O64">
        <f>SUMIF(RecoveredRaw!$B:$B,$A64,RecoveredRaw!R:R)</f>
        <v>0</v>
      </c>
      <c r="P64">
        <f>SUMIF(RecoveredRaw!$B:$B,$A64,RecoveredRaw!S:S)</f>
        <v>0</v>
      </c>
      <c r="Q64">
        <f>SUMIF(RecoveredRaw!$B:$B,$A64,RecoveredRaw!T:T)</f>
        <v>0</v>
      </c>
      <c r="R64">
        <f>SUMIF(RecoveredRaw!$B:$B,$A64,RecoveredRaw!U:U)</f>
        <v>0</v>
      </c>
      <c r="S64">
        <f>SUMIF(RecoveredRaw!$B:$B,$A64,RecoveredRaw!V:V)</f>
        <v>0</v>
      </c>
      <c r="T64">
        <f>SUMIF(RecoveredRaw!$B:$B,$A64,RecoveredRaw!W:W)</f>
        <v>0</v>
      </c>
      <c r="U64">
        <f>SUMIF(RecoveredRaw!$B:$B,$A64,RecoveredRaw!X:X)</f>
        <v>0</v>
      </c>
      <c r="V64">
        <f>SUMIF(RecoveredRaw!$B:$B,$A64,RecoveredRaw!Y:Y)</f>
        <v>0</v>
      </c>
      <c r="W64">
        <f>SUMIF(RecoveredRaw!$B:$B,$A64,RecoveredRaw!Z:Z)</f>
        <v>0</v>
      </c>
      <c r="X64">
        <f>SUMIF(RecoveredRaw!$B:$B,$A64,RecoveredRaw!AA:AA)</f>
        <v>0</v>
      </c>
      <c r="Y64">
        <f>SUMIF(RecoveredRaw!$B:$B,$A64,RecoveredRaw!AB:AB)</f>
        <v>0</v>
      </c>
      <c r="Z64">
        <f>SUMIF(RecoveredRaw!$B:$B,$A64,RecoveredRaw!AC:AC)</f>
        <v>0</v>
      </c>
      <c r="AA64">
        <f>SUMIF(RecoveredRaw!$B:$B,$A64,RecoveredRaw!AD:AD)</f>
        <v>0</v>
      </c>
      <c r="AB64">
        <f>SUMIF(RecoveredRaw!$B:$B,$A64,RecoveredRaw!AE:AE)</f>
        <v>0</v>
      </c>
      <c r="AC64">
        <f>SUMIF(RecoveredRaw!$B:$B,$A64,RecoveredRaw!AF:AF)</f>
        <v>0</v>
      </c>
      <c r="AD64">
        <f>SUMIF(RecoveredRaw!$B:$B,$A64,RecoveredRaw!AG:AG)</f>
        <v>0</v>
      </c>
      <c r="AE64">
        <f>SUMIF(RecoveredRaw!$B:$B,$A64,RecoveredRaw!AH:AH)</f>
        <v>0</v>
      </c>
      <c r="AF64">
        <f>SUMIF(RecoveredRaw!$B:$B,$A64,RecoveredRaw!AI:AI)</f>
        <v>0</v>
      </c>
      <c r="AG64">
        <f>SUMIF(RecoveredRaw!$B:$B,$A64,RecoveredRaw!AJ:AJ)</f>
        <v>0</v>
      </c>
      <c r="AH64">
        <f>SUMIF(RecoveredRaw!$B:$B,$A64,RecoveredRaw!AK:AK)</f>
        <v>0</v>
      </c>
      <c r="AI64">
        <f>SUMIF(RecoveredRaw!$B:$B,$A64,RecoveredRaw!AL:AL)</f>
        <v>0</v>
      </c>
      <c r="AJ64">
        <f>SUMIF(RecoveredRaw!$B:$B,$A64,RecoveredRaw!AM:AM)</f>
        <v>0</v>
      </c>
      <c r="AK64">
        <f>SUMIF(RecoveredRaw!$B:$B,$A64,RecoveredRaw!AN:AN)</f>
        <v>0</v>
      </c>
      <c r="AL64">
        <f>SUMIF(RecoveredRaw!$B:$B,$A64,RecoveredRaw!AO:AO)</f>
        <v>0</v>
      </c>
      <c r="AM64">
        <f>SUMIF(RecoveredRaw!$B:$B,$A64,RecoveredRaw!AP:AP)</f>
        <v>0</v>
      </c>
      <c r="AN64">
        <f>SUMIF(RecoveredRaw!$B:$B,$A64,RecoveredRaw!AQ:AQ)</f>
        <v>0</v>
      </c>
      <c r="AO64">
        <f>SUMIF(RecoveredRaw!$B:$B,$A64,RecoveredRaw!AR:AR)</f>
        <v>0</v>
      </c>
      <c r="AP64">
        <f>SUMIF(RecoveredRaw!$B:$B,$A64,RecoveredRaw!AS:AS)</f>
        <v>0</v>
      </c>
      <c r="AQ64">
        <f>SUMIF(RecoveredRaw!$B:$B,$A64,RecoveredRaw!AT:AT)</f>
        <v>0</v>
      </c>
      <c r="AR64">
        <f>SUMIF(RecoveredRaw!$B:$B,$A64,RecoveredRaw!AU:AU)</f>
        <v>0</v>
      </c>
      <c r="AS64">
        <f>SUMIF(RecoveredRaw!$B:$B,$A64,RecoveredRaw!AV:AV)</f>
        <v>0</v>
      </c>
      <c r="AT64">
        <f>SUMIF(RecoveredRaw!$B:$B,$A64,RecoveredRaw!AW:AW)</f>
        <v>0</v>
      </c>
      <c r="AU64">
        <f>SUMIF(RecoveredRaw!$B:$B,$A64,RecoveredRaw!AX:AX)</f>
        <v>0</v>
      </c>
      <c r="AV64">
        <f>SUMIF(RecoveredRaw!$B:$B,$A64,RecoveredRaw!AY:AY)</f>
        <v>0</v>
      </c>
      <c r="AW64">
        <f>SUMIF(RecoveredRaw!$B:$B,$A64,RecoveredRaw!AZ:AZ)</f>
        <v>0</v>
      </c>
      <c r="AX64">
        <f>SUMIF(RecoveredRaw!$B:$B,$A64,RecoveredRaw!BA:BA)</f>
        <v>0</v>
      </c>
      <c r="AY64">
        <f>SUMIF(RecoveredRaw!$B:$B,$A64,RecoveredRaw!BB:BB)</f>
        <v>0</v>
      </c>
      <c r="AZ64">
        <f>SUMIF(RecoveredRaw!$B:$B,$A64,RecoveredRaw!BC:BC)</f>
        <v>8</v>
      </c>
      <c r="BA64">
        <f>SUMIF(RecoveredRaw!$B:$B,$A64,RecoveredRaw!BD:BD)</f>
        <v>8</v>
      </c>
      <c r="BB64">
        <f>SUMIF(RecoveredRaw!$B:$B,$A64,RecoveredRaw!BE:BE)</f>
        <v>12</v>
      </c>
      <c r="BC64">
        <f>SUMIF(RecoveredRaw!$B:$B,$A64,RecoveredRaw!BF:BF)</f>
        <v>12</v>
      </c>
      <c r="BD64">
        <f>SUMIF(RecoveredRaw!$B:$B,$A64,RecoveredRaw!BG:BG)</f>
        <v>12</v>
      </c>
      <c r="BE64">
        <f>SUMIF(RecoveredRaw!$B:$B,$A64,RecoveredRaw!BH:BH)</f>
        <v>12</v>
      </c>
      <c r="BF64">
        <f>SUMIF(RecoveredRaw!$B:$B,$A64,RecoveredRaw!BI:BI)</f>
        <v>12</v>
      </c>
      <c r="BG64">
        <f>SUMIF(RecoveredRaw!$B:$B,$A64,RecoveredRaw!BJ:BJ)</f>
        <v>0</v>
      </c>
      <c r="BH64">
        <f>SUMIF(RecoveredRaw!$B:$B,$A64,RecoveredRaw!BK:BK)</f>
        <v>0</v>
      </c>
      <c r="BI64">
        <f>SUMIF(RecoveredRaw!$B:$B,$A64,RecoveredRaw!BL:BL)</f>
        <v>0</v>
      </c>
      <c r="BJ64">
        <f>SUMIF(RecoveredRaw!$B:$B,$A64,RecoveredRaw!BM:BM)</f>
        <v>0</v>
      </c>
      <c r="BK64">
        <f>SUMIF(RecoveredRaw!$B:$B,$A64,RecoveredRaw!BN:BN)</f>
        <v>0</v>
      </c>
      <c r="BL64">
        <f>SUMIF(RecoveredRaw!$B:$B,$A64,RecoveredRaw!BO:BO)</f>
        <v>0</v>
      </c>
      <c r="BM64">
        <f>SUMIF(RecoveredRaw!$B:$B,$A64,RecoveredRaw!BP:BP)</f>
        <v>0</v>
      </c>
      <c r="BN64">
        <f>SUMIF(RecoveredRaw!$B:$B,$A64,RecoveredRaw!BQ:BQ)</f>
        <v>0</v>
      </c>
      <c r="BO64">
        <f>SUMIF(RecoveredRaw!$B:$B,$A64,RecoveredRaw!BR:BR)</f>
        <v>0</v>
      </c>
      <c r="BP64">
        <f>SUMIF(RecoveredRaw!$B:$B,$A64,RecoveredRaw!BS:BS)</f>
        <v>0</v>
      </c>
      <c r="BQ64">
        <f>SUMIF(RecoveredRaw!$B:$B,$A64,RecoveredRaw!BT:BT)</f>
        <v>0</v>
      </c>
      <c r="BR64">
        <f>SUMIF(RecoveredRaw!$B:$B,$A64,RecoveredRaw!BU:BU)</f>
        <v>0</v>
      </c>
      <c r="BS64">
        <f>SUMIF(RecoveredRaw!$B:$B,$A64,RecoveredRaw!BV:BV)</f>
        <v>0</v>
      </c>
      <c r="BT64">
        <f>SUMIF(RecoveredRaw!$B:$B,$A64,RecoveredRaw!BW:BW)</f>
        <v>0</v>
      </c>
    </row>
    <row r="65" spans="1:72" ht="15" thickBot="1" x14ac:dyDescent="0.35">
      <c r="A65" s="3" t="s">
        <v>82</v>
      </c>
      <c r="B65">
        <f>SUMIF(RecoveredRaw!$B:$B,$A65,RecoveredRaw!E:E)</f>
        <v>0</v>
      </c>
      <c r="C65">
        <f>SUMIF(RecoveredRaw!$B:$B,$A65,RecoveredRaw!F:F)</f>
        <v>0</v>
      </c>
      <c r="D65">
        <f>SUMIF(RecoveredRaw!$B:$B,$A65,RecoveredRaw!G:G)</f>
        <v>0</v>
      </c>
      <c r="E65">
        <f>SUMIF(RecoveredRaw!$B:$B,$A65,RecoveredRaw!H:H)</f>
        <v>0</v>
      </c>
      <c r="F65">
        <f>SUMIF(RecoveredRaw!$B:$B,$A65,RecoveredRaw!I:I)</f>
        <v>0</v>
      </c>
      <c r="G65">
        <f>SUMIF(RecoveredRaw!$B:$B,$A65,RecoveredRaw!J:J)</f>
        <v>0</v>
      </c>
      <c r="H65">
        <f>SUMIF(RecoveredRaw!$B:$B,$A65,RecoveredRaw!K:K)</f>
        <v>0</v>
      </c>
      <c r="I65">
        <f>SUMIF(RecoveredRaw!$B:$B,$A65,RecoveredRaw!L:L)</f>
        <v>0</v>
      </c>
      <c r="J65">
        <f>SUMIF(RecoveredRaw!$B:$B,$A65,RecoveredRaw!M:M)</f>
        <v>0</v>
      </c>
      <c r="K65">
        <f>SUMIF(RecoveredRaw!$B:$B,$A65,RecoveredRaw!N:N)</f>
        <v>0</v>
      </c>
      <c r="L65">
        <f>SUMIF(RecoveredRaw!$B:$B,$A65,RecoveredRaw!O:O)</f>
        <v>0</v>
      </c>
      <c r="M65">
        <f>SUMIF(RecoveredRaw!$B:$B,$A65,RecoveredRaw!P:P)</f>
        <v>0</v>
      </c>
      <c r="N65">
        <f>SUMIF(RecoveredRaw!$B:$B,$A65,RecoveredRaw!Q:Q)</f>
        <v>0</v>
      </c>
      <c r="O65">
        <f>SUMIF(RecoveredRaw!$B:$B,$A65,RecoveredRaw!R:R)</f>
        <v>0</v>
      </c>
      <c r="P65">
        <f>SUMIF(RecoveredRaw!$B:$B,$A65,RecoveredRaw!S:S)</f>
        <v>0</v>
      </c>
      <c r="Q65">
        <f>SUMIF(RecoveredRaw!$B:$B,$A65,RecoveredRaw!T:T)</f>
        <v>0</v>
      </c>
      <c r="R65">
        <f>SUMIF(RecoveredRaw!$B:$B,$A65,RecoveredRaw!U:U)</f>
        <v>0</v>
      </c>
      <c r="S65">
        <f>SUMIF(RecoveredRaw!$B:$B,$A65,RecoveredRaw!V:V)</f>
        <v>0</v>
      </c>
      <c r="T65">
        <f>SUMIF(RecoveredRaw!$B:$B,$A65,RecoveredRaw!W:W)</f>
        <v>0</v>
      </c>
      <c r="U65">
        <f>SUMIF(RecoveredRaw!$B:$B,$A65,RecoveredRaw!X:X)</f>
        <v>0</v>
      </c>
      <c r="V65">
        <f>SUMIF(RecoveredRaw!$B:$B,$A65,RecoveredRaw!Y:Y)</f>
        <v>0</v>
      </c>
      <c r="W65">
        <f>SUMIF(RecoveredRaw!$B:$B,$A65,RecoveredRaw!Z:Z)</f>
        <v>0</v>
      </c>
      <c r="X65">
        <f>SUMIF(RecoveredRaw!$B:$B,$A65,RecoveredRaw!AA:AA)</f>
        <v>0</v>
      </c>
      <c r="Y65">
        <f>SUMIF(RecoveredRaw!$B:$B,$A65,RecoveredRaw!AB:AB)</f>
        <v>0</v>
      </c>
      <c r="Z65">
        <f>SUMIF(RecoveredRaw!$B:$B,$A65,RecoveredRaw!AC:AC)</f>
        <v>0</v>
      </c>
      <c r="AA65">
        <f>SUMIF(RecoveredRaw!$B:$B,$A65,RecoveredRaw!AD:AD)</f>
        <v>0</v>
      </c>
      <c r="AB65">
        <f>SUMIF(RecoveredRaw!$B:$B,$A65,RecoveredRaw!AE:AE)</f>
        <v>0</v>
      </c>
      <c r="AC65">
        <f>SUMIF(RecoveredRaw!$B:$B,$A65,RecoveredRaw!AF:AF)</f>
        <v>0</v>
      </c>
      <c r="AD65">
        <f>SUMIF(RecoveredRaw!$B:$B,$A65,RecoveredRaw!AG:AG)</f>
        <v>0</v>
      </c>
      <c r="AE65">
        <f>SUMIF(RecoveredRaw!$B:$B,$A65,RecoveredRaw!AH:AH)</f>
        <v>0</v>
      </c>
      <c r="AF65">
        <f>SUMIF(RecoveredRaw!$B:$B,$A65,RecoveredRaw!AI:AI)</f>
        <v>0</v>
      </c>
      <c r="AG65">
        <f>SUMIF(RecoveredRaw!$B:$B,$A65,RecoveredRaw!AJ:AJ)</f>
        <v>0</v>
      </c>
      <c r="AH65">
        <f>SUMIF(RecoveredRaw!$B:$B,$A65,RecoveredRaw!AK:AK)</f>
        <v>0</v>
      </c>
      <c r="AI65">
        <f>SUMIF(RecoveredRaw!$B:$B,$A65,RecoveredRaw!AL:AL)</f>
        <v>0</v>
      </c>
      <c r="AJ65">
        <f>SUMIF(RecoveredRaw!$B:$B,$A65,RecoveredRaw!AM:AM)</f>
        <v>0</v>
      </c>
      <c r="AK65">
        <f>SUMIF(RecoveredRaw!$B:$B,$A65,RecoveredRaw!AN:AN)</f>
        <v>0</v>
      </c>
      <c r="AL65">
        <f>SUMIF(RecoveredRaw!$B:$B,$A65,RecoveredRaw!AO:AO)</f>
        <v>0</v>
      </c>
      <c r="AM65">
        <f>SUMIF(RecoveredRaw!$B:$B,$A65,RecoveredRaw!AP:AP)</f>
        <v>0</v>
      </c>
      <c r="AN65">
        <f>SUMIF(RecoveredRaw!$B:$B,$A65,RecoveredRaw!AQ:AQ)</f>
        <v>0</v>
      </c>
      <c r="AO65">
        <f>SUMIF(RecoveredRaw!$B:$B,$A65,RecoveredRaw!AR:AR)</f>
        <v>0</v>
      </c>
      <c r="AP65">
        <f>SUMIF(RecoveredRaw!$B:$B,$A65,RecoveredRaw!AS:AS)</f>
        <v>0</v>
      </c>
      <c r="AQ65">
        <f>SUMIF(RecoveredRaw!$B:$B,$A65,RecoveredRaw!AT:AT)</f>
        <v>0</v>
      </c>
      <c r="AR65">
        <f>SUMIF(RecoveredRaw!$B:$B,$A65,RecoveredRaw!AU:AU)</f>
        <v>0</v>
      </c>
      <c r="AS65">
        <f>SUMIF(RecoveredRaw!$B:$B,$A65,RecoveredRaw!AV:AV)</f>
        <v>0</v>
      </c>
      <c r="AT65">
        <f>SUMIF(RecoveredRaw!$B:$B,$A65,RecoveredRaw!AW:AW)</f>
        <v>0</v>
      </c>
      <c r="AU65">
        <f>SUMIF(RecoveredRaw!$B:$B,$A65,RecoveredRaw!AX:AX)</f>
        <v>0</v>
      </c>
      <c r="AV65">
        <f>SUMIF(RecoveredRaw!$B:$B,$A65,RecoveredRaw!AY:AY)</f>
        <v>0</v>
      </c>
      <c r="AW65">
        <f>SUMIF(RecoveredRaw!$B:$B,$A65,RecoveredRaw!AZ:AZ)</f>
        <v>0</v>
      </c>
      <c r="AX65">
        <f>SUMIF(RecoveredRaw!$B:$B,$A65,RecoveredRaw!BA:BA)</f>
        <v>0</v>
      </c>
      <c r="AY65">
        <f>SUMIF(RecoveredRaw!$B:$B,$A65,RecoveredRaw!BB:BB)</f>
        <v>0</v>
      </c>
      <c r="AZ65">
        <f>SUMIF(RecoveredRaw!$B:$B,$A65,RecoveredRaw!BC:BC)</f>
        <v>0</v>
      </c>
      <c r="BA65">
        <f>SUMIF(RecoveredRaw!$B:$B,$A65,RecoveredRaw!BD:BD)</f>
        <v>0</v>
      </c>
      <c r="BB65">
        <f>SUMIF(RecoveredRaw!$B:$B,$A65,RecoveredRaw!BE:BE)</f>
        <v>0</v>
      </c>
      <c r="BC65">
        <f>SUMIF(RecoveredRaw!$B:$B,$A65,RecoveredRaw!BF:BF)</f>
        <v>0</v>
      </c>
      <c r="BD65">
        <f>SUMIF(RecoveredRaw!$B:$B,$A65,RecoveredRaw!BG:BG)</f>
        <v>1</v>
      </c>
      <c r="BE65">
        <f>SUMIF(RecoveredRaw!$B:$B,$A65,RecoveredRaw!BH:BH)</f>
        <v>1</v>
      </c>
      <c r="BF65">
        <f>SUMIF(RecoveredRaw!$B:$B,$A65,RecoveredRaw!BI:BI)</f>
        <v>1</v>
      </c>
      <c r="BG65">
        <f>SUMIF(RecoveredRaw!$B:$B,$A65,RecoveredRaw!BJ:BJ)</f>
        <v>0</v>
      </c>
      <c r="BH65">
        <f>SUMIF(RecoveredRaw!$B:$B,$A65,RecoveredRaw!BK:BK)</f>
        <v>0</v>
      </c>
      <c r="BI65">
        <f>SUMIF(RecoveredRaw!$B:$B,$A65,RecoveredRaw!BL:BL)</f>
        <v>0</v>
      </c>
      <c r="BJ65">
        <f>SUMIF(RecoveredRaw!$B:$B,$A65,RecoveredRaw!BM:BM)</f>
        <v>0</v>
      </c>
      <c r="BK65">
        <f>SUMIF(RecoveredRaw!$B:$B,$A65,RecoveredRaw!BN:BN)</f>
        <v>0</v>
      </c>
      <c r="BL65">
        <f>SUMIF(RecoveredRaw!$B:$B,$A65,RecoveredRaw!BO:BO)</f>
        <v>0</v>
      </c>
      <c r="BM65">
        <f>SUMIF(RecoveredRaw!$B:$B,$A65,RecoveredRaw!BP:BP)</f>
        <v>0</v>
      </c>
      <c r="BN65">
        <f>SUMIF(RecoveredRaw!$B:$B,$A65,RecoveredRaw!BQ:BQ)</f>
        <v>0</v>
      </c>
      <c r="BO65">
        <f>SUMIF(RecoveredRaw!$B:$B,$A65,RecoveredRaw!BR:BR)</f>
        <v>0</v>
      </c>
      <c r="BP65">
        <f>SUMIF(RecoveredRaw!$B:$B,$A65,RecoveredRaw!BS:BS)</f>
        <v>0</v>
      </c>
      <c r="BQ65">
        <f>SUMIF(RecoveredRaw!$B:$B,$A65,RecoveredRaw!BT:BT)</f>
        <v>0</v>
      </c>
      <c r="BR65">
        <f>SUMIF(RecoveredRaw!$B:$B,$A65,RecoveredRaw!BU:BU)</f>
        <v>0</v>
      </c>
      <c r="BS65">
        <f>SUMIF(RecoveredRaw!$B:$B,$A65,RecoveredRaw!BV:BV)</f>
        <v>0</v>
      </c>
      <c r="BT65">
        <f>SUMIF(RecoveredRaw!$B:$B,$A65,RecoveredRaw!BW:BW)</f>
        <v>0</v>
      </c>
    </row>
    <row r="66" spans="1:72" ht="15" thickBot="1" x14ac:dyDescent="0.35">
      <c r="A66" s="3" t="s">
        <v>145</v>
      </c>
      <c r="B66">
        <f>SUMIF(RecoveredRaw!$B:$B,$A66,RecoveredRaw!E:E)</f>
        <v>0</v>
      </c>
      <c r="C66">
        <f>SUMIF(RecoveredRaw!$B:$B,$A66,RecoveredRaw!F:F)</f>
        <v>0</v>
      </c>
      <c r="D66">
        <f>SUMIF(RecoveredRaw!$B:$B,$A66,RecoveredRaw!G:G)</f>
        <v>0</v>
      </c>
      <c r="E66">
        <f>SUMIF(RecoveredRaw!$B:$B,$A66,RecoveredRaw!H:H)</f>
        <v>0</v>
      </c>
      <c r="F66">
        <f>SUMIF(RecoveredRaw!$B:$B,$A66,RecoveredRaw!I:I)</f>
        <v>0</v>
      </c>
      <c r="G66">
        <f>SUMIF(RecoveredRaw!$B:$B,$A66,RecoveredRaw!J:J)</f>
        <v>0</v>
      </c>
      <c r="H66">
        <f>SUMIF(RecoveredRaw!$B:$B,$A66,RecoveredRaw!K:K)</f>
        <v>0</v>
      </c>
      <c r="I66">
        <f>SUMIF(RecoveredRaw!$B:$B,$A66,RecoveredRaw!L:L)</f>
        <v>0</v>
      </c>
      <c r="J66">
        <f>SUMIF(RecoveredRaw!$B:$B,$A66,RecoveredRaw!M:M)</f>
        <v>0</v>
      </c>
      <c r="K66">
        <f>SUMIF(RecoveredRaw!$B:$B,$A66,RecoveredRaw!N:N)</f>
        <v>0</v>
      </c>
      <c r="L66">
        <f>SUMIF(RecoveredRaw!$B:$B,$A66,RecoveredRaw!O:O)</f>
        <v>0</v>
      </c>
      <c r="M66">
        <f>SUMIF(RecoveredRaw!$B:$B,$A66,RecoveredRaw!P:P)</f>
        <v>0</v>
      </c>
      <c r="N66">
        <f>SUMIF(RecoveredRaw!$B:$B,$A66,RecoveredRaw!Q:Q)</f>
        <v>0</v>
      </c>
      <c r="O66">
        <f>SUMIF(RecoveredRaw!$B:$B,$A66,RecoveredRaw!R:R)</f>
        <v>0</v>
      </c>
      <c r="P66">
        <f>SUMIF(RecoveredRaw!$B:$B,$A66,RecoveredRaw!S:S)</f>
        <v>0</v>
      </c>
      <c r="Q66">
        <f>SUMIF(RecoveredRaw!$B:$B,$A66,RecoveredRaw!T:T)</f>
        <v>0</v>
      </c>
      <c r="R66">
        <f>SUMIF(RecoveredRaw!$B:$B,$A66,RecoveredRaw!U:U)</f>
        <v>0</v>
      </c>
      <c r="S66">
        <f>SUMIF(RecoveredRaw!$B:$B,$A66,RecoveredRaw!V:V)</f>
        <v>0</v>
      </c>
      <c r="T66">
        <f>SUMIF(RecoveredRaw!$B:$B,$A66,RecoveredRaw!W:W)</f>
        <v>0</v>
      </c>
      <c r="U66">
        <f>SUMIF(RecoveredRaw!$B:$B,$A66,RecoveredRaw!X:X)</f>
        <v>0</v>
      </c>
      <c r="V66">
        <f>SUMIF(RecoveredRaw!$B:$B,$A66,RecoveredRaw!Y:Y)</f>
        <v>0</v>
      </c>
      <c r="W66">
        <f>SUMIF(RecoveredRaw!$B:$B,$A66,RecoveredRaw!Z:Z)</f>
        <v>0</v>
      </c>
      <c r="X66">
        <f>SUMIF(RecoveredRaw!$B:$B,$A66,RecoveredRaw!AA:AA)</f>
        <v>0</v>
      </c>
      <c r="Y66">
        <f>SUMIF(RecoveredRaw!$B:$B,$A66,RecoveredRaw!AB:AB)</f>
        <v>0</v>
      </c>
      <c r="Z66">
        <f>SUMIF(RecoveredRaw!$B:$B,$A66,RecoveredRaw!AC:AC)</f>
        <v>0</v>
      </c>
      <c r="AA66">
        <f>SUMIF(RecoveredRaw!$B:$B,$A66,RecoveredRaw!AD:AD)</f>
        <v>0</v>
      </c>
      <c r="AB66">
        <f>SUMIF(RecoveredRaw!$B:$B,$A66,RecoveredRaw!AE:AE)</f>
        <v>0</v>
      </c>
      <c r="AC66">
        <f>SUMIF(RecoveredRaw!$B:$B,$A66,RecoveredRaw!AF:AF)</f>
        <v>0</v>
      </c>
      <c r="AD66">
        <f>SUMIF(RecoveredRaw!$B:$B,$A66,RecoveredRaw!AG:AG)</f>
        <v>0</v>
      </c>
      <c r="AE66">
        <f>SUMIF(RecoveredRaw!$B:$B,$A66,RecoveredRaw!AH:AH)</f>
        <v>0</v>
      </c>
      <c r="AF66">
        <f>SUMIF(RecoveredRaw!$B:$B,$A66,RecoveredRaw!AI:AI)</f>
        <v>0</v>
      </c>
      <c r="AG66">
        <f>SUMIF(RecoveredRaw!$B:$B,$A66,RecoveredRaw!AJ:AJ)</f>
        <v>0</v>
      </c>
      <c r="AH66">
        <f>SUMIF(RecoveredRaw!$B:$B,$A66,RecoveredRaw!AK:AK)</f>
        <v>0</v>
      </c>
      <c r="AI66">
        <f>SUMIF(RecoveredRaw!$B:$B,$A66,RecoveredRaw!AL:AL)</f>
        <v>0</v>
      </c>
      <c r="AJ66">
        <f>SUMIF(RecoveredRaw!$B:$B,$A66,RecoveredRaw!AM:AM)</f>
        <v>0</v>
      </c>
      <c r="AK66">
        <f>SUMIF(RecoveredRaw!$B:$B,$A66,RecoveredRaw!AN:AN)</f>
        <v>0</v>
      </c>
      <c r="AL66">
        <f>SUMIF(RecoveredRaw!$B:$B,$A66,RecoveredRaw!AO:AO)</f>
        <v>0</v>
      </c>
      <c r="AM66">
        <f>SUMIF(RecoveredRaw!$B:$B,$A66,RecoveredRaw!AP:AP)</f>
        <v>0</v>
      </c>
      <c r="AN66">
        <f>SUMIF(RecoveredRaw!$B:$B,$A66,RecoveredRaw!AQ:AQ)</f>
        <v>0</v>
      </c>
      <c r="AO66">
        <f>SUMIF(RecoveredRaw!$B:$B,$A66,RecoveredRaw!AR:AR)</f>
        <v>0</v>
      </c>
      <c r="AP66">
        <f>SUMIF(RecoveredRaw!$B:$B,$A66,RecoveredRaw!AS:AS)</f>
        <v>0</v>
      </c>
      <c r="AQ66">
        <f>SUMIF(RecoveredRaw!$B:$B,$A66,RecoveredRaw!AT:AT)</f>
        <v>0</v>
      </c>
      <c r="AR66">
        <f>SUMIF(RecoveredRaw!$B:$B,$A66,RecoveredRaw!AU:AU)</f>
        <v>0</v>
      </c>
      <c r="AS66">
        <f>SUMIF(RecoveredRaw!$B:$B,$A66,RecoveredRaw!AV:AV)</f>
        <v>0</v>
      </c>
      <c r="AT66">
        <f>SUMIF(RecoveredRaw!$B:$B,$A66,RecoveredRaw!AW:AW)</f>
        <v>0</v>
      </c>
      <c r="AU66">
        <f>SUMIF(RecoveredRaw!$B:$B,$A66,RecoveredRaw!AX:AX)</f>
        <v>0</v>
      </c>
      <c r="AV66">
        <f>SUMIF(RecoveredRaw!$B:$B,$A66,RecoveredRaw!AY:AY)</f>
        <v>0</v>
      </c>
      <c r="AW66">
        <f>SUMIF(RecoveredRaw!$B:$B,$A66,RecoveredRaw!AZ:AZ)</f>
        <v>0</v>
      </c>
      <c r="AX66">
        <f>SUMIF(RecoveredRaw!$B:$B,$A66,RecoveredRaw!BA:BA)</f>
        <v>0</v>
      </c>
      <c r="AY66">
        <f>SUMIF(RecoveredRaw!$B:$B,$A66,RecoveredRaw!BB:BB)</f>
        <v>0</v>
      </c>
      <c r="AZ66">
        <f>SUMIF(RecoveredRaw!$B:$B,$A66,RecoveredRaw!BC:BC)</f>
        <v>0</v>
      </c>
      <c r="BA66">
        <f>SUMIF(RecoveredRaw!$B:$B,$A66,RecoveredRaw!BD:BD)</f>
        <v>0</v>
      </c>
      <c r="BB66">
        <f>SUMIF(RecoveredRaw!$B:$B,$A66,RecoveredRaw!BE:BE)</f>
        <v>0</v>
      </c>
      <c r="BC66">
        <f>SUMIF(RecoveredRaw!$B:$B,$A66,RecoveredRaw!BF:BF)</f>
        <v>0</v>
      </c>
      <c r="BD66">
        <f>SUMIF(RecoveredRaw!$B:$B,$A66,RecoveredRaw!BG:BG)</f>
        <v>0</v>
      </c>
      <c r="BE66">
        <f>SUMIF(RecoveredRaw!$B:$B,$A66,RecoveredRaw!BH:BH)</f>
        <v>0</v>
      </c>
      <c r="BF66">
        <f>SUMIF(RecoveredRaw!$B:$B,$A66,RecoveredRaw!BI:BI)</f>
        <v>0</v>
      </c>
      <c r="BG66">
        <f>SUMIF(RecoveredRaw!$B:$B,$A66,RecoveredRaw!BJ:BJ)</f>
        <v>0</v>
      </c>
      <c r="BH66">
        <f>SUMIF(RecoveredRaw!$B:$B,$A66,RecoveredRaw!BK:BK)</f>
        <v>0</v>
      </c>
      <c r="BI66">
        <f>SUMIF(RecoveredRaw!$B:$B,$A66,RecoveredRaw!BL:BL)</f>
        <v>0</v>
      </c>
      <c r="BJ66">
        <f>SUMIF(RecoveredRaw!$B:$B,$A66,RecoveredRaw!BM:BM)</f>
        <v>0</v>
      </c>
      <c r="BK66">
        <f>SUMIF(RecoveredRaw!$B:$B,$A66,RecoveredRaw!BN:BN)</f>
        <v>0</v>
      </c>
      <c r="BL66">
        <f>SUMIF(RecoveredRaw!$B:$B,$A66,RecoveredRaw!BO:BO)</f>
        <v>0</v>
      </c>
      <c r="BM66">
        <f>SUMIF(RecoveredRaw!$B:$B,$A66,RecoveredRaw!BP:BP)</f>
        <v>0</v>
      </c>
      <c r="BN66">
        <f>SUMIF(RecoveredRaw!$B:$B,$A66,RecoveredRaw!BQ:BQ)</f>
        <v>0</v>
      </c>
      <c r="BO66">
        <f>SUMIF(RecoveredRaw!$B:$B,$A66,RecoveredRaw!BR:BR)</f>
        <v>0</v>
      </c>
      <c r="BP66">
        <f>SUMIF(RecoveredRaw!$B:$B,$A66,RecoveredRaw!BS:BS)</f>
        <v>0</v>
      </c>
      <c r="BQ66">
        <f>SUMIF(RecoveredRaw!$B:$B,$A66,RecoveredRaw!BT:BT)</f>
        <v>0</v>
      </c>
      <c r="BR66">
        <f>SUMIF(RecoveredRaw!$B:$B,$A66,RecoveredRaw!BU:BU)</f>
        <v>0</v>
      </c>
      <c r="BS66">
        <f>SUMIF(RecoveredRaw!$B:$B,$A66,RecoveredRaw!BV:BV)</f>
        <v>0</v>
      </c>
      <c r="BT66">
        <f>SUMIF(RecoveredRaw!$B:$B,$A66,RecoveredRaw!BW:BW)</f>
        <v>0</v>
      </c>
    </row>
    <row r="67" spans="1:72" ht="15" thickBot="1" x14ac:dyDescent="0.35">
      <c r="A67" s="3" t="s">
        <v>199</v>
      </c>
      <c r="B67">
        <f>SUMIF(RecoveredRaw!$B:$B,$A67,RecoveredRaw!E:E)</f>
        <v>0</v>
      </c>
      <c r="C67">
        <f>SUMIF(RecoveredRaw!$B:$B,$A67,RecoveredRaw!F:F)</f>
        <v>0</v>
      </c>
      <c r="D67">
        <f>SUMIF(RecoveredRaw!$B:$B,$A67,RecoveredRaw!G:G)</f>
        <v>0</v>
      </c>
      <c r="E67">
        <f>SUMIF(RecoveredRaw!$B:$B,$A67,RecoveredRaw!H:H)</f>
        <v>0</v>
      </c>
      <c r="F67">
        <f>SUMIF(RecoveredRaw!$B:$B,$A67,RecoveredRaw!I:I)</f>
        <v>0</v>
      </c>
      <c r="G67">
        <f>SUMIF(RecoveredRaw!$B:$B,$A67,RecoveredRaw!J:J)</f>
        <v>0</v>
      </c>
      <c r="H67">
        <f>SUMIF(RecoveredRaw!$B:$B,$A67,RecoveredRaw!K:K)</f>
        <v>0</v>
      </c>
      <c r="I67">
        <f>SUMIF(RecoveredRaw!$B:$B,$A67,RecoveredRaw!L:L)</f>
        <v>0</v>
      </c>
      <c r="J67">
        <f>SUMIF(RecoveredRaw!$B:$B,$A67,RecoveredRaw!M:M)</f>
        <v>0</v>
      </c>
      <c r="K67">
        <f>SUMIF(RecoveredRaw!$B:$B,$A67,RecoveredRaw!N:N)</f>
        <v>0</v>
      </c>
      <c r="L67">
        <f>SUMIF(RecoveredRaw!$B:$B,$A67,RecoveredRaw!O:O)</f>
        <v>0</v>
      </c>
      <c r="M67">
        <f>SUMIF(RecoveredRaw!$B:$B,$A67,RecoveredRaw!P:P)</f>
        <v>0</v>
      </c>
      <c r="N67">
        <f>SUMIF(RecoveredRaw!$B:$B,$A67,RecoveredRaw!Q:Q)</f>
        <v>0</v>
      </c>
      <c r="O67">
        <f>SUMIF(RecoveredRaw!$B:$B,$A67,RecoveredRaw!R:R)</f>
        <v>0</v>
      </c>
      <c r="P67">
        <f>SUMIF(RecoveredRaw!$B:$B,$A67,RecoveredRaw!S:S)</f>
        <v>0</v>
      </c>
      <c r="Q67">
        <f>SUMIF(RecoveredRaw!$B:$B,$A67,RecoveredRaw!T:T)</f>
        <v>0</v>
      </c>
      <c r="R67">
        <f>SUMIF(RecoveredRaw!$B:$B,$A67,RecoveredRaw!U:U)</f>
        <v>0</v>
      </c>
      <c r="S67">
        <f>SUMIF(RecoveredRaw!$B:$B,$A67,RecoveredRaw!V:V)</f>
        <v>0</v>
      </c>
      <c r="T67">
        <f>SUMIF(RecoveredRaw!$B:$B,$A67,RecoveredRaw!W:W)</f>
        <v>0</v>
      </c>
      <c r="U67">
        <f>SUMIF(RecoveredRaw!$B:$B,$A67,RecoveredRaw!X:X)</f>
        <v>0</v>
      </c>
      <c r="V67">
        <f>SUMIF(RecoveredRaw!$B:$B,$A67,RecoveredRaw!Y:Y)</f>
        <v>0</v>
      </c>
      <c r="W67">
        <f>SUMIF(RecoveredRaw!$B:$B,$A67,RecoveredRaw!Z:Z)</f>
        <v>0</v>
      </c>
      <c r="X67">
        <f>SUMIF(RecoveredRaw!$B:$B,$A67,RecoveredRaw!AA:AA)</f>
        <v>0</v>
      </c>
      <c r="Y67">
        <f>SUMIF(RecoveredRaw!$B:$B,$A67,RecoveredRaw!AB:AB)</f>
        <v>0</v>
      </c>
      <c r="Z67">
        <f>SUMIF(RecoveredRaw!$B:$B,$A67,RecoveredRaw!AC:AC)</f>
        <v>0</v>
      </c>
      <c r="AA67">
        <f>SUMIF(RecoveredRaw!$B:$B,$A67,RecoveredRaw!AD:AD)</f>
        <v>0</v>
      </c>
      <c r="AB67">
        <f>SUMIF(RecoveredRaw!$B:$B,$A67,RecoveredRaw!AE:AE)</f>
        <v>0</v>
      </c>
      <c r="AC67">
        <f>SUMIF(RecoveredRaw!$B:$B,$A67,RecoveredRaw!AF:AF)</f>
        <v>0</v>
      </c>
      <c r="AD67">
        <f>SUMIF(RecoveredRaw!$B:$B,$A67,RecoveredRaw!AG:AG)</f>
        <v>0</v>
      </c>
      <c r="AE67">
        <f>SUMIF(RecoveredRaw!$B:$B,$A67,RecoveredRaw!AH:AH)</f>
        <v>0</v>
      </c>
      <c r="AF67">
        <f>SUMIF(RecoveredRaw!$B:$B,$A67,RecoveredRaw!AI:AI)</f>
        <v>0</v>
      </c>
      <c r="AG67">
        <f>SUMIF(RecoveredRaw!$B:$B,$A67,RecoveredRaw!AJ:AJ)</f>
        <v>0</v>
      </c>
      <c r="AH67">
        <f>SUMIF(RecoveredRaw!$B:$B,$A67,RecoveredRaw!AK:AK)</f>
        <v>0</v>
      </c>
      <c r="AI67">
        <f>SUMIF(RecoveredRaw!$B:$B,$A67,RecoveredRaw!AL:AL)</f>
        <v>0</v>
      </c>
      <c r="AJ67">
        <f>SUMIF(RecoveredRaw!$B:$B,$A67,RecoveredRaw!AM:AM)</f>
        <v>0</v>
      </c>
      <c r="AK67">
        <f>SUMIF(RecoveredRaw!$B:$B,$A67,RecoveredRaw!AN:AN)</f>
        <v>0</v>
      </c>
      <c r="AL67">
        <f>SUMIF(RecoveredRaw!$B:$B,$A67,RecoveredRaw!AO:AO)</f>
        <v>0</v>
      </c>
      <c r="AM67">
        <f>SUMIF(RecoveredRaw!$B:$B,$A67,RecoveredRaw!AP:AP)</f>
        <v>0</v>
      </c>
      <c r="AN67">
        <f>SUMIF(RecoveredRaw!$B:$B,$A67,RecoveredRaw!AQ:AQ)</f>
        <v>0</v>
      </c>
      <c r="AO67">
        <f>SUMIF(RecoveredRaw!$B:$B,$A67,RecoveredRaw!AR:AR)</f>
        <v>0</v>
      </c>
      <c r="AP67">
        <f>SUMIF(RecoveredRaw!$B:$B,$A67,RecoveredRaw!AS:AS)</f>
        <v>0</v>
      </c>
      <c r="AQ67">
        <f>SUMIF(RecoveredRaw!$B:$B,$A67,RecoveredRaw!AT:AT)</f>
        <v>0</v>
      </c>
      <c r="AR67">
        <f>SUMIF(RecoveredRaw!$B:$B,$A67,RecoveredRaw!AU:AU)</f>
        <v>0</v>
      </c>
      <c r="AS67">
        <f>SUMIF(RecoveredRaw!$B:$B,$A67,RecoveredRaw!AV:AV)</f>
        <v>0</v>
      </c>
      <c r="AT67">
        <f>SUMIF(RecoveredRaw!$B:$B,$A67,RecoveredRaw!AW:AW)</f>
        <v>0</v>
      </c>
      <c r="AU67">
        <f>SUMIF(RecoveredRaw!$B:$B,$A67,RecoveredRaw!AX:AX)</f>
        <v>0</v>
      </c>
      <c r="AV67">
        <f>SUMIF(RecoveredRaw!$B:$B,$A67,RecoveredRaw!AY:AY)</f>
        <v>0</v>
      </c>
      <c r="AW67">
        <f>SUMIF(RecoveredRaw!$B:$B,$A67,RecoveredRaw!AZ:AZ)</f>
        <v>0</v>
      </c>
      <c r="AX67">
        <f>SUMIF(RecoveredRaw!$B:$B,$A67,RecoveredRaw!BA:BA)</f>
        <v>0</v>
      </c>
      <c r="AY67">
        <f>SUMIF(RecoveredRaw!$B:$B,$A67,RecoveredRaw!BB:BB)</f>
        <v>0</v>
      </c>
      <c r="AZ67">
        <f>SUMIF(RecoveredRaw!$B:$B,$A67,RecoveredRaw!BC:BC)</f>
        <v>0</v>
      </c>
      <c r="BA67">
        <f>SUMIF(RecoveredRaw!$B:$B,$A67,RecoveredRaw!BD:BD)</f>
        <v>0</v>
      </c>
      <c r="BB67">
        <f>SUMIF(RecoveredRaw!$B:$B,$A67,RecoveredRaw!BE:BE)</f>
        <v>0</v>
      </c>
      <c r="BC67">
        <f>SUMIF(RecoveredRaw!$B:$B,$A67,RecoveredRaw!BF:BF)</f>
        <v>0</v>
      </c>
      <c r="BD67">
        <f>SUMIF(RecoveredRaw!$B:$B,$A67,RecoveredRaw!BG:BG)</f>
        <v>0</v>
      </c>
      <c r="BE67">
        <f>SUMIF(RecoveredRaw!$B:$B,$A67,RecoveredRaw!BH:BH)</f>
        <v>0</v>
      </c>
      <c r="BF67">
        <f>SUMIF(RecoveredRaw!$B:$B,$A67,RecoveredRaw!BI:BI)</f>
        <v>0</v>
      </c>
      <c r="BG67">
        <f>SUMIF(RecoveredRaw!$B:$B,$A67,RecoveredRaw!BJ:BJ)</f>
        <v>0</v>
      </c>
      <c r="BH67">
        <f>SUMIF(RecoveredRaw!$B:$B,$A67,RecoveredRaw!BK:BK)</f>
        <v>0</v>
      </c>
      <c r="BI67">
        <f>SUMIF(RecoveredRaw!$B:$B,$A67,RecoveredRaw!BL:BL)</f>
        <v>0</v>
      </c>
      <c r="BJ67">
        <f>SUMIF(RecoveredRaw!$B:$B,$A67,RecoveredRaw!BM:BM)</f>
        <v>0</v>
      </c>
      <c r="BK67">
        <f>SUMIF(RecoveredRaw!$B:$B,$A67,RecoveredRaw!BN:BN)</f>
        <v>0</v>
      </c>
      <c r="BL67">
        <f>SUMIF(RecoveredRaw!$B:$B,$A67,RecoveredRaw!BO:BO)</f>
        <v>0</v>
      </c>
      <c r="BM67">
        <f>SUMIF(RecoveredRaw!$B:$B,$A67,RecoveredRaw!BP:BP)</f>
        <v>0</v>
      </c>
      <c r="BN67">
        <f>SUMIF(RecoveredRaw!$B:$B,$A67,RecoveredRaw!BQ:BQ)</f>
        <v>0</v>
      </c>
      <c r="BO67">
        <f>SUMIF(RecoveredRaw!$B:$B,$A67,RecoveredRaw!BR:BR)</f>
        <v>0</v>
      </c>
      <c r="BP67">
        <f>SUMIF(RecoveredRaw!$B:$B,$A67,RecoveredRaw!BS:BS)</f>
        <v>0</v>
      </c>
      <c r="BQ67">
        <f>SUMIF(RecoveredRaw!$B:$B,$A67,RecoveredRaw!BT:BT)</f>
        <v>0</v>
      </c>
      <c r="BR67">
        <f>SUMIF(RecoveredRaw!$B:$B,$A67,RecoveredRaw!BU:BU)</f>
        <v>0</v>
      </c>
      <c r="BS67">
        <f>SUMIF(RecoveredRaw!$B:$B,$A67,RecoveredRaw!BV:BV)</f>
        <v>0</v>
      </c>
      <c r="BT67">
        <f>SUMIF(RecoveredRaw!$B:$B,$A67,RecoveredRaw!BW:BW)</f>
        <v>0</v>
      </c>
    </row>
    <row r="68" spans="1:72" ht="15" thickBot="1" x14ac:dyDescent="0.35">
      <c r="A68" s="3" t="s">
        <v>159</v>
      </c>
      <c r="B68">
        <f>SUMIF(RecoveredRaw!$B:$B,$A68,RecoveredRaw!E:E)</f>
        <v>0</v>
      </c>
      <c r="C68">
        <f>SUMIF(RecoveredRaw!$B:$B,$A68,RecoveredRaw!F:F)</f>
        <v>0</v>
      </c>
      <c r="D68">
        <f>SUMIF(RecoveredRaw!$B:$B,$A68,RecoveredRaw!G:G)</f>
        <v>0</v>
      </c>
      <c r="E68">
        <f>SUMIF(RecoveredRaw!$B:$B,$A68,RecoveredRaw!H:H)</f>
        <v>0</v>
      </c>
      <c r="F68">
        <f>SUMIF(RecoveredRaw!$B:$B,$A68,RecoveredRaw!I:I)</f>
        <v>0</v>
      </c>
      <c r="G68">
        <f>SUMIF(RecoveredRaw!$B:$B,$A68,RecoveredRaw!J:J)</f>
        <v>0</v>
      </c>
      <c r="H68">
        <f>SUMIF(RecoveredRaw!$B:$B,$A68,RecoveredRaw!K:K)</f>
        <v>0</v>
      </c>
      <c r="I68">
        <f>SUMIF(RecoveredRaw!$B:$B,$A68,RecoveredRaw!L:L)</f>
        <v>0</v>
      </c>
      <c r="J68">
        <f>SUMIF(RecoveredRaw!$B:$B,$A68,RecoveredRaw!M:M)</f>
        <v>0</v>
      </c>
      <c r="K68">
        <f>SUMIF(RecoveredRaw!$B:$B,$A68,RecoveredRaw!N:N)</f>
        <v>0</v>
      </c>
      <c r="L68">
        <f>SUMIF(RecoveredRaw!$B:$B,$A68,RecoveredRaw!O:O)</f>
        <v>0</v>
      </c>
      <c r="M68">
        <f>SUMIF(RecoveredRaw!$B:$B,$A68,RecoveredRaw!P:P)</f>
        <v>0</v>
      </c>
      <c r="N68">
        <f>SUMIF(RecoveredRaw!$B:$B,$A68,RecoveredRaw!Q:Q)</f>
        <v>0</v>
      </c>
      <c r="O68">
        <f>SUMIF(RecoveredRaw!$B:$B,$A68,RecoveredRaw!R:R)</f>
        <v>0</v>
      </c>
      <c r="P68">
        <f>SUMIF(RecoveredRaw!$B:$B,$A68,RecoveredRaw!S:S)</f>
        <v>0</v>
      </c>
      <c r="Q68">
        <f>SUMIF(RecoveredRaw!$B:$B,$A68,RecoveredRaw!T:T)</f>
        <v>0</v>
      </c>
      <c r="R68">
        <f>SUMIF(RecoveredRaw!$B:$B,$A68,RecoveredRaw!U:U)</f>
        <v>0</v>
      </c>
      <c r="S68">
        <f>SUMIF(RecoveredRaw!$B:$B,$A68,RecoveredRaw!V:V)</f>
        <v>0</v>
      </c>
      <c r="T68">
        <f>SUMIF(RecoveredRaw!$B:$B,$A68,RecoveredRaw!W:W)</f>
        <v>0</v>
      </c>
      <c r="U68">
        <f>SUMIF(RecoveredRaw!$B:$B,$A68,RecoveredRaw!X:X)</f>
        <v>0</v>
      </c>
      <c r="V68">
        <f>SUMIF(RecoveredRaw!$B:$B,$A68,RecoveredRaw!Y:Y)</f>
        <v>0</v>
      </c>
      <c r="W68">
        <f>SUMIF(RecoveredRaw!$B:$B,$A68,RecoveredRaw!Z:Z)</f>
        <v>0</v>
      </c>
      <c r="X68">
        <f>SUMIF(RecoveredRaw!$B:$B,$A68,RecoveredRaw!AA:AA)</f>
        <v>0</v>
      </c>
      <c r="Y68">
        <f>SUMIF(RecoveredRaw!$B:$B,$A68,RecoveredRaw!AB:AB)</f>
        <v>0</v>
      </c>
      <c r="Z68">
        <f>SUMIF(RecoveredRaw!$B:$B,$A68,RecoveredRaw!AC:AC)</f>
        <v>0</v>
      </c>
      <c r="AA68">
        <f>SUMIF(RecoveredRaw!$B:$B,$A68,RecoveredRaw!AD:AD)</f>
        <v>0</v>
      </c>
      <c r="AB68">
        <f>SUMIF(RecoveredRaw!$B:$B,$A68,RecoveredRaw!AE:AE)</f>
        <v>0</v>
      </c>
      <c r="AC68">
        <f>SUMIF(RecoveredRaw!$B:$B,$A68,RecoveredRaw!AF:AF)</f>
        <v>0</v>
      </c>
      <c r="AD68">
        <f>SUMIF(RecoveredRaw!$B:$B,$A68,RecoveredRaw!AG:AG)</f>
        <v>0</v>
      </c>
      <c r="AE68">
        <f>SUMIF(RecoveredRaw!$B:$B,$A68,RecoveredRaw!AH:AH)</f>
        <v>0</v>
      </c>
      <c r="AF68">
        <f>SUMIF(RecoveredRaw!$B:$B,$A68,RecoveredRaw!AI:AI)</f>
        <v>0</v>
      </c>
      <c r="AG68">
        <f>SUMIF(RecoveredRaw!$B:$B,$A68,RecoveredRaw!AJ:AJ)</f>
        <v>0</v>
      </c>
      <c r="AH68">
        <f>SUMIF(RecoveredRaw!$B:$B,$A68,RecoveredRaw!AK:AK)</f>
        <v>0</v>
      </c>
      <c r="AI68">
        <f>SUMIF(RecoveredRaw!$B:$B,$A68,RecoveredRaw!AL:AL)</f>
        <v>0</v>
      </c>
      <c r="AJ68">
        <f>SUMIF(RecoveredRaw!$B:$B,$A68,RecoveredRaw!AM:AM)</f>
        <v>0</v>
      </c>
      <c r="AK68">
        <f>SUMIF(RecoveredRaw!$B:$B,$A68,RecoveredRaw!AN:AN)</f>
        <v>0</v>
      </c>
      <c r="AL68">
        <f>SUMIF(RecoveredRaw!$B:$B,$A68,RecoveredRaw!AO:AO)</f>
        <v>0</v>
      </c>
      <c r="AM68">
        <f>SUMIF(RecoveredRaw!$B:$B,$A68,RecoveredRaw!AP:AP)</f>
        <v>0</v>
      </c>
      <c r="AN68">
        <f>SUMIF(RecoveredRaw!$B:$B,$A68,RecoveredRaw!AQ:AQ)</f>
        <v>0</v>
      </c>
      <c r="AO68">
        <f>SUMIF(RecoveredRaw!$B:$B,$A68,RecoveredRaw!AR:AR)</f>
        <v>0</v>
      </c>
      <c r="AP68">
        <f>SUMIF(RecoveredRaw!$B:$B,$A68,RecoveredRaw!AS:AS)</f>
        <v>0</v>
      </c>
      <c r="AQ68">
        <f>SUMIF(RecoveredRaw!$B:$B,$A68,RecoveredRaw!AT:AT)</f>
        <v>0</v>
      </c>
      <c r="AR68">
        <f>SUMIF(RecoveredRaw!$B:$B,$A68,RecoveredRaw!AU:AU)</f>
        <v>0</v>
      </c>
      <c r="AS68">
        <f>SUMIF(RecoveredRaw!$B:$B,$A68,RecoveredRaw!AV:AV)</f>
        <v>0</v>
      </c>
      <c r="AT68">
        <f>SUMIF(RecoveredRaw!$B:$B,$A68,RecoveredRaw!AW:AW)</f>
        <v>0</v>
      </c>
      <c r="AU68">
        <f>SUMIF(RecoveredRaw!$B:$B,$A68,RecoveredRaw!AX:AX)</f>
        <v>0</v>
      </c>
      <c r="AV68">
        <f>SUMIF(RecoveredRaw!$B:$B,$A68,RecoveredRaw!AY:AY)</f>
        <v>0</v>
      </c>
      <c r="AW68">
        <f>SUMIF(RecoveredRaw!$B:$B,$A68,RecoveredRaw!AZ:AZ)</f>
        <v>0</v>
      </c>
      <c r="AX68">
        <f>SUMIF(RecoveredRaw!$B:$B,$A68,RecoveredRaw!BA:BA)</f>
        <v>0</v>
      </c>
      <c r="AY68">
        <f>SUMIF(RecoveredRaw!$B:$B,$A68,RecoveredRaw!BB:BB)</f>
        <v>0</v>
      </c>
      <c r="AZ68">
        <f>SUMIF(RecoveredRaw!$B:$B,$A68,RecoveredRaw!BC:BC)</f>
        <v>0</v>
      </c>
      <c r="BA68">
        <f>SUMIF(RecoveredRaw!$B:$B,$A68,RecoveredRaw!BD:BD)</f>
        <v>0</v>
      </c>
      <c r="BB68">
        <f>SUMIF(RecoveredRaw!$B:$B,$A68,RecoveredRaw!BE:BE)</f>
        <v>0</v>
      </c>
      <c r="BC68">
        <f>SUMIF(RecoveredRaw!$B:$B,$A68,RecoveredRaw!BF:BF)</f>
        <v>0</v>
      </c>
      <c r="BD68">
        <f>SUMIF(RecoveredRaw!$B:$B,$A68,RecoveredRaw!BG:BG)</f>
        <v>0</v>
      </c>
      <c r="BE68">
        <f>SUMIF(RecoveredRaw!$B:$B,$A68,RecoveredRaw!BH:BH)</f>
        <v>0</v>
      </c>
      <c r="BF68">
        <f>SUMIF(RecoveredRaw!$B:$B,$A68,RecoveredRaw!BI:BI)</f>
        <v>0</v>
      </c>
      <c r="BG68">
        <f>SUMIF(RecoveredRaw!$B:$B,$A68,RecoveredRaw!BJ:BJ)</f>
        <v>0</v>
      </c>
      <c r="BH68">
        <f>SUMIF(RecoveredRaw!$B:$B,$A68,RecoveredRaw!BK:BK)</f>
        <v>0</v>
      </c>
      <c r="BI68">
        <f>SUMIF(RecoveredRaw!$B:$B,$A68,RecoveredRaw!BL:BL)</f>
        <v>0</v>
      </c>
      <c r="BJ68">
        <f>SUMIF(RecoveredRaw!$B:$B,$A68,RecoveredRaw!BM:BM)</f>
        <v>0</v>
      </c>
      <c r="BK68">
        <f>SUMIF(RecoveredRaw!$B:$B,$A68,RecoveredRaw!BN:BN)</f>
        <v>0</v>
      </c>
      <c r="BL68">
        <f>SUMIF(RecoveredRaw!$B:$B,$A68,RecoveredRaw!BO:BO)</f>
        <v>0</v>
      </c>
      <c r="BM68">
        <f>SUMIF(RecoveredRaw!$B:$B,$A68,RecoveredRaw!BP:BP)</f>
        <v>0</v>
      </c>
      <c r="BN68">
        <f>SUMIF(RecoveredRaw!$B:$B,$A68,RecoveredRaw!BQ:BQ)</f>
        <v>0</v>
      </c>
      <c r="BO68">
        <f>SUMIF(RecoveredRaw!$B:$B,$A68,RecoveredRaw!BR:BR)</f>
        <v>0</v>
      </c>
      <c r="BP68">
        <f>SUMIF(RecoveredRaw!$B:$B,$A68,RecoveredRaw!BS:BS)</f>
        <v>0</v>
      </c>
      <c r="BQ68">
        <f>SUMIF(RecoveredRaw!$B:$B,$A68,RecoveredRaw!BT:BT)</f>
        <v>0</v>
      </c>
      <c r="BR68">
        <f>SUMIF(RecoveredRaw!$B:$B,$A68,RecoveredRaw!BU:BU)</f>
        <v>0</v>
      </c>
      <c r="BS68">
        <f>SUMIF(RecoveredRaw!$B:$B,$A68,RecoveredRaw!BV:BV)</f>
        <v>0</v>
      </c>
      <c r="BT68">
        <f>SUMIF(RecoveredRaw!$B:$B,$A68,RecoveredRaw!BW:BW)</f>
        <v>0</v>
      </c>
    </row>
    <row r="69" spans="1:72" ht="15" thickBot="1" x14ac:dyDescent="0.35">
      <c r="A69" s="4" t="s">
        <v>132</v>
      </c>
      <c r="B69">
        <f>SUMIF(RecoveredRaw!$B:$B,$A69,RecoveredRaw!E:E)</f>
        <v>0</v>
      </c>
      <c r="C69">
        <f>SUMIF(RecoveredRaw!$B:$B,$A69,RecoveredRaw!F:F)</f>
        <v>0</v>
      </c>
      <c r="D69">
        <f>SUMIF(RecoveredRaw!$B:$B,$A69,RecoveredRaw!G:G)</f>
        <v>0</v>
      </c>
      <c r="E69">
        <f>SUMIF(RecoveredRaw!$B:$B,$A69,RecoveredRaw!H:H)</f>
        <v>0</v>
      </c>
      <c r="F69">
        <f>SUMIF(RecoveredRaw!$B:$B,$A69,RecoveredRaw!I:I)</f>
        <v>0</v>
      </c>
      <c r="G69">
        <f>SUMIF(RecoveredRaw!$B:$B,$A69,RecoveredRaw!J:J)</f>
        <v>0</v>
      </c>
      <c r="H69">
        <f>SUMIF(RecoveredRaw!$B:$B,$A69,RecoveredRaw!K:K)</f>
        <v>0</v>
      </c>
      <c r="I69">
        <f>SUMIF(RecoveredRaw!$B:$B,$A69,RecoveredRaw!L:L)</f>
        <v>0</v>
      </c>
      <c r="J69">
        <f>SUMIF(RecoveredRaw!$B:$B,$A69,RecoveredRaw!M:M)</f>
        <v>0</v>
      </c>
      <c r="K69">
        <f>SUMIF(RecoveredRaw!$B:$B,$A69,RecoveredRaw!N:N)</f>
        <v>0</v>
      </c>
      <c r="L69">
        <f>SUMIF(RecoveredRaw!$B:$B,$A69,RecoveredRaw!O:O)</f>
        <v>0</v>
      </c>
      <c r="M69">
        <f>SUMIF(RecoveredRaw!$B:$B,$A69,RecoveredRaw!P:P)</f>
        <v>0</v>
      </c>
      <c r="N69">
        <f>SUMIF(RecoveredRaw!$B:$B,$A69,RecoveredRaw!Q:Q)</f>
        <v>0</v>
      </c>
      <c r="O69">
        <f>SUMIF(RecoveredRaw!$B:$B,$A69,RecoveredRaw!R:R)</f>
        <v>0</v>
      </c>
      <c r="P69">
        <f>SUMIF(RecoveredRaw!$B:$B,$A69,RecoveredRaw!S:S)</f>
        <v>0</v>
      </c>
      <c r="Q69">
        <f>SUMIF(RecoveredRaw!$B:$B,$A69,RecoveredRaw!T:T)</f>
        <v>0</v>
      </c>
      <c r="R69">
        <f>SUMIF(RecoveredRaw!$B:$B,$A69,RecoveredRaw!U:U)</f>
        <v>0</v>
      </c>
      <c r="S69">
        <f>SUMIF(RecoveredRaw!$B:$B,$A69,RecoveredRaw!V:V)</f>
        <v>0</v>
      </c>
      <c r="T69">
        <f>SUMIF(RecoveredRaw!$B:$B,$A69,RecoveredRaw!W:W)</f>
        <v>0</v>
      </c>
      <c r="U69">
        <f>SUMIF(RecoveredRaw!$B:$B,$A69,RecoveredRaw!X:X)</f>
        <v>0</v>
      </c>
      <c r="V69">
        <f>SUMIF(RecoveredRaw!$B:$B,$A69,RecoveredRaw!Y:Y)</f>
        <v>0</v>
      </c>
      <c r="W69">
        <f>SUMIF(RecoveredRaw!$B:$B,$A69,RecoveredRaw!Z:Z)</f>
        <v>0</v>
      </c>
      <c r="X69">
        <f>SUMIF(RecoveredRaw!$B:$B,$A69,RecoveredRaw!AA:AA)</f>
        <v>0</v>
      </c>
      <c r="Y69">
        <f>SUMIF(RecoveredRaw!$B:$B,$A69,RecoveredRaw!AB:AB)</f>
        <v>0</v>
      </c>
      <c r="Z69">
        <f>SUMIF(RecoveredRaw!$B:$B,$A69,RecoveredRaw!AC:AC)</f>
        <v>0</v>
      </c>
      <c r="AA69">
        <f>SUMIF(RecoveredRaw!$B:$B,$A69,RecoveredRaw!AD:AD)</f>
        <v>0</v>
      </c>
      <c r="AB69">
        <f>SUMIF(RecoveredRaw!$B:$B,$A69,RecoveredRaw!AE:AE)</f>
        <v>0</v>
      </c>
      <c r="AC69">
        <f>SUMIF(RecoveredRaw!$B:$B,$A69,RecoveredRaw!AF:AF)</f>
        <v>0</v>
      </c>
      <c r="AD69">
        <f>SUMIF(RecoveredRaw!$B:$B,$A69,RecoveredRaw!AG:AG)</f>
        <v>0</v>
      </c>
      <c r="AE69">
        <f>SUMIF(RecoveredRaw!$B:$B,$A69,RecoveredRaw!AH:AH)</f>
        <v>0</v>
      </c>
      <c r="AF69">
        <f>SUMIF(RecoveredRaw!$B:$B,$A69,RecoveredRaw!AI:AI)</f>
        <v>0</v>
      </c>
      <c r="AG69">
        <f>SUMIF(RecoveredRaw!$B:$B,$A69,RecoveredRaw!AJ:AJ)</f>
        <v>0</v>
      </c>
      <c r="AH69">
        <f>SUMIF(RecoveredRaw!$B:$B,$A69,RecoveredRaw!AK:AK)</f>
        <v>0</v>
      </c>
      <c r="AI69">
        <f>SUMIF(RecoveredRaw!$B:$B,$A69,RecoveredRaw!AL:AL)</f>
        <v>0</v>
      </c>
      <c r="AJ69">
        <f>SUMIF(RecoveredRaw!$B:$B,$A69,RecoveredRaw!AM:AM)</f>
        <v>0</v>
      </c>
      <c r="AK69">
        <f>SUMIF(RecoveredRaw!$B:$B,$A69,RecoveredRaw!AN:AN)</f>
        <v>0</v>
      </c>
      <c r="AL69">
        <f>SUMIF(RecoveredRaw!$B:$B,$A69,RecoveredRaw!AO:AO)</f>
        <v>0</v>
      </c>
      <c r="AM69">
        <f>SUMIF(RecoveredRaw!$B:$B,$A69,RecoveredRaw!AP:AP)</f>
        <v>0</v>
      </c>
      <c r="AN69">
        <f>SUMIF(RecoveredRaw!$B:$B,$A69,RecoveredRaw!AQ:AQ)</f>
        <v>0</v>
      </c>
      <c r="AO69">
        <f>SUMIF(RecoveredRaw!$B:$B,$A69,RecoveredRaw!AR:AR)</f>
        <v>0</v>
      </c>
      <c r="AP69">
        <f>SUMIF(RecoveredRaw!$B:$B,$A69,RecoveredRaw!AS:AS)</f>
        <v>0</v>
      </c>
      <c r="AQ69">
        <f>SUMIF(RecoveredRaw!$B:$B,$A69,RecoveredRaw!AT:AT)</f>
        <v>0</v>
      </c>
      <c r="AR69">
        <f>SUMIF(RecoveredRaw!$B:$B,$A69,RecoveredRaw!AU:AU)</f>
        <v>0</v>
      </c>
      <c r="AS69">
        <f>SUMIF(RecoveredRaw!$B:$B,$A69,RecoveredRaw!AV:AV)</f>
        <v>0</v>
      </c>
      <c r="AT69">
        <f>SUMIF(RecoveredRaw!$B:$B,$A69,RecoveredRaw!AW:AW)</f>
        <v>0</v>
      </c>
      <c r="AU69">
        <f>SUMIF(RecoveredRaw!$B:$B,$A69,RecoveredRaw!AX:AX)</f>
        <v>0</v>
      </c>
      <c r="AV69">
        <f>SUMIF(RecoveredRaw!$B:$B,$A69,RecoveredRaw!AY:AY)</f>
        <v>0</v>
      </c>
      <c r="AW69">
        <f>SUMIF(RecoveredRaw!$B:$B,$A69,RecoveredRaw!AZ:AZ)</f>
        <v>0</v>
      </c>
      <c r="AX69">
        <f>SUMIF(RecoveredRaw!$B:$B,$A69,RecoveredRaw!BA:BA)</f>
        <v>0</v>
      </c>
      <c r="AY69">
        <f>SUMIF(RecoveredRaw!$B:$B,$A69,RecoveredRaw!BB:BB)</f>
        <v>0</v>
      </c>
      <c r="AZ69">
        <f>SUMIF(RecoveredRaw!$B:$B,$A69,RecoveredRaw!BC:BC)</f>
        <v>0</v>
      </c>
      <c r="BA69">
        <f>SUMIF(RecoveredRaw!$B:$B,$A69,RecoveredRaw!BD:BD)</f>
        <v>0</v>
      </c>
      <c r="BB69">
        <f>SUMIF(RecoveredRaw!$B:$B,$A69,RecoveredRaw!BE:BE)</f>
        <v>1</v>
      </c>
      <c r="BC69">
        <f>SUMIF(RecoveredRaw!$B:$B,$A69,RecoveredRaw!BF:BF)</f>
        <v>1</v>
      </c>
      <c r="BD69">
        <f>SUMIF(RecoveredRaw!$B:$B,$A69,RecoveredRaw!BG:BG)</f>
        <v>1</v>
      </c>
      <c r="BE69">
        <f>SUMIF(RecoveredRaw!$B:$B,$A69,RecoveredRaw!BH:BH)</f>
        <v>2</v>
      </c>
      <c r="BF69">
        <f>SUMIF(RecoveredRaw!$B:$B,$A69,RecoveredRaw!BI:BI)</f>
        <v>2</v>
      </c>
      <c r="BG69">
        <f>SUMIF(RecoveredRaw!$B:$B,$A69,RecoveredRaw!BJ:BJ)</f>
        <v>0</v>
      </c>
      <c r="BH69">
        <f>SUMIF(RecoveredRaw!$B:$B,$A69,RecoveredRaw!BK:BK)</f>
        <v>0</v>
      </c>
      <c r="BI69">
        <f>SUMIF(RecoveredRaw!$B:$B,$A69,RecoveredRaw!BL:BL)</f>
        <v>0</v>
      </c>
      <c r="BJ69">
        <f>SUMIF(RecoveredRaw!$B:$B,$A69,RecoveredRaw!BM:BM)</f>
        <v>0</v>
      </c>
      <c r="BK69">
        <f>SUMIF(RecoveredRaw!$B:$B,$A69,RecoveredRaw!BN:BN)</f>
        <v>0</v>
      </c>
      <c r="BL69">
        <f>SUMIF(RecoveredRaw!$B:$B,$A69,RecoveredRaw!BO:BO)</f>
        <v>0</v>
      </c>
      <c r="BM69">
        <f>SUMIF(RecoveredRaw!$B:$B,$A69,RecoveredRaw!BP:BP)</f>
        <v>0</v>
      </c>
      <c r="BN69">
        <f>SUMIF(RecoveredRaw!$B:$B,$A69,RecoveredRaw!BQ:BQ)</f>
        <v>0</v>
      </c>
      <c r="BO69">
        <f>SUMIF(RecoveredRaw!$B:$B,$A69,RecoveredRaw!BR:BR)</f>
        <v>0</v>
      </c>
      <c r="BP69">
        <f>SUMIF(RecoveredRaw!$B:$B,$A69,RecoveredRaw!BS:BS)</f>
        <v>0</v>
      </c>
      <c r="BQ69">
        <f>SUMIF(RecoveredRaw!$B:$B,$A69,RecoveredRaw!BT:BT)</f>
        <v>0</v>
      </c>
      <c r="BR69">
        <f>SUMIF(RecoveredRaw!$B:$B,$A69,RecoveredRaw!BU:BU)</f>
        <v>0</v>
      </c>
      <c r="BS69">
        <f>SUMIF(RecoveredRaw!$B:$B,$A69,RecoveredRaw!BV:BV)</f>
        <v>0</v>
      </c>
      <c r="BT69">
        <f>SUMIF(RecoveredRaw!$B:$B,$A69,RecoveredRaw!BW:BW)</f>
        <v>0</v>
      </c>
    </row>
    <row r="70" spans="1:72" ht="15" thickBot="1" x14ac:dyDescent="0.35">
      <c r="A70" s="4" t="s">
        <v>71</v>
      </c>
      <c r="B70">
        <f>SUMIF(RecoveredRaw!$B:$B,$A70,RecoveredRaw!E:E)</f>
        <v>0</v>
      </c>
      <c r="C70">
        <f>SUMIF(RecoveredRaw!$B:$B,$A70,RecoveredRaw!F:F)</f>
        <v>0</v>
      </c>
      <c r="D70">
        <f>SUMIF(RecoveredRaw!$B:$B,$A70,RecoveredRaw!G:G)</f>
        <v>0</v>
      </c>
      <c r="E70">
        <f>SUMIF(RecoveredRaw!$B:$B,$A70,RecoveredRaw!H:H)</f>
        <v>0</v>
      </c>
      <c r="F70">
        <f>SUMIF(RecoveredRaw!$B:$B,$A70,RecoveredRaw!I:I)</f>
        <v>0</v>
      </c>
      <c r="G70">
        <f>SUMIF(RecoveredRaw!$B:$B,$A70,RecoveredRaw!J:J)</f>
        <v>0</v>
      </c>
      <c r="H70">
        <f>SUMIF(RecoveredRaw!$B:$B,$A70,RecoveredRaw!K:K)</f>
        <v>0</v>
      </c>
      <c r="I70">
        <f>SUMIF(RecoveredRaw!$B:$B,$A70,RecoveredRaw!L:L)</f>
        <v>0</v>
      </c>
      <c r="J70">
        <f>SUMIF(RecoveredRaw!$B:$B,$A70,RecoveredRaw!M:M)</f>
        <v>0</v>
      </c>
      <c r="K70">
        <f>SUMIF(RecoveredRaw!$B:$B,$A70,RecoveredRaw!N:N)</f>
        <v>0</v>
      </c>
      <c r="L70">
        <f>SUMIF(RecoveredRaw!$B:$B,$A70,RecoveredRaw!O:O)</f>
        <v>0</v>
      </c>
      <c r="M70">
        <f>SUMIF(RecoveredRaw!$B:$B,$A70,RecoveredRaw!P:P)</f>
        <v>0</v>
      </c>
      <c r="N70">
        <f>SUMIF(RecoveredRaw!$B:$B,$A70,RecoveredRaw!Q:Q)</f>
        <v>0</v>
      </c>
      <c r="O70">
        <f>SUMIF(RecoveredRaw!$B:$B,$A70,RecoveredRaw!R:R)</f>
        <v>0</v>
      </c>
      <c r="P70">
        <f>SUMIF(RecoveredRaw!$B:$B,$A70,RecoveredRaw!S:S)</f>
        <v>0</v>
      </c>
      <c r="Q70">
        <f>SUMIF(RecoveredRaw!$B:$B,$A70,RecoveredRaw!T:T)</f>
        <v>0</v>
      </c>
      <c r="R70">
        <f>SUMIF(RecoveredRaw!$B:$B,$A70,RecoveredRaw!U:U)</f>
        <v>0</v>
      </c>
      <c r="S70">
        <f>SUMIF(RecoveredRaw!$B:$B,$A70,RecoveredRaw!V:V)</f>
        <v>0</v>
      </c>
      <c r="T70">
        <f>SUMIF(RecoveredRaw!$B:$B,$A70,RecoveredRaw!W:W)</f>
        <v>0</v>
      </c>
      <c r="U70">
        <f>SUMIF(RecoveredRaw!$B:$B,$A70,RecoveredRaw!X:X)</f>
        <v>0</v>
      </c>
      <c r="V70">
        <f>SUMIF(RecoveredRaw!$B:$B,$A70,RecoveredRaw!Y:Y)</f>
        <v>0</v>
      </c>
      <c r="W70">
        <f>SUMIF(RecoveredRaw!$B:$B,$A70,RecoveredRaw!Z:Z)</f>
        <v>0</v>
      </c>
      <c r="X70">
        <f>SUMIF(RecoveredRaw!$B:$B,$A70,RecoveredRaw!AA:AA)</f>
        <v>0</v>
      </c>
      <c r="Y70">
        <f>SUMIF(RecoveredRaw!$B:$B,$A70,RecoveredRaw!AB:AB)</f>
        <v>0</v>
      </c>
      <c r="Z70">
        <f>SUMIF(RecoveredRaw!$B:$B,$A70,RecoveredRaw!AC:AC)</f>
        <v>0</v>
      </c>
      <c r="AA70">
        <f>SUMIF(RecoveredRaw!$B:$B,$A70,RecoveredRaw!AD:AD)</f>
        <v>0</v>
      </c>
      <c r="AB70">
        <f>SUMIF(RecoveredRaw!$B:$B,$A70,RecoveredRaw!AE:AE)</f>
        <v>0</v>
      </c>
      <c r="AC70">
        <f>SUMIF(RecoveredRaw!$B:$B,$A70,RecoveredRaw!AF:AF)</f>
        <v>0</v>
      </c>
      <c r="AD70">
        <f>SUMIF(RecoveredRaw!$B:$B,$A70,RecoveredRaw!AG:AG)</f>
        <v>0</v>
      </c>
      <c r="AE70">
        <f>SUMIF(RecoveredRaw!$B:$B,$A70,RecoveredRaw!AH:AH)</f>
        <v>0</v>
      </c>
      <c r="AF70">
        <f>SUMIF(RecoveredRaw!$B:$B,$A70,RecoveredRaw!AI:AI)</f>
        <v>0</v>
      </c>
      <c r="AG70">
        <f>SUMIF(RecoveredRaw!$B:$B,$A70,RecoveredRaw!AJ:AJ)</f>
        <v>0</v>
      </c>
      <c r="AH70">
        <f>SUMIF(RecoveredRaw!$B:$B,$A70,RecoveredRaw!AK:AK)</f>
        <v>0</v>
      </c>
      <c r="AI70">
        <f>SUMIF(RecoveredRaw!$B:$B,$A70,RecoveredRaw!AL:AL)</f>
        <v>0</v>
      </c>
      <c r="AJ70">
        <f>SUMIF(RecoveredRaw!$B:$B,$A70,RecoveredRaw!AM:AM)</f>
        <v>0</v>
      </c>
      <c r="AK70">
        <f>SUMIF(RecoveredRaw!$B:$B,$A70,RecoveredRaw!AN:AN)</f>
        <v>0</v>
      </c>
      <c r="AL70">
        <f>SUMIF(RecoveredRaw!$B:$B,$A70,RecoveredRaw!AO:AO)</f>
        <v>0</v>
      </c>
      <c r="AM70">
        <f>SUMIF(RecoveredRaw!$B:$B,$A70,RecoveredRaw!AP:AP)</f>
        <v>0</v>
      </c>
      <c r="AN70">
        <f>SUMIF(RecoveredRaw!$B:$B,$A70,RecoveredRaw!AQ:AQ)</f>
        <v>1</v>
      </c>
      <c r="AO70">
        <f>SUMIF(RecoveredRaw!$B:$B,$A70,RecoveredRaw!AR:AR)</f>
        <v>1</v>
      </c>
      <c r="AP70">
        <f>SUMIF(RecoveredRaw!$B:$B,$A70,RecoveredRaw!AS:AS)</f>
        <v>1</v>
      </c>
      <c r="AQ70">
        <f>SUMIF(RecoveredRaw!$B:$B,$A70,RecoveredRaw!AT:AT)</f>
        <v>2</v>
      </c>
      <c r="AR70">
        <f>SUMIF(RecoveredRaw!$B:$B,$A70,RecoveredRaw!AU:AU)</f>
        <v>2</v>
      </c>
      <c r="AS70">
        <f>SUMIF(RecoveredRaw!$B:$B,$A70,RecoveredRaw!AV:AV)</f>
        <v>2</v>
      </c>
      <c r="AT70">
        <f>SUMIF(RecoveredRaw!$B:$B,$A70,RecoveredRaw!AW:AW)</f>
        <v>2</v>
      </c>
      <c r="AU70">
        <f>SUMIF(RecoveredRaw!$B:$B,$A70,RecoveredRaw!AX:AX)</f>
        <v>2</v>
      </c>
      <c r="AV70">
        <f>SUMIF(RecoveredRaw!$B:$B,$A70,RecoveredRaw!AY:AY)</f>
        <v>2</v>
      </c>
      <c r="AW70">
        <f>SUMIF(RecoveredRaw!$B:$B,$A70,RecoveredRaw!AZ:AZ)</f>
        <v>2</v>
      </c>
      <c r="AX70">
        <f>SUMIF(RecoveredRaw!$B:$B,$A70,RecoveredRaw!BA:BA)</f>
        <v>9</v>
      </c>
      <c r="AY70">
        <f>SUMIF(RecoveredRaw!$B:$B,$A70,RecoveredRaw!BB:BB)</f>
        <v>9</v>
      </c>
      <c r="AZ70">
        <f>SUMIF(RecoveredRaw!$B:$B,$A70,RecoveredRaw!BC:BC)</f>
        <v>9</v>
      </c>
      <c r="BA70">
        <f>SUMIF(RecoveredRaw!$B:$B,$A70,RecoveredRaw!BD:BD)</f>
        <v>9</v>
      </c>
      <c r="BB70">
        <f>SUMIF(RecoveredRaw!$B:$B,$A70,RecoveredRaw!BE:BE)</f>
        <v>9</v>
      </c>
      <c r="BC70">
        <f>SUMIF(RecoveredRaw!$B:$B,$A70,RecoveredRaw!BF:BF)</f>
        <v>9</v>
      </c>
      <c r="BD70">
        <f>SUMIF(RecoveredRaw!$B:$B,$A70,RecoveredRaw!BG:BG)</f>
        <v>9</v>
      </c>
      <c r="BE70">
        <f>SUMIF(RecoveredRaw!$B:$B,$A70,RecoveredRaw!BH:BH)</f>
        <v>9</v>
      </c>
      <c r="BF70">
        <f>SUMIF(RecoveredRaw!$B:$B,$A70,RecoveredRaw!BI:BI)</f>
        <v>12</v>
      </c>
      <c r="BG70">
        <f>SUMIF(RecoveredRaw!$B:$B,$A70,RecoveredRaw!BJ:BJ)</f>
        <v>0</v>
      </c>
      <c r="BH70">
        <f>SUMIF(RecoveredRaw!$B:$B,$A70,RecoveredRaw!BK:BK)</f>
        <v>0</v>
      </c>
      <c r="BI70">
        <f>SUMIF(RecoveredRaw!$B:$B,$A70,RecoveredRaw!BL:BL)</f>
        <v>0</v>
      </c>
      <c r="BJ70">
        <f>SUMIF(RecoveredRaw!$B:$B,$A70,RecoveredRaw!BM:BM)</f>
        <v>0</v>
      </c>
      <c r="BK70">
        <f>SUMIF(RecoveredRaw!$B:$B,$A70,RecoveredRaw!BN:BN)</f>
        <v>0</v>
      </c>
      <c r="BL70">
        <f>SUMIF(RecoveredRaw!$B:$B,$A70,RecoveredRaw!BO:BO)</f>
        <v>0</v>
      </c>
      <c r="BM70">
        <f>SUMIF(RecoveredRaw!$B:$B,$A70,RecoveredRaw!BP:BP)</f>
        <v>0</v>
      </c>
      <c r="BN70">
        <f>SUMIF(RecoveredRaw!$B:$B,$A70,RecoveredRaw!BQ:BQ)</f>
        <v>0</v>
      </c>
      <c r="BO70">
        <f>SUMIF(RecoveredRaw!$B:$B,$A70,RecoveredRaw!BR:BR)</f>
        <v>0</v>
      </c>
      <c r="BP70">
        <f>SUMIF(RecoveredRaw!$B:$B,$A70,RecoveredRaw!BS:BS)</f>
        <v>0</v>
      </c>
      <c r="BQ70">
        <f>SUMIF(RecoveredRaw!$B:$B,$A70,RecoveredRaw!BT:BT)</f>
        <v>0</v>
      </c>
      <c r="BR70">
        <f>SUMIF(RecoveredRaw!$B:$B,$A70,RecoveredRaw!BU:BU)</f>
        <v>0</v>
      </c>
      <c r="BS70">
        <f>SUMIF(RecoveredRaw!$B:$B,$A70,RecoveredRaw!BV:BV)</f>
        <v>0</v>
      </c>
      <c r="BT70">
        <f>SUMIF(RecoveredRaw!$B:$B,$A70,RecoveredRaw!BW:BW)</f>
        <v>0</v>
      </c>
    </row>
    <row r="71" spans="1:72" ht="15" thickBot="1" x14ac:dyDescent="0.35">
      <c r="A71" s="4" t="s">
        <v>103</v>
      </c>
      <c r="B71">
        <f>SUMIF(RecoveredRaw!$B:$B,$A71,RecoveredRaw!E:E)</f>
        <v>0</v>
      </c>
      <c r="C71">
        <f>SUMIF(RecoveredRaw!$B:$B,$A71,RecoveredRaw!F:F)</f>
        <v>0</v>
      </c>
      <c r="D71">
        <f>SUMIF(RecoveredRaw!$B:$B,$A71,RecoveredRaw!G:G)</f>
        <v>0</v>
      </c>
      <c r="E71">
        <f>SUMIF(RecoveredRaw!$B:$B,$A71,RecoveredRaw!H:H)</f>
        <v>0</v>
      </c>
      <c r="F71">
        <f>SUMIF(RecoveredRaw!$B:$B,$A71,RecoveredRaw!I:I)</f>
        <v>0</v>
      </c>
      <c r="G71">
        <f>SUMIF(RecoveredRaw!$B:$B,$A71,RecoveredRaw!J:J)</f>
        <v>0</v>
      </c>
      <c r="H71">
        <f>SUMIF(RecoveredRaw!$B:$B,$A71,RecoveredRaw!K:K)</f>
        <v>0</v>
      </c>
      <c r="I71">
        <f>SUMIF(RecoveredRaw!$B:$B,$A71,RecoveredRaw!L:L)</f>
        <v>0</v>
      </c>
      <c r="J71">
        <f>SUMIF(RecoveredRaw!$B:$B,$A71,RecoveredRaw!M:M)</f>
        <v>0</v>
      </c>
      <c r="K71">
        <f>SUMIF(RecoveredRaw!$B:$B,$A71,RecoveredRaw!N:N)</f>
        <v>0</v>
      </c>
      <c r="L71">
        <f>SUMIF(RecoveredRaw!$B:$B,$A71,RecoveredRaw!O:O)</f>
        <v>0</v>
      </c>
      <c r="M71">
        <f>SUMIF(RecoveredRaw!$B:$B,$A71,RecoveredRaw!P:P)</f>
        <v>0</v>
      </c>
      <c r="N71">
        <f>SUMIF(RecoveredRaw!$B:$B,$A71,RecoveredRaw!Q:Q)</f>
        <v>0</v>
      </c>
      <c r="O71">
        <f>SUMIF(RecoveredRaw!$B:$B,$A71,RecoveredRaw!R:R)</f>
        <v>0</v>
      </c>
      <c r="P71">
        <f>SUMIF(RecoveredRaw!$B:$B,$A71,RecoveredRaw!S:S)</f>
        <v>0</v>
      </c>
      <c r="Q71">
        <f>SUMIF(RecoveredRaw!$B:$B,$A71,RecoveredRaw!T:T)</f>
        <v>0</v>
      </c>
      <c r="R71">
        <f>SUMIF(RecoveredRaw!$B:$B,$A71,RecoveredRaw!U:U)</f>
        <v>0</v>
      </c>
      <c r="S71">
        <f>SUMIF(RecoveredRaw!$B:$B,$A71,RecoveredRaw!V:V)</f>
        <v>0</v>
      </c>
      <c r="T71">
        <f>SUMIF(RecoveredRaw!$B:$B,$A71,RecoveredRaw!W:W)</f>
        <v>0</v>
      </c>
      <c r="U71">
        <f>SUMIF(RecoveredRaw!$B:$B,$A71,RecoveredRaw!X:X)</f>
        <v>0</v>
      </c>
      <c r="V71">
        <f>SUMIF(RecoveredRaw!$B:$B,$A71,RecoveredRaw!Y:Y)</f>
        <v>0</v>
      </c>
      <c r="W71">
        <f>SUMIF(RecoveredRaw!$B:$B,$A71,RecoveredRaw!Z:Z)</f>
        <v>0</v>
      </c>
      <c r="X71">
        <f>SUMIF(RecoveredRaw!$B:$B,$A71,RecoveredRaw!AA:AA)</f>
        <v>0</v>
      </c>
      <c r="Y71">
        <f>SUMIF(RecoveredRaw!$B:$B,$A71,RecoveredRaw!AB:AB)</f>
        <v>0</v>
      </c>
      <c r="Z71">
        <f>SUMIF(RecoveredRaw!$B:$B,$A71,RecoveredRaw!AC:AC)</f>
        <v>0</v>
      </c>
      <c r="AA71">
        <f>SUMIF(RecoveredRaw!$B:$B,$A71,RecoveredRaw!AD:AD)</f>
        <v>0</v>
      </c>
      <c r="AB71">
        <f>SUMIF(RecoveredRaw!$B:$B,$A71,RecoveredRaw!AE:AE)</f>
        <v>0</v>
      </c>
      <c r="AC71">
        <f>SUMIF(RecoveredRaw!$B:$B,$A71,RecoveredRaw!AF:AF)</f>
        <v>0</v>
      </c>
      <c r="AD71">
        <f>SUMIF(RecoveredRaw!$B:$B,$A71,RecoveredRaw!AG:AG)</f>
        <v>0</v>
      </c>
      <c r="AE71">
        <f>SUMIF(RecoveredRaw!$B:$B,$A71,RecoveredRaw!AH:AH)</f>
        <v>0</v>
      </c>
      <c r="AF71">
        <f>SUMIF(RecoveredRaw!$B:$B,$A71,RecoveredRaw!AI:AI)</f>
        <v>0</v>
      </c>
      <c r="AG71">
        <f>SUMIF(RecoveredRaw!$B:$B,$A71,RecoveredRaw!AJ:AJ)</f>
        <v>0</v>
      </c>
      <c r="AH71">
        <f>SUMIF(RecoveredRaw!$B:$B,$A71,RecoveredRaw!AK:AK)</f>
        <v>0</v>
      </c>
      <c r="AI71">
        <f>SUMIF(RecoveredRaw!$B:$B,$A71,RecoveredRaw!AL:AL)</f>
        <v>0</v>
      </c>
      <c r="AJ71">
        <f>SUMIF(RecoveredRaw!$B:$B,$A71,RecoveredRaw!AM:AM)</f>
        <v>0</v>
      </c>
      <c r="AK71">
        <f>SUMIF(RecoveredRaw!$B:$B,$A71,RecoveredRaw!AN:AN)</f>
        <v>0</v>
      </c>
      <c r="AL71">
        <f>SUMIF(RecoveredRaw!$B:$B,$A71,RecoveredRaw!AO:AO)</f>
        <v>0</v>
      </c>
      <c r="AM71">
        <f>SUMIF(RecoveredRaw!$B:$B,$A71,RecoveredRaw!AP:AP)</f>
        <v>0</v>
      </c>
      <c r="AN71">
        <f>SUMIF(RecoveredRaw!$B:$B,$A71,RecoveredRaw!AQ:AQ)</f>
        <v>0</v>
      </c>
      <c r="AO71">
        <f>SUMIF(RecoveredRaw!$B:$B,$A71,RecoveredRaw!AR:AR)</f>
        <v>0</v>
      </c>
      <c r="AP71">
        <f>SUMIF(RecoveredRaw!$B:$B,$A71,RecoveredRaw!AS:AS)</f>
        <v>0</v>
      </c>
      <c r="AQ71">
        <f>SUMIF(RecoveredRaw!$B:$B,$A71,RecoveredRaw!AT:AT)</f>
        <v>0</v>
      </c>
      <c r="AR71">
        <f>SUMIF(RecoveredRaw!$B:$B,$A71,RecoveredRaw!AU:AU)</f>
        <v>0</v>
      </c>
      <c r="AS71">
        <f>SUMIF(RecoveredRaw!$B:$B,$A71,RecoveredRaw!AV:AV)</f>
        <v>0</v>
      </c>
      <c r="AT71">
        <f>SUMIF(RecoveredRaw!$B:$B,$A71,RecoveredRaw!AW:AW)</f>
        <v>0</v>
      </c>
      <c r="AU71">
        <f>SUMIF(RecoveredRaw!$B:$B,$A71,RecoveredRaw!AX:AX)</f>
        <v>0</v>
      </c>
      <c r="AV71">
        <f>SUMIF(RecoveredRaw!$B:$B,$A71,RecoveredRaw!AY:AY)</f>
        <v>0</v>
      </c>
      <c r="AW71">
        <f>SUMIF(RecoveredRaw!$B:$B,$A71,RecoveredRaw!AZ:AZ)</f>
        <v>0</v>
      </c>
      <c r="AX71">
        <f>SUMIF(RecoveredRaw!$B:$B,$A71,RecoveredRaw!BA:BA)</f>
        <v>0</v>
      </c>
      <c r="AY71">
        <f>SUMIF(RecoveredRaw!$B:$B,$A71,RecoveredRaw!BB:BB)</f>
        <v>0</v>
      </c>
      <c r="AZ71">
        <f>SUMIF(RecoveredRaw!$B:$B,$A71,RecoveredRaw!BC:BC)</f>
        <v>0</v>
      </c>
      <c r="BA71">
        <f>SUMIF(RecoveredRaw!$B:$B,$A71,RecoveredRaw!BD:BD)</f>
        <v>0</v>
      </c>
      <c r="BB71">
        <f>SUMIF(RecoveredRaw!$B:$B,$A71,RecoveredRaw!BE:BE)</f>
        <v>0</v>
      </c>
      <c r="BC71">
        <f>SUMIF(RecoveredRaw!$B:$B,$A71,RecoveredRaw!BF:BF)</f>
        <v>0</v>
      </c>
      <c r="BD71">
        <f>SUMIF(RecoveredRaw!$B:$B,$A71,RecoveredRaw!BG:BG)</f>
        <v>0</v>
      </c>
      <c r="BE71">
        <f>SUMIF(RecoveredRaw!$B:$B,$A71,RecoveredRaw!BH:BH)</f>
        <v>0</v>
      </c>
      <c r="BF71">
        <f>SUMIF(RecoveredRaw!$B:$B,$A71,RecoveredRaw!BI:BI)</f>
        <v>0</v>
      </c>
      <c r="BG71">
        <f>SUMIF(RecoveredRaw!$B:$B,$A71,RecoveredRaw!BJ:BJ)</f>
        <v>0</v>
      </c>
      <c r="BH71">
        <f>SUMIF(RecoveredRaw!$B:$B,$A71,RecoveredRaw!BK:BK)</f>
        <v>0</v>
      </c>
      <c r="BI71">
        <f>SUMIF(RecoveredRaw!$B:$B,$A71,RecoveredRaw!BL:BL)</f>
        <v>0</v>
      </c>
      <c r="BJ71">
        <f>SUMIF(RecoveredRaw!$B:$B,$A71,RecoveredRaw!BM:BM)</f>
        <v>0</v>
      </c>
      <c r="BK71">
        <f>SUMIF(RecoveredRaw!$B:$B,$A71,RecoveredRaw!BN:BN)</f>
        <v>0</v>
      </c>
      <c r="BL71">
        <f>SUMIF(RecoveredRaw!$B:$B,$A71,RecoveredRaw!BO:BO)</f>
        <v>0</v>
      </c>
      <c r="BM71">
        <f>SUMIF(RecoveredRaw!$B:$B,$A71,RecoveredRaw!BP:BP)</f>
        <v>0</v>
      </c>
      <c r="BN71">
        <f>SUMIF(RecoveredRaw!$B:$B,$A71,RecoveredRaw!BQ:BQ)</f>
        <v>0</v>
      </c>
      <c r="BO71">
        <f>SUMIF(RecoveredRaw!$B:$B,$A71,RecoveredRaw!BR:BR)</f>
        <v>0</v>
      </c>
      <c r="BP71">
        <f>SUMIF(RecoveredRaw!$B:$B,$A71,RecoveredRaw!BS:BS)</f>
        <v>0</v>
      </c>
      <c r="BQ71">
        <f>SUMIF(RecoveredRaw!$B:$B,$A71,RecoveredRaw!BT:BT)</f>
        <v>0</v>
      </c>
      <c r="BR71">
        <f>SUMIF(RecoveredRaw!$B:$B,$A71,RecoveredRaw!BU:BU)</f>
        <v>0</v>
      </c>
      <c r="BS71">
        <f>SUMIF(RecoveredRaw!$B:$B,$A71,RecoveredRaw!BV:BV)</f>
        <v>0</v>
      </c>
      <c r="BT71">
        <f>SUMIF(RecoveredRaw!$B:$B,$A71,RecoveredRaw!BW:BW)</f>
        <v>0</v>
      </c>
    </row>
    <row r="72" spans="1:72" ht="15" thickBot="1" x14ac:dyDescent="0.35">
      <c r="A72" s="4" t="s">
        <v>111</v>
      </c>
      <c r="B72">
        <f>SUMIF(RecoveredRaw!$B:$B,$A72,RecoveredRaw!E:E)</f>
        <v>0</v>
      </c>
      <c r="C72">
        <f>SUMIF(RecoveredRaw!$B:$B,$A72,RecoveredRaw!F:F)</f>
        <v>0</v>
      </c>
      <c r="D72">
        <f>SUMIF(RecoveredRaw!$B:$B,$A72,RecoveredRaw!G:G)</f>
        <v>0</v>
      </c>
      <c r="E72">
        <f>SUMIF(RecoveredRaw!$B:$B,$A72,RecoveredRaw!H:H)</f>
        <v>0</v>
      </c>
      <c r="F72">
        <f>SUMIF(RecoveredRaw!$B:$B,$A72,RecoveredRaw!I:I)</f>
        <v>0</v>
      </c>
      <c r="G72">
        <f>SUMIF(RecoveredRaw!$B:$B,$A72,RecoveredRaw!J:J)</f>
        <v>0</v>
      </c>
      <c r="H72">
        <f>SUMIF(RecoveredRaw!$B:$B,$A72,RecoveredRaw!K:K)</f>
        <v>0</v>
      </c>
      <c r="I72">
        <f>SUMIF(RecoveredRaw!$B:$B,$A72,RecoveredRaw!L:L)</f>
        <v>0</v>
      </c>
      <c r="J72">
        <f>SUMIF(RecoveredRaw!$B:$B,$A72,RecoveredRaw!M:M)</f>
        <v>0</v>
      </c>
      <c r="K72">
        <f>SUMIF(RecoveredRaw!$B:$B,$A72,RecoveredRaw!N:N)</f>
        <v>0</v>
      </c>
      <c r="L72">
        <f>SUMIF(RecoveredRaw!$B:$B,$A72,RecoveredRaw!O:O)</f>
        <v>0</v>
      </c>
      <c r="M72">
        <f>SUMIF(RecoveredRaw!$B:$B,$A72,RecoveredRaw!P:P)</f>
        <v>0</v>
      </c>
      <c r="N72">
        <f>SUMIF(RecoveredRaw!$B:$B,$A72,RecoveredRaw!Q:Q)</f>
        <v>0</v>
      </c>
      <c r="O72">
        <f>SUMIF(RecoveredRaw!$B:$B,$A72,RecoveredRaw!R:R)</f>
        <v>0</v>
      </c>
      <c r="P72">
        <f>SUMIF(RecoveredRaw!$B:$B,$A72,RecoveredRaw!S:S)</f>
        <v>0</v>
      </c>
      <c r="Q72">
        <f>SUMIF(RecoveredRaw!$B:$B,$A72,RecoveredRaw!T:T)</f>
        <v>0</v>
      </c>
      <c r="R72">
        <f>SUMIF(RecoveredRaw!$B:$B,$A72,RecoveredRaw!U:U)</f>
        <v>0</v>
      </c>
      <c r="S72">
        <f>SUMIF(RecoveredRaw!$B:$B,$A72,RecoveredRaw!V:V)</f>
        <v>0</v>
      </c>
      <c r="T72">
        <f>SUMIF(RecoveredRaw!$B:$B,$A72,RecoveredRaw!W:W)</f>
        <v>0</v>
      </c>
      <c r="U72">
        <f>SUMIF(RecoveredRaw!$B:$B,$A72,RecoveredRaw!X:X)</f>
        <v>0</v>
      </c>
      <c r="V72">
        <f>SUMIF(RecoveredRaw!$B:$B,$A72,RecoveredRaw!Y:Y)</f>
        <v>0</v>
      </c>
      <c r="W72">
        <f>SUMIF(RecoveredRaw!$B:$B,$A72,RecoveredRaw!Z:Z)</f>
        <v>0</v>
      </c>
      <c r="X72">
        <f>SUMIF(RecoveredRaw!$B:$B,$A72,RecoveredRaw!AA:AA)</f>
        <v>0</v>
      </c>
      <c r="Y72">
        <f>SUMIF(RecoveredRaw!$B:$B,$A72,RecoveredRaw!AB:AB)</f>
        <v>0</v>
      </c>
      <c r="Z72">
        <f>SUMIF(RecoveredRaw!$B:$B,$A72,RecoveredRaw!AC:AC)</f>
        <v>0</v>
      </c>
      <c r="AA72">
        <f>SUMIF(RecoveredRaw!$B:$B,$A72,RecoveredRaw!AD:AD)</f>
        <v>0</v>
      </c>
      <c r="AB72">
        <f>SUMIF(RecoveredRaw!$B:$B,$A72,RecoveredRaw!AE:AE)</f>
        <v>0</v>
      </c>
      <c r="AC72">
        <f>SUMIF(RecoveredRaw!$B:$B,$A72,RecoveredRaw!AF:AF)</f>
        <v>0</v>
      </c>
      <c r="AD72">
        <f>SUMIF(RecoveredRaw!$B:$B,$A72,RecoveredRaw!AG:AG)</f>
        <v>0</v>
      </c>
      <c r="AE72">
        <f>SUMIF(RecoveredRaw!$B:$B,$A72,RecoveredRaw!AH:AH)</f>
        <v>0</v>
      </c>
      <c r="AF72">
        <f>SUMIF(RecoveredRaw!$B:$B,$A72,RecoveredRaw!AI:AI)</f>
        <v>0</v>
      </c>
      <c r="AG72">
        <f>SUMIF(RecoveredRaw!$B:$B,$A72,RecoveredRaw!AJ:AJ)</f>
        <v>0</v>
      </c>
      <c r="AH72">
        <f>SUMIF(RecoveredRaw!$B:$B,$A72,RecoveredRaw!AK:AK)</f>
        <v>0</v>
      </c>
      <c r="AI72">
        <f>SUMIF(RecoveredRaw!$B:$B,$A72,RecoveredRaw!AL:AL)</f>
        <v>0</v>
      </c>
      <c r="AJ72">
        <f>SUMIF(RecoveredRaw!$B:$B,$A72,RecoveredRaw!AM:AM)</f>
        <v>0</v>
      </c>
      <c r="AK72">
        <f>SUMIF(RecoveredRaw!$B:$B,$A72,RecoveredRaw!AN:AN)</f>
        <v>0</v>
      </c>
      <c r="AL72">
        <f>SUMIF(RecoveredRaw!$B:$B,$A72,RecoveredRaw!AO:AO)</f>
        <v>0</v>
      </c>
      <c r="AM72">
        <f>SUMIF(RecoveredRaw!$B:$B,$A72,RecoveredRaw!AP:AP)</f>
        <v>0</v>
      </c>
      <c r="AN72">
        <f>SUMIF(RecoveredRaw!$B:$B,$A72,RecoveredRaw!AQ:AQ)</f>
        <v>0</v>
      </c>
      <c r="AO72">
        <f>SUMIF(RecoveredRaw!$B:$B,$A72,RecoveredRaw!AR:AR)</f>
        <v>0</v>
      </c>
      <c r="AP72">
        <f>SUMIF(RecoveredRaw!$B:$B,$A72,RecoveredRaw!AS:AS)</f>
        <v>0</v>
      </c>
      <c r="AQ72">
        <f>SUMIF(RecoveredRaw!$B:$B,$A72,RecoveredRaw!AT:AT)</f>
        <v>0</v>
      </c>
      <c r="AR72">
        <f>SUMIF(RecoveredRaw!$B:$B,$A72,RecoveredRaw!AU:AU)</f>
        <v>0</v>
      </c>
      <c r="AS72">
        <f>SUMIF(RecoveredRaw!$B:$B,$A72,RecoveredRaw!AV:AV)</f>
        <v>0</v>
      </c>
      <c r="AT72">
        <f>SUMIF(RecoveredRaw!$B:$B,$A72,RecoveredRaw!AW:AW)</f>
        <v>0</v>
      </c>
      <c r="AU72">
        <f>SUMIF(RecoveredRaw!$B:$B,$A72,RecoveredRaw!AX:AX)</f>
        <v>0</v>
      </c>
      <c r="AV72">
        <f>SUMIF(RecoveredRaw!$B:$B,$A72,RecoveredRaw!AY:AY)</f>
        <v>0</v>
      </c>
      <c r="AW72">
        <f>SUMIF(RecoveredRaw!$B:$B,$A72,RecoveredRaw!AZ:AZ)</f>
        <v>0</v>
      </c>
      <c r="AX72">
        <f>SUMIF(RecoveredRaw!$B:$B,$A72,RecoveredRaw!BA:BA)</f>
        <v>1</v>
      </c>
      <c r="AY72">
        <f>SUMIF(RecoveredRaw!$B:$B,$A72,RecoveredRaw!BB:BB)</f>
        <v>1</v>
      </c>
      <c r="AZ72">
        <f>SUMIF(RecoveredRaw!$B:$B,$A72,RecoveredRaw!BC:BC)</f>
        <v>1</v>
      </c>
      <c r="BA72">
        <f>SUMIF(RecoveredRaw!$B:$B,$A72,RecoveredRaw!BD:BD)</f>
        <v>1</v>
      </c>
      <c r="BB72">
        <f>SUMIF(RecoveredRaw!$B:$B,$A72,RecoveredRaw!BE:BE)</f>
        <v>1</v>
      </c>
      <c r="BC72">
        <f>SUMIF(RecoveredRaw!$B:$B,$A72,RecoveredRaw!BF:BF)</f>
        <v>1</v>
      </c>
      <c r="BD72">
        <f>SUMIF(RecoveredRaw!$B:$B,$A72,RecoveredRaw!BG:BG)</f>
        <v>1</v>
      </c>
      <c r="BE72">
        <f>SUMIF(RecoveredRaw!$B:$B,$A72,RecoveredRaw!BH:BH)</f>
        <v>1</v>
      </c>
      <c r="BF72">
        <f>SUMIF(RecoveredRaw!$B:$B,$A72,RecoveredRaw!BI:BI)</f>
        <v>1</v>
      </c>
      <c r="BG72">
        <f>SUMIF(RecoveredRaw!$B:$B,$A72,RecoveredRaw!BJ:BJ)</f>
        <v>0</v>
      </c>
      <c r="BH72">
        <f>SUMIF(RecoveredRaw!$B:$B,$A72,RecoveredRaw!BK:BK)</f>
        <v>0</v>
      </c>
      <c r="BI72">
        <f>SUMIF(RecoveredRaw!$B:$B,$A72,RecoveredRaw!BL:BL)</f>
        <v>0</v>
      </c>
      <c r="BJ72">
        <f>SUMIF(RecoveredRaw!$B:$B,$A72,RecoveredRaw!BM:BM)</f>
        <v>0</v>
      </c>
      <c r="BK72">
        <f>SUMIF(RecoveredRaw!$B:$B,$A72,RecoveredRaw!BN:BN)</f>
        <v>0</v>
      </c>
      <c r="BL72">
        <f>SUMIF(RecoveredRaw!$B:$B,$A72,RecoveredRaw!BO:BO)</f>
        <v>0</v>
      </c>
      <c r="BM72">
        <f>SUMIF(RecoveredRaw!$B:$B,$A72,RecoveredRaw!BP:BP)</f>
        <v>0</v>
      </c>
      <c r="BN72">
        <f>SUMIF(RecoveredRaw!$B:$B,$A72,RecoveredRaw!BQ:BQ)</f>
        <v>0</v>
      </c>
      <c r="BO72">
        <f>SUMIF(RecoveredRaw!$B:$B,$A72,RecoveredRaw!BR:BR)</f>
        <v>0</v>
      </c>
      <c r="BP72">
        <f>SUMIF(RecoveredRaw!$B:$B,$A72,RecoveredRaw!BS:BS)</f>
        <v>0</v>
      </c>
      <c r="BQ72">
        <f>SUMIF(RecoveredRaw!$B:$B,$A72,RecoveredRaw!BT:BT)</f>
        <v>0</v>
      </c>
      <c r="BR72">
        <f>SUMIF(RecoveredRaw!$B:$B,$A72,RecoveredRaw!BU:BU)</f>
        <v>0</v>
      </c>
      <c r="BS72">
        <f>SUMIF(RecoveredRaw!$B:$B,$A72,RecoveredRaw!BV:BV)</f>
        <v>0</v>
      </c>
      <c r="BT72">
        <f>SUMIF(RecoveredRaw!$B:$B,$A72,RecoveredRaw!BW:BW)</f>
        <v>0</v>
      </c>
    </row>
    <row r="73" spans="1:72" ht="15" thickBot="1" x14ac:dyDescent="0.35">
      <c r="A73" s="4" t="s">
        <v>138</v>
      </c>
      <c r="B73">
        <f>SUMIF(RecoveredRaw!$B:$B,$A73,RecoveredRaw!E:E)</f>
        <v>0</v>
      </c>
      <c r="C73">
        <f>SUMIF(RecoveredRaw!$B:$B,$A73,RecoveredRaw!F:F)</f>
        <v>0</v>
      </c>
      <c r="D73">
        <f>SUMIF(RecoveredRaw!$B:$B,$A73,RecoveredRaw!G:G)</f>
        <v>0</v>
      </c>
      <c r="E73">
        <f>SUMIF(RecoveredRaw!$B:$B,$A73,RecoveredRaw!H:H)</f>
        <v>0</v>
      </c>
      <c r="F73">
        <f>SUMIF(RecoveredRaw!$B:$B,$A73,RecoveredRaw!I:I)</f>
        <v>0</v>
      </c>
      <c r="G73">
        <f>SUMIF(RecoveredRaw!$B:$B,$A73,RecoveredRaw!J:J)</f>
        <v>0</v>
      </c>
      <c r="H73">
        <f>SUMIF(RecoveredRaw!$B:$B,$A73,RecoveredRaw!K:K)</f>
        <v>0</v>
      </c>
      <c r="I73">
        <f>SUMIF(RecoveredRaw!$B:$B,$A73,RecoveredRaw!L:L)</f>
        <v>0</v>
      </c>
      <c r="J73">
        <f>SUMIF(RecoveredRaw!$B:$B,$A73,RecoveredRaw!M:M)</f>
        <v>0</v>
      </c>
      <c r="K73">
        <f>SUMIF(RecoveredRaw!$B:$B,$A73,RecoveredRaw!N:N)</f>
        <v>0</v>
      </c>
      <c r="L73">
        <f>SUMIF(RecoveredRaw!$B:$B,$A73,RecoveredRaw!O:O)</f>
        <v>0</v>
      </c>
      <c r="M73">
        <f>SUMIF(RecoveredRaw!$B:$B,$A73,RecoveredRaw!P:P)</f>
        <v>0</v>
      </c>
      <c r="N73">
        <f>SUMIF(RecoveredRaw!$B:$B,$A73,RecoveredRaw!Q:Q)</f>
        <v>0</v>
      </c>
      <c r="O73">
        <f>SUMIF(RecoveredRaw!$B:$B,$A73,RecoveredRaw!R:R)</f>
        <v>0</v>
      </c>
      <c r="P73">
        <f>SUMIF(RecoveredRaw!$B:$B,$A73,RecoveredRaw!S:S)</f>
        <v>0</v>
      </c>
      <c r="Q73">
        <f>SUMIF(RecoveredRaw!$B:$B,$A73,RecoveredRaw!T:T)</f>
        <v>0</v>
      </c>
      <c r="R73">
        <f>SUMIF(RecoveredRaw!$B:$B,$A73,RecoveredRaw!U:U)</f>
        <v>0</v>
      </c>
      <c r="S73">
        <f>SUMIF(RecoveredRaw!$B:$B,$A73,RecoveredRaw!V:V)</f>
        <v>0</v>
      </c>
      <c r="T73">
        <f>SUMIF(RecoveredRaw!$B:$B,$A73,RecoveredRaw!W:W)</f>
        <v>0</v>
      </c>
      <c r="U73">
        <f>SUMIF(RecoveredRaw!$B:$B,$A73,RecoveredRaw!X:X)</f>
        <v>0</v>
      </c>
      <c r="V73">
        <f>SUMIF(RecoveredRaw!$B:$B,$A73,RecoveredRaw!Y:Y)</f>
        <v>0</v>
      </c>
      <c r="W73">
        <f>SUMIF(RecoveredRaw!$B:$B,$A73,RecoveredRaw!Z:Z)</f>
        <v>0</v>
      </c>
      <c r="X73">
        <f>SUMIF(RecoveredRaw!$B:$B,$A73,RecoveredRaw!AA:AA)</f>
        <v>0</v>
      </c>
      <c r="Y73">
        <f>SUMIF(RecoveredRaw!$B:$B,$A73,RecoveredRaw!AB:AB)</f>
        <v>0</v>
      </c>
      <c r="Z73">
        <f>SUMIF(RecoveredRaw!$B:$B,$A73,RecoveredRaw!AC:AC)</f>
        <v>0</v>
      </c>
      <c r="AA73">
        <f>SUMIF(RecoveredRaw!$B:$B,$A73,RecoveredRaw!AD:AD)</f>
        <v>0</v>
      </c>
      <c r="AB73">
        <f>SUMIF(RecoveredRaw!$B:$B,$A73,RecoveredRaw!AE:AE)</f>
        <v>0</v>
      </c>
      <c r="AC73">
        <f>SUMIF(RecoveredRaw!$B:$B,$A73,RecoveredRaw!AF:AF)</f>
        <v>0</v>
      </c>
      <c r="AD73">
        <f>SUMIF(RecoveredRaw!$B:$B,$A73,RecoveredRaw!AG:AG)</f>
        <v>0</v>
      </c>
      <c r="AE73">
        <f>SUMIF(RecoveredRaw!$B:$B,$A73,RecoveredRaw!AH:AH)</f>
        <v>0</v>
      </c>
      <c r="AF73">
        <f>SUMIF(RecoveredRaw!$B:$B,$A73,RecoveredRaw!AI:AI)</f>
        <v>0</v>
      </c>
      <c r="AG73">
        <f>SUMIF(RecoveredRaw!$B:$B,$A73,RecoveredRaw!AJ:AJ)</f>
        <v>0</v>
      </c>
      <c r="AH73">
        <f>SUMIF(RecoveredRaw!$B:$B,$A73,RecoveredRaw!AK:AK)</f>
        <v>0</v>
      </c>
      <c r="AI73">
        <f>SUMIF(RecoveredRaw!$B:$B,$A73,RecoveredRaw!AL:AL)</f>
        <v>0</v>
      </c>
      <c r="AJ73">
        <f>SUMIF(RecoveredRaw!$B:$B,$A73,RecoveredRaw!AM:AM)</f>
        <v>0</v>
      </c>
      <c r="AK73">
        <f>SUMIF(RecoveredRaw!$B:$B,$A73,RecoveredRaw!AN:AN)</f>
        <v>0</v>
      </c>
      <c r="AL73">
        <f>SUMIF(RecoveredRaw!$B:$B,$A73,RecoveredRaw!AO:AO)</f>
        <v>0</v>
      </c>
      <c r="AM73">
        <f>SUMIF(RecoveredRaw!$B:$B,$A73,RecoveredRaw!AP:AP)</f>
        <v>0</v>
      </c>
      <c r="AN73">
        <f>SUMIF(RecoveredRaw!$B:$B,$A73,RecoveredRaw!AQ:AQ)</f>
        <v>0</v>
      </c>
      <c r="AO73">
        <f>SUMIF(RecoveredRaw!$B:$B,$A73,RecoveredRaw!AR:AR)</f>
        <v>0</v>
      </c>
      <c r="AP73">
        <f>SUMIF(RecoveredRaw!$B:$B,$A73,RecoveredRaw!AS:AS)</f>
        <v>0</v>
      </c>
      <c r="AQ73">
        <f>SUMIF(RecoveredRaw!$B:$B,$A73,RecoveredRaw!AT:AT)</f>
        <v>0</v>
      </c>
      <c r="AR73">
        <f>SUMIF(RecoveredRaw!$B:$B,$A73,RecoveredRaw!AU:AU)</f>
        <v>0</v>
      </c>
      <c r="AS73">
        <f>SUMIF(RecoveredRaw!$B:$B,$A73,RecoveredRaw!AV:AV)</f>
        <v>0</v>
      </c>
      <c r="AT73">
        <f>SUMIF(RecoveredRaw!$B:$B,$A73,RecoveredRaw!AW:AW)</f>
        <v>0</v>
      </c>
      <c r="AU73">
        <f>SUMIF(RecoveredRaw!$B:$B,$A73,RecoveredRaw!AX:AX)</f>
        <v>0</v>
      </c>
      <c r="AV73">
        <f>SUMIF(RecoveredRaw!$B:$B,$A73,RecoveredRaw!AY:AY)</f>
        <v>0</v>
      </c>
      <c r="AW73">
        <f>SUMIF(RecoveredRaw!$B:$B,$A73,RecoveredRaw!AZ:AZ)</f>
        <v>0</v>
      </c>
      <c r="AX73">
        <f>SUMIF(RecoveredRaw!$B:$B,$A73,RecoveredRaw!BA:BA)</f>
        <v>0</v>
      </c>
      <c r="AY73">
        <f>SUMIF(RecoveredRaw!$B:$B,$A73,RecoveredRaw!BB:BB)</f>
        <v>0</v>
      </c>
      <c r="AZ73">
        <f>SUMIF(RecoveredRaw!$B:$B,$A73,RecoveredRaw!BC:BC)</f>
        <v>0</v>
      </c>
      <c r="BA73">
        <f>SUMIF(RecoveredRaw!$B:$B,$A73,RecoveredRaw!BD:BD)</f>
        <v>0</v>
      </c>
      <c r="BB73">
        <f>SUMIF(RecoveredRaw!$B:$B,$A73,RecoveredRaw!BE:BE)</f>
        <v>0</v>
      </c>
      <c r="BC73">
        <f>SUMIF(RecoveredRaw!$B:$B,$A73,RecoveredRaw!BF:BF)</f>
        <v>0</v>
      </c>
      <c r="BD73">
        <f>SUMIF(RecoveredRaw!$B:$B,$A73,RecoveredRaw!BG:BG)</f>
        <v>0</v>
      </c>
      <c r="BE73">
        <f>SUMIF(RecoveredRaw!$B:$B,$A73,RecoveredRaw!BH:BH)</f>
        <v>0</v>
      </c>
      <c r="BF73">
        <f>SUMIF(RecoveredRaw!$B:$B,$A73,RecoveredRaw!BI:BI)</f>
        <v>0</v>
      </c>
      <c r="BG73">
        <f>SUMIF(RecoveredRaw!$B:$B,$A73,RecoveredRaw!BJ:BJ)</f>
        <v>0</v>
      </c>
      <c r="BH73">
        <f>SUMIF(RecoveredRaw!$B:$B,$A73,RecoveredRaw!BK:BK)</f>
        <v>0</v>
      </c>
      <c r="BI73">
        <f>SUMIF(RecoveredRaw!$B:$B,$A73,RecoveredRaw!BL:BL)</f>
        <v>0</v>
      </c>
      <c r="BJ73">
        <f>SUMIF(RecoveredRaw!$B:$B,$A73,RecoveredRaw!BM:BM)</f>
        <v>0</v>
      </c>
      <c r="BK73">
        <f>SUMIF(RecoveredRaw!$B:$B,$A73,RecoveredRaw!BN:BN)</f>
        <v>0</v>
      </c>
      <c r="BL73">
        <f>SUMIF(RecoveredRaw!$B:$B,$A73,RecoveredRaw!BO:BO)</f>
        <v>0</v>
      </c>
      <c r="BM73">
        <f>SUMIF(RecoveredRaw!$B:$B,$A73,RecoveredRaw!BP:BP)</f>
        <v>0</v>
      </c>
      <c r="BN73">
        <f>SUMIF(RecoveredRaw!$B:$B,$A73,RecoveredRaw!BQ:BQ)</f>
        <v>0</v>
      </c>
      <c r="BO73">
        <f>SUMIF(RecoveredRaw!$B:$B,$A73,RecoveredRaw!BR:BR)</f>
        <v>0</v>
      </c>
      <c r="BP73">
        <f>SUMIF(RecoveredRaw!$B:$B,$A73,RecoveredRaw!BS:BS)</f>
        <v>0</v>
      </c>
      <c r="BQ73">
        <f>SUMIF(RecoveredRaw!$B:$B,$A73,RecoveredRaw!BT:BT)</f>
        <v>0</v>
      </c>
      <c r="BR73">
        <f>SUMIF(RecoveredRaw!$B:$B,$A73,RecoveredRaw!BU:BU)</f>
        <v>0</v>
      </c>
      <c r="BS73">
        <f>SUMIF(RecoveredRaw!$B:$B,$A73,RecoveredRaw!BV:BV)</f>
        <v>0</v>
      </c>
      <c r="BT73">
        <f>SUMIF(RecoveredRaw!$B:$B,$A73,RecoveredRaw!BW:BW)</f>
        <v>0</v>
      </c>
    </row>
    <row r="74" spans="1:72" ht="15" thickBot="1" x14ac:dyDescent="0.35">
      <c r="A74" s="3" t="s">
        <v>104</v>
      </c>
      <c r="B74">
        <f>SUMIF(RecoveredRaw!$B:$B,$A74,RecoveredRaw!E:E)</f>
        <v>0</v>
      </c>
      <c r="C74">
        <f>SUMIF(RecoveredRaw!$B:$B,$A74,RecoveredRaw!F:F)</f>
        <v>0</v>
      </c>
      <c r="D74">
        <f>SUMIF(RecoveredRaw!$B:$B,$A74,RecoveredRaw!G:G)</f>
        <v>0</v>
      </c>
      <c r="E74">
        <f>SUMIF(RecoveredRaw!$B:$B,$A74,RecoveredRaw!H:H)</f>
        <v>0</v>
      </c>
      <c r="F74">
        <f>SUMIF(RecoveredRaw!$B:$B,$A74,RecoveredRaw!I:I)</f>
        <v>0</v>
      </c>
      <c r="G74">
        <f>SUMIF(RecoveredRaw!$B:$B,$A74,RecoveredRaw!J:J)</f>
        <v>0</v>
      </c>
      <c r="H74">
        <f>SUMIF(RecoveredRaw!$B:$B,$A74,RecoveredRaw!K:K)</f>
        <v>0</v>
      </c>
      <c r="I74">
        <f>SUMIF(RecoveredRaw!$B:$B,$A74,RecoveredRaw!L:L)</f>
        <v>0</v>
      </c>
      <c r="J74">
        <f>SUMIF(RecoveredRaw!$B:$B,$A74,RecoveredRaw!M:M)</f>
        <v>0</v>
      </c>
      <c r="K74">
        <f>SUMIF(RecoveredRaw!$B:$B,$A74,RecoveredRaw!N:N)</f>
        <v>0</v>
      </c>
      <c r="L74">
        <f>SUMIF(RecoveredRaw!$B:$B,$A74,RecoveredRaw!O:O)</f>
        <v>0</v>
      </c>
      <c r="M74">
        <f>SUMIF(RecoveredRaw!$B:$B,$A74,RecoveredRaw!P:P)</f>
        <v>0</v>
      </c>
      <c r="N74">
        <f>SUMIF(RecoveredRaw!$B:$B,$A74,RecoveredRaw!Q:Q)</f>
        <v>0</v>
      </c>
      <c r="O74">
        <f>SUMIF(RecoveredRaw!$B:$B,$A74,RecoveredRaw!R:R)</f>
        <v>0</v>
      </c>
      <c r="P74">
        <f>SUMIF(RecoveredRaw!$B:$B,$A74,RecoveredRaw!S:S)</f>
        <v>0</v>
      </c>
      <c r="Q74">
        <f>SUMIF(RecoveredRaw!$B:$B,$A74,RecoveredRaw!T:T)</f>
        <v>0</v>
      </c>
      <c r="R74">
        <f>SUMIF(RecoveredRaw!$B:$B,$A74,RecoveredRaw!U:U)</f>
        <v>0</v>
      </c>
      <c r="S74">
        <f>SUMIF(RecoveredRaw!$B:$B,$A74,RecoveredRaw!V:V)</f>
        <v>0</v>
      </c>
      <c r="T74">
        <f>SUMIF(RecoveredRaw!$B:$B,$A74,RecoveredRaw!W:W)</f>
        <v>0</v>
      </c>
      <c r="U74">
        <f>SUMIF(RecoveredRaw!$B:$B,$A74,RecoveredRaw!X:X)</f>
        <v>0</v>
      </c>
      <c r="V74">
        <f>SUMIF(RecoveredRaw!$B:$B,$A74,RecoveredRaw!Y:Y)</f>
        <v>0</v>
      </c>
      <c r="W74">
        <f>SUMIF(RecoveredRaw!$B:$B,$A74,RecoveredRaw!Z:Z)</f>
        <v>0</v>
      </c>
      <c r="X74">
        <f>SUMIF(RecoveredRaw!$B:$B,$A74,RecoveredRaw!AA:AA)</f>
        <v>0</v>
      </c>
      <c r="Y74">
        <f>SUMIF(RecoveredRaw!$B:$B,$A74,RecoveredRaw!AB:AB)</f>
        <v>0</v>
      </c>
      <c r="Z74">
        <f>SUMIF(RecoveredRaw!$B:$B,$A74,RecoveredRaw!AC:AC)</f>
        <v>0</v>
      </c>
      <c r="AA74">
        <f>SUMIF(RecoveredRaw!$B:$B,$A74,RecoveredRaw!AD:AD)</f>
        <v>0</v>
      </c>
      <c r="AB74">
        <f>SUMIF(RecoveredRaw!$B:$B,$A74,RecoveredRaw!AE:AE)</f>
        <v>0</v>
      </c>
      <c r="AC74">
        <f>SUMIF(RecoveredRaw!$B:$B,$A74,RecoveredRaw!AF:AF)</f>
        <v>0</v>
      </c>
      <c r="AD74">
        <f>SUMIF(RecoveredRaw!$B:$B,$A74,RecoveredRaw!AG:AG)</f>
        <v>0</v>
      </c>
      <c r="AE74">
        <f>SUMIF(RecoveredRaw!$B:$B,$A74,RecoveredRaw!AH:AH)</f>
        <v>0</v>
      </c>
      <c r="AF74">
        <f>SUMIF(RecoveredRaw!$B:$B,$A74,RecoveredRaw!AI:AI)</f>
        <v>0</v>
      </c>
      <c r="AG74">
        <f>SUMIF(RecoveredRaw!$B:$B,$A74,RecoveredRaw!AJ:AJ)</f>
        <v>0</v>
      </c>
      <c r="AH74">
        <f>SUMIF(RecoveredRaw!$B:$B,$A74,RecoveredRaw!AK:AK)</f>
        <v>0</v>
      </c>
      <c r="AI74">
        <f>SUMIF(RecoveredRaw!$B:$B,$A74,RecoveredRaw!AL:AL)</f>
        <v>0</v>
      </c>
      <c r="AJ74">
        <f>SUMIF(RecoveredRaw!$B:$B,$A74,RecoveredRaw!AM:AM)</f>
        <v>0</v>
      </c>
      <c r="AK74">
        <f>SUMIF(RecoveredRaw!$B:$B,$A74,RecoveredRaw!AN:AN)</f>
        <v>0</v>
      </c>
      <c r="AL74">
        <f>SUMIF(RecoveredRaw!$B:$B,$A74,RecoveredRaw!AO:AO)</f>
        <v>0</v>
      </c>
      <c r="AM74">
        <f>SUMIF(RecoveredRaw!$B:$B,$A74,RecoveredRaw!AP:AP)</f>
        <v>0</v>
      </c>
      <c r="AN74">
        <f>SUMIF(RecoveredRaw!$B:$B,$A74,RecoveredRaw!AQ:AQ)</f>
        <v>0</v>
      </c>
      <c r="AO74">
        <f>SUMIF(RecoveredRaw!$B:$B,$A74,RecoveredRaw!AR:AR)</f>
        <v>0</v>
      </c>
      <c r="AP74">
        <f>SUMIF(RecoveredRaw!$B:$B,$A74,RecoveredRaw!AS:AS)</f>
        <v>0</v>
      </c>
      <c r="AQ74">
        <f>SUMIF(RecoveredRaw!$B:$B,$A74,RecoveredRaw!AT:AT)</f>
        <v>0</v>
      </c>
      <c r="AR74">
        <f>SUMIF(RecoveredRaw!$B:$B,$A74,RecoveredRaw!AU:AU)</f>
        <v>0</v>
      </c>
      <c r="AS74">
        <f>SUMIF(RecoveredRaw!$B:$B,$A74,RecoveredRaw!AV:AV)</f>
        <v>0</v>
      </c>
      <c r="AT74">
        <f>SUMIF(RecoveredRaw!$B:$B,$A74,RecoveredRaw!AW:AW)</f>
        <v>0</v>
      </c>
      <c r="AU74">
        <f>SUMIF(RecoveredRaw!$B:$B,$A74,RecoveredRaw!AX:AX)</f>
        <v>0</v>
      </c>
      <c r="AV74">
        <f>SUMIF(RecoveredRaw!$B:$B,$A74,RecoveredRaw!AY:AY)</f>
        <v>0</v>
      </c>
      <c r="AW74">
        <f>SUMIF(RecoveredRaw!$B:$B,$A74,RecoveredRaw!AZ:AZ)</f>
        <v>0</v>
      </c>
      <c r="AX74">
        <f>SUMIF(RecoveredRaw!$B:$B,$A74,RecoveredRaw!BA:BA)</f>
        <v>0</v>
      </c>
      <c r="AY74">
        <f>SUMIF(RecoveredRaw!$B:$B,$A74,RecoveredRaw!BB:BB)</f>
        <v>3</v>
      </c>
      <c r="AZ74">
        <f>SUMIF(RecoveredRaw!$B:$B,$A74,RecoveredRaw!BC:BC)</f>
        <v>3</v>
      </c>
      <c r="BA74">
        <f>SUMIF(RecoveredRaw!$B:$B,$A74,RecoveredRaw!BD:BD)</f>
        <v>3</v>
      </c>
      <c r="BB74">
        <f>SUMIF(RecoveredRaw!$B:$B,$A74,RecoveredRaw!BE:BE)</f>
        <v>3</v>
      </c>
      <c r="BC74">
        <f>SUMIF(RecoveredRaw!$B:$B,$A74,RecoveredRaw!BF:BF)</f>
        <v>6</v>
      </c>
      <c r="BD74">
        <f>SUMIF(RecoveredRaw!$B:$B,$A74,RecoveredRaw!BG:BG)</f>
        <v>6</v>
      </c>
      <c r="BE74">
        <f>SUMIF(RecoveredRaw!$B:$B,$A74,RecoveredRaw!BH:BH)</f>
        <v>6</v>
      </c>
      <c r="BF74">
        <f>SUMIF(RecoveredRaw!$B:$B,$A74,RecoveredRaw!BI:BI)</f>
        <v>6</v>
      </c>
      <c r="BG74">
        <f>SUMIF(RecoveredRaw!$B:$B,$A74,RecoveredRaw!BJ:BJ)</f>
        <v>0</v>
      </c>
      <c r="BH74">
        <f>SUMIF(RecoveredRaw!$B:$B,$A74,RecoveredRaw!BK:BK)</f>
        <v>0</v>
      </c>
      <c r="BI74">
        <f>SUMIF(RecoveredRaw!$B:$B,$A74,RecoveredRaw!BL:BL)</f>
        <v>0</v>
      </c>
      <c r="BJ74">
        <f>SUMIF(RecoveredRaw!$B:$B,$A74,RecoveredRaw!BM:BM)</f>
        <v>0</v>
      </c>
      <c r="BK74">
        <f>SUMIF(RecoveredRaw!$B:$B,$A74,RecoveredRaw!BN:BN)</f>
        <v>0</v>
      </c>
      <c r="BL74">
        <f>SUMIF(RecoveredRaw!$B:$B,$A74,RecoveredRaw!BO:BO)</f>
        <v>0</v>
      </c>
      <c r="BM74">
        <f>SUMIF(RecoveredRaw!$B:$B,$A74,RecoveredRaw!BP:BP)</f>
        <v>0</v>
      </c>
      <c r="BN74">
        <f>SUMIF(RecoveredRaw!$B:$B,$A74,RecoveredRaw!BQ:BQ)</f>
        <v>0</v>
      </c>
      <c r="BO74">
        <f>SUMIF(RecoveredRaw!$B:$B,$A74,RecoveredRaw!BR:BR)</f>
        <v>0</v>
      </c>
      <c r="BP74">
        <f>SUMIF(RecoveredRaw!$B:$B,$A74,RecoveredRaw!BS:BS)</f>
        <v>0</v>
      </c>
      <c r="BQ74">
        <f>SUMIF(RecoveredRaw!$B:$B,$A74,RecoveredRaw!BT:BT)</f>
        <v>0</v>
      </c>
      <c r="BR74">
        <f>SUMIF(RecoveredRaw!$B:$B,$A74,RecoveredRaw!BU:BU)</f>
        <v>0</v>
      </c>
      <c r="BS74">
        <f>SUMIF(RecoveredRaw!$B:$B,$A74,RecoveredRaw!BV:BV)</f>
        <v>0</v>
      </c>
      <c r="BT74">
        <f>SUMIF(RecoveredRaw!$B:$B,$A74,RecoveredRaw!BW:BW)</f>
        <v>0</v>
      </c>
    </row>
    <row r="75" spans="1:72" ht="15" thickBot="1" x14ac:dyDescent="0.35">
      <c r="A75" s="3" t="s">
        <v>231</v>
      </c>
      <c r="B75">
        <f>SUMIF(RecoveredRaw!$B:$B,$A75,RecoveredRaw!E:E)</f>
        <v>0</v>
      </c>
      <c r="C75">
        <f>SUMIF(RecoveredRaw!$B:$B,$A75,RecoveredRaw!F:F)</f>
        <v>0</v>
      </c>
      <c r="D75">
        <f>SUMIF(RecoveredRaw!$B:$B,$A75,RecoveredRaw!G:G)</f>
        <v>0</v>
      </c>
      <c r="E75">
        <f>SUMIF(RecoveredRaw!$B:$B,$A75,RecoveredRaw!H:H)</f>
        <v>0</v>
      </c>
      <c r="F75">
        <f>SUMIF(RecoveredRaw!$B:$B,$A75,RecoveredRaw!I:I)</f>
        <v>0</v>
      </c>
      <c r="G75">
        <f>SUMIF(RecoveredRaw!$B:$B,$A75,RecoveredRaw!J:J)</f>
        <v>0</v>
      </c>
      <c r="H75">
        <f>SUMIF(RecoveredRaw!$B:$B,$A75,RecoveredRaw!K:K)</f>
        <v>0</v>
      </c>
      <c r="I75">
        <f>SUMIF(RecoveredRaw!$B:$B,$A75,RecoveredRaw!L:L)</f>
        <v>0</v>
      </c>
      <c r="J75">
        <f>SUMIF(RecoveredRaw!$B:$B,$A75,RecoveredRaw!M:M)</f>
        <v>0</v>
      </c>
      <c r="K75">
        <f>SUMIF(RecoveredRaw!$B:$B,$A75,RecoveredRaw!N:N)</f>
        <v>0</v>
      </c>
      <c r="L75">
        <f>SUMIF(RecoveredRaw!$B:$B,$A75,RecoveredRaw!O:O)</f>
        <v>0</v>
      </c>
      <c r="M75">
        <f>SUMIF(RecoveredRaw!$B:$B,$A75,RecoveredRaw!P:P)</f>
        <v>0</v>
      </c>
      <c r="N75">
        <f>SUMIF(RecoveredRaw!$B:$B,$A75,RecoveredRaw!Q:Q)</f>
        <v>0</v>
      </c>
      <c r="O75">
        <f>SUMIF(RecoveredRaw!$B:$B,$A75,RecoveredRaw!R:R)</f>
        <v>0</v>
      </c>
      <c r="P75">
        <f>SUMIF(RecoveredRaw!$B:$B,$A75,RecoveredRaw!S:S)</f>
        <v>0</v>
      </c>
      <c r="Q75">
        <f>SUMIF(RecoveredRaw!$B:$B,$A75,RecoveredRaw!T:T)</f>
        <v>0</v>
      </c>
      <c r="R75">
        <f>SUMIF(RecoveredRaw!$B:$B,$A75,RecoveredRaw!U:U)</f>
        <v>0</v>
      </c>
      <c r="S75">
        <f>SUMIF(RecoveredRaw!$B:$B,$A75,RecoveredRaw!V:V)</f>
        <v>0</v>
      </c>
      <c r="T75">
        <f>SUMIF(RecoveredRaw!$B:$B,$A75,RecoveredRaw!W:W)</f>
        <v>0</v>
      </c>
      <c r="U75">
        <f>SUMIF(RecoveredRaw!$B:$B,$A75,RecoveredRaw!X:X)</f>
        <v>0</v>
      </c>
      <c r="V75">
        <f>SUMIF(RecoveredRaw!$B:$B,$A75,RecoveredRaw!Y:Y)</f>
        <v>0</v>
      </c>
      <c r="W75">
        <f>SUMIF(RecoveredRaw!$B:$B,$A75,RecoveredRaw!Z:Z)</f>
        <v>0</v>
      </c>
      <c r="X75">
        <f>SUMIF(RecoveredRaw!$B:$B,$A75,RecoveredRaw!AA:AA)</f>
        <v>0</v>
      </c>
      <c r="Y75">
        <f>SUMIF(RecoveredRaw!$B:$B,$A75,RecoveredRaw!AB:AB)</f>
        <v>0</v>
      </c>
      <c r="Z75">
        <f>SUMIF(RecoveredRaw!$B:$B,$A75,RecoveredRaw!AC:AC)</f>
        <v>0</v>
      </c>
      <c r="AA75">
        <f>SUMIF(RecoveredRaw!$B:$B,$A75,RecoveredRaw!AD:AD)</f>
        <v>0</v>
      </c>
      <c r="AB75">
        <f>SUMIF(RecoveredRaw!$B:$B,$A75,RecoveredRaw!AE:AE)</f>
        <v>0</v>
      </c>
      <c r="AC75">
        <f>SUMIF(RecoveredRaw!$B:$B,$A75,RecoveredRaw!AF:AF)</f>
        <v>0</v>
      </c>
      <c r="AD75">
        <f>SUMIF(RecoveredRaw!$B:$B,$A75,RecoveredRaw!AG:AG)</f>
        <v>0</v>
      </c>
      <c r="AE75">
        <f>SUMIF(RecoveredRaw!$B:$B,$A75,RecoveredRaw!AH:AH)</f>
        <v>0</v>
      </c>
      <c r="AF75">
        <f>SUMIF(RecoveredRaw!$B:$B,$A75,RecoveredRaw!AI:AI)</f>
        <v>0</v>
      </c>
      <c r="AG75">
        <f>SUMIF(RecoveredRaw!$B:$B,$A75,RecoveredRaw!AJ:AJ)</f>
        <v>0</v>
      </c>
      <c r="AH75">
        <f>SUMIF(RecoveredRaw!$B:$B,$A75,RecoveredRaw!AK:AK)</f>
        <v>0</v>
      </c>
      <c r="AI75">
        <f>SUMIF(RecoveredRaw!$B:$B,$A75,RecoveredRaw!AL:AL)</f>
        <v>0</v>
      </c>
      <c r="AJ75">
        <f>SUMIF(RecoveredRaw!$B:$B,$A75,RecoveredRaw!AM:AM)</f>
        <v>0</v>
      </c>
      <c r="AK75">
        <f>SUMIF(RecoveredRaw!$B:$B,$A75,RecoveredRaw!AN:AN)</f>
        <v>0</v>
      </c>
      <c r="AL75">
        <f>SUMIF(RecoveredRaw!$B:$B,$A75,RecoveredRaw!AO:AO)</f>
        <v>0</v>
      </c>
      <c r="AM75">
        <f>SUMIF(RecoveredRaw!$B:$B,$A75,RecoveredRaw!AP:AP)</f>
        <v>0</v>
      </c>
      <c r="AN75">
        <f>SUMIF(RecoveredRaw!$B:$B,$A75,RecoveredRaw!AQ:AQ)</f>
        <v>0</v>
      </c>
      <c r="AO75">
        <f>SUMIF(RecoveredRaw!$B:$B,$A75,RecoveredRaw!AR:AR)</f>
        <v>0</v>
      </c>
      <c r="AP75">
        <f>SUMIF(RecoveredRaw!$B:$B,$A75,RecoveredRaw!AS:AS)</f>
        <v>0</v>
      </c>
      <c r="AQ75">
        <f>SUMIF(RecoveredRaw!$B:$B,$A75,RecoveredRaw!AT:AT)</f>
        <v>0</v>
      </c>
      <c r="AR75">
        <f>SUMIF(RecoveredRaw!$B:$B,$A75,RecoveredRaw!AU:AU)</f>
        <v>0</v>
      </c>
      <c r="AS75">
        <f>SUMIF(RecoveredRaw!$B:$B,$A75,RecoveredRaw!AV:AV)</f>
        <v>0</v>
      </c>
      <c r="AT75">
        <f>SUMIF(RecoveredRaw!$B:$B,$A75,RecoveredRaw!AW:AW)</f>
        <v>0</v>
      </c>
      <c r="AU75">
        <f>SUMIF(RecoveredRaw!$B:$B,$A75,RecoveredRaw!AX:AX)</f>
        <v>0</v>
      </c>
      <c r="AV75">
        <f>SUMIF(RecoveredRaw!$B:$B,$A75,RecoveredRaw!AY:AY)</f>
        <v>0</v>
      </c>
      <c r="AW75">
        <f>SUMIF(RecoveredRaw!$B:$B,$A75,RecoveredRaw!AZ:AZ)</f>
        <v>0</v>
      </c>
      <c r="AX75">
        <f>SUMIF(RecoveredRaw!$B:$B,$A75,RecoveredRaw!BA:BA)</f>
        <v>0</v>
      </c>
      <c r="AY75">
        <f>SUMIF(RecoveredRaw!$B:$B,$A75,RecoveredRaw!BB:BB)</f>
        <v>0</v>
      </c>
      <c r="AZ75">
        <f>SUMIF(RecoveredRaw!$B:$B,$A75,RecoveredRaw!BC:BC)</f>
        <v>0</v>
      </c>
      <c r="BA75">
        <f>SUMIF(RecoveredRaw!$B:$B,$A75,RecoveredRaw!BD:BD)</f>
        <v>0</v>
      </c>
      <c r="BB75">
        <f>SUMIF(RecoveredRaw!$B:$B,$A75,RecoveredRaw!BE:BE)</f>
        <v>0</v>
      </c>
      <c r="BC75">
        <f>SUMIF(RecoveredRaw!$B:$B,$A75,RecoveredRaw!BF:BF)</f>
        <v>0</v>
      </c>
      <c r="BD75">
        <f>SUMIF(RecoveredRaw!$B:$B,$A75,RecoveredRaw!BG:BG)</f>
        <v>0</v>
      </c>
      <c r="BE75">
        <f>SUMIF(RecoveredRaw!$B:$B,$A75,RecoveredRaw!BH:BH)</f>
        <v>0</v>
      </c>
      <c r="BF75">
        <f>SUMIF(RecoveredRaw!$B:$B,$A75,RecoveredRaw!BI:BI)</f>
        <v>0</v>
      </c>
      <c r="BG75">
        <f>SUMIF(RecoveredRaw!$B:$B,$A75,RecoveredRaw!BJ:BJ)</f>
        <v>0</v>
      </c>
      <c r="BH75">
        <f>SUMIF(RecoveredRaw!$B:$B,$A75,RecoveredRaw!BK:BK)</f>
        <v>0</v>
      </c>
      <c r="BI75">
        <f>SUMIF(RecoveredRaw!$B:$B,$A75,RecoveredRaw!BL:BL)</f>
        <v>0</v>
      </c>
      <c r="BJ75">
        <f>SUMIF(RecoveredRaw!$B:$B,$A75,RecoveredRaw!BM:BM)</f>
        <v>0</v>
      </c>
      <c r="BK75">
        <f>SUMIF(RecoveredRaw!$B:$B,$A75,RecoveredRaw!BN:BN)</f>
        <v>0</v>
      </c>
      <c r="BL75">
        <f>SUMIF(RecoveredRaw!$B:$B,$A75,RecoveredRaw!BO:BO)</f>
        <v>0</v>
      </c>
      <c r="BM75">
        <f>SUMIF(RecoveredRaw!$B:$B,$A75,RecoveredRaw!BP:BP)</f>
        <v>0</v>
      </c>
      <c r="BN75">
        <f>SUMIF(RecoveredRaw!$B:$B,$A75,RecoveredRaw!BQ:BQ)</f>
        <v>0</v>
      </c>
      <c r="BO75">
        <f>SUMIF(RecoveredRaw!$B:$B,$A75,RecoveredRaw!BR:BR)</f>
        <v>0</v>
      </c>
      <c r="BP75">
        <f>SUMIF(RecoveredRaw!$B:$B,$A75,RecoveredRaw!BS:BS)</f>
        <v>0</v>
      </c>
      <c r="BQ75">
        <f>SUMIF(RecoveredRaw!$B:$B,$A75,RecoveredRaw!BT:BT)</f>
        <v>0</v>
      </c>
      <c r="BR75">
        <f>SUMIF(RecoveredRaw!$B:$B,$A75,RecoveredRaw!BU:BU)</f>
        <v>0</v>
      </c>
      <c r="BS75">
        <f>SUMIF(RecoveredRaw!$B:$B,$A75,RecoveredRaw!BV:BV)</f>
        <v>0</v>
      </c>
      <c r="BT75">
        <f>SUMIF(RecoveredRaw!$B:$B,$A75,RecoveredRaw!BW:BW)</f>
        <v>0</v>
      </c>
    </row>
    <row r="76" spans="1:72" ht="15" thickBot="1" x14ac:dyDescent="0.35">
      <c r="A76" s="3" t="s">
        <v>84</v>
      </c>
      <c r="B76">
        <f>SUMIF(RecoveredRaw!$B:$B,$A76,RecoveredRaw!E:E)</f>
        <v>0</v>
      </c>
      <c r="C76">
        <f>SUMIF(RecoveredRaw!$B:$B,$A76,RecoveredRaw!F:F)</f>
        <v>0</v>
      </c>
      <c r="D76">
        <f>SUMIF(RecoveredRaw!$B:$B,$A76,RecoveredRaw!G:G)</f>
        <v>0</v>
      </c>
      <c r="E76">
        <f>SUMIF(RecoveredRaw!$B:$B,$A76,RecoveredRaw!H:H)</f>
        <v>0</v>
      </c>
      <c r="F76">
        <f>SUMIF(RecoveredRaw!$B:$B,$A76,RecoveredRaw!I:I)</f>
        <v>0</v>
      </c>
      <c r="G76">
        <f>SUMIF(RecoveredRaw!$B:$B,$A76,RecoveredRaw!J:J)</f>
        <v>0</v>
      </c>
      <c r="H76">
        <f>SUMIF(RecoveredRaw!$B:$B,$A76,RecoveredRaw!K:K)</f>
        <v>0</v>
      </c>
      <c r="I76">
        <f>SUMIF(RecoveredRaw!$B:$B,$A76,RecoveredRaw!L:L)</f>
        <v>0</v>
      </c>
      <c r="J76">
        <f>SUMIF(RecoveredRaw!$B:$B,$A76,RecoveredRaw!M:M)</f>
        <v>0</v>
      </c>
      <c r="K76">
        <f>SUMIF(RecoveredRaw!$B:$B,$A76,RecoveredRaw!N:N)</f>
        <v>0</v>
      </c>
      <c r="L76">
        <f>SUMIF(RecoveredRaw!$B:$B,$A76,RecoveredRaw!O:O)</f>
        <v>0</v>
      </c>
      <c r="M76">
        <f>SUMIF(RecoveredRaw!$B:$B,$A76,RecoveredRaw!P:P)</f>
        <v>0</v>
      </c>
      <c r="N76">
        <f>SUMIF(RecoveredRaw!$B:$B,$A76,RecoveredRaw!Q:Q)</f>
        <v>0</v>
      </c>
      <c r="O76">
        <f>SUMIF(RecoveredRaw!$B:$B,$A76,RecoveredRaw!R:R)</f>
        <v>0</v>
      </c>
      <c r="P76">
        <f>SUMIF(RecoveredRaw!$B:$B,$A76,RecoveredRaw!S:S)</f>
        <v>0</v>
      </c>
      <c r="Q76">
        <f>SUMIF(RecoveredRaw!$B:$B,$A76,RecoveredRaw!T:T)</f>
        <v>0</v>
      </c>
      <c r="R76">
        <f>SUMIF(RecoveredRaw!$B:$B,$A76,RecoveredRaw!U:U)</f>
        <v>0</v>
      </c>
      <c r="S76">
        <f>SUMIF(RecoveredRaw!$B:$B,$A76,RecoveredRaw!V:V)</f>
        <v>0</v>
      </c>
      <c r="T76">
        <f>SUMIF(RecoveredRaw!$B:$B,$A76,RecoveredRaw!W:W)</f>
        <v>0</v>
      </c>
      <c r="U76">
        <f>SUMIF(RecoveredRaw!$B:$B,$A76,RecoveredRaw!X:X)</f>
        <v>0</v>
      </c>
      <c r="V76">
        <f>SUMIF(RecoveredRaw!$B:$B,$A76,RecoveredRaw!Y:Y)</f>
        <v>0</v>
      </c>
      <c r="W76">
        <f>SUMIF(RecoveredRaw!$B:$B,$A76,RecoveredRaw!Z:Z)</f>
        <v>0</v>
      </c>
      <c r="X76">
        <f>SUMIF(RecoveredRaw!$B:$B,$A76,RecoveredRaw!AA:AA)</f>
        <v>0</v>
      </c>
      <c r="Y76">
        <f>SUMIF(RecoveredRaw!$B:$B,$A76,RecoveredRaw!AB:AB)</f>
        <v>0</v>
      </c>
      <c r="Z76">
        <f>SUMIF(RecoveredRaw!$B:$B,$A76,RecoveredRaw!AC:AC)</f>
        <v>0</v>
      </c>
      <c r="AA76">
        <f>SUMIF(RecoveredRaw!$B:$B,$A76,RecoveredRaw!AD:AD)</f>
        <v>0</v>
      </c>
      <c r="AB76">
        <f>SUMIF(RecoveredRaw!$B:$B,$A76,RecoveredRaw!AE:AE)</f>
        <v>0</v>
      </c>
      <c r="AC76">
        <f>SUMIF(RecoveredRaw!$B:$B,$A76,RecoveredRaw!AF:AF)</f>
        <v>0</v>
      </c>
      <c r="AD76">
        <f>SUMIF(RecoveredRaw!$B:$B,$A76,RecoveredRaw!AG:AG)</f>
        <v>0</v>
      </c>
      <c r="AE76">
        <f>SUMIF(RecoveredRaw!$B:$B,$A76,RecoveredRaw!AH:AH)</f>
        <v>0</v>
      </c>
      <c r="AF76">
        <f>SUMIF(RecoveredRaw!$B:$B,$A76,RecoveredRaw!AI:AI)</f>
        <v>0</v>
      </c>
      <c r="AG76">
        <f>SUMIF(RecoveredRaw!$B:$B,$A76,RecoveredRaw!AJ:AJ)</f>
        <v>0</v>
      </c>
      <c r="AH76">
        <f>SUMIF(RecoveredRaw!$B:$B,$A76,RecoveredRaw!AK:AK)</f>
        <v>0</v>
      </c>
      <c r="AI76">
        <f>SUMIF(RecoveredRaw!$B:$B,$A76,RecoveredRaw!AL:AL)</f>
        <v>0</v>
      </c>
      <c r="AJ76">
        <f>SUMIF(RecoveredRaw!$B:$B,$A76,RecoveredRaw!AM:AM)</f>
        <v>0</v>
      </c>
      <c r="AK76">
        <f>SUMIF(RecoveredRaw!$B:$B,$A76,RecoveredRaw!AN:AN)</f>
        <v>0</v>
      </c>
      <c r="AL76">
        <f>SUMIF(RecoveredRaw!$B:$B,$A76,RecoveredRaw!AO:AO)</f>
        <v>0</v>
      </c>
      <c r="AM76">
        <f>SUMIF(RecoveredRaw!$B:$B,$A76,RecoveredRaw!AP:AP)</f>
        <v>0</v>
      </c>
      <c r="AN76">
        <f>SUMIF(RecoveredRaw!$B:$B,$A76,RecoveredRaw!AQ:AQ)</f>
        <v>0</v>
      </c>
      <c r="AO76">
        <f>SUMIF(RecoveredRaw!$B:$B,$A76,RecoveredRaw!AR:AR)</f>
        <v>0</v>
      </c>
      <c r="AP76">
        <f>SUMIF(RecoveredRaw!$B:$B,$A76,RecoveredRaw!AS:AS)</f>
        <v>0</v>
      </c>
      <c r="AQ76">
        <f>SUMIF(RecoveredRaw!$B:$B,$A76,RecoveredRaw!AT:AT)</f>
        <v>0</v>
      </c>
      <c r="AR76">
        <f>SUMIF(RecoveredRaw!$B:$B,$A76,RecoveredRaw!AU:AU)</f>
        <v>0</v>
      </c>
      <c r="AS76">
        <f>SUMIF(RecoveredRaw!$B:$B,$A76,RecoveredRaw!AV:AV)</f>
        <v>0</v>
      </c>
      <c r="AT76">
        <f>SUMIF(RecoveredRaw!$B:$B,$A76,RecoveredRaw!AW:AW)</f>
        <v>0</v>
      </c>
      <c r="AU76">
        <f>SUMIF(RecoveredRaw!$B:$B,$A76,RecoveredRaw!AX:AX)</f>
        <v>0</v>
      </c>
      <c r="AV76">
        <f>SUMIF(RecoveredRaw!$B:$B,$A76,RecoveredRaw!AY:AY)</f>
        <v>0</v>
      </c>
      <c r="AW76">
        <f>SUMIF(RecoveredRaw!$B:$B,$A76,RecoveredRaw!AZ:AZ)</f>
        <v>0</v>
      </c>
      <c r="AX76">
        <f>SUMIF(RecoveredRaw!$B:$B,$A76,RecoveredRaw!BA:BA)</f>
        <v>0</v>
      </c>
      <c r="AY76">
        <f>SUMIF(RecoveredRaw!$B:$B,$A76,RecoveredRaw!BB:BB)</f>
        <v>0</v>
      </c>
      <c r="AZ76">
        <f>SUMIF(RecoveredRaw!$B:$B,$A76,RecoveredRaw!BC:BC)</f>
        <v>0</v>
      </c>
      <c r="BA76">
        <f>SUMIF(RecoveredRaw!$B:$B,$A76,RecoveredRaw!BD:BD)</f>
        <v>1</v>
      </c>
      <c r="BB76">
        <f>SUMIF(RecoveredRaw!$B:$B,$A76,RecoveredRaw!BE:BE)</f>
        <v>1</v>
      </c>
      <c r="BC76">
        <f>SUMIF(RecoveredRaw!$B:$B,$A76,RecoveredRaw!BF:BF)</f>
        <v>1</v>
      </c>
      <c r="BD76">
        <f>SUMIF(RecoveredRaw!$B:$B,$A76,RecoveredRaw!BG:BG)</f>
        <v>1</v>
      </c>
      <c r="BE76">
        <f>SUMIF(RecoveredRaw!$B:$B,$A76,RecoveredRaw!BH:BH)</f>
        <v>1</v>
      </c>
      <c r="BF76">
        <f>SUMIF(RecoveredRaw!$B:$B,$A76,RecoveredRaw!BI:BI)</f>
        <v>1</v>
      </c>
      <c r="BG76">
        <f>SUMIF(RecoveredRaw!$B:$B,$A76,RecoveredRaw!BJ:BJ)</f>
        <v>0</v>
      </c>
      <c r="BH76">
        <f>SUMIF(RecoveredRaw!$B:$B,$A76,RecoveredRaw!BK:BK)</f>
        <v>0</v>
      </c>
      <c r="BI76">
        <f>SUMIF(RecoveredRaw!$B:$B,$A76,RecoveredRaw!BL:BL)</f>
        <v>0</v>
      </c>
      <c r="BJ76">
        <f>SUMIF(RecoveredRaw!$B:$B,$A76,RecoveredRaw!BM:BM)</f>
        <v>0</v>
      </c>
      <c r="BK76">
        <f>SUMIF(RecoveredRaw!$B:$B,$A76,RecoveredRaw!BN:BN)</f>
        <v>0</v>
      </c>
      <c r="BL76">
        <f>SUMIF(RecoveredRaw!$B:$B,$A76,RecoveredRaw!BO:BO)</f>
        <v>0</v>
      </c>
      <c r="BM76">
        <f>SUMIF(RecoveredRaw!$B:$B,$A76,RecoveredRaw!BP:BP)</f>
        <v>0</v>
      </c>
      <c r="BN76">
        <f>SUMIF(RecoveredRaw!$B:$B,$A76,RecoveredRaw!BQ:BQ)</f>
        <v>0</v>
      </c>
      <c r="BO76">
        <f>SUMIF(RecoveredRaw!$B:$B,$A76,RecoveredRaw!BR:BR)</f>
        <v>0</v>
      </c>
      <c r="BP76">
        <f>SUMIF(RecoveredRaw!$B:$B,$A76,RecoveredRaw!BS:BS)</f>
        <v>0</v>
      </c>
      <c r="BQ76">
        <f>SUMIF(RecoveredRaw!$B:$B,$A76,RecoveredRaw!BT:BT)</f>
        <v>0</v>
      </c>
      <c r="BR76">
        <f>SUMIF(RecoveredRaw!$B:$B,$A76,RecoveredRaw!BU:BU)</f>
        <v>0</v>
      </c>
      <c r="BS76">
        <f>SUMIF(RecoveredRaw!$B:$B,$A76,RecoveredRaw!BV:BV)</f>
        <v>0</v>
      </c>
      <c r="BT76">
        <f>SUMIF(RecoveredRaw!$B:$B,$A76,RecoveredRaw!BW:BW)</f>
        <v>0</v>
      </c>
    </row>
    <row r="77" spans="1:72" ht="15" thickBot="1" x14ac:dyDescent="0.35">
      <c r="A77" s="3" t="s">
        <v>140</v>
      </c>
      <c r="B77">
        <f>SUMIF(RecoveredRaw!$B:$B,$A77,RecoveredRaw!E:E)</f>
        <v>0</v>
      </c>
      <c r="C77">
        <f>SUMIF(RecoveredRaw!$B:$B,$A77,RecoveredRaw!F:F)</f>
        <v>0</v>
      </c>
      <c r="D77">
        <f>SUMIF(RecoveredRaw!$B:$B,$A77,RecoveredRaw!G:G)</f>
        <v>0</v>
      </c>
      <c r="E77">
        <f>SUMIF(RecoveredRaw!$B:$B,$A77,RecoveredRaw!H:H)</f>
        <v>0</v>
      </c>
      <c r="F77">
        <f>SUMIF(RecoveredRaw!$B:$B,$A77,RecoveredRaw!I:I)</f>
        <v>0</v>
      </c>
      <c r="G77">
        <f>SUMIF(RecoveredRaw!$B:$B,$A77,RecoveredRaw!J:J)</f>
        <v>0</v>
      </c>
      <c r="H77">
        <f>SUMIF(RecoveredRaw!$B:$B,$A77,RecoveredRaw!K:K)</f>
        <v>0</v>
      </c>
      <c r="I77">
        <f>SUMIF(RecoveredRaw!$B:$B,$A77,RecoveredRaw!L:L)</f>
        <v>0</v>
      </c>
      <c r="J77">
        <f>SUMIF(RecoveredRaw!$B:$B,$A77,RecoveredRaw!M:M)</f>
        <v>0</v>
      </c>
      <c r="K77">
        <f>SUMIF(RecoveredRaw!$B:$B,$A77,RecoveredRaw!N:N)</f>
        <v>0</v>
      </c>
      <c r="L77">
        <f>SUMIF(RecoveredRaw!$B:$B,$A77,RecoveredRaw!O:O)</f>
        <v>0</v>
      </c>
      <c r="M77">
        <f>SUMIF(RecoveredRaw!$B:$B,$A77,RecoveredRaw!P:P)</f>
        <v>0</v>
      </c>
      <c r="N77">
        <f>SUMIF(RecoveredRaw!$B:$B,$A77,RecoveredRaw!Q:Q)</f>
        <v>0</v>
      </c>
      <c r="O77">
        <f>SUMIF(RecoveredRaw!$B:$B,$A77,RecoveredRaw!R:R)</f>
        <v>0</v>
      </c>
      <c r="P77">
        <f>SUMIF(RecoveredRaw!$B:$B,$A77,RecoveredRaw!S:S)</f>
        <v>0</v>
      </c>
      <c r="Q77">
        <f>SUMIF(RecoveredRaw!$B:$B,$A77,RecoveredRaw!T:T)</f>
        <v>0</v>
      </c>
      <c r="R77">
        <f>SUMIF(RecoveredRaw!$B:$B,$A77,RecoveredRaw!U:U)</f>
        <v>0</v>
      </c>
      <c r="S77">
        <f>SUMIF(RecoveredRaw!$B:$B,$A77,RecoveredRaw!V:V)</f>
        <v>0</v>
      </c>
      <c r="T77">
        <f>SUMIF(RecoveredRaw!$B:$B,$A77,RecoveredRaw!W:W)</f>
        <v>0</v>
      </c>
      <c r="U77">
        <f>SUMIF(RecoveredRaw!$B:$B,$A77,RecoveredRaw!X:X)</f>
        <v>0</v>
      </c>
      <c r="V77">
        <f>SUMIF(RecoveredRaw!$B:$B,$A77,RecoveredRaw!Y:Y)</f>
        <v>0</v>
      </c>
      <c r="W77">
        <f>SUMIF(RecoveredRaw!$B:$B,$A77,RecoveredRaw!Z:Z)</f>
        <v>0</v>
      </c>
      <c r="X77">
        <f>SUMIF(RecoveredRaw!$B:$B,$A77,RecoveredRaw!AA:AA)</f>
        <v>0</v>
      </c>
      <c r="Y77">
        <f>SUMIF(RecoveredRaw!$B:$B,$A77,RecoveredRaw!AB:AB)</f>
        <v>0</v>
      </c>
      <c r="Z77">
        <f>SUMIF(RecoveredRaw!$B:$B,$A77,RecoveredRaw!AC:AC)</f>
        <v>0</v>
      </c>
      <c r="AA77">
        <f>SUMIF(RecoveredRaw!$B:$B,$A77,RecoveredRaw!AD:AD)</f>
        <v>0</v>
      </c>
      <c r="AB77">
        <f>SUMIF(RecoveredRaw!$B:$B,$A77,RecoveredRaw!AE:AE)</f>
        <v>0</v>
      </c>
      <c r="AC77">
        <f>SUMIF(RecoveredRaw!$B:$B,$A77,RecoveredRaw!AF:AF)</f>
        <v>0</v>
      </c>
      <c r="AD77">
        <f>SUMIF(RecoveredRaw!$B:$B,$A77,RecoveredRaw!AG:AG)</f>
        <v>0</v>
      </c>
      <c r="AE77">
        <f>SUMIF(RecoveredRaw!$B:$B,$A77,RecoveredRaw!AH:AH)</f>
        <v>0</v>
      </c>
      <c r="AF77">
        <f>SUMIF(RecoveredRaw!$B:$B,$A77,RecoveredRaw!AI:AI)</f>
        <v>0</v>
      </c>
      <c r="AG77">
        <f>SUMIF(RecoveredRaw!$B:$B,$A77,RecoveredRaw!AJ:AJ)</f>
        <v>0</v>
      </c>
      <c r="AH77">
        <f>SUMIF(RecoveredRaw!$B:$B,$A77,RecoveredRaw!AK:AK)</f>
        <v>0</v>
      </c>
      <c r="AI77">
        <f>SUMIF(RecoveredRaw!$B:$B,$A77,RecoveredRaw!AL:AL)</f>
        <v>0</v>
      </c>
      <c r="AJ77">
        <f>SUMIF(RecoveredRaw!$B:$B,$A77,RecoveredRaw!AM:AM)</f>
        <v>0</v>
      </c>
      <c r="AK77">
        <f>SUMIF(RecoveredRaw!$B:$B,$A77,RecoveredRaw!AN:AN)</f>
        <v>0</v>
      </c>
      <c r="AL77">
        <f>SUMIF(RecoveredRaw!$B:$B,$A77,RecoveredRaw!AO:AO)</f>
        <v>0</v>
      </c>
      <c r="AM77">
        <f>SUMIF(RecoveredRaw!$B:$B,$A77,RecoveredRaw!AP:AP)</f>
        <v>0</v>
      </c>
      <c r="AN77">
        <f>SUMIF(RecoveredRaw!$B:$B,$A77,RecoveredRaw!AQ:AQ)</f>
        <v>0</v>
      </c>
      <c r="AO77">
        <f>SUMIF(RecoveredRaw!$B:$B,$A77,RecoveredRaw!AR:AR)</f>
        <v>0</v>
      </c>
      <c r="AP77">
        <f>SUMIF(RecoveredRaw!$B:$B,$A77,RecoveredRaw!AS:AS)</f>
        <v>0</v>
      </c>
      <c r="AQ77">
        <f>SUMIF(RecoveredRaw!$B:$B,$A77,RecoveredRaw!AT:AT)</f>
        <v>0</v>
      </c>
      <c r="AR77">
        <f>SUMIF(RecoveredRaw!$B:$B,$A77,RecoveredRaw!AU:AU)</f>
        <v>0</v>
      </c>
      <c r="AS77">
        <f>SUMIF(RecoveredRaw!$B:$B,$A77,RecoveredRaw!AV:AV)</f>
        <v>0</v>
      </c>
      <c r="AT77">
        <f>SUMIF(RecoveredRaw!$B:$B,$A77,RecoveredRaw!AW:AW)</f>
        <v>0</v>
      </c>
      <c r="AU77">
        <f>SUMIF(RecoveredRaw!$B:$B,$A77,RecoveredRaw!AX:AX)</f>
        <v>0</v>
      </c>
      <c r="AV77">
        <f>SUMIF(RecoveredRaw!$B:$B,$A77,RecoveredRaw!AY:AY)</f>
        <v>0</v>
      </c>
      <c r="AW77">
        <f>SUMIF(RecoveredRaw!$B:$B,$A77,RecoveredRaw!AZ:AZ)</f>
        <v>0</v>
      </c>
      <c r="AX77">
        <f>SUMIF(RecoveredRaw!$B:$B,$A77,RecoveredRaw!BA:BA)</f>
        <v>0</v>
      </c>
      <c r="AY77">
        <f>SUMIF(RecoveredRaw!$B:$B,$A77,RecoveredRaw!BB:BB)</f>
        <v>0</v>
      </c>
      <c r="AZ77">
        <f>SUMIF(RecoveredRaw!$B:$B,$A77,RecoveredRaw!BC:BC)</f>
        <v>0</v>
      </c>
      <c r="BA77">
        <f>SUMIF(RecoveredRaw!$B:$B,$A77,RecoveredRaw!BD:BD)</f>
        <v>0</v>
      </c>
      <c r="BB77">
        <f>SUMIF(RecoveredRaw!$B:$B,$A77,RecoveredRaw!BE:BE)</f>
        <v>0</v>
      </c>
      <c r="BC77">
        <f>SUMIF(RecoveredRaw!$B:$B,$A77,RecoveredRaw!BF:BF)</f>
        <v>0</v>
      </c>
      <c r="BD77">
        <f>SUMIF(RecoveredRaw!$B:$B,$A77,RecoveredRaw!BG:BG)</f>
        <v>0</v>
      </c>
      <c r="BE77">
        <f>SUMIF(RecoveredRaw!$B:$B,$A77,RecoveredRaw!BH:BH)</f>
        <v>2</v>
      </c>
      <c r="BF77">
        <f>SUMIF(RecoveredRaw!$B:$B,$A77,RecoveredRaw!BI:BI)</f>
        <v>2</v>
      </c>
      <c r="BG77">
        <f>SUMIF(RecoveredRaw!$B:$B,$A77,RecoveredRaw!BJ:BJ)</f>
        <v>0</v>
      </c>
      <c r="BH77">
        <f>SUMIF(RecoveredRaw!$B:$B,$A77,RecoveredRaw!BK:BK)</f>
        <v>0</v>
      </c>
      <c r="BI77">
        <f>SUMIF(RecoveredRaw!$B:$B,$A77,RecoveredRaw!BL:BL)</f>
        <v>0</v>
      </c>
      <c r="BJ77">
        <f>SUMIF(RecoveredRaw!$B:$B,$A77,RecoveredRaw!BM:BM)</f>
        <v>0</v>
      </c>
      <c r="BK77">
        <f>SUMIF(RecoveredRaw!$B:$B,$A77,RecoveredRaw!BN:BN)</f>
        <v>0</v>
      </c>
      <c r="BL77">
        <f>SUMIF(RecoveredRaw!$B:$B,$A77,RecoveredRaw!BO:BO)</f>
        <v>0</v>
      </c>
      <c r="BM77">
        <f>SUMIF(RecoveredRaw!$B:$B,$A77,RecoveredRaw!BP:BP)</f>
        <v>0</v>
      </c>
      <c r="BN77">
        <f>SUMIF(RecoveredRaw!$B:$B,$A77,RecoveredRaw!BQ:BQ)</f>
        <v>0</v>
      </c>
      <c r="BO77">
        <f>SUMIF(RecoveredRaw!$B:$B,$A77,RecoveredRaw!BR:BR)</f>
        <v>0</v>
      </c>
      <c r="BP77">
        <f>SUMIF(RecoveredRaw!$B:$B,$A77,RecoveredRaw!BS:BS)</f>
        <v>0</v>
      </c>
      <c r="BQ77">
        <f>SUMIF(RecoveredRaw!$B:$B,$A77,RecoveredRaw!BT:BT)</f>
        <v>0</v>
      </c>
      <c r="BR77">
        <f>SUMIF(RecoveredRaw!$B:$B,$A77,RecoveredRaw!BU:BU)</f>
        <v>0</v>
      </c>
      <c r="BS77">
        <f>SUMIF(RecoveredRaw!$B:$B,$A77,RecoveredRaw!BV:BV)</f>
        <v>0</v>
      </c>
      <c r="BT77">
        <f>SUMIF(RecoveredRaw!$B:$B,$A77,RecoveredRaw!BW:BW)</f>
        <v>0</v>
      </c>
    </row>
    <row r="78" spans="1:72" ht="15" thickBot="1" x14ac:dyDescent="0.35">
      <c r="A78" s="4" t="s">
        <v>158</v>
      </c>
      <c r="B78">
        <f>SUMIF(RecoveredRaw!$B:$B,$A78,RecoveredRaw!E:E)</f>
        <v>0</v>
      </c>
      <c r="C78">
        <f>SUMIF(RecoveredRaw!$B:$B,$A78,RecoveredRaw!F:F)</f>
        <v>0</v>
      </c>
      <c r="D78">
        <f>SUMIF(RecoveredRaw!$B:$B,$A78,RecoveredRaw!G:G)</f>
        <v>0</v>
      </c>
      <c r="E78">
        <f>SUMIF(RecoveredRaw!$B:$B,$A78,RecoveredRaw!H:H)</f>
        <v>0</v>
      </c>
      <c r="F78">
        <f>SUMIF(RecoveredRaw!$B:$B,$A78,RecoveredRaw!I:I)</f>
        <v>0</v>
      </c>
      <c r="G78">
        <f>SUMIF(RecoveredRaw!$B:$B,$A78,RecoveredRaw!J:J)</f>
        <v>0</v>
      </c>
      <c r="H78">
        <f>SUMIF(RecoveredRaw!$B:$B,$A78,RecoveredRaw!K:K)</f>
        <v>0</v>
      </c>
      <c r="I78">
        <f>SUMIF(RecoveredRaw!$B:$B,$A78,RecoveredRaw!L:L)</f>
        <v>0</v>
      </c>
      <c r="J78">
        <f>SUMIF(RecoveredRaw!$B:$B,$A78,RecoveredRaw!M:M)</f>
        <v>0</v>
      </c>
      <c r="K78">
        <f>SUMIF(RecoveredRaw!$B:$B,$A78,RecoveredRaw!N:N)</f>
        <v>0</v>
      </c>
      <c r="L78">
        <f>SUMIF(RecoveredRaw!$B:$B,$A78,RecoveredRaw!O:O)</f>
        <v>0</v>
      </c>
      <c r="M78">
        <f>SUMIF(RecoveredRaw!$B:$B,$A78,RecoveredRaw!P:P)</f>
        <v>0</v>
      </c>
      <c r="N78">
        <f>SUMIF(RecoveredRaw!$B:$B,$A78,RecoveredRaw!Q:Q)</f>
        <v>0</v>
      </c>
      <c r="O78">
        <f>SUMIF(RecoveredRaw!$B:$B,$A78,RecoveredRaw!R:R)</f>
        <v>0</v>
      </c>
      <c r="P78">
        <f>SUMIF(RecoveredRaw!$B:$B,$A78,RecoveredRaw!S:S)</f>
        <v>0</v>
      </c>
      <c r="Q78">
        <f>SUMIF(RecoveredRaw!$B:$B,$A78,RecoveredRaw!T:T)</f>
        <v>0</v>
      </c>
      <c r="R78">
        <f>SUMIF(RecoveredRaw!$B:$B,$A78,RecoveredRaw!U:U)</f>
        <v>0</v>
      </c>
      <c r="S78">
        <f>SUMIF(RecoveredRaw!$B:$B,$A78,RecoveredRaw!V:V)</f>
        <v>0</v>
      </c>
      <c r="T78">
        <f>SUMIF(RecoveredRaw!$B:$B,$A78,RecoveredRaw!W:W)</f>
        <v>0</v>
      </c>
      <c r="U78">
        <f>SUMIF(RecoveredRaw!$B:$B,$A78,RecoveredRaw!X:X)</f>
        <v>0</v>
      </c>
      <c r="V78">
        <f>SUMIF(RecoveredRaw!$B:$B,$A78,RecoveredRaw!Y:Y)</f>
        <v>0</v>
      </c>
      <c r="W78">
        <f>SUMIF(RecoveredRaw!$B:$B,$A78,RecoveredRaw!Z:Z)</f>
        <v>0</v>
      </c>
      <c r="X78">
        <f>SUMIF(RecoveredRaw!$B:$B,$A78,RecoveredRaw!AA:AA)</f>
        <v>0</v>
      </c>
      <c r="Y78">
        <f>SUMIF(RecoveredRaw!$B:$B,$A78,RecoveredRaw!AB:AB)</f>
        <v>0</v>
      </c>
      <c r="Z78">
        <f>SUMIF(RecoveredRaw!$B:$B,$A78,RecoveredRaw!AC:AC)</f>
        <v>0</v>
      </c>
      <c r="AA78">
        <f>SUMIF(RecoveredRaw!$B:$B,$A78,RecoveredRaw!AD:AD)</f>
        <v>0</v>
      </c>
      <c r="AB78">
        <f>SUMIF(RecoveredRaw!$B:$B,$A78,RecoveredRaw!AE:AE)</f>
        <v>0</v>
      </c>
      <c r="AC78">
        <f>SUMIF(RecoveredRaw!$B:$B,$A78,RecoveredRaw!AF:AF)</f>
        <v>0</v>
      </c>
      <c r="AD78">
        <f>SUMIF(RecoveredRaw!$B:$B,$A78,RecoveredRaw!AG:AG)</f>
        <v>0</v>
      </c>
      <c r="AE78">
        <f>SUMIF(RecoveredRaw!$B:$B,$A78,RecoveredRaw!AH:AH)</f>
        <v>0</v>
      </c>
      <c r="AF78">
        <f>SUMIF(RecoveredRaw!$B:$B,$A78,RecoveredRaw!AI:AI)</f>
        <v>0</v>
      </c>
      <c r="AG78">
        <f>SUMIF(RecoveredRaw!$B:$B,$A78,RecoveredRaw!AJ:AJ)</f>
        <v>0</v>
      </c>
      <c r="AH78">
        <f>SUMIF(RecoveredRaw!$B:$B,$A78,RecoveredRaw!AK:AK)</f>
        <v>0</v>
      </c>
      <c r="AI78">
        <f>SUMIF(RecoveredRaw!$B:$B,$A78,RecoveredRaw!AL:AL)</f>
        <v>0</v>
      </c>
      <c r="AJ78">
        <f>SUMIF(RecoveredRaw!$B:$B,$A78,RecoveredRaw!AM:AM)</f>
        <v>0</v>
      </c>
      <c r="AK78">
        <f>SUMIF(RecoveredRaw!$B:$B,$A78,RecoveredRaw!AN:AN)</f>
        <v>0</v>
      </c>
      <c r="AL78">
        <f>SUMIF(RecoveredRaw!$B:$B,$A78,RecoveredRaw!AO:AO)</f>
        <v>0</v>
      </c>
      <c r="AM78">
        <f>SUMIF(RecoveredRaw!$B:$B,$A78,RecoveredRaw!AP:AP)</f>
        <v>0</v>
      </c>
      <c r="AN78">
        <f>SUMIF(RecoveredRaw!$B:$B,$A78,RecoveredRaw!AQ:AQ)</f>
        <v>0</v>
      </c>
      <c r="AO78">
        <f>SUMIF(RecoveredRaw!$B:$B,$A78,RecoveredRaw!AR:AR)</f>
        <v>0</v>
      </c>
      <c r="AP78">
        <f>SUMIF(RecoveredRaw!$B:$B,$A78,RecoveredRaw!AS:AS)</f>
        <v>0</v>
      </c>
      <c r="AQ78">
        <f>SUMIF(RecoveredRaw!$B:$B,$A78,RecoveredRaw!AT:AT)</f>
        <v>0</v>
      </c>
      <c r="AR78">
        <f>SUMIF(RecoveredRaw!$B:$B,$A78,RecoveredRaw!AU:AU)</f>
        <v>0</v>
      </c>
      <c r="AS78">
        <f>SUMIF(RecoveredRaw!$B:$B,$A78,RecoveredRaw!AV:AV)</f>
        <v>0</v>
      </c>
      <c r="AT78">
        <f>SUMIF(RecoveredRaw!$B:$B,$A78,RecoveredRaw!AW:AW)</f>
        <v>0</v>
      </c>
      <c r="AU78">
        <f>SUMIF(RecoveredRaw!$B:$B,$A78,RecoveredRaw!AX:AX)</f>
        <v>0</v>
      </c>
      <c r="AV78">
        <f>SUMIF(RecoveredRaw!$B:$B,$A78,RecoveredRaw!AY:AY)</f>
        <v>0</v>
      </c>
      <c r="AW78">
        <f>SUMIF(RecoveredRaw!$B:$B,$A78,RecoveredRaw!AZ:AZ)</f>
        <v>0</v>
      </c>
      <c r="AX78">
        <f>SUMIF(RecoveredRaw!$B:$B,$A78,RecoveredRaw!BA:BA)</f>
        <v>0</v>
      </c>
      <c r="AY78">
        <f>SUMIF(RecoveredRaw!$B:$B,$A78,RecoveredRaw!BB:BB)</f>
        <v>0</v>
      </c>
      <c r="AZ78">
        <f>SUMIF(RecoveredRaw!$B:$B,$A78,RecoveredRaw!BC:BC)</f>
        <v>0</v>
      </c>
      <c r="BA78">
        <f>SUMIF(RecoveredRaw!$B:$B,$A78,RecoveredRaw!BD:BD)</f>
        <v>0</v>
      </c>
      <c r="BB78">
        <f>SUMIF(RecoveredRaw!$B:$B,$A78,RecoveredRaw!BE:BE)</f>
        <v>0</v>
      </c>
      <c r="BC78">
        <f>SUMIF(RecoveredRaw!$B:$B,$A78,RecoveredRaw!BF:BF)</f>
        <v>0</v>
      </c>
      <c r="BD78">
        <f>SUMIF(RecoveredRaw!$B:$B,$A78,RecoveredRaw!BG:BG)</f>
        <v>0</v>
      </c>
      <c r="BE78">
        <f>SUMIF(RecoveredRaw!$B:$B,$A78,RecoveredRaw!BH:BH)</f>
        <v>1</v>
      </c>
      <c r="BF78">
        <f>SUMIF(RecoveredRaw!$B:$B,$A78,RecoveredRaw!BI:BI)</f>
        <v>1</v>
      </c>
      <c r="BG78">
        <f>SUMIF(RecoveredRaw!$B:$B,$A78,RecoveredRaw!BJ:BJ)</f>
        <v>0</v>
      </c>
      <c r="BH78">
        <f>SUMIF(RecoveredRaw!$B:$B,$A78,RecoveredRaw!BK:BK)</f>
        <v>0</v>
      </c>
      <c r="BI78">
        <f>SUMIF(RecoveredRaw!$B:$B,$A78,RecoveredRaw!BL:BL)</f>
        <v>0</v>
      </c>
      <c r="BJ78">
        <f>SUMIF(RecoveredRaw!$B:$B,$A78,RecoveredRaw!BM:BM)</f>
        <v>0</v>
      </c>
      <c r="BK78">
        <f>SUMIF(RecoveredRaw!$B:$B,$A78,RecoveredRaw!BN:BN)</f>
        <v>0</v>
      </c>
      <c r="BL78">
        <f>SUMIF(RecoveredRaw!$B:$B,$A78,RecoveredRaw!BO:BO)</f>
        <v>0</v>
      </c>
      <c r="BM78">
        <f>SUMIF(RecoveredRaw!$B:$B,$A78,RecoveredRaw!BP:BP)</f>
        <v>0</v>
      </c>
      <c r="BN78">
        <f>SUMIF(RecoveredRaw!$B:$B,$A78,RecoveredRaw!BQ:BQ)</f>
        <v>0</v>
      </c>
      <c r="BO78">
        <f>SUMIF(RecoveredRaw!$B:$B,$A78,RecoveredRaw!BR:BR)</f>
        <v>0</v>
      </c>
      <c r="BP78">
        <f>SUMIF(RecoveredRaw!$B:$B,$A78,RecoveredRaw!BS:BS)</f>
        <v>0</v>
      </c>
      <c r="BQ78">
        <f>SUMIF(RecoveredRaw!$B:$B,$A78,RecoveredRaw!BT:BT)</f>
        <v>0</v>
      </c>
      <c r="BR78">
        <f>SUMIF(RecoveredRaw!$B:$B,$A78,RecoveredRaw!BU:BU)</f>
        <v>0</v>
      </c>
      <c r="BS78">
        <f>SUMIF(RecoveredRaw!$B:$B,$A78,RecoveredRaw!BV:BV)</f>
        <v>0</v>
      </c>
      <c r="BT78">
        <f>SUMIF(RecoveredRaw!$B:$B,$A78,RecoveredRaw!BW:BW)</f>
        <v>0</v>
      </c>
    </row>
    <row r="79" spans="1:72" ht="15" thickBot="1" x14ac:dyDescent="0.35">
      <c r="A79" s="3" t="s">
        <v>177</v>
      </c>
      <c r="B79">
        <f>SUMIF(RecoveredRaw!$B:$B,$A79,RecoveredRaw!E:E)</f>
        <v>0</v>
      </c>
      <c r="C79">
        <f>SUMIF(RecoveredRaw!$B:$B,$A79,RecoveredRaw!F:F)</f>
        <v>0</v>
      </c>
      <c r="D79">
        <f>SUMIF(RecoveredRaw!$B:$B,$A79,RecoveredRaw!G:G)</f>
        <v>0</v>
      </c>
      <c r="E79">
        <f>SUMIF(RecoveredRaw!$B:$B,$A79,RecoveredRaw!H:H)</f>
        <v>0</v>
      </c>
      <c r="F79">
        <f>SUMIF(RecoveredRaw!$B:$B,$A79,RecoveredRaw!I:I)</f>
        <v>0</v>
      </c>
      <c r="G79">
        <f>SUMIF(RecoveredRaw!$B:$B,$A79,RecoveredRaw!J:J)</f>
        <v>0</v>
      </c>
      <c r="H79">
        <f>SUMIF(RecoveredRaw!$B:$B,$A79,RecoveredRaw!K:K)</f>
        <v>0</v>
      </c>
      <c r="I79">
        <f>SUMIF(RecoveredRaw!$B:$B,$A79,RecoveredRaw!L:L)</f>
        <v>0</v>
      </c>
      <c r="J79">
        <f>SUMIF(RecoveredRaw!$B:$B,$A79,RecoveredRaw!M:M)</f>
        <v>0</v>
      </c>
      <c r="K79">
        <f>SUMIF(RecoveredRaw!$B:$B,$A79,RecoveredRaw!N:N)</f>
        <v>0</v>
      </c>
      <c r="L79">
        <f>SUMIF(RecoveredRaw!$B:$B,$A79,RecoveredRaw!O:O)</f>
        <v>0</v>
      </c>
      <c r="M79">
        <f>SUMIF(RecoveredRaw!$B:$B,$A79,RecoveredRaw!P:P)</f>
        <v>0</v>
      </c>
      <c r="N79">
        <f>SUMIF(RecoveredRaw!$B:$B,$A79,RecoveredRaw!Q:Q)</f>
        <v>0</v>
      </c>
      <c r="O79">
        <f>SUMIF(RecoveredRaw!$B:$B,$A79,RecoveredRaw!R:R)</f>
        <v>0</v>
      </c>
      <c r="P79">
        <f>SUMIF(RecoveredRaw!$B:$B,$A79,RecoveredRaw!S:S)</f>
        <v>0</v>
      </c>
      <c r="Q79">
        <f>SUMIF(RecoveredRaw!$B:$B,$A79,RecoveredRaw!T:T)</f>
        <v>0</v>
      </c>
      <c r="R79">
        <f>SUMIF(RecoveredRaw!$B:$B,$A79,RecoveredRaw!U:U)</f>
        <v>0</v>
      </c>
      <c r="S79">
        <f>SUMIF(RecoveredRaw!$B:$B,$A79,RecoveredRaw!V:V)</f>
        <v>0</v>
      </c>
      <c r="T79">
        <f>SUMIF(RecoveredRaw!$B:$B,$A79,RecoveredRaw!W:W)</f>
        <v>0</v>
      </c>
      <c r="U79">
        <f>SUMIF(RecoveredRaw!$B:$B,$A79,RecoveredRaw!X:X)</f>
        <v>0</v>
      </c>
      <c r="V79">
        <f>SUMIF(RecoveredRaw!$B:$B,$A79,RecoveredRaw!Y:Y)</f>
        <v>0</v>
      </c>
      <c r="W79">
        <f>SUMIF(RecoveredRaw!$B:$B,$A79,RecoveredRaw!Z:Z)</f>
        <v>0</v>
      </c>
      <c r="X79">
        <f>SUMIF(RecoveredRaw!$B:$B,$A79,RecoveredRaw!AA:AA)</f>
        <v>0</v>
      </c>
      <c r="Y79">
        <f>SUMIF(RecoveredRaw!$B:$B,$A79,RecoveredRaw!AB:AB)</f>
        <v>0</v>
      </c>
      <c r="Z79">
        <f>SUMIF(RecoveredRaw!$B:$B,$A79,RecoveredRaw!AC:AC)</f>
        <v>0</v>
      </c>
      <c r="AA79">
        <f>SUMIF(RecoveredRaw!$B:$B,$A79,RecoveredRaw!AD:AD)</f>
        <v>0</v>
      </c>
      <c r="AB79">
        <f>SUMIF(RecoveredRaw!$B:$B,$A79,RecoveredRaw!AE:AE)</f>
        <v>0</v>
      </c>
      <c r="AC79">
        <f>SUMIF(RecoveredRaw!$B:$B,$A79,RecoveredRaw!AF:AF)</f>
        <v>0</v>
      </c>
      <c r="AD79">
        <f>SUMIF(RecoveredRaw!$B:$B,$A79,RecoveredRaw!AG:AG)</f>
        <v>0</v>
      </c>
      <c r="AE79">
        <f>SUMIF(RecoveredRaw!$B:$B,$A79,RecoveredRaw!AH:AH)</f>
        <v>0</v>
      </c>
      <c r="AF79">
        <f>SUMIF(RecoveredRaw!$B:$B,$A79,RecoveredRaw!AI:AI)</f>
        <v>0</v>
      </c>
      <c r="AG79">
        <f>SUMIF(RecoveredRaw!$B:$B,$A79,RecoveredRaw!AJ:AJ)</f>
        <v>0</v>
      </c>
      <c r="AH79">
        <f>SUMIF(RecoveredRaw!$B:$B,$A79,RecoveredRaw!AK:AK)</f>
        <v>0</v>
      </c>
      <c r="AI79">
        <f>SUMIF(RecoveredRaw!$B:$B,$A79,RecoveredRaw!AL:AL)</f>
        <v>0</v>
      </c>
      <c r="AJ79">
        <f>SUMIF(RecoveredRaw!$B:$B,$A79,RecoveredRaw!AM:AM)</f>
        <v>0</v>
      </c>
      <c r="AK79">
        <f>SUMIF(RecoveredRaw!$B:$B,$A79,RecoveredRaw!AN:AN)</f>
        <v>0</v>
      </c>
      <c r="AL79">
        <f>SUMIF(RecoveredRaw!$B:$B,$A79,RecoveredRaw!AO:AO)</f>
        <v>0</v>
      </c>
      <c r="AM79">
        <f>SUMIF(RecoveredRaw!$B:$B,$A79,RecoveredRaw!AP:AP)</f>
        <v>0</v>
      </c>
      <c r="AN79">
        <f>SUMIF(RecoveredRaw!$B:$B,$A79,RecoveredRaw!AQ:AQ)</f>
        <v>0</v>
      </c>
      <c r="AO79">
        <f>SUMIF(RecoveredRaw!$B:$B,$A79,RecoveredRaw!AR:AR)</f>
        <v>0</v>
      </c>
      <c r="AP79">
        <f>SUMIF(RecoveredRaw!$B:$B,$A79,RecoveredRaw!AS:AS)</f>
        <v>0</v>
      </c>
      <c r="AQ79">
        <f>SUMIF(RecoveredRaw!$B:$B,$A79,RecoveredRaw!AT:AT)</f>
        <v>0</v>
      </c>
      <c r="AR79">
        <f>SUMIF(RecoveredRaw!$B:$B,$A79,RecoveredRaw!AU:AU)</f>
        <v>0</v>
      </c>
      <c r="AS79">
        <f>SUMIF(RecoveredRaw!$B:$B,$A79,RecoveredRaw!AV:AV)</f>
        <v>0</v>
      </c>
      <c r="AT79">
        <f>SUMIF(RecoveredRaw!$B:$B,$A79,RecoveredRaw!AW:AW)</f>
        <v>0</v>
      </c>
      <c r="AU79">
        <f>SUMIF(RecoveredRaw!$B:$B,$A79,RecoveredRaw!AX:AX)</f>
        <v>0</v>
      </c>
      <c r="AV79">
        <f>SUMIF(RecoveredRaw!$B:$B,$A79,RecoveredRaw!AY:AY)</f>
        <v>0</v>
      </c>
      <c r="AW79">
        <f>SUMIF(RecoveredRaw!$B:$B,$A79,RecoveredRaw!AZ:AZ)</f>
        <v>0</v>
      </c>
      <c r="AX79">
        <f>SUMIF(RecoveredRaw!$B:$B,$A79,RecoveredRaw!BA:BA)</f>
        <v>0</v>
      </c>
      <c r="AY79">
        <f>SUMIF(RecoveredRaw!$B:$B,$A79,RecoveredRaw!BB:BB)</f>
        <v>0</v>
      </c>
      <c r="AZ79">
        <f>SUMIF(RecoveredRaw!$B:$B,$A79,RecoveredRaw!BC:BC)</f>
        <v>0</v>
      </c>
      <c r="BA79">
        <f>SUMIF(RecoveredRaw!$B:$B,$A79,RecoveredRaw!BD:BD)</f>
        <v>1</v>
      </c>
      <c r="BB79">
        <f>SUMIF(RecoveredRaw!$B:$B,$A79,RecoveredRaw!BE:BE)</f>
        <v>1</v>
      </c>
      <c r="BC79">
        <f>SUMIF(RecoveredRaw!$B:$B,$A79,RecoveredRaw!BF:BF)</f>
        <v>1</v>
      </c>
      <c r="BD79">
        <f>SUMIF(RecoveredRaw!$B:$B,$A79,RecoveredRaw!BG:BG)</f>
        <v>2</v>
      </c>
      <c r="BE79">
        <f>SUMIF(RecoveredRaw!$B:$B,$A79,RecoveredRaw!BH:BH)</f>
        <v>2</v>
      </c>
      <c r="BF79">
        <f>SUMIF(RecoveredRaw!$B:$B,$A79,RecoveredRaw!BI:BI)</f>
        <v>2</v>
      </c>
      <c r="BG79">
        <f>SUMIF(RecoveredRaw!$B:$B,$A79,RecoveredRaw!BJ:BJ)</f>
        <v>0</v>
      </c>
      <c r="BH79">
        <f>SUMIF(RecoveredRaw!$B:$B,$A79,RecoveredRaw!BK:BK)</f>
        <v>0</v>
      </c>
      <c r="BI79">
        <f>SUMIF(RecoveredRaw!$B:$B,$A79,RecoveredRaw!BL:BL)</f>
        <v>0</v>
      </c>
      <c r="BJ79">
        <f>SUMIF(RecoveredRaw!$B:$B,$A79,RecoveredRaw!BM:BM)</f>
        <v>0</v>
      </c>
      <c r="BK79">
        <f>SUMIF(RecoveredRaw!$B:$B,$A79,RecoveredRaw!BN:BN)</f>
        <v>0</v>
      </c>
      <c r="BL79">
        <f>SUMIF(RecoveredRaw!$B:$B,$A79,RecoveredRaw!BO:BO)</f>
        <v>0</v>
      </c>
      <c r="BM79">
        <f>SUMIF(RecoveredRaw!$B:$B,$A79,RecoveredRaw!BP:BP)</f>
        <v>0</v>
      </c>
      <c r="BN79">
        <f>SUMIF(RecoveredRaw!$B:$B,$A79,RecoveredRaw!BQ:BQ)</f>
        <v>0</v>
      </c>
      <c r="BO79">
        <f>SUMIF(RecoveredRaw!$B:$B,$A79,RecoveredRaw!BR:BR)</f>
        <v>0</v>
      </c>
      <c r="BP79">
        <f>SUMIF(RecoveredRaw!$B:$B,$A79,RecoveredRaw!BS:BS)</f>
        <v>0</v>
      </c>
      <c r="BQ79">
        <f>SUMIF(RecoveredRaw!$B:$B,$A79,RecoveredRaw!BT:BT)</f>
        <v>0</v>
      </c>
      <c r="BR79">
        <f>SUMIF(RecoveredRaw!$B:$B,$A79,RecoveredRaw!BU:BU)</f>
        <v>0</v>
      </c>
      <c r="BS79">
        <f>SUMIF(RecoveredRaw!$B:$B,$A79,RecoveredRaw!BV:BV)</f>
        <v>0</v>
      </c>
      <c r="BT79">
        <f>SUMIF(RecoveredRaw!$B:$B,$A79,RecoveredRaw!BW:BW)</f>
        <v>0</v>
      </c>
    </row>
    <row r="80" spans="1:72" ht="15" thickBot="1" x14ac:dyDescent="0.35">
      <c r="A80" s="4" t="s">
        <v>94</v>
      </c>
      <c r="B80">
        <f>SUMIF(RecoveredRaw!$B:$B,$A80,RecoveredRaw!E:E)</f>
        <v>0</v>
      </c>
      <c r="C80">
        <f>SUMIF(RecoveredRaw!$B:$B,$A80,RecoveredRaw!F:F)</f>
        <v>0</v>
      </c>
      <c r="D80">
        <f>SUMIF(RecoveredRaw!$B:$B,$A80,RecoveredRaw!G:G)</f>
        <v>0</v>
      </c>
      <c r="E80">
        <f>SUMIF(RecoveredRaw!$B:$B,$A80,RecoveredRaw!H:H)</f>
        <v>0</v>
      </c>
      <c r="F80">
        <f>SUMIF(RecoveredRaw!$B:$B,$A80,RecoveredRaw!I:I)</f>
        <v>0</v>
      </c>
      <c r="G80">
        <f>SUMIF(RecoveredRaw!$B:$B,$A80,RecoveredRaw!J:J)</f>
        <v>0</v>
      </c>
      <c r="H80">
        <f>SUMIF(RecoveredRaw!$B:$B,$A80,RecoveredRaw!K:K)</f>
        <v>0</v>
      </c>
      <c r="I80">
        <f>SUMIF(RecoveredRaw!$B:$B,$A80,RecoveredRaw!L:L)</f>
        <v>0</v>
      </c>
      <c r="J80">
        <f>SUMIF(RecoveredRaw!$B:$B,$A80,RecoveredRaw!M:M)</f>
        <v>0</v>
      </c>
      <c r="K80">
        <f>SUMIF(RecoveredRaw!$B:$B,$A80,RecoveredRaw!N:N)</f>
        <v>0</v>
      </c>
      <c r="L80">
        <f>SUMIF(RecoveredRaw!$B:$B,$A80,RecoveredRaw!O:O)</f>
        <v>0</v>
      </c>
      <c r="M80">
        <f>SUMIF(RecoveredRaw!$B:$B,$A80,RecoveredRaw!P:P)</f>
        <v>0</v>
      </c>
      <c r="N80">
        <f>SUMIF(RecoveredRaw!$B:$B,$A80,RecoveredRaw!Q:Q)</f>
        <v>0</v>
      </c>
      <c r="O80">
        <f>SUMIF(RecoveredRaw!$B:$B,$A80,RecoveredRaw!R:R)</f>
        <v>0</v>
      </c>
      <c r="P80">
        <f>SUMIF(RecoveredRaw!$B:$B,$A80,RecoveredRaw!S:S)</f>
        <v>0</v>
      </c>
      <c r="Q80">
        <f>SUMIF(RecoveredRaw!$B:$B,$A80,RecoveredRaw!T:T)</f>
        <v>0</v>
      </c>
      <c r="R80">
        <f>SUMIF(RecoveredRaw!$B:$B,$A80,RecoveredRaw!U:U)</f>
        <v>0</v>
      </c>
      <c r="S80">
        <f>SUMIF(RecoveredRaw!$B:$B,$A80,RecoveredRaw!V:V)</f>
        <v>0</v>
      </c>
      <c r="T80">
        <f>SUMIF(RecoveredRaw!$B:$B,$A80,RecoveredRaw!W:W)</f>
        <v>0</v>
      </c>
      <c r="U80">
        <f>SUMIF(RecoveredRaw!$B:$B,$A80,RecoveredRaw!X:X)</f>
        <v>0</v>
      </c>
      <c r="V80">
        <f>SUMIF(RecoveredRaw!$B:$B,$A80,RecoveredRaw!Y:Y)</f>
        <v>0</v>
      </c>
      <c r="W80">
        <f>SUMIF(RecoveredRaw!$B:$B,$A80,RecoveredRaw!Z:Z)</f>
        <v>0</v>
      </c>
      <c r="X80">
        <f>SUMIF(RecoveredRaw!$B:$B,$A80,RecoveredRaw!AA:AA)</f>
        <v>0</v>
      </c>
      <c r="Y80">
        <f>SUMIF(RecoveredRaw!$B:$B,$A80,RecoveredRaw!AB:AB)</f>
        <v>0</v>
      </c>
      <c r="Z80">
        <f>SUMIF(RecoveredRaw!$B:$B,$A80,RecoveredRaw!AC:AC)</f>
        <v>0</v>
      </c>
      <c r="AA80">
        <f>SUMIF(RecoveredRaw!$B:$B,$A80,RecoveredRaw!AD:AD)</f>
        <v>0</v>
      </c>
      <c r="AB80">
        <f>SUMIF(RecoveredRaw!$B:$B,$A80,RecoveredRaw!AE:AE)</f>
        <v>0</v>
      </c>
      <c r="AC80">
        <f>SUMIF(RecoveredRaw!$B:$B,$A80,RecoveredRaw!AF:AF)</f>
        <v>0</v>
      </c>
      <c r="AD80">
        <f>SUMIF(RecoveredRaw!$B:$B,$A80,RecoveredRaw!AG:AG)</f>
        <v>0</v>
      </c>
      <c r="AE80">
        <f>SUMIF(RecoveredRaw!$B:$B,$A80,RecoveredRaw!AH:AH)</f>
        <v>0</v>
      </c>
      <c r="AF80">
        <f>SUMIF(RecoveredRaw!$B:$B,$A80,RecoveredRaw!AI:AI)</f>
        <v>0</v>
      </c>
      <c r="AG80">
        <f>SUMIF(RecoveredRaw!$B:$B,$A80,RecoveredRaw!AJ:AJ)</f>
        <v>0</v>
      </c>
      <c r="AH80">
        <f>SUMIF(RecoveredRaw!$B:$B,$A80,RecoveredRaw!AK:AK)</f>
        <v>0</v>
      </c>
      <c r="AI80">
        <f>SUMIF(RecoveredRaw!$B:$B,$A80,RecoveredRaw!AL:AL)</f>
        <v>0</v>
      </c>
      <c r="AJ80">
        <f>SUMIF(RecoveredRaw!$B:$B,$A80,RecoveredRaw!AM:AM)</f>
        <v>0</v>
      </c>
      <c r="AK80">
        <f>SUMIF(RecoveredRaw!$B:$B,$A80,RecoveredRaw!AN:AN)</f>
        <v>0</v>
      </c>
      <c r="AL80">
        <f>SUMIF(RecoveredRaw!$B:$B,$A80,RecoveredRaw!AO:AO)</f>
        <v>0</v>
      </c>
      <c r="AM80">
        <f>SUMIF(RecoveredRaw!$B:$B,$A80,RecoveredRaw!AP:AP)</f>
        <v>0</v>
      </c>
      <c r="AN80">
        <f>SUMIF(RecoveredRaw!$B:$B,$A80,RecoveredRaw!AQ:AQ)</f>
        <v>0</v>
      </c>
      <c r="AO80">
        <f>SUMIF(RecoveredRaw!$B:$B,$A80,RecoveredRaw!AR:AR)</f>
        <v>0</v>
      </c>
      <c r="AP80">
        <f>SUMIF(RecoveredRaw!$B:$B,$A80,RecoveredRaw!AS:AS)</f>
        <v>0</v>
      </c>
      <c r="AQ80">
        <f>SUMIF(RecoveredRaw!$B:$B,$A80,RecoveredRaw!AT:AT)</f>
        <v>1</v>
      </c>
      <c r="AR80">
        <f>SUMIF(RecoveredRaw!$B:$B,$A80,RecoveredRaw!AU:AU)</f>
        <v>1</v>
      </c>
      <c r="AS80">
        <f>SUMIF(RecoveredRaw!$B:$B,$A80,RecoveredRaw!AV:AV)</f>
        <v>1</v>
      </c>
      <c r="AT80">
        <f>SUMIF(RecoveredRaw!$B:$B,$A80,RecoveredRaw!AW:AW)</f>
        <v>1</v>
      </c>
      <c r="AU80">
        <f>SUMIF(RecoveredRaw!$B:$B,$A80,RecoveredRaw!AX:AX)</f>
        <v>1</v>
      </c>
      <c r="AV80">
        <f>SUMIF(RecoveredRaw!$B:$B,$A80,RecoveredRaw!AY:AY)</f>
        <v>1</v>
      </c>
      <c r="AW80">
        <f>SUMIF(RecoveredRaw!$B:$B,$A80,RecoveredRaw!AZ:AZ)</f>
        <v>1</v>
      </c>
      <c r="AX80">
        <f>SUMIF(RecoveredRaw!$B:$B,$A80,RecoveredRaw!BA:BA)</f>
        <v>4</v>
      </c>
      <c r="AY80">
        <f>SUMIF(RecoveredRaw!$B:$B,$A80,RecoveredRaw!BB:BB)</f>
        <v>4</v>
      </c>
      <c r="AZ80">
        <f>SUMIF(RecoveredRaw!$B:$B,$A80,RecoveredRaw!BC:BC)</f>
        <v>4</v>
      </c>
      <c r="BA80">
        <f>SUMIF(RecoveredRaw!$B:$B,$A80,RecoveredRaw!BD:BD)</f>
        <v>4</v>
      </c>
      <c r="BB80">
        <f>SUMIF(RecoveredRaw!$B:$B,$A80,RecoveredRaw!BE:BE)</f>
        <v>4</v>
      </c>
      <c r="BC80">
        <f>SUMIF(RecoveredRaw!$B:$B,$A80,RecoveredRaw!BF:BF)</f>
        <v>4</v>
      </c>
      <c r="BD80">
        <f>SUMIF(RecoveredRaw!$B:$B,$A80,RecoveredRaw!BG:BG)</f>
        <v>4</v>
      </c>
      <c r="BE80">
        <f>SUMIF(RecoveredRaw!$B:$B,$A80,RecoveredRaw!BH:BH)</f>
        <v>4</v>
      </c>
      <c r="BF80">
        <f>SUMIF(RecoveredRaw!$B:$B,$A80,RecoveredRaw!BI:BI)</f>
        <v>4</v>
      </c>
      <c r="BG80">
        <f>SUMIF(RecoveredRaw!$B:$B,$A80,RecoveredRaw!BJ:BJ)</f>
        <v>0</v>
      </c>
      <c r="BH80">
        <f>SUMIF(RecoveredRaw!$B:$B,$A80,RecoveredRaw!BK:BK)</f>
        <v>0</v>
      </c>
      <c r="BI80">
        <f>SUMIF(RecoveredRaw!$B:$B,$A80,RecoveredRaw!BL:BL)</f>
        <v>0</v>
      </c>
      <c r="BJ80">
        <f>SUMIF(RecoveredRaw!$B:$B,$A80,RecoveredRaw!BM:BM)</f>
        <v>0</v>
      </c>
      <c r="BK80">
        <f>SUMIF(RecoveredRaw!$B:$B,$A80,RecoveredRaw!BN:BN)</f>
        <v>0</v>
      </c>
      <c r="BL80">
        <f>SUMIF(RecoveredRaw!$B:$B,$A80,RecoveredRaw!BO:BO)</f>
        <v>0</v>
      </c>
      <c r="BM80">
        <f>SUMIF(RecoveredRaw!$B:$B,$A80,RecoveredRaw!BP:BP)</f>
        <v>0</v>
      </c>
      <c r="BN80">
        <f>SUMIF(RecoveredRaw!$B:$B,$A80,RecoveredRaw!BQ:BQ)</f>
        <v>0</v>
      </c>
      <c r="BO80">
        <f>SUMIF(RecoveredRaw!$B:$B,$A80,RecoveredRaw!BR:BR)</f>
        <v>0</v>
      </c>
      <c r="BP80">
        <f>SUMIF(RecoveredRaw!$B:$B,$A80,RecoveredRaw!BS:BS)</f>
        <v>0</v>
      </c>
      <c r="BQ80">
        <f>SUMIF(RecoveredRaw!$B:$B,$A80,RecoveredRaw!BT:BT)</f>
        <v>0</v>
      </c>
      <c r="BR80">
        <f>SUMIF(RecoveredRaw!$B:$B,$A80,RecoveredRaw!BU:BU)</f>
        <v>0</v>
      </c>
      <c r="BS80">
        <f>SUMIF(RecoveredRaw!$B:$B,$A80,RecoveredRaw!BV:BV)</f>
        <v>0</v>
      </c>
      <c r="BT80">
        <f>SUMIF(RecoveredRaw!$B:$B,$A80,RecoveredRaw!BW:BW)</f>
        <v>0</v>
      </c>
    </row>
    <row r="81" spans="1:72" ht="15" thickBot="1" x14ac:dyDescent="0.35">
      <c r="A81" s="3" t="s">
        <v>114</v>
      </c>
      <c r="B81">
        <f>SUMIF(RecoveredRaw!$B:$B,$A81,RecoveredRaw!E:E)</f>
        <v>0</v>
      </c>
      <c r="C81">
        <f>SUMIF(RecoveredRaw!$B:$B,$A81,RecoveredRaw!F:F)</f>
        <v>0</v>
      </c>
      <c r="D81">
        <f>SUMIF(RecoveredRaw!$B:$B,$A81,RecoveredRaw!G:G)</f>
        <v>0</v>
      </c>
      <c r="E81">
        <f>SUMIF(RecoveredRaw!$B:$B,$A81,RecoveredRaw!H:H)</f>
        <v>0</v>
      </c>
      <c r="F81">
        <f>SUMIF(RecoveredRaw!$B:$B,$A81,RecoveredRaw!I:I)</f>
        <v>0</v>
      </c>
      <c r="G81">
        <f>SUMIF(RecoveredRaw!$B:$B,$A81,RecoveredRaw!J:J)</f>
        <v>0</v>
      </c>
      <c r="H81">
        <f>SUMIF(RecoveredRaw!$B:$B,$A81,RecoveredRaw!K:K)</f>
        <v>0</v>
      </c>
      <c r="I81">
        <f>SUMIF(RecoveredRaw!$B:$B,$A81,RecoveredRaw!L:L)</f>
        <v>0</v>
      </c>
      <c r="J81">
        <f>SUMIF(RecoveredRaw!$B:$B,$A81,RecoveredRaw!M:M)</f>
        <v>0</v>
      </c>
      <c r="K81">
        <f>SUMIF(RecoveredRaw!$B:$B,$A81,RecoveredRaw!N:N)</f>
        <v>0</v>
      </c>
      <c r="L81">
        <f>SUMIF(RecoveredRaw!$B:$B,$A81,RecoveredRaw!O:O)</f>
        <v>0</v>
      </c>
      <c r="M81">
        <f>SUMIF(RecoveredRaw!$B:$B,$A81,RecoveredRaw!P:P)</f>
        <v>0</v>
      </c>
      <c r="N81">
        <f>SUMIF(RecoveredRaw!$B:$B,$A81,RecoveredRaw!Q:Q)</f>
        <v>0</v>
      </c>
      <c r="O81">
        <f>SUMIF(RecoveredRaw!$B:$B,$A81,RecoveredRaw!R:R)</f>
        <v>0</v>
      </c>
      <c r="P81">
        <f>SUMIF(RecoveredRaw!$B:$B,$A81,RecoveredRaw!S:S)</f>
        <v>0</v>
      </c>
      <c r="Q81">
        <f>SUMIF(RecoveredRaw!$B:$B,$A81,RecoveredRaw!T:T)</f>
        <v>0</v>
      </c>
      <c r="R81">
        <f>SUMIF(RecoveredRaw!$B:$B,$A81,RecoveredRaw!U:U)</f>
        <v>0</v>
      </c>
      <c r="S81">
        <f>SUMIF(RecoveredRaw!$B:$B,$A81,RecoveredRaw!V:V)</f>
        <v>0</v>
      </c>
      <c r="T81">
        <f>SUMIF(RecoveredRaw!$B:$B,$A81,RecoveredRaw!W:W)</f>
        <v>0</v>
      </c>
      <c r="U81">
        <f>SUMIF(RecoveredRaw!$B:$B,$A81,RecoveredRaw!X:X)</f>
        <v>0</v>
      </c>
      <c r="V81">
        <f>SUMIF(RecoveredRaw!$B:$B,$A81,RecoveredRaw!Y:Y)</f>
        <v>0</v>
      </c>
      <c r="W81">
        <f>SUMIF(RecoveredRaw!$B:$B,$A81,RecoveredRaw!Z:Z)</f>
        <v>0</v>
      </c>
      <c r="X81">
        <f>SUMIF(RecoveredRaw!$B:$B,$A81,RecoveredRaw!AA:AA)</f>
        <v>0</v>
      </c>
      <c r="Y81">
        <f>SUMIF(RecoveredRaw!$B:$B,$A81,RecoveredRaw!AB:AB)</f>
        <v>0</v>
      </c>
      <c r="Z81">
        <f>SUMIF(RecoveredRaw!$B:$B,$A81,RecoveredRaw!AC:AC)</f>
        <v>0</v>
      </c>
      <c r="AA81">
        <f>SUMIF(RecoveredRaw!$B:$B,$A81,RecoveredRaw!AD:AD)</f>
        <v>0</v>
      </c>
      <c r="AB81">
        <f>SUMIF(RecoveredRaw!$B:$B,$A81,RecoveredRaw!AE:AE)</f>
        <v>0</v>
      </c>
      <c r="AC81">
        <f>SUMIF(RecoveredRaw!$B:$B,$A81,RecoveredRaw!AF:AF)</f>
        <v>0</v>
      </c>
      <c r="AD81">
        <f>SUMIF(RecoveredRaw!$B:$B,$A81,RecoveredRaw!AG:AG)</f>
        <v>0</v>
      </c>
      <c r="AE81">
        <f>SUMIF(RecoveredRaw!$B:$B,$A81,RecoveredRaw!AH:AH)</f>
        <v>0</v>
      </c>
      <c r="AF81">
        <f>SUMIF(RecoveredRaw!$B:$B,$A81,RecoveredRaw!AI:AI)</f>
        <v>0</v>
      </c>
      <c r="AG81">
        <f>SUMIF(RecoveredRaw!$B:$B,$A81,RecoveredRaw!AJ:AJ)</f>
        <v>0</v>
      </c>
      <c r="AH81">
        <f>SUMIF(RecoveredRaw!$B:$B,$A81,RecoveredRaw!AK:AK)</f>
        <v>0</v>
      </c>
      <c r="AI81">
        <f>SUMIF(RecoveredRaw!$B:$B,$A81,RecoveredRaw!AL:AL)</f>
        <v>0</v>
      </c>
      <c r="AJ81">
        <f>SUMIF(RecoveredRaw!$B:$B,$A81,RecoveredRaw!AM:AM)</f>
        <v>0</v>
      </c>
      <c r="AK81">
        <f>SUMIF(RecoveredRaw!$B:$B,$A81,RecoveredRaw!AN:AN)</f>
        <v>0</v>
      </c>
      <c r="AL81">
        <f>SUMIF(RecoveredRaw!$B:$B,$A81,RecoveredRaw!AO:AO)</f>
        <v>0</v>
      </c>
      <c r="AM81">
        <f>SUMIF(RecoveredRaw!$B:$B,$A81,RecoveredRaw!AP:AP)</f>
        <v>0</v>
      </c>
      <c r="AN81">
        <f>SUMIF(RecoveredRaw!$B:$B,$A81,RecoveredRaw!AQ:AQ)</f>
        <v>0</v>
      </c>
      <c r="AO81">
        <f>SUMIF(RecoveredRaw!$B:$B,$A81,RecoveredRaw!AR:AR)</f>
        <v>0</v>
      </c>
      <c r="AP81">
        <f>SUMIF(RecoveredRaw!$B:$B,$A81,RecoveredRaw!AS:AS)</f>
        <v>0</v>
      </c>
      <c r="AQ81">
        <f>SUMIF(RecoveredRaw!$B:$B,$A81,RecoveredRaw!AT:AT)</f>
        <v>0</v>
      </c>
      <c r="AR81">
        <f>SUMIF(RecoveredRaw!$B:$B,$A81,RecoveredRaw!AU:AU)</f>
        <v>0</v>
      </c>
      <c r="AS81">
        <f>SUMIF(RecoveredRaw!$B:$B,$A81,RecoveredRaw!AV:AV)</f>
        <v>0</v>
      </c>
      <c r="AT81">
        <f>SUMIF(RecoveredRaw!$B:$B,$A81,RecoveredRaw!AW:AW)</f>
        <v>0</v>
      </c>
      <c r="AU81">
        <f>SUMIF(RecoveredRaw!$B:$B,$A81,RecoveredRaw!AX:AX)</f>
        <v>0</v>
      </c>
      <c r="AV81">
        <f>SUMIF(RecoveredRaw!$B:$B,$A81,RecoveredRaw!AY:AY)</f>
        <v>1</v>
      </c>
      <c r="AW81">
        <f>SUMIF(RecoveredRaw!$B:$B,$A81,RecoveredRaw!AZ:AZ)</f>
        <v>1</v>
      </c>
      <c r="AX81">
        <f>SUMIF(RecoveredRaw!$B:$B,$A81,RecoveredRaw!BA:BA)</f>
        <v>1</v>
      </c>
      <c r="AY81">
        <f>SUMIF(RecoveredRaw!$B:$B,$A81,RecoveredRaw!BB:BB)</f>
        <v>1</v>
      </c>
      <c r="AZ81">
        <f>SUMIF(RecoveredRaw!$B:$B,$A81,RecoveredRaw!BC:BC)</f>
        <v>1</v>
      </c>
      <c r="BA81">
        <f>SUMIF(RecoveredRaw!$B:$B,$A81,RecoveredRaw!BD:BD)</f>
        <v>1</v>
      </c>
      <c r="BB81">
        <f>SUMIF(RecoveredRaw!$B:$B,$A81,RecoveredRaw!BE:BE)</f>
        <v>1</v>
      </c>
      <c r="BC81">
        <f>SUMIF(RecoveredRaw!$B:$B,$A81,RecoveredRaw!BF:BF)</f>
        <v>1</v>
      </c>
      <c r="BD81">
        <f>SUMIF(RecoveredRaw!$B:$B,$A81,RecoveredRaw!BG:BG)</f>
        <v>2</v>
      </c>
      <c r="BE81">
        <f>SUMIF(RecoveredRaw!$B:$B,$A81,RecoveredRaw!BH:BH)</f>
        <v>2</v>
      </c>
      <c r="BF81">
        <f>SUMIF(RecoveredRaw!$B:$B,$A81,RecoveredRaw!BI:BI)</f>
        <v>2</v>
      </c>
      <c r="BG81">
        <f>SUMIF(RecoveredRaw!$B:$B,$A81,RecoveredRaw!BJ:BJ)</f>
        <v>0</v>
      </c>
      <c r="BH81">
        <f>SUMIF(RecoveredRaw!$B:$B,$A81,RecoveredRaw!BK:BK)</f>
        <v>0</v>
      </c>
      <c r="BI81">
        <f>SUMIF(RecoveredRaw!$B:$B,$A81,RecoveredRaw!BL:BL)</f>
        <v>0</v>
      </c>
      <c r="BJ81">
        <f>SUMIF(RecoveredRaw!$B:$B,$A81,RecoveredRaw!BM:BM)</f>
        <v>0</v>
      </c>
      <c r="BK81">
        <f>SUMIF(RecoveredRaw!$B:$B,$A81,RecoveredRaw!BN:BN)</f>
        <v>0</v>
      </c>
      <c r="BL81">
        <f>SUMIF(RecoveredRaw!$B:$B,$A81,RecoveredRaw!BO:BO)</f>
        <v>0</v>
      </c>
      <c r="BM81">
        <f>SUMIF(RecoveredRaw!$B:$B,$A81,RecoveredRaw!BP:BP)</f>
        <v>0</v>
      </c>
      <c r="BN81">
        <f>SUMIF(RecoveredRaw!$B:$B,$A81,RecoveredRaw!BQ:BQ)</f>
        <v>0</v>
      </c>
      <c r="BO81">
        <f>SUMIF(RecoveredRaw!$B:$B,$A81,RecoveredRaw!BR:BR)</f>
        <v>0</v>
      </c>
      <c r="BP81">
        <f>SUMIF(RecoveredRaw!$B:$B,$A81,RecoveredRaw!BS:BS)</f>
        <v>0</v>
      </c>
      <c r="BQ81">
        <f>SUMIF(RecoveredRaw!$B:$B,$A81,RecoveredRaw!BT:BT)</f>
        <v>0</v>
      </c>
      <c r="BR81">
        <f>SUMIF(RecoveredRaw!$B:$B,$A81,RecoveredRaw!BU:BU)</f>
        <v>0</v>
      </c>
      <c r="BS81">
        <f>SUMIF(RecoveredRaw!$B:$B,$A81,RecoveredRaw!BV:BV)</f>
        <v>0</v>
      </c>
      <c r="BT81">
        <f>SUMIF(RecoveredRaw!$B:$B,$A81,RecoveredRaw!BW:BW)</f>
        <v>0</v>
      </c>
    </row>
    <row r="82" spans="1:72" ht="15" thickBot="1" x14ac:dyDescent="0.35">
      <c r="A82" s="4" t="s">
        <v>200</v>
      </c>
      <c r="B82">
        <f>SUMIF(RecoveredRaw!$B:$B,$A82,RecoveredRaw!E:E)</f>
        <v>0</v>
      </c>
      <c r="C82">
        <f>SUMIF(RecoveredRaw!$B:$B,$A82,RecoveredRaw!F:F)</f>
        <v>0</v>
      </c>
      <c r="D82">
        <f>SUMIF(RecoveredRaw!$B:$B,$A82,RecoveredRaw!G:G)</f>
        <v>0</v>
      </c>
      <c r="E82">
        <f>SUMIF(RecoveredRaw!$B:$B,$A82,RecoveredRaw!H:H)</f>
        <v>0</v>
      </c>
      <c r="F82">
        <f>SUMIF(RecoveredRaw!$B:$B,$A82,RecoveredRaw!I:I)</f>
        <v>0</v>
      </c>
      <c r="G82">
        <f>SUMIF(RecoveredRaw!$B:$B,$A82,RecoveredRaw!J:J)</f>
        <v>0</v>
      </c>
      <c r="H82">
        <f>SUMIF(RecoveredRaw!$B:$B,$A82,RecoveredRaw!K:K)</f>
        <v>0</v>
      </c>
      <c r="I82">
        <f>SUMIF(RecoveredRaw!$B:$B,$A82,RecoveredRaw!L:L)</f>
        <v>0</v>
      </c>
      <c r="J82">
        <f>SUMIF(RecoveredRaw!$B:$B,$A82,RecoveredRaw!M:M)</f>
        <v>0</v>
      </c>
      <c r="K82">
        <f>SUMIF(RecoveredRaw!$B:$B,$A82,RecoveredRaw!N:N)</f>
        <v>0</v>
      </c>
      <c r="L82">
        <f>SUMIF(RecoveredRaw!$B:$B,$A82,RecoveredRaw!O:O)</f>
        <v>0</v>
      </c>
      <c r="M82">
        <f>SUMIF(RecoveredRaw!$B:$B,$A82,RecoveredRaw!P:P)</f>
        <v>0</v>
      </c>
      <c r="N82">
        <f>SUMIF(RecoveredRaw!$B:$B,$A82,RecoveredRaw!Q:Q)</f>
        <v>0</v>
      </c>
      <c r="O82">
        <f>SUMIF(RecoveredRaw!$B:$B,$A82,RecoveredRaw!R:R)</f>
        <v>0</v>
      </c>
      <c r="P82">
        <f>SUMIF(RecoveredRaw!$B:$B,$A82,RecoveredRaw!S:S)</f>
        <v>0</v>
      </c>
      <c r="Q82">
        <f>SUMIF(RecoveredRaw!$B:$B,$A82,RecoveredRaw!T:T)</f>
        <v>0</v>
      </c>
      <c r="R82">
        <f>SUMIF(RecoveredRaw!$B:$B,$A82,RecoveredRaw!U:U)</f>
        <v>0</v>
      </c>
      <c r="S82">
        <f>SUMIF(RecoveredRaw!$B:$B,$A82,RecoveredRaw!V:V)</f>
        <v>0</v>
      </c>
      <c r="T82">
        <f>SUMIF(RecoveredRaw!$B:$B,$A82,RecoveredRaw!W:W)</f>
        <v>0</v>
      </c>
      <c r="U82">
        <f>SUMIF(RecoveredRaw!$B:$B,$A82,RecoveredRaw!X:X)</f>
        <v>0</v>
      </c>
      <c r="V82">
        <f>SUMIF(RecoveredRaw!$B:$B,$A82,RecoveredRaw!Y:Y)</f>
        <v>0</v>
      </c>
      <c r="W82">
        <f>SUMIF(RecoveredRaw!$B:$B,$A82,RecoveredRaw!Z:Z)</f>
        <v>0</v>
      </c>
      <c r="X82">
        <f>SUMIF(RecoveredRaw!$B:$B,$A82,RecoveredRaw!AA:AA)</f>
        <v>0</v>
      </c>
      <c r="Y82">
        <f>SUMIF(RecoveredRaw!$B:$B,$A82,RecoveredRaw!AB:AB)</f>
        <v>0</v>
      </c>
      <c r="Z82">
        <f>SUMIF(RecoveredRaw!$B:$B,$A82,RecoveredRaw!AC:AC)</f>
        <v>0</v>
      </c>
      <c r="AA82">
        <f>SUMIF(RecoveredRaw!$B:$B,$A82,RecoveredRaw!AD:AD)</f>
        <v>0</v>
      </c>
      <c r="AB82">
        <f>SUMIF(RecoveredRaw!$B:$B,$A82,RecoveredRaw!AE:AE)</f>
        <v>0</v>
      </c>
      <c r="AC82">
        <f>SUMIF(RecoveredRaw!$B:$B,$A82,RecoveredRaw!AF:AF)</f>
        <v>0</v>
      </c>
      <c r="AD82">
        <f>SUMIF(RecoveredRaw!$B:$B,$A82,RecoveredRaw!AG:AG)</f>
        <v>0</v>
      </c>
      <c r="AE82">
        <f>SUMIF(RecoveredRaw!$B:$B,$A82,RecoveredRaw!AH:AH)</f>
        <v>0</v>
      </c>
      <c r="AF82">
        <f>SUMIF(RecoveredRaw!$B:$B,$A82,RecoveredRaw!AI:AI)</f>
        <v>0</v>
      </c>
      <c r="AG82">
        <f>SUMIF(RecoveredRaw!$B:$B,$A82,RecoveredRaw!AJ:AJ)</f>
        <v>0</v>
      </c>
      <c r="AH82">
        <f>SUMIF(RecoveredRaw!$B:$B,$A82,RecoveredRaw!AK:AK)</f>
        <v>0</v>
      </c>
      <c r="AI82">
        <f>SUMIF(RecoveredRaw!$B:$B,$A82,RecoveredRaw!AL:AL)</f>
        <v>0</v>
      </c>
      <c r="AJ82">
        <f>SUMIF(RecoveredRaw!$B:$B,$A82,RecoveredRaw!AM:AM)</f>
        <v>0</v>
      </c>
      <c r="AK82">
        <f>SUMIF(RecoveredRaw!$B:$B,$A82,RecoveredRaw!AN:AN)</f>
        <v>0</v>
      </c>
      <c r="AL82">
        <f>SUMIF(RecoveredRaw!$B:$B,$A82,RecoveredRaw!AO:AO)</f>
        <v>0</v>
      </c>
      <c r="AM82">
        <f>SUMIF(RecoveredRaw!$B:$B,$A82,RecoveredRaw!AP:AP)</f>
        <v>0</v>
      </c>
      <c r="AN82">
        <f>SUMIF(RecoveredRaw!$B:$B,$A82,RecoveredRaw!AQ:AQ)</f>
        <v>0</v>
      </c>
      <c r="AO82">
        <f>SUMIF(RecoveredRaw!$B:$B,$A82,RecoveredRaw!AR:AR)</f>
        <v>0</v>
      </c>
      <c r="AP82">
        <f>SUMIF(RecoveredRaw!$B:$B,$A82,RecoveredRaw!AS:AS)</f>
        <v>0</v>
      </c>
      <c r="AQ82">
        <f>SUMIF(RecoveredRaw!$B:$B,$A82,RecoveredRaw!AT:AT)</f>
        <v>0</v>
      </c>
      <c r="AR82">
        <f>SUMIF(RecoveredRaw!$B:$B,$A82,RecoveredRaw!AU:AU)</f>
        <v>0</v>
      </c>
      <c r="AS82">
        <f>SUMIF(RecoveredRaw!$B:$B,$A82,RecoveredRaw!AV:AV)</f>
        <v>0</v>
      </c>
      <c r="AT82">
        <f>SUMIF(RecoveredRaw!$B:$B,$A82,RecoveredRaw!AW:AW)</f>
        <v>0</v>
      </c>
      <c r="AU82">
        <f>SUMIF(RecoveredRaw!$B:$B,$A82,RecoveredRaw!AX:AX)</f>
        <v>0</v>
      </c>
      <c r="AV82">
        <f>SUMIF(RecoveredRaw!$B:$B,$A82,RecoveredRaw!AY:AY)</f>
        <v>0</v>
      </c>
      <c r="AW82">
        <f>SUMIF(RecoveredRaw!$B:$B,$A82,RecoveredRaw!AZ:AZ)</f>
        <v>0</v>
      </c>
      <c r="AX82">
        <f>SUMIF(RecoveredRaw!$B:$B,$A82,RecoveredRaw!BA:BA)</f>
        <v>0</v>
      </c>
      <c r="AY82">
        <f>SUMIF(RecoveredRaw!$B:$B,$A82,RecoveredRaw!BB:BB)</f>
        <v>0</v>
      </c>
      <c r="AZ82">
        <f>SUMIF(RecoveredRaw!$B:$B,$A82,RecoveredRaw!BC:BC)</f>
        <v>0</v>
      </c>
      <c r="BA82">
        <f>SUMIF(RecoveredRaw!$B:$B,$A82,RecoveredRaw!BD:BD)</f>
        <v>0</v>
      </c>
      <c r="BB82">
        <f>SUMIF(RecoveredRaw!$B:$B,$A82,RecoveredRaw!BE:BE)</f>
        <v>0</v>
      </c>
      <c r="BC82">
        <f>SUMIF(RecoveredRaw!$B:$B,$A82,RecoveredRaw!BF:BF)</f>
        <v>0</v>
      </c>
      <c r="BD82">
        <f>SUMIF(RecoveredRaw!$B:$B,$A82,RecoveredRaw!BG:BG)</f>
        <v>0</v>
      </c>
      <c r="BE82">
        <f>SUMIF(RecoveredRaw!$B:$B,$A82,RecoveredRaw!BH:BH)</f>
        <v>0</v>
      </c>
      <c r="BF82">
        <f>SUMIF(RecoveredRaw!$B:$B,$A82,RecoveredRaw!BI:BI)</f>
        <v>0</v>
      </c>
      <c r="BG82">
        <f>SUMIF(RecoveredRaw!$B:$B,$A82,RecoveredRaw!BJ:BJ)</f>
        <v>0</v>
      </c>
      <c r="BH82">
        <f>SUMIF(RecoveredRaw!$B:$B,$A82,RecoveredRaw!BK:BK)</f>
        <v>0</v>
      </c>
      <c r="BI82">
        <f>SUMIF(RecoveredRaw!$B:$B,$A82,RecoveredRaw!BL:BL)</f>
        <v>0</v>
      </c>
      <c r="BJ82">
        <f>SUMIF(RecoveredRaw!$B:$B,$A82,RecoveredRaw!BM:BM)</f>
        <v>0</v>
      </c>
      <c r="BK82">
        <f>SUMIF(RecoveredRaw!$B:$B,$A82,RecoveredRaw!BN:BN)</f>
        <v>0</v>
      </c>
      <c r="BL82">
        <f>SUMIF(RecoveredRaw!$B:$B,$A82,RecoveredRaw!BO:BO)</f>
        <v>0</v>
      </c>
      <c r="BM82">
        <f>SUMIF(RecoveredRaw!$B:$B,$A82,RecoveredRaw!BP:BP)</f>
        <v>0</v>
      </c>
      <c r="BN82">
        <f>SUMIF(RecoveredRaw!$B:$B,$A82,RecoveredRaw!BQ:BQ)</f>
        <v>0</v>
      </c>
      <c r="BO82">
        <f>SUMIF(RecoveredRaw!$B:$B,$A82,RecoveredRaw!BR:BR)</f>
        <v>0</v>
      </c>
      <c r="BP82">
        <f>SUMIF(RecoveredRaw!$B:$B,$A82,RecoveredRaw!BS:BS)</f>
        <v>0</v>
      </c>
      <c r="BQ82">
        <f>SUMIF(RecoveredRaw!$B:$B,$A82,RecoveredRaw!BT:BT)</f>
        <v>0</v>
      </c>
      <c r="BR82">
        <f>SUMIF(RecoveredRaw!$B:$B,$A82,RecoveredRaw!BU:BU)</f>
        <v>0</v>
      </c>
      <c r="BS82">
        <f>SUMIF(RecoveredRaw!$B:$B,$A82,RecoveredRaw!BV:BV)</f>
        <v>0</v>
      </c>
      <c r="BT82">
        <f>SUMIF(RecoveredRaw!$B:$B,$A82,RecoveredRaw!BW:BW)</f>
        <v>0</v>
      </c>
    </row>
    <row r="83" spans="1:72" ht="15" thickBot="1" x14ac:dyDescent="0.35">
      <c r="A83" s="4" t="s">
        <v>105</v>
      </c>
      <c r="B83">
        <f>SUMIF(RecoveredRaw!$B:$B,$A83,RecoveredRaw!E:E)</f>
        <v>0</v>
      </c>
      <c r="C83">
        <f>SUMIF(RecoveredRaw!$B:$B,$A83,RecoveredRaw!F:F)</f>
        <v>0</v>
      </c>
      <c r="D83">
        <f>SUMIF(RecoveredRaw!$B:$B,$A83,RecoveredRaw!G:G)</f>
        <v>0</v>
      </c>
      <c r="E83">
        <f>SUMIF(RecoveredRaw!$B:$B,$A83,RecoveredRaw!H:H)</f>
        <v>0</v>
      </c>
      <c r="F83">
        <f>SUMIF(RecoveredRaw!$B:$B,$A83,RecoveredRaw!I:I)</f>
        <v>0</v>
      </c>
      <c r="G83">
        <f>SUMIF(RecoveredRaw!$B:$B,$A83,RecoveredRaw!J:J)</f>
        <v>0</v>
      </c>
      <c r="H83">
        <f>SUMIF(RecoveredRaw!$B:$B,$A83,RecoveredRaw!K:K)</f>
        <v>0</v>
      </c>
      <c r="I83">
        <f>SUMIF(RecoveredRaw!$B:$B,$A83,RecoveredRaw!L:L)</f>
        <v>0</v>
      </c>
      <c r="J83">
        <f>SUMIF(RecoveredRaw!$B:$B,$A83,RecoveredRaw!M:M)</f>
        <v>0</v>
      </c>
      <c r="K83">
        <f>SUMIF(RecoveredRaw!$B:$B,$A83,RecoveredRaw!N:N)</f>
        <v>0</v>
      </c>
      <c r="L83">
        <f>SUMIF(RecoveredRaw!$B:$B,$A83,RecoveredRaw!O:O)</f>
        <v>0</v>
      </c>
      <c r="M83">
        <f>SUMIF(RecoveredRaw!$B:$B,$A83,RecoveredRaw!P:P)</f>
        <v>0</v>
      </c>
      <c r="N83">
        <f>SUMIF(RecoveredRaw!$B:$B,$A83,RecoveredRaw!Q:Q)</f>
        <v>0</v>
      </c>
      <c r="O83">
        <f>SUMIF(RecoveredRaw!$B:$B,$A83,RecoveredRaw!R:R)</f>
        <v>0</v>
      </c>
      <c r="P83">
        <f>SUMIF(RecoveredRaw!$B:$B,$A83,RecoveredRaw!S:S)</f>
        <v>0</v>
      </c>
      <c r="Q83">
        <f>SUMIF(RecoveredRaw!$B:$B,$A83,RecoveredRaw!T:T)</f>
        <v>0</v>
      </c>
      <c r="R83">
        <f>SUMIF(RecoveredRaw!$B:$B,$A83,RecoveredRaw!U:U)</f>
        <v>0</v>
      </c>
      <c r="S83">
        <f>SUMIF(RecoveredRaw!$B:$B,$A83,RecoveredRaw!V:V)</f>
        <v>0</v>
      </c>
      <c r="T83">
        <f>SUMIF(RecoveredRaw!$B:$B,$A83,RecoveredRaw!W:W)</f>
        <v>0</v>
      </c>
      <c r="U83">
        <f>SUMIF(RecoveredRaw!$B:$B,$A83,RecoveredRaw!X:X)</f>
        <v>0</v>
      </c>
      <c r="V83">
        <f>SUMIF(RecoveredRaw!$B:$B,$A83,RecoveredRaw!Y:Y)</f>
        <v>0</v>
      </c>
      <c r="W83">
        <f>SUMIF(RecoveredRaw!$B:$B,$A83,RecoveredRaw!Z:Z)</f>
        <v>0</v>
      </c>
      <c r="X83">
        <f>SUMIF(RecoveredRaw!$B:$B,$A83,RecoveredRaw!AA:AA)</f>
        <v>0</v>
      </c>
      <c r="Y83">
        <f>SUMIF(RecoveredRaw!$B:$B,$A83,RecoveredRaw!AB:AB)</f>
        <v>0</v>
      </c>
      <c r="Z83">
        <f>SUMIF(RecoveredRaw!$B:$B,$A83,RecoveredRaw!AC:AC)</f>
        <v>0</v>
      </c>
      <c r="AA83">
        <f>SUMIF(RecoveredRaw!$B:$B,$A83,RecoveredRaw!AD:AD)</f>
        <v>0</v>
      </c>
      <c r="AB83">
        <f>SUMIF(RecoveredRaw!$B:$B,$A83,RecoveredRaw!AE:AE)</f>
        <v>0</v>
      </c>
      <c r="AC83">
        <f>SUMIF(RecoveredRaw!$B:$B,$A83,RecoveredRaw!AF:AF)</f>
        <v>0</v>
      </c>
      <c r="AD83">
        <f>SUMIF(RecoveredRaw!$B:$B,$A83,RecoveredRaw!AG:AG)</f>
        <v>0</v>
      </c>
      <c r="AE83">
        <f>SUMIF(RecoveredRaw!$B:$B,$A83,RecoveredRaw!AH:AH)</f>
        <v>0</v>
      </c>
      <c r="AF83">
        <f>SUMIF(RecoveredRaw!$B:$B,$A83,RecoveredRaw!AI:AI)</f>
        <v>0</v>
      </c>
      <c r="AG83">
        <f>SUMIF(RecoveredRaw!$B:$B,$A83,RecoveredRaw!AJ:AJ)</f>
        <v>0</v>
      </c>
      <c r="AH83">
        <f>SUMIF(RecoveredRaw!$B:$B,$A83,RecoveredRaw!AK:AK)</f>
        <v>0</v>
      </c>
      <c r="AI83">
        <f>SUMIF(RecoveredRaw!$B:$B,$A83,RecoveredRaw!AL:AL)</f>
        <v>0</v>
      </c>
      <c r="AJ83">
        <f>SUMIF(RecoveredRaw!$B:$B,$A83,RecoveredRaw!AM:AM)</f>
        <v>0</v>
      </c>
      <c r="AK83">
        <f>SUMIF(RecoveredRaw!$B:$B,$A83,RecoveredRaw!AN:AN)</f>
        <v>0</v>
      </c>
      <c r="AL83">
        <f>SUMIF(RecoveredRaw!$B:$B,$A83,RecoveredRaw!AO:AO)</f>
        <v>0</v>
      </c>
      <c r="AM83">
        <f>SUMIF(RecoveredRaw!$B:$B,$A83,RecoveredRaw!AP:AP)</f>
        <v>0</v>
      </c>
      <c r="AN83">
        <f>SUMIF(RecoveredRaw!$B:$B,$A83,RecoveredRaw!AQ:AQ)</f>
        <v>0</v>
      </c>
      <c r="AO83">
        <f>SUMIF(RecoveredRaw!$B:$B,$A83,RecoveredRaw!AR:AR)</f>
        <v>0</v>
      </c>
      <c r="AP83">
        <f>SUMIF(RecoveredRaw!$B:$B,$A83,RecoveredRaw!AS:AS)</f>
        <v>0</v>
      </c>
      <c r="AQ83">
        <f>SUMIF(RecoveredRaw!$B:$B,$A83,RecoveredRaw!AT:AT)</f>
        <v>0</v>
      </c>
      <c r="AR83">
        <f>SUMIF(RecoveredRaw!$B:$B,$A83,RecoveredRaw!AU:AU)</f>
        <v>0</v>
      </c>
      <c r="AS83">
        <f>SUMIF(RecoveredRaw!$B:$B,$A83,RecoveredRaw!AV:AV)</f>
        <v>0</v>
      </c>
      <c r="AT83">
        <f>SUMIF(RecoveredRaw!$B:$B,$A83,RecoveredRaw!AW:AW)</f>
        <v>0</v>
      </c>
      <c r="AU83">
        <f>SUMIF(RecoveredRaw!$B:$B,$A83,RecoveredRaw!AX:AX)</f>
        <v>0</v>
      </c>
      <c r="AV83">
        <f>SUMIF(RecoveredRaw!$B:$B,$A83,RecoveredRaw!AY:AY)</f>
        <v>0</v>
      </c>
      <c r="AW83">
        <f>SUMIF(RecoveredRaw!$B:$B,$A83,RecoveredRaw!AZ:AZ)</f>
        <v>0</v>
      </c>
      <c r="AX83">
        <f>SUMIF(RecoveredRaw!$B:$B,$A83,RecoveredRaw!BA:BA)</f>
        <v>0</v>
      </c>
      <c r="AY83">
        <f>SUMIF(RecoveredRaw!$B:$B,$A83,RecoveredRaw!BB:BB)</f>
        <v>0</v>
      </c>
      <c r="AZ83">
        <f>SUMIF(RecoveredRaw!$B:$B,$A83,RecoveredRaw!BC:BC)</f>
        <v>0</v>
      </c>
      <c r="BA83">
        <f>SUMIF(RecoveredRaw!$B:$B,$A83,RecoveredRaw!BD:BD)</f>
        <v>0</v>
      </c>
      <c r="BB83">
        <f>SUMIF(RecoveredRaw!$B:$B,$A83,RecoveredRaw!BE:BE)</f>
        <v>0</v>
      </c>
      <c r="BC83">
        <f>SUMIF(RecoveredRaw!$B:$B,$A83,RecoveredRaw!BF:BF)</f>
        <v>0</v>
      </c>
      <c r="BD83">
        <f>SUMIF(RecoveredRaw!$B:$B,$A83,RecoveredRaw!BG:BG)</f>
        <v>0</v>
      </c>
      <c r="BE83">
        <f>SUMIF(RecoveredRaw!$B:$B,$A83,RecoveredRaw!BH:BH)</f>
        <v>1</v>
      </c>
      <c r="BF83">
        <f>SUMIF(RecoveredRaw!$B:$B,$A83,RecoveredRaw!BI:BI)</f>
        <v>1</v>
      </c>
      <c r="BG83">
        <f>SUMIF(RecoveredRaw!$B:$B,$A83,RecoveredRaw!BJ:BJ)</f>
        <v>0</v>
      </c>
      <c r="BH83">
        <f>SUMIF(RecoveredRaw!$B:$B,$A83,RecoveredRaw!BK:BK)</f>
        <v>0</v>
      </c>
      <c r="BI83">
        <f>SUMIF(RecoveredRaw!$B:$B,$A83,RecoveredRaw!BL:BL)</f>
        <v>0</v>
      </c>
      <c r="BJ83">
        <f>SUMIF(RecoveredRaw!$B:$B,$A83,RecoveredRaw!BM:BM)</f>
        <v>0</v>
      </c>
      <c r="BK83">
        <f>SUMIF(RecoveredRaw!$B:$B,$A83,RecoveredRaw!BN:BN)</f>
        <v>0</v>
      </c>
      <c r="BL83">
        <f>SUMIF(RecoveredRaw!$B:$B,$A83,RecoveredRaw!BO:BO)</f>
        <v>0</v>
      </c>
      <c r="BM83">
        <f>SUMIF(RecoveredRaw!$B:$B,$A83,RecoveredRaw!BP:BP)</f>
        <v>0</v>
      </c>
      <c r="BN83">
        <f>SUMIF(RecoveredRaw!$B:$B,$A83,RecoveredRaw!BQ:BQ)</f>
        <v>0</v>
      </c>
      <c r="BO83">
        <f>SUMIF(RecoveredRaw!$B:$B,$A83,RecoveredRaw!BR:BR)</f>
        <v>0</v>
      </c>
      <c r="BP83">
        <f>SUMIF(RecoveredRaw!$B:$B,$A83,RecoveredRaw!BS:BS)</f>
        <v>0</v>
      </c>
      <c r="BQ83">
        <f>SUMIF(RecoveredRaw!$B:$B,$A83,RecoveredRaw!BT:BT)</f>
        <v>0</v>
      </c>
      <c r="BR83">
        <f>SUMIF(RecoveredRaw!$B:$B,$A83,RecoveredRaw!BU:BU)</f>
        <v>0</v>
      </c>
      <c r="BS83">
        <f>SUMIF(RecoveredRaw!$B:$B,$A83,RecoveredRaw!BV:BV)</f>
        <v>0</v>
      </c>
      <c r="BT83">
        <f>SUMIF(RecoveredRaw!$B:$B,$A83,RecoveredRaw!BW:BW)</f>
        <v>0</v>
      </c>
    </row>
    <row r="84" spans="1:72" ht="15" thickBot="1" x14ac:dyDescent="0.35">
      <c r="A84" s="3" t="s">
        <v>353</v>
      </c>
      <c r="B84">
        <f>SUMIF(RecoveredRaw!$B:$B,$A84,RecoveredRaw!E:E)</f>
        <v>0</v>
      </c>
      <c r="C84">
        <f>SUMIF(RecoveredRaw!$B:$B,$A84,RecoveredRaw!F:F)</f>
        <v>0</v>
      </c>
      <c r="D84">
        <f>SUMIF(RecoveredRaw!$B:$B,$A84,RecoveredRaw!G:G)</f>
        <v>0</v>
      </c>
      <c r="E84">
        <f>SUMIF(RecoveredRaw!$B:$B,$A84,RecoveredRaw!H:H)</f>
        <v>0</v>
      </c>
      <c r="F84">
        <f>SUMIF(RecoveredRaw!$B:$B,$A84,RecoveredRaw!I:I)</f>
        <v>0</v>
      </c>
      <c r="G84">
        <f>SUMIF(RecoveredRaw!$B:$B,$A84,RecoveredRaw!J:J)</f>
        <v>0</v>
      </c>
      <c r="H84">
        <f>SUMIF(RecoveredRaw!$B:$B,$A84,RecoveredRaw!K:K)</f>
        <v>0</v>
      </c>
      <c r="I84">
        <f>SUMIF(RecoveredRaw!$B:$B,$A84,RecoveredRaw!L:L)</f>
        <v>0</v>
      </c>
      <c r="J84">
        <f>SUMIF(RecoveredRaw!$B:$B,$A84,RecoveredRaw!M:M)</f>
        <v>0</v>
      </c>
      <c r="K84">
        <f>SUMIF(RecoveredRaw!$B:$B,$A84,RecoveredRaw!N:N)</f>
        <v>0</v>
      </c>
      <c r="L84">
        <f>SUMIF(RecoveredRaw!$B:$B,$A84,RecoveredRaw!O:O)</f>
        <v>0</v>
      </c>
      <c r="M84">
        <f>SUMIF(RecoveredRaw!$B:$B,$A84,RecoveredRaw!P:P)</f>
        <v>0</v>
      </c>
      <c r="N84">
        <f>SUMIF(RecoveredRaw!$B:$B,$A84,RecoveredRaw!Q:Q)</f>
        <v>0</v>
      </c>
      <c r="O84">
        <f>SUMIF(RecoveredRaw!$B:$B,$A84,RecoveredRaw!R:R)</f>
        <v>0</v>
      </c>
      <c r="P84">
        <f>SUMIF(RecoveredRaw!$B:$B,$A84,RecoveredRaw!S:S)</f>
        <v>0</v>
      </c>
      <c r="Q84">
        <f>SUMIF(RecoveredRaw!$B:$B,$A84,RecoveredRaw!T:T)</f>
        <v>0</v>
      </c>
      <c r="R84">
        <f>SUMIF(RecoveredRaw!$B:$B,$A84,RecoveredRaw!U:U)</f>
        <v>0</v>
      </c>
      <c r="S84">
        <f>SUMIF(RecoveredRaw!$B:$B,$A84,RecoveredRaw!V:V)</f>
        <v>0</v>
      </c>
      <c r="T84">
        <f>SUMIF(RecoveredRaw!$B:$B,$A84,RecoveredRaw!W:W)</f>
        <v>0</v>
      </c>
      <c r="U84">
        <f>SUMIF(RecoveredRaw!$B:$B,$A84,RecoveredRaw!X:X)</f>
        <v>0</v>
      </c>
      <c r="V84">
        <f>SUMIF(RecoveredRaw!$B:$B,$A84,RecoveredRaw!Y:Y)</f>
        <v>0</v>
      </c>
      <c r="W84">
        <f>SUMIF(RecoveredRaw!$B:$B,$A84,RecoveredRaw!Z:Z)</f>
        <v>0</v>
      </c>
      <c r="X84">
        <f>SUMIF(RecoveredRaw!$B:$B,$A84,RecoveredRaw!AA:AA)</f>
        <v>0</v>
      </c>
      <c r="Y84">
        <f>SUMIF(RecoveredRaw!$B:$B,$A84,RecoveredRaw!AB:AB)</f>
        <v>0</v>
      </c>
      <c r="Z84">
        <f>SUMIF(RecoveredRaw!$B:$B,$A84,RecoveredRaw!AC:AC)</f>
        <v>0</v>
      </c>
      <c r="AA84">
        <f>SUMIF(RecoveredRaw!$B:$B,$A84,RecoveredRaw!AD:AD)</f>
        <v>0</v>
      </c>
      <c r="AB84">
        <f>SUMIF(RecoveredRaw!$B:$B,$A84,RecoveredRaw!AE:AE)</f>
        <v>0</v>
      </c>
      <c r="AC84">
        <f>SUMIF(RecoveredRaw!$B:$B,$A84,RecoveredRaw!AF:AF)</f>
        <v>0</v>
      </c>
      <c r="AD84">
        <f>SUMIF(RecoveredRaw!$B:$B,$A84,RecoveredRaw!AG:AG)</f>
        <v>0</v>
      </c>
      <c r="AE84">
        <f>SUMIF(RecoveredRaw!$B:$B,$A84,RecoveredRaw!AH:AH)</f>
        <v>0</v>
      </c>
      <c r="AF84">
        <f>SUMIF(RecoveredRaw!$B:$B,$A84,RecoveredRaw!AI:AI)</f>
        <v>0</v>
      </c>
      <c r="AG84">
        <f>SUMIF(RecoveredRaw!$B:$B,$A84,RecoveredRaw!AJ:AJ)</f>
        <v>0</v>
      </c>
      <c r="AH84">
        <f>SUMIF(RecoveredRaw!$B:$B,$A84,RecoveredRaw!AK:AK)</f>
        <v>0</v>
      </c>
      <c r="AI84">
        <f>SUMIF(RecoveredRaw!$B:$B,$A84,RecoveredRaw!AL:AL)</f>
        <v>0</v>
      </c>
      <c r="AJ84">
        <f>SUMIF(RecoveredRaw!$B:$B,$A84,RecoveredRaw!AM:AM)</f>
        <v>0</v>
      </c>
      <c r="AK84">
        <f>SUMIF(RecoveredRaw!$B:$B,$A84,RecoveredRaw!AN:AN)</f>
        <v>0</v>
      </c>
      <c r="AL84">
        <f>SUMIF(RecoveredRaw!$B:$B,$A84,RecoveredRaw!AO:AO)</f>
        <v>0</v>
      </c>
      <c r="AM84">
        <f>SUMIF(RecoveredRaw!$B:$B,$A84,RecoveredRaw!AP:AP)</f>
        <v>0</v>
      </c>
      <c r="AN84">
        <f>SUMIF(RecoveredRaw!$B:$B,$A84,RecoveredRaw!AQ:AQ)</f>
        <v>0</v>
      </c>
      <c r="AO84">
        <f>SUMIF(RecoveredRaw!$B:$B,$A84,RecoveredRaw!AR:AR)</f>
        <v>0</v>
      </c>
      <c r="AP84">
        <f>SUMIF(RecoveredRaw!$B:$B,$A84,RecoveredRaw!AS:AS)</f>
        <v>0</v>
      </c>
      <c r="AQ84">
        <f>SUMIF(RecoveredRaw!$B:$B,$A84,RecoveredRaw!AT:AT)</f>
        <v>0</v>
      </c>
      <c r="AR84">
        <f>SUMIF(RecoveredRaw!$B:$B,$A84,RecoveredRaw!AU:AU)</f>
        <v>0</v>
      </c>
      <c r="AS84">
        <f>SUMIF(RecoveredRaw!$B:$B,$A84,RecoveredRaw!AV:AV)</f>
        <v>0</v>
      </c>
      <c r="AT84">
        <f>SUMIF(RecoveredRaw!$B:$B,$A84,RecoveredRaw!AW:AW)</f>
        <v>0</v>
      </c>
      <c r="AU84">
        <f>SUMIF(RecoveredRaw!$B:$B,$A84,RecoveredRaw!AX:AX)</f>
        <v>0</v>
      </c>
      <c r="AV84">
        <f>SUMIF(RecoveredRaw!$B:$B,$A84,RecoveredRaw!AY:AY)</f>
        <v>0</v>
      </c>
      <c r="AW84">
        <f>SUMIF(RecoveredRaw!$B:$B,$A84,RecoveredRaw!AZ:AZ)</f>
        <v>0</v>
      </c>
      <c r="AX84">
        <f>SUMIF(RecoveredRaw!$B:$B,$A84,RecoveredRaw!BA:BA)</f>
        <v>0</v>
      </c>
      <c r="AY84">
        <f>SUMIF(RecoveredRaw!$B:$B,$A84,RecoveredRaw!BB:BB)</f>
        <v>0</v>
      </c>
      <c r="AZ84">
        <f>SUMIF(RecoveredRaw!$B:$B,$A84,RecoveredRaw!BC:BC)</f>
        <v>0</v>
      </c>
      <c r="BA84">
        <f>SUMIF(RecoveredRaw!$B:$B,$A84,RecoveredRaw!BD:BD)</f>
        <v>0</v>
      </c>
      <c r="BB84">
        <f>SUMIF(RecoveredRaw!$B:$B,$A84,RecoveredRaw!BE:BE)</f>
        <v>0</v>
      </c>
      <c r="BC84">
        <f>SUMIF(RecoveredRaw!$B:$B,$A84,RecoveredRaw!BF:BF)</f>
        <v>0</v>
      </c>
      <c r="BD84">
        <f>SUMIF(RecoveredRaw!$B:$B,$A84,RecoveredRaw!BG:BG)</f>
        <v>2</v>
      </c>
      <c r="BE84">
        <f>SUMIF(RecoveredRaw!$B:$B,$A84,RecoveredRaw!BH:BH)</f>
        <v>2</v>
      </c>
      <c r="BF84">
        <f>SUMIF(RecoveredRaw!$B:$B,$A84,RecoveredRaw!BI:BI)</f>
        <v>2</v>
      </c>
      <c r="BG84">
        <f>SUMIF(RecoveredRaw!$B:$B,$A84,RecoveredRaw!BJ:BJ)</f>
        <v>0</v>
      </c>
      <c r="BH84">
        <f>SUMIF(RecoveredRaw!$B:$B,$A84,RecoveredRaw!BK:BK)</f>
        <v>0</v>
      </c>
      <c r="BI84">
        <f>SUMIF(RecoveredRaw!$B:$B,$A84,RecoveredRaw!BL:BL)</f>
        <v>0</v>
      </c>
      <c r="BJ84">
        <f>SUMIF(RecoveredRaw!$B:$B,$A84,RecoveredRaw!BM:BM)</f>
        <v>0</v>
      </c>
      <c r="BK84">
        <f>SUMIF(RecoveredRaw!$B:$B,$A84,RecoveredRaw!BN:BN)</f>
        <v>0</v>
      </c>
      <c r="BL84">
        <f>SUMIF(RecoveredRaw!$B:$B,$A84,RecoveredRaw!BO:BO)</f>
        <v>0</v>
      </c>
      <c r="BM84">
        <f>SUMIF(RecoveredRaw!$B:$B,$A84,RecoveredRaw!BP:BP)</f>
        <v>0</v>
      </c>
      <c r="BN84">
        <f>SUMIF(RecoveredRaw!$B:$B,$A84,RecoveredRaw!BQ:BQ)</f>
        <v>0</v>
      </c>
      <c r="BO84">
        <f>SUMIF(RecoveredRaw!$B:$B,$A84,RecoveredRaw!BR:BR)</f>
        <v>0</v>
      </c>
      <c r="BP84">
        <f>SUMIF(RecoveredRaw!$B:$B,$A84,RecoveredRaw!BS:BS)</f>
        <v>0</v>
      </c>
      <c r="BQ84">
        <f>SUMIF(RecoveredRaw!$B:$B,$A84,RecoveredRaw!BT:BT)</f>
        <v>0</v>
      </c>
      <c r="BR84">
        <f>SUMIF(RecoveredRaw!$B:$B,$A84,RecoveredRaw!BU:BU)</f>
        <v>0</v>
      </c>
      <c r="BS84">
        <f>SUMIF(RecoveredRaw!$B:$B,$A84,RecoveredRaw!BV:BV)</f>
        <v>0</v>
      </c>
      <c r="BT84">
        <f>SUMIF(RecoveredRaw!$B:$B,$A84,RecoveredRaw!BW:BW)</f>
        <v>0</v>
      </c>
    </row>
    <row r="85" spans="1:72" ht="15" thickBot="1" x14ac:dyDescent="0.35">
      <c r="A85" s="3" t="s">
        <v>72</v>
      </c>
      <c r="B85">
        <f>SUMIF(RecoveredRaw!$B:$B,$A85,RecoveredRaw!E:E)</f>
        <v>0</v>
      </c>
      <c r="C85">
        <f>SUMIF(RecoveredRaw!$B:$B,$A85,RecoveredRaw!F:F)</f>
        <v>0</v>
      </c>
      <c r="D85">
        <f>SUMIF(RecoveredRaw!$B:$B,$A85,RecoveredRaw!G:G)</f>
        <v>0</v>
      </c>
      <c r="E85">
        <f>SUMIF(RecoveredRaw!$B:$B,$A85,RecoveredRaw!H:H)</f>
        <v>0</v>
      </c>
      <c r="F85">
        <f>SUMIF(RecoveredRaw!$B:$B,$A85,RecoveredRaw!I:I)</f>
        <v>0</v>
      </c>
      <c r="G85">
        <f>SUMIF(RecoveredRaw!$B:$B,$A85,RecoveredRaw!J:J)</f>
        <v>0</v>
      </c>
      <c r="H85">
        <f>SUMIF(RecoveredRaw!$B:$B,$A85,RecoveredRaw!K:K)</f>
        <v>0</v>
      </c>
      <c r="I85">
        <f>SUMIF(RecoveredRaw!$B:$B,$A85,RecoveredRaw!L:L)</f>
        <v>0</v>
      </c>
      <c r="J85">
        <f>SUMIF(RecoveredRaw!$B:$B,$A85,RecoveredRaw!M:M)</f>
        <v>0</v>
      </c>
      <c r="K85">
        <f>SUMIF(RecoveredRaw!$B:$B,$A85,RecoveredRaw!N:N)</f>
        <v>0</v>
      </c>
      <c r="L85">
        <f>SUMIF(RecoveredRaw!$B:$B,$A85,RecoveredRaw!O:O)</f>
        <v>0</v>
      </c>
      <c r="M85">
        <f>SUMIF(RecoveredRaw!$B:$B,$A85,RecoveredRaw!P:P)</f>
        <v>0</v>
      </c>
      <c r="N85">
        <f>SUMIF(RecoveredRaw!$B:$B,$A85,RecoveredRaw!Q:Q)</f>
        <v>0</v>
      </c>
      <c r="O85">
        <f>SUMIF(RecoveredRaw!$B:$B,$A85,RecoveredRaw!R:R)</f>
        <v>0</v>
      </c>
      <c r="P85">
        <f>SUMIF(RecoveredRaw!$B:$B,$A85,RecoveredRaw!S:S)</f>
        <v>0</v>
      </c>
      <c r="Q85">
        <f>SUMIF(RecoveredRaw!$B:$B,$A85,RecoveredRaw!T:T)</f>
        <v>0</v>
      </c>
      <c r="R85">
        <f>SUMIF(RecoveredRaw!$B:$B,$A85,RecoveredRaw!U:U)</f>
        <v>0</v>
      </c>
      <c r="S85">
        <f>SUMIF(RecoveredRaw!$B:$B,$A85,RecoveredRaw!V:V)</f>
        <v>0</v>
      </c>
      <c r="T85">
        <f>SUMIF(RecoveredRaw!$B:$B,$A85,RecoveredRaw!W:W)</f>
        <v>0</v>
      </c>
      <c r="U85">
        <f>SUMIF(RecoveredRaw!$B:$B,$A85,RecoveredRaw!X:X)</f>
        <v>0</v>
      </c>
      <c r="V85">
        <f>SUMIF(RecoveredRaw!$B:$B,$A85,RecoveredRaw!Y:Y)</f>
        <v>0</v>
      </c>
      <c r="W85">
        <f>SUMIF(RecoveredRaw!$B:$B,$A85,RecoveredRaw!Z:Z)</f>
        <v>0</v>
      </c>
      <c r="X85">
        <f>SUMIF(RecoveredRaw!$B:$B,$A85,RecoveredRaw!AA:AA)</f>
        <v>0</v>
      </c>
      <c r="Y85">
        <f>SUMIF(RecoveredRaw!$B:$B,$A85,RecoveredRaw!AB:AB)</f>
        <v>0</v>
      </c>
      <c r="Z85">
        <f>SUMIF(RecoveredRaw!$B:$B,$A85,RecoveredRaw!AC:AC)</f>
        <v>0</v>
      </c>
      <c r="AA85">
        <f>SUMIF(RecoveredRaw!$B:$B,$A85,RecoveredRaw!AD:AD)</f>
        <v>0</v>
      </c>
      <c r="AB85">
        <f>SUMIF(RecoveredRaw!$B:$B,$A85,RecoveredRaw!AE:AE)</f>
        <v>0</v>
      </c>
      <c r="AC85">
        <f>SUMIF(RecoveredRaw!$B:$B,$A85,RecoveredRaw!AF:AF)</f>
        <v>0</v>
      </c>
      <c r="AD85">
        <f>SUMIF(RecoveredRaw!$B:$B,$A85,RecoveredRaw!AG:AG)</f>
        <v>0</v>
      </c>
      <c r="AE85">
        <f>SUMIF(RecoveredRaw!$B:$B,$A85,RecoveredRaw!AH:AH)</f>
        <v>0</v>
      </c>
      <c r="AF85">
        <f>SUMIF(RecoveredRaw!$B:$B,$A85,RecoveredRaw!AI:AI)</f>
        <v>0</v>
      </c>
      <c r="AG85">
        <f>SUMIF(RecoveredRaw!$B:$B,$A85,RecoveredRaw!AJ:AJ)</f>
        <v>0</v>
      </c>
      <c r="AH85">
        <f>SUMIF(RecoveredRaw!$B:$B,$A85,RecoveredRaw!AK:AK)</f>
        <v>0</v>
      </c>
      <c r="AI85">
        <f>SUMIF(RecoveredRaw!$B:$B,$A85,RecoveredRaw!AL:AL)</f>
        <v>0</v>
      </c>
      <c r="AJ85">
        <f>SUMIF(RecoveredRaw!$B:$B,$A85,RecoveredRaw!AM:AM)</f>
        <v>0</v>
      </c>
      <c r="AK85">
        <f>SUMIF(RecoveredRaw!$B:$B,$A85,RecoveredRaw!AN:AN)</f>
        <v>0</v>
      </c>
      <c r="AL85">
        <f>SUMIF(RecoveredRaw!$B:$B,$A85,RecoveredRaw!AO:AO)</f>
        <v>0</v>
      </c>
      <c r="AM85">
        <f>SUMIF(RecoveredRaw!$B:$B,$A85,RecoveredRaw!AP:AP)</f>
        <v>0</v>
      </c>
      <c r="AN85">
        <f>SUMIF(RecoveredRaw!$B:$B,$A85,RecoveredRaw!AQ:AQ)</f>
        <v>0</v>
      </c>
      <c r="AO85">
        <f>SUMIF(RecoveredRaw!$B:$B,$A85,RecoveredRaw!AR:AR)</f>
        <v>0</v>
      </c>
      <c r="AP85">
        <f>SUMIF(RecoveredRaw!$B:$B,$A85,RecoveredRaw!AS:AS)</f>
        <v>0</v>
      </c>
      <c r="AQ85">
        <f>SUMIF(RecoveredRaw!$B:$B,$A85,RecoveredRaw!AT:AT)</f>
        <v>0</v>
      </c>
      <c r="AR85">
        <f>SUMIF(RecoveredRaw!$B:$B,$A85,RecoveredRaw!AU:AU)</f>
        <v>0</v>
      </c>
      <c r="AS85">
        <f>SUMIF(RecoveredRaw!$B:$B,$A85,RecoveredRaw!AV:AV)</f>
        <v>0</v>
      </c>
      <c r="AT85">
        <f>SUMIF(RecoveredRaw!$B:$B,$A85,RecoveredRaw!AW:AW)</f>
        <v>0</v>
      </c>
      <c r="AU85">
        <f>SUMIF(RecoveredRaw!$B:$B,$A85,RecoveredRaw!AX:AX)</f>
        <v>0</v>
      </c>
      <c r="AV85">
        <f>SUMIF(RecoveredRaw!$B:$B,$A85,RecoveredRaw!AY:AY)</f>
        <v>0</v>
      </c>
      <c r="AW85">
        <f>SUMIF(RecoveredRaw!$B:$B,$A85,RecoveredRaw!AZ:AZ)</f>
        <v>0</v>
      </c>
      <c r="AX85">
        <f>SUMIF(RecoveredRaw!$B:$B,$A85,RecoveredRaw!BA:BA)</f>
        <v>0</v>
      </c>
      <c r="AY85">
        <f>SUMIF(RecoveredRaw!$B:$B,$A85,RecoveredRaw!BB:BB)</f>
        <v>0</v>
      </c>
      <c r="AZ85">
        <f>SUMIF(RecoveredRaw!$B:$B,$A85,RecoveredRaw!BC:BC)</f>
        <v>0</v>
      </c>
      <c r="BA85">
        <f>SUMIF(RecoveredRaw!$B:$B,$A85,RecoveredRaw!BD:BD)</f>
        <v>0</v>
      </c>
      <c r="BB85">
        <f>SUMIF(RecoveredRaw!$B:$B,$A85,RecoveredRaw!BE:BE)</f>
        <v>0</v>
      </c>
      <c r="BC85">
        <f>SUMIF(RecoveredRaw!$B:$B,$A85,RecoveredRaw!BF:BF)</f>
        <v>0</v>
      </c>
      <c r="BD85">
        <f>SUMIF(RecoveredRaw!$B:$B,$A85,RecoveredRaw!BG:BG)</f>
        <v>1</v>
      </c>
      <c r="BE85">
        <f>SUMIF(RecoveredRaw!$B:$B,$A85,RecoveredRaw!BH:BH)</f>
        <v>1</v>
      </c>
      <c r="BF85">
        <f>SUMIF(RecoveredRaw!$B:$B,$A85,RecoveredRaw!BI:BI)</f>
        <v>1</v>
      </c>
      <c r="BG85">
        <f>SUMIF(RecoveredRaw!$B:$B,$A85,RecoveredRaw!BJ:BJ)</f>
        <v>0</v>
      </c>
      <c r="BH85">
        <f>SUMIF(RecoveredRaw!$B:$B,$A85,RecoveredRaw!BK:BK)</f>
        <v>0</v>
      </c>
      <c r="BI85">
        <f>SUMIF(RecoveredRaw!$B:$B,$A85,RecoveredRaw!BL:BL)</f>
        <v>0</v>
      </c>
      <c r="BJ85">
        <f>SUMIF(RecoveredRaw!$B:$B,$A85,RecoveredRaw!BM:BM)</f>
        <v>0</v>
      </c>
      <c r="BK85">
        <f>SUMIF(RecoveredRaw!$B:$B,$A85,RecoveredRaw!BN:BN)</f>
        <v>0</v>
      </c>
      <c r="BL85">
        <f>SUMIF(RecoveredRaw!$B:$B,$A85,RecoveredRaw!BO:BO)</f>
        <v>0</v>
      </c>
      <c r="BM85">
        <f>SUMIF(RecoveredRaw!$B:$B,$A85,RecoveredRaw!BP:BP)</f>
        <v>0</v>
      </c>
      <c r="BN85">
        <f>SUMIF(RecoveredRaw!$B:$B,$A85,RecoveredRaw!BQ:BQ)</f>
        <v>0</v>
      </c>
      <c r="BO85">
        <f>SUMIF(RecoveredRaw!$B:$B,$A85,RecoveredRaw!BR:BR)</f>
        <v>0</v>
      </c>
      <c r="BP85">
        <f>SUMIF(RecoveredRaw!$B:$B,$A85,RecoveredRaw!BS:BS)</f>
        <v>0</v>
      </c>
      <c r="BQ85">
        <f>SUMIF(RecoveredRaw!$B:$B,$A85,RecoveredRaw!BT:BT)</f>
        <v>0</v>
      </c>
      <c r="BR85">
        <f>SUMIF(RecoveredRaw!$B:$B,$A85,RecoveredRaw!BU:BU)</f>
        <v>0</v>
      </c>
      <c r="BS85">
        <f>SUMIF(RecoveredRaw!$B:$B,$A85,RecoveredRaw!BV:BV)</f>
        <v>0</v>
      </c>
      <c r="BT85">
        <f>SUMIF(RecoveredRaw!$B:$B,$A85,RecoveredRaw!BW:BW)</f>
        <v>0</v>
      </c>
    </row>
    <row r="86" spans="1:72" ht="15" thickBot="1" x14ac:dyDescent="0.35">
      <c r="A86" s="3" t="s">
        <v>112</v>
      </c>
      <c r="B86">
        <f>SUMIF(RecoveredRaw!$B:$B,$A86,RecoveredRaw!E:E)</f>
        <v>0</v>
      </c>
      <c r="C86">
        <f>SUMIF(RecoveredRaw!$B:$B,$A86,RecoveredRaw!F:F)</f>
        <v>0</v>
      </c>
      <c r="D86">
        <f>SUMIF(RecoveredRaw!$B:$B,$A86,RecoveredRaw!G:G)</f>
        <v>0</v>
      </c>
      <c r="E86">
        <f>SUMIF(RecoveredRaw!$B:$B,$A86,RecoveredRaw!H:H)</f>
        <v>0</v>
      </c>
      <c r="F86">
        <f>SUMIF(RecoveredRaw!$B:$B,$A86,RecoveredRaw!I:I)</f>
        <v>0</v>
      </c>
      <c r="G86">
        <f>SUMIF(RecoveredRaw!$B:$B,$A86,RecoveredRaw!J:J)</f>
        <v>0</v>
      </c>
      <c r="H86">
        <f>SUMIF(RecoveredRaw!$B:$B,$A86,RecoveredRaw!K:K)</f>
        <v>0</v>
      </c>
      <c r="I86">
        <f>SUMIF(RecoveredRaw!$B:$B,$A86,RecoveredRaw!L:L)</f>
        <v>0</v>
      </c>
      <c r="J86">
        <f>SUMIF(RecoveredRaw!$B:$B,$A86,RecoveredRaw!M:M)</f>
        <v>0</v>
      </c>
      <c r="K86">
        <f>SUMIF(RecoveredRaw!$B:$B,$A86,RecoveredRaw!N:N)</f>
        <v>0</v>
      </c>
      <c r="L86">
        <f>SUMIF(RecoveredRaw!$B:$B,$A86,RecoveredRaw!O:O)</f>
        <v>0</v>
      </c>
      <c r="M86">
        <f>SUMIF(RecoveredRaw!$B:$B,$A86,RecoveredRaw!P:P)</f>
        <v>0</v>
      </c>
      <c r="N86">
        <f>SUMIF(RecoveredRaw!$B:$B,$A86,RecoveredRaw!Q:Q)</f>
        <v>0</v>
      </c>
      <c r="O86">
        <f>SUMIF(RecoveredRaw!$B:$B,$A86,RecoveredRaw!R:R)</f>
        <v>0</v>
      </c>
      <c r="P86">
        <f>SUMIF(RecoveredRaw!$B:$B,$A86,RecoveredRaw!S:S)</f>
        <v>0</v>
      </c>
      <c r="Q86">
        <f>SUMIF(RecoveredRaw!$B:$B,$A86,RecoveredRaw!T:T)</f>
        <v>0</v>
      </c>
      <c r="R86">
        <f>SUMIF(RecoveredRaw!$B:$B,$A86,RecoveredRaw!U:U)</f>
        <v>0</v>
      </c>
      <c r="S86">
        <f>SUMIF(RecoveredRaw!$B:$B,$A86,RecoveredRaw!V:V)</f>
        <v>0</v>
      </c>
      <c r="T86">
        <f>SUMIF(RecoveredRaw!$B:$B,$A86,RecoveredRaw!W:W)</f>
        <v>0</v>
      </c>
      <c r="U86">
        <f>SUMIF(RecoveredRaw!$B:$B,$A86,RecoveredRaw!X:X)</f>
        <v>0</v>
      </c>
      <c r="V86">
        <f>SUMIF(RecoveredRaw!$B:$B,$A86,RecoveredRaw!Y:Y)</f>
        <v>0</v>
      </c>
      <c r="W86">
        <f>SUMIF(RecoveredRaw!$B:$B,$A86,RecoveredRaw!Z:Z)</f>
        <v>0</v>
      </c>
      <c r="X86">
        <f>SUMIF(RecoveredRaw!$B:$B,$A86,RecoveredRaw!AA:AA)</f>
        <v>0</v>
      </c>
      <c r="Y86">
        <f>SUMIF(RecoveredRaw!$B:$B,$A86,RecoveredRaw!AB:AB)</f>
        <v>0</v>
      </c>
      <c r="Z86">
        <f>SUMIF(RecoveredRaw!$B:$B,$A86,RecoveredRaw!AC:AC)</f>
        <v>0</v>
      </c>
      <c r="AA86">
        <f>SUMIF(RecoveredRaw!$B:$B,$A86,RecoveredRaw!AD:AD)</f>
        <v>0</v>
      </c>
      <c r="AB86">
        <f>SUMIF(RecoveredRaw!$B:$B,$A86,RecoveredRaw!AE:AE)</f>
        <v>0</v>
      </c>
      <c r="AC86">
        <f>SUMIF(RecoveredRaw!$B:$B,$A86,RecoveredRaw!AF:AF)</f>
        <v>0</v>
      </c>
      <c r="AD86">
        <f>SUMIF(RecoveredRaw!$B:$B,$A86,RecoveredRaw!AG:AG)</f>
        <v>0</v>
      </c>
      <c r="AE86">
        <f>SUMIF(RecoveredRaw!$B:$B,$A86,RecoveredRaw!AH:AH)</f>
        <v>0</v>
      </c>
      <c r="AF86">
        <f>SUMIF(RecoveredRaw!$B:$B,$A86,RecoveredRaw!AI:AI)</f>
        <v>0</v>
      </c>
      <c r="AG86">
        <f>SUMIF(RecoveredRaw!$B:$B,$A86,RecoveredRaw!AJ:AJ)</f>
        <v>0</v>
      </c>
      <c r="AH86">
        <f>SUMIF(RecoveredRaw!$B:$B,$A86,RecoveredRaw!AK:AK)</f>
        <v>0</v>
      </c>
      <c r="AI86">
        <f>SUMIF(RecoveredRaw!$B:$B,$A86,RecoveredRaw!AL:AL)</f>
        <v>0</v>
      </c>
      <c r="AJ86">
        <f>SUMIF(RecoveredRaw!$B:$B,$A86,RecoveredRaw!AM:AM)</f>
        <v>0</v>
      </c>
      <c r="AK86">
        <f>SUMIF(RecoveredRaw!$B:$B,$A86,RecoveredRaw!AN:AN)</f>
        <v>0</v>
      </c>
      <c r="AL86">
        <f>SUMIF(RecoveredRaw!$B:$B,$A86,RecoveredRaw!AO:AO)</f>
        <v>0</v>
      </c>
      <c r="AM86">
        <f>SUMIF(RecoveredRaw!$B:$B,$A86,RecoveredRaw!AP:AP)</f>
        <v>0</v>
      </c>
      <c r="AN86">
        <f>SUMIF(RecoveredRaw!$B:$B,$A86,RecoveredRaw!AQ:AQ)</f>
        <v>0</v>
      </c>
      <c r="AO86">
        <f>SUMIF(RecoveredRaw!$B:$B,$A86,RecoveredRaw!AR:AR)</f>
        <v>0</v>
      </c>
      <c r="AP86">
        <f>SUMIF(RecoveredRaw!$B:$B,$A86,RecoveredRaw!AS:AS)</f>
        <v>0</v>
      </c>
      <c r="AQ86">
        <f>SUMIF(RecoveredRaw!$B:$B,$A86,RecoveredRaw!AT:AT)</f>
        <v>0</v>
      </c>
      <c r="AR86">
        <f>SUMIF(RecoveredRaw!$B:$B,$A86,RecoveredRaw!AU:AU)</f>
        <v>0</v>
      </c>
      <c r="AS86">
        <f>SUMIF(RecoveredRaw!$B:$B,$A86,RecoveredRaw!AV:AV)</f>
        <v>0</v>
      </c>
      <c r="AT86">
        <f>SUMIF(RecoveredRaw!$B:$B,$A86,RecoveredRaw!AW:AW)</f>
        <v>0</v>
      </c>
      <c r="AU86">
        <f>SUMIF(RecoveredRaw!$B:$B,$A86,RecoveredRaw!AX:AX)</f>
        <v>0</v>
      </c>
      <c r="AV86">
        <f>SUMIF(RecoveredRaw!$B:$B,$A86,RecoveredRaw!AY:AY)</f>
        <v>0</v>
      </c>
      <c r="AW86">
        <f>SUMIF(RecoveredRaw!$B:$B,$A86,RecoveredRaw!AZ:AZ)</f>
        <v>0</v>
      </c>
      <c r="AX86">
        <f>SUMIF(RecoveredRaw!$B:$B,$A86,RecoveredRaw!BA:BA)</f>
        <v>0</v>
      </c>
      <c r="AY86">
        <f>SUMIF(RecoveredRaw!$B:$B,$A86,RecoveredRaw!BB:BB)</f>
        <v>0</v>
      </c>
      <c r="AZ86">
        <f>SUMIF(RecoveredRaw!$B:$B,$A86,RecoveredRaw!BC:BC)</f>
        <v>0</v>
      </c>
      <c r="BA86">
        <f>SUMIF(RecoveredRaw!$B:$B,$A86,RecoveredRaw!BD:BD)</f>
        <v>1</v>
      </c>
      <c r="BB86">
        <f>SUMIF(RecoveredRaw!$B:$B,$A86,RecoveredRaw!BE:BE)</f>
        <v>1</v>
      </c>
      <c r="BC86">
        <f>SUMIF(RecoveredRaw!$B:$B,$A86,RecoveredRaw!BF:BF)</f>
        <v>1</v>
      </c>
      <c r="BD86">
        <f>SUMIF(RecoveredRaw!$B:$B,$A86,RecoveredRaw!BG:BG)</f>
        <v>1</v>
      </c>
      <c r="BE86">
        <f>SUMIF(RecoveredRaw!$B:$B,$A86,RecoveredRaw!BH:BH)</f>
        <v>1</v>
      </c>
      <c r="BF86">
        <f>SUMIF(RecoveredRaw!$B:$B,$A86,RecoveredRaw!BI:BI)</f>
        <v>1</v>
      </c>
      <c r="BG86">
        <f>SUMIF(RecoveredRaw!$B:$B,$A86,RecoveredRaw!BJ:BJ)</f>
        <v>0</v>
      </c>
      <c r="BH86">
        <f>SUMIF(RecoveredRaw!$B:$B,$A86,RecoveredRaw!BK:BK)</f>
        <v>0</v>
      </c>
      <c r="BI86">
        <f>SUMIF(RecoveredRaw!$B:$B,$A86,RecoveredRaw!BL:BL)</f>
        <v>0</v>
      </c>
      <c r="BJ86">
        <f>SUMIF(RecoveredRaw!$B:$B,$A86,RecoveredRaw!BM:BM)</f>
        <v>0</v>
      </c>
      <c r="BK86">
        <f>SUMIF(RecoveredRaw!$B:$B,$A86,RecoveredRaw!BN:BN)</f>
        <v>0</v>
      </c>
      <c r="BL86">
        <f>SUMIF(RecoveredRaw!$B:$B,$A86,RecoveredRaw!BO:BO)</f>
        <v>0</v>
      </c>
      <c r="BM86">
        <f>SUMIF(RecoveredRaw!$B:$B,$A86,RecoveredRaw!BP:BP)</f>
        <v>0</v>
      </c>
      <c r="BN86">
        <f>SUMIF(RecoveredRaw!$B:$B,$A86,RecoveredRaw!BQ:BQ)</f>
        <v>0</v>
      </c>
      <c r="BO86">
        <f>SUMIF(RecoveredRaw!$B:$B,$A86,RecoveredRaw!BR:BR)</f>
        <v>0</v>
      </c>
      <c r="BP86">
        <f>SUMIF(RecoveredRaw!$B:$B,$A86,RecoveredRaw!BS:BS)</f>
        <v>0</v>
      </c>
      <c r="BQ86">
        <f>SUMIF(RecoveredRaw!$B:$B,$A86,RecoveredRaw!BT:BT)</f>
        <v>0</v>
      </c>
      <c r="BR86">
        <f>SUMIF(RecoveredRaw!$B:$B,$A86,RecoveredRaw!BU:BU)</f>
        <v>0</v>
      </c>
      <c r="BS86">
        <f>SUMIF(RecoveredRaw!$B:$B,$A86,RecoveredRaw!BV:BV)</f>
        <v>0</v>
      </c>
      <c r="BT86">
        <f>SUMIF(RecoveredRaw!$B:$B,$A86,RecoveredRaw!BW:BW)</f>
        <v>0</v>
      </c>
    </row>
    <row r="87" spans="1:72" ht="15" thickBot="1" x14ac:dyDescent="0.35">
      <c r="A87" s="3" t="s">
        <v>93</v>
      </c>
      <c r="B87">
        <f>SUMIF(RecoveredRaw!$B:$B,$A87,RecoveredRaw!E:E)</f>
        <v>0</v>
      </c>
      <c r="C87">
        <f>SUMIF(RecoveredRaw!$B:$B,$A87,RecoveredRaw!F:F)</f>
        <v>0</v>
      </c>
      <c r="D87">
        <f>SUMIF(RecoveredRaw!$B:$B,$A87,RecoveredRaw!G:G)</f>
        <v>0</v>
      </c>
      <c r="E87">
        <f>SUMIF(RecoveredRaw!$B:$B,$A87,RecoveredRaw!H:H)</f>
        <v>0</v>
      </c>
      <c r="F87">
        <f>SUMIF(RecoveredRaw!$B:$B,$A87,RecoveredRaw!I:I)</f>
        <v>0</v>
      </c>
      <c r="G87">
        <f>SUMIF(RecoveredRaw!$B:$B,$A87,RecoveredRaw!J:J)</f>
        <v>0</v>
      </c>
      <c r="H87">
        <f>SUMIF(RecoveredRaw!$B:$B,$A87,RecoveredRaw!K:K)</f>
        <v>0</v>
      </c>
      <c r="I87">
        <f>SUMIF(RecoveredRaw!$B:$B,$A87,RecoveredRaw!L:L)</f>
        <v>0</v>
      </c>
      <c r="J87">
        <f>SUMIF(RecoveredRaw!$B:$B,$A87,RecoveredRaw!M:M)</f>
        <v>0</v>
      </c>
      <c r="K87">
        <f>SUMIF(RecoveredRaw!$B:$B,$A87,RecoveredRaw!N:N)</f>
        <v>0</v>
      </c>
      <c r="L87">
        <f>SUMIF(RecoveredRaw!$B:$B,$A87,RecoveredRaw!O:O)</f>
        <v>0</v>
      </c>
      <c r="M87">
        <f>SUMIF(RecoveredRaw!$B:$B,$A87,RecoveredRaw!P:P)</f>
        <v>0</v>
      </c>
      <c r="N87">
        <f>SUMIF(RecoveredRaw!$B:$B,$A87,RecoveredRaw!Q:Q)</f>
        <v>0</v>
      </c>
      <c r="O87">
        <f>SUMIF(RecoveredRaw!$B:$B,$A87,RecoveredRaw!R:R)</f>
        <v>0</v>
      </c>
      <c r="P87">
        <f>SUMIF(RecoveredRaw!$B:$B,$A87,RecoveredRaw!S:S)</f>
        <v>0</v>
      </c>
      <c r="Q87">
        <f>SUMIF(RecoveredRaw!$B:$B,$A87,RecoveredRaw!T:T)</f>
        <v>0</v>
      </c>
      <c r="R87">
        <f>SUMIF(RecoveredRaw!$B:$B,$A87,RecoveredRaw!U:U)</f>
        <v>0</v>
      </c>
      <c r="S87">
        <f>SUMIF(RecoveredRaw!$B:$B,$A87,RecoveredRaw!V:V)</f>
        <v>0</v>
      </c>
      <c r="T87">
        <f>SUMIF(RecoveredRaw!$B:$B,$A87,RecoveredRaw!W:W)</f>
        <v>0</v>
      </c>
      <c r="U87">
        <f>SUMIF(RecoveredRaw!$B:$B,$A87,RecoveredRaw!X:X)</f>
        <v>0</v>
      </c>
      <c r="V87">
        <f>SUMIF(RecoveredRaw!$B:$B,$A87,RecoveredRaw!Y:Y)</f>
        <v>0</v>
      </c>
      <c r="W87">
        <f>SUMIF(RecoveredRaw!$B:$B,$A87,RecoveredRaw!Z:Z)</f>
        <v>0</v>
      </c>
      <c r="X87">
        <f>SUMIF(RecoveredRaw!$B:$B,$A87,RecoveredRaw!AA:AA)</f>
        <v>0</v>
      </c>
      <c r="Y87">
        <f>SUMIF(RecoveredRaw!$B:$B,$A87,RecoveredRaw!AB:AB)</f>
        <v>0</v>
      </c>
      <c r="Z87">
        <f>SUMIF(RecoveredRaw!$B:$B,$A87,RecoveredRaw!AC:AC)</f>
        <v>0</v>
      </c>
      <c r="AA87">
        <f>SUMIF(RecoveredRaw!$B:$B,$A87,RecoveredRaw!AD:AD)</f>
        <v>0</v>
      </c>
      <c r="AB87">
        <f>SUMIF(RecoveredRaw!$B:$B,$A87,RecoveredRaw!AE:AE)</f>
        <v>0</v>
      </c>
      <c r="AC87">
        <f>SUMIF(RecoveredRaw!$B:$B,$A87,RecoveredRaw!AF:AF)</f>
        <v>0</v>
      </c>
      <c r="AD87">
        <f>SUMIF(RecoveredRaw!$B:$B,$A87,RecoveredRaw!AG:AG)</f>
        <v>0</v>
      </c>
      <c r="AE87">
        <f>SUMIF(RecoveredRaw!$B:$B,$A87,RecoveredRaw!AH:AH)</f>
        <v>0</v>
      </c>
      <c r="AF87">
        <f>SUMIF(RecoveredRaw!$B:$B,$A87,RecoveredRaw!AI:AI)</f>
        <v>0</v>
      </c>
      <c r="AG87">
        <f>SUMIF(RecoveredRaw!$B:$B,$A87,RecoveredRaw!AJ:AJ)</f>
        <v>0</v>
      </c>
      <c r="AH87">
        <f>SUMIF(RecoveredRaw!$B:$B,$A87,RecoveredRaw!AK:AK)</f>
        <v>0</v>
      </c>
      <c r="AI87">
        <f>SUMIF(RecoveredRaw!$B:$B,$A87,RecoveredRaw!AL:AL)</f>
        <v>0</v>
      </c>
      <c r="AJ87">
        <f>SUMIF(RecoveredRaw!$B:$B,$A87,RecoveredRaw!AM:AM)</f>
        <v>0</v>
      </c>
      <c r="AK87">
        <f>SUMIF(RecoveredRaw!$B:$B,$A87,RecoveredRaw!AN:AN)</f>
        <v>0</v>
      </c>
      <c r="AL87">
        <f>SUMIF(RecoveredRaw!$B:$B,$A87,RecoveredRaw!AO:AO)</f>
        <v>0</v>
      </c>
      <c r="AM87">
        <f>SUMIF(RecoveredRaw!$B:$B,$A87,RecoveredRaw!AP:AP)</f>
        <v>0</v>
      </c>
      <c r="AN87">
        <f>SUMIF(RecoveredRaw!$B:$B,$A87,RecoveredRaw!AQ:AQ)</f>
        <v>0</v>
      </c>
      <c r="AO87">
        <f>SUMIF(RecoveredRaw!$B:$B,$A87,RecoveredRaw!AR:AR)</f>
        <v>0</v>
      </c>
      <c r="AP87">
        <f>SUMIF(RecoveredRaw!$B:$B,$A87,RecoveredRaw!AS:AS)</f>
        <v>0</v>
      </c>
      <c r="AQ87">
        <f>SUMIF(RecoveredRaw!$B:$B,$A87,RecoveredRaw!AT:AT)</f>
        <v>0</v>
      </c>
      <c r="AR87">
        <f>SUMIF(RecoveredRaw!$B:$B,$A87,RecoveredRaw!AU:AU)</f>
        <v>0</v>
      </c>
      <c r="AS87">
        <f>SUMIF(RecoveredRaw!$B:$B,$A87,RecoveredRaw!AV:AV)</f>
        <v>0</v>
      </c>
      <c r="AT87">
        <f>SUMIF(RecoveredRaw!$B:$B,$A87,RecoveredRaw!AW:AW)</f>
        <v>0</v>
      </c>
      <c r="AU87">
        <f>SUMIF(RecoveredRaw!$B:$B,$A87,RecoveredRaw!AX:AX)</f>
        <v>0</v>
      </c>
      <c r="AV87">
        <f>SUMIF(RecoveredRaw!$B:$B,$A87,RecoveredRaw!AY:AY)</f>
        <v>0</v>
      </c>
      <c r="AW87">
        <f>SUMIF(RecoveredRaw!$B:$B,$A87,RecoveredRaw!AZ:AZ)</f>
        <v>0</v>
      </c>
      <c r="AX87">
        <f>SUMIF(RecoveredRaw!$B:$B,$A87,RecoveredRaw!BA:BA)</f>
        <v>0</v>
      </c>
      <c r="AY87">
        <f>SUMIF(RecoveredRaw!$B:$B,$A87,RecoveredRaw!BB:BB)</f>
        <v>0</v>
      </c>
      <c r="AZ87">
        <f>SUMIF(RecoveredRaw!$B:$B,$A87,RecoveredRaw!BC:BC)</f>
        <v>0</v>
      </c>
      <c r="BA87">
        <f>SUMIF(RecoveredRaw!$B:$B,$A87,RecoveredRaw!BD:BD)</f>
        <v>0</v>
      </c>
      <c r="BB87">
        <f>SUMIF(RecoveredRaw!$B:$B,$A87,RecoveredRaw!BE:BE)</f>
        <v>0</v>
      </c>
      <c r="BC87">
        <f>SUMIF(RecoveredRaw!$B:$B,$A87,RecoveredRaw!BF:BF)</f>
        <v>1</v>
      </c>
      <c r="BD87">
        <f>SUMIF(RecoveredRaw!$B:$B,$A87,RecoveredRaw!BG:BG)</f>
        <v>1</v>
      </c>
      <c r="BE87">
        <f>SUMIF(RecoveredRaw!$B:$B,$A87,RecoveredRaw!BH:BH)</f>
        <v>1</v>
      </c>
      <c r="BF87">
        <f>SUMIF(RecoveredRaw!$B:$B,$A87,RecoveredRaw!BI:BI)</f>
        <v>1</v>
      </c>
      <c r="BG87">
        <f>SUMIF(RecoveredRaw!$B:$B,$A87,RecoveredRaw!BJ:BJ)</f>
        <v>0</v>
      </c>
      <c r="BH87">
        <f>SUMIF(RecoveredRaw!$B:$B,$A87,RecoveredRaw!BK:BK)</f>
        <v>0</v>
      </c>
      <c r="BI87">
        <f>SUMIF(RecoveredRaw!$B:$B,$A87,RecoveredRaw!BL:BL)</f>
        <v>0</v>
      </c>
      <c r="BJ87">
        <f>SUMIF(RecoveredRaw!$B:$B,$A87,RecoveredRaw!BM:BM)</f>
        <v>0</v>
      </c>
      <c r="BK87">
        <f>SUMIF(RecoveredRaw!$B:$B,$A87,RecoveredRaw!BN:BN)</f>
        <v>0</v>
      </c>
      <c r="BL87">
        <f>SUMIF(RecoveredRaw!$B:$B,$A87,RecoveredRaw!BO:BO)</f>
        <v>0</v>
      </c>
      <c r="BM87">
        <f>SUMIF(RecoveredRaw!$B:$B,$A87,RecoveredRaw!BP:BP)</f>
        <v>0</v>
      </c>
      <c r="BN87">
        <f>SUMIF(RecoveredRaw!$B:$B,$A87,RecoveredRaw!BQ:BQ)</f>
        <v>0</v>
      </c>
      <c r="BO87">
        <f>SUMIF(RecoveredRaw!$B:$B,$A87,RecoveredRaw!BR:BR)</f>
        <v>0</v>
      </c>
      <c r="BP87">
        <f>SUMIF(RecoveredRaw!$B:$B,$A87,RecoveredRaw!BS:BS)</f>
        <v>0</v>
      </c>
      <c r="BQ87">
        <f>SUMIF(RecoveredRaw!$B:$B,$A87,RecoveredRaw!BT:BT)</f>
        <v>0</v>
      </c>
      <c r="BR87">
        <f>SUMIF(RecoveredRaw!$B:$B,$A87,RecoveredRaw!BU:BU)</f>
        <v>0</v>
      </c>
      <c r="BS87">
        <f>SUMIF(RecoveredRaw!$B:$B,$A87,RecoveredRaw!BV:BV)</f>
        <v>0</v>
      </c>
      <c r="BT87">
        <f>SUMIF(RecoveredRaw!$B:$B,$A87,RecoveredRaw!BW:BW)</f>
        <v>0</v>
      </c>
    </row>
    <row r="88" spans="1:72" ht="15" thickBot="1" x14ac:dyDescent="0.35">
      <c r="A88" s="4" t="s">
        <v>345</v>
      </c>
      <c r="B88">
        <f>SUMIF(RecoveredRaw!$B:$B,$A88,RecoveredRaw!E:E)</f>
        <v>0</v>
      </c>
      <c r="C88">
        <f>SUMIF(RecoveredRaw!$B:$B,$A88,RecoveredRaw!F:F)</f>
        <v>0</v>
      </c>
      <c r="D88">
        <f>SUMIF(RecoveredRaw!$B:$B,$A88,RecoveredRaw!G:G)</f>
        <v>0</v>
      </c>
      <c r="E88">
        <f>SUMIF(RecoveredRaw!$B:$B,$A88,RecoveredRaw!H:H)</f>
        <v>0</v>
      </c>
      <c r="F88">
        <f>SUMIF(RecoveredRaw!$B:$B,$A88,RecoveredRaw!I:I)</f>
        <v>0</v>
      </c>
      <c r="G88">
        <f>SUMIF(RecoveredRaw!$B:$B,$A88,RecoveredRaw!J:J)</f>
        <v>0</v>
      </c>
      <c r="H88">
        <f>SUMIF(RecoveredRaw!$B:$B,$A88,RecoveredRaw!K:K)</f>
        <v>0</v>
      </c>
      <c r="I88">
        <f>SUMIF(RecoveredRaw!$B:$B,$A88,RecoveredRaw!L:L)</f>
        <v>0</v>
      </c>
      <c r="J88">
        <f>SUMIF(RecoveredRaw!$B:$B,$A88,RecoveredRaw!M:M)</f>
        <v>0</v>
      </c>
      <c r="K88">
        <f>SUMIF(RecoveredRaw!$B:$B,$A88,RecoveredRaw!N:N)</f>
        <v>0</v>
      </c>
      <c r="L88">
        <f>SUMIF(RecoveredRaw!$B:$B,$A88,RecoveredRaw!O:O)</f>
        <v>0</v>
      </c>
      <c r="M88">
        <f>SUMIF(RecoveredRaw!$B:$B,$A88,RecoveredRaw!P:P)</f>
        <v>0</v>
      </c>
      <c r="N88">
        <f>SUMIF(RecoveredRaw!$B:$B,$A88,RecoveredRaw!Q:Q)</f>
        <v>0</v>
      </c>
      <c r="O88">
        <f>SUMIF(RecoveredRaw!$B:$B,$A88,RecoveredRaw!R:R)</f>
        <v>0</v>
      </c>
      <c r="P88">
        <f>SUMIF(RecoveredRaw!$B:$B,$A88,RecoveredRaw!S:S)</f>
        <v>0</v>
      </c>
      <c r="Q88">
        <f>SUMIF(RecoveredRaw!$B:$B,$A88,RecoveredRaw!T:T)</f>
        <v>0</v>
      </c>
      <c r="R88">
        <f>SUMIF(RecoveredRaw!$B:$B,$A88,RecoveredRaw!U:U)</f>
        <v>0</v>
      </c>
      <c r="S88">
        <f>SUMIF(RecoveredRaw!$B:$B,$A88,RecoveredRaw!V:V)</f>
        <v>0</v>
      </c>
      <c r="T88">
        <f>SUMIF(RecoveredRaw!$B:$B,$A88,RecoveredRaw!W:W)</f>
        <v>0</v>
      </c>
      <c r="U88">
        <f>SUMIF(RecoveredRaw!$B:$B,$A88,RecoveredRaw!X:X)</f>
        <v>0</v>
      </c>
      <c r="V88">
        <f>SUMIF(RecoveredRaw!$B:$B,$A88,RecoveredRaw!Y:Y)</f>
        <v>0</v>
      </c>
      <c r="W88">
        <f>SUMIF(RecoveredRaw!$B:$B,$A88,RecoveredRaw!Z:Z)</f>
        <v>0</v>
      </c>
      <c r="X88">
        <f>SUMIF(RecoveredRaw!$B:$B,$A88,RecoveredRaw!AA:AA)</f>
        <v>0</v>
      </c>
      <c r="Y88">
        <f>SUMIF(RecoveredRaw!$B:$B,$A88,RecoveredRaw!AB:AB)</f>
        <v>0</v>
      </c>
      <c r="Z88">
        <f>SUMIF(RecoveredRaw!$B:$B,$A88,RecoveredRaw!AC:AC)</f>
        <v>0</v>
      </c>
      <c r="AA88">
        <f>SUMIF(RecoveredRaw!$B:$B,$A88,RecoveredRaw!AD:AD)</f>
        <v>0</v>
      </c>
      <c r="AB88">
        <f>SUMIF(RecoveredRaw!$B:$B,$A88,RecoveredRaw!AE:AE)</f>
        <v>0</v>
      </c>
      <c r="AC88">
        <f>SUMIF(RecoveredRaw!$B:$B,$A88,RecoveredRaw!AF:AF)</f>
        <v>0</v>
      </c>
      <c r="AD88">
        <f>SUMIF(RecoveredRaw!$B:$B,$A88,RecoveredRaw!AG:AG)</f>
        <v>0</v>
      </c>
      <c r="AE88">
        <f>SUMIF(RecoveredRaw!$B:$B,$A88,RecoveredRaw!AH:AH)</f>
        <v>0</v>
      </c>
      <c r="AF88">
        <f>SUMIF(RecoveredRaw!$B:$B,$A88,RecoveredRaw!AI:AI)</f>
        <v>0</v>
      </c>
      <c r="AG88">
        <f>SUMIF(RecoveredRaw!$B:$B,$A88,RecoveredRaw!AJ:AJ)</f>
        <v>0</v>
      </c>
      <c r="AH88">
        <f>SUMIF(RecoveredRaw!$B:$B,$A88,RecoveredRaw!AK:AK)</f>
        <v>0</v>
      </c>
      <c r="AI88">
        <f>SUMIF(RecoveredRaw!$B:$B,$A88,RecoveredRaw!AL:AL)</f>
        <v>0</v>
      </c>
      <c r="AJ88">
        <f>SUMIF(RecoveredRaw!$B:$B,$A88,RecoveredRaw!AM:AM)</f>
        <v>0</v>
      </c>
      <c r="AK88">
        <f>SUMIF(RecoveredRaw!$B:$B,$A88,RecoveredRaw!AN:AN)</f>
        <v>0</v>
      </c>
      <c r="AL88">
        <f>SUMIF(RecoveredRaw!$B:$B,$A88,RecoveredRaw!AO:AO)</f>
        <v>0</v>
      </c>
      <c r="AM88">
        <f>SUMIF(RecoveredRaw!$B:$B,$A88,RecoveredRaw!AP:AP)</f>
        <v>0</v>
      </c>
      <c r="AN88">
        <f>SUMIF(RecoveredRaw!$B:$B,$A88,RecoveredRaw!AQ:AQ)</f>
        <v>0</v>
      </c>
      <c r="AO88">
        <f>SUMIF(RecoveredRaw!$B:$B,$A88,RecoveredRaw!AR:AR)</f>
        <v>0</v>
      </c>
      <c r="AP88">
        <f>SUMIF(RecoveredRaw!$B:$B,$A88,RecoveredRaw!AS:AS)</f>
        <v>0</v>
      </c>
      <c r="AQ88">
        <f>SUMIF(RecoveredRaw!$B:$B,$A88,RecoveredRaw!AT:AT)</f>
        <v>0</v>
      </c>
      <c r="AR88">
        <f>SUMIF(RecoveredRaw!$B:$B,$A88,RecoveredRaw!AU:AU)</f>
        <v>0</v>
      </c>
      <c r="AS88">
        <f>SUMIF(RecoveredRaw!$B:$B,$A88,RecoveredRaw!AV:AV)</f>
        <v>0</v>
      </c>
      <c r="AT88">
        <f>SUMIF(RecoveredRaw!$B:$B,$A88,RecoveredRaw!AW:AW)</f>
        <v>0</v>
      </c>
      <c r="AU88">
        <f>SUMIF(RecoveredRaw!$B:$B,$A88,RecoveredRaw!AX:AX)</f>
        <v>0</v>
      </c>
      <c r="AV88">
        <f>SUMIF(RecoveredRaw!$B:$B,$A88,RecoveredRaw!AY:AY)</f>
        <v>0</v>
      </c>
      <c r="AW88">
        <f>SUMIF(RecoveredRaw!$B:$B,$A88,RecoveredRaw!AZ:AZ)</f>
        <v>0</v>
      </c>
      <c r="AX88">
        <f>SUMIF(RecoveredRaw!$B:$B,$A88,RecoveredRaw!BA:BA)</f>
        <v>0</v>
      </c>
      <c r="AY88">
        <f>SUMIF(RecoveredRaw!$B:$B,$A88,RecoveredRaw!BB:BB)</f>
        <v>0</v>
      </c>
      <c r="AZ88">
        <f>SUMIF(RecoveredRaw!$B:$B,$A88,RecoveredRaw!BC:BC)</f>
        <v>0</v>
      </c>
      <c r="BA88">
        <f>SUMIF(RecoveredRaw!$B:$B,$A88,RecoveredRaw!BD:BD)</f>
        <v>0</v>
      </c>
      <c r="BB88">
        <f>SUMIF(RecoveredRaw!$B:$B,$A88,RecoveredRaw!BE:BE)</f>
        <v>0</v>
      </c>
      <c r="BC88">
        <f>SUMIF(RecoveredRaw!$B:$B,$A88,RecoveredRaw!BF:BF)</f>
        <v>0</v>
      </c>
      <c r="BD88">
        <f>SUMIF(RecoveredRaw!$B:$B,$A88,RecoveredRaw!BG:BG)</f>
        <v>0</v>
      </c>
      <c r="BE88">
        <f>SUMIF(RecoveredRaw!$B:$B,$A88,RecoveredRaw!BH:BH)</f>
        <v>1</v>
      </c>
      <c r="BF88">
        <f>SUMIF(RecoveredRaw!$B:$B,$A88,RecoveredRaw!BI:BI)</f>
        <v>1</v>
      </c>
      <c r="BG88">
        <f>SUMIF(RecoveredRaw!$B:$B,$A88,RecoveredRaw!BJ:BJ)</f>
        <v>0</v>
      </c>
      <c r="BH88">
        <f>SUMIF(RecoveredRaw!$B:$B,$A88,RecoveredRaw!BK:BK)</f>
        <v>0</v>
      </c>
      <c r="BI88">
        <f>SUMIF(RecoveredRaw!$B:$B,$A88,RecoveredRaw!BL:BL)</f>
        <v>0</v>
      </c>
      <c r="BJ88">
        <f>SUMIF(RecoveredRaw!$B:$B,$A88,RecoveredRaw!BM:BM)</f>
        <v>0</v>
      </c>
      <c r="BK88">
        <f>SUMIF(RecoveredRaw!$B:$B,$A88,RecoveredRaw!BN:BN)</f>
        <v>0</v>
      </c>
      <c r="BL88">
        <f>SUMIF(RecoveredRaw!$B:$B,$A88,RecoveredRaw!BO:BO)</f>
        <v>0</v>
      </c>
      <c r="BM88">
        <f>SUMIF(RecoveredRaw!$B:$B,$A88,RecoveredRaw!BP:BP)</f>
        <v>0</v>
      </c>
      <c r="BN88">
        <f>SUMIF(RecoveredRaw!$B:$B,$A88,RecoveredRaw!BQ:BQ)</f>
        <v>0</v>
      </c>
      <c r="BO88">
        <f>SUMIF(RecoveredRaw!$B:$B,$A88,RecoveredRaw!BR:BR)</f>
        <v>0</v>
      </c>
      <c r="BP88">
        <f>SUMIF(RecoveredRaw!$B:$B,$A88,RecoveredRaw!BS:BS)</f>
        <v>0</v>
      </c>
      <c r="BQ88">
        <f>SUMIF(RecoveredRaw!$B:$B,$A88,RecoveredRaw!BT:BT)</f>
        <v>0</v>
      </c>
      <c r="BR88">
        <f>SUMIF(RecoveredRaw!$B:$B,$A88,RecoveredRaw!BU:BU)</f>
        <v>0</v>
      </c>
      <c r="BS88">
        <f>SUMIF(RecoveredRaw!$B:$B,$A88,RecoveredRaw!BV:BV)</f>
        <v>0</v>
      </c>
      <c r="BT88">
        <f>SUMIF(RecoveredRaw!$B:$B,$A88,RecoveredRaw!BW:BW)</f>
        <v>0</v>
      </c>
    </row>
    <row r="89" spans="1:72" ht="15" thickBot="1" x14ac:dyDescent="0.35">
      <c r="A89" s="4" t="s">
        <v>206</v>
      </c>
      <c r="B89">
        <f>SUMIF(RecoveredRaw!$B:$B,$A89,RecoveredRaw!E:E)</f>
        <v>0</v>
      </c>
      <c r="C89">
        <f>SUMIF(RecoveredRaw!$B:$B,$A89,RecoveredRaw!F:F)</f>
        <v>0</v>
      </c>
      <c r="D89">
        <f>SUMIF(RecoveredRaw!$B:$B,$A89,RecoveredRaw!G:G)</f>
        <v>0</v>
      </c>
      <c r="E89">
        <f>SUMIF(RecoveredRaw!$B:$B,$A89,RecoveredRaw!H:H)</f>
        <v>0</v>
      </c>
      <c r="F89">
        <f>SUMIF(RecoveredRaw!$B:$B,$A89,RecoveredRaw!I:I)</f>
        <v>0</v>
      </c>
      <c r="G89">
        <f>SUMIF(RecoveredRaw!$B:$B,$A89,RecoveredRaw!J:J)</f>
        <v>0</v>
      </c>
      <c r="H89">
        <f>SUMIF(RecoveredRaw!$B:$B,$A89,RecoveredRaw!K:K)</f>
        <v>0</v>
      </c>
      <c r="I89">
        <f>SUMIF(RecoveredRaw!$B:$B,$A89,RecoveredRaw!L:L)</f>
        <v>0</v>
      </c>
      <c r="J89">
        <f>SUMIF(RecoveredRaw!$B:$B,$A89,RecoveredRaw!M:M)</f>
        <v>0</v>
      </c>
      <c r="K89">
        <f>SUMIF(RecoveredRaw!$B:$B,$A89,RecoveredRaw!N:N)</f>
        <v>0</v>
      </c>
      <c r="L89">
        <f>SUMIF(RecoveredRaw!$B:$B,$A89,RecoveredRaw!O:O)</f>
        <v>0</v>
      </c>
      <c r="M89">
        <f>SUMIF(RecoveredRaw!$B:$B,$A89,RecoveredRaw!P:P)</f>
        <v>0</v>
      </c>
      <c r="N89">
        <f>SUMIF(RecoveredRaw!$B:$B,$A89,RecoveredRaw!Q:Q)</f>
        <v>0</v>
      </c>
      <c r="O89">
        <f>SUMIF(RecoveredRaw!$B:$B,$A89,RecoveredRaw!R:R)</f>
        <v>0</v>
      </c>
      <c r="P89">
        <f>SUMIF(RecoveredRaw!$B:$B,$A89,RecoveredRaw!S:S)</f>
        <v>0</v>
      </c>
      <c r="Q89">
        <f>SUMIF(RecoveredRaw!$B:$B,$A89,RecoveredRaw!T:T)</f>
        <v>0</v>
      </c>
      <c r="R89">
        <f>SUMIF(RecoveredRaw!$B:$B,$A89,RecoveredRaw!U:U)</f>
        <v>0</v>
      </c>
      <c r="S89">
        <f>SUMIF(RecoveredRaw!$B:$B,$A89,RecoveredRaw!V:V)</f>
        <v>0</v>
      </c>
      <c r="T89">
        <f>SUMIF(RecoveredRaw!$B:$B,$A89,RecoveredRaw!W:W)</f>
        <v>0</v>
      </c>
      <c r="U89">
        <f>SUMIF(RecoveredRaw!$B:$B,$A89,RecoveredRaw!X:X)</f>
        <v>0</v>
      </c>
      <c r="V89">
        <f>SUMIF(RecoveredRaw!$B:$B,$A89,RecoveredRaw!Y:Y)</f>
        <v>0</v>
      </c>
      <c r="W89">
        <f>SUMIF(RecoveredRaw!$B:$B,$A89,RecoveredRaw!Z:Z)</f>
        <v>0</v>
      </c>
      <c r="X89">
        <f>SUMIF(RecoveredRaw!$B:$B,$A89,RecoveredRaw!AA:AA)</f>
        <v>0</v>
      </c>
      <c r="Y89">
        <f>SUMIF(RecoveredRaw!$B:$B,$A89,RecoveredRaw!AB:AB)</f>
        <v>0</v>
      </c>
      <c r="Z89">
        <f>SUMIF(RecoveredRaw!$B:$B,$A89,RecoveredRaw!AC:AC)</f>
        <v>0</v>
      </c>
      <c r="AA89">
        <f>SUMIF(RecoveredRaw!$B:$B,$A89,RecoveredRaw!AD:AD)</f>
        <v>0</v>
      </c>
      <c r="AB89">
        <f>SUMIF(RecoveredRaw!$B:$B,$A89,RecoveredRaw!AE:AE)</f>
        <v>0</v>
      </c>
      <c r="AC89">
        <f>SUMIF(RecoveredRaw!$B:$B,$A89,RecoveredRaw!AF:AF)</f>
        <v>0</v>
      </c>
      <c r="AD89">
        <f>SUMIF(RecoveredRaw!$B:$B,$A89,RecoveredRaw!AG:AG)</f>
        <v>0</v>
      </c>
      <c r="AE89">
        <f>SUMIF(RecoveredRaw!$B:$B,$A89,RecoveredRaw!AH:AH)</f>
        <v>0</v>
      </c>
      <c r="AF89">
        <f>SUMIF(RecoveredRaw!$B:$B,$A89,RecoveredRaw!AI:AI)</f>
        <v>0</v>
      </c>
      <c r="AG89">
        <f>SUMIF(RecoveredRaw!$B:$B,$A89,RecoveredRaw!AJ:AJ)</f>
        <v>0</v>
      </c>
      <c r="AH89">
        <f>SUMIF(RecoveredRaw!$B:$B,$A89,RecoveredRaw!AK:AK)</f>
        <v>0</v>
      </c>
      <c r="AI89">
        <f>SUMIF(RecoveredRaw!$B:$B,$A89,RecoveredRaw!AL:AL)</f>
        <v>0</v>
      </c>
      <c r="AJ89">
        <f>SUMIF(RecoveredRaw!$B:$B,$A89,RecoveredRaw!AM:AM)</f>
        <v>0</v>
      </c>
      <c r="AK89">
        <f>SUMIF(RecoveredRaw!$B:$B,$A89,RecoveredRaw!AN:AN)</f>
        <v>0</v>
      </c>
      <c r="AL89">
        <f>SUMIF(RecoveredRaw!$B:$B,$A89,RecoveredRaw!AO:AO)</f>
        <v>0</v>
      </c>
      <c r="AM89">
        <f>SUMIF(RecoveredRaw!$B:$B,$A89,RecoveredRaw!AP:AP)</f>
        <v>0</v>
      </c>
      <c r="AN89">
        <f>SUMIF(RecoveredRaw!$B:$B,$A89,RecoveredRaw!AQ:AQ)</f>
        <v>0</v>
      </c>
      <c r="AO89">
        <f>SUMIF(RecoveredRaw!$B:$B,$A89,RecoveredRaw!AR:AR)</f>
        <v>0</v>
      </c>
      <c r="AP89">
        <f>SUMIF(RecoveredRaw!$B:$B,$A89,RecoveredRaw!AS:AS)</f>
        <v>0</v>
      </c>
      <c r="AQ89">
        <f>SUMIF(RecoveredRaw!$B:$B,$A89,RecoveredRaw!AT:AT)</f>
        <v>0</v>
      </c>
      <c r="AR89">
        <f>SUMIF(RecoveredRaw!$B:$B,$A89,RecoveredRaw!AU:AU)</f>
        <v>0</v>
      </c>
      <c r="AS89">
        <f>SUMIF(RecoveredRaw!$B:$B,$A89,RecoveredRaw!AV:AV)</f>
        <v>0</v>
      </c>
      <c r="AT89">
        <f>SUMIF(RecoveredRaw!$B:$B,$A89,RecoveredRaw!AW:AW)</f>
        <v>0</v>
      </c>
      <c r="AU89">
        <f>SUMIF(RecoveredRaw!$B:$B,$A89,RecoveredRaw!AX:AX)</f>
        <v>0</v>
      </c>
      <c r="AV89">
        <f>SUMIF(RecoveredRaw!$B:$B,$A89,RecoveredRaw!AY:AY)</f>
        <v>0</v>
      </c>
      <c r="AW89">
        <f>SUMIF(RecoveredRaw!$B:$B,$A89,RecoveredRaw!AZ:AZ)</f>
        <v>0</v>
      </c>
      <c r="AX89">
        <f>SUMIF(RecoveredRaw!$B:$B,$A89,RecoveredRaw!BA:BA)</f>
        <v>0</v>
      </c>
      <c r="AY89">
        <f>SUMIF(RecoveredRaw!$B:$B,$A89,RecoveredRaw!BB:BB)</f>
        <v>0</v>
      </c>
      <c r="AZ89">
        <f>SUMIF(RecoveredRaw!$B:$B,$A89,RecoveredRaw!BC:BC)</f>
        <v>0</v>
      </c>
      <c r="BA89">
        <f>SUMIF(RecoveredRaw!$B:$B,$A89,RecoveredRaw!BD:BD)</f>
        <v>0</v>
      </c>
      <c r="BB89">
        <f>SUMIF(RecoveredRaw!$B:$B,$A89,RecoveredRaw!BE:BE)</f>
        <v>0</v>
      </c>
      <c r="BC89">
        <f>SUMIF(RecoveredRaw!$B:$B,$A89,RecoveredRaw!BF:BF)</f>
        <v>0</v>
      </c>
      <c r="BD89">
        <f>SUMIF(RecoveredRaw!$B:$B,$A89,RecoveredRaw!BG:BG)</f>
        <v>0</v>
      </c>
      <c r="BE89">
        <f>SUMIF(RecoveredRaw!$B:$B,$A89,RecoveredRaw!BH:BH)</f>
        <v>0</v>
      </c>
      <c r="BF89">
        <f>SUMIF(RecoveredRaw!$B:$B,$A89,RecoveredRaw!BI:BI)</f>
        <v>0</v>
      </c>
      <c r="BG89">
        <f>SUMIF(RecoveredRaw!$B:$B,$A89,RecoveredRaw!BJ:BJ)</f>
        <v>0</v>
      </c>
      <c r="BH89">
        <f>SUMIF(RecoveredRaw!$B:$B,$A89,RecoveredRaw!BK:BK)</f>
        <v>0</v>
      </c>
      <c r="BI89">
        <f>SUMIF(RecoveredRaw!$B:$B,$A89,RecoveredRaw!BL:BL)</f>
        <v>0</v>
      </c>
      <c r="BJ89">
        <f>SUMIF(RecoveredRaw!$B:$B,$A89,RecoveredRaw!BM:BM)</f>
        <v>0</v>
      </c>
      <c r="BK89">
        <f>SUMIF(RecoveredRaw!$B:$B,$A89,RecoveredRaw!BN:BN)</f>
        <v>0</v>
      </c>
      <c r="BL89">
        <f>SUMIF(RecoveredRaw!$B:$B,$A89,RecoveredRaw!BO:BO)</f>
        <v>0</v>
      </c>
      <c r="BM89">
        <f>SUMIF(RecoveredRaw!$B:$B,$A89,RecoveredRaw!BP:BP)</f>
        <v>0</v>
      </c>
      <c r="BN89">
        <f>SUMIF(RecoveredRaw!$B:$B,$A89,RecoveredRaw!BQ:BQ)</f>
        <v>0</v>
      </c>
      <c r="BO89">
        <f>SUMIF(RecoveredRaw!$B:$B,$A89,RecoveredRaw!BR:BR)</f>
        <v>0</v>
      </c>
      <c r="BP89">
        <f>SUMIF(RecoveredRaw!$B:$B,$A89,RecoveredRaw!BS:BS)</f>
        <v>0</v>
      </c>
      <c r="BQ89">
        <f>SUMIF(RecoveredRaw!$B:$B,$A89,RecoveredRaw!BT:BT)</f>
        <v>0</v>
      </c>
      <c r="BR89">
        <f>SUMIF(RecoveredRaw!$B:$B,$A89,RecoveredRaw!BU:BU)</f>
        <v>0</v>
      </c>
      <c r="BS89">
        <f>SUMIF(RecoveredRaw!$B:$B,$A89,RecoveredRaw!BV:BV)</f>
        <v>0</v>
      </c>
      <c r="BT89">
        <f>SUMIF(RecoveredRaw!$B:$B,$A89,RecoveredRaw!BW:BW)</f>
        <v>0</v>
      </c>
    </row>
    <row r="90" spans="1:72" ht="15" thickBot="1" x14ac:dyDescent="0.35">
      <c r="A90" s="3" t="s">
        <v>52</v>
      </c>
      <c r="B90">
        <f>SUMIF(RecoveredRaw!$B:$B,$A90,RecoveredRaw!E:E)</f>
        <v>0</v>
      </c>
      <c r="C90">
        <f>SUMIF(RecoveredRaw!$B:$B,$A90,RecoveredRaw!F:F)</f>
        <v>0</v>
      </c>
      <c r="D90">
        <f>SUMIF(RecoveredRaw!$B:$B,$A90,RecoveredRaw!G:G)</f>
        <v>0</v>
      </c>
      <c r="E90">
        <f>SUMIF(RecoveredRaw!$B:$B,$A90,RecoveredRaw!H:H)</f>
        <v>0</v>
      </c>
      <c r="F90">
        <f>SUMIF(RecoveredRaw!$B:$B,$A90,RecoveredRaw!I:I)</f>
        <v>0</v>
      </c>
      <c r="G90">
        <f>SUMIF(RecoveredRaw!$B:$B,$A90,RecoveredRaw!J:J)</f>
        <v>0</v>
      </c>
      <c r="H90">
        <f>SUMIF(RecoveredRaw!$B:$B,$A90,RecoveredRaw!K:K)</f>
        <v>0</v>
      </c>
      <c r="I90">
        <f>SUMIF(RecoveredRaw!$B:$B,$A90,RecoveredRaw!L:L)</f>
        <v>0</v>
      </c>
      <c r="J90">
        <f>SUMIF(RecoveredRaw!$B:$B,$A90,RecoveredRaw!M:M)</f>
        <v>0</v>
      </c>
      <c r="K90">
        <f>SUMIF(RecoveredRaw!$B:$B,$A90,RecoveredRaw!N:N)</f>
        <v>0</v>
      </c>
      <c r="L90">
        <f>SUMIF(RecoveredRaw!$B:$B,$A90,RecoveredRaw!O:O)</f>
        <v>0</v>
      </c>
      <c r="M90">
        <f>SUMIF(RecoveredRaw!$B:$B,$A90,RecoveredRaw!P:P)</f>
        <v>0</v>
      </c>
      <c r="N90">
        <f>SUMIF(RecoveredRaw!$B:$B,$A90,RecoveredRaw!Q:Q)</f>
        <v>0</v>
      </c>
      <c r="O90">
        <f>SUMIF(RecoveredRaw!$B:$B,$A90,RecoveredRaw!R:R)</f>
        <v>0</v>
      </c>
      <c r="P90">
        <f>SUMIF(RecoveredRaw!$B:$B,$A90,RecoveredRaw!S:S)</f>
        <v>0</v>
      </c>
      <c r="Q90">
        <f>SUMIF(RecoveredRaw!$B:$B,$A90,RecoveredRaw!T:T)</f>
        <v>0</v>
      </c>
      <c r="R90">
        <f>SUMIF(RecoveredRaw!$B:$B,$A90,RecoveredRaw!U:U)</f>
        <v>0</v>
      </c>
      <c r="S90">
        <f>SUMIF(RecoveredRaw!$B:$B,$A90,RecoveredRaw!V:V)</f>
        <v>1</v>
      </c>
      <c r="T90">
        <f>SUMIF(RecoveredRaw!$B:$B,$A90,RecoveredRaw!W:W)</f>
        <v>1</v>
      </c>
      <c r="U90">
        <f>SUMIF(RecoveredRaw!$B:$B,$A90,RecoveredRaw!X:X)</f>
        <v>1</v>
      </c>
      <c r="V90">
        <f>SUMIF(RecoveredRaw!$B:$B,$A90,RecoveredRaw!Y:Y)</f>
        <v>1</v>
      </c>
      <c r="W90">
        <f>SUMIF(RecoveredRaw!$B:$B,$A90,RecoveredRaw!Z:Z)</f>
        <v>1</v>
      </c>
      <c r="X90">
        <f>SUMIF(RecoveredRaw!$B:$B,$A90,RecoveredRaw!AA:AA)</f>
        <v>1</v>
      </c>
      <c r="Y90">
        <f>SUMIF(RecoveredRaw!$B:$B,$A90,RecoveredRaw!AB:AB)</f>
        <v>1</v>
      </c>
      <c r="Z90">
        <f>SUMIF(RecoveredRaw!$B:$B,$A90,RecoveredRaw!AC:AC)</f>
        <v>1</v>
      </c>
      <c r="AA90">
        <f>SUMIF(RecoveredRaw!$B:$B,$A90,RecoveredRaw!AD:AD)</f>
        <v>1</v>
      </c>
      <c r="AB90">
        <f>SUMIF(RecoveredRaw!$B:$B,$A90,RecoveredRaw!AE:AE)</f>
        <v>1</v>
      </c>
      <c r="AC90">
        <f>SUMIF(RecoveredRaw!$B:$B,$A90,RecoveredRaw!AF:AF)</f>
        <v>1</v>
      </c>
      <c r="AD90">
        <f>SUMIF(RecoveredRaw!$B:$B,$A90,RecoveredRaw!AG:AG)</f>
        <v>1</v>
      </c>
      <c r="AE90">
        <f>SUMIF(RecoveredRaw!$B:$B,$A90,RecoveredRaw!AH:AH)</f>
        <v>1</v>
      </c>
      <c r="AF90">
        <f>SUMIF(RecoveredRaw!$B:$B,$A90,RecoveredRaw!AI:AI)</f>
        <v>1</v>
      </c>
      <c r="AG90">
        <f>SUMIF(RecoveredRaw!$B:$B,$A90,RecoveredRaw!AJ:AJ)</f>
        <v>1</v>
      </c>
      <c r="AH90">
        <f>SUMIF(RecoveredRaw!$B:$B,$A90,RecoveredRaw!AK:AK)</f>
        <v>1</v>
      </c>
      <c r="AI90">
        <f>SUMIF(RecoveredRaw!$B:$B,$A90,RecoveredRaw!AL:AL)</f>
        <v>1</v>
      </c>
      <c r="AJ90">
        <f>SUMIF(RecoveredRaw!$B:$B,$A90,RecoveredRaw!AM:AM)</f>
        <v>1</v>
      </c>
      <c r="AK90">
        <f>SUMIF(RecoveredRaw!$B:$B,$A90,RecoveredRaw!AN:AN)</f>
        <v>1</v>
      </c>
      <c r="AL90">
        <f>SUMIF(RecoveredRaw!$B:$B,$A90,RecoveredRaw!AO:AO)</f>
        <v>1</v>
      </c>
      <c r="AM90">
        <f>SUMIF(RecoveredRaw!$B:$B,$A90,RecoveredRaw!AP:AP)</f>
        <v>1</v>
      </c>
      <c r="AN90">
        <f>SUMIF(RecoveredRaw!$B:$B,$A90,RecoveredRaw!AQ:AQ)</f>
        <v>1</v>
      </c>
      <c r="AO90">
        <f>SUMIF(RecoveredRaw!$B:$B,$A90,RecoveredRaw!AR:AR)</f>
        <v>1</v>
      </c>
      <c r="AP90">
        <f>SUMIF(RecoveredRaw!$B:$B,$A90,RecoveredRaw!AS:AS)</f>
        <v>1</v>
      </c>
      <c r="AQ90">
        <f>SUMIF(RecoveredRaw!$B:$B,$A90,RecoveredRaw!AT:AT)</f>
        <v>1</v>
      </c>
      <c r="AR90">
        <f>SUMIF(RecoveredRaw!$B:$B,$A90,RecoveredRaw!AU:AU)</f>
        <v>1</v>
      </c>
      <c r="AS90">
        <f>SUMIF(RecoveredRaw!$B:$B,$A90,RecoveredRaw!AV:AV)</f>
        <v>1</v>
      </c>
      <c r="AT90">
        <f>SUMIF(RecoveredRaw!$B:$B,$A90,RecoveredRaw!AW:AW)</f>
        <v>1</v>
      </c>
      <c r="AU90">
        <f>SUMIF(RecoveredRaw!$B:$B,$A90,RecoveredRaw!AX:AX)</f>
        <v>1</v>
      </c>
      <c r="AV90">
        <f>SUMIF(RecoveredRaw!$B:$B,$A90,RecoveredRaw!AY:AY)</f>
        <v>1</v>
      </c>
      <c r="AW90">
        <f>SUMIF(RecoveredRaw!$B:$B,$A90,RecoveredRaw!AZ:AZ)</f>
        <v>1</v>
      </c>
      <c r="AX90">
        <f>SUMIF(RecoveredRaw!$B:$B,$A90,RecoveredRaw!BA:BA)</f>
        <v>1</v>
      </c>
      <c r="AY90">
        <f>SUMIF(RecoveredRaw!$B:$B,$A90,RecoveredRaw!BB:BB)</f>
        <v>1</v>
      </c>
      <c r="AZ90">
        <f>SUMIF(RecoveredRaw!$B:$B,$A90,RecoveredRaw!BC:BC)</f>
        <v>1</v>
      </c>
      <c r="BA90">
        <f>SUMIF(RecoveredRaw!$B:$B,$A90,RecoveredRaw!BD:BD)</f>
        <v>1</v>
      </c>
      <c r="BB90">
        <f>SUMIF(RecoveredRaw!$B:$B,$A90,RecoveredRaw!BE:BE)</f>
        <v>1</v>
      </c>
      <c r="BC90">
        <f>SUMIF(RecoveredRaw!$B:$B,$A90,RecoveredRaw!BF:BF)</f>
        <v>1</v>
      </c>
      <c r="BD90">
        <f>SUMIF(RecoveredRaw!$B:$B,$A90,RecoveredRaw!BG:BG)</f>
        <v>1</v>
      </c>
      <c r="BE90">
        <f>SUMIF(RecoveredRaw!$B:$B,$A90,RecoveredRaw!BH:BH)</f>
        <v>1</v>
      </c>
      <c r="BF90">
        <f>SUMIF(RecoveredRaw!$B:$B,$A90,RecoveredRaw!BI:BI)</f>
        <v>1</v>
      </c>
      <c r="BG90">
        <f>SUMIF(RecoveredRaw!$B:$B,$A90,RecoveredRaw!BJ:BJ)</f>
        <v>0</v>
      </c>
      <c r="BH90">
        <f>SUMIF(RecoveredRaw!$B:$B,$A90,RecoveredRaw!BK:BK)</f>
        <v>0</v>
      </c>
      <c r="BI90">
        <f>SUMIF(RecoveredRaw!$B:$B,$A90,RecoveredRaw!BL:BL)</f>
        <v>0</v>
      </c>
      <c r="BJ90">
        <f>SUMIF(RecoveredRaw!$B:$B,$A90,RecoveredRaw!BM:BM)</f>
        <v>0</v>
      </c>
      <c r="BK90">
        <f>SUMIF(RecoveredRaw!$B:$B,$A90,RecoveredRaw!BN:BN)</f>
        <v>0</v>
      </c>
      <c r="BL90">
        <f>SUMIF(RecoveredRaw!$B:$B,$A90,RecoveredRaw!BO:BO)</f>
        <v>0</v>
      </c>
      <c r="BM90">
        <f>SUMIF(RecoveredRaw!$B:$B,$A90,RecoveredRaw!BP:BP)</f>
        <v>0</v>
      </c>
      <c r="BN90">
        <f>SUMIF(RecoveredRaw!$B:$B,$A90,RecoveredRaw!BQ:BQ)</f>
        <v>0</v>
      </c>
      <c r="BO90">
        <f>SUMIF(RecoveredRaw!$B:$B,$A90,RecoveredRaw!BR:BR)</f>
        <v>0</v>
      </c>
      <c r="BP90">
        <f>SUMIF(RecoveredRaw!$B:$B,$A90,RecoveredRaw!BS:BS)</f>
        <v>0</v>
      </c>
      <c r="BQ90">
        <f>SUMIF(RecoveredRaw!$B:$B,$A90,RecoveredRaw!BT:BT)</f>
        <v>0</v>
      </c>
      <c r="BR90">
        <f>SUMIF(RecoveredRaw!$B:$B,$A90,RecoveredRaw!BU:BU)</f>
        <v>0</v>
      </c>
      <c r="BS90">
        <f>SUMIF(RecoveredRaw!$B:$B,$A90,RecoveredRaw!BV:BV)</f>
        <v>0</v>
      </c>
      <c r="BT90">
        <f>SUMIF(RecoveredRaw!$B:$B,$A90,RecoveredRaw!BW:BW)</f>
        <v>0</v>
      </c>
    </row>
    <row r="91" spans="1:72" ht="15" thickBot="1" x14ac:dyDescent="0.35">
      <c r="A91" s="4" t="s">
        <v>51</v>
      </c>
      <c r="B91">
        <f>SUMIF(RecoveredRaw!$B:$B,$A91,RecoveredRaw!E:E)</f>
        <v>0</v>
      </c>
      <c r="C91">
        <f>SUMIF(RecoveredRaw!$B:$B,$A91,RecoveredRaw!F:F)</f>
        <v>0</v>
      </c>
      <c r="D91">
        <f>SUMIF(RecoveredRaw!$B:$B,$A91,RecoveredRaw!G:G)</f>
        <v>0</v>
      </c>
      <c r="E91">
        <f>SUMIF(RecoveredRaw!$B:$B,$A91,RecoveredRaw!H:H)</f>
        <v>0</v>
      </c>
      <c r="F91">
        <f>SUMIF(RecoveredRaw!$B:$B,$A91,RecoveredRaw!I:I)</f>
        <v>0</v>
      </c>
      <c r="G91">
        <f>SUMIF(RecoveredRaw!$B:$B,$A91,RecoveredRaw!J:J)</f>
        <v>0</v>
      </c>
      <c r="H91">
        <f>SUMIF(RecoveredRaw!$B:$B,$A91,RecoveredRaw!K:K)</f>
        <v>0</v>
      </c>
      <c r="I91">
        <f>SUMIF(RecoveredRaw!$B:$B,$A91,RecoveredRaw!L:L)</f>
        <v>0</v>
      </c>
      <c r="J91">
        <f>SUMIF(RecoveredRaw!$B:$B,$A91,RecoveredRaw!M:M)</f>
        <v>0</v>
      </c>
      <c r="K91">
        <f>SUMIF(RecoveredRaw!$B:$B,$A91,RecoveredRaw!N:N)</f>
        <v>0</v>
      </c>
      <c r="L91">
        <f>SUMIF(RecoveredRaw!$B:$B,$A91,RecoveredRaw!O:O)</f>
        <v>0</v>
      </c>
      <c r="M91">
        <f>SUMIF(RecoveredRaw!$B:$B,$A91,RecoveredRaw!P:P)</f>
        <v>0</v>
      </c>
      <c r="N91">
        <f>SUMIF(RecoveredRaw!$B:$B,$A91,RecoveredRaw!Q:Q)</f>
        <v>0</v>
      </c>
      <c r="O91">
        <f>SUMIF(RecoveredRaw!$B:$B,$A91,RecoveredRaw!R:R)</f>
        <v>0</v>
      </c>
      <c r="P91">
        <f>SUMIF(RecoveredRaw!$B:$B,$A91,RecoveredRaw!S:S)</f>
        <v>0</v>
      </c>
      <c r="Q91">
        <f>SUMIF(RecoveredRaw!$B:$B,$A91,RecoveredRaw!T:T)</f>
        <v>0</v>
      </c>
      <c r="R91">
        <f>SUMIF(RecoveredRaw!$B:$B,$A91,RecoveredRaw!U:U)</f>
        <v>0</v>
      </c>
      <c r="S91">
        <f>SUMIF(RecoveredRaw!$B:$B,$A91,RecoveredRaw!V:V)</f>
        <v>0</v>
      </c>
      <c r="T91">
        <f>SUMIF(RecoveredRaw!$B:$B,$A91,RecoveredRaw!W:W)</f>
        <v>0</v>
      </c>
      <c r="U91">
        <f>SUMIF(RecoveredRaw!$B:$B,$A91,RecoveredRaw!X:X)</f>
        <v>0</v>
      </c>
      <c r="V91">
        <f>SUMIF(RecoveredRaw!$B:$B,$A91,RecoveredRaw!Y:Y)</f>
        <v>0</v>
      </c>
      <c r="W91">
        <f>SUMIF(RecoveredRaw!$B:$B,$A91,RecoveredRaw!Z:Z)</f>
        <v>1</v>
      </c>
      <c r="X91">
        <f>SUMIF(RecoveredRaw!$B:$B,$A91,RecoveredRaw!AA:AA)</f>
        <v>1</v>
      </c>
      <c r="Y91">
        <f>SUMIF(RecoveredRaw!$B:$B,$A91,RecoveredRaw!AB:AB)</f>
        <v>1</v>
      </c>
      <c r="Z91">
        <f>SUMIF(RecoveredRaw!$B:$B,$A91,RecoveredRaw!AC:AC)</f>
        <v>1</v>
      </c>
      <c r="AA91">
        <f>SUMIF(RecoveredRaw!$B:$B,$A91,RecoveredRaw!AD:AD)</f>
        <v>1</v>
      </c>
      <c r="AB91">
        <f>SUMIF(RecoveredRaw!$B:$B,$A91,RecoveredRaw!AE:AE)</f>
        <v>1</v>
      </c>
      <c r="AC91">
        <f>SUMIF(RecoveredRaw!$B:$B,$A91,RecoveredRaw!AF:AF)</f>
        <v>1</v>
      </c>
      <c r="AD91">
        <f>SUMIF(RecoveredRaw!$B:$B,$A91,RecoveredRaw!AG:AG)</f>
        <v>1</v>
      </c>
      <c r="AE91">
        <f>SUMIF(RecoveredRaw!$B:$B,$A91,RecoveredRaw!AH:AH)</f>
        <v>1</v>
      </c>
      <c r="AF91">
        <f>SUMIF(RecoveredRaw!$B:$B,$A91,RecoveredRaw!AI:AI)</f>
        <v>1</v>
      </c>
      <c r="AG91">
        <f>SUMIF(RecoveredRaw!$B:$B,$A91,RecoveredRaw!AJ:AJ)</f>
        <v>1</v>
      </c>
      <c r="AH91">
        <f>SUMIF(RecoveredRaw!$B:$B,$A91,RecoveredRaw!AK:AK)</f>
        <v>1</v>
      </c>
      <c r="AI91">
        <f>SUMIF(RecoveredRaw!$B:$B,$A91,RecoveredRaw!AL:AL)</f>
        <v>1</v>
      </c>
      <c r="AJ91">
        <f>SUMIF(RecoveredRaw!$B:$B,$A91,RecoveredRaw!AM:AM)</f>
        <v>1</v>
      </c>
      <c r="AK91">
        <f>SUMIF(RecoveredRaw!$B:$B,$A91,RecoveredRaw!AN:AN)</f>
        <v>1</v>
      </c>
      <c r="AL91">
        <f>SUMIF(RecoveredRaw!$B:$B,$A91,RecoveredRaw!AO:AO)</f>
        <v>1</v>
      </c>
      <c r="AM91">
        <f>SUMIF(RecoveredRaw!$B:$B,$A91,RecoveredRaw!AP:AP)</f>
        <v>1</v>
      </c>
      <c r="AN91">
        <f>SUMIF(RecoveredRaw!$B:$B,$A91,RecoveredRaw!AQ:AQ)</f>
        <v>1</v>
      </c>
      <c r="AO91">
        <f>SUMIF(RecoveredRaw!$B:$B,$A91,RecoveredRaw!AR:AR)</f>
        <v>1</v>
      </c>
      <c r="AP91">
        <f>SUMIF(RecoveredRaw!$B:$B,$A91,RecoveredRaw!AS:AS)</f>
        <v>1</v>
      </c>
      <c r="AQ91">
        <f>SUMIF(RecoveredRaw!$B:$B,$A91,RecoveredRaw!AT:AT)</f>
        <v>1</v>
      </c>
      <c r="AR91">
        <f>SUMIF(RecoveredRaw!$B:$B,$A91,RecoveredRaw!AU:AU)</f>
        <v>1</v>
      </c>
      <c r="AS91">
        <f>SUMIF(RecoveredRaw!$B:$B,$A91,RecoveredRaw!AV:AV)</f>
        <v>1</v>
      </c>
      <c r="AT91">
        <f>SUMIF(RecoveredRaw!$B:$B,$A91,RecoveredRaw!AW:AW)</f>
        <v>1</v>
      </c>
      <c r="AU91">
        <f>SUMIF(RecoveredRaw!$B:$B,$A91,RecoveredRaw!AX:AX)</f>
        <v>1</v>
      </c>
      <c r="AV91">
        <f>SUMIF(RecoveredRaw!$B:$B,$A91,RecoveredRaw!AY:AY)</f>
        <v>1</v>
      </c>
      <c r="AW91">
        <f>SUMIF(RecoveredRaw!$B:$B,$A91,RecoveredRaw!AZ:AZ)</f>
        <v>1</v>
      </c>
      <c r="AX91">
        <f>SUMIF(RecoveredRaw!$B:$B,$A91,RecoveredRaw!BA:BA)</f>
        <v>1</v>
      </c>
      <c r="AY91">
        <f>SUMIF(RecoveredRaw!$B:$B,$A91,RecoveredRaw!BB:BB)</f>
        <v>1</v>
      </c>
      <c r="AZ91">
        <f>SUMIF(RecoveredRaw!$B:$B,$A91,RecoveredRaw!BC:BC)</f>
        <v>1</v>
      </c>
      <c r="BA91">
        <f>SUMIF(RecoveredRaw!$B:$B,$A91,RecoveredRaw!BD:BD)</f>
        <v>1</v>
      </c>
      <c r="BB91">
        <f>SUMIF(RecoveredRaw!$B:$B,$A91,RecoveredRaw!BE:BE)</f>
        <v>1</v>
      </c>
      <c r="BC91">
        <f>SUMIF(RecoveredRaw!$B:$B,$A91,RecoveredRaw!BF:BF)</f>
        <v>1</v>
      </c>
      <c r="BD91">
        <f>SUMIF(RecoveredRaw!$B:$B,$A91,RecoveredRaw!BG:BG)</f>
        <v>1</v>
      </c>
      <c r="BE91">
        <f>SUMIF(RecoveredRaw!$B:$B,$A91,RecoveredRaw!BH:BH)</f>
        <v>1</v>
      </c>
      <c r="BF91">
        <f>SUMIF(RecoveredRaw!$B:$B,$A91,RecoveredRaw!BI:BI)</f>
        <v>1</v>
      </c>
      <c r="BG91">
        <f>SUMIF(RecoveredRaw!$B:$B,$A91,RecoveredRaw!BJ:BJ)</f>
        <v>0</v>
      </c>
      <c r="BH91">
        <f>SUMIF(RecoveredRaw!$B:$B,$A91,RecoveredRaw!BK:BK)</f>
        <v>0</v>
      </c>
      <c r="BI91">
        <f>SUMIF(RecoveredRaw!$B:$B,$A91,RecoveredRaw!BL:BL)</f>
        <v>0</v>
      </c>
      <c r="BJ91">
        <f>SUMIF(RecoveredRaw!$B:$B,$A91,RecoveredRaw!BM:BM)</f>
        <v>0</v>
      </c>
      <c r="BK91">
        <f>SUMIF(RecoveredRaw!$B:$B,$A91,RecoveredRaw!BN:BN)</f>
        <v>0</v>
      </c>
      <c r="BL91">
        <f>SUMIF(RecoveredRaw!$B:$B,$A91,RecoveredRaw!BO:BO)</f>
        <v>0</v>
      </c>
      <c r="BM91">
        <f>SUMIF(RecoveredRaw!$B:$B,$A91,RecoveredRaw!BP:BP)</f>
        <v>0</v>
      </c>
      <c r="BN91">
        <f>SUMIF(RecoveredRaw!$B:$B,$A91,RecoveredRaw!BQ:BQ)</f>
        <v>0</v>
      </c>
      <c r="BO91">
        <f>SUMIF(RecoveredRaw!$B:$B,$A91,RecoveredRaw!BR:BR)</f>
        <v>0</v>
      </c>
      <c r="BP91">
        <f>SUMIF(RecoveredRaw!$B:$B,$A91,RecoveredRaw!BS:BS)</f>
        <v>0</v>
      </c>
      <c r="BQ91">
        <f>SUMIF(RecoveredRaw!$B:$B,$A91,RecoveredRaw!BT:BT)</f>
        <v>0</v>
      </c>
      <c r="BR91">
        <f>SUMIF(RecoveredRaw!$B:$B,$A91,RecoveredRaw!BU:BU)</f>
        <v>0</v>
      </c>
      <c r="BS91">
        <f>SUMIF(RecoveredRaw!$B:$B,$A91,RecoveredRaw!BV:BV)</f>
        <v>0</v>
      </c>
      <c r="BT91">
        <f>SUMIF(RecoveredRaw!$B:$B,$A91,RecoveredRaw!BW:BW)</f>
        <v>0</v>
      </c>
    </row>
    <row r="92" spans="1:72" ht="15" thickBot="1" x14ac:dyDescent="0.35">
      <c r="A92" s="3" t="s">
        <v>106</v>
      </c>
      <c r="B92">
        <f>SUMIF(RecoveredRaw!$B:$B,$A92,RecoveredRaw!E:E)</f>
        <v>0</v>
      </c>
      <c r="C92">
        <f>SUMIF(RecoveredRaw!$B:$B,$A92,RecoveredRaw!F:F)</f>
        <v>0</v>
      </c>
      <c r="D92">
        <f>SUMIF(RecoveredRaw!$B:$B,$A92,RecoveredRaw!G:G)</f>
        <v>0</v>
      </c>
      <c r="E92">
        <f>SUMIF(RecoveredRaw!$B:$B,$A92,RecoveredRaw!H:H)</f>
        <v>0</v>
      </c>
      <c r="F92">
        <f>SUMIF(RecoveredRaw!$B:$B,$A92,RecoveredRaw!I:I)</f>
        <v>0</v>
      </c>
      <c r="G92">
        <f>SUMIF(RecoveredRaw!$B:$B,$A92,RecoveredRaw!J:J)</f>
        <v>0</v>
      </c>
      <c r="H92">
        <f>SUMIF(RecoveredRaw!$B:$B,$A92,RecoveredRaw!K:K)</f>
        <v>0</v>
      </c>
      <c r="I92">
        <f>SUMIF(RecoveredRaw!$B:$B,$A92,RecoveredRaw!L:L)</f>
        <v>0</v>
      </c>
      <c r="J92">
        <f>SUMIF(RecoveredRaw!$B:$B,$A92,RecoveredRaw!M:M)</f>
        <v>0</v>
      </c>
      <c r="K92">
        <f>SUMIF(RecoveredRaw!$B:$B,$A92,RecoveredRaw!N:N)</f>
        <v>0</v>
      </c>
      <c r="L92">
        <f>SUMIF(RecoveredRaw!$B:$B,$A92,RecoveredRaw!O:O)</f>
        <v>0</v>
      </c>
      <c r="M92">
        <f>SUMIF(RecoveredRaw!$B:$B,$A92,RecoveredRaw!P:P)</f>
        <v>0</v>
      </c>
      <c r="N92">
        <f>SUMIF(RecoveredRaw!$B:$B,$A92,RecoveredRaw!Q:Q)</f>
        <v>0</v>
      </c>
      <c r="O92">
        <f>SUMIF(RecoveredRaw!$B:$B,$A92,RecoveredRaw!R:R)</f>
        <v>0</v>
      </c>
      <c r="P92">
        <f>SUMIF(RecoveredRaw!$B:$B,$A92,RecoveredRaw!S:S)</f>
        <v>0</v>
      </c>
      <c r="Q92">
        <f>SUMIF(RecoveredRaw!$B:$B,$A92,RecoveredRaw!T:T)</f>
        <v>0</v>
      </c>
      <c r="R92">
        <f>SUMIF(RecoveredRaw!$B:$B,$A92,RecoveredRaw!U:U)</f>
        <v>0</v>
      </c>
      <c r="S92">
        <f>SUMIF(RecoveredRaw!$B:$B,$A92,RecoveredRaw!V:V)</f>
        <v>0</v>
      </c>
      <c r="T92">
        <f>SUMIF(RecoveredRaw!$B:$B,$A92,RecoveredRaw!W:W)</f>
        <v>0</v>
      </c>
      <c r="U92">
        <f>SUMIF(RecoveredRaw!$B:$B,$A92,RecoveredRaw!X:X)</f>
        <v>0</v>
      </c>
      <c r="V92">
        <f>SUMIF(RecoveredRaw!$B:$B,$A92,RecoveredRaw!Y:Y)</f>
        <v>0</v>
      </c>
      <c r="W92">
        <f>SUMIF(RecoveredRaw!$B:$B,$A92,RecoveredRaw!Z:Z)</f>
        <v>0</v>
      </c>
      <c r="X92">
        <f>SUMIF(RecoveredRaw!$B:$B,$A92,RecoveredRaw!AA:AA)</f>
        <v>0</v>
      </c>
      <c r="Y92">
        <f>SUMIF(RecoveredRaw!$B:$B,$A92,RecoveredRaw!AB:AB)</f>
        <v>0</v>
      </c>
      <c r="Z92">
        <f>SUMIF(RecoveredRaw!$B:$B,$A92,RecoveredRaw!AC:AC)</f>
        <v>0</v>
      </c>
      <c r="AA92">
        <f>SUMIF(RecoveredRaw!$B:$B,$A92,RecoveredRaw!AD:AD)</f>
        <v>0</v>
      </c>
      <c r="AB92">
        <f>SUMIF(RecoveredRaw!$B:$B,$A92,RecoveredRaw!AE:AE)</f>
        <v>0</v>
      </c>
      <c r="AC92">
        <f>SUMIF(RecoveredRaw!$B:$B,$A92,RecoveredRaw!AF:AF)</f>
        <v>0</v>
      </c>
      <c r="AD92">
        <f>SUMIF(RecoveredRaw!$B:$B,$A92,RecoveredRaw!AG:AG)</f>
        <v>0</v>
      </c>
      <c r="AE92">
        <f>SUMIF(RecoveredRaw!$B:$B,$A92,RecoveredRaw!AH:AH)</f>
        <v>0</v>
      </c>
      <c r="AF92">
        <f>SUMIF(RecoveredRaw!$B:$B,$A92,RecoveredRaw!AI:AI)</f>
        <v>0</v>
      </c>
      <c r="AG92">
        <f>SUMIF(RecoveredRaw!$B:$B,$A92,RecoveredRaw!AJ:AJ)</f>
        <v>0</v>
      </c>
      <c r="AH92">
        <f>SUMIF(RecoveredRaw!$B:$B,$A92,RecoveredRaw!AK:AK)</f>
        <v>0</v>
      </c>
      <c r="AI92">
        <f>SUMIF(RecoveredRaw!$B:$B,$A92,RecoveredRaw!AL:AL)</f>
        <v>0</v>
      </c>
      <c r="AJ92">
        <f>SUMIF(RecoveredRaw!$B:$B,$A92,RecoveredRaw!AM:AM)</f>
        <v>0</v>
      </c>
      <c r="AK92">
        <f>SUMIF(RecoveredRaw!$B:$B,$A92,RecoveredRaw!AN:AN)</f>
        <v>0</v>
      </c>
      <c r="AL92">
        <f>SUMIF(RecoveredRaw!$B:$B,$A92,RecoveredRaw!AO:AO)</f>
        <v>0</v>
      </c>
      <c r="AM92">
        <f>SUMIF(RecoveredRaw!$B:$B,$A92,RecoveredRaw!AP:AP)</f>
        <v>0</v>
      </c>
      <c r="AN92">
        <f>SUMIF(RecoveredRaw!$B:$B,$A92,RecoveredRaw!AQ:AQ)</f>
        <v>0</v>
      </c>
      <c r="AO92">
        <f>SUMIF(RecoveredRaw!$B:$B,$A92,RecoveredRaw!AR:AR)</f>
        <v>0</v>
      </c>
      <c r="AP92">
        <f>SUMIF(RecoveredRaw!$B:$B,$A92,RecoveredRaw!AS:AS)</f>
        <v>0</v>
      </c>
      <c r="AQ92">
        <f>SUMIF(RecoveredRaw!$B:$B,$A92,RecoveredRaw!AT:AT)</f>
        <v>0</v>
      </c>
      <c r="AR92">
        <f>SUMIF(RecoveredRaw!$B:$B,$A92,RecoveredRaw!AU:AU)</f>
        <v>0</v>
      </c>
      <c r="AS92">
        <f>SUMIF(RecoveredRaw!$B:$B,$A92,RecoveredRaw!AV:AV)</f>
        <v>0</v>
      </c>
      <c r="AT92">
        <f>SUMIF(RecoveredRaw!$B:$B,$A92,RecoveredRaw!AW:AW)</f>
        <v>0</v>
      </c>
      <c r="AU92">
        <f>SUMIF(RecoveredRaw!$B:$B,$A92,RecoveredRaw!AX:AX)</f>
        <v>0</v>
      </c>
      <c r="AV92">
        <f>SUMIF(RecoveredRaw!$B:$B,$A92,RecoveredRaw!AY:AY)</f>
        <v>0</v>
      </c>
      <c r="AW92">
        <f>SUMIF(RecoveredRaw!$B:$B,$A92,RecoveredRaw!AZ:AZ)</f>
        <v>0</v>
      </c>
      <c r="AX92">
        <f>SUMIF(RecoveredRaw!$B:$B,$A92,RecoveredRaw!BA:BA)</f>
        <v>0</v>
      </c>
      <c r="AY92">
        <f>SUMIF(RecoveredRaw!$B:$B,$A92,RecoveredRaw!BB:BB)</f>
        <v>0</v>
      </c>
      <c r="AZ92">
        <f>SUMIF(RecoveredRaw!$B:$B,$A92,RecoveredRaw!BC:BC)</f>
        <v>0</v>
      </c>
      <c r="BA92">
        <f>SUMIF(RecoveredRaw!$B:$B,$A92,RecoveredRaw!BD:BD)</f>
        <v>0</v>
      </c>
      <c r="BB92">
        <f>SUMIF(RecoveredRaw!$B:$B,$A92,RecoveredRaw!BE:BE)</f>
        <v>0</v>
      </c>
      <c r="BC92">
        <f>SUMIF(RecoveredRaw!$B:$B,$A92,RecoveredRaw!BF:BF)</f>
        <v>0</v>
      </c>
      <c r="BD92">
        <f>SUMIF(RecoveredRaw!$B:$B,$A92,RecoveredRaw!BG:BG)</f>
        <v>0</v>
      </c>
      <c r="BE92">
        <f>SUMIF(RecoveredRaw!$B:$B,$A92,RecoveredRaw!BH:BH)</f>
        <v>0</v>
      </c>
      <c r="BF92">
        <f>SUMIF(RecoveredRaw!$B:$B,$A92,RecoveredRaw!BI:BI)</f>
        <v>0</v>
      </c>
      <c r="BG92">
        <f>SUMIF(RecoveredRaw!$B:$B,$A92,RecoveredRaw!BJ:BJ)</f>
        <v>0</v>
      </c>
      <c r="BH92">
        <f>SUMIF(RecoveredRaw!$B:$B,$A92,RecoveredRaw!BK:BK)</f>
        <v>0</v>
      </c>
      <c r="BI92">
        <f>SUMIF(RecoveredRaw!$B:$B,$A92,RecoveredRaw!BL:BL)</f>
        <v>0</v>
      </c>
      <c r="BJ92">
        <f>SUMIF(RecoveredRaw!$B:$B,$A92,RecoveredRaw!BM:BM)</f>
        <v>0</v>
      </c>
      <c r="BK92">
        <f>SUMIF(RecoveredRaw!$B:$B,$A92,RecoveredRaw!BN:BN)</f>
        <v>0</v>
      </c>
      <c r="BL92">
        <f>SUMIF(RecoveredRaw!$B:$B,$A92,RecoveredRaw!BO:BO)</f>
        <v>0</v>
      </c>
      <c r="BM92">
        <f>SUMIF(RecoveredRaw!$B:$B,$A92,RecoveredRaw!BP:BP)</f>
        <v>0</v>
      </c>
      <c r="BN92">
        <f>SUMIF(RecoveredRaw!$B:$B,$A92,RecoveredRaw!BQ:BQ)</f>
        <v>0</v>
      </c>
      <c r="BO92">
        <f>SUMIF(RecoveredRaw!$B:$B,$A92,RecoveredRaw!BR:BR)</f>
        <v>0</v>
      </c>
      <c r="BP92">
        <f>SUMIF(RecoveredRaw!$B:$B,$A92,RecoveredRaw!BS:BS)</f>
        <v>0</v>
      </c>
      <c r="BQ92">
        <f>SUMIF(RecoveredRaw!$B:$B,$A92,RecoveredRaw!BT:BT)</f>
        <v>0</v>
      </c>
      <c r="BR92">
        <f>SUMIF(RecoveredRaw!$B:$B,$A92,RecoveredRaw!BU:BU)</f>
        <v>0</v>
      </c>
      <c r="BS92">
        <f>SUMIF(RecoveredRaw!$B:$B,$A92,RecoveredRaw!BV:BV)</f>
        <v>0</v>
      </c>
      <c r="BT92">
        <f>SUMIF(RecoveredRaw!$B:$B,$A92,RecoveredRaw!BW:BW)</f>
        <v>0</v>
      </c>
    </row>
    <row r="93" spans="1:72" ht="15" thickBot="1" x14ac:dyDescent="0.35">
      <c r="A93" s="4" t="s">
        <v>176</v>
      </c>
      <c r="B93">
        <f>SUMIF(RecoveredRaw!$B:$B,$A93,RecoveredRaw!E:E)</f>
        <v>0</v>
      </c>
      <c r="C93">
        <f>SUMIF(RecoveredRaw!$B:$B,$A93,RecoveredRaw!F:F)</f>
        <v>0</v>
      </c>
      <c r="D93">
        <f>SUMIF(RecoveredRaw!$B:$B,$A93,RecoveredRaw!G:G)</f>
        <v>0</v>
      </c>
      <c r="E93">
        <f>SUMIF(RecoveredRaw!$B:$B,$A93,RecoveredRaw!H:H)</f>
        <v>0</v>
      </c>
      <c r="F93">
        <f>SUMIF(RecoveredRaw!$B:$B,$A93,RecoveredRaw!I:I)</f>
        <v>0</v>
      </c>
      <c r="G93">
        <f>SUMIF(RecoveredRaw!$B:$B,$A93,RecoveredRaw!J:J)</f>
        <v>0</v>
      </c>
      <c r="H93">
        <f>SUMIF(RecoveredRaw!$B:$B,$A93,RecoveredRaw!K:K)</f>
        <v>0</v>
      </c>
      <c r="I93">
        <f>SUMIF(RecoveredRaw!$B:$B,$A93,RecoveredRaw!L:L)</f>
        <v>0</v>
      </c>
      <c r="J93">
        <f>SUMIF(RecoveredRaw!$B:$B,$A93,RecoveredRaw!M:M)</f>
        <v>0</v>
      </c>
      <c r="K93">
        <f>SUMIF(RecoveredRaw!$B:$B,$A93,RecoveredRaw!N:N)</f>
        <v>0</v>
      </c>
      <c r="L93">
        <f>SUMIF(RecoveredRaw!$B:$B,$A93,RecoveredRaw!O:O)</f>
        <v>0</v>
      </c>
      <c r="M93">
        <f>SUMIF(RecoveredRaw!$B:$B,$A93,RecoveredRaw!P:P)</f>
        <v>0</v>
      </c>
      <c r="N93">
        <f>SUMIF(RecoveredRaw!$B:$B,$A93,RecoveredRaw!Q:Q)</f>
        <v>0</v>
      </c>
      <c r="O93">
        <f>SUMIF(RecoveredRaw!$B:$B,$A93,RecoveredRaw!R:R)</f>
        <v>0</v>
      </c>
      <c r="P93">
        <f>SUMIF(RecoveredRaw!$B:$B,$A93,RecoveredRaw!S:S)</f>
        <v>0</v>
      </c>
      <c r="Q93">
        <f>SUMIF(RecoveredRaw!$B:$B,$A93,RecoveredRaw!T:T)</f>
        <v>0</v>
      </c>
      <c r="R93">
        <f>SUMIF(RecoveredRaw!$B:$B,$A93,RecoveredRaw!U:U)</f>
        <v>0</v>
      </c>
      <c r="S93">
        <f>SUMIF(RecoveredRaw!$B:$B,$A93,RecoveredRaw!V:V)</f>
        <v>0</v>
      </c>
      <c r="T93">
        <f>SUMIF(RecoveredRaw!$B:$B,$A93,RecoveredRaw!W:W)</f>
        <v>0</v>
      </c>
      <c r="U93">
        <f>SUMIF(RecoveredRaw!$B:$B,$A93,RecoveredRaw!X:X)</f>
        <v>0</v>
      </c>
      <c r="V93">
        <f>SUMIF(RecoveredRaw!$B:$B,$A93,RecoveredRaw!Y:Y)</f>
        <v>0</v>
      </c>
      <c r="W93">
        <f>SUMIF(RecoveredRaw!$B:$B,$A93,RecoveredRaw!Z:Z)</f>
        <v>0</v>
      </c>
      <c r="X93">
        <f>SUMIF(RecoveredRaw!$B:$B,$A93,RecoveredRaw!AA:AA)</f>
        <v>0</v>
      </c>
      <c r="Y93">
        <f>SUMIF(RecoveredRaw!$B:$B,$A93,RecoveredRaw!AB:AB)</f>
        <v>0</v>
      </c>
      <c r="Z93">
        <f>SUMIF(RecoveredRaw!$B:$B,$A93,RecoveredRaw!AC:AC)</f>
        <v>0</v>
      </c>
      <c r="AA93">
        <f>SUMIF(RecoveredRaw!$B:$B,$A93,RecoveredRaw!AD:AD)</f>
        <v>0</v>
      </c>
      <c r="AB93">
        <f>SUMIF(RecoveredRaw!$B:$B,$A93,RecoveredRaw!AE:AE)</f>
        <v>0</v>
      </c>
      <c r="AC93">
        <f>SUMIF(RecoveredRaw!$B:$B,$A93,RecoveredRaw!AF:AF)</f>
        <v>0</v>
      </c>
      <c r="AD93">
        <f>SUMIF(RecoveredRaw!$B:$B,$A93,RecoveredRaw!AG:AG)</f>
        <v>0</v>
      </c>
      <c r="AE93">
        <f>SUMIF(RecoveredRaw!$B:$B,$A93,RecoveredRaw!AH:AH)</f>
        <v>0</v>
      </c>
      <c r="AF93">
        <f>SUMIF(RecoveredRaw!$B:$B,$A93,RecoveredRaw!AI:AI)</f>
        <v>0</v>
      </c>
      <c r="AG93">
        <f>SUMIF(RecoveredRaw!$B:$B,$A93,RecoveredRaw!AJ:AJ)</f>
        <v>0</v>
      </c>
      <c r="AH93">
        <f>SUMIF(RecoveredRaw!$B:$B,$A93,RecoveredRaw!AK:AK)</f>
        <v>0</v>
      </c>
      <c r="AI93">
        <f>SUMIF(RecoveredRaw!$B:$B,$A93,RecoveredRaw!AL:AL)</f>
        <v>0</v>
      </c>
      <c r="AJ93">
        <f>SUMIF(RecoveredRaw!$B:$B,$A93,RecoveredRaw!AM:AM)</f>
        <v>0</v>
      </c>
      <c r="AK93">
        <f>SUMIF(RecoveredRaw!$B:$B,$A93,RecoveredRaw!AN:AN)</f>
        <v>0</v>
      </c>
      <c r="AL93">
        <f>SUMIF(RecoveredRaw!$B:$B,$A93,RecoveredRaw!AO:AO)</f>
        <v>0</v>
      </c>
      <c r="AM93">
        <f>SUMIF(RecoveredRaw!$B:$B,$A93,RecoveredRaw!AP:AP)</f>
        <v>0</v>
      </c>
      <c r="AN93">
        <f>SUMIF(RecoveredRaw!$B:$B,$A93,RecoveredRaw!AQ:AQ)</f>
        <v>0</v>
      </c>
      <c r="AO93">
        <f>SUMIF(RecoveredRaw!$B:$B,$A93,RecoveredRaw!AR:AR)</f>
        <v>0</v>
      </c>
      <c r="AP93">
        <f>SUMIF(RecoveredRaw!$B:$B,$A93,RecoveredRaw!AS:AS)</f>
        <v>0</v>
      </c>
      <c r="AQ93">
        <f>SUMIF(RecoveredRaw!$B:$B,$A93,RecoveredRaw!AT:AT)</f>
        <v>0</v>
      </c>
      <c r="AR93">
        <f>SUMIF(RecoveredRaw!$B:$B,$A93,RecoveredRaw!AU:AU)</f>
        <v>0</v>
      </c>
      <c r="AS93">
        <f>SUMIF(RecoveredRaw!$B:$B,$A93,RecoveredRaw!AV:AV)</f>
        <v>0</v>
      </c>
      <c r="AT93">
        <f>SUMIF(RecoveredRaw!$B:$B,$A93,RecoveredRaw!AW:AW)</f>
        <v>0</v>
      </c>
      <c r="AU93">
        <f>SUMIF(RecoveredRaw!$B:$B,$A93,RecoveredRaw!AX:AX)</f>
        <v>0</v>
      </c>
      <c r="AV93">
        <f>SUMIF(RecoveredRaw!$B:$B,$A93,RecoveredRaw!AY:AY)</f>
        <v>0</v>
      </c>
      <c r="AW93">
        <f>SUMIF(RecoveredRaw!$B:$B,$A93,RecoveredRaw!AZ:AZ)</f>
        <v>0</v>
      </c>
      <c r="AX93">
        <f>SUMIF(RecoveredRaw!$B:$B,$A93,RecoveredRaw!BA:BA)</f>
        <v>0</v>
      </c>
      <c r="AY93">
        <f>SUMIF(RecoveredRaw!$B:$B,$A93,RecoveredRaw!BB:BB)</f>
        <v>0</v>
      </c>
      <c r="AZ93">
        <f>SUMIF(RecoveredRaw!$B:$B,$A93,RecoveredRaw!BC:BC)</f>
        <v>0</v>
      </c>
      <c r="BA93">
        <f>SUMIF(RecoveredRaw!$B:$B,$A93,RecoveredRaw!BD:BD)</f>
        <v>0</v>
      </c>
      <c r="BB93">
        <f>SUMIF(RecoveredRaw!$B:$B,$A93,RecoveredRaw!BE:BE)</f>
        <v>0</v>
      </c>
      <c r="BC93">
        <f>SUMIF(RecoveredRaw!$B:$B,$A93,RecoveredRaw!BF:BF)</f>
        <v>0</v>
      </c>
      <c r="BD93">
        <f>SUMIF(RecoveredRaw!$B:$B,$A93,RecoveredRaw!BG:BG)</f>
        <v>0</v>
      </c>
      <c r="BE93">
        <f>SUMIF(RecoveredRaw!$B:$B,$A93,RecoveredRaw!BH:BH)</f>
        <v>0</v>
      </c>
      <c r="BF93">
        <f>SUMIF(RecoveredRaw!$B:$B,$A93,RecoveredRaw!BI:BI)</f>
        <v>0</v>
      </c>
      <c r="BG93">
        <f>SUMIF(RecoveredRaw!$B:$B,$A93,RecoveredRaw!BJ:BJ)</f>
        <v>0</v>
      </c>
      <c r="BH93">
        <f>SUMIF(RecoveredRaw!$B:$B,$A93,RecoveredRaw!BK:BK)</f>
        <v>0</v>
      </c>
      <c r="BI93">
        <f>SUMIF(RecoveredRaw!$B:$B,$A93,RecoveredRaw!BL:BL)</f>
        <v>0</v>
      </c>
      <c r="BJ93">
        <f>SUMIF(RecoveredRaw!$B:$B,$A93,RecoveredRaw!BM:BM)</f>
        <v>0</v>
      </c>
      <c r="BK93">
        <f>SUMIF(RecoveredRaw!$B:$B,$A93,RecoveredRaw!BN:BN)</f>
        <v>0</v>
      </c>
      <c r="BL93">
        <f>SUMIF(RecoveredRaw!$B:$B,$A93,RecoveredRaw!BO:BO)</f>
        <v>0</v>
      </c>
      <c r="BM93">
        <f>SUMIF(RecoveredRaw!$B:$B,$A93,RecoveredRaw!BP:BP)</f>
        <v>0</v>
      </c>
      <c r="BN93">
        <f>SUMIF(RecoveredRaw!$B:$B,$A93,RecoveredRaw!BQ:BQ)</f>
        <v>0</v>
      </c>
      <c r="BO93">
        <f>SUMIF(RecoveredRaw!$B:$B,$A93,RecoveredRaw!BR:BR)</f>
        <v>0</v>
      </c>
      <c r="BP93">
        <f>SUMIF(RecoveredRaw!$B:$B,$A93,RecoveredRaw!BS:BS)</f>
        <v>0</v>
      </c>
      <c r="BQ93">
        <f>SUMIF(RecoveredRaw!$B:$B,$A93,RecoveredRaw!BT:BT)</f>
        <v>0</v>
      </c>
      <c r="BR93">
        <f>SUMIF(RecoveredRaw!$B:$B,$A93,RecoveredRaw!BU:BU)</f>
        <v>0</v>
      </c>
      <c r="BS93">
        <f>SUMIF(RecoveredRaw!$B:$B,$A93,RecoveredRaw!BV:BV)</f>
        <v>0</v>
      </c>
      <c r="BT93">
        <f>SUMIF(RecoveredRaw!$B:$B,$A93,RecoveredRaw!BW:BW)</f>
        <v>0</v>
      </c>
    </row>
    <row r="94" spans="1:72" ht="15" thickBot="1" x14ac:dyDescent="0.35">
      <c r="A94" s="3" t="s">
        <v>95</v>
      </c>
      <c r="B94">
        <f>SUMIF(RecoveredRaw!$B:$B,$A94,RecoveredRaw!E:E)</f>
        <v>0</v>
      </c>
      <c r="C94">
        <f>SUMIF(RecoveredRaw!$B:$B,$A94,RecoveredRaw!F:F)</f>
        <v>0</v>
      </c>
      <c r="D94">
        <f>SUMIF(RecoveredRaw!$B:$B,$A94,RecoveredRaw!G:G)</f>
        <v>0</v>
      </c>
      <c r="E94">
        <f>SUMIF(RecoveredRaw!$B:$B,$A94,RecoveredRaw!H:H)</f>
        <v>0</v>
      </c>
      <c r="F94">
        <f>SUMIF(RecoveredRaw!$B:$B,$A94,RecoveredRaw!I:I)</f>
        <v>0</v>
      </c>
      <c r="G94">
        <f>SUMIF(RecoveredRaw!$B:$B,$A94,RecoveredRaw!J:J)</f>
        <v>0</v>
      </c>
      <c r="H94">
        <f>SUMIF(RecoveredRaw!$B:$B,$A94,RecoveredRaw!K:K)</f>
        <v>0</v>
      </c>
      <c r="I94">
        <f>SUMIF(RecoveredRaw!$B:$B,$A94,RecoveredRaw!L:L)</f>
        <v>0</v>
      </c>
      <c r="J94">
        <f>SUMIF(RecoveredRaw!$B:$B,$A94,RecoveredRaw!M:M)</f>
        <v>0</v>
      </c>
      <c r="K94">
        <f>SUMIF(RecoveredRaw!$B:$B,$A94,RecoveredRaw!N:N)</f>
        <v>0</v>
      </c>
      <c r="L94">
        <f>SUMIF(RecoveredRaw!$B:$B,$A94,RecoveredRaw!O:O)</f>
        <v>0</v>
      </c>
      <c r="M94">
        <f>SUMIF(RecoveredRaw!$B:$B,$A94,RecoveredRaw!P:P)</f>
        <v>0</v>
      </c>
      <c r="N94">
        <f>SUMIF(RecoveredRaw!$B:$B,$A94,RecoveredRaw!Q:Q)</f>
        <v>0</v>
      </c>
      <c r="O94">
        <f>SUMIF(RecoveredRaw!$B:$B,$A94,RecoveredRaw!R:R)</f>
        <v>0</v>
      </c>
      <c r="P94">
        <f>SUMIF(RecoveredRaw!$B:$B,$A94,RecoveredRaw!S:S)</f>
        <v>0</v>
      </c>
      <c r="Q94">
        <f>SUMIF(RecoveredRaw!$B:$B,$A94,RecoveredRaw!T:T)</f>
        <v>0</v>
      </c>
      <c r="R94">
        <f>SUMIF(RecoveredRaw!$B:$B,$A94,RecoveredRaw!U:U)</f>
        <v>0</v>
      </c>
      <c r="S94">
        <f>SUMIF(RecoveredRaw!$B:$B,$A94,RecoveredRaw!V:V)</f>
        <v>0</v>
      </c>
      <c r="T94">
        <f>SUMIF(RecoveredRaw!$B:$B,$A94,RecoveredRaw!W:W)</f>
        <v>0</v>
      </c>
      <c r="U94">
        <f>SUMIF(RecoveredRaw!$B:$B,$A94,RecoveredRaw!X:X)</f>
        <v>0</v>
      </c>
      <c r="V94">
        <f>SUMIF(RecoveredRaw!$B:$B,$A94,RecoveredRaw!Y:Y)</f>
        <v>0</v>
      </c>
      <c r="W94">
        <f>SUMIF(RecoveredRaw!$B:$B,$A94,RecoveredRaw!Z:Z)</f>
        <v>0</v>
      </c>
      <c r="X94">
        <f>SUMIF(RecoveredRaw!$B:$B,$A94,RecoveredRaw!AA:AA)</f>
        <v>0</v>
      </c>
      <c r="Y94">
        <f>SUMIF(RecoveredRaw!$B:$B,$A94,RecoveredRaw!AB:AB)</f>
        <v>0</v>
      </c>
      <c r="Z94">
        <f>SUMIF(RecoveredRaw!$B:$B,$A94,RecoveredRaw!AC:AC)</f>
        <v>0</v>
      </c>
      <c r="AA94">
        <f>SUMIF(RecoveredRaw!$B:$B,$A94,RecoveredRaw!AD:AD)</f>
        <v>0</v>
      </c>
      <c r="AB94">
        <f>SUMIF(RecoveredRaw!$B:$B,$A94,RecoveredRaw!AE:AE)</f>
        <v>0</v>
      </c>
      <c r="AC94">
        <f>SUMIF(RecoveredRaw!$B:$B,$A94,RecoveredRaw!AF:AF)</f>
        <v>0</v>
      </c>
      <c r="AD94">
        <f>SUMIF(RecoveredRaw!$B:$B,$A94,RecoveredRaw!AG:AG)</f>
        <v>0</v>
      </c>
      <c r="AE94">
        <f>SUMIF(RecoveredRaw!$B:$B,$A94,RecoveredRaw!AH:AH)</f>
        <v>0</v>
      </c>
      <c r="AF94">
        <f>SUMIF(RecoveredRaw!$B:$B,$A94,RecoveredRaw!AI:AI)</f>
        <v>0</v>
      </c>
      <c r="AG94">
        <f>SUMIF(RecoveredRaw!$B:$B,$A94,RecoveredRaw!AJ:AJ)</f>
        <v>0</v>
      </c>
      <c r="AH94">
        <f>SUMIF(RecoveredRaw!$B:$B,$A94,RecoveredRaw!AK:AK)</f>
        <v>0</v>
      </c>
      <c r="AI94">
        <f>SUMIF(RecoveredRaw!$B:$B,$A94,RecoveredRaw!AL:AL)</f>
        <v>0</v>
      </c>
      <c r="AJ94">
        <f>SUMIF(RecoveredRaw!$B:$B,$A94,RecoveredRaw!AM:AM)</f>
        <v>0</v>
      </c>
      <c r="AK94">
        <f>SUMIF(RecoveredRaw!$B:$B,$A94,RecoveredRaw!AN:AN)</f>
        <v>0</v>
      </c>
      <c r="AL94">
        <f>SUMIF(RecoveredRaw!$B:$B,$A94,RecoveredRaw!AO:AO)</f>
        <v>0</v>
      </c>
      <c r="AM94">
        <f>SUMIF(RecoveredRaw!$B:$B,$A94,RecoveredRaw!AP:AP)</f>
        <v>0</v>
      </c>
      <c r="AN94">
        <f>SUMIF(RecoveredRaw!$B:$B,$A94,RecoveredRaw!AQ:AQ)</f>
        <v>0</v>
      </c>
      <c r="AO94">
        <f>SUMIF(RecoveredRaw!$B:$B,$A94,RecoveredRaw!AR:AR)</f>
        <v>0</v>
      </c>
      <c r="AP94">
        <f>SUMIF(RecoveredRaw!$B:$B,$A94,RecoveredRaw!AS:AS)</f>
        <v>0</v>
      </c>
      <c r="AQ94">
        <f>SUMIF(RecoveredRaw!$B:$B,$A94,RecoveredRaw!AT:AT)</f>
        <v>0</v>
      </c>
      <c r="AR94">
        <f>SUMIF(RecoveredRaw!$B:$B,$A94,RecoveredRaw!AU:AU)</f>
        <v>0</v>
      </c>
      <c r="AS94">
        <f>SUMIF(RecoveredRaw!$B:$B,$A94,RecoveredRaw!AV:AV)</f>
        <v>0</v>
      </c>
      <c r="AT94">
        <f>SUMIF(RecoveredRaw!$B:$B,$A94,RecoveredRaw!AW:AW)</f>
        <v>0</v>
      </c>
      <c r="AU94">
        <f>SUMIF(RecoveredRaw!$B:$B,$A94,RecoveredRaw!AX:AX)</f>
        <v>0</v>
      </c>
      <c r="AV94">
        <f>SUMIF(RecoveredRaw!$B:$B,$A94,RecoveredRaw!AY:AY)</f>
        <v>0</v>
      </c>
      <c r="AW94">
        <f>SUMIF(RecoveredRaw!$B:$B,$A94,RecoveredRaw!AZ:AZ)</f>
        <v>0</v>
      </c>
      <c r="AX94">
        <f>SUMIF(RecoveredRaw!$B:$B,$A94,RecoveredRaw!BA:BA)</f>
        <v>0</v>
      </c>
      <c r="AY94">
        <f>SUMIF(RecoveredRaw!$B:$B,$A94,RecoveredRaw!BB:BB)</f>
        <v>0</v>
      </c>
      <c r="AZ94">
        <f>SUMIF(RecoveredRaw!$B:$B,$A94,RecoveredRaw!BC:BC)</f>
        <v>0</v>
      </c>
      <c r="BA94">
        <f>SUMIF(RecoveredRaw!$B:$B,$A94,RecoveredRaw!BD:BD)</f>
        <v>0</v>
      </c>
      <c r="BB94">
        <f>SUMIF(RecoveredRaw!$B:$B,$A94,RecoveredRaw!BE:BE)</f>
        <v>0</v>
      </c>
      <c r="BC94">
        <f>SUMIF(RecoveredRaw!$B:$B,$A94,RecoveredRaw!BF:BF)</f>
        <v>0</v>
      </c>
      <c r="BD94">
        <f>SUMIF(RecoveredRaw!$B:$B,$A94,RecoveredRaw!BG:BG)</f>
        <v>0</v>
      </c>
      <c r="BE94">
        <f>SUMIF(RecoveredRaw!$B:$B,$A94,RecoveredRaw!BH:BH)</f>
        <v>0</v>
      </c>
      <c r="BF94">
        <f>SUMIF(RecoveredRaw!$B:$B,$A94,RecoveredRaw!BI:BI)</f>
        <v>0</v>
      </c>
      <c r="BG94">
        <f>SUMIF(RecoveredRaw!$B:$B,$A94,RecoveredRaw!BJ:BJ)</f>
        <v>0</v>
      </c>
      <c r="BH94">
        <f>SUMIF(RecoveredRaw!$B:$B,$A94,RecoveredRaw!BK:BK)</f>
        <v>0</v>
      </c>
      <c r="BI94">
        <f>SUMIF(RecoveredRaw!$B:$B,$A94,RecoveredRaw!BL:BL)</f>
        <v>0</v>
      </c>
      <c r="BJ94">
        <f>SUMIF(RecoveredRaw!$B:$B,$A94,RecoveredRaw!BM:BM)</f>
        <v>0</v>
      </c>
      <c r="BK94">
        <f>SUMIF(RecoveredRaw!$B:$B,$A94,RecoveredRaw!BN:BN)</f>
        <v>0</v>
      </c>
      <c r="BL94">
        <f>SUMIF(RecoveredRaw!$B:$B,$A94,RecoveredRaw!BO:BO)</f>
        <v>0</v>
      </c>
      <c r="BM94">
        <f>SUMIF(RecoveredRaw!$B:$B,$A94,RecoveredRaw!BP:BP)</f>
        <v>0</v>
      </c>
      <c r="BN94">
        <f>SUMIF(RecoveredRaw!$B:$B,$A94,RecoveredRaw!BQ:BQ)</f>
        <v>0</v>
      </c>
      <c r="BO94">
        <f>SUMIF(RecoveredRaw!$B:$B,$A94,RecoveredRaw!BR:BR)</f>
        <v>0</v>
      </c>
      <c r="BP94">
        <f>SUMIF(RecoveredRaw!$B:$B,$A94,RecoveredRaw!BS:BS)</f>
        <v>0</v>
      </c>
      <c r="BQ94">
        <f>SUMIF(RecoveredRaw!$B:$B,$A94,RecoveredRaw!BT:BT)</f>
        <v>0</v>
      </c>
      <c r="BR94">
        <f>SUMIF(RecoveredRaw!$B:$B,$A94,RecoveredRaw!BU:BU)</f>
        <v>0</v>
      </c>
      <c r="BS94">
        <f>SUMIF(RecoveredRaw!$B:$B,$A94,RecoveredRaw!BV:BV)</f>
        <v>0</v>
      </c>
      <c r="BT94">
        <f>SUMIF(RecoveredRaw!$B:$B,$A94,RecoveredRaw!BW:BW)</f>
        <v>0</v>
      </c>
    </row>
    <row r="95" spans="1:72" ht="15" thickBot="1" x14ac:dyDescent="0.35">
      <c r="A95" s="4" t="s">
        <v>354</v>
      </c>
      <c r="B95">
        <f>SUMIF(RecoveredRaw!$B:$B,$A95,RecoveredRaw!E:E)</f>
        <v>0</v>
      </c>
      <c r="C95">
        <f>SUMIF(RecoveredRaw!$B:$B,$A95,RecoveredRaw!F:F)</f>
        <v>0</v>
      </c>
      <c r="D95">
        <f>SUMIF(RecoveredRaw!$B:$B,$A95,RecoveredRaw!G:G)</f>
        <v>0</v>
      </c>
      <c r="E95">
        <f>SUMIF(RecoveredRaw!$B:$B,$A95,RecoveredRaw!H:H)</f>
        <v>0</v>
      </c>
      <c r="F95">
        <f>SUMIF(RecoveredRaw!$B:$B,$A95,RecoveredRaw!I:I)</f>
        <v>0</v>
      </c>
      <c r="G95">
        <f>SUMIF(RecoveredRaw!$B:$B,$A95,RecoveredRaw!J:J)</f>
        <v>0</v>
      </c>
      <c r="H95">
        <f>SUMIF(RecoveredRaw!$B:$B,$A95,RecoveredRaw!K:K)</f>
        <v>0</v>
      </c>
      <c r="I95">
        <f>SUMIF(RecoveredRaw!$B:$B,$A95,RecoveredRaw!L:L)</f>
        <v>0</v>
      </c>
      <c r="J95">
        <f>SUMIF(RecoveredRaw!$B:$B,$A95,RecoveredRaw!M:M)</f>
        <v>0</v>
      </c>
      <c r="K95">
        <f>SUMIF(RecoveredRaw!$B:$B,$A95,RecoveredRaw!N:N)</f>
        <v>0</v>
      </c>
      <c r="L95">
        <f>SUMIF(RecoveredRaw!$B:$B,$A95,RecoveredRaw!O:O)</f>
        <v>0</v>
      </c>
      <c r="M95">
        <f>SUMIF(RecoveredRaw!$B:$B,$A95,RecoveredRaw!P:P)</f>
        <v>0</v>
      </c>
      <c r="N95">
        <f>SUMIF(RecoveredRaw!$B:$B,$A95,RecoveredRaw!Q:Q)</f>
        <v>0</v>
      </c>
      <c r="O95">
        <f>SUMIF(RecoveredRaw!$B:$B,$A95,RecoveredRaw!R:R)</f>
        <v>0</v>
      </c>
      <c r="P95">
        <f>SUMIF(RecoveredRaw!$B:$B,$A95,RecoveredRaw!S:S)</f>
        <v>0</v>
      </c>
      <c r="Q95">
        <f>SUMIF(RecoveredRaw!$B:$B,$A95,RecoveredRaw!T:T)</f>
        <v>0</v>
      </c>
      <c r="R95">
        <f>SUMIF(RecoveredRaw!$B:$B,$A95,RecoveredRaw!U:U)</f>
        <v>0</v>
      </c>
      <c r="S95">
        <f>SUMIF(RecoveredRaw!$B:$B,$A95,RecoveredRaw!V:V)</f>
        <v>0</v>
      </c>
      <c r="T95">
        <f>SUMIF(RecoveredRaw!$B:$B,$A95,RecoveredRaw!W:W)</f>
        <v>0</v>
      </c>
      <c r="U95">
        <f>SUMIF(RecoveredRaw!$B:$B,$A95,RecoveredRaw!X:X)</f>
        <v>0</v>
      </c>
      <c r="V95">
        <f>SUMIF(RecoveredRaw!$B:$B,$A95,RecoveredRaw!Y:Y)</f>
        <v>0</v>
      </c>
      <c r="W95">
        <f>SUMIF(RecoveredRaw!$B:$B,$A95,RecoveredRaw!Z:Z)</f>
        <v>0</v>
      </c>
      <c r="X95">
        <f>SUMIF(RecoveredRaw!$B:$B,$A95,RecoveredRaw!AA:AA)</f>
        <v>0</v>
      </c>
      <c r="Y95">
        <f>SUMIF(RecoveredRaw!$B:$B,$A95,RecoveredRaw!AB:AB)</f>
        <v>0</v>
      </c>
      <c r="Z95">
        <f>SUMIF(RecoveredRaw!$B:$B,$A95,RecoveredRaw!AC:AC)</f>
        <v>0</v>
      </c>
      <c r="AA95">
        <f>SUMIF(RecoveredRaw!$B:$B,$A95,RecoveredRaw!AD:AD)</f>
        <v>0</v>
      </c>
      <c r="AB95">
        <f>SUMIF(RecoveredRaw!$B:$B,$A95,RecoveredRaw!AE:AE)</f>
        <v>0</v>
      </c>
      <c r="AC95">
        <f>SUMIF(RecoveredRaw!$B:$B,$A95,RecoveredRaw!AF:AF)</f>
        <v>0</v>
      </c>
      <c r="AD95">
        <f>SUMIF(RecoveredRaw!$B:$B,$A95,RecoveredRaw!AG:AG)</f>
        <v>0</v>
      </c>
      <c r="AE95">
        <f>SUMIF(RecoveredRaw!$B:$B,$A95,RecoveredRaw!AH:AH)</f>
        <v>0</v>
      </c>
      <c r="AF95">
        <f>SUMIF(RecoveredRaw!$B:$B,$A95,RecoveredRaw!AI:AI)</f>
        <v>0</v>
      </c>
      <c r="AG95">
        <f>SUMIF(RecoveredRaw!$B:$B,$A95,RecoveredRaw!AJ:AJ)</f>
        <v>0</v>
      </c>
      <c r="AH95">
        <f>SUMIF(RecoveredRaw!$B:$B,$A95,RecoveredRaw!AK:AK)</f>
        <v>0</v>
      </c>
      <c r="AI95">
        <f>SUMIF(RecoveredRaw!$B:$B,$A95,RecoveredRaw!AL:AL)</f>
        <v>0</v>
      </c>
      <c r="AJ95">
        <f>SUMIF(RecoveredRaw!$B:$B,$A95,RecoveredRaw!AM:AM)</f>
        <v>0</v>
      </c>
      <c r="AK95">
        <f>SUMIF(RecoveredRaw!$B:$B,$A95,RecoveredRaw!AN:AN)</f>
        <v>0</v>
      </c>
      <c r="AL95">
        <f>SUMIF(RecoveredRaw!$B:$B,$A95,RecoveredRaw!AO:AO)</f>
        <v>0</v>
      </c>
      <c r="AM95">
        <f>SUMIF(RecoveredRaw!$B:$B,$A95,RecoveredRaw!AP:AP)</f>
        <v>0</v>
      </c>
      <c r="AN95">
        <f>SUMIF(RecoveredRaw!$B:$B,$A95,RecoveredRaw!AQ:AQ)</f>
        <v>0</v>
      </c>
      <c r="AO95">
        <f>SUMIF(RecoveredRaw!$B:$B,$A95,RecoveredRaw!AR:AR)</f>
        <v>0</v>
      </c>
      <c r="AP95">
        <f>SUMIF(RecoveredRaw!$B:$B,$A95,RecoveredRaw!AS:AS)</f>
        <v>0</v>
      </c>
      <c r="AQ95">
        <f>SUMIF(RecoveredRaw!$B:$B,$A95,RecoveredRaw!AT:AT)</f>
        <v>0</v>
      </c>
      <c r="AR95">
        <f>SUMIF(RecoveredRaw!$B:$B,$A95,RecoveredRaw!AU:AU)</f>
        <v>0</v>
      </c>
      <c r="AS95">
        <f>SUMIF(RecoveredRaw!$B:$B,$A95,RecoveredRaw!AV:AV)</f>
        <v>0</v>
      </c>
      <c r="AT95">
        <f>SUMIF(RecoveredRaw!$B:$B,$A95,RecoveredRaw!AW:AW)</f>
        <v>0</v>
      </c>
      <c r="AU95">
        <f>SUMIF(RecoveredRaw!$B:$B,$A95,RecoveredRaw!AX:AX)</f>
        <v>0</v>
      </c>
      <c r="AV95">
        <f>SUMIF(RecoveredRaw!$B:$B,$A95,RecoveredRaw!AY:AY)</f>
        <v>0</v>
      </c>
      <c r="AW95">
        <f>SUMIF(RecoveredRaw!$B:$B,$A95,RecoveredRaw!AZ:AZ)</f>
        <v>0</v>
      </c>
      <c r="AX95">
        <f>SUMIF(RecoveredRaw!$B:$B,$A95,RecoveredRaw!BA:BA)</f>
        <v>0</v>
      </c>
      <c r="AY95">
        <f>SUMIF(RecoveredRaw!$B:$B,$A95,RecoveredRaw!BB:BB)</f>
        <v>0</v>
      </c>
      <c r="AZ95">
        <f>SUMIF(RecoveredRaw!$B:$B,$A95,RecoveredRaw!BC:BC)</f>
        <v>0</v>
      </c>
      <c r="BA95">
        <f>SUMIF(RecoveredRaw!$B:$B,$A95,RecoveredRaw!BD:BD)</f>
        <v>0</v>
      </c>
      <c r="BB95">
        <f>SUMIF(RecoveredRaw!$B:$B,$A95,RecoveredRaw!BE:BE)</f>
        <v>0</v>
      </c>
      <c r="BC95">
        <f>SUMIF(RecoveredRaw!$B:$B,$A95,RecoveredRaw!BF:BF)</f>
        <v>0</v>
      </c>
      <c r="BD95">
        <f>SUMIF(RecoveredRaw!$B:$B,$A95,RecoveredRaw!BG:BG)</f>
        <v>0</v>
      </c>
      <c r="BE95">
        <f>SUMIF(RecoveredRaw!$B:$B,$A95,RecoveredRaw!BH:BH)</f>
        <v>0</v>
      </c>
      <c r="BF95">
        <f>SUMIF(RecoveredRaw!$B:$B,$A95,RecoveredRaw!BI:BI)</f>
        <v>0</v>
      </c>
      <c r="BG95">
        <f>SUMIF(RecoveredRaw!$B:$B,$A95,RecoveredRaw!BJ:BJ)</f>
        <v>0</v>
      </c>
      <c r="BH95">
        <f>SUMIF(RecoveredRaw!$B:$B,$A95,RecoveredRaw!BK:BK)</f>
        <v>0</v>
      </c>
      <c r="BI95">
        <f>SUMIF(RecoveredRaw!$B:$B,$A95,RecoveredRaw!BL:BL)</f>
        <v>0</v>
      </c>
      <c r="BJ95">
        <f>SUMIF(RecoveredRaw!$B:$B,$A95,RecoveredRaw!BM:BM)</f>
        <v>0</v>
      </c>
      <c r="BK95">
        <f>SUMIF(RecoveredRaw!$B:$B,$A95,RecoveredRaw!BN:BN)</f>
        <v>0</v>
      </c>
      <c r="BL95">
        <f>SUMIF(RecoveredRaw!$B:$B,$A95,RecoveredRaw!BO:BO)</f>
        <v>0</v>
      </c>
      <c r="BM95">
        <f>SUMIF(RecoveredRaw!$B:$B,$A95,RecoveredRaw!BP:BP)</f>
        <v>0</v>
      </c>
      <c r="BN95">
        <f>SUMIF(RecoveredRaw!$B:$B,$A95,RecoveredRaw!BQ:BQ)</f>
        <v>0</v>
      </c>
      <c r="BO95">
        <f>SUMIF(RecoveredRaw!$B:$B,$A95,RecoveredRaw!BR:BR)</f>
        <v>0</v>
      </c>
      <c r="BP95">
        <f>SUMIF(RecoveredRaw!$B:$B,$A95,RecoveredRaw!BS:BS)</f>
        <v>0</v>
      </c>
      <c r="BQ95">
        <f>SUMIF(RecoveredRaw!$B:$B,$A95,RecoveredRaw!BT:BT)</f>
        <v>0</v>
      </c>
      <c r="BR95">
        <f>SUMIF(RecoveredRaw!$B:$B,$A95,RecoveredRaw!BU:BU)</f>
        <v>0</v>
      </c>
      <c r="BS95">
        <f>SUMIF(RecoveredRaw!$B:$B,$A95,RecoveredRaw!BV:BV)</f>
        <v>0</v>
      </c>
      <c r="BT95">
        <f>SUMIF(RecoveredRaw!$B:$B,$A95,RecoveredRaw!BW:BW)</f>
        <v>0</v>
      </c>
    </row>
    <row r="96" spans="1:72" ht="15" thickBot="1" x14ac:dyDescent="0.35">
      <c r="A96" s="3" t="s">
        <v>355</v>
      </c>
      <c r="B96">
        <f>SUMIF(RecoveredRaw!$B:$B,$A96,RecoveredRaw!E:E)</f>
        <v>0</v>
      </c>
      <c r="C96">
        <f>SUMIF(RecoveredRaw!$B:$B,$A96,RecoveredRaw!F:F)</f>
        <v>0</v>
      </c>
      <c r="D96">
        <f>SUMIF(RecoveredRaw!$B:$B,$A96,RecoveredRaw!G:G)</f>
        <v>0</v>
      </c>
      <c r="E96">
        <f>SUMIF(RecoveredRaw!$B:$B,$A96,RecoveredRaw!H:H)</f>
        <v>0</v>
      </c>
      <c r="F96">
        <f>SUMIF(RecoveredRaw!$B:$B,$A96,RecoveredRaw!I:I)</f>
        <v>0</v>
      </c>
      <c r="G96">
        <f>SUMIF(RecoveredRaw!$B:$B,$A96,RecoveredRaw!J:J)</f>
        <v>0</v>
      </c>
      <c r="H96">
        <f>SUMIF(RecoveredRaw!$B:$B,$A96,RecoveredRaw!K:K)</f>
        <v>0</v>
      </c>
      <c r="I96">
        <f>SUMIF(RecoveredRaw!$B:$B,$A96,RecoveredRaw!L:L)</f>
        <v>0</v>
      </c>
      <c r="J96">
        <f>SUMIF(RecoveredRaw!$B:$B,$A96,RecoveredRaw!M:M)</f>
        <v>0</v>
      </c>
      <c r="K96">
        <f>SUMIF(RecoveredRaw!$B:$B,$A96,RecoveredRaw!N:N)</f>
        <v>0</v>
      </c>
      <c r="L96">
        <f>SUMIF(RecoveredRaw!$B:$B,$A96,RecoveredRaw!O:O)</f>
        <v>0</v>
      </c>
      <c r="M96">
        <f>SUMIF(RecoveredRaw!$B:$B,$A96,RecoveredRaw!P:P)</f>
        <v>0</v>
      </c>
      <c r="N96">
        <f>SUMIF(RecoveredRaw!$B:$B,$A96,RecoveredRaw!Q:Q)</f>
        <v>0</v>
      </c>
      <c r="O96">
        <f>SUMIF(RecoveredRaw!$B:$B,$A96,RecoveredRaw!R:R)</f>
        <v>0</v>
      </c>
      <c r="P96">
        <f>SUMIF(RecoveredRaw!$B:$B,$A96,RecoveredRaw!S:S)</f>
        <v>0</v>
      </c>
      <c r="Q96">
        <f>SUMIF(RecoveredRaw!$B:$B,$A96,RecoveredRaw!T:T)</f>
        <v>0</v>
      </c>
      <c r="R96">
        <f>SUMIF(RecoveredRaw!$B:$B,$A96,RecoveredRaw!U:U)</f>
        <v>0</v>
      </c>
      <c r="S96">
        <f>SUMIF(RecoveredRaw!$B:$B,$A96,RecoveredRaw!V:V)</f>
        <v>0</v>
      </c>
      <c r="T96">
        <f>SUMIF(RecoveredRaw!$B:$B,$A96,RecoveredRaw!W:W)</f>
        <v>0</v>
      </c>
      <c r="U96">
        <f>SUMIF(RecoveredRaw!$B:$B,$A96,RecoveredRaw!X:X)</f>
        <v>0</v>
      </c>
      <c r="V96">
        <f>SUMIF(RecoveredRaw!$B:$B,$A96,RecoveredRaw!Y:Y)</f>
        <v>0</v>
      </c>
      <c r="W96">
        <f>SUMIF(RecoveredRaw!$B:$B,$A96,RecoveredRaw!Z:Z)</f>
        <v>0</v>
      </c>
      <c r="X96">
        <f>SUMIF(RecoveredRaw!$B:$B,$A96,RecoveredRaw!AA:AA)</f>
        <v>0</v>
      </c>
      <c r="Y96">
        <f>SUMIF(RecoveredRaw!$B:$B,$A96,RecoveredRaw!AB:AB)</f>
        <v>0</v>
      </c>
      <c r="Z96">
        <f>SUMIF(RecoveredRaw!$B:$B,$A96,RecoveredRaw!AC:AC)</f>
        <v>0</v>
      </c>
      <c r="AA96">
        <f>SUMIF(RecoveredRaw!$B:$B,$A96,RecoveredRaw!AD:AD)</f>
        <v>0</v>
      </c>
      <c r="AB96">
        <f>SUMIF(RecoveredRaw!$B:$B,$A96,RecoveredRaw!AE:AE)</f>
        <v>0</v>
      </c>
      <c r="AC96">
        <f>SUMIF(RecoveredRaw!$B:$B,$A96,RecoveredRaw!AF:AF)</f>
        <v>0</v>
      </c>
      <c r="AD96">
        <f>SUMIF(RecoveredRaw!$B:$B,$A96,RecoveredRaw!AG:AG)</f>
        <v>0</v>
      </c>
      <c r="AE96">
        <f>SUMIF(RecoveredRaw!$B:$B,$A96,RecoveredRaw!AH:AH)</f>
        <v>0</v>
      </c>
      <c r="AF96">
        <f>SUMIF(RecoveredRaw!$B:$B,$A96,RecoveredRaw!AI:AI)</f>
        <v>0</v>
      </c>
      <c r="AG96">
        <f>SUMIF(RecoveredRaw!$B:$B,$A96,RecoveredRaw!AJ:AJ)</f>
        <v>0</v>
      </c>
      <c r="AH96">
        <f>SUMIF(RecoveredRaw!$B:$B,$A96,RecoveredRaw!AK:AK)</f>
        <v>0</v>
      </c>
      <c r="AI96">
        <f>SUMIF(RecoveredRaw!$B:$B,$A96,RecoveredRaw!AL:AL)</f>
        <v>0</v>
      </c>
      <c r="AJ96">
        <f>SUMIF(RecoveredRaw!$B:$B,$A96,RecoveredRaw!AM:AM)</f>
        <v>0</v>
      </c>
      <c r="AK96">
        <f>SUMIF(RecoveredRaw!$B:$B,$A96,RecoveredRaw!AN:AN)</f>
        <v>0</v>
      </c>
      <c r="AL96">
        <f>SUMIF(RecoveredRaw!$B:$B,$A96,RecoveredRaw!AO:AO)</f>
        <v>0</v>
      </c>
      <c r="AM96">
        <f>SUMIF(RecoveredRaw!$B:$B,$A96,RecoveredRaw!AP:AP)</f>
        <v>0</v>
      </c>
      <c r="AN96">
        <f>SUMIF(RecoveredRaw!$B:$B,$A96,RecoveredRaw!AQ:AQ)</f>
        <v>0</v>
      </c>
      <c r="AO96">
        <f>SUMIF(RecoveredRaw!$B:$B,$A96,RecoveredRaw!AR:AR)</f>
        <v>0</v>
      </c>
      <c r="AP96">
        <f>SUMIF(RecoveredRaw!$B:$B,$A96,RecoveredRaw!AS:AS)</f>
        <v>0</v>
      </c>
      <c r="AQ96">
        <f>SUMIF(RecoveredRaw!$B:$B,$A96,RecoveredRaw!AT:AT)</f>
        <v>0</v>
      </c>
      <c r="AR96">
        <f>SUMIF(RecoveredRaw!$B:$B,$A96,RecoveredRaw!AU:AU)</f>
        <v>0</v>
      </c>
      <c r="AS96">
        <f>SUMIF(RecoveredRaw!$B:$B,$A96,RecoveredRaw!AV:AV)</f>
        <v>0</v>
      </c>
      <c r="AT96">
        <f>SUMIF(RecoveredRaw!$B:$B,$A96,RecoveredRaw!AW:AW)</f>
        <v>0</v>
      </c>
      <c r="AU96">
        <f>SUMIF(RecoveredRaw!$B:$B,$A96,RecoveredRaw!AX:AX)</f>
        <v>0</v>
      </c>
      <c r="AV96">
        <f>SUMIF(RecoveredRaw!$B:$B,$A96,RecoveredRaw!AY:AY)</f>
        <v>0</v>
      </c>
      <c r="AW96">
        <f>SUMIF(RecoveredRaw!$B:$B,$A96,RecoveredRaw!AZ:AZ)</f>
        <v>0</v>
      </c>
      <c r="AX96">
        <f>SUMIF(RecoveredRaw!$B:$B,$A96,RecoveredRaw!BA:BA)</f>
        <v>0</v>
      </c>
      <c r="AY96">
        <f>SUMIF(RecoveredRaw!$B:$B,$A96,RecoveredRaw!BB:BB)</f>
        <v>0</v>
      </c>
      <c r="AZ96">
        <f>SUMIF(RecoveredRaw!$B:$B,$A96,RecoveredRaw!BC:BC)</f>
        <v>0</v>
      </c>
      <c r="BA96">
        <f>SUMIF(RecoveredRaw!$B:$B,$A96,RecoveredRaw!BD:BD)</f>
        <v>0</v>
      </c>
      <c r="BB96">
        <f>SUMIF(RecoveredRaw!$B:$B,$A96,RecoveredRaw!BE:BE)</f>
        <v>0</v>
      </c>
      <c r="BC96">
        <f>SUMIF(RecoveredRaw!$B:$B,$A96,RecoveredRaw!BF:BF)</f>
        <v>0</v>
      </c>
      <c r="BD96">
        <f>SUMIF(RecoveredRaw!$B:$B,$A96,RecoveredRaw!BG:BG)</f>
        <v>0</v>
      </c>
      <c r="BE96">
        <f>SUMIF(RecoveredRaw!$B:$B,$A96,RecoveredRaw!BH:BH)</f>
        <v>0</v>
      </c>
      <c r="BF96">
        <f>SUMIF(RecoveredRaw!$B:$B,$A96,RecoveredRaw!BI:BI)</f>
        <v>0</v>
      </c>
      <c r="BG96">
        <f>SUMIF(RecoveredRaw!$B:$B,$A96,RecoveredRaw!BJ:BJ)</f>
        <v>0</v>
      </c>
      <c r="BH96">
        <f>SUMIF(RecoveredRaw!$B:$B,$A96,RecoveredRaw!BK:BK)</f>
        <v>0</v>
      </c>
      <c r="BI96">
        <f>SUMIF(RecoveredRaw!$B:$B,$A96,RecoveredRaw!BL:BL)</f>
        <v>0</v>
      </c>
      <c r="BJ96">
        <f>SUMIF(RecoveredRaw!$B:$B,$A96,RecoveredRaw!BM:BM)</f>
        <v>0</v>
      </c>
      <c r="BK96">
        <f>SUMIF(RecoveredRaw!$B:$B,$A96,RecoveredRaw!BN:BN)</f>
        <v>0</v>
      </c>
      <c r="BL96">
        <f>SUMIF(RecoveredRaw!$B:$B,$A96,RecoveredRaw!BO:BO)</f>
        <v>0</v>
      </c>
      <c r="BM96">
        <f>SUMIF(RecoveredRaw!$B:$B,$A96,RecoveredRaw!BP:BP)</f>
        <v>0</v>
      </c>
      <c r="BN96">
        <f>SUMIF(RecoveredRaw!$B:$B,$A96,RecoveredRaw!BQ:BQ)</f>
        <v>0</v>
      </c>
      <c r="BO96">
        <f>SUMIF(RecoveredRaw!$B:$B,$A96,RecoveredRaw!BR:BR)</f>
        <v>0</v>
      </c>
      <c r="BP96">
        <f>SUMIF(RecoveredRaw!$B:$B,$A96,RecoveredRaw!BS:BS)</f>
        <v>0</v>
      </c>
      <c r="BQ96">
        <f>SUMIF(RecoveredRaw!$B:$B,$A96,RecoveredRaw!BT:BT)</f>
        <v>0</v>
      </c>
      <c r="BR96">
        <f>SUMIF(RecoveredRaw!$B:$B,$A96,RecoveredRaw!BU:BU)</f>
        <v>0</v>
      </c>
      <c r="BS96">
        <f>SUMIF(RecoveredRaw!$B:$B,$A96,RecoveredRaw!BV:BV)</f>
        <v>0</v>
      </c>
      <c r="BT96">
        <f>SUMIF(RecoveredRaw!$B:$B,$A96,RecoveredRaw!BW:BW)</f>
        <v>0</v>
      </c>
    </row>
    <row r="97" spans="1:72" ht="15" thickBot="1" x14ac:dyDescent="0.35">
      <c r="A97" s="4" t="s">
        <v>410</v>
      </c>
      <c r="B97">
        <f>SUMIF(RecoveredRaw!$B:$B,$A97,RecoveredRaw!E:E)</f>
        <v>0</v>
      </c>
      <c r="C97">
        <f>SUMIF(RecoveredRaw!$B:$B,$A97,RecoveredRaw!F:F)</f>
        <v>0</v>
      </c>
      <c r="D97">
        <f>SUMIF(RecoveredRaw!$B:$B,$A97,RecoveredRaw!G:G)</f>
        <v>0</v>
      </c>
      <c r="E97">
        <f>SUMIF(RecoveredRaw!$B:$B,$A97,RecoveredRaw!H:H)</f>
        <v>0</v>
      </c>
      <c r="F97">
        <f>SUMIF(RecoveredRaw!$B:$B,$A97,RecoveredRaw!I:I)</f>
        <v>0</v>
      </c>
      <c r="G97">
        <f>SUMIF(RecoveredRaw!$B:$B,$A97,RecoveredRaw!J:J)</f>
        <v>0</v>
      </c>
      <c r="H97">
        <f>SUMIF(RecoveredRaw!$B:$B,$A97,RecoveredRaw!K:K)</f>
        <v>0</v>
      </c>
      <c r="I97">
        <f>SUMIF(RecoveredRaw!$B:$B,$A97,RecoveredRaw!L:L)</f>
        <v>0</v>
      </c>
      <c r="J97">
        <f>SUMIF(RecoveredRaw!$B:$B,$A97,RecoveredRaw!M:M)</f>
        <v>0</v>
      </c>
      <c r="K97">
        <f>SUMIF(RecoveredRaw!$B:$B,$A97,RecoveredRaw!N:N)</f>
        <v>0</v>
      </c>
      <c r="L97">
        <f>SUMIF(RecoveredRaw!$B:$B,$A97,RecoveredRaw!O:O)</f>
        <v>0</v>
      </c>
      <c r="M97">
        <f>SUMIF(RecoveredRaw!$B:$B,$A97,RecoveredRaw!P:P)</f>
        <v>0</v>
      </c>
      <c r="N97">
        <f>SUMIF(RecoveredRaw!$B:$B,$A97,RecoveredRaw!Q:Q)</f>
        <v>0</v>
      </c>
      <c r="O97">
        <f>SUMIF(RecoveredRaw!$B:$B,$A97,RecoveredRaw!R:R)</f>
        <v>0</v>
      </c>
      <c r="P97">
        <f>SUMIF(RecoveredRaw!$B:$B,$A97,RecoveredRaw!S:S)</f>
        <v>0</v>
      </c>
      <c r="Q97">
        <f>SUMIF(RecoveredRaw!$B:$B,$A97,RecoveredRaw!T:T)</f>
        <v>0</v>
      </c>
      <c r="R97">
        <f>SUMIF(RecoveredRaw!$B:$B,$A97,RecoveredRaw!U:U)</f>
        <v>0</v>
      </c>
      <c r="S97">
        <f>SUMIF(RecoveredRaw!$B:$B,$A97,RecoveredRaw!V:V)</f>
        <v>0</v>
      </c>
      <c r="T97">
        <f>SUMIF(RecoveredRaw!$B:$B,$A97,RecoveredRaw!W:W)</f>
        <v>0</v>
      </c>
      <c r="U97">
        <f>SUMIF(RecoveredRaw!$B:$B,$A97,RecoveredRaw!X:X)</f>
        <v>0</v>
      </c>
      <c r="V97">
        <f>SUMIF(RecoveredRaw!$B:$B,$A97,RecoveredRaw!Y:Y)</f>
        <v>0</v>
      </c>
      <c r="W97">
        <f>SUMIF(RecoveredRaw!$B:$B,$A97,RecoveredRaw!Z:Z)</f>
        <v>0</v>
      </c>
      <c r="X97">
        <f>SUMIF(RecoveredRaw!$B:$B,$A97,RecoveredRaw!AA:AA)</f>
        <v>0</v>
      </c>
      <c r="Y97">
        <f>SUMIF(RecoveredRaw!$B:$B,$A97,RecoveredRaw!AB:AB)</f>
        <v>0</v>
      </c>
      <c r="Z97">
        <f>SUMIF(RecoveredRaw!$B:$B,$A97,RecoveredRaw!AC:AC)</f>
        <v>0</v>
      </c>
      <c r="AA97">
        <f>SUMIF(RecoveredRaw!$B:$B,$A97,RecoveredRaw!AD:AD)</f>
        <v>0</v>
      </c>
      <c r="AB97">
        <f>SUMIF(RecoveredRaw!$B:$B,$A97,RecoveredRaw!AE:AE)</f>
        <v>0</v>
      </c>
      <c r="AC97">
        <f>SUMIF(RecoveredRaw!$B:$B,$A97,RecoveredRaw!AF:AF)</f>
        <v>0</v>
      </c>
      <c r="AD97">
        <f>SUMIF(RecoveredRaw!$B:$B,$A97,RecoveredRaw!AG:AG)</f>
        <v>0</v>
      </c>
      <c r="AE97">
        <f>SUMIF(RecoveredRaw!$B:$B,$A97,RecoveredRaw!AH:AH)</f>
        <v>0</v>
      </c>
      <c r="AF97">
        <f>SUMIF(RecoveredRaw!$B:$B,$A97,RecoveredRaw!AI:AI)</f>
        <v>0</v>
      </c>
      <c r="AG97">
        <f>SUMIF(RecoveredRaw!$B:$B,$A97,RecoveredRaw!AJ:AJ)</f>
        <v>0</v>
      </c>
      <c r="AH97">
        <f>SUMIF(RecoveredRaw!$B:$B,$A97,RecoveredRaw!AK:AK)</f>
        <v>0</v>
      </c>
      <c r="AI97">
        <f>SUMIF(RecoveredRaw!$B:$B,$A97,RecoveredRaw!AL:AL)</f>
        <v>0</v>
      </c>
      <c r="AJ97">
        <f>SUMIF(RecoveredRaw!$B:$B,$A97,RecoveredRaw!AM:AM)</f>
        <v>0</v>
      </c>
      <c r="AK97">
        <f>SUMIF(RecoveredRaw!$B:$B,$A97,RecoveredRaw!AN:AN)</f>
        <v>0</v>
      </c>
      <c r="AL97">
        <f>SUMIF(RecoveredRaw!$B:$B,$A97,RecoveredRaw!AO:AO)</f>
        <v>0</v>
      </c>
      <c r="AM97">
        <f>SUMIF(RecoveredRaw!$B:$B,$A97,RecoveredRaw!AP:AP)</f>
        <v>0</v>
      </c>
      <c r="AN97">
        <f>SUMIF(RecoveredRaw!$B:$B,$A97,RecoveredRaw!AQ:AQ)</f>
        <v>0</v>
      </c>
      <c r="AO97">
        <f>SUMIF(RecoveredRaw!$B:$B,$A97,RecoveredRaw!AR:AR)</f>
        <v>0</v>
      </c>
      <c r="AP97">
        <f>SUMIF(RecoveredRaw!$B:$B,$A97,RecoveredRaw!AS:AS)</f>
        <v>0</v>
      </c>
      <c r="AQ97">
        <f>SUMIF(RecoveredRaw!$B:$B,$A97,RecoveredRaw!AT:AT)</f>
        <v>0</v>
      </c>
      <c r="AR97">
        <f>SUMIF(RecoveredRaw!$B:$B,$A97,RecoveredRaw!AU:AU)</f>
        <v>0</v>
      </c>
      <c r="AS97">
        <f>SUMIF(RecoveredRaw!$B:$B,$A97,RecoveredRaw!AV:AV)</f>
        <v>0</v>
      </c>
      <c r="AT97">
        <f>SUMIF(RecoveredRaw!$B:$B,$A97,RecoveredRaw!AW:AW)</f>
        <v>0</v>
      </c>
      <c r="AU97">
        <f>SUMIF(RecoveredRaw!$B:$B,$A97,RecoveredRaw!AX:AX)</f>
        <v>0</v>
      </c>
      <c r="AV97">
        <f>SUMIF(RecoveredRaw!$B:$B,$A97,RecoveredRaw!AY:AY)</f>
        <v>0</v>
      </c>
      <c r="AW97">
        <f>SUMIF(RecoveredRaw!$B:$B,$A97,RecoveredRaw!AZ:AZ)</f>
        <v>0</v>
      </c>
      <c r="AX97">
        <f>SUMIF(RecoveredRaw!$B:$B,$A97,RecoveredRaw!BA:BA)</f>
        <v>0</v>
      </c>
      <c r="AY97">
        <f>SUMIF(RecoveredRaw!$B:$B,$A97,RecoveredRaw!BB:BB)</f>
        <v>0</v>
      </c>
      <c r="AZ97">
        <f>SUMIF(RecoveredRaw!$B:$B,$A97,RecoveredRaw!BC:BC)</f>
        <v>0</v>
      </c>
      <c r="BA97">
        <f>SUMIF(RecoveredRaw!$B:$B,$A97,RecoveredRaw!BD:BD)</f>
        <v>0</v>
      </c>
      <c r="BB97">
        <f>SUMIF(RecoveredRaw!$B:$B,$A97,RecoveredRaw!BE:BE)</f>
        <v>0</v>
      </c>
      <c r="BC97">
        <f>SUMIF(RecoveredRaw!$B:$B,$A97,RecoveredRaw!BF:BF)</f>
        <v>0</v>
      </c>
      <c r="BD97">
        <f>SUMIF(RecoveredRaw!$B:$B,$A97,RecoveredRaw!BG:BG)</f>
        <v>0</v>
      </c>
      <c r="BE97">
        <f>SUMIF(RecoveredRaw!$B:$B,$A97,RecoveredRaw!BH:BH)</f>
        <v>0</v>
      </c>
      <c r="BF97">
        <f>SUMIF(RecoveredRaw!$B:$B,$A97,RecoveredRaw!BI:BI)</f>
        <v>0</v>
      </c>
      <c r="BG97">
        <f>SUMIF(RecoveredRaw!$B:$B,$A97,RecoveredRaw!BJ:BJ)</f>
        <v>0</v>
      </c>
      <c r="BH97">
        <f>SUMIF(RecoveredRaw!$B:$B,$A97,RecoveredRaw!BK:BK)</f>
        <v>0</v>
      </c>
      <c r="BI97">
        <f>SUMIF(RecoveredRaw!$B:$B,$A97,RecoveredRaw!BL:BL)</f>
        <v>0</v>
      </c>
      <c r="BJ97">
        <f>SUMIF(RecoveredRaw!$B:$B,$A97,RecoveredRaw!BM:BM)</f>
        <v>0</v>
      </c>
      <c r="BK97">
        <f>SUMIF(RecoveredRaw!$B:$B,$A97,RecoveredRaw!BN:BN)</f>
        <v>0</v>
      </c>
      <c r="BL97">
        <f>SUMIF(RecoveredRaw!$B:$B,$A97,RecoveredRaw!BO:BO)</f>
        <v>0</v>
      </c>
      <c r="BM97">
        <f>SUMIF(RecoveredRaw!$B:$B,$A97,RecoveredRaw!BP:BP)</f>
        <v>0</v>
      </c>
      <c r="BN97">
        <f>SUMIF(RecoveredRaw!$B:$B,$A97,RecoveredRaw!BQ:BQ)</f>
        <v>0</v>
      </c>
      <c r="BO97">
        <f>SUMIF(RecoveredRaw!$B:$B,$A97,RecoveredRaw!BR:BR)</f>
        <v>0</v>
      </c>
      <c r="BP97">
        <f>SUMIF(RecoveredRaw!$B:$B,$A97,RecoveredRaw!BS:BS)</f>
        <v>0</v>
      </c>
      <c r="BQ97">
        <f>SUMIF(RecoveredRaw!$B:$B,$A97,RecoveredRaw!BT:BT)</f>
        <v>0</v>
      </c>
      <c r="BR97">
        <f>SUMIF(RecoveredRaw!$B:$B,$A97,RecoveredRaw!BU:BU)</f>
        <v>0</v>
      </c>
      <c r="BS97">
        <f>SUMIF(RecoveredRaw!$B:$B,$A97,RecoveredRaw!BV:BV)</f>
        <v>0</v>
      </c>
      <c r="BT97">
        <f>SUMIF(RecoveredRaw!$B:$B,$A97,RecoveredRaw!BW:BW)</f>
        <v>0</v>
      </c>
    </row>
    <row r="98" spans="1:72" ht="15" thickBot="1" x14ac:dyDescent="0.35">
      <c r="A98" s="4" t="s">
        <v>413</v>
      </c>
      <c r="B98">
        <f>SUMIF(RecoveredRaw!$B:$B,$A98,RecoveredRaw!E:E)</f>
        <v>0</v>
      </c>
      <c r="C98">
        <f>SUMIF(RecoveredRaw!$B:$B,$A98,RecoveredRaw!F:F)</f>
        <v>0</v>
      </c>
      <c r="D98">
        <f>SUMIF(RecoveredRaw!$B:$B,$A98,RecoveredRaw!G:G)</f>
        <v>0</v>
      </c>
      <c r="E98">
        <f>SUMIF(RecoveredRaw!$B:$B,$A98,RecoveredRaw!H:H)</f>
        <v>0</v>
      </c>
      <c r="F98">
        <f>SUMIF(RecoveredRaw!$B:$B,$A98,RecoveredRaw!I:I)</f>
        <v>0</v>
      </c>
      <c r="G98">
        <f>SUMIF(RecoveredRaw!$B:$B,$A98,RecoveredRaw!J:J)</f>
        <v>0</v>
      </c>
      <c r="H98">
        <f>SUMIF(RecoveredRaw!$B:$B,$A98,RecoveredRaw!K:K)</f>
        <v>0</v>
      </c>
      <c r="I98">
        <f>SUMIF(RecoveredRaw!$B:$B,$A98,RecoveredRaw!L:L)</f>
        <v>0</v>
      </c>
      <c r="J98">
        <f>SUMIF(RecoveredRaw!$B:$B,$A98,RecoveredRaw!M:M)</f>
        <v>0</v>
      </c>
      <c r="K98">
        <f>SUMIF(RecoveredRaw!$B:$B,$A98,RecoveredRaw!N:N)</f>
        <v>0</v>
      </c>
      <c r="L98">
        <f>SUMIF(RecoveredRaw!$B:$B,$A98,RecoveredRaw!O:O)</f>
        <v>0</v>
      </c>
      <c r="M98">
        <f>SUMIF(RecoveredRaw!$B:$B,$A98,RecoveredRaw!P:P)</f>
        <v>0</v>
      </c>
      <c r="N98">
        <f>SUMIF(RecoveredRaw!$B:$B,$A98,RecoveredRaw!Q:Q)</f>
        <v>0</v>
      </c>
      <c r="O98">
        <f>SUMIF(RecoveredRaw!$B:$B,$A98,RecoveredRaw!R:R)</f>
        <v>0</v>
      </c>
      <c r="P98">
        <f>SUMIF(RecoveredRaw!$B:$B,$A98,RecoveredRaw!S:S)</f>
        <v>0</v>
      </c>
      <c r="Q98">
        <f>SUMIF(RecoveredRaw!$B:$B,$A98,RecoveredRaw!T:T)</f>
        <v>0</v>
      </c>
      <c r="R98">
        <f>SUMIF(RecoveredRaw!$B:$B,$A98,RecoveredRaw!U:U)</f>
        <v>0</v>
      </c>
      <c r="S98">
        <f>SUMIF(RecoveredRaw!$B:$B,$A98,RecoveredRaw!V:V)</f>
        <v>0</v>
      </c>
      <c r="T98">
        <f>SUMIF(RecoveredRaw!$B:$B,$A98,RecoveredRaw!W:W)</f>
        <v>0</v>
      </c>
      <c r="U98">
        <f>SUMIF(RecoveredRaw!$B:$B,$A98,RecoveredRaw!X:X)</f>
        <v>0</v>
      </c>
      <c r="V98">
        <f>SUMIF(RecoveredRaw!$B:$B,$A98,RecoveredRaw!Y:Y)</f>
        <v>0</v>
      </c>
      <c r="W98">
        <f>SUMIF(RecoveredRaw!$B:$B,$A98,RecoveredRaw!Z:Z)</f>
        <v>0</v>
      </c>
      <c r="X98">
        <f>SUMIF(RecoveredRaw!$B:$B,$A98,RecoveredRaw!AA:AA)</f>
        <v>0</v>
      </c>
      <c r="Y98">
        <f>SUMIF(RecoveredRaw!$B:$B,$A98,RecoveredRaw!AB:AB)</f>
        <v>0</v>
      </c>
      <c r="Z98">
        <f>SUMIF(RecoveredRaw!$B:$B,$A98,RecoveredRaw!AC:AC)</f>
        <v>0</v>
      </c>
      <c r="AA98">
        <f>SUMIF(RecoveredRaw!$B:$B,$A98,RecoveredRaw!AD:AD)</f>
        <v>0</v>
      </c>
      <c r="AB98">
        <f>SUMIF(RecoveredRaw!$B:$B,$A98,RecoveredRaw!AE:AE)</f>
        <v>0</v>
      </c>
      <c r="AC98">
        <f>SUMIF(RecoveredRaw!$B:$B,$A98,RecoveredRaw!AF:AF)</f>
        <v>0</v>
      </c>
      <c r="AD98">
        <f>SUMIF(RecoveredRaw!$B:$B,$A98,RecoveredRaw!AG:AG)</f>
        <v>0</v>
      </c>
      <c r="AE98">
        <f>SUMIF(RecoveredRaw!$B:$B,$A98,RecoveredRaw!AH:AH)</f>
        <v>0</v>
      </c>
      <c r="AF98">
        <f>SUMIF(RecoveredRaw!$B:$B,$A98,RecoveredRaw!AI:AI)</f>
        <v>0</v>
      </c>
      <c r="AG98">
        <f>SUMIF(RecoveredRaw!$B:$B,$A98,RecoveredRaw!AJ:AJ)</f>
        <v>0</v>
      </c>
      <c r="AH98">
        <f>SUMIF(RecoveredRaw!$B:$B,$A98,RecoveredRaw!AK:AK)</f>
        <v>0</v>
      </c>
      <c r="AI98">
        <f>SUMIF(RecoveredRaw!$B:$B,$A98,RecoveredRaw!AL:AL)</f>
        <v>0</v>
      </c>
      <c r="AJ98">
        <f>SUMIF(RecoveredRaw!$B:$B,$A98,RecoveredRaw!AM:AM)</f>
        <v>0</v>
      </c>
      <c r="AK98">
        <f>SUMIF(RecoveredRaw!$B:$B,$A98,RecoveredRaw!AN:AN)</f>
        <v>0</v>
      </c>
      <c r="AL98">
        <f>SUMIF(RecoveredRaw!$B:$B,$A98,RecoveredRaw!AO:AO)</f>
        <v>0</v>
      </c>
      <c r="AM98">
        <f>SUMIF(RecoveredRaw!$B:$B,$A98,RecoveredRaw!AP:AP)</f>
        <v>0</v>
      </c>
      <c r="AN98">
        <f>SUMIF(RecoveredRaw!$B:$B,$A98,RecoveredRaw!AQ:AQ)</f>
        <v>0</v>
      </c>
      <c r="AO98">
        <f>SUMIF(RecoveredRaw!$B:$B,$A98,RecoveredRaw!AR:AR)</f>
        <v>0</v>
      </c>
      <c r="AP98">
        <f>SUMIF(RecoveredRaw!$B:$B,$A98,RecoveredRaw!AS:AS)</f>
        <v>0</v>
      </c>
      <c r="AQ98">
        <f>SUMIF(RecoveredRaw!$B:$B,$A98,RecoveredRaw!AT:AT)</f>
        <v>0</v>
      </c>
      <c r="AR98">
        <f>SUMIF(RecoveredRaw!$B:$B,$A98,RecoveredRaw!AU:AU)</f>
        <v>0</v>
      </c>
      <c r="AS98">
        <f>SUMIF(RecoveredRaw!$B:$B,$A98,RecoveredRaw!AV:AV)</f>
        <v>0</v>
      </c>
      <c r="AT98">
        <f>SUMIF(RecoveredRaw!$B:$B,$A98,RecoveredRaw!AW:AW)</f>
        <v>0</v>
      </c>
      <c r="AU98">
        <f>SUMIF(RecoveredRaw!$B:$B,$A98,RecoveredRaw!AX:AX)</f>
        <v>0</v>
      </c>
      <c r="AV98">
        <f>SUMIF(RecoveredRaw!$B:$B,$A98,RecoveredRaw!AY:AY)</f>
        <v>0</v>
      </c>
      <c r="AW98">
        <f>SUMIF(RecoveredRaw!$B:$B,$A98,RecoveredRaw!AZ:AZ)</f>
        <v>0</v>
      </c>
      <c r="AX98">
        <f>SUMIF(RecoveredRaw!$B:$B,$A98,RecoveredRaw!BA:BA)</f>
        <v>0</v>
      </c>
      <c r="AY98">
        <f>SUMIF(RecoveredRaw!$B:$B,$A98,RecoveredRaw!BB:BB)</f>
        <v>0</v>
      </c>
      <c r="AZ98">
        <f>SUMIF(RecoveredRaw!$B:$B,$A98,RecoveredRaw!BC:BC)</f>
        <v>0</v>
      </c>
      <c r="BA98">
        <f>SUMIF(RecoveredRaw!$B:$B,$A98,RecoveredRaw!BD:BD)</f>
        <v>0</v>
      </c>
      <c r="BB98">
        <f>SUMIF(RecoveredRaw!$B:$B,$A98,RecoveredRaw!BE:BE)</f>
        <v>0</v>
      </c>
      <c r="BC98">
        <f>SUMIF(RecoveredRaw!$B:$B,$A98,RecoveredRaw!BF:BF)</f>
        <v>0</v>
      </c>
      <c r="BD98">
        <f>SUMIF(RecoveredRaw!$B:$B,$A98,RecoveredRaw!BG:BG)</f>
        <v>0</v>
      </c>
      <c r="BE98">
        <f>SUMIF(RecoveredRaw!$B:$B,$A98,RecoveredRaw!BH:BH)</f>
        <v>0</v>
      </c>
      <c r="BF98">
        <f>SUMIF(RecoveredRaw!$B:$B,$A98,RecoveredRaw!BI:BI)</f>
        <v>0</v>
      </c>
      <c r="BG98">
        <f>SUMIF(RecoveredRaw!$B:$B,$A98,RecoveredRaw!BJ:BJ)</f>
        <v>0</v>
      </c>
      <c r="BH98">
        <f>SUMIF(RecoveredRaw!$B:$B,$A98,RecoveredRaw!BK:BK)</f>
        <v>0</v>
      </c>
      <c r="BI98">
        <f>SUMIF(RecoveredRaw!$B:$B,$A98,RecoveredRaw!BL:BL)</f>
        <v>0</v>
      </c>
      <c r="BJ98">
        <f>SUMIF(RecoveredRaw!$B:$B,$A98,RecoveredRaw!BM:BM)</f>
        <v>0</v>
      </c>
      <c r="BK98">
        <f>SUMIF(RecoveredRaw!$B:$B,$A98,RecoveredRaw!BN:BN)</f>
        <v>0</v>
      </c>
      <c r="BL98">
        <f>SUMIF(RecoveredRaw!$B:$B,$A98,RecoveredRaw!BO:BO)</f>
        <v>0</v>
      </c>
      <c r="BM98">
        <f>SUMIF(RecoveredRaw!$B:$B,$A98,RecoveredRaw!BP:BP)</f>
        <v>0</v>
      </c>
      <c r="BN98">
        <f>SUMIF(RecoveredRaw!$B:$B,$A98,RecoveredRaw!BQ:BQ)</f>
        <v>0</v>
      </c>
      <c r="BO98">
        <f>SUMIF(RecoveredRaw!$B:$B,$A98,RecoveredRaw!BR:BR)</f>
        <v>0</v>
      </c>
      <c r="BP98">
        <f>SUMIF(RecoveredRaw!$B:$B,$A98,RecoveredRaw!BS:BS)</f>
        <v>0</v>
      </c>
      <c r="BQ98">
        <f>SUMIF(RecoveredRaw!$B:$B,$A98,RecoveredRaw!BT:BT)</f>
        <v>0</v>
      </c>
      <c r="BR98">
        <f>SUMIF(RecoveredRaw!$B:$B,$A98,RecoveredRaw!BU:BU)</f>
        <v>0</v>
      </c>
      <c r="BS98">
        <f>SUMIF(RecoveredRaw!$B:$B,$A98,RecoveredRaw!BV:BV)</f>
        <v>0</v>
      </c>
      <c r="BT98">
        <f>SUMIF(RecoveredRaw!$B:$B,$A98,RecoveredRaw!BW:BW)</f>
        <v>0</v>
      </c>
    </row>
    <row r="99" spans="1:72" ht="15" thickBot="1" x14ac:dyDescent="0.35">
      <c r="A99" s="3" t="s">
        <v>202</v>
      </c>
      <c r="B99">
        <f>SUMIF(RecoveredRaw!$B:$B,$A99,RecoveredRaw!E:E)</f>
        <v>0</v>
      </c>
      <c r="C99">
        <f>SUMIF(RecoveredRaw!$B:$B,$A99,RecoveredRaw!F:F)</f>
        <v>0</v>
      </c>
      <c r="D99">
        <f>SUMIF(RecoveredRaw!$B:$B,$A99,RecoveredRaw!G:G)</f>
        <v>0</v>
      </c>
      <c r="E99">
        <f>SUMIF(RecoveredRaw!$B:$B,$A99,RecoveredRaw!H:H)</f>
        <v>0</v>
      </c>
      <c r="F99">
        <f>SUMIF(RecoveredRaw!$B:$B,$A99,RecoveredRaw!I:I)</f>
        <v>0</v>
      </c>
      <c r="G99">
        <f>SUMIF(RecoveredRaw!$B:$B,$A99,RecoveredRaw!J:J)</f>
        <v>0</v>
      </c>
      <c r="H99">
        <f>SUMIF(RecoveredRaw!$B:$B,$A99,RecoveredRaw!K:K)</f>
        <v>0</v>
      </c>
      <c r="I99">
        <f>SUMIF(RecoveredRaw!$B:$B,$A99,RecoveredRaw!L:L)</f>
        <v>0</v>
      </c>
      <c r="J99">
        <f>SUMIF(RecoveredRaw!$B:$B,$A99,RecoveredRaw!M:M)</f>
        <v>0</v>
      </c>
      <c r="K99">
        <f>SUMIF(RecoveredRaw!$B:$B,$A99,RecoveredRaw!N:N)</f>
        <v>0</v>
      </c>
      <c r="L99">
        <f>SUMIF(RecoveredRaw!$B:$B,$A99,RecoveredRaw!O:O)</f>
        <v>0</v>
      </c>
      <c r="M99">
        <f>SUMIF(RecoveredRaw!$B:$B,$A99,RecoveredRaw!P:P)</f>
        <v>0</v>
      </c>
      <c r="N99">
        <f>SUMIF(RecoveredRaw!$B:$B,$A99,RecoveredRaw!Q:Q)</f>
        <v>0</v>
      </c>
      <c r="O99">
        <f>SUMIF(RecoveredRaw!$B:$B,$A99,RecoveredRaw!R:R)</f>
        <v>0</v>
      </c>
      <c r="P99">
        <f>SUMIF(RecoveredRaw!$B:$B,$A99,RecoveredRaw!S:S)</f>
        <v>0</v>
      </c>
      <c r="Q99">
        <f>SUMIF(RecoveredRaw!$B:$B,$A99,RecoveredRaw!T:T)</f>
        <v>0</v>
      </c>
      <c r="R99">
        <f>SUMIF(RecoveredRaw!$B:$B,$A99,RecoveredRaw!U:U)</f>
        <v>0</v>
      </c>
      <c r="S99">
        <f>SUMIF(RecoveredRaw!$B:$B,$A99,RecoveredRaw!V:V)</f>
        <v>0</v>
      </c>
      <c r="T99">
        <f>SUMIF(RecoveredRaw!$B:$B,$A99,RecoveredRaw!W:W)</f>
        <v>0</v>
      </c>
      <c r="U99">
        <f>SUMIF(RecoveredRaw!$B:$B,$A99,RecoveredRaw!X:X)</f>
        <v>0</v>
      </c>
      <c r="V99">
        <f>SUMIF(RecoveredRaw!$B:$B,$A99,RecoveredRaw!Y:Y)</f>
        <v>0</v>
      </c>
      <c r="W99">
        <f>SUMIF(RecoveredRaw!$B:$B,$A99,RecoveredRaw!Z:Z)</f>
        <v>0</v>
      </c>
      <c r="X99">
        <f>SUMIF(RecoveredRaw!$B:$B,$A99,RecoveredRaw!AA:AA)</f>
        <v>0</v>
      </c>
      <c r="Y99">
        <f>SUMIF(RecoveredRaw!$B:$B,$A99,RecoveredRaw!AB:AB)</f>
        <v>0</v>
      </c>
      <c r="Z99">
        <f>SUMIF(RecoveredRaw!$B:$B,$A99,RecoveredRaw!AC:AC)</f>
        <v>0</v>
      </c>
      <c r="AA99">
        <f>SUMIF(RecoveredRaw!$B:$B,$A99,RecoveredRaw!AD:AD)</f>
        <v>0</v>
      </c>
      <c r="AB99">
        <f>SUMIF(RecoveredRaw!$B:$B,$A99,RecoveredRaw!AE:AE)</f>
        <v>0</v>
      </c>
      <c r="AC99">
        <f>SUMIF(RecoveredRaw!$B:$B,$A99,RecoveredRaw!AF:AF)</f>
        <v>0</v>
      </c>
      <c r="AD99">
        <f>SUMIF(RecoveredRaw!$B:$B,$A99,RecoveredRaw!AG:AG)</f>
        <v>0</v>
      </c>
      <c r="AE99">
        <f>SUMIF(RecoveredRaw!$B:$B,$A99,RecoveredRaw!AH:AH)</f>
        <v>0</v>
      </c>
      <c r="AF99">
        <f>SUMIF(RecoveredRaw!$B:$B,$A99,RecoveredRaw!AI:AI)</f>
        <v>0</v>
      </c>
      <c r="AG99">
        <f>SUMIF(RecoveredRaw!$B:$B,$A99,RecoveredRaw!AJ:AJ)</f>
        <v>0</v>
      </c>
      <c r="AH99">
        <f>SUMIF(RecoveredRaw!$B:$B,$A99,RecoveredRaw!AK:AK)</f>
        <v>0</v>
      </c>
      <c r="AI99">
        <f>SUMIF(RecoveredRaw!$B:$B,$A99,RecoveredRaw!AL:AL)</f>
        <v>0</v>
      </c>
      <c r="AJ99">
        <f>SUMIF(RecoveredRaw!$B:$B,$A99,RecoveredRaw!AM:AM)</f>
        <v>0</v>
      </c>
      <c r="AK99">
        <f>SUMIF(RecoveredRaw!$B:$B,$A99,RecoveredRaw!AN:AN)</f>
        <v>0</v>
      </c>
      <c r="AL99">
        <f>SUMIF(RecoveredRaw!$B:$B,$A99,RecoveredRaw!AO:AO)</f>
        <v>0</v>
      </c>
      <c r="AM99">
        <f>SUMIF(RecoveredRaw!$B:$B,$A99,RecoveredRaw!AP:AP)</f>
        <v>0</v>
      </c>
      <c r="AN99">
        <f>SUMIF(RecoveredRaw!$B:$B,$A99,RecoveredRaw!AQ:AQ)</f>
        <v>0</v>
      </c>
      <c r="AO99">
        <f>SUMIF(RecoveredRaw!$B:$B,$A99,RecoveredRaw!AR:AR)</f>
        <v>0</v>
      </c>
      <c r="AP99">
        <f>SUMIF(RecoveredRaw!$B:$B,$A99,RecoveredRaw!AS:AS)</f>
        <v>0</v>
      </c>
      <c r="AQ99">
        <f>SUMIF(RecoveredRaw!$B:$B,$A99,RecoveredRaw!AT:AT)</f>
        <v>0</v>
      </c>
      <c r="AR99">
        <f>SUMIF(RecoveredRaw!$B:$B,$A99,RecoveredRaw!AU:AU)</f>
        <v>0</v>
      </c>
      <c r="AS99">
        <f>SUMIF(RecoveredRaw!$B:$B,$A99,RecoveredRaw!AV:AV)</f>
        <v>0</v>
      </c>
      <c r="AT99">
        <f>SUMIF(RecoveredRaw!$B:$B,$A99,RecoveredRaw!AW:AW)</f>
        <v>0</v>
      </c>
      <c r="AU99">
        <f>SUMIF(RecoveredRaw!$B:$B,$A99,RecoveredRaw!AX:AX)</f>
        <v>0</v>
      </c>
      <c r="AV99">
        <f>SUMIF(RecoveredRaw!$B:$B,$A99,RecoveredRaw!AY:AY)</f>
        <v>0</v>
      </c>
      <c r="AW99">
        <f>SUMIF(RecoveredRaw!$B:$B,$A99,RecoveredRaw!AZ:AZ)</f>
        <v>0</v>
      </c>
      <c r="AX99">
        <f>SUMIF(RecoveredRaw!$B:$B,$A99,RecoveredRaw!BA:BA)</f>
        <v>0</v>
      </c>
      <c r="AY99">
        <f>SUMIF(RecoveredRaw!$B:$B,$A99,RecoveredRaw!BB:BB)</f>
        <v>0</v>
      </c>
      <c r="AZ99">
        <f>SUMIF(RecoveredRaw!$B:$B,$A99,RecoveredRaw!BC:BC)</f>
        <v>0</v>
      </c>
      <c r="BA99">
        <f>SUMIF(RecoveredRaw!$B:$B,$A99,RecoveredRaw!BD:BD)</f>
        <v>0</v>
      </c>
      <c r="BB99">
        <f>SUMIF(RecoveredRaw!$B:$B,$A99,RecoveredRaw!BE:BE)</f>
        <v>0</v>
      </c>
      <c r="BC99">
        <f>SUMIF(RecoveredRaw!$B:$B,$A99,RecoveredRaw!BF:BF)</f>
        <v>0</v>
      </c>
      <c r="BD99">
        <f>SUMIF(RecoveredRaw!$B:$B,$A99,RecoveredRaw!BG:BG)</f>
        <v>2</v>
      </c>
      <c r="BE99">
        <f>SUMIF(RecoveredRaw!$B:$B,$A99,RecoveredRaw!BH:BH)</f>
        <v>3</v>
      </c>
      <c r="BF99">
        <f>SUMIF(RecoveredRaw!$B:$B,$A99,RecoveredRaw!BI:BI)</f>
        <v>3</v>
      </c>
      <c r="BG99">
        <f>SUMIF(RecoveredRaw!$B:$B,$A99,RecoveredRaw!BJ:BJ)</f>
        <v>0</v>
      </c>
      <c r="BH99">
        <f>SUMIF(RecoveredRaw!$B:$B,$A99,RecoveredRaw!BK:BK)</f>
        <v>0</v>
      </c>
      <c r="BI99">
        <f>SUMIF(RecoveredRaw!$B:$B,$A99,RecoveredRaw!BL:BL)</f>
        <v>0</v>
      </c>
      <c r="BJ99">
        <f>SUMIF(RecoveredRaw!$B:$B,$A99,RecoveredRaw!BM:BM)</f>
        <v>0</v>
      </c>
      <c r="BK99">
        <f>SUMIF(RecoveredRaw!$B:$B,$A99,RecoveredRaw!BN:BN)</f>
        <v>0</v>
      </c>
      <c r="BL99">
        <f>SUMIF(RecoveredRaw!$B:$B,$A99,RecoveredRaw!BO:BO)</f>
        <v>0</v>
      </c>
      <c r="BM99">
        <f>SUMIF(RecoveredRaw!$B:$B,$A99,RecoveredRaw!BP:BP)</f>
        <v>0</v>
      </c>
      <c r="BN99">
        <f>SUMIF(RecoveredRaw!$B:$B,$A99,RecoveredRaw!BQ:BQ)</f>
        <v>0</v>
      </c>
      <c r="BO99">
        <f>SUMIF(RecoveredRaw!$B:$B,$A99,RecoveredRaw!BR:BR)</f>
        <v>0</v>
      </c>
      <c r="BP99">
        <f>SUMIF(RecoveredRaw!$B:$B,$A99,RecoveredRaw!BS:BS)</f>
        <v>0</v>
      </c>
      <c r="BQ99">
        <f>SUMIF(RecoveredRaw!$B:$B,$A99,RecoveredRaw!BT:BT)</f>
        <v>0</v>
      </c>
      <c r="BR99">
        <f>SUMIF(RecoveredRaw!$B:$B,$A99,RecoveredRaw!BU:BU)</f>
        <v>0</v>
      </c>
      <c r="BS99">
        <f>SUMIF(RecoveredRaw!$B:$B,$A99,RecoveredRaw!BV:BV)</f>
        <v>0</v>
      </c>
      <c r="BT99">
        <f>SUMIF(RecoveredRaw!$B:$B,$A99,RecoveredRaw!BW:BW)</f>
        <v>0</v>
      </c>
    </row>
    <row r="100" spans="1:72" ht="15" thickBot="1" x14ac:dyDescent="0.35">
      <c r="A100" s="3" t="s">
        <v>346</v>
      </c>
      <c r="B100">
        <f>SUMIF(RecoveredRaw!$B:$B,$A100,RecoveredRaw!E:E)</f>
        <v>0</v>
      </c>
      <c r="C100">
        <f>SUMIF(RecoveredRaw!$B:$B,$A100,RecoveredRaw!F:F)</f>
        <v>0</v>
      </c>
      <c r="D100">
        <f>SUMIF(RecoveredRaw!$B:$B,$A100,RecoveredRaw!G:G)</f>
        <v>0</v>
      </c>
      <c r="E100">
        <f>SUMIF(RecoveredRaw!$B:$B,$A100,RecoveredRaw!H:H)</f>
        <v>0</v>
      </c>
      <c r="F100">
        <f>SUMIF(RecoveredRaw!$B:$B,$A100,RecoveredRaw!I:I)</f>
        <v>0</v>
      </c>
      <c r="G100">
        <f>SUMIF(RecoveredRaw!$B:$B,$A100,RecoveredRaw!J:J)</f>
        <v>0</v>
      </c>
      <c r="H100">
        <f>SUMIF(RecoveredRaw!$B:$B,$A100,RecoveredRaw!K:K)</f>
        <v>0</v>
      </c>
      <c r="I100">
        <f>SUMIF(RecoveredRaw!$B:$B,$A100,RecoveredRaw!L:L)</f>
        <v>0</v>
      </c>
      <c r="J100">
        <f>SUMIF(RecoveredRaw!$B:$B,$A100,RecoveredRaw!M:M)</f>
        <v>0</v>
      </c>
      <c r="K100">
        <f>SUMIF(RecoveredRaw!$B:$B,$A100,RecoveredRaw!N:N)</f>
        <v>0</v>
      </c>
      <c r="L100">
        <f>SUMIF(RecoveredRaw!$B:$B,$A100,RecoveredRaw!O:O)</f>
        <v>0</v>
      </c>
      <c r="M100">
        <f>SUMIF(RecoveredRaw!$B:$B,$A100,RecoveredRaw!P:P)</f>
        <v>0</v>
      </c>
      <c r="N100">
        <f>SUMIF(RecoveredRaw!$B:$B,$A100,RecoveredRaw!Q:Q)</f>
        <v>0</v>
      </c>
      <c r="O100">
        <f>SUMIF(RecoveredRaw!$B:$B,$A100,RecoveredRaw!R:R)</f>
        <v>0</v>
      </c>
      <c r="P100">
        <f>SUMIF(RecoveredRaw!$B:$B,$A100,RecoveredRaw!S:S)</f>
        <v>0</v>
      </c>
      <c r="Q100">
        <f>SUMIF(RecoveredRaw!$B:$B,$A100,RecoveredRaw!T:T)</f>
        <v>0</v>
      </c>
      <c r="R100">
        <f>SUMIF(RecoveredRaw!$B:$B,$A100,RecoveredRaw!U:U)</f>
        <v>0</v>
      </c>
      <c r="S100">
        <f>SUMIF(RecoveredRaw!$B:$B,$A100,RecoveredRaw!V:V)</f>
        <v>0</v>
      </c>
      <c r="T100">
        <f>SUMIF(RecoveredRaw!$B:$B,$A100,RecoveredRaw!W:W)</f>
        <v>0</v>
      </c>
      <c r="U100">
        <f>SUMIF(RecoveredRaw!$B:$B,$A100,RecoveredRaw!X:X)</f>
        <v>0</v>
      </c>
      <c r="V100">
        <f>SUMIF(RecoveredRaw!$B:$B,$A100,RecoveredRaw!Y:Y)</f>
        <v>0</v>
      </c>
      <c r="W100">
        <f>SUMIF(RecoveredRaw!$B:$B,$A100,RecoveredRaw!Z:Z)</f>
        <v>0</v>
      </c>
      <c r="X100">
        <f>SUMIF(RecoveredRaw!$B:$B,$A100,RecoveredRaw!AA:AA)</f>
        <v>0</v>
      </c>
      <c r="Y100">
        <f>SUMIF(RecoveredRaw!$B:$B,$A100,RecoveredRaw!AB:AB)</f>
        <v>0</v>
      </c>
      <c r="Z100">
        <f>SUMIF(RecoveredRaw!$B:$B,$A100,RecoveredRaw!AC:AC)</f>
        <v>0</v>
      </c>
      <c r="AA100">
        <f>SUMIF(RecoveredRaw!$B:$B,$A100,RecoveredRaw!AD:AD)</f>
        <v>0</v>
      </c>
      <c r="AB100">
        <f>SUMIF(RecoveredRaw!$B:$B,$A100,RecoveredRaw!AE:AE)</f>
        <v>0</v>
      </c>
      <c r="AC100">
        <f>SUMIF(RecoveredRaw!$B:$B,$A100,RecoveredRaw!AF:AF)</f>
        <v>0</v>
      </c>
      <c r="AD100">
        <f>SUMIF(RecoveredRaw!$B:$B,$A100,RecoveredRaw!AG:AG)</f>
        <v>0</v>
      </c>
      <c r="AE100">
        <f>SUMIF(RecoveredRaw!$B:$B,$A100,RecoveredRaw!AH:AH)</f>
        <v>0</v>
      </c>
      <c r="AF100">
        <f>SUMIF(RecoveredRaw!$B:$B,$A100,RecoveredRaw!AI:AI)</f>
        <v>0</v>
      </c>
      <c r="AG100">
        <f>SUMIF(RecoveredRaw!$B:$B,$A100,RecoveredRaw!AJ:AJ)</f>
        <v>0</v>
      </c>
      <c r="AH100">
        <f>SUMIF(RecoveredRaw!$B:$B,$A100,RecoveredRaw!AK:AK)</f>
        <v>0</v>
      </c>
      <c r="AI100">
        <f>SUMIF(RecoveredRaw!$B:$B,$A100,RecoveredRaw!AL:AL)</f>
        <v>0</v>
      </c>
      <c r="AJ100">
        <f>SUMIF(RecoveredRaw!$B:$B,$A100,RecoveredRaw!AM:AM)</f>
        <v>0</v>
      </c>
      <c r="AK100">
        <f>SUMIF(RecoveredRaw!$B:$B,$A100,RecoveredRaw!AN:AN)</f>
        <v>0</v>
      </c>
      <c r="AL100">
        <f>SUMIF(RecoveredRaw!$B:$B,$A100,RecoveredRaw!AO:AO)</f>
        <v>0</v>
      </c>
      <c r="AM100">
        <f>SUMIF(RecoveredRaw!$B:$B,$A100,RecoveredRaw!AP:AP)</f>
        <v>0</v>
      </c>
      <c r="AN100">
        <f>SUMIF(RecoveredRaw!$B:$B,$A100,RecoveredRaw!AQ:AQ)</f>
        <v>0</v>
      </c>
      <c r="AO100">
        <f>SUMIF(RecoveredRaw!$B:$B,$A100,RecoveredRaw!AR:AR)</f>
        <v>0</v>
      </c>
      <c r="AP100">
        <f>SUMIF(RecoveredRaw!$B:$B,$A100,RecoveredRaw!AS:AS)</f>
        <v>0</v>
      </c>
      <c r="AQ100">
        <f>SUMIF(RecoveredRaw!$B:$B,$A100,RecoveredRaw!AT:AT)</f>
        <v>0</v>
      </c>
      <c r="AR100">
        <f>SUMIF(RecoveredRaw!$B:$B,$A100,RecoveredRaw!AU:AU)</f>
        <v>0</v>
      </c>
      <c r="AS100">
        <f>SUMIF(RecoveredRaw!$B:$B,$A100,RecoveredRaw!AV:AV)</f>
        <v>0</v>
      </c>
      <c r="AT100">
        <f>SUMIF(RecoveredRaw!$B:$B,$A100,RecoveredRaw!AW:AW)</f>
        <v>0</v>
      </c>
      <c r="AU100">
        <f>SUMIF(RecoveredRaw!$B:$B,$A100,RecoveredRaw!AX:AX)</f>
        <v>0</v>
      </c>
      <c r="AV100">
        <f>SUMIF(RecoveredRaw!$B:$B,$A100,RecoveredRaw!AY:AY)</f>
        <v>0</v>
      </c>
      <c r="AW100">
        <f>SUMIF(RecoveredRaw!$B:$B,$A100,RecoveredRaw!AZ:AZ)</f>
        <v>0</v>
      </c>
      <c r="AX100">
        <f>SUMIF(RecoveredRaw!$B:$B,$A100,RecoveredRaw!BA:BA)</f>
        <v>0</v>
      </c>
      <c r="AY100">
        <f>SUMIF(RecoveredRaw!$B:$B,$A100,RecoveredRaw!BB:BB)</f>
        <v>0</v>
      </c>
      <c r="AZ100">
        <f>SUMIF(RecoveredRaw!$B:$B,$A100,RecoveredRaw!BC:BC)</f>
        <v>0</v>
      </c>
      <c r="BA100">
        <f>SUMIF(RecoveredRaw!$B:$B,$A100,RecoveredRaw!BD:BD)</f>
        <v>0</v>
      </c>
      <c r="BB100">
        <f>SUMIF(RecoveredRaw!$B:$B,$A100,RecoveredRaw!BE:BE)</f>
        <v>0</v>
      </c>
      <c r="BC100">
        <f>SUMIF(RecoveredRaw!$B:$B,$A100,RecoveredRaw!BF:BF)</f>
        <v>0</v>
      </c>
      <c r="BD100">
        <f>SUMIF(RecoveredRaw!$B:$B,$A100,RecoveredRaw!BG:BG)</f>
        <v>0</v>
      </c>
      <c r="BE100">
        <f>SUMIF(RecoveredRaw!$B:$B,$A100,RecoveredRaw!BH:BH)</f>
        <v>0</v>
      </c>
      <c r="BF100">
        <f>SUMIF(RecoveredRaw!$B:$B,$A100,RecoveredRaw!BI:BI)</f>
        <v>0</v>
      </c>
      <c r="BG100">
        <f>SUMIF(RecoveredRaw!$B:$B,$A100,RecoveredRaw!BJ:BJ)</f>
        <v>0</v>
      </c>
      <c r="BH100">
        <f>SUMIF(RecoveredRaw!$B:$B,$A100,RecoveredRaw!BK:BK)</f>
        <v>0</v>
      </c>
      <c r="BI100">
        <f>SUMIF(RecoveredRaw!$B:$B,$A100,RecoveredRaw!BL:BL)</f>
        <v>0</v>
      </c>
      <c r="BJ100">
        <f>SUMIF(RecoveredRaw!$B:$B,$A100,RecoveredRaw!BM:BM)</f>
        <v>0</v>
      </c>
      <c r="BK100">
        <f>SUMIF(RecoveredRaw!$B:$B,$A100,RecoveredRaw!BN:BN)</f>
        <v>0</v>
      </c>
      <c r="BL100">
        <f>SUMIF(RecoveredRaw!$B:$B,$A100,RecoveredRaw!BO:BO)</f>
        <v>0</v>
      </c>
      <c r="BM100">
        <f>SUMIF(RecoveredRaw!$B:$B,$A100,RecoveredRaw!BP:BP)</f>
        <v>0</v>
      </c>
      <c r="BN100">
        <f>SUMIF(RecoveredRaw!$B:$B,$A100,RecoveredRaw!BQ:BQ)</f>
        <v>0</v>
      </c>
      <c r="BO100">
        <f>SUMIF(RecoveredRaw!$B:$B,$A100,RecoveredRaw!BR:BR)</f>
        <v>0</v>
      </c>
      <c r="BP100">
        <f>SUMIF(RecoveredRaw!$B:$B,$A100,RecoveredRaw!BS:BS)</f>
        <v>0</v>
      </c>
      <c r="BQ100">
        <f>SUMIF(RecoveredRaw!$B:$B,$A100,RecoveredRaw!BT:BT)</f>
        <v>0</v>
      </c>
      <c r="BR100">
        <f>SUMIF(RecoveredRaw!$B:$B,$A100,RecoveredRaw!BU:BU)</f>
        <v>0</v>
      </c>
      <c r="BS100">
        <f>SUMIF(RecoveredRaw!$B:$B,$A100,RecoveredRaw!BV:BV)</f>
        <v>0</v>
      </c>
      <c r="BT100">
        <f>SUMIF(RecoveredRaw!$B:$B,$A100,RecoveredRaw!BW:BW)</f>
        <v>0</v>
      </c>
    </row>
    <row r="101" spans="1:72" ht="15" thickBot="1" x14ac:dyDescent="0.35">
      <c r="A101" s="4" t="s">
        <v>180</v>
      </c>
      <c r="B101">
        <f>SUMIF(RecoveredRaw!$B:$B,$A101,RecoveredRaw!E:E)</f>
        <v>0</v>
      </c>
      <c r="C101">
        <f>SUMIF(RecoveredRaw!$B:$B,$A101,RecoveredRaw!F:F)</f>
        <v>0</v>
      </c>
      <c r="D101">
        <f>SUMIF(RecoveredRaw!$B:$B,$A101,RecoveredRaw!G:G)</f>
        <v>0</v>
      </c>
      <c r="E101">
        <f>SUMIF(RecoveredRaw!$B:$B,$A101,RecoveredRaw!H:H)</f>
        <v>0</v>
      </c>
      <c r="F101">
        <f>SUMIF(RecoveredRaw!$B:$B,$A101,RecoveredRaw!I:I)</f>
        <v>0</v>
      </c>
      <c r="G101">
        <f>SUMIF(RecoveredRaw!$B:$B,$A101,RecoveredRaw!J:J)</f>
        <v>0</v>
      </c>
      <c r="H101">
        <f>SUMIF(RecoveredRaw!$B:$B,$A101,RecoveredRaw!K:K)</f>
        <v>0</v>
      </c>
      <c r="I101">
        <f>SUMIF(RecoveredRaw!$B:$B,$A101,RecoveredRaw!L:L)</f>
        <v>0</v>
      </c>
      <c r="J101">
        <f>SUMIF(RecoveredRaw!$B:$B,$A101,RecoveredRaw!M:M)</f>
        <v>0</v>
      </c>
      <c r="K101">
        <f>SUMIF(RecoveredRaw!$B:$B,$A101,RecoveredRaw!N:N)</f>
        <v>0</v>
      </c>
      <c r="L101">
        <f>SUMIF(RecoveredRaw!$B:$B,$A101,RecoveredRaw!O:O)</f>
        <v>0</v>
      </c>
      <c r="M101">
        <f>SUMIF(RecoveredRaw!$B:$B,$A101,RecoveredRaw!P:P)</f>
        <v>0</v>
      </c>
      <c r="N101">
        <f>SUMIF(RecoveredRaw!$B:$B,$A101,RecoveredRaw!Q:Q)</f>
        <v>0</v>
      </c>
      <c r="O101">
        <f>SUMIF(RecoveredRaw!$B:$B,$A101,RecoveredRaw!R:R)</f>
        <v>0</v>
      </c>
      <c r="P101">
        <f>SUMIF(RecoveredRaw!$B:$B,$A101,RecoveredRaw!S:S)</f>
        <v>0</v>
      </c>
      <c r="Q101">
        <f>SUMIF(RecoveredRaw!$B:$B,$A101,RecoveredRaw!T:T)</f>
        <v>0</v>
      </c>
      <c r="R101">
        <f>SUMIF(RecoveredRaw!$B:$B,$A101,RecoveredRaw!U:U)</f>
        <v>0</v>
      </c>
      <c r="S101">
        <f>SUMIF(RecoveredRaw!$B:$B,$A101,RecoveredRaw!V:V)</f>
        <v>0</v>
      </c>
      <c r="T101">
        <f>SUMIF(RecoveredRaw!$B:$B,$A101,RecoveredRaw!W:W)</f>
        <v>0</v>
      </c>
      <c r="U101">
        <f>SUMIF(RecoveredRaw!$B:$B,$A101,RecoveredRaw!X:X)</f>
        <v>0</v>
      </c>
      <c r="V101">
        <f>SUMIF(RecoveredRaw!$B:$B,$A101,RecoveredRaw!Y:Y)</f>
        <v>0</v>
      </c>
      <c r="W101">
        <f>SUMIF(RecoveredRaw!$B:$B,$A101,RecoveredRaw!Z:Z)</f>
        <v>0</v>
      </c>
      <c r="X101">
        <f>SUMIF(RecoveredRaw!$B:$B,$A101,RecoveredRaw!AA:AA)</f>
        <v>0</v>
      </c>
      <c r="Y101">
        <f>SUMIF(RecoveredRaw!$B:$B,$A101,RecoveredRaw!AB:AB)</f>
        <v>0</v>
      </c>
      <c r="Z101">
        <f>SUMIF(RecoveredRaw!$B:$B,$A101,RecoveredRaw!AC:AC)</f>
        <v>0</v>
      </c>
      <c r="AA101">
        <f>SUMIF(RecoveredRaw!$B:$B,$A101,RecoveredRaw!AD:AD)</f>
        <v>0</v>
      </c>
      <c r="AB101">
        <f>SUMIF(RecoveredRaw!$B:$B,$A101,RecoveredRaw!AE:AE)</f>
        <v>0</v>
      </c>
      <c r="AC101">
        <f>SUMIF(RecoveredRaw!$B:$B,$A101,RecoveredRaw!AF:AF)</f>
        <v>0</v>
      </c>
      <c r="AD101">
        <f>SUMIF(RecoveredRaw!$B:$B,$A101,RecoveredRaw!AG:AG)</f>
        <v>0</v>
      </c>
      <c r="AE101">
        <f>SUMIF(RecoveredRaw!$B:$B,$A101,RecoveredRaw!AH:AH)</f>
        <v>0</v>
      </c>
      <c r="AF101">
        <f>SUMIF(RecoveredRaw!$B:$B,$A101,RecoveredRaw!AI:AI)</f>
        <v>0</v>
      </c>
      <c r="AG101">
        <f>SUMIF(RecoveredRaw!$B:$B,$A101,RecoveredRaw!AJ:AJ)</f>
        <v>0</v>
      </c>
      <c r="AH101">
        <f>SUMIF(RecoveredRaw!$B:$B,$A101,RecoveredRaw!AK:AK)</f>
        <v>0</v>
      </c>
      <c r="AI101">
        <f>SUMIF(RecoveredRaw!$B:$B,$A101,RecoveredRaw!AL:AL)</f>
        <v>0</v>
      </c>
      <c r="AJ101">
        <f>SUMIF(RecoveredRaw!$B:$B,$A101,RecoveredRaw!AM:AM)</f>
        <v>0</v>
      </c>
      <c r="AK101">
        <f>SUMIF(RecoveredRaw!$B:$B,$A101,RecoveredRaw!AN:AN)</f>
        <v>0</v>
      </c>
      <c r="AL101">
        <f>SUMIF(RecoveredRaw!$B:$B,$A101,RecoveredRaw!AO:AO)</f>
        <v>0</v>
      </c>
      <c r="AM101">
        <f>SUMIF(RecoveredRaw!$B:$B,$A101,RecoveredRaw!AP:AP)</f>
        <v>0</v>
      </c>
      <c r="AN101">
        <f>SUMIF(RecoveredRaw!$B:$B,$A101,RecoveredRaw!AQ:AQ)</f>
        <v>0</v>
      </c>
      <c r="AO101">
        <f>SUMIF(RecoveredRaw!$B:$B,$A101,RecoveredRaw!AR:AR)</f>
        <v>0</v>
      </c>
      <c r="AP101">
        <f>SUMIF(RecoveredRaw!$B:$B,$A101,RecoveredRaw!AS:AS)</f>
        <v>0</v>
      </c>
      <c r="AQ101">
        <f>SUMIF(RecoveredRaw!$B:$B,$A101,RecoveredRaw!AT:AT)</f>
        <v>0</v>
      </c>
      <c r="AR101">
        <f>SUMIF(RecoveredRaw!$B:$B,$A101,RecoveredRaw!AU:AU)</f>
        <v>0</v>
      </c>
      <c r="AS101">
        <f>SUMIF(RecoveredRaw!$B:$B,$A101,RecoveredRaw!AV:AV)</f>
        <v>0</v>
      </c>
      <c r="AT101">
        <f>SUMIF(RecoveredRaw!$B:$B,$A101,RecoveredRaw!AW:AW)</f>
        <v>0</v>
      </c>
      <c r="AU101">
        <f>SUMIF(RecoveredRaw!$B:$B,$A101,RecoveredRaw!AX:AX)</f>
        <v>0</v>
      </c>
      <c r="AV101">
        <f>SUMIF(RecoveredRaw!$B:$B,$A101,RecoveredRaw!AY:AY)</f>
        <v>0</v>
      </c>
      <c r="AW101">
        <f>SUMIF(RecoveredRaw!$B:$B,$A101,RecoveredRaw!AZ:AZ)</f>
        <v>0</v>
      </c>
      <c r="AX101">
        <f>SUMIF(RecoveredRaw!$B:$B,$A101,RecoveredRaw!BA:BA)</f>
        <v>0</v>
      </c>
      <c r="AY101">
        <f>SUMIF(RecoveredRaw!$B:$B,$A101,RecoveredRaw!BB:BB)</f>
        <v>0</v>
      </c>
      <c r="AZ101">
        <f>SUMIF(RecoveredRaw!$B:$B,$A101,RecoveredRaw!BC:BC)</f>
        <v>0</v>
      </c>
      <c r="BA101">
        <f>SUMIF(RecoveredRaw!$B:$B,$A101,RecoveredRaw!BD:BD)</f>
        <v>0</v>
      </c>
      <c r="BB101">
        <f>SUMIF(RecoveredRaw!$B:$B,$A101,RecoveredRaw!BE:BE)</f>
        <v>0</v>
      </c>
      <c r="BC101">
        <f>SUMIF(RecoveredRaw!$B:$B,$A101,RecoveredRaw!BF:BF)</f>
        <v>0</v>
      </c>
      <c r="BD101">
        <f>SUMIF(RecoveredRaw!$B:$B,$A101,RecoveredRaw!BG:BG)</f>
        <v>0</v>
      </c>
      <c r="BE101">
        <f>SUMIF(RecoveredRaw!$B:$B,$A101,RecoveredRaw!BH:BH)</f>
        <v>0</v>
      </c>
      <c r="BF101">
        <f>SUMIF(RecoveredRaw!$B:$B,$A101,RecoveredRaw!BI:BI)</f>
        <v>0</v>
      </c>
      <c r="BG101">
        <f>SUMIF(RecoveredRaw!$B:$B,$A101,RecoveredRaw!BJ:BJ)</f>
        <v>0</v>
      </c>
      <c r="BH101">
        <f>SUMIF(RecoveredRaw!$B:$B,$A101,RecoveredRaw!BK:BK)</f>
        <v>0</v>
      </c>
      <c r="BI101">
        <f>SUMIF(RecoveredRaw!$B:$B,$A101,RecoveredRaw!BL:BL)</f>
        <v>0</v>
      </c>
      <c r="BJ101">
        <f>SUMIF(RecoveredRaw!$B:$B,$A101,RecoveredRaw!BM:BM)</f>
        <v>0</v>
      </c>
      <c r="BK101">
        <f>SUMIF(RecoveredRaw!$B:$B,$A101,RecoveredRaw!BN:BN)</f>
        <v>0</v>
      </c>
      <c r="BL101">
        <f>SUMIF(RecoveredRaw!$B:$B,$A101,RecoveredRaw!BO:BO)</f>
        <v>0</v>
      </c>
      <c r="BM101">
        <f>SUMIF(RecoveredRaw!$B:$B,$A101,RecoveredRaw!BP:BP)</f>
        <v>0</v>
      </c>
      <c r="BN101">
        <f>SUMIF(RecoveredRaw!$B:$B,$A101,RecoveredRaw!BQ:BQ)</f>
        <v>0</v>
      </c>
      <c r="BO101">
        <f>SUMIF(RecoveredRaw!$B:$B,$A101,RecoveredRaw!BR:BR)</f>
        <v>0</v>
      </c>
      <c r="BP101">
        <f>SUMIF(RecoveredRaw!$B:$B,$A101,RecoveredRaw!BS:BS)</f>
        <v>0</v>
      </c>
      <c r="BQ101">
        <f>SUMIF(RecoveredRaw!$B:$B,$A101,RecoveredRaw!BT:BT)</f>
        <v>0</v>
      </c>
      <c r="BR101">
        <f>SUMIF(RecoveredRaw!$B:$B,$A101,RecoveredRaw!BU:BU)</f>
        <v>0</v>
      </c>
      <c r="BS101">
        <f>SUMIF(RecoveredRaw!$B:$B,$A101,RecoveredRaw!BV:BV)</f>
        <v>0</v>
      </c>
      <c r="BT101">
        <f>SUMIF(RecoveredRaw!$B:$B,$A101,RecoveredRaw!BW:BW)</f>
        <v>0</v>
      </c>
    </row>
    <row r="102" spans="1:72" ht="15" thickBot="1" x14ac:dyDescent="0.35">
      <c r="A102" s="3" t="s">
        <v>129</v>
      </c>
      <c r="B102">
        <f>SUMIF(RecoveredRaw!$B:$B,$A102,RecoveredRaw!E:E)</f>
        <v>0</v>
      </c>
      <c r="C102">
        <f>SUMIF(RecoveredRaw!$B:$B,$A102,RecoveredRaw!F:F)</f>
        <v>0</v>
      </c>
      <c r="D102">
        <f>SUMIF(RecoveredRaw!$B:$B,$A102,RecoveredRaw!G:G)</f>
        <v>0</v>
      </c>
      <c r="E102">
        <f>SUMIF(RecoveredRaw!$B:$B,$A102,RecoveredRaw!H:H)</f>
        <v>0</v>
      </c>
      <c r="F102">
        <f>SUMIF(RecoveredRaw!$B:$B,$A102,RecoveredRaw!I:I)</f>
        <v>0</v>
      </c>
      <c r="G102">
        <f>SUMIF(RecoveredRaw!$B:$B,$A102,RecoveredRaw!J:J)</f>
        <v>0</v>
      </c>
      <c r="H102">
        <f>SUMIF(RecoveredRaw!$B:$B,$A102,RecoveredRaw!K:K)</f>
        <v>0</v>
      </c>
      <c r="I102">
        <f>SUMIF(RecoveredRaw!$B:$B,$A102,RecoveredRaw!L:L)</f>
        <v>0</v>
      </c>
      <c r="J102">
        <f>SUMIF(RecoveredRaw!$B:$B,$A102,RecoveredRaw!M:M)</f>
        <v>0</v>
      </c>
      <c r="K102">
        <f>SUMIF(RecoveredRaw!$B:$B,$A102,RecoveredRaw!N:N)</f>
        <v>0</v>
      </c>
      <c r="L102">
        <f>SUMIF(RecoveredRaw!$B:$B,$A102,RecoveredRaw!O:O)</f>
        <v>0</v>
      </c>
      <c r="M102">
        <f>SUMIF(RecoveredRaw!$B:$B,$A102,RecoveredRaw!P:P)</f>
        <v>0</v>
      </c>
      <c r="N102">
        <f>SUMIF(RecoveredRaw!$B:$B,$A102,RecoveredRaw!Q:Q)</f>
        <v>0</v>
      </c>
      <c r="O102">
        <f>SUMIF(RecoveredRaw!$B:$B,$A102,RecoveredRaw!R:R)</f>
        <v>0</v>
      </c>
      <c r="P102">
        <f>SUMIF(RecoveredRaw!$B:$B,$A102,RecoveredRaw!S:S)</f>
        <v>0</v>
      </c>
      <c r="Q102">
        <f>SUMIF(RecoveredRaw!$B:$B,$A102,RecoveredRaw!T:T)</f>
        <v>0</v>
      </c>
      <c r="R102">
        <f>SUMIF(RecoveredRaw!$B:$B,$A102,RecoveredRaw!U:U)</f>
        <v>0</v>
      </c>
      <c r="S102">
        <f>SUMIF(RecoveredRaw!$B:$B,$A102,RecoveredRaw!V:V)</f>
        <v>0</v>
      </c>
      <c r="T102">
        <f>SUMIF(RecoveredRaw!$B:$B,$A102,RecoveredRaw!W:W)</f>
        <v>0</v>
      </c>
      <c r="U102">
        <f>SUMIF(RecoveredRaw!$B:$B,$A102,RecoveredRaw!X:X)</f>
        <v>0</v>
      </c>
      <c r="V102">
        <f>SUMIF(RecoveredRaw!$B:$B,$A102,RecoveredRaw!Y:Y)</f>
        <v>0</v>
      </c>
      <c r="W102">
        <f>SUMIF(RecoveredRaw!$B:$B,$A102,RecoveredRaw!Z:Z)</f>
        <v>0</v>
      </c>
      <c r="X102">
        <f>SUMIF(RecoveredRaw!$B:$B,$A102,RecoveredRaw!AA:AA)</f>
        <v>0</v>
      </c>
      <c r="Y102">
        <f>SUMIF(RecoveredRaw!$B:$B,$A102,RecoveredRaw!AB:AB)</f>
        <v>0</v>
      </c>
      <c r="Z102">
        <f>SUMIF(RecoveredRaw!$B:$B,$A102,RecoveredRaw!AC:AC)</f>
        <v>0</v>
      </c>
      <c r="AA102">
        <f>SUMIF(RecoveredRaw!$B:$B,$A102,RecoveredRaw!AD:AD)</f>
        <v>0</v>
      </c>
      <c r="AB102">
        <f>SUMIF(RecoveredRaw!$B:$B,$A102,RecoveredRaw!AE:AE)</f>
        <v>0</v>
      </c>
      <c r="AC102">
        <f>SUMIF(RecoveredRaw!$B:$B,$A102,RecoveredRaw!AF:AF)</f>
        <v>0</v>
      </c>
      <c r="AD102">
        <f>SUMIF(RecoveredRaw!$B:$B,$A102,RecoveredRaw!AG:AG)</f>
        <v>0</v>
      </c>
      <c r="AE102">
        <f>SUMIF(RecoveredRaw!$B:$B,$A102,RecoveredRaw!AH:AH)</f>
        <v>0</v>
      </c>
      <c r="AF102">
        <f>SUMIF(RecoveredRaw!$B:$B,$A102,RecoveredRaw!AI:AI)</f>
        <v>0</v>
      </c>
      <c r="AG102">
        <f>SUMIF(RecoveredRaw!$B:$B,$A102,RecoveredRaw!AJ:AJ)</f>
        <v>0</v>
      </c>
      <c r="AH102">
        <f>SUMIF(RecoveredRaw!$B:$B,$A102,RecoveredRaw!AK:AK)</f>
        <v>0</v>
      </c>
      <c r="AI102">
        <f>SUMIF(RecoveredRaw!$B:$B,$A102,RecoveredRaw!AL:AL)</f>
        <v>0</v>
      </c>
      <c r="AJ102">
        <f>SUMIF(RecoveredRaw!$B:$B,$A102,RecoveredRaw!AM:AM)</f>
        <v>0</v>
      </c>
      <c r="AK102">
        <f>SUMIF(RecoveredRaw!$B:$B,$A102,RecoveredRaw!AN:AN)</f>
        <v>0</v>
      </c>
      <c r="AL102">
        <f>SUMIF(RecoveredRaw!$B:$B,$A102,RecoveredRaw!AO:AO)</f>
        <v>0</v>
      </c>
      <c r="AM102">
        <f>SUMIF(RecoveredRaw!$B:$B,$A102,RecoveredRaw!AP:AP)</f>
        <v>0</v>
      </c>
      <c r="AN102">
        <f>SUMIF(RecoveredRaw!$B:$B,$A102,RecoveredRaw!AQ:AQ)</f>
        <v>0</v>
      </c>
      <c r="AO102">
        <f>SUMIF(RecoveredRaw!$B:$B,$A102,RecoveredRaw!AR:AR)</f>
        <v>0</v>
      </c>
      <c r="AP102">
        <f>SUMIF(RecoveredRaw!$B:$B,$A102,RecoveredRaw!AS:AS)</f>
        <v>0</v>
      </c>
      <c r="AQ102">
        <f>SUMIF(RecoveredRaw!$B:$B,$A102,RecoveredRaw!AT:AT)</f>
        <v>0</v>
      </c>
      <c r="AR102">
        <f>SUMIF(RecoveredRaw!$B:$B,$A102,RecoveredRaw!AU:AU)</f>
        <v>0</v>
      </c>
      <c r="AS102">
        <f>SUMIF(RecoveredRaw!$B:$B,$A102,RecoveredRaw!AV:AV)</f>
        <v>0</v>
      </c>
      <c r="AT102">
        <f>SUMIF(RecoveredRaw!$B:$B,$A102,RecoveredRaw!AW:AW)</f>
        <v>0</v>
      </c>
      <c r="AU102">
        <f>SUMIF(RecoveredRaw!$B:$B,$A102,RecoveredRaw!AX:AX)</f>
        <v>0</v>
      </c>
      <c r="AV102">
        <f>SUMIF(RecoveredRaw!$B:$B,$A102,RecoveredRaw!AY:AY)</f>
        <v>0</v>
      </c>
      <c r="AW102">
        <f>SUMIF(RecoveredRaw!$B:$B,$A102,RecoveredRaw!AZ:AZ)</f>
        <v>0</v>
      </c>
      <c r="AX102">
        <f>SUMIF(RecoveredRaw!$B:$B,$A102,RecoveredRaw!BA:BA)</f>
        <v>0</v>
      </c>
      <c r="AY102">
        <f>SUMIF(RecoveredRaw!$B:$B,$A102,RecoveredRaw!BB:BB)</f>
        <v>0</v>
      </c>
      <c r="AZ102">
        <f>SUMIF(RecoveredRaw!$B:$B,$A102,RecoveredRaw!BC:BC)</f>
        <v>0</v>
      </c>
      <c r="BA102">
        <f>SUMIF(RecoveredRaw!$B:$B,$A102,RecoveredRaw!BD:BD)</f>
        <v>0</v>
      </c>
      <c r="BB102">
        <f>SUMIF(RecoveredRaw!$B:$B,$A102,RecoveredRaw!BE:BE)</f>
        <v>0</v>
      </c>
      <c r="BC102">
        <f>SUMIF(RecoveredRaw!$B:$B,$A102,RecoveredRaw!BF:BF)</f>
        <v>0</v>
      </c>
      <c r="BD102">
        <f>SUMIF(RecoveredRaw!$B:$B,$A102,RecoveredRaw!BG:BG)</f>
        <v>0</v>
      </c>
      <c r="BE102">
        <f>SUMIF(RecoveredRaw!$B:$B,$A102,RecoveredRaw!BH:BH)</f>
        <v>0</v>
      </c>
      <c r="BF102">
        <f>SUMIF(RecoveredRaw!$B:$B,$A102,RecoveredRaw!BI:BI)</f>
        <v>0</v>
      </c>
      <c r="BG102">
        <f>SUMIF(RecoveredRaw!$B:$B,$A102,RecoveredRaw!BJ:BJ)</f>
        <v>0</v>
      </c>
      <c r="BH102">
        <f>SUMIF(RecoveredRaw!$B:$B,$A102,RecoveredRaw!BK:BK)</f>
        <v>0</v>
      </c>
      <c r="BI102">
        <f>SUMIF(RecoveredRaw!$B:$B,$A102,RecoveredRaw!BL:BL)</f>
        <v>0</v>
      </c>
      <c r="BJ102">
        <f>SUMIF(RecoveredRaw!$B:$B,$A102,RecoveredRaw!BM:BM)</f>
        <v>0</v>
      </c>
      <c r="BK102">
        <f>SUMIF(RecoveredRaw!$B:$B,$A102,RecoveredRaw!BN:BN)</f>
        <v>0</v>
      </c>
      <c r="BL102">
        <f>SUMIF(RecoveredRaw!$B:$B,$A102,RecoveredRaw!BO:BO)</f>
        <v>0</v>
      </c>
      <c r="BM102">
        <f>SUMIF(RecoveredRaw!$B:$B,$A102,RecoveredRaw!BP:BP)</f>
        <v>0</v>
      </c>
      <c r="BN102">
        <f>SUMIF(RecoveredRaw!$B:$B,$A102,RecoveredRaw!BQ:BQ)</f>
        <v>0</v>
      </c>
      <c r="BO102">
        <f>SUMIF(RecoveredRaw!$B:$B,$A102,RecoveredRaw!BR:BR)</f>
        <v>0</v>
      </c>
      <c r="BP102">
        <f>SUMIF(RecoveredRaw!$B:$B,$A102,RecoveredRaw!BS:BS)</f>
        <v>0</v>
      </c>
      <c r="BQ102">
        <f>SUMIF(RecoveredRaw!$B:$B,$A102,RecoveredRaw!BT:BT)</f>
        <v>0</v>
      </c>
      <c r="BR102">
        <f>SUMIF(RecoveredRaw!$B:$B,$A102,RecoveredRaw!BU:BU)</f>
        <v>0</v>
      </c>
      <c r="BS102">
        <f>SUMIF(RecoveredRaw!$B:$B,$A102,RecoveredRaw!BV:BV)</f>
        <v>0</v>
      </c>
      <c r="BT102">
        <f>SUMIF(RecoveredRaw!$B:$B,$A102,RecoveredRaw!BW:BW)</f>
        <v>0</v>
      </c>
    </row>
    <row r="103" spans="1:72" ht="15" thickBot="1" x14ac:dyDescent="0.35">
      <c r="A103" s="3" t="s">
        <v>422</v>
      </c>
      <c r="B103">
        <f>SUMIF(RecoveredRaw!$B:$B,$A103,RecoveredRaw!E:E)</f>
        <v>0</v>
      </c>
      <c r="C103">
        <f>SUMIF(RecoveredRaw!$B:$B,$A103,RecoveredRaw!F:F)</f>
        <v>0</v>
      </c>
      <c r="D103">
        <f>SUMIF(RecoveredRaw!$B:$B,$A103,RecoveredRaw!G:G)</f>
        <v>0</v>
      </c>
      <c r="E103">
        <f>SUMIF(RecoveredRaw!$B:$B,$A103,RecoveredRaw!H:H)</f>
        <v>0</v>
      </c>
      <c r="F103">
        <f>SUMIF(RecoveredRaw!$B:$B,$A103,RecoveredRaw!I:I)</f>
        <v>0</v>
      </c>
      <c r="G103">
        <f>SUMIF(RecoveredRaw!$B:$B,$A103,RecoveredRaw!J:J)</f>
        <v>0</v>
      </c>
      <c r="H103">
        <f>SUMIF(RecoveredRaw!$B:$B,$A103,RecoveredRaw!K:K)</f>
        <v>0</v>
      </c>
      <c r="I103">
        <f>SUMIF(RecoveredRaw!$B:$B,$A103,RecoveredRaw!L:L)</f>
        <v>0</v>
      </c>
      <c r="J103">
        <f>SUMIF(RecoveredRaw!$B:$B,$A103,RecoveredRaw!M:M)</f>
        <v>0</v>
      </c>
      <c r="K103">
        <f>SUMIF(RecoveredRaw!$B:$B,$A103,RecoveredRaw!N:N)</f>
        <v>0</v>
      </c>
      <c r="L103">
        <f>SUMIF(RecoveredRaw!$B:$B,$A103,RecoveredRaw!O:O)</f>
        <v>0</v>
      </c>
      <c r="M103">
        <f>SUMIF(RecoveredRaw!$B:$B,$A103,RecoveredRaw!P:P)</f>
        <v>0</v>
      </c>
      <c r="N103">
        <f>SUMIF(RecoveredRaw!$B:$B,$A103,RecoveredRaw!Q:Q)</f>
        <v>0</v>
      </c>
      <c r="O103">
        <f>SUMIF(RecoveredRaw!$B:$B,$A103,RecoveredRaw!R:R)</f>
        <v>0</v>
      </c>
      <c r="P103">
        <f>SUMIF(RecoveredRaw!$B:$B,$A103,RecoveredRaw!S:S)</f>
        <v>0</v>
      </c>
      <c r="Q103">
        <f>SUMIF(RecoveredRaw!$B:$B,$A103,RecoveredRaw!T:T)</f>
        <v>0</v>
      </c>
      <c r="R103">
        <f>SUMIF(RecoveredRaw!$B:$B,$A103,RecoveredRaw!U:U)</f>
        <v>0</v>
      </c>
      <c r="S103">
        <f>SUMIF(RecoveredRaw!$B:$B,$A103,RecoveredRaw!V:V)</f>
        <v>0</v>
      </c>
      <c r="T103">
        <f>SUMIF(RecoveredRaw!$B:$B,$A103,RecoveredRaw!W:W)</f>
        <v>0</v>
      </c>
      <c r="U103">
        <f>SUMIF(RecoveredRaw!$B:$B,$A103,RecoveredRaw!X:X)</f>
        <v>0</v>
      </c>
      <c r="V103">
        <f>SUMIF(RecoveredRaw!$B:$B,$A103,RecoveredRaw!Y:Y)</f>
        <v>0</v>
      </c>
      <c r="W103">
        <f>SUMIF(RecoveredRaw!$B:$B,$A103,RecoveredRaw!Z:Z)</f>
        <v>0</v>
      </c>
      <c r="X103">
        <f>SUMIF(RecoveredRaw!$B:$B,$A103,RecoveredRaw!AA:AA)</f>
        <v>0</v>
      </c>
      <c r="Y103">
        <f>SUMIF(RecoveredRaw!$B:$B,$A103,RecoveredRaw!AB:AB)</f>
        <v>0</v>
      </c>
      <c r="Z103">
        <f>SUMIF(RecoveredRaw!$B:$B,$A103,RecoveredRaw!AC:AC)</f>
        <v>0</v>
      </c>
      <c r="AA103">
        <f>SUMIF(RecoveredRaw!$B:$B,$A103,RecoveredRaw!AD:AD)</f>
        <v>0</v>
      </c>
      <c r="AB103">
        <f>SUMIF(RecoveredRaw!$B:$B,$A103,RecoveredRaw!AE:AE)</f>
        <v>0</v>
      </c>
      <c r="AC103">
        <f>SUMIF(RecoveredRaw!$B:$B,$A103,RecoveredRaw!AF:AF)</f>
        <v>0</v>
      </c>
      <c r="AD103">
        <f>SUMIF(RecoveredRaw!$B:$B,$A103,RecoveredRaw!AG:AG)</f>
        <v>0</v>
      </c>
      <c r="AE103">
        <f>SUMIF(RecoveredRaw!$B:$B,$A103,RecoveredRaw!AH:AH)</f>
        <v>0</v>
      </c>
      <c r="AF103">
        <f>SUMIF(RecoveredRaw!$B:$B,$A103,RecoveredRaw!AI:AI)</f>
        <v>0</v>
      </c>
      <c r="AG103">
        <f>SUMIF(RecoveredRaw!$B:$B,$A103,RecoveredRaw!AJ:AJ)</f>
        <v>0</v>
      </c>
      <c r="AH103">
        <f>SUMIF(RecoveredRaw!$B:$B,$A103,RecoveredRaw!AK:AK)</f>
        <v>0</v>
      </c>
      <c r="AI103">
        <f>SUMIF(RecoveredRaw!$B:$B,$A103,RecoveredRaw!AL:AL)</f>
        <v>0</v>
      </c>
      <c r="AJ103">
        <f>SUMIF(RecoveredRaw!$B:$B,$A103,RecoveredRaw!AM:AM)</f>
        <v>0</v>
      </c>
      <c r="AK103">
        <f>SUMIF(RecoveredRaw!$B:$B,$A103,RecoveredRaw!AN:AN)</f>
        <v>0</v>
      </c>
      <c r="AL103">
        <f>SUMIF(RecoveredRaw!$B:$B,$A103,RecoveredRaw!AO:AO)</f>
        <v>0</v>
      </c>
      <c r="AM103">
        <f>SUMIF(RecoveredRaw!$B:$B,$A103,RecoveredRaw!AP:AP)</f>
        <v>0</v>
      </c>
      <c r="AN103">
        <f>SUMIF(RecoveredRaw!$B:$B,$A103,RecoveredRaw!AQ:AQ)</f>
        <v>0</v>
      </c>
      <c r="AO103">
        <f>SUMIF(RecoveredRaw!$B:$B,$A103,RecoveredRaw!AR:AR)</f>
        <v>0</v>
      </c>
      <c r="AP103">
        <f>SUMIF(RecoveredRaw!$B:$B,$A103,RecoveredRaw!AS:AS)</f>
        <v>0</v>
      </c>
      <c r="AQ103">
        <f>SUMIF(RecoveredRaw!$B:$B,$A103,RecoveredRaw!AT:AT)</f>
        <v>0</v>
      </c>
      <c r="AR103">
        <f>SUMIF(RecoveredRaw!$B:$B,$A103,RecoveredRaw!AU:AU)</f>
        <v>0</v>
      </c>
      <c r="AS103">
        <f>SUMIF(RecoveredRaw!$B:$B,$A103,RecoveredRaw!AV:AV)</f>
        <v>0</v>
      </c>
      <c r="AT103">
        <f>SUMIF(RecoveredRaw!$B:$B,$A103,RecoveredRaw!AW:AW)</f>
        <v>0</v>
      </c>
      <c r="AU103">
        <f>SUMIF(RecoveredRaw!$B:$B,$A103,RecoveredRaw!AX:AX)</f>
        <v>0</v>
      </c>
      <c r="AV103">
        <f>SUMIF(RecoveredRaw!$B:$B,$A103,RecoveredRaw!AY:AY)</f>
        <v>0</v>
      </c>
      <c r="AW103">
        <f>SUMIF(RecoveredRaw!$B:$B,$A103,RecoveredRaw!AZ:AZ)</f>
        <v>0</v>
      </c>
      <c r="AX103">
        <f>SUMIF(RecoveredRaw!$B:$B,$A103,RecoveredRaw!BA:BA)</f>
        <v>0</v>
      </c>
      <c r="AY103">
        <f>SUMIF(RecoveredRaw!$B:$B,$A103,RecoveredRaw!BB:BB)</f>
        <v>0</v>
      </c>
      <c r="AZ103">
        <f>SUMIF(RecoveredRaw!$B:$B,$A103,RecoveredRaw!BC:BC)</f>
        <v>0</v>
      </c>
      <c r="BA103">
        <f>SUMIF(RecoveredRaw!$B:$B,$A103,RecoveredRaw!BD:BD)</f>
        <v>0</v>
      </c>
      <c r="BB103">
        <f>SUMIF(RecoveredRaw!$B:$B,$A103,RecoveredRaw!BE:BE)</f>
        <v>0</v>
      </c>
      <c r="BC103">
        <f>SUMIF(RecoveredRaw!$B:$B,$A103,RecoveredRaw!BF:BF)</f>
        <v>0</v>
      </c>
      <c r="BD103">
        <f>SUMIF(RecoveredRaw!$B:$B,$A103,RecoveredRaw!BG:BG)</f>
        <v>0</v>
      </c>
      <c r="BE103">
        <f>SUMIF(RecoveredRaw!$B:$B,$A103,RecoveredRaw!BH:BH)</f>
        <v>0</v>
      </c>
      <c r="BF103">
        <f>SUMIF(RecoveredRaw!$B:$B,$A103,RecoveredRaw!BI:BI)</f>
        <v>0</v>
      </c>
      <c r="BG103">
        <f>SUMIF(RecoveredRaw!$B:$B,$A103,RecoveredRaw!BJ:BJ)</f>
        <v>0</v>
      </c>
      <c r="BH103">
        <f>SUMIF(RecoveredRaw!$B:$B,$A103,RecoveredRaw!BK:BK)</f>
        <v>0</v>
      </c>
      <c r="BI103">
        <f>SUMIF(RecoveredRaw!$B:$B,$A103,RecoveredRaw!BL:BL)</f>
        <v>0</v>
      </c>
      <c r="BJ103">
        <f>SUMIF(RecoveredRaw!$B:$B,$A103,RecoveredRaw!BM:BM)</f>
        <v>0</v>
      </c>
      <c r="BK103">
        <f>SUMIF(RecoveredRaw!$B:$B,$A103,RecoveredRaw!BN:BN)</f>
        <v>0</v>
      </c>
      <c r="BL103">
        <f>SUMIF(RecoveredRaw!$B:$B,$A103,RecoveredRaw!BO:BO)</f>
        <v>0</v>
      </c>
      <c r="BM103">
        <f>SUMIF(RecoveredRaw!$B:$B,$A103,RecoveredRaw!BP:BP)</f>
        <v>0</v>
      </c>
      <c r="BN103">
        <f>SUMIF(RecoveredRaw!$B:$B,$A103,RecoveredRaw!BQ:BQ)</f>
        <v>0</v>
      </c>
      <c r="BO103">
        <f>SUMIF(RecoveredRaw!$B:$B,$A103,RecoveredRaw!BR:BR)</f>
        <v>0</v>
      </c>
      <c r="BP103">
        <f>SUMIF(RecoveredRaw!$B:$B,$A103,RecoveredRaw!BS:BS)</f>
        <v>0</v>
      </c>
      <c r="BQ103">
        <f>SUMIF(RecoveredRaw!$B:$B,$A103,RecoveredRaw!BT:BT)</f>
        <v>0</v>
      </c>
      <c r="BR103">
        <f>SUMIF(RecoveredRaw!$B:$B,$A103,RecoveredRaw!BU:BU)</f>
        <v>0</v>
      </c>
      <c r="BS103">
        <f>SUMIF(RecoveredRaw!$B:$B,$A103,RecoveredRaw!BV:BV)</f>
        <v>0</v>
      </c>
      <c r="BT103">
        <f>SUMIF(RecoveredRaw!$B:$B,$A103,RecoveredRaw!BW:BW)</f>
        <v>0</v>
      </c>
    </row>
    <row r="104" spans="1:72" ht="15" thickBot="1" x14ac:dyDescent="0.35">
      <c r="A104" s="4" t="s">
        <v>279</v>
      </c>
      <c r="B104">
        <f>SUMIF(RecoveredRaw!$B:$B,$A104,RecoveredRaw!E:E)</f>
        <v>0</v>
      </c>
      <c r="C104">
        <f>SUMIF(RecoveredRaw!$B:$B,$A104,RecoveredRaw!F:F)</f>
        <v>0</v>
      </c>
      <c r="D104">
        <f>SUMIF(RecoveredRaw!$B:$B,$A104,RecoveredRaw!G:G)</f>
        <v>0</v>
      </c>
      <c r="E104">
        <f>SUMIF(RecoveredRaw!$B:$B,$A104,RecoveredRaw!H:H)</f>
        <v>0</v>
      </c>
      <c r="F104">
        <f>SUMIF(RecoveredRaw!$B:$B,$A104,RecoveredRaw!I:I)</f>
        <v>0</v>
      </c>
      <c r="G104">
        <f>SUMIF(RecoveredRaw!$B:$B,$A104,RecoveredRaw!J:J)</f>
        <v>0</v>
      </c>
      <c r="H104">
        <f>SUMIF(RecoveredRaw!$B:$B,$A104,RecoveredRaw!K:K)</f>
        <v>0</v>
      </c>
      <c r="I104">
        <f>SUMIF(RecoveredRaw!$B:$B,$A104,RecoveredRaw!L:L)</f>
        <v>0</v>
      </c>
      <c r="J104">
        <f>SUMIF(RecoveredRaw!$B:$B,$A104,RecoveredRaw!M:M)</f>
        <v>0</v>
      </c>
      <c r="K104">
        <f>SUMIF(RecoveredRaw!$B:$B,$A104,RecoveredRaw!N:N)</f>
        <v>0</v>
      </c>
      <c r="L104">
        <f>SUMIF(RecoveredRaw!$B:$B,$A104,RecoveredRaw!O:O)</f>
        <v>0</v>
      </c>
      <c r="M104">
        <f>SUMIF(RecoveredRaw!$B:$B,$A104,RecoveredRaw!P:P)</f>
        <v>0</v>
      </c>
      <c r="N104">
        <f>SUMIF(RecoveredRaw!$B:$B,$A104,RecoveredRaw!Q:Q)</f>
        <v>0</v>
      </c>
      <c r="O104">
        <f>SUMIF(RecoveredRaw!$B:$B,$A104,RecoveredRaw!R:R)</f>
        <v>0</v>
      </c>
      <c r="P104">
        <f>SUMIF(RecoveredRaw!$B:$B,$A104,RecoveredRaw!S:S)</f>
        <v>0</v>
      </c>
      <c r="Q104">
        <f>SUMIF(RecoveredRaw!$B:$B,$A104,RecoveredRaw!T:T)</f>
        <v>0</v>
      </c>
      <c r="R104">
        <f>SUMIF(RecoveredRaw!$B:$B,$A104,RecoveredRaw!U:U)</f>
        <v>0</v>
      </c>
      <c r="S104">
        <f>SUMIF(RecoveredRaw!$B:$B,$A104,RecoveredRaw!V:V)</f>
        <v>0</v>
      </c>
      <c r="T104">
        <f>SUMIF(RecoveredRaw!$B:$B,$A104,RecoveredRaw!W:W)</f>
        <v>0</v>
      </c>
      <c r="U104">
        <f>SUMIF(RecoveredRaw!$B:$B,$A104,RecoveredRaw!X:X)</f>
        <v>0</v>
      </c>
      <c r="V104">
        <f>SUMIF(RecoveredRaw!$B:$B,$A104,RecoveredRaw!Y:Y)</f>
        <v>0</v>
      </c>
      <c r="W104">
        <f>SUMIF(RecoveredRaw!$B:$B,$A104,RecoveredRaw!Z:Z)</f>
        <v>0</v>
      </c>
      <c r="X104">
        <f>SUMIF(RecoveredRaw!$B:$B,$A104,RecoveredRaw!AA:AA)</f>
        <v>0</v>
      </c>
      <c r="Y104">
        <f>SUMIF(RecoveredRaw!$B:$B,$A104,RecoveredRaw!AB:AB)</f>
        <v>0</v>
      </c>
      <c r="Z104">
        <f>SUMIF(RecoveredRaw!$B:$B,$A104,RecoveredRaw!AC:AC)</f>
        <v>0</v>
      </c>
      <c r="AA104">
        <f>SUMIF(RecoveredRaw!$B:$B,$A104,RecoveredRaw!AD:AD)</f>
        <v>0</v>
      </c>
      <c r="AB104">
        <f>SUMIF(RecoveredRaw!$B:$B,$A104,RecoveredRaw!AE:AE)</f>
        <v>0</v>
      </c>
      <c r="AC104">
        <f>SUMIF(RecoveredRaw!$B:$B,$A104,RecoveredRaw!AF:AF)</f>
        <v>0</v>
      </c>
      <c r="AD104">
        <f>SUMIF(RecoveredRaw!$B:$B,$A104,RecoveredRaw!AG:AG)</f>
        <v>0</v>
      </c>
      <c r="AE104">
        <f>SUMIF(RecoveredRaw!$B:$B,$A104,RecoveredRaw!AH:AH)</f>
        <v>0</v>
      </c>
      <c r="AF104">
        <f>SUMIF(RecoveredRaw!$B:$B,$A104,RecoveredRaw!AI:AI)</f>
        <v>0</v>
      </c>
      <c r="AG104">
        <f>SUMIF(RecoveredRaw!$B:$B,$A104,RecoveredRaw!AJ:AJ)</f>
        <v>0</v>
      </c>
      <c r="AH104">
        <f>SUMIF(RecoveredRaw!$B:$B,$A104,RecoveredRaw!AK:AK)</f>
        <v>0</v>
      </c>
      <c r="AI104">
        <f>SUMIF(RecoveredRaw!$B:$B,$A104,RecoveredRaw!AL:AL)</f>
        <v>0</v>
      </c>
      <c r="AJ104">
        <f>SUMIF(RecoveredRaw!$B:$B,$A104,RecoveredRaw!AM:AM)</f>
        <v>0</v>
      </c>
      <c r="AK104">
        <f>SUMIF(RecoveredRaw!$B:$B,$A104,RecoveredRaw!AN:AN)</f>
        <v>0</v>
      </c>
      <c r="AL104">
        <f>SUMIF(RecoveredRaw!$B:$B,$A104,RecoveredRaw!AO:AO)</f>
        <v>0</v>
      </c>
      <c r="AM104">
        <f>SUMIF(RecoveredRaw!$B:$B,$A104,RecoveredRaw!AP:AP)</f>
        <v>0</v>
      </c>
      <c r="AN104">
        <f>SUMIF(RecoveredRaw!$B:$B,$A104,RecoveredRaw!AQ:AQ)</f>
        <v>0</v>
      </c>
      <c r="AO104">
        <f>SUMIF(RecoveredRaw!$B:$B,$A104,RecoveredRaw!AR:AR)</f>
        <v>0</v>
      </c>
      <c r="AP104">
        <f>SUMIF(RecoveredRaw!$B:$B,$A104,RecoveredRaw!AS:AS)</f>
        <v>0</v>
      </c>
      <c r="AQ104">
        <f>SUMIF(RecoveredRaw!$B:$B,$A104,RecoveredRaw!AT:AT)</f>
        <v>0</v>
      </c>
      <c r="AR104">
        <f>SUMIF(RecoveredRaw!$B:$B,$A104,RecoveredRaw!AU:AU)</f>
        <v>0</v>
      </c>
      <c r="AS104">
        <f>SUMIF(RecoveredRaw!$B:$B,$A104,RecoveredRaw!AV:AV)</f>
        <v>0</v>
      </c>
      <c r="AT104">
        <f>SUMIF(RecoveredRaw!$B:$B,$A104,RecoveredRaw!AW:AW)</f>
        <v>0</v>
      </c>
      <c r="AU104">
        <f>SUMIF(RecoveredRaw!$B:$B,$A104,RecoveredRaw!AX:AX)</f>
        <v>0</v>
      </c>
      <c r="AV104">
        <f>SUMIF(RecoveredRaw!$B:$B,$A104,RecoveredRaw!AY:AY)</f>
        <v>0</v>
      </c>
      <c r="AW104">
        <f>SUMIF(RecoveredRaw!$B:$B,$A104,RecoveredRaw!AZ:AZ)</f>
        <v>0</v>
      </c>
      <c r="AX104">
        <f>SUMIF(RecoveredRaw!$B:$B,$A104,RecoveredRaw!BA:BA)</f>
        <v>0</v>
      </c>
      <c r="AY104">
        <f>SUMIF(RecoveredRaw!$B:$B,$A104,RecoveredRaw!BB:BB)</f>
        <v>0</v>
      </c>
      <c r="AZ104">
        <f>SUMIF(RecoveredRaw!$B:$B,$A104,RecoveredRaw!BC:BC)</f>
        <v>0</v>
      </c>
      <c r="BA104">
        <f>SUMIF(RecoveredRaw!$B:$B,$A104,RecoveredRaw!BD:BD)</f>
        <v>0</v>
      </c>
      <c r="BB104">
        <f>SUMIF(RecoveredRaw!$B:$B,$A104,RecoveredRaw!BE:BE)</f>
        <v>0</v>
      </c>
      <c r="BC104">
        <f>SUMIF(RecoveredRaw!$B:$B,$A104,RecoveredRaw!BF:BF)</f>
        <v>0</v>
      </c>
      <c r="BD104">
        <f>SUMIF(RecoveredRaw!$B:$B,$A104,RecoveredRaw!BG:BG)</f>
        <v>0</v>
      </c>
      <c r="BE104">
        <f>SUMIF(RecoveredRaw!$B:$B,$A104,RecoveredRaw!BH:BH)</f>
        <v>0</v>
      </c>
      <c r="BF104">
        <f>SUMIF(RecoveredRaw!$B:$B,$A104,RecoveredRaw!BI:BI)</f>
        <v>0</v>
      </c>
      <c r="BG104">
        <f>SUMIF(RecoveredRaw!$B:$B,$A104,RecoveredRaw!BJ:BJ)</f>
        <v>0</v>
      </c>
      <c r="BH104">
        <f>SUMIF(RecoveredRaw!$B:$B,$A104,RecoveredRaw!BK:BK)</f>
        <v>0</v>
      </c>
      <c r="BI104">
        <f>SUMIF(RecoveredRaw!$B:$B,$A104,RecoveredRaw!BL:BL)</f>
        <v>0</v>
      </c>
      <c r="BJ104">
        <f>SUMIF(RecoveredRaw!$B:$B,$A104,RecoveredRaw!BM:BM)</f>
        <v>0</v>
      </c>
      <c r="BK104">
        <f>SUMIF(RecoveredRaw!$B:$B,$A104,RecoveredRaw!BN:BN)</f>
        <v>0</v>
      </c>
      <c r="BL104">
        <f>SUMIF(RecoveredRaw!$B:$B,$A104,RecoveredRaw!BO:BO)</f>
        <v>0</v>
      </c>
      <c r="BM104">
        <f>SUMIF(RecoveredRaw!$B:$B,$A104,RecoveredRaw!BP:BP)</f>
        <v>0</v>
      </c>
      <c r="BN104">
        <f>SUMIF(RecoveredRaw!$B:$B,$A104,RecoveredRaw!BQ:BQ)</f>
        <v>0</v>
      </c>
      <c r="BO104">
        <f>SUMIF(RecoveredRaw!$B:$B,$A104,RecoveredRaw!BR:BR)</f>
        <v>0</v>
      </c>
      <c r="BP104">
        <f>SUMIF(RecoveredRaw!$B:$B,$A104,RecoveredRaw!BS:BS)</f>
        <v>0</v>
      </c>
      <c r="BQ104">
        <f>SUMIF(RecoveredRaw!$B:$B,$A104,RecoveredRaw!BT:BT)</f>
        <v>0</v>
      </c>
      <c r="BR104">
        <f>SUMIF(RecoveredRaw!$B:$B,$A104,RecoveredRaw!BU:BU)</f>
        <v>0</v>
      </c>
      <c r="BS104">
        <f>SUMIF(RecoveredRaw!$B:$B,$A104,RecoveredRaw!BV:BV)</f>
        <v>0</v>
      </c>
      <c r="BT104">
        <f>SUMIF(RecoveredRaw!$B:$B,$A104,RecoveredRaw!BW:BW)</f>
        <v>0</v>
      </c>
    </row>
    <row r="105" spans="1:72" ht="15" thickBot="1" x14ac:dyDescent="0.35">
      <c r="A105" s="3" t="s">
        <v>157</v>
      </c>
      <c r="B105">
        <f>SUMIF(RecoveredRaw!$B:$B,$A105,RecoveredRaw!E:E)</f>
        <v>0</v>
      </c>
      <c r="C105">
        <f>SUMIF(RecoveredRaw!$B:$B,$A105,RecoveredRaw!F:F)</f>
        <v>0</v>
      </c>
      <c r="D105">
        <f>SUMIF(RecoveredRaw!$B:$B,$A105,RecoveredRaw!G:G)</f>
        <v>0</v>
      </c>
      <c r="E105">
        <f>SUMIF(RecoveredRaw!$B:$B,$A105,RecoveredRaw!H:H)</f>
        <v>0</v>
      </c>
      <c r="F105">
        <f>SUMIF(RecoveredRaw!$B:$B,$A105,RecoveredRaw!I:I)</f>
        <v>0</v>
      </c>
      <c r="G105">
        <f>SUMIF(RecoveredRaw!$B:$B,$A105,RecoveredRaw!J:J)</f>
        <v>0</v>
      </c>
      <c r="H105">
        <f>SUMIF(RecoveredRaw!$B:$B,$A105,RecoveredRaw!K:K)</f>
        <v>0</v>
      </c>
      <c r="I105">
        <f>SUMIF(RecoveredRaw!$B:$B,$A105,RecoveredRaw!L:L)</f>
        <v>0</v>
      </c>
      <c r="J105">
        <f>SUMIF(RecoveredRaw!$B:$B,$A105,RecoveredRaw!M:M)</f>
        <v>0</v>
      </c>
      <c r="K105">
        <f>SUMIF(RecoveredRaw!$B:$B,$A105,RecoveredRaw!N:N)</f>
        <v>0</v>
      </c>
      <c r="L105">
        <f>SUMIF(RecoveredRaw!$B:$B,$A105,RecoveredRaw!O:O)</f>
        <v>0</v>
      </c>
      <c r="M105">
        <f>SUMIF(RecoveredRaw!$B:$B,$A105,RecoveredRaw!P:P)</f>
        <v>0</v>
      </c>
      <c r="N105">
        <f>SUMIF(RecoveredRaw!$B:$B,$A105,RecoveredRaw!Q:Q)</f>
        <v>0</v>
      </c>
      <c r="O105">
        <f>SUMIF(RecoveredRaw!$B:$B,$A105,RecoveredRaw!R:R)</f>
        <v>0</v>
      </c>
      <c r="P105">
        <f>SUMIF(RecoveredRaw!$B:$B,$A105,RecoveredRaw!S:S)</f>
        <v>0</v>
      </c>
      <c r="Q105">
        <f>SUMIF(RecoveredRaw!$B:$B,$A105,RecoveredRaw!T:T)</f>
        <v>0</v>
      </c>
      <c r="R105">
        <f>SUMIF(RecoveredRaw!$B:$B,$A105,RecoveredRaw!U:U)</f>
        <v>0</v>
      </c>
      <c r="S105">
        <f>SUMIF(RecoveredRaw!$B:$B,$A105,RecoveredRaw!V:V)</f>
        <v>0</v>
      </c>
      <c r="T105">
        <f>SUMIF(RecoveredRaw!$B:$B,$A105,RecoveredRaw!W:W)</f>
        <v>0</v>
      </c>
      <c r="U105">
        <f>SUMIF(RecoveredRaw!$B:$B,$A105,RecoveredRaw!X:X)</f>
        <v>0</v>
      </c>
      <c r="V105">
        <f>SUMIF(RecoveredRaw!$B:$B,$A105,RecoveredRaw!Y:Y)</f>
        <v>0</v>
      </c>
      <c r="W105">
        <f>SUMIF(RecoveredRaw!$B:$B,$A105,RecoveredRaw!Z:Z)</f>
        <v>0</v>
      </c>
      <c r="X105">
        <f>SUMIF(RecoveredRaw!$B:$B,$A105,RecoveredRaw!AA:AA)</f>
        <v>0</v>
      </c>
      <c r="Y105">
        <f>SUMIF(RecoveredRaw!$B:$B,$A105,RecoveredRaw!AB:AB)</f>
        <v>0</v>
      </c>
      <c r="Z105">
        <f>SUMIF(RecoveredRaw!$B:$B,$A105,RecoveredRaw!AC:AC)</f>
        <v>0</v>
      </c>
      <c r="AA105">
        <f>SUMIF(RecoveredRaw!$B:$B,$A105,RecoveredRaw!AD:AD)</f>
        <v>0</v>
      </c>
      <c r="AB105">
        <f>SUMIF(RecoveredRaw!$B:$B,$A105,RecoveredRaw!AE:AE)</f>
        <v>0</v>
      </c>
      <c r="AC105">
        <f>SUMIF(RecoveredRaw!$B:$B,$A105,RecoveredRaw!AF:AF)</f>
        <v>0</v>
      </c>
      <c r="AD105">
        <f>SUMIF(RecoveredRaw!$B:$B,$A105,RecoveredRaw!AG:AG)</f>
        <v>0</v>
      </c>
      <c r="AE105">
        <f>SUMIF(RecoveredRaw!$B:$B,$A105,RecoveredRaw!AH:AH)</f>
        <v>0</v>
      </c>
      <c r="AF105">
        <f>SUMIF(RecoveredRaw!$B:$B,$A105,RecoveredRaw!AI:AI)</f>
        <v>0</v>
      </c>
      <c r="AG105">
        <f>SUMIF(RecoveredRaw!$B:$B,$A105,RecoveredRaw!AJ:AJ)</f>
        <v>0</v>
      </c>
      <c r="AH105">
        <f>SUMIF(RecoveredRaw!$B:$B,$A105,RecoveredRaw!AK:AK)</f>
        <v>0</v>
      </c>
      <c r="AI105">
        <f>SUMIF(RecoveredRaw!$B:$B,$A105,RecoveredRaw!AL:AL)</f>
        <v>0</v>
      </c>
      <c r="AJ105">
        <f>SUMIF(RecoveredRaw!$B:$B,$A105,RecoveredRaw!AM:AM)</f>
        <v>0</v>
      </c>
      <c r="AK105">
        <f>SUMIF(RecoveredRaw!$B:$B,$A105,RecoveredRaw!AN:AN)</f>
        <v>0</v>
      </c>
      <c r="AL105">
        <f>SUMIF(RecoveredRaw!$B:$B,$A105,RecoveredRaw!AO:AO)</f>
        <v>0</v>
      </c>
      <c r="AM105">
        <f>SUMIF(RecoveredRaw!$B:$B,$A105,RecoveredRaw!AP:AP)</f>
        <v>0</v>
      </c>
      <c r="AN105">
        <f>SUMIF(RecoveredRaw!$B:$B,$A105,RecoveredRaw!AQ:AQ)</f>
        <v>0</v>
      </c>
      <c r="AO105">
        <f>SUMIF(RecoveredRaw!$B:$B,$A105,RecoveredRaw!AR:AR)</f>
        <v>0</v>
      </c>
      <c r="AP105">
        <f>SUMIF(RecoveredRaw!$B:$B,$A105,RecoveredRaw!AS:AS)</f>
        <v>0</v>
      </c>
      <c r="AQ105">
        <f>SUMIF(RecoveredRaw!$B:$B,$A105,RecoveredRaw!AT:AT)</f>
        <v>0</v>
      </c>
      <c r="AR105">
        <f>SUMIF(RecoveredRaw!$B:$B,$A105,RecoveredRaw!AU:AU)</f>
        <v>0</v>
      </c>
      <c r="AS105">
        <f>SUMIF(RecoveredRaw!$B:$B,$A105,RecoveredRaw!AV:AV)</f>
        <v>0</v>
      </c>
      <c r="AT105">
        <f>SUMIF(RecoveredRaw!$B:$B,$A105,RecoveredRaw!AW:AW)</f>
        <v>0</v>
      </c>
      <c r="AU105">
        <f>SUMIF(RecoveredRaw!$B:$B,$A105,RecoveredRaw!AX:AX)</f>
        <v>0</v>
      </c>
      <c r="AV105">
        <f>SUMIF(RecoveredRaw!$B:$B,$A105,RecoveredRaw!AY:AY)</f>
        <v>0</v>
      </c>
      <c r="AW105">
        <f>SUMIF(RecoveredRaw!$B:$B,$A105,RecoveredRaw!AZ:AZ)</f>
        <v>0</v>
      </c>
      <c r="AX105">
        <f>SUMIF(RecoveredRaw!$B:$B,$A105,RecoveredRaw!BA:BA)</f>
        <v>0</v>
      </c>
      <c r="AY105">
        <f>SUMIF(RecoveredRaw!$B:$B,$A105,RecoveredRaw!BB:BB)</f>
        <v>0</v>
      </c>
      <c r="AZ105">
        <f>SUMIF(RecoveredRaw!$B:$B,$A105,RecoveredRaw!BC:BC)</f>
        <v>0</v>
      </c>
      <c r="BA105">
        <f>SUMIF(RecoveredRaw!$B:$B,$A105,RecoveredRaw!BD:BD)</f>
        <v>0</v>
      </c>
      <c r="BB105">
        <f>SUMIF(RecoveredRaw!$B:$B,$A105,RecoveredRaw!BE:BE)</f>
        <v>0</v>
      </c>
      <c r="BC105">
        <f>SUMIF(RecoveredRaw!$B:$B,$A105,RecoveredRaw!BF:BF)</f>
        <v>0</v>
      </c>
      <c r="BD105">
        <f>SUMIF(RecoveredRaw!$B:$B,$A105,RecoveredRaw!BG:BG)</f>
        <v>0</v>
      </c>
      <c r="BE105">
        <f>SUMIF(RecoveredRaw!$B:$B,$A105,RecoveredRaw!BH:BH)</f>
        <v>0</v>
      </c>
      <c r="BF105">
        <f>SUMIF(RecoveredRaw!$B:$B,$A105,RecoveredRaw!BI:BI)</f>
        <v>0</v>
      </c>
      <c r="BG105">
        <f>SUMIF(RecoveredRaw!$B:$B,$A105,RecoveredRaw!BJ:BJ)</f>
        <v>0</v>
      </c>
      <c r="BH105">
        <f>SUMIF(RecoveredRaw!$B:$B,$A105,RecoveredRaw!BK:BK)</f>
        <v>0</v>
      </c>
      <c r="BI105">
        <f>SUMIF(RecoveredRaw!$B:$B,$A105,RecoveredRaw!BL:BL)</f>
        <v>0</v>
      </c>
      <c r="BJ105">
        <f>SUMIF(RecoveredRaw!$B:$B,$A105,RecoveredRaw!BM:BM)</f>
        <v>0</v>
      </c>
      <c r="BK105">
        <f>SUMIF(RecoveredRaw!$B:$B,$A105,RecoveredRaw!BN:BN)</f>
        <v>0</v>
      </c>
      <c r="BL105">
        <f>SUMIF(RecoveredRaw!$B:$B,$A105,RecoveredRaw!BO:BO)</f>
        <v>0</v>
      </c>
      <c r="BM105">
        <f>SUMIF(RecoveredRaw!$B:$B,$A105,RecoveredRaw!BP:BP)</f>
        <v>0</v>
      </c>
      <c r="BN105">
        <f>SUMIF(RecoveredRaw!$B:$B,$A105,RecoveredRaw!BQ:BQ)</f>
        <v>0</v>
      </c>
      <c r="BO105">
        <f>SUMIF(RecoveredRaw!$B:$B,$A105,RecoveredRaw!BR:BR)</f>
        <v>0</v>
      </c>
      <c r="BP105">
        <f>SUMIF(RecoveredRaw!$B:$B,$A105,RecoveredRaw!BS:BS)</f>
        <v>0</v>
      </c>
      <c r="BQ105">
        <f>SUMIF(RecoveredRaw!$B:$B,$A105,RecoveredRaw!BT:BT)</f>
        <v>0</v>
      </c>
      <c r="BR105">
        <f>SUMIF(RecoveredRaw!$B:$B,$A105,RecoveredRaw!BU:BU)</f>
        <v>0</v>
      </c>
      <c r="BS105">
        <f>SUMIF(RecoveredRaw!$B:$B,$A105,RecoveredRaw!BV:BV)</f>
        <v>0</v>
      </c>
      <c r="BT105">
        <f>SUMIF(RecoveredRaw!$B:$B,$A105,RecoveredRaw!BW:BW)</f>
        <v>0</v>
      </c>
    </row>
    <row r="106" spans="1:72" ht="15" thickBot="1" x14ac:dyDescent="0.35">
      <c r="A106" s="4" t="s">
        <v>351</v>
      </c>
      <c r="B106">
        <f>SUMIF(RecoveredRaw!$B:$B,$A106,RecoveredRaw!E:E)</f>
        <v>0</v>
      </c>
      <c r="C106">
        <f>SUMIF(RecoveredRaw!$B:$B,$A106,RecoveredRaw!F:F)</f>
        <v>0</v>
      </c>
      <c r="D106">
        <f>SUMIF(RecoveredRaw!$B:$B,$A106,RecoveredRaw!G:G)</f>
        <v>0</v>
      </c>
      <c r="E106">
        <f>SUMIF(RecoveredRaw!$B:$B,$A106,RecoveredRaw!H:H)</f>
        <v>0</v>
      </c>
      <c r="F106">
        <f>SUMIF(RecoveredRaw!$B:$B,$A106,RecoveredRaw!I:I)</f>
        <v>0</v>
      </c>
      <c r="G106">
        <f>SUMIF(RecoveredRaw!$B:$B,$A106,RecoveredRaw!J:J)</f>
        <v>0</v>
      </c>
      <c r="H106">
        <f>SUMIF(RecoveredRaw!$B:$B,$A106,RecoveredRaw!K:K)</f>
        <v>0</v>
      </c>
      <c r="I106">
        <f>SUMIF(RecoveredRaw!$B:$B,$A106,RecoveredRaw!L:L)</f>
        <v>0</v>
      </c>
      <c r="J106">
        <f>SUMIF(RecoveredRaw!$B:$B,$A106,RecoveredRaw!M:M)</f>
        <v>0</v>
      </c>
      <c r="K106">
        <f>SUMIF(RecoveredRaw!$B:$B,$A106,RecoveredRaw!N:N)</f>
        <v>0</v>
      </c>
      <c r="L106">
        <f>SUMIF(RecoveredRaw!$B:$B,$A106,RecoveredRaw!O:O)</f>
        <v>0</v>
      </c>
      <c r="M106">
        <f>SUMIF(RecoveredRaw!$B:$B,$A106,RecoveredRaw!P:P)</f>
        <v>0</v>
      </c>
      <c r="N106">
        <f>SUMIF(RecoveredRaw!$B:$B,$A106,RecoveredRaw!Q:Q)</f>
        <v>0</v>
      </c>
      <c r="O106">
        <f>SUMIF(RecoveredRaw!$B:$B,$A106,RecoveredRaw!R:R)</f>
        <v>0</v>
      </c>
      <c r="P106">
        <f>SUMIF(RecoveredRaw!$B:$B,$A106,RecoveredRaw!S:S)</f>
        <v>0</v>
      </c>
      <c r="Q106">
        <f>SUMIF(RecoveredRaw!$B:$B,$A106,RecoveredRaw!T:T)</f>
        <v>0</v>
      </c>
      <c r="R106">
        <f>SUMIF(RecoveredRaw!$B:$B,$A106,RecoveredRaw!U:U)</f>
        <v>0</v>
      </c>
      <c r="S106">
        <f>SUMIF(RecoveredRaw!$B:$B,$A106,RecoveredRaw!V:V)</f>
        <v>0</v>
      </c>
      <c r="T106">
        <f>SUMIF(RecoveredRaw!$B:$B,$A106,RecoveredRaw!W:W)</f>
        <v>0</v>
      </c>
      <c r="U106">
        <f>SUMIF(RecoveredRaw!$B:$B,$A106,RecoveredRaw!X:X)</f>
        <v>0</v>
      </c>
      <c r="V106">
        <f>SUMIF(RecoveredRaw!$B:$B,$A106,RecoveredRaw!Y:Y)</f>
        <v>0</v>
      </c>
      <c r="W106">
        <f>SUMIF(RecoveredRaw!$B:$B,$A106,RecoveredRaw!Z:Z)</f>
        <v>0</v>
      </c>
      <c r="X106">
        <f>SUMIF(RecoveredRaw!$B:$B,$A106,RecoveredRaw!AA:AA)</f>
        <v>0</v>
      </c>
      <c r="Y106">
        <f>SUMIF(RecoveredRaw!$B:$B,$A106,RecoveredRaw!AB:AB)</f>
        <v>0</v>
      </c>
      <c r="Z106">
        <f>SUMIF(RecoveredRaw!$B:$B,$A106,RecoveredRaw!AC:AC)</f>
        <v>0</v>
      </c>
      <c r="AA106">
        <f>SUMIF(RecoveredRaw!$B:$B,$A106,RecoveredRaw!AD:AD)</f>
        <v>0</v>
      </c>
      <c r="AB106">
        <f>SUMIF(RecoveredRaw!$B:$B,$A106,RecoveredRaw!AE:AE)</f>
        <v>0</v>
      </c>
      <c r="AC106">
        <f>SUMIF(RecoveredRaw!$B:$B,$A106,RecoveredRaw!AF:AF)</f>
        <v>0</v>
      </c>
      <c r="AD106">
        <f>SUMIF(RecoveredRaw!$B:$B,$A106,RecoveredRaw!AG:AG)</f>
        <v>0</v>
      </c>
      <c r="AE106">
        <f>SUMIF(RecoveredRaw!$B:$B,$A106,RecoveredRaw!AH:AH)</f>
        <v>0</v>
      </c>
      <c r="AF106">
        <f>SUMIF(RecoveredRaw!$B:$B,$A106,RecoveredRaw!AI:AI)</f>
        <v>0</v>
      </c>
      <c r="AG106">
        <f>SUMIF(RecoveredRaw!$B:$B,$A106,RecoveredRaw!AJ:AJ)</f>
        <v>0</v>
      </c>
      <c r="AH106">
        <f>SUMIF(RecoveredRaw!$B:$B,$A106,RecoveredRaw!AK:AK)</f>
        <v>0</v>
      </c>
      <c r="AI106">
        <f>SUMIF(RecoveredRaw!$B:$B,$A106,RecoveredRaw!AL:AL)</f>
        <v>0</v>
      </c>
      <c r="AJ106">
        <f>SUMIF(RecoveredRaw!$B:$B,$A106,RecoveredRaw!AM:AM)</f>
        <v>0</v>
      </c>
      <c r="AK106">
        <f>SUMIF(RecoveredRaw!$B:$B,$A106,RecoveredRaw!AN:AN)</f>
        <v>0</v>
      </c>
      <c r="AL106">
        <f>SUMIF(RecoveredRaw!$B:$B,$A106,RecoveredRaw!AO:AO)</f>
        <v>0</v>
      </c>
      <c r="AM106">
        <f>SUMIF(RecoveredRaw!$B:$B,$A106,RecoveredRaw!AP:AP)</f>
        <v>0</v>
      </c>
      <c r="AN106">
        <f>SUMIF(RecoveredRaw!$B:$B,$A106,RecoveredRaw!AQ:AQ)</f>
        <v>0</v>
      </c>
      <c r="AO106">
        <f>SUMIF(RecoveredRaw!$B:$B,$A106,RecoveredRaw!AR:AR)</f>
        <v>0</v>
      </c>
      <c r="AP106">
        <f>SUMIF(RecoveredRaw!$B:$B,$A106,RecoveredRaw!AS:AS)</f>
        <v>0</v>
      </c>
      <c r="AQ106">
        <f>SUMIF(RecoveredRaw!$B:$B,$A106,RecoveredRaw!AT:AT)</f>
        <v>0</v>
      </c>
      <c r="AR106">
        <f>SUMIF(RecoveredRaw!$B:$B,$A106,RecoveredRaw!AU:AU)</f>
        <v>0</v>
      </c>
      <c r="AS106">
        <f>SUMIF(RecoveredRaw!$B:$B,$A106,RecoveredRaw!AV:AV)</f>
        <v>0</v>
      </c>
      <c r="AT106">
        <f>SUMIF(RecoveredRaw!$B:$B,$A106,RecoveredRaw!AW:AW)</f>
        <v>0</v>
      </c>
      <c r="AU106">
        <f>SUMIF(RecoveredRaw!$B:$B,$A106,RecoveredRaw!AX:AX)</f>
        <v>0</v>
      </c>
      <c r="AV106">
        <f>SUMIF(RecoveredRaw!$B:$B,$A106,RecoveredRaw!AY:AY)</f>
        <v>0</v>
      </c>
      <c r="AW106">
        <f>SUMIF(RecoveredRaw!$B:$B,$A106,RecoveredRaw!AZ:AZ)</f>
        <v>0</v>
      </c>
      <c r="AX106">
        <f>SUMIF(RecoveredRaw!$B:$B,$A106,RecoveredRaw!BA:BA)</f>
        <v>0</v>
      </c>
      <c r="AY106">
        <f>SUMIF(RecoveredRaw!$B:$B,$A106,RecoveredRaw!BB:BB)</f>
        <v>0</v>
      </c>
      <c r="AZ106">
        <f>SUMIF(RecoveredRaw!$B:$B,$A106,RecoveredRaw!BC:BC)</f>
        <v>0</v>
      </c>
      <c r="BA106">
        <f>SUMIF(RecoveredRaw!$B:$B,$A106,RecoveredRaw!BD:BD)</f>
        <v>0</v>
      </c>
      <c r="BB106">
        <f>SUMIF(RecoveredRaw!$B:$B,$A106,RecoveredRaw!BE:BE)</f>
        <v>0</v>
      </c>
      <c r="BC106">
        <f>SUMIF(RecoveredRaw!$B:$B,$A106,RecoveredRaw!BF:BF)</f>
        <v>0</v>
      </c>
      <c r="BD106">
        <f>SUMIF(RecoveredRaw!$B:$B,$A106,RecoveredRaw!BG:BG)</f>
        <v>0</v>
      </c>
      <c r="BE106">
        <f>SUMIF(RecoveredRaw!$B:$B,$A106,RecoveredRaw!BH:BH)</f>
        <v>0</v>
      </c>
      <c r="BF106">
        <f>SUMIF(RecoveredRaw!$B:$B,$A106,RecoveredRaw!BI:BI)</f>
        <v>0</v>
      </c>
      <c r="BG106">
        <f>SUMIF(RecoveredRaw!$B:$B,$A106,RecoveredRaw!BJ:BJ)</f>
        <v>0</v>
      </c>
      <c r="BH106">
        <f>SUMIF(RecoveredRaw!$B:$B,$A106,RecoveredRaw!BK:BK)</f>
        <v>0</v>
      </c>
      <c r="BI106">
        <f>SUMIF(RecoveredRaw!$B:$B,$A106,RecoveredRaw!BL:BL)</f>
        <v>0</v>
      </c>
      <c r="BJ106">
        <f>SUMIF(RecoveredRaw!$B:$B,$A106,RecoveredRaw!BM:BM)</f>
        <v>0</v>
      </c>
      <c r="BK106">
        <f>SUMIF(RecoveredRaw!$B:$B,$A106,RecoveredRaw!BN:BN)</f>
        <v>0</v>
      </c>
      <c r="BL106">
        <f>SUMIF(RecoveredRaw!$B:$B,$A106,RecoveredRaw!BO:BO)</f>
        <v>0</v>
      </c>
      <c r="BM106">
        <f>SUMIF(RecoveredRaw!$B:$B,$A106,RecoveredRaw!BP:BP)</f>
        <v>0</v>
      </c>
      <c r="BN106">
        <f>SUMIF(RecoveredRaw!$B:$B,$A106,RecoveredRaw!BQ:BQ)</f>
        <v>0</v>
      </c>
      <c r="BO106">
        <f>SUMIF(RecoveredRaw!$B:$B,$A106,RecoveredRaw!BR:BR)</f>
        <v>0</v>
      </c>
      <c r="BP106">
        <f>SUMIF(RecoveredRaw!$B:$B,$A106,RecoveredRaw!BS:BS)</f>
        <v>0</v>
      </c>
      <c r="BQ106">
        <f>SUMIF(RecoveredRaw!$B:$B,$A106,RecoveredRaw!BT:BT)</f>
        <v>0</v>
      </c>
      <c r="BR106">
        <f>SUMIF(RecoveredRaw!$B:$B,$A106,RecoveredRaw!BU:BU)</f>
        <v>0</v>
      </c>
      <c r="BS106">
        <f>SUMIF(RecoveredRaw!$B:$B,$A106,RecoveredRaw!BV:BV)</f>
        <v>0</v>
      </c>
      <c r="BT106">
        <f>SUMIF(RecoveredRaw!$B:$B,$A106,RecoveredRaw!BW:BW)</f>
        <v>0</v>
      </c>
    </row>
    <row r="107" spans="1:72" ht="15" thickBot="1" x14ac:dyDescent="0.35">
      <c r="A107" s="4" t="s">
        <v>348</v>
      </c>
      <c r="B107">
        <f>SUMIF(RecoveredRaw!$B:$B,$A107,RecoveredRaw!E:E)</f>
        <v>0</v>
      </c>
      <c r="C107">
        <f>SUMIF(RecoveredRaw!$B:$B,$A107,RecoveredRaw!F:F)</f>
        <v>0</v>
      </c>
      <c r="D107">
        <f>SUMIF(RecoveredRaw!$B:$B,$A107,RecoveredRaw!G:G)</f>
        <v>0</v>
      </c>
      <c r="E107">
        <f>SUMIF(RecoveredRaw!$B:$B,$A107,RecoveredRaw!H:H)</f>
        <v>0</v>
      </c>
      <c r="F107">
        <f>SUMIF(RecoveredRaw!$B:$B,$A107,RecoveredRaw!I:I)</f>
        <v>0</v>
      </c>
      <c r="G107">
        <f>SUMIF(RecoveredRaw!$B:$B,$A107,RecoveredRaw!J:J)</f>
        <v>0</v>
      </c>
      <c r="H107">
        <f>SUMIF(RecoveredRaw!$B:$B,$A107,RecoveredRaw!K:K)</f>
        <v>0</v>
      </c>
      <c r="I107">
        <f>SUMIF(RecoveredRaw!$B:$B,$A107,RecoveredRaw!L:L)</f>
        <v>0</v>
      </c>
      <c r="J107">
        <f>SUMIF(RecoveredRaw!$B:$B,$A107,RecoveredRaw!M:M)</f>
        <v>0</v>
      </c>
      <c r="K107">
        <f>SUMIF(RecoveredRaw!$B:$B,$A107,RecoveredRaw!N:N)</f>
        <v>0</v>
      </c>
      <c r="L107">
        <f>SUMIF(RecoveredRaw!$B:$B,$A107,RecoveredRaw!O:O)</f>
        <v>0</v>
      </c>
      <c r="M107">
        <f>SUMIF(RecoveredRaw!$B:$B,$A107,RecoveredRaw!P:P)</f>
        <v>0</v>
      </c>
      <c r="N107">
        <f>SUMIF(RecoveredRaw!$B:$B,$A107,RecoveredRaw!Q:Q)</f>
        <v>0</v>
      </c>
      <c r="O107">
        <f>SUMIF(RecoveredRaw!$B:$B,$A107,RecoveredRaw!R:R)</f>
        <v>0</v>
      </c>
      <c r="P107">
        <f>SUMIF(RecoveredRaw!$B:$B,$A107,RecoveredRaw!S:S)</f>
        <v>0</v>
      </c>
      <c r="Q107">
        <f>SUMIF(RecoveredRaw!$B:$B,$A107,RecoveredRaw!T:T)</f>
        <v>0</v>
      </c>
      <c r="R107">
        <f>SUMIF(RecoveredRaw!$B:$B,$A107,RecoveredRaw!U:U)</f>
        <v>0</v>
      </c>
      <c r="S107">
        <f>SUMIF(RecoveredRaw!$B:$B,$A107,RecoveredRaw!V:V)</f>
        <v>0</v>
      </c>
      <c r="T107">
        <f>SUMIF(RecoveredRaw!$B:$B,$A107,RecoveredRaw!W:W)</f>
        <v>0</v>
      </c>
      <c r="U107">
        <f>SUMIF(RecoveredRaw!$B:$B,$A107,RecoveredRaw!X:X)</f>
        <v>0</v>
      </c>
      <c r="V107">
        <f>SUMIF(RecoveredRaw!$B:$B,$A107,RecoveredRaw!Y:Y)</f>
        <v>0</v>
      </c>
      <c r="W107">
        <f>SUMIF(RecoveredRaw!$B:$B,$A107,RecoveredRaw!Z:Z)</f>
        <v>0</v>
      </c>
      <c r="X107">
        <f>SUMIF(RecoveredRaw!$B:$B,$A107,RecoveredRaw!AA:AA)</f>
        <v>0</v>
      </c>
      <c r="Y107">
        <f>SUMIF(RecoveredRaw!$B:$B,$A107,RecoveredRaw!AB:AB)</f>
        <v>0</v>
      </c>
      <c r="Z107">
        <f>SUMIF(RecoveredRaw!$B:$B,$A107,RecoveredRaw!AC:AC)</f>
        <v>0</v>
      </c>
      <c r="AA107">
        <f>SUMIF(RecoveredRaw!$B:$B,$A107,RecoveredRaw!AD:AD)</f>
        <v>0</v>
      </c>
      <c r="AB107">
        <f>SUMIF(RecoveredRaw!$B:$B,$A107,RecoveredRaw!AE:AE)</f>
        <v>0</v>
      </c>
      <c r="AC107">
        <f>SUMIF(RecoveredRaw!$B:$B,$A107,RecoveredRaw!AF:AF)</f>
        <v>0</v>
      </c>
      <c r="AD107">
        <f>SUMIF(RecoveredRaw!$B:$B,$A107,RecoveredRaw!AG:AG)</f>
        <v>0</v>
      </c>
      <c r="AE107">
        <f>SUMIF(RecoveredRaw!$B:$B,$A107,RecoveredRaw!AH:AH)</f>
        <v>0</v>
      </c>
      <c r="AF107">
        <f>SUMIF(RecoveredRaw!$B:$B,$A107,RecoveredRaw!AI:AI)</f>
        <v>0</v>
      </c>
      <c r="AG107">
        <f>SUMIF(RecoveredRaw!$B:$B,$A107,RecoveredRaw!AJ:AJ)</f>
        <v>0</v>
      </c>
      <c r="AH107">
        <f>SUMIF(RecoveredRaw!$B:$B,$A107,RecoveredRaw!AK:AK)</f>
        <v>0</v>
      </c>
      <c r="AI107">
        <f>SUMIF(RecoveredRaw!$B:$B,$A107,RecoveredRaw!AL:AL)</f>
        <v>0</v>
      </c>
      <c r="AJ107">
        <f>SUMIF(RecoveredRaw!$B:$B,$A107,RecoveredRaw!AM:AM)</f>
        <v>0</v>
      </c>
      <c r="AK107">
        <f>SUMIF(RecoveredRaw!$B:$B,$A107,RecoveredRaw!AN:AN)</f>
        <v>0</v>
      </c>
      <c r="AL107">
        <f>SUMIF(RecoveredRaw!$B:$B,$A107,RecoveredRaw!AO:AO)</f>
        <v>0</v>
      </c>
      <c r="AM107">
        <f>SUMIF(RecoveredRaw!$B:$B,$A107,RecoveredRaw!AP:AP)</f>
        <v>0</v>
      </c>
      <c r="AN107">
        <f>SUMIF(RecoveredRaw!$B:$B,$A107,RecoveredRaw!AQ:AQ)</f>
        <v>0</v>
      </c>
      <c r="AO107">
        <f>SUMIF(RecoveredRaw!$B:$B,$A107,RecoveredRaw!AR:AR)</f>
        <v>0</v>
      </c>
      <c r="AP107">
        <f>SUMIF(RecoveredRaw!$B:$B,$A107,RecoveredRaw!AS:AS)</f>
        <v>0</v>
      </c>
      <c r="AQ107">
        <f>SUMIF(RecoveredRaw!$B:$B,$A107,RecoveredRaw!AT:AT)</f>
        <v>0</v>
      </c>
      <c r="AR107">
        <f>SUMIF(RecoveredRaw!$B:$B,$A107,RecoveredRaw!AU:AU)</f>
        <v>0</v>
      </c>
      <c r="AS107">
        <f>SUMIF(RecoveredRaw!$B:$B,$A107,RecoveredRaw!AV:AV)</f>
        <v>0</v>
      </c>
      <c r="AT107">
        <f>SUMIF(RecoveredRaw!$B:$B,$A107,RecoveredRaw!AW:AW)</f>
        <v>0</v>
      </c>
      <c r="AU107">
        <f>SUMIF(RecoveredRaw!$B:$B,$A107,RecoveredRaw!AX:AX)</f>
        <v>0</v>
      </c>
      <c r="AV107">
        <f>SUMIF(RecoveredRaw!$B:$B,$A107,RecoveredRaw!AY:AY)</f>
        <v>0</v>
      </c>
      <c r="AW107">
        <f>SUMIF(RecoveredRaw!$B:$B,$A107,RecoveredRaw!AZ:AZ)</f>
        <v>0</v>
      </c>
      <c r="AX107">
        <f>SUMIF(RecoveredRaw!$B:$B,$A107,RecoveredRaw!BA:BA)</f>
        <v>0</v>
      </c>
      <c r="AY107">
        <f>SUMIF(RecoveredRaw!$B:$B,$A107,RecoveredRaw!BB:BB)</f>
        <v>0</v>
      </c>
      <c r="AZ107">
        <f>SUMIF(RecoveredRaw!$B:$B,$A107,RecoveredRaw!BC:BC)</f>
        <v>0</v>
      </c>
      <c r="BA107">
        <f>SUMIF(RecoveredRaw!$B:$B,$A107,RecoveredRaw!BD:BD)</f>
        <v>0</v>
      </c>
      <c r="BB107">
        <f>SUMIF(RecoveredRaw!$B:$B,$A107,RecoveredRaw!BE:BE)</f>
        <v>0</v>
      </c>
      <c r="BC107">
        <f>SUMIF(RecoveredRaw!$B:$B,$A107,RecoveredRaw!BF:BF)</f>
        <v>0</v>
      </c>
      <c r="BD107">
        <f>SUMIF(RecoveredRaw!$B:$B,$A107,RecoveredRaw!BG:BG)</f>
        <v>0</v>
      </c>
      <c r="BE107">
        <f>SUMIF(RecoveredRaw!$B:$B,$A107,RecoveredRaw!BH:BH)</f>
        <v>0</v>
      </c>
      <c r="BF107">
        <f>SUMIF(RecoveredRaw!$B:$B,$A107,RecoveredRaw!BI:BI)</f>
        <v>0</v>
      </c>
      <c r="BG107">
        <f>SUMIF(RecoveredRaw!$B:$B,$A107,RecoveredRaw!BJ:BJ)</f>
        <v>0</v>
      </c>
      <c r="BH107">
        <f>SUMIF(RecoveredRaw!$B:$B,$A107,RecoveredRaw!BK:BK)</f>
        <v>0</v>
      </c>
      <c r="BI107">
        <f>SUMIF(RecoveredRaw!$B:$B,$A107,RecoveredRaw!BL:BL)</f>
        <v>0</v>
      </c>
      <c r="BJ107">
        <f>SUMIF(RecoveredRaw!$B:$B,$A107,RecoveredRaw!BM:BM)</f>
        <v>0</v>
      </c>
      <c r="BK107">
        <f>SUMIF(RecoveredRaw!$B:$B,$A107,RecoveredRaw!BN:BN)</f>
        <v>0</v>
      </c>
      <c r="BL107">
        <f>SUMIF(RecoveredRaw!$B:$B,$A107,RecoveredRaw!BO:BO)</f>
        <v>0</v>
      </c>
      <c r="BM107">
        <f>SUMIF(RecoveredRaw!$B:$B,$A107,RecoveredRaw!BP:BP)</f>
        <v>0</v>
      </c>
      <c r="BN107">
        <f>SUMIF(RecoveredRaw!$B:$B,$A107,RecoveredRaw!BQ:BQ)</f>
        <v>0</v>
      </c>
      <c r="BO107">
        <f>SUMIF(RecoveredRaw!$B:$B,$A107,RecoveredRaw!BR:BR)</f>
        <v>0</v>
      </c>
      <c r="BP107">
        <f>SUMIF(RecoveredRaw!$B:$B,$A107,RecoveredRaw!BS:BS)</f>
        <v>0</v>
      </c>
      <c r="BQ107">
        <f>SUMIF(RecoveredRaw!$B:$B,$A107,RecoveredRaw!BT:BT)</f>
        <v>0</v>
      </c>
      <c r="BR107">
        <f>SUMIF(RecoveredRaw!$B:$B,$A107,RecoveredRaw!BU:BU)</f>
        <v>0</v>
      </c>
      <c r="BS107">
        <f>SUMIF(RecoveredRaw!$B:$B,$A107,RecoveredRaw!BV:BV)</f>
        <v>0</v>
      </c>
      <c r="BT107">
        <f>SUMIF(RecoveredRaw!$B:$B,$A107,RecoveredRaw!BW:BW)</f>
        <v>0</v>
      </c>
    </row>
    <row r="108" spans="1:72" ht="15" thickBot="1" x14ac:dyDescent="0.35">
      <c r="A108" s="4" t="s">
        <v>100</v>
      </c>
      <c r="B108">
        <f>SUMIF(RecoveredRaw!$B:$B,$A108,RecoveredRaw!E:E)</f>
        <v>0</v>
      </c>
      <c r="C108">
        <f>SUMIF(RecoveredRaw!$B:$B,$A108,RecoveredRaw!F:F)</f>
        <v>0</v>
      </c>
      <c r="D108">
        <f>SUMIF(RecoveredRaw!$B:$B,$A108,RecoveredRaw!G:G)</f>
        <v>0</v>
      </c>
      <c r="E108">
        <f>SUMIF(RecoveredRaw!$B:$B,$A108,RecoveredRaw!H:H)</f>
        <v>0</v>
      </c>
      <c r="F108">
        <f>SUMIF(RecoveredRaw!$B:$B,$A108,RecoveredRaw!I:I)</f>
        <v>0</v>
      </c>
      <c r="G108">
        <f>SUMIF(RecoveredRaw!$B:$B,$A108,RecoveredRaw!J:J)</f>
        <v>0</v>
      </c>
      <c r="H108">
        <f>SUMIF(RecoveredRaw!$B:$B,$A108,RecoveredRaw!K:K)</f>
        <v>0</v>
      </c>
      <c r="I108">
        <f>SUMIF(RecoveredRaw!$B:$B,$A108,RecoveredRaw!L:L)</f>
        <v>0</v>
      </c>
      <c r="J108">
        <f>SUMIF(RecoveredRaw!$B:$B,$A108,RecoveredRaw!M:M)</f>
        <v>0</v>
      </c>
      <c r="K108">
        <f>SUMIF(RecoveredRaw!$B:$B,$A108,RecoveredRaw!N:N)</f>
        <v>0</v>
      </c>
      <c r="L108">
        <f>SUMIF(RecoveredRaw!$B:$B,$A108,RecoveredRaw!O:O)</f>
        <v>0</v>
      </c>
      <c r="M108">
        <f>SUMIF(RecoveredRaw!$B:$B,$A108,RecoveredRaw!P:P)</f>
        <v>0</v>
      </c>
      <c r="N108">
        <f>SUMIF(RecoveredRaw!$B:$B,$A108,RecoveredRaw!Q:Q)</f>
        <v>0</v>
      </c>
      <c r="O108">
        <f>SUMIF(RecoveredRaw!$B:$B,$A108,RecoveredRaw!R:R)</f>
        <v>0</v>
      </c>
      <c r="P108">
        <f>SUMIF(RecoveredRaw!$B:$B,$A108,RecoveredRaw!S:S)</f>
        <v>0</v>
      </c>
      <c r="Q108">
        <f>SUMIF(RecoveredRaw!$B:$B,$A108,RecoveredRaw!T:T)</f>
        <v>0</v>
      </c>
      <c r="R108">
        <f>SUMIF(RecoveredRaw!$B:$B,$A108,RecoveredRaw!U:U)</f>
        <v>0</v>
      </c>
      <c r="S108">
        <f>SUMIF(RecoveredRaw!$B:$B,$A108,RecoveredRaw!V:V)</f>
        <v>0</v>
      </c>
      <c r="T108">
        <f>SUMIF(RecoveredRaw!$B:$B,$A108,RecoveredRaw!W:W)</f>
        <v>0</v>
      </c>
      <c r="U108">
        <f>SUMIF(RecoveredRaw!$B:$B,$A108,RecoveredRaw!X:X)</f>
        <v>0</v>
      </c>
      <c r="V108">
        <f>SUMIF(RecoveredRaw!$B:$B,$A108,RecoveredRaw!Y:Y)</f>
        <v>0</v>
      </c>
      <c r="W108">
        <f>SUMIF(RecoveredRaw!$B:$B,$A108,RecoveredRaw!Z:Z)</f>
        <v>0</v>
      </c>
      <c r="X108">
        <f>SUMIF(RecoveredRaw!$B:$B,$A108,RecoveredRaw!AA:AA)</f>
        <v>0</v>
      </c>
      <c r="Y108">
        <f>SUMIF(RecoveredRaw!$B:$B,$A108,RecoveredRaw!AB:AB)</f>
        <v>0</v>
      </c>
      <c r="Z108">
        <f>SUMIF(RecoveredRaw!$B:$B,$A108,RecoveredRaw!AC:AC)</f>
        <v>0</v>
      </c>
      <c r="AA108">
        <f>SUMIF(RecoveredRaw!$B:$B,$A108,RecoveredRaw!AD:AD)</f>
        <v>0</v>
      </c>
      <c r="AB108">
        <f>SUMIF(RecoveredRaw!$B:$B,$A108,RecoveredRaw!AE:AE)</f>
        <v>0</v>
      </c>
      <c r="AC108">
        <f>SUMIF(RecoveredRaw!$B:$B,$A108,RecoveredRaw!AF:AF)</f>
        <v>0</v>
      </c>
      <c r="AD108">
        <f>SUMIF(RecoveredRaw!$B:$B,$A108,RecoveredRaw!AG:AG)</f>
        <v>0</v>
      </c>
      <c r="AE108">
        <f>SUMIF(RecoveredRaw!$B:$B,$A108,RecoveredRaw!AH:AH)</f>
        <v>0</v>
      </c>
      <c r="AF108">
        <f>SUMIF(RecoveredRaw!$B:$B,$A108,RecoveredRaw!AI:AI)</f>
        <v>0</v>
      </c>
      <c r="AG108">
        <f>SUMIF(RecoveredRaw!$B:$B,$A108,RecoveredRaw!AJ:AJ)</f>
        <v>0</v>
      </c>
      <c r="AH108">
        <f>SUMIF(RecoveredRaw!$B:$B,$A108,RecoveredRaw!AK:AK)</f>
        <v>0</v>
      </c>
      <c r="AI108">
        <f>SUMIF(RecoveredRaw!$B:$B,$A108,RecoveredRaw!AL:AL)</f>
        <v>0</v>
      </c>
      <c r="AJ108">
        <f>SUMIF(RecoveredRaw!$B:$B,$A108,RecoveredRaw!AM:AM)</f>
        <v>0</v>
      </c>
      <c r="AK108">
        <f>SUMIF(RecoveredRaw!$B:$B,$A108,RecoveredRaw!AN:AN)</f>
        <v>0</v>
      </c>
      <c r="AL108">
        <f>SUMIF(RecoveredRaw!$B:$B,$A108,RecoveredRaw!AO:AO)</f>
        <v>0</v>
      </c>
      <c r="AM108">
        <f>SUMIF(RecoveredRaw!$B:$B,$A108,RecoveredRaw!AP:AP)</f>
        <v>0</v>
      </c>
      <c r="AN108">
        <f>SUMIF(RecoveredRaw!$B:$B,$A108,RecoveredRaw!AQ:AQ)</f>
        <v>0</v>
      </c>
      <c r="AO108">
        <f>SUMIF(RecoveredRaw!$B:$B,$A108,RecoveredRaw!AR:AR)</f>
        <v>0</v>
      </c>
      <c r="AP108">
        <f>SUMIF(RecoveredRaw!$B:$B,$A108,RecoveredRaw!AS:AS)</f>
        <v>0</v>
      </c>
      <c r="AQ108">
        <f>SUMIF(RecoveredRaw!$B:$B,$A108,RecoveredRaw!AT:AT)</f>
        <v>0</v>
      </c>
      <c r="AR108">
        <f>SUMIF(RecoveredRaw!$B:$B,$A108,RecoveredRaw!AU:AU)</f>
        <v>0</v>
      </c>
      <c r="AS108">
        <f>SUMIF(RecoveredRaw!$B:$B,$A108,RecoveredRaw!AV:AV)</f>
        <v>0</v>
      </c>
      <c r="AT108">
        <f>SUMIF(RecoveredRaw!$B:$B,$A108,RecoveredRaw!AW:AW)</f>
        <v>0</v>
      </c>
      <c r="AU108">
        <f>SUMIF(RecoveredRaw!$B:$B,$A108,RecoveredRaw!AX:AX)</f>
        <v>0</v>
      </c>
      <c r="AV108">
        <f>SUMIF(RecoveredRaw!$B:$B,$A108,RecoveredRaw!AY:AY)</f>
        <v>0</v>
      </c>
      <c r="AW108">
        <f>SUMIF(RecoveredRaw!$B:$B,$A108,RecoveredRaw!AZ:AZ)</f>
        <v>0</v>
      </c>
      <c r="AX108">
        <f>SUMIF(RecoveredRaw!$B:$B,$A108,RecoveredRaw!BA:BA)</f>
        <v>0</v>
      </c>
      <c r="AY108">
        <f>SUMIF(RecoveredRaw!$B:$B,$A108,RecoveredRaw!BB:BB)</f>
        <v>0</v>
      </c>
      <c r="AZ108">
        <f>SUMIF(RecoveredRaw!$B:$B,$A108,RecoveredRaw!BC:BC)</f>
        <v>0</v>
      </c>
      <c r="BA108">
        <f>SUMIF(RecoveredRaw!$B:$B,$A108,RecoveredRaw!BD:BD)</f>
        <v>0</v>
      </c>
      <c r="BB108">
        <f>SUMIF(RecoveredRaw!$B:$B,$A108,RecoveredRaw!BE:BE)</f>
        <v>0</v>
      </c>
      <c r="BC108">
        <f>SUMIF(RecoveredRaw!$B:$B,$A108,RecoveredRaw!BF:BF)</f>
        <v>0</v>
      </c>
      <c r="BD108">
        <f>SUMIF(RecoveredRaw!$B:$B,$A108,RecoveredRaw!BG:BG)</f>
        <v>0</v>
      </c>
      <c r="BE108">
        <f>SUMIF(RecoveredRaw!$B:$B,$A108,RecoveredRaw!BH:BH)</f>
        <v>0</v>
      </c>
      <c r="BF108">
        <f>SUMIF(RecoveredRaw!$B:$B,$A108,RecoveredRaw!BI:BI)</f>
        <v>0</v>
      </c>
      <c r="BG108">
        <f>SUMIF(RecoveredRaw!$B:$B,$A108,RecoveredRaw!BJ:BJ)</f>
        <v>0</v>
      </c>
      <c r="BH108">
        <f>SUMIF(RecoveredRaw!$B:$B,$A108,RecoveredRaw!BK:BK)</f>
        <v>0</v>
      </c>
      <c r="BI108">
        <f>SUMIF(RecoveredRaw!$B:$B,$A108,RecoveredRaw!BL:BL)</f>
        <v>0</v>
      </c>
      <c r="BJ108">
        <f>SUMIF(RecoveredRaw!$B:$B,$A108,RecoveredRaw!BM:BM)</f>
        <v>0</v>
      </c>
      <c r="BK108">
        <f>SUMIF(RecoveredRaw!$B:$B,$A108,RecoveredRaw!BN:BN)</f>
        <v>0</v>
      </c>
      <c r="BL108">
        <f>SUMIF(RecoveredRaw!$B:$B,$A108,RecoveredRaw!BO:BO)</f>
        <v>0</v>
      </c>
      <c r="BM108">
        <f>SUMIF(RecoveredRaw!$B:$B,$A108,RecoveredRaw!BP:BP)</f>
        <v>0</v>
      </c>
      <c r="BN108">
        <f>SUMIF(RecoveredRaw!$B:$B,$A108,RecoveredRaw!BQ:BQ)</f>
        <v>0</v>
      </c>
      <c r="BO108">
        <f>SUMIF(RecoveredRaw!$B:$B,$A108,RecoveredRaw!BR:BR)</f>
        <v>0</v>
      </c>
      <c r="BP108">
        <f>SUMIF(RecoveredRaw!$B:$B,$A108,RecoveredRaw!BS:BS)</f>
        <v>0</v>
      </c>
      <c r="BQ108">
        <f>SUMIF(RecoveredRaw!$B:$B,$A108,RecoveredRaw!BT:BT)</f>
        <v>0</v>
      </c>
      <c r="BR108">
        <f>SUMIF(RecoveredRaw!$B:$B,$A108,RecoveredRaw!BU:BU)</f>
        <v>0</v>
      </c>
      <c r="BS108">
        <f>SUMIF(RecoveredRaw!$B:$B,$A108,RecoveredRaw!BV:BV)</f>
        <v>0</v>
      </c>
      <c r="BT108">
        <f>SUMIF(RecoveredRaw!$B:$B,$A108,RecoveredRaw!BW:BW)</f>
        <v>0</v>
      </c>
    </row>
    <row r="109" spans="1:72" ht="15" thickBot="1" x14ac:dyDescent="0.35">
      <c r="A109" s="4" t="s">
        <v>96</v>
      </c>
      <c r="B109">
        <f>SUMIF(RecoveredRaw!$B:$B,$A109,RecoveredRaw!E:E)</f>
        <v>0</v>
      </c>
      <c r="C109">
        <f>SUMIF(RecoveredRaw!$B:$B,$A109,RecoveredRaw!F:F)</f>
        <v>0</v>
      </c>
      <c r="D109">
        <f>SUMIF(RecoveredRaw!$B:$B,$A109,RecoveredRaw!G:G)</f>
        <v>0</v>
      </c>
      <c r="E109">
        <f>SUMIF(RecoveredRaw!$B:$B,$A109,RecoveredRaw!H:H)</f>
        <v>0</v>
      </c>
      <c r="F109">
        <f>SUMIF(RecoveredRaw!$B:$B,$A109,RecoveredRaw!I:I)</f>
        <v>0</v>
      </c>
      <c r="G109">
        <f>SUMIF(RecoveredRaw!$B:$B,$A109,RecoveredRaw!J:J)</f>
        <v>0</v>
      </c>
      <c r="H109">
        <f>SUMIF(RecoveredRaw!$B:$B,$A109,RecoveredRaw!K:K)</f>
        <v>0</v>
      </c>
      <c r="I109">
        <f>SUMIF(RecoveredRaw!$B:$B,$A109,RecoveredRaw!L:L)</f>
        <v>0</v>
      </c>
      <c r="J109">
        <f>SUMIF(RecoveredRaw!$B:$B,$A109,RecoveredRaw!M:M)</f>
        <v>0</v>
      </c>
      <c r="K109">
        <f>SUMIF(RecoveredRaw!$B:$B,$A109,RecoveredRaw!N:N)</f>
        <v>0</v>
      </c>
      <c r="L109">
        <f>SUMIF(RecoveredRaw!$B:$B,$A109,RecoveredRaw!O:O)</f>
        <v>0</v>
      </c>
      <c r="M109">
        <f>SUMIF(RecoveredRaw!$B:$B,$A109,RecoveredRaw!P:P)</f>
        <v>0</v>
      </c>
      <c r="N109">
        <f>SUMIF(RecoveredRaw!$B:$B,$A109,RecoveredRaw!Q:Q)</f>
        <v>0</v>
      </c>
      <c r="O109">
        <f>SUMIF(RecoveredRaw!$B:$B,$A109,RecoveredRaw!R:R)</f>
        <v>0</v>
      </c>
      <c r="P109">
        <f>SUMIF(RecoveredRaw!$B:$B,$A109,RecoveredRaw!S:S)</f>
        <v>0</v>
      </c>
      <c r="Q109">
        <f>SUMIF(RecoveredRaw!$B:$B,$A109,RecoveredRaw!T:T)</f>
        <v>0</v>
      </c>
      <c r="R109">
        <f>SUMIF(RecoveredRaw!$B:$B,$A109,RecoveredRaw!U:U)</f>
        <v>0</v>
      </c>
      <c r="S109">
        <f>SUMIF(RecoveredRaw!$B:$B,$A109,RecoveredRaw!V:V)</f>
        <v>0</v>
      </c>
      <c r="T109">
        <f>SUMIF(RecoveredRaw!$B:$B,$A109,RecoveredRaw!W:W)</f>
        <v>0</v>
      </c>
      <c r="U109">
        <f>SUMIF(RecoveredRaw!$B:$B,$A109,RecoveredRaw!X:X)</f>
        <v>0</v>
      </c>
      <c r="V109">
        <f>SUMIF(RecoveredRaw!$B:$B,$A109,RecoveredRaw!Y:Y)</f>
        <v>0</v>
      </c>
      <c r="W109">
        <f>SUMIF(RecoveredRaw!$B:$B,$A109,RecoveredRaw!Z:Z)</f>
        <v>0</v>
      </c>
      <c r="X109">
        <f>SUMIF(RecoveredRaw!$B:$B,$A109,RecoveredRaw!AA:AA)</f>
        <v>0</v>
      </c>
      <c r="Y109">
        <f>SUMIF(RecoveredRaw!$B:$B,$A109,RecoveredRaw!AB:AB)</f>
        <v>0</v>
      </c>
      <c r="Z109">
        <f>SUMIF(RecoveredRaw!$B:$B,$A109,RecoveredRaw!AC:AC)</f>
        <v>0</v>
      </c>
      <c r="AA109">
        <f>SUMIF(RecoveredRaw!$B:$B,$A109,RecoveredRaw!AD:AD)</f>
        <v>0</v>
      </c>
      <c r="AB109">
        <f>SUMIF(RecoveredRaw!$B:$B,$A109,RecoveredRaw!AE:AE)</f>
        <v>0</v>
      </c>
      <c r="AC109">
        <f>SUMIF(RecoveredRaw!$B:$B,$A109,RecoveredRaw!AF:AF)</f>
        <v>0</v>
      </c>
      <c r="AD109">
        <f>SUMIF(RecoveredRaw!$B:$B,$A109,RecoveredRaw!AG:AG)</f>
        <v>0</v>
      </c>
      <c r="AE109">
        <f>SUMIF(RecoveredRaw!$B:$B,$A109,RecoveredRaw!AH:AH)</f>
        <v>0</v>
      </c>
      <c r="AF109">
        <f>SUMIF(RecoveredRaw!$B:$B,$A109,RecoveredRaw!AI:AI)</f>
        <v>0</v>
      </c>
      <c r="AG109">
        <f>SUMIF(RecoveredRaw!$B:$B,$A109,RecoveredRaw!AJ:AJ)</f>
        <v>0</v>
      </c>
      <c r="AH109">
        <f>SUMIF(RecoveredRaw!$B:$B,$A109,RecoveredRaw!AK:AK)</f>
        <v>0</v>
      </c>
      <c r="AI109">
        <f>SUMIF(RecoveredRaw!$B:$B,$A109,RecoveredRaw!AL:AL)</f>
        <v>0</v>
      </c>
      <c r="AJ109">
        <f>SUMIF(RecoveredRaw!$B:$B,$A109,RecoveredRaw!AM:AM)</f>
        <v>0</v>
      </c>
      <c r="AK109">
        <f>SUMIF(RecoveredRaw!$B:$B,$A109,RecoveredRaw!AN:AN)</f>
        <v>0</v>
      </c>
      <c r="AL109">
        <f>SUMIF(RecoveredRaw!$B:$B,$A109,RecoveredRaw!AO:AO)</f>
        <v>0</v>
      </c>
      <c r="AM109">
        <f>SUMIF(RecoveredRaw!$B:$B,$A109,RecoveredRaw!AP:AP)</f>
        <v>0</v>
      </c>
      <c r="AN109">
        <f>SUMIF(RecoveredRaw!$B:$B,$A109,RecoveredRaw!AQ:AQ)</f>
        <v>0</v>
      </c>
      <c r="AO109">
        <f>SUMIF(RecoveredRaw!$B:$B,$A109,RecoveredRaw!AR:AR)</f>
        <v>0</v>
      </c>
      <c r="AP109">
        <f>SUMIF(RecoveredRaw!$B:$B,$A109,RecoveredRaw!AS:AS)</f>
        <v>0</v>
      </c>
      <c r="AQ109">
        <f>SUMIF(RecoveredRaw!$B:$B,$A109,RecoveredRaw!AT:AT)</f>
        <v>0</v>
      </c>
      <c r="AR109">
        <f>SUMIF(RecoveredRaw!$B:$B,$A109,RecoveredRaw!AU:AU)</f>
        <v>0</v>
      </c>
      <c r="AS109">
        <f>SUMIF(RecoveredRaw!$B:$B,$A109,RecoveredRaw!AV:AV)</f>
        <v>0</v>
      </c>
      <c r="AT109">
        <f>SUMIF(RecoveredRaw!$B:$B,$A109,RecoveredRaw!AW:AW)</f>
        <v>0</v>
      </c>
      <c r="AU109">
        <f>SUMIF(RecoveredRaw!$B:$B,$A109,RecoveredRaw!AX:AX)</f>
        <v>0</v>
      </c>
      <c r="AV109">
        <f>SUMIF(RecoveredRaw!$B:$B,$A109,RecoveredRaw!AY:AY)</f>
        <v>0</v>
      </c>
      <c r="AW109">
        <f>SUMIF(RecoveredRaw!$B:$B,$A109,RecoveredRaw!AZ:AZ)</f>
        <v>0</v>
      </c>
      <c r="AX109">
        <f>SUMIF(RecoveredRaw!$B:$B,$A109,RecoveredRaw!BA:BA)</f>
        <v>0</v>
      </c>
      <c r="AY109">
        <f>SUMIF(RecoveredRaw!$B:$B,$A109,RecoveredRaw!BB:BB)</f>
        <v>0</v>
      </c>
      <c r="AZ109">
        <f>SUMIF(RecoveredRaw!$B:$B,$A109,RecoveredRaw!BC:BC)</f>
        <v>0</v>
      </c>
      <c r="BA109">
        <f>SUMIF(RecoveredRaw!$B:$B,$A109,RecoveredRaw!BD:BD)</f>
        <v>0</v>
      </c>
      <c r="BB109">
        <f>SUMIF(RecoveredRaw!$B:$B,$A109,RecoveredRaw!BE:BE)</f>
        <v>0</v>
      </c>
      <c r="BC109">
        <f>SUMIF(RecoveredRaw!$B:$B,$A109,RecoveredRaw!BF:BF)</f>
        <v>0</v>
      </c>
      <c r="BD109">
        <f>SUMIF(RecoveredRaw!$B:$B,$A109,RecoveredRaw!BG:BG)</f>
        <v>0</v>
      </c>
      <c r="BE109">
        <f>SUMIF(RecoveredRaw!$B:$B,$A109,RecoveredRaw!BH:BH)</f>
        <v>0</v>
      </c>
      <c r="BF109">
        <f>SUMIF(RecoveredRaw!$B:$B,$A109,RecoveredRaw!BI:BI)</f>
        <v>1</v>
      </c>
      <c r="BG109">
        <f>SUMIF(RecoveredRaw!$B:$B,$A109,RecoveredRaw!BJ:BJ)</f>
        <v>0</v>
      </c>
      <c r="BH109">
        <f>SUMIF(RecoveredRaw!$B:$B,$A109,RecoveredRaw!BK:BK)</f>
        <v>0</v>
      </c>
      <c r="BI109">
        <f>SUMIF(RecoveredRaw!$B:$B,$A109,RecoveredRaw!BL:BL)</f>
        <v>0</v>
      </c>
      <c r="BJ109">
        <f>SUMIF(RecoveredRaw!$B:$B,$A109,RecoveredRaw!BM:BM)</f>
        <v>0</v>
      </c>
      <c r="BK109">
        <f>SUMIF(RecoveredRaw!$B:$B,$A109,RecoveredRaw!BN:BN)</f>
        <v>0</v>
      </c>
      <c r="BL109">
        <f>SUMIF(RecoveredRaw!$B:$B,$A109,RecoveredRaw!BO:BO)</f>
        <v>0</v>
      </c>
      <c r="BM109">
        <f>SUMIF(RecoveredRaw!$B:$B,$A109,RecoveredRaw!BP:BP)</f>
        <v>0</v>
      </c>
      <c r="BN109">
        <f>SUMIF(RecoveredRaw!$B:$B,$A109,RecoveredRaw!BQ:BQ)</f>
        <v>0</v>
      </c>
      <c r="BO109">
        <f>SUMIF(RecoveredRaw!$B:$B,$A109,RecoveredRaw!BR:BR)</f>
        <v>0</v>
      </c>
      <c r="BP109">
        <f>SUMIF(RecoveredRaw!$B:$B,$A109,RecoveredRaw!BS:BS)</f>
        <v>0</v>
      </c>
      <c r="BQ109">
        <f>SUMIF(RecoveredRaw!$B:$B,$A109,RecoveredRaw!BT:BT)</f>
        <v>0</v>
      </c>
      <c r="BR109">
        <f>SUMIF(RecoveredRaw!$B:$B,$A109,RecoveredRaw!BU:BU)</f>
        <v>0</v>
      </c>
      <c r="BS109">
        <f>SUMIF(RecoveredRaw!$B:$B,$A109,RecoveredRaw!BV:BV)</f>
        <v>0</v>
      </c>
      <c r="BT109">
        <f>SUMIF(RecoveredRaw!$B:$B,$A109,RecoveredRaw!BW:BW)</f>
        <v>0</v>
      </c>
    </row>
    <row r="110" spans="1:72" ht="15" thickBot="1" x14ac:dyDescent="0.35">
      <c r="A110" s="4" t="s">
        <v>109</v>
      </c>
      <c r="B110">
        <f>SUMIF(RecoveredRaw!$B:$B,$A110,RecoveredRaw!E:E)</f>
        <v>0</v>
      </c>
      <c r="C110">
        <f>SUMIF(RecoveredRaw!$B:$B,$A110,RecoveredRaw!F:F)</f>
        <v>0</v>
      </c>
      <c r="D110">
        <f>SUMIF(RecoveredRaw!$B:$B,$A110,RecoveredRaw!G:G)</f>
        <v>0</v>
      </c>
      <c r="E110">
        <f>SUMIF(RecoveredRaw!$B:$B,$A110,RecoveredRaw!H:H)</f>
        <v>0</v>
      </c>
      <c r="F110">
        <f>SUMIF(RecoveredRaw!$B:$B,$A110,RecoveredRaw!I:I)</f>
        <v>0</v>
      </c>
      <c r="G110">
        <f>SUMIF(RecoveredRaw!$B:$B,$A110,RecoveredRaw!J:J)</f>
        <v>0</v>
      </c>
      <c r="H110">
        <f>SUMIF(RecoveredRaw!$B:$B,$A110,RecoveredRaw!K:K)</f>
        <v>0</v>
      </c>
      <c r="I110">
        <f>SUMIF(RecoveredRaw!$B:$B,$A110,RecoveredRaw!L:L)</f>
        <v>0</v>
      </c>
      <c r="J110">
        <f>SUMIF(RecoveredRaw!$B:$B,$A110,RecoveredRaw!M:M)</f>
        <v>0</v>
      </c>
      <c r="K110">
        <f>SUMIF(RecoveredRaw!$B:$B,$A110,RecoveredRaw!N:N)</f>
        <v>0</v>
      </c>
      <c r="L110">
        <f>SUMIF(RecoveredRaw!$B:$B,$A110,RecoveredRaw!O:O)</f>
        <v>0</v>
      </c>
      <c r="M110">
        <f>SUMIF(RecoveredRaw!$B:$B,$A110,RecoveredRaw!P:P)</f>
        <v>0</v>
      </c>
      <c r="N110">
        <f>SUMIF(RecoveredRaw!$B:$B,$A110,RecoveredRaw!Q:Q)</f>
        <v>0</v>
      </c>
      <c r="O110">
        <f>SUMIF(RecoveredRaw!$B:$B,$A110,RecoveredRaw!R:R)</f>
        <v>0</v>
      </c>
      <c r="P110">
        <f>SUMIF(RecoveredRaw!$B:$B,$A110,RecoveredRaw!S:S)</f>
        <v>0</v>
      </c>
      <c r="Q110">
        <f>SUMIF(RecoveredRaw!$B:$B,$A110,RecoveredRaw!T:T)</f>
        <v>0</v>
      </c>
      <c r="R110">
        <f>SUMIF(RecoveredRaw!$B:$B,$A110,RecoveredRaw!U:U)</f>
        <v>0</v>
      </c>
      <c r="S110">
        <f>SUMIF(RecoveredRaw!$B:$B,$A110,RecoveredRaw!V:V)</f>
        <v>0</v>
      </c>
      <c r="T110">
        <f>SUMIF(RecoveredRaw!$B:$B,$A110,RecoveredRaw!W:W)</f>
        <v>0</v>
      </c>
      <c r="U110">
        <f>SUMIF(RecoveredRaw!$B:$B,$A110,RecoveredRaw!X:X)</f>
        <v>0</v>
      </c>
      <c r="V110">
        <f>SUMIF(RecoveredRaw!$B:$B,$A110,RecoveredRaw!Y:Y)</f>
        <v>0</v>
      </c>
      <c r="W110">
        <f>SUMIF(RecoveredRaw!$B:$B,$A110,RecoveredRaw!Z:Z)</f>
        <v>0</v>
      </c>
      <c r="X110">
        <f>SUMIF(RecoveredRaw!$B:$B,$A110,RecoveredRaw!AA:AA)</f>
        <v>0</v>
      </c>
      <c r="Y110">
        <f>SUMIF(RecoveredRaw!$B:$B,$A110,RecoveredRaw!AB:AB)</f>
        <v>0</v>
      </c>
      <c r="Z110">
        <f>SUMIF(RecoveredRaw!$B:$B,$A110,RecoveredRaw!AC:AC)</f>
        <v>0</v>
      </c>
      <c r="AA110">
        <f>SUMIF(RecoveredRaw!$B:$B,$A110,RecoveredRaw!AD:AD)</f>
        <v>0</v>
      </c>
      <c r="AB110">
        <f>SUMIF(RecoveredRaw!$B:$B,$A110,RecoveredRaw!AE:AE)</f>
        <v>0</v>
      </c>
      <c r="AC110">
        <f>SUMIF(RecoveredRaw!$B:$B,$A110,RecoveredRaw!AF:AF)</f>
        <v>0</v>
      </c>
      <c r="AD110">
        <f>SUMIF(RecoveredRaw!$B:$B,$A110,RecoveredRaw!AG:AG)</f>
        <v>0</v>
      </c>
      <c r="AE110">
        <f>SUMIF(RecoveredRaw!$B:$B,$A110,RecoveredRaw!AH:AH)</f>
        <v>0</v>
      </c>
      <c r="AF110">
        <f>SUMIF(RecoveredRaw!$B:$B,$A110,RecoveredRaw!AI:AI)</f>
        <v>0</v>
      </c>
      <c r="AG110">
        <f>SUMIF(RecoveredRaw!$B:$B,$A110,RecoveredRaw!AJ:AJ)</f>
        <v>0</v>
      </c>
      <c r="AH110">
        <f>SUMIF(RecoveredRaw!$B:$B,$A110,RecoveredRaw!AK:AK)</f>
        <v>0</v>
      </c>
      <c r="AI110">
        <f>SUMIF(RecoveredRaw!$B:$B,$A110,RecoveredRaw!AL:AL)</f>
        <v>0</v>
      </c>
      <c r="AJ110">
        <f>SUMIF(RecoveredRaw!$B:$B,$A110,RecoveredRaw!AM:AM)</f>
        <v>0</v>
      </c>
      <c r="AK110">
        <f>SUMIF(RecoveredRaw!$B:$B,$A110,RecoveredRaw!AN:AN)</f>
        <v>0</v>
      </c>
      <c r="AL110">
        <f>SUMIF(RecoveredRaw!$B:$B,$A110,RecoveredRaw!AO:AO)</f>
        <v>0</v>
      </c>
      <c r="AM110">
        <f>SUMIF(RecoveredRaw!$B:$B,$A110,RecoveredRaw!AP:AP)</f>
        <v>0</v>
      </c>
      <c r="AN110">
        <f>SUMIF(RecoveredRaw!$B:$B,$A110,RecoveredRaw!AQ:AQ)</f>
        <v>0</v>
      </c>
      <c r="AO110">
        <f>SUMIF(RecoveredRaw!$B:$B,$A110,RecoveredRaw!AR:AR)</f>
        <v>0</v>
      </c>
      <c r="AP110">
        <f>SUMIF(RecoveredRaw!$B:$B,$A110,RecoveredRaw!AS:AS)</f>
        <v>0</v>
      </c>
      <c r="AQ110">
        <f>SUMIF(RecoveredRaw!$B:$B,$A110,RecoveredRaw!AT:AT)</f>
        <v>0</v>
      </c>
      <c r="AR110">
        <f>SUMIF(RecoveredRaw!$B:$B,$A110,RecoveredRaw!AU:AU)</f>
        <v>0</v>
      </c>
      <c r="AS110">
        <f>SUMIF(RecoveredRaw!$B:$B,$A110,RecoveredRaw!AV:AV)</f>
        <v>0</v>
      </c>
      <c r="AT110">
        <f>SUMIF(RecoveredRaw!$B:$B,$A110,RecoveredRaw!AW:AW)</f>
        <v>0</v>
      </c>
      <c r="AU110">
        <f>SUMIF(RecoveredRaw!$B:$B,$A110,RecoveredRaw!AX:AX)</f>
        <v>0</v>
      </c>
      <c r="AV110">
        <f>SUMIF(RecoveredRaw!$B:$B,$A110,RecoveredRaw!AY:AY)</f>
        <v>0</v>
      </c>
      <c r="AW110">
        <f>SUMIF(RecoveredRaw!$B:$B,$A110,RecoveredRaw!AZ:AZ)</f>
        <v>0</v>
      </c>
      <c r="AX110">
        <f>SUMIF(RecoveredRaw!$B:$B,$A110,RecoveredRaw!BA:BA)</f>
        <v>0</v>
      </c>
      <c r="AY110">
        <f>SUMIF(RecoveredRaw!$B:$B,$A110,RecoveredRaw!BB:BB)</f>
        <v>0</v>
      </c>
      <c r="AZ110">
        <f>SUMIF(RecoveredRaw!$B:$B,$A110,RecoveredRaw!BC:BC)</f>
        <v>1</v>
      </c>
      <c r="BA110">
        <f>SUMIF(RecoveredRaw!$B:$B,$A110,RecoveredRaw!BD:BD)</f>
        <v>0</v>
      </c>
      <c r="BB110">
        <f>SUMIF(RecoveredRaw!$B:$B,$A110,RecoveredRaw!BE:BE)</f>
        <v>1</v>
      </c>
      <c r="BC110">
        <f>SUMIF(RecoveredRaw!$B:$B,$A110,RecoveredRaw!BF:BF)</f>
        <v>1</v>
      </c>
      <c r="BD110">
        <f>SUMIF(RecoveredRaw!$B:$B,$A110,RecoveredRaw!BG:BG)</f>
        <v>1</v>
      </c>
      <c r="BE110">
        <f>SUMIF(RecoveredRaw!$B:$B,$A110,RecoveredRaw!BH:BH)</f>
        <v>1</v>
      </c>
      <c r="BF110">
        <f>SUMIF(RecoveredRaw!$B:$B,$A110,RecoveredRaw!BI:BI)</f>
        <v>1</v>
      </c>
      <c r="BG110">
        <f>SUMIF(RecoveredRaw!$B:$B,$A110,RecoveredRaw!BJ:BJ)</f>
        <v>0</v>
      </c>
      <c r="BH110">
        <f>SUMIF(RecoveredRaw!$B:$B,$A110,RecoveredRaw!BK:BK)</f>
        <v>0</v>
      </c>
      <c r="BI110">
        <f>SUMIF(RecoveredRaw!$B:$B,$A110,RecoveredRaw!BL:BL)</f>
        <v>0</v>
      </c>
      <c r="BJ110">
        <f>SUMIF(RecoveredRaw!$B:$B,$A110,RecoveredRaw!BM:BM)</f>
        <v>0</v>
      </c>
      <c r="BK110">
        <f>SUMIF(RecoveredRaw!$B:$B,$A110,RecoveredRaw!BN:BN)</f>
        <v>0</v>
      </c>
      <c r="BL110">
        <f>SUMIF(RecoveredRaw!$B:$B,$A110,RecoveredRaw!BO:BO)</f>
        <v>0</v>
      </c>
      <c r="BM110">
        <f>SUMIF(RecoveredRaw!$B:$B,$A110,RecoveredRaw!BP:BP)</f>
        <v>0</v>
      </c>
      <c r="BN110">
        <f>SUMIF(RecoveredRaw!$B:$B,$A110,RecoveredRaw!BQ:BQ)</f>
        <v>0</v>
      </c>
      <c r="BO110">
        <f>SUMIF(RecoveredRaw!$B:$B,$A110,RecoveredRaw!BR:BR)</f>
        <v>0</v>
      </c>
      <c r="BP110">
        <f>SUMIF(RecoveredRaw!$B:$B,$A110,RecoveredRaw!BS:BS)</f>
        <v>0</v>
      </c>
      <c r="BQ110">
        <f>SUMIF(RecoveredRaw!$B:$B,$A110,RecoveredRaw!BT:BT)</f>
        <v>0</v>
      </c>
      <c r="BR110">
        <f>SUMIF(RecoveredRaw!$B:$B,$A110,RecoveredRaw!BU:BU)</f>
        <v>0</v>
      </c>
      <c r="BS110">
        <f>SUMIF(RecoveredRaw!$B:$B,$A110,RecoveredRaw!BV:BV)</f>
        <v>0</v>
      </c>
      <c r="BT110">
        <f>SUMIF(RecoveredRaw!$B:$B,$A110,RecoveredRaw!BW:BW)</f>
        <v>0</v>
      </c>
    </row>
    <row r="111" spans="1:72" ht="15" thickBot="1" x14ac:dyDescent="0.35">
      <c r="A111" s="4" t="s">
        <v>424</v>
      </c>
      <c r="B111">
        <f>SUMIF(RecoveredRaw!$B:$B,$A111,RecoveredRaw!E:E)</f>
        <v>0</v>
      </c>
      <c r="C111">
        <f>SUMIF(RecoveredRaw!$B:$B,$A111,RecoveredRaw!F:F)</f>
        <v>0</v>
      </c>
      <c r="D111">
        <f>SUMIF(RecoveredRaw!$B:$B,$A111,RecoveredRaw!G:G)</f>
        <v>0</v>
      </c>
      <c r="E111">
        <f>SUMIF(RecoveredRaw!$B:$B,$A111,RecoveredRaw!H:H)</f>
        <v>0</v>
      </c>
      <c r="F111">
        <f>SUMIF(RecoveredRaw!$B:$B,$A111,RecoveredRaw!I:I)</f>
        <v>0</v>
      </c>
      <c r="G111">
        <f>SUMIF(RecoveredRaw!$B:$B,$A111,RecoveredRaw!J:J)</f>
        <v>0</v>
      </c>
      <c r="H111">
        <f>SUMIF(RecoveredRaw!$B:$B,$A111,RecoveredRaw!K:K)</f>
        <v>0</v>
      </c>
      <c r="I111">
        <f>SUMIF(RecoveredRaw!$B:$B,$A111,RecoveredRaw!L:L)</f>
        <v>0</v>
      </c>
      <c r="J111">
        <f>SUMIF(RecoveredRaw!$B:$B,$A111,RecoveredRaw!M:M)</f>
        <v>0</v>
      </c>
      <c r="K111">
        <f>SUMIF(RecoveredRaw!$B:$B,$A111,RecoveredRaw!N:N)</f>
        <v>0</v>
      </c>
      <c r="L111">
        <f>SUMIF(RecoveredRaw!$B:$B,$A111,RecoveredRaw!O:O)</f>
        <v>0</v>
      </c>
      <c r="M111">
        <f>SUMIF(RecoveredRaw!$B:$B,$A111,RecoveredRaw!P:P)</f>
        <v>0</v>
      </c>
      <c r="N111">
        <f>SUMIF(RecoveredRaw!$B:$B,$A111,RecoveredRaw!Q:Q)</f>
        <v>0</v>
      </c>
      <c r="O111">
        <f>SUMIF(RecoveredRaw!$B:$B,$A111,RecoveredRaw!R:R)</f>
        <v>0</v>
      </c>
      <c r="P111">
        <f>SUMIF(RecoveredRaw!$B:$B,$A111,RecoveredRaw!S:S)</f>
        <v>0</v>
      </c>
      <c r="Q111">
        <f>SUMIF(RecoveredRaw!$B:$B,$A111,RecoveredRaw!T:T)</f>
        <v>0</v>
      </c>
      <c r="R111">
        <f>SUMIF(RecoveredRaw!$B:$B,$A111,RecoveredRaw!U:U)</f>
        <v>0</v>
      </c>
      <c r="S111">
        <f>SUMIF(RecoveredRaw!$B:$B,$A111,RecoveredRaw!V:V)</f>
        <v>0</v>
      </c>
      <c r="T111">
        <f>SUMIF(RecoveredRaw!$B:$B,$A111,RecoveredRaw!W:W)</f>
        <v>0</v>
      </c>
      <c r="U111">
        <f>SUMIF(RecoveredRaw!$B:$B,$A111,RecoveredRaw!X:X)</f>
        <v>0</v>
      </c>
      <c r="V111">
        <f>SUMIF(RecoveredRaw!$B:$B,$A111,RecoveredRaw!Y:Y)</f>
        <v>0</v>
      </c>
      <c r="W111">
        <f>SUMIF(RecoveredRaw!$B:$B,$A111,RecoveredRaw!Z:Z)</f>
        <v>0</v>
      </c>
      <c r="X111">
        <f>SUMIF(RecoveredRaw!$B:$B,$A111,RecoveredRaw!AA:AA)</f>
        <v>0</v>
      </c>
      <c r="Y111">
        <f>SUMIF(RecoveredRaw!$B:$B,$A111,RecoveredRaw!AB:AB)</f>
        <v>0</v>
      </c>
      <c r="Z111">
        <f>SUMIF(RecoveredRaw!$B:$B,$A111,RecoveredRaw!AC:AC)</f>
        <v>0</v>
      </c>
      <c r="AA111">
        <f>SUMIF(RecoveredRaw!$B:$B,$A111,RecoveredRaw!AD:AD)</f>
        <v>0</v>
      </c>
      <c r="AB111">
        <f>SUMIF(RecoveredRaw!$B:$B,$A111,RecoveredRaw!AE:AE)</f>
        <v>0</v>
      </c>
      <c r="AC111">
        <f>SUMIF(RecoveredRaw!$B:$B,$A111,RecoveredRaw!AF:AF)</f>
        <v>0</v>
      </c>
      <c r="AD111">
        <f>SUMIF(RecoveredRaw!$B:$B,$A111,RecoveredRaw!AG:AG)</f>
        <v>0</v>
      </c>
      <c r="AE111">
        <f>SUMIF(RecoveredRaw!$B:$B,$A111,RecoveredRaw!AH:AH)</f>
        <v>0</v>
      </c>
      <c r="AF111">
        <f>SUMIF(RecoveredRaw!$B:$B,$A111,RecoveredRaw!AI:AI)</f>
        <v>0</v>
      </c>
      <c r="AG111">
        <f>SUMIF(RecoveredRaw!$B:$B,$A111,RecoveredRaw!AJ:AJ)</f>
        <v>0</v>
      </c>
      <c r="AH111">
        <f>SUMIF(RecoveredRaw!$B:$B,$A111,RecoveredRaw!AK:AK)</f>
        <v>0</v>
      </c>
      <c r="AI111">
        <f>SUMIF(RecoveredRaw!$B:$B,$A111,RecoveredRaw!AL:AL)</f>
        <v>0</v>
      </c>
      <c r="AJ111">
        <f>SUMIF(RecoveredRaw!$B:$B,$A111,RecoveredRaw!AM:AM)</f>
        <v>0</v>
      </c>
      <c r="AK111">
        <f>SUMIF(RecoveredRaw!$B:$B,$A111,RecoveredRaw!AN:AN)</f>
        <v>0</v>
      </c>
      <c r="AL111">
        <f>SUMIF(RecoveredRaw!$B:$B,$A111,RecoveredRaw!AO:AO)</f>
        <v>0</v>
      </c>
      <c r="AM111">
        <f>SUMIF(RecoveredRaw!$B:$B,$A111,RecoveredRaw!AP:AP)</f>
        <v>0</v>
      </c>
      <c r="AN111">
        <f>SUMIF(RecoveredRaw!$B:$B,$A111,RecoveredRaw!AQ:AQ)</f>
        <v>0</v>
      </c>
      <c r="AO111">
        <f>SUMIF(RecoveredRaw!$B:$B,$A111,RecoveredRaw!AR:AR)</f>
        <v>0</v>
      </c>
      <c r="AP111">
        <f>SUMIF(RecoveredRaw!$B:$B,$A111,RecoveredRaw!AS:AS)</f>
        <v>0</v>
      </c>
      <c r="AQ111">
        <f>SUMIF(RecoveredRaw!$B:$B,$A111,RecoveredRaw!AT:AT)</f>
        <v>0</v>
      </c>
      <c r="AR111">
        <f>SUMIF(RecoveredRaw!$B:$B,$A111,RecoveredRaw!AU:AU)</f>
        <v>0</v>
      </c>
      <c r="AS111">
        <f>SUMIF(RecoveredRaw!$B:$B,$A111,RecoveredRaw!AV:AV)</f>
        <v>0</v>
      </c>
      <c r="AT111">
        <f>SUMIF(RecoveredRaw!$B:$B,$A111,RecoveredRaw!AW:AW)</f>
        <v>0</v>
      </c>
      <c r="AU111">
        <f>SUMIF(RecoveredRaw!$B:$B,$A111,RecoveredRaw!AX:AX)</f>
        <v>0</v>
      </c>
      <c r="AV111">
        <f>SUMIF(RecoveredRaw!$B:$B,$A111,RecoveredRaw!AY:AY)</f>
        <v>0</v>
      </c>
      <c r="AW111">
        <f>SUMIF(RecoveredRaw!$B:$B,$A111,RecoveredRaw!AZ:AZ)</f>
        <v>0</v>
      </c>
      <c r="AX111">
        <f>SUMIF(RecoveredRaw!$B:$B,$A111,RecoveredRaw!BA:BA)</f>
        <v>0</v>
      </c>
      <c r="AY111">
        <f>SUMIF(RecoveredRaw!$B:$B,$A111,RecoveredRaw!BB:BB)</f>
        <v>0</v>
      </c>
      <c r="AZ111">
        <f>SUMIF(RecoveredRaw!$B:$B,$A111,RecoveredRaw!BC:BC)</f>
        <v>0</v>
      </c>
      <c r="BA111">
        <f>SUMIF(RecoveredRaw!$B:$B,$A111,RecoveredRaw!BD:BD)</f>
        <v>0</v>
      </c>
      <c r="BB111">
        <f>SUMIF(RecoveredRaw!$B:$B,$A111,RecoveredRaw!BE:BE)</f>
        <v>0</v>
      </c>
      <c r="BC111">
        <f>SUMIF(RecoveredRaw!$B:$B,$A111,RecoveredRaw!BF:BF)</f>
        <v>0</v>
      </c>
      <c r="BD111">
        <f>SUMIF(RecoveredRaw!$B:$B,$A111,RecoveredRaw!BG:BG)</f>
        <v>0</v>
      </c>
      <c r="BE111">
        <f>SUMIF(RecoveredRaw!$B:$B,$A111,RecoveredRaw!BH:BH)</f>
        <v>0</v>
      </c>
      <c r="BF111">
        <f>SUMIF(RecoveredRaw!$B:$B,$A111,RecoveredRaw!BI:BI)</f>
        <v>0</v>
      </c>
      <c r="BG111">
        <f>SUMIF(RecoveredRaw!$B:$B,$A111,RecoveredRaw!BJ:BJ)</f>
        <v>0</v>
      </c>
      <c r="BH111">
        <f>SUMIF(RecoveredRaw!$B:$B,$A111,RecoveredRaw!BK:BK)</f>
        <v>0</v>
      </c>
      <c r="BI111">
        <f>SUMIF(RecoveredRaw!$B:$B,$A111,RecoveredRaw!BL:BL)</f>
        <v>0</v>
      </c>
      <c r="BJ111">
        <f>SUMIF(RecoveredRaw!$B:$B,$A111,RecoveredRaw!BM:BM)</f>
        <v>0</v>
      </c>
      <c r="BK111">
        <f>SUMIF(RecoveredRaw!$B:$B,$A111,RecoveredRaw!BN:BN)</f>
        <v>0</v>
      </c>
      <c r="BL111">
        <f>SUMIF(RecoveredRaw!$B:$B,$A111,RecoveredRaw!BO:BO)</f>
        <v>0</v>
      </c>
      <c r="BM111">
        <f>SUMIF(RecoveredRaw!$B:$B,$A111,RecoveredRaw!BP:BP)</f>
        <v>0</v>
      </c>
      <c r="BN111">
        <f>SUMIF(RecoveredRaw!$B:$B,$A111,RecoveredRaw!BQ:BQ)</f>
        <v>0</v>
      </c>
      <c r="BO111">
        <f>SUMIF(RecoveredRaw!$B:$B,$A111,RecoveredRaw!BR:BR)</f>
        <v>0</v>
      </c>
      <c r="BP111">
        <f>SUMIF(RecoveredRaw!$B:$B,$A111,RecoveredRaw!BS:BS)</f>
        <v>0</v>
      </c>
      <c r="BQ111">
        <f>SUMIF(RecoveredRaw!$B:$B,$A111,RecoveredRaw!BT:BT)</f>
        <v>0</v>
      </c>
      <c r="BR111">
        <f>SUMIF(RecoveredRaw!$B:$B,$A111,RecoveredRaw!BU:BU)</f>
        <v>0</v>
      </c>
      <c r="BS111">
        <f>SUMIF(RecoveredRaw!$B:$B,$A111,RecoveredRaw!BV:BV)</f>
        <v>0</v>
      </c>
      <c r="BT111">
        <f>SUMIF(RecoveredRaw!$B:$B,$A111,RecoveredRaw!BW:BW)</f>
        <v>0</v>
      </c>
    </row>
    <row r="112" spans="1:72" ht="15" thickBot="1" x14ac:dyDescent="0.35">
      <c r="A112" s="4" t="s">
        <v>156</v>
      </c>
      <c r="B112">
        <f>SUMIF(RecoveredRaw!$B:$B,$A112,RecoveredRaw!E:E)</f>
        <v>0</v>
      </c>
      <c r="C112">
        <f>SUMIF(RecoveredRaw!$B:$B,$A112,RecoveredRaw!F:F)</f>
        <v>0</v>
      </c>
      <c r="D112">
        <f>SUMIF(RecoveredRaw!$B:$B,$A112,RecoveredRaw!G:G)</f>
        <v>0</v>
      </c>
      <c r="E112">
        <f>SUMIF(RecoveredRaw!$B:$B,$A112,RecoveredRaw!H:H)</f>
        <v>0</v>
      </c>
      <c r="F112">
        <f>SUMIF(RecoveredRaw!$B:$B,$A112,RecoveredRaw!I:I)</f>
        <v>0</v>
      </c>
      <c r="G112">
        <f>SUMIF(RecoveredRaw!$B:$B,$A112,RecoveredRaw!J:J)</f>
        <v>0</v>
      </c>
      <c r="H112">
        <f>SUMIF(RecoveredRaw!$B:$B,$A112,RecoveredRaw!K:K)</f>
        <v>0</v>
      </c>
      <c r="I112">
        <f>SUMIF(RecoveredRaw!$B:$B,$A112,RecoveredRaw!L:L)</f>
        <v>0</v>
      </c>
      <c r="J112">
        <f>SUMIF(RecoveredRaw!$B:$B,$A112,RecoveredRaw!M:M)</f>
        <v>0</v>
      </c>
      <c r="K112">
        <f>SUMIF(RecoveredRaw!$B:$B,$A112,RecoveredRaw!N:N)</f>
        <v>0</v>
      </c>
      <c r="L112">
        <f>SUMIF(RecoveredRaw!$B:$B,$A112,RecoveredRaw!O:O)</f>
        <v>0</v>
      </c>
      <c r="M112">
        <f>SUMIF(RecoveredRaw!$B:$B,$A112,RecoveredRaw!P:P)</f>
        <v>0</v>
      </c>
      <c r="N112">
        <f>SUMIF(RecoveredRaw!$B:$B,$A112,RecoveredRaw!Q:Q)</f>
        <v>0</v>
      </c>
      <c r="O112">
        <f>SUMIF(RecoveredRaw!$B:$B,$A112,RecoveredRaw!R:R)</f>
        <v>0</v>
      </c>
      <c r="P112">
        <f>SUMIF(RecoveredRaw!$B:$B,$A112,RecoveredRaw!S:S)</f>
        <v>0</v>
      </c>
      <c r="Q112">
        <f>SUMIF(RecoveredRaw!$B:$B,$A112,RecoveredRaw!T:T)</f>
        <v>0</v>
      </c>
      <c r="R112">
        <f>SUMIF(RecoveredRaw!$B:$B,$A112,RecoveredRaw!U:U)</f>
        <v>0</v>
      </c>
      <c r="S112">
        <f>SUMIF(RecoveredRaw!$B:$B,$A112,RecoveredRaw!V:V)</f>
        <v>0</v>
      </c>
      <c r="T112">
        <f>SUMIF(RecoveredRaw!$B:$B,$A112,RecoveredRaw!W:W)</f>
        <v>0</v>
      </c>
      <c r="U112">
        <f>SUMIF(RecoveredRaw!$B:$B,$A112,RecoveredRaw!X:X)</f>
        <v>0</v>
      </c>
      <c r="V112">
        <f>SUMIF(RecoveredRaw!$B:$B,$A112,RecoveredRaw!Y:Y)</f>
        <v>0</v>
      </c>
      <c r="W112">
        <f>SUMIF(RecoveredRaw!$B:$B,$A112,RecoveredRaw!Z:Z)</f>
        <v>0</v>
      </c>
      <c r="X112">
        <f>SUMIF(RecoveredRaw!$B:$B,$A112,RecoveredRaw!AA:AA)</f>
        <v>0</v>
      </c>
      <c r="Y112">
        <f>SUMIF(RecoveredRaw!$B:$B,$A112,RecoveredRaw!AB:AB)</f>
        <v>0</v>
      </c>
      <c r="Z112">
        <f>SUMIF(RecoveredRaw!$B:$B,$A112,RecoveredRaw!AC:AC)</f>
        <v>0</v>
      </c>
      <c r="AA112">
        <f>SUMIF(RecoveredRaw!$B:$B,$A112,RecoveredRaw!AD:AD)</f>
        <v>0</v>
      </c>
      <c r="AB112">
        <f>SUMIF(RecoveredRaw!$B:$B,$A112,RecoveredRaw!AE:AE)</f>
        <v>0</v>
      </c>
      <c r="AC112">
        <f>SUMIF(RecoveredRaw!$B:$B,$A112,RecoveredRaw!AF:AF)</f>
        <v>0</v>
      </c>
      <c r="AD112">
        <f>SUMIF(RecoveredRaw!$B:$B,$A112,RecoveredRaw!AG:AG)</f>
        <v>0</v>
      </c>
      <c r="AE112">
        <f>SUMIF(RecoveredRaw!$B:$B,$A112,RecoveredRaw!AH:AH)</f>
        <v>0</v>
      </c>
      <c r="AF112">
        <f>SUMIF(RecoveredRaw!$B:$B,$A112,RecoveredRaw!AI:AI)</f>
        <v>0</v>
      </c>
      <c r="AG112">
        <f>SUMIF(RecoveredRaw!$B:$B,$A112,RecoveredRaw!AJ:AJ)</f>
        <v>0</v>
      </c>
      <c r="AH112">
        <f>SUMIF(RecoveredRaw!$B:$B,$A112,RecoveredRaw!AK:AK)</f>
        <v>0</v>
      </c>
      <c r="AI112">
        <f>SUMIF(RecoveredRaw!$B:$B,$A112,RecoveredRaw!AL:AL)</f>
        <v>0</v>
      </c>
      <c r="AJ112">
        <f>SUMIF(RecoveredRaw!$B:$B,$A112,RecoveredRaw!AM:AM)</f>
        <v>0</v>
      </c>
      <c r="AK112">
        <f>SUMIF(RecoveredRaw!$B:$B,$A112,RecoveredRaw!AN:AN)</f>
        <v>0</v>
      </c>
      <c r="AL112">
        <f>SUMIF(RecoveredRaw!$B:$B,$A112,RecoveredRaw!AO:AO)</f>
        <v>0</v>
      </c>
      <c r="AM112">
        <f>SUMIF(RecoveredRaw!$B:$B,$A112,RecoveredRaw!AP:AP)</f>
        <v>0</v>
      </c>
      <c r="AN112">
        <f>SUMIF(RecoveredRaw!$B:$B,$A112,RecoveredRaw!AQ:AQ)</f>
        <v>0</v>
      </c>
      <c r="AO112">
        <f>SUMIF(RecoveredRaw!$B:$B,$A112,RecoveredRaw!AR:AR)</f>
        <v>0</v>
      </c>
      <c r="AP112">
        <f>SUMIF(RecoveredRaw!$B:$B,$A112,RecoveredRaw!AS:AS)</f>
        <v>0</v>
      </c>
      <c r="AQ112">
        <f>SUMIF(RecoveredRaw!$B:$B,$A112,RecoveredRaw!AT:AT)</f>
        <v>0</v>
      </c>
      <c r="AR112">
        <f>SUMIF(RecoveredRaw!$B:$B,$A112,RecoveredRaw!AU:AU)</f>
        <v>0</v>
      </c>
      <c r="AS112">
        <f>SUMIF(RecoveredRaw!$B:$B,$A112,RecoveredRaw!AV:AV)</f>
        <v>0</v>
      </c>
      <c r="AT112">
        <f>SUMIF(RecoveredRaw!$B:$B,$A112,RecoveredRaw!AW:AW)</f>
        <v>0</v>
      </c>
      <c r="AU112">
        <f>SUMIF(RecoveredRaw!$B:$B,$A112,RecoveredRaw!AX:AX)</f>
        <v>0</v>
      </c>
      <c r="AV112">
        <f>SUMIF(RecoveredRaw!$B:$B,$A112,RecoveredRaw!AY:AY)</f>
        <v>0</v>
      </c>
      <c r="AW112">
        <f>SUMIF(RecoveredRaw!$B:$B,$A112,RecoveredRaw!AZ:AZ)</f>
        <v>0</v>
      </c>
      <c r="AX112">
        <f>SUMIF(RecoveredRaw!$B:$B,$A112,RecoveredRaw!BA:BA)</f>
        <v>0</v>
      </c>
      <c r="AY112">
        <f>SUMIF(RecoveredRaw!$B:$B,$A112,RecoveredRaw!BB:BB)</f>
        <v>0</v>
      </c>
      <c r="AZ112">
        <f>SUMIF(RecoveredRaw!$B:$B,$A112,RecoveredRaw!BC:BC)</f>
        <v>0</v>
      </c>
      <c r="BA112">
        <f>SUMIF(RecoveredRaw!$B:$B,$A112,RecoveredRaw!BD:BD)</f>
        <v>0</v>
      </c>
      <c r="BB112">
        <f>SUMIF(RecoveredRaw!$B:$B,$A112,RecoveredRaw!BE:BE)</f>
        <v>0</v>
      </c>
      <c r="BC112">
        <f>SUMIF(RecoveredRaw!$B:$B,$A112,RecoveredRaw!BF:BF)</f>
        <v>0</v>
      </c>
      <c r="BD112">
        <f>SUMIF(RecoveredRaw!$B:$B,$A112,RecoveredRaw!BG:BG)</f>
        <v>0</v>
      </c>
      <c r="BE112">
        <f>SUMIF(RecoveredRaw!$B:$B,$A112,RecoveredRaw!BH:BH)</f>
        <v>0</v>
      </c>
      <c r="BF112">
        <f>SUMIF(RecoveredRaw!$B:$B,$A112,RecoveredRaw!BI:BI)</f>
        <v>0</v>
      </c>
      <c r="BG112">
        <f>SUMIF(RecoveredRaw!$B:$B,$A112,RecoveredRaw!BJ:BJ)</f>
        <v>0</v>
      </c>
      <c r="BH112">
        <f>SUMIF(RecoveredRaw!$B:$B,$A112,RecoveredRaw!BK:BK)</f>
        <v>0</v>
      </c>
      <c r="BI112">
        <f>SUMIF(RecoveredRaw!$B:$B,$A112,RecoveredRaw!BL:BL)</f>
        <v>0</v>
      </c>
      <c r="BJ112">
        <f>SUMIF(RecoveredRaw!$B:$B,$A112,RecoveredRaw!BM:BM)</f>
        <v>0</v>
      </c>
      <c r="BK112">
        <f>SUMIF(RecoveredRaw!$B:$B,$A112,RecoveredRaw!BN:BN)</f>
        <v>0</v>
      </c>
      <c r="BL112">
        <f>SUMIF(RecoveredRaw!$B:$B,$A112,RecoveredRaw!BO:BO)</f>
        <v>0</v>
      </c>
      <c r="BM112">
        <f>SUMIF(RecoveredRaw!$B:$B,$A112,RecoveredRaw!BP:BP)</f>
        <v>0</v>
      </c>
      <c r="BN112">
        <f>SUMIF(RecoveredRaw!$B:$B,$A112,RecoveredRaw!BQ:BQ)</f>
        <v>0</v>
      </c>
      <c r="BO112">
        <f>SUMIF(RecoveredRaw!$B:$B,$A112,RecoveredRaw!BR:BR)</f>
        <v>0</v>
      </c>
      <c r="BP112">
        <f>SUMIF(RecoveredRaw!$B:$B,$A112,RecoveredRaw!BS:BS)</f>
        <v>0</v>
      </c>
      <c r="BQ112">
        <f>SUMIF(RecoveredRaw!$B:$B,$A112,RecoveredRaw!BT:BT)</f>
        <v>0</v>
      </c>
      <c r="BR112">
        <f>SUMIF(RecoveredRaw!$B:$B,$A112,RecoveredRaw!BU:BU)</f>
        <v>0</v>
      </c>
      <c r="BS112">
        <f>SUMIF(RecoveredRaw!$B:$B,$A112,RecoveredRaw!BV:BV)</f>
        <v>0</v>
      </c>
      <c r="BT112">
        <f>SUMIF(RecoveredRaw!$B:$B,$A112,RecoveredRaw!BW:BW)</f>
        <v>0</v>
      </c>
    </row>
    <row r="113" spans="1:72" ht="15" thickBot="1" x14ac:dyDescent="0.35">
      <c r="A113" s="4" t="s">
        <v>415</v>
      </c>
      <c r="B113">
        <f>SUMIF(RecoveredRaw!$B:$B,$A113,RecoveredRaw!E:E)</f>
        <v>0</v>
      </c>
      <c r="C113">
        <f>SUMIF(RecoveredRaw!$B:$B,$A113,RecoveredRaw!F:F)</f>
        <v>0</v>
      </c>
      <c r="D113">
        <f>SUMIF(RecoveredRaw!$B:$B,$A113,RecoveredRaw!G:G)</f>
        <v>0</v>
      </c>
      <c r="E113">
        <f>SUMIF(RecoveredRaw!$B:$B,$A113,RecoveredRaw!H:H)</f>
        <v>0</v>
      </c>
      <c r="F113">
        <f>SUMIF(RecoveredRaw!$B:$B,$A113,RecoveredRaw!I:I)</f>
        <v>0</v>
      </c>
      <c r="G113">
        <f>SUMIF(RecoveredRaw!$B:$B,$A113,RecoveredRaw!J:J)</f>
        <v>0</v>
      </c>
      <c r="H113">
        <f>SUMIF(RecoveredRaw!$B:$B,$A113,RecoveredRaw!K:K)</f>
        <v>0</v>
      </c>
      <c r="I113">
        <f>SUMIF(RecoveredRaw!$B:$B,$A113,RecoveredRaw!L:L)</f>
        <v>0</v>
      </c>
      <c r="J113">
        <f>SUMIF(RecoveredRaw!$B:$B,$A113,RecoveredRaw!M:M)</f>
        <v>0</v>
      </c>
      <c r="K113">
        <f>SUMIF(RecoveredRaw!$B:$B,$A113,RecoveredRaw!N:N)</f>
        <v>0</v>
      </c>
      <c r="L113">
        <f>SUMIF(RecoveredRaw!$B:$B,$A113,RecoveredRaw!O:O)</f>
        <v>0</v>
      </c>
      <c r="M113">
        <f>SUMIF(RecoveredRaw!$B:$B,$A113,RecoveredRaw!P:P)</f>
        <v>0</v>
      </c>
      <c r="N113">
        <f>SUMIF(RecoveredRaw!$B:$B,$A113,RecoveredRaw!Q:Q)</f>
        <v>0</v>
      </c>
      <c r="O113">
        <f>SUMIF(RecoveredRaw!$B:$B,$A113,RecoveredRaw!R:R)</f>
        <v>0</v>
      </c>
      <c r="P113">
        <f>SUMIF(RecoveredRaw!$B:$B,$A113,RecoveredRaw!S:S)</f>
        <v>0</v>
      </c>
      <c r="Q113">
        <f>SUMIF(RecoveredRaw!$B:$B,$A113,RecoveredRaw!T:T)</f>
        <v>0</v>
      </c>
      <c r="R113">
        <f>SUMIF(RecoveredRaw!$B:$B,$A113,RecoveredRaw!U:U)</f>
        <v>0</v>
      </c>
      <c r="S113">
        <f>SUMIF(RecoveredRaw!$B:$B,$A113,RecoveredRaw!V:V)</f>
        <v>0</v>
      </c>
      <c r="T113">
        <f>SUMIF(RecoveredRaw!$B:$B,$A113,RecoveredRaw!W:W)</f>
        <v>0</v>
      </c>
      <c r="U113">
        <f>SUMIF(RecoveredRaw!$B:$B,$A113,RecoveredRaw!X:X)</f>
        <v>0</v>
      </c>
      <c r="V113">
        <f>SUMIF(RecoveredRaw!$B:$B,$A113,RecoveredRaw!Y:Y)</f>
        <v>0</v>
      </c>
      <c r="W113">
        <f>SUMIF(RecoveredRaw!$B:$B,$A113,RecoveredRaw!Z:Z)</f>
        <v>0</v>
      </c>
      <c r="X113">
        <f>SUMIF(RecoveredRaw!$B:$B,$A113,RecoveredRaw!AA:AA)</f>
        <v>0</v>
      </c>
      <c r="Y113">
        <f>SUMIF(RecoveredRaw!$B:$B,$A113,RecoveredRaw!AB:AB)</f>
        <v>0</v>
      </c>
      <c r="Z113">
        <f>SUMIF(RecoveredRaw!$B:$B,$A113,RecoveredRaw!AC:AC)</f>
        <v>0</v>
      </c>
      <c r="AA113">
        <f>SUMIF(RecoveredRaw!$B:$B,$A113,RecoveredRaw!AD:AD)</f>
        <v>0</v>
      </c>
      <c r="AB113">
        <f>SUMIF(RecoveredRaw!$B:$B,$A113,RecoveredRaw!AE:AE)</f>
        <v>0</v>
      </c>
      <c r="AC113">
        <f>SUMIF(RecoveredRaw!$B:$B,$A113,RecoveredRaw!AF:AF)</f>
        <v>0</v>
      </c>
      <c r="AD113">
        <f>SUMIF(RecoveredRaw!$B:$B,$A113,RecoveredRaw!AG:AG)</f>
        <v>0</v>
      </c>
      <c r="AE113">
        <f>SUMIF(RecoveredRaw!$B:$B,$A113,RecoveredRaw!AH:AH)</f>
        <v>0</v>
      </c>
      <c r="AF113">
        <f>SUMIF(RecoveredRaw!$B:$B,$A113,RecoveredRaw!AI:AI)</f>
        <v>0</v>
      </c>
      <c r="AG113">
        <f>SUMIF(RecoveredRaw!$B:$B,$A113,RecoveredRaw!AJ:AJ)</f>
        <v>0</v>
      </c>
      <c r="AH113">
        <f>SUMIF(RecoveredRaw!$B:$B,$A113,RecoveredRaw!AK:AK)</f>
        <v>0</v>
      </c>
      <c r="AI113">
        <f>SUMIF(RecoveredRaw!$B:$B,$A113,RecoveredRaw!AL:AL)</f>
        <v>0</v>
      </c>
      <c r="AJ113">
        <f>SUMIF(RecoveredRaw!$B:$B,$A113,RecoveredRaw!AM:AM)</f>
        <v>0</v>
      </c>
      <c r="AK113">
        <f>SUMIF(RecoveredRaw!$B:$B,$A113,RecoveredRaw!AN:AN)</f>
        <v>0</v>
      </c>
      <c r="AL113">
        <f>SUMIF(RecoveredRaw!$B:$B,$A113,RecoveredRaw!AO:AO)</f>
        <v>0</v>
      </c>
      <c r="AM113">
        <f>SUMIF(RecoveredRaw!$B:$B,$A113,RecoveredRaw!AP:AP)</f>
        <v>0</v>
      </c>
      <c r="AN113">
        <f>SUMIF(RecoveredRaw!$B:$B,$A113,RecoveredRaw!AQ:AQ)</f>
        <v>0</v>
      </c>
      <c r="AO113">
        <f>SUMIF(RecoveredRaw!$B:$B,$A113,RecoveredRaw!AR:AR)</f>
        <v>0</v>
      </c>
      <c r="AP113">
        <f>SUMIF(RecoveredRaw!$B:$B,$A113,RecoveredRaw!AS:AS)</f>
        <v>0</v>
      </c>
      <c r="AQ113">
        <f>SUMIF(RecoveredRaw!$B:$B,$A113,RecoveredRaw!AT:AT)</f>
        <v>0</v>
      </c>
      <c r="AR113">
        <f>SUMIF(RecoveredRaw!$B:$B,$A113,RecoveredRaw!AU:AU)</f>
        <v>0</v>
      </c>
      <c r="AS113">
        <f>SUMIF(RecoveredRaw!$B:$B,$A113,RecoveredRaw!AV:AV)</f>
        <v>0</v>
      </c>
      <c r="AT113">
        <f>SUMIF(RecoveredRaw!$B:$B,$A113,RecoveredRaw!AW:AW)</f>
        <v>0</v>
      </c>
      <c r="AU113">
        <f>SUMIF(RecoveredRaw!$B:$B,$A113,RecoveredRaw!AX:AX)</f>
        <v>0</v>
      </c>
      <c r="AV113">
        <f>SUMIF(RecoveredRaw!$B:$B,$A113,RecoveredRaw!AY:AY)</f>
        <v>0</v>
      </c>
      <c r="AW113">
        <f>SUMIF(RecoveredRaw!$B:$B,$A113,RecoveredRaw!AZ:AZ)</f>
        <v>0</v>
      </c>
      <c r="AX113">
        <f>SUMIF(RecoveredRaw!$B:$B,$A113,RecoveredRaw!BA:BA)</f>
        <v>0</v>
      </c>
      <c r="AY113">
        <f>SUMIF(RecoveredRaw!$B:$B,$A113,RecoveredRaw!BB:BB)</f>
        <v>0</v>
      </c>
      <c r="AZ113">
        <f>SUMIF(RecoveredRaw!$B:$B,$A113,RecoveredRaw!BC:BC)</f>
        <v>0</v>
      </c>
      <c r="BA113">
        <f>SUMIF(RecoveredRaw!$B:$B,$A113,RecoveredRaw!BD:BD)</f>
        <v>0</v>
      </c>
      <c r="BB113">
        <f>SUMIF(RecoveredRaw!$B:$B,$A113,RecoveredRaw!BE:BE)</f>
        <v>0</v>
      </c>
      <c r="BC113">
        <f>SUMIF(RecoveredRaw!$B:$B,$A113,RecoveredRaw!BF:BF)</f>
        <v>0</v>
      </c>
      <c r="BD113">
        <f>SUMIF(RecoveredRaw!$B:$B,$A113,RecoveredRaw!BG:BG)</f>
        <v>0</v>
      </c>
      <c r="BE113">
        <f>SUMIF(RecoveredRaw!$B:$B,$A113,RecoveredRaw!BH:BH)</f>
        <v>0</v>
      </c>
      <c r="BF113">
        <f>SUMIF(RecoveredRaw!$B:$B,$A113,RecoveredRaw!BI:BI)</f>
        <v>0</v>
      </c>
      <c r="BG113">
        <f>SUMIF(RecoveredRaw!$B:$B,$A113,RecoveredRaw!BJ:BJ)</f>
        <v>0</v>
      </c>
      <c r="BH113">
        <f>SUMIF(RecoveredRaw!$B:$B,$A113,RecoveredRaw!BK:BK)</f>
        <v>0</v>
      </c>
      <c r="BI113">
        <f>SUMIF(RecoveredRaw!$B:$B,$A113,RecoveredRaw!BL:BL)</f>
        <v>0</v>
      </c>
      <c r="BJ113">
        <f>SUMIF(RecoveredRaw!$B:$B,$A113,RecoveredRaw!BM:BM)</f>
        <v>0</v>
      </c>
      <c r="BK113">
        <f>SUMIF(RecoveredRaw!$B:$B,$A113,RecoveredRaw!BN:BN)</f>
        <v>0</v>
      </c>
      <c r="BL113">
        <f>SUMIF(RecoveredRaw!$B:$B,$A113,RecoveredRaw!BO:BO)</f>
        <v>0</v>
      </c>
      <c r="BM113">
        <f>SUMIF(RecoveredRaw!$B:$B,$A113,RecoveredRaw!BP:BP)</f>
        <v>0</v>
      </c>
      <c r="BN113">
        <f>SUMIF(RecoveredRaw!$B:$B,$A113,RecoveredRaw!BQ:BQ)</f>
        <v>0</v>
      </c>
      <c r="BO113">
        <f>SUMIF(RecoveredRaw!$B:$B,$A113,RecoveredRaw!BR:BR)</f>
        <v>0</v>
      </c>
      <c r="BP113">
        <f>SUMIF(RecoveredRaw!$B:$B,$A113,RecoveredRaw!BS:BS)</f>
        <v>0</v>
      </c>
      <c r="BQ113">
        <f>SUMIF(RecoveredRaw!$B:$B,$A113,RecoveredRaw!BT:BT)</f>
        <v>0</v>
      </c>
      <c r="BR113">
        <f>SUMIF(RecoveredRaw!$B:$B,$A113,RecoveredRaw!BU:BU)</f>
        <v>0</v>
      </c>
      <c r="BS113">
        <f>SUMIF(RecoveredRaw!$B:$B,$A113,RecoveredRaw!BV:BV)</f>
        <v>0</v>
      </c>
      <c r="BT113">
        <f>SUMIF(RecoveredRaw!$B:$B,$A113,RecoveredRaw!BW:BW)</f>
        <v>0</v>
      </c>
    </row>
    <row r="114" spans="1:72" ht="15" thickBot="1" x14ac:dyDescent="0.35">
      <c r="A114" s="3" t="s">
        <v>352</v>
      </c>
      <c r="B114">
        <f>SUMIF(RecoveredRaw!$B:$B,$A114,RecoveredRaw!E:E)</f>
        <v>0</v>
      </c>
      <c r="C114">
        <f>SUMIF(RecoveredRaw!$B:$B,$A114,RecoveredRaw!F:F)</f>
        <v>0</v>
      </c>
      <c r="D114">
        <f>SUMIF(RecoveredRaw!$B:$B,$A114,RecoveredRaw!G:G)</f>
        <v>0</v>
      </c>
      <c r="E114">
        <f>SUMIF(RecoveredRaw!$B:$B,$A114,RecoveredRaw!H:H)</f>
        <v>0</v>
      </c>
      <c r="F114">
        <f>SUMIF(RecoveredRaw!$B:$B,$A114,RecoveredRaw!I:I)</f>
        <v>0</v>
      </c>
      <c r="G114">
        <f>SUMIF(RecoveredRaw!$B:$B,$A114,RecoveredRaw!J:J)</f>
        <v>0</v>
      </c>
      <c r="H114">
        <f>SUMIF(RecoveredRaw!$B:$B,$A114,RecoveredRaw!K:K)</f>
        <v>0</v>
      </c>
      <c r="I114">
        <f>SUMIF(RecoveredRaw!$B:$B,$A114,RecoveredRaw!L:L)</f>
        <v>0</v>
      </c>
      <c r="J114">
        <f>SUMIF(RecoveredRaw!$B:$B,$A114,RecoveredRaw!M:M)</f>
        <v>0</v>
      </c>
      <c r="K114">
        <f>SUMIF(RecoveredRaw!$B:$B,$A114,RecoveredRaw!N:N)</f>
        <v>0</v>
      </c>
      <c r="L114">
        <f>SUMIF(RecoveredRaw!$B:$B,$A114,RecoveredRaw!O:O)</f>
        <v>0</v>
      </c>
      <c r="M114">
        <f>SUMIF(RecoveredRaw!$B:$B,$A114,RecoveredRaw!P:P)</f>
        <v>0</v>
      </c>
      <c r="N114">
        <f>SUMIF(RecoveredRaw!$B:$B,$A114,RecoveredRaw!Q:Q)</f>
        <v>0</v>
      </c>
      <c r="O114">
        <f>SUMIF(RecoveredRaw!$B:$B,$A114,RecoveredRaw!R:R)</f>
        <v>0</v>
      </c>
      <c r="P114">
        <f>SUMIF(RecoveredRaw!$B:$B,$A114,RecoveredRaw!S:S)</f>
        <v>0</v>
      </c>
      <c r="Q114">
        <f>SUMIF(RecoveredRaw!$B:$B,$A114,RecoveredRaw!T:T)</f>
        <v>0</v>
      </c>
      <c r="R114">
        <f>SUMIF(RecoveredRaw!$B:$B,$A114,RecoveredRaw!U:U)</f>
        <v>0</v>
      </c>
      <c r="S114">
        <f>SUMIF(RecoveredRaw!$B:$B,$A114,RecoveredRaw!V:V)</f>
        <v>0</v>
      </c>
      <c r="T114">
        <f>SUMIF(RecoveredRaw!$B:$B,$A114,RecoveredRaw!W:W)</f>
        <v>0</v>
      </c>
      <c r="U114">
        <f>SUMIF(RecoveredRaw!$B:$B,$A114,RecoveredRaw!X:X)</f>
        <v>0</v>
      </c>
      <c r="V114">
        <f>SUMIF(RecoveredRaw!$B:$B,$A114,RecoveredRaw!Y:Y)</f>
        <v>0</v>
      </c>
      <c r="W114">
        <f>SUMIF(RecoveredRaw!$B:$B,$A114,RecoveredRaw!Z:Z)</f>
        <v>0</v>
      </c>
      <c r="X114">
        <f>SUMIF(RecoveredRaw!$B:$B,$A114,RecoveredRaw!AA:AA)</f>
        <v>0</v>
      </c>
      <c r="Y114">
        <f>SUMIF(RecoveredRaw!$B:$B,$A114,RecoveredRaw!AB:AB)</f>
        <v>0</v>
      </c>
      <c r="Z114">
        <f>SUMIF(RecoveredRaw!$B:$B,$A114,RecoveredRaw!AC:AC)</f>
        <v>0</v>
      </c>
      <c r="AA114">
        <f>SUMIF(RecoveredRaw!$B:$B,$A114,RecoveredRaw!AD:AD)</f>
        <v>0</v>
      </c>
      <c r="AB114">
        <f>SUMIF(RecoveredRaw!$B:$B,$A114,RecoveredRaw!AE:AE)</f>
        <v>0</v>
      </c>
      <c r="AC114">
        <f>SUMIF(RecoveredRaw!$B:$B,$A114,RecoveredRaw!AF:AF)</f>
        <v>0</v>
      </c>
      <c r="AD114">
        <f>SUMIF(RecoveredRaw!$B:$B,$A114,RecoveredRaw!AG:AG)</f>
        <v>0</v>
      </c>
      <c r="AE114">
        <f>SUMIF(RecoveredRaw!$B:$B,$A114,RecoveredRaw!AH:AH)</f>
        <v>0</v>
      </c>
      <c r="AF114">
        <f>SUMIF(RecoveredRaw!$B:$B,$A114,RecoveredRaw!AI:AI)</f>
        <v>0</v>
      </c>
      <c r="AG114">
        <f>SUMIF(RecoveredRaw!$B:$B,$A114,RecoveredRaw!AJ:AJ)</f>
        <v>0</v>
      </c>
      <c r="AH114">
        <f>SUMIF(RecoveredRaw!$B:$B,$A114,RecoveredRaw!AK:AK)</f>
        <v>0</v>
      </c>
      <c r="AI114">
        <f>SUMIF(RecoveredRaw!$B:$B,$A114,RecoveredRaw!AL:AL)</f>
        <v>0</v>
      </c>
      <c r="AJ114">
        <f>SUMIF(RecoveredRaw!$B:$B,$A114,RecoveredRaw!AM:AM)</f>
        <v>0</v>
      </c>
      <c r="AK114">
        <f>SUMIF(RecoveredRaw!$B:$B,$A114,RecoveredRaw!AN:AN)</f>
        <v>0</v>
      </c>
      <c r="AL114">
        <f>SUMIF(RecoveredRaw!$B:$B,$A114,RecoveredRaw!AO:AO)</f>
        <v>0</v>
      </c>
      <c r="AM114">
        <f>SUMIF(RecoveredRaw!$B:$B,$A114,RecoveredRaw!AP:AP)</f>
        <v>0</v>
      </c>
      <c r="AN114">
        <f>SUMIF(RecoveredRaw!$B:$B,$A114,RecoveredRaw!AQ:AQ)</f>
        <v>0</v>
      </c>
      <c r="AO114">
        <f>SUMIF(RecoveredRaw!$B:$B,$A114,RecoveredRaw!AR:AR)</f>
        <v>0</v>
      </c>
      <c r="AP114">
        <f>SUMIF(RecoveredRaw!$B:$B,$A114,RecoveredRaw!AS:AS)</f>
        <v>0</v>
      </c>
      <c r="AQ114">
        <f>SUMIF(RecoveredRaw!$B:$B,$A114,RecoveredRaw!AT:AT)</f>
        <v>0</v>
      </c>
      <c r="AR114">
        <f>SUMIF(RecoveredRaw!$B:$B,$A114,RecoveredRaw!AU:AU)</f>
        <v>0</v>
      </c>
      <c r="AS114">
        <f>SUMIF(RecoveredRaw!$B:$B,$A114,RecoveredRaw!AV:AV)</f>
        <v>0</v>
      </c>
      <c r="AT114">
        <f>SUMIF(RecoveredRaw!$B:$B,$A114,RecoveredRaw!AW:AW)</f>
        <v>0</v>
      </c>
      <c r="AU114">
        <f>SUMIF(RecoveredRaw!$B:$B,$A114,RecoveredRaw!AX:AX)</f>
        <v>0</v>
      </c>
      <c r="AV114">
        <f>SUMIF(RecoveredRaw!$B:$B,$A114,RecoveredRaw!AY:AY)</f>
        <v>0</v>
      </c>
      <c r="AW114">
        <f>SUMIF(RecoveredRaw!$B:$B,$A114,RecoveredRaw!AZ:AZ)</f>
        <v>0</v>
      </c>
      <c r="AX114">
        <f>SUMIF(RecoveredRaw!$B:$B,$A114,RecoveredRaw!BA:BA)</f>
        <v>0</v>
      </c>
      <c r="AY114">
        <f>SUMIF(RecoveredRaw!$B:$B,$A114,RecoveredRaw!BB:BB)</f>
        <v>0</v>
      </c>
      <c r="AZ114">
        <f>SUMIF(RecoveredRaw!$B:$B,$A114,RecoveredRaw!BC:BC)</f>
        <v>0</v>
      </c>
      <c r="BA114">
        <f>SUMIF(RecoveredRaw!$B:$B,$A114,RecoveredRaw!BD:BD)</f>
        <v>0</v>
      </c>
      <c r="BB114">
        <f>SUMIF(RecoveredRaw!$B:$B,$A114,RecoveredRaw!BE:BE)</f>
        <v>0</v>
      </c>
      <c r="BC114">
        <f>SUMIF(RecoveredRaw!$B:$B,$A114,RecoveredRaw!BF:BF)</f>
        <v>0</v>
      </c>
      <c r="BD114">
        <f>SUMIF(RecoveredRaw!$B:$B,$A114,RecoveredRaw!BG:BG)</f>
        <v>0</v>
      </c>
      <c r="BE114">
        <f>SUMIF(RecoveredRaw!$B:$B,$A114,RecoveredRaw!BH:BH)</f>
        <v>1</v>
      </c>
      <c r="BF114">
        <f>SUMIF(RecoveredRaw!$B:$B,$A114,RecoveredRaw!BI:BI)</f>
        <v>1</v>
      </c>
      <c r="BG114">
        <f>SUMIF(RecoveredRaw!$B:$B,$A114,RecoveredRaw!BJ:BJ)</f>
        <v>0</v>
      </c>
      <c r="BH114">
        <f>SUMIF(RecoveredRaw!$B:$B,$A114,RecoveredRaw!BK:BK)</f>
        <v>0</v>
      </c>
      <c r="BI114">
        <f>SUMIF(RecoveredRaw!$B:$B,$A114,RecoveredRaw!BL:BL)</f>
        <v>0</v>
      </c>
      <c r="BJ114">
        <f>SUMIF(RecoveredRaw!$B:$B,$A114,RecoveredRaw!BM:BM)</f>
        <v>0</v>
      </c>
      <c r="BK114">
        <f>SUMIF(RecoveredRaw!$B:$B,$A114,RecoveredRaw!BN:BN)</f>
        <v>0</v>
      </c>
      <c r="BL114">
        <f>SUMIF(RecoveredRaw!$B:$B,$A114,RecoveredRaw!BO:BO)</f>
        <v>0</v>
      </c>
      <c r="BM114">
        <f>SUMIF(RecoveredRaw!$B:$B,$A114,RecoveredRaw!BP:BP)</f>
        <v>0</v>
      </c>
      <c r="BN114">
        <f>SUMIF(RecoveredRaw!$B:$B,$A114,RecoveredRaw!BQ:BQ)</f>
        <v>0</v>
      </c>
      <c r="BO114">
        <f>SUMIF(RecoveredRaw!$B:$B,$A114,RecoveredRaw!BR:BR)</f>
        <v>0</v>
      </c>
      <c r="BP114">
        <f>SUMIF(RecoveredRaw!$B:$B,$A114,RecoveredRaw!BS:BS)</f>
        <v>0</v>
      </c>
      <c r="BQ114">
        <f>SUMIF(RecoveredRaw!$B:$B,$A114,RecoveredRaw!BT:BT)</f>
        <v>0</v>
      </c>
      <c r="BR114">
        <f>SUMIF(RecoveredRaw!$B:$B,$A114,RecoveredRaw!BU:BU)</f>
        <v>0</v>
      </c>
      <c r="BS114">
        <f>SUMIF(RecoveredRaw!$B:$B,$A114,RecoveredRaw!BV:BV)</f>
        <v>0</v>
      </c>
      <c r="BT114">
        <f>SUMIF(RecoveredRaw!$B:$B,$A114,RecoveredRaw!BW:BW)</f>
        <v>0</v>
      </c>
    </row>
    <row r="115" spans="1:72" ht="15" thickBot="1" x14ac:dyDescent="0.35">
      <c r="A115" s="4" t="s">
        <v>419</v>
      </c>
      <c r="B115">
        <f>SUMIF(RecoveredRaw!$B:$B,$A115,RecoveredRaw!E:E)</f>
        <v>0</v>
      </c>
      <c r="C115">
        <f>SUMIF(RecoveredRaw!$B:$B,$A115,RecoveredRaw!F:F)</f>
        <v>0</v>
      </c>
      <c r="D115">
        <f>SUMIF(RecoveredRaw!$B:$B,$A115,RecoveredRaw!G:G)</f>
        <v>0</v>
      </c>
      <c r="E115">
        <f>SUMIF(RecoveredRaw!$B:$B,$A115,RecoveredRaw!H:H)</f>
        <v>0</v>
      </c>
      <c r="F115">
        <f>SUMIF(RecoveredRaw!$B:$B,$A115,RecoveredRaw!I:I)</f>
        <v>0</v>
      </c>
      <c r="G115">
        <f>SUMIF(RecoveredRaw!$B:$B,$A115,RecoveredRaw!J:J)</f>
        <v>0</v>
      </c>
      <c r="H115">
        <f>SUMIF(RecoveredRaw!$B:$B,$A115,RecoveredRaw!K:K)</f>
        <v>0</v>
      </c>
      <c r="I115">
        <f>SUMIF(RecoveredRaw!$B:$B,$A115,RecoveredRaw!L:L)</f>
        <v>0</v>
      </c>
      <c r="J115">
        <f>SUMIF(RecoveredRaw!$B:$B,$A115,RecoveredRaw!M:M)</f>
        <v>0</v>
      </c>
      <c r="K115">
        <f>SUMIF(RecoveredRaw!$B:$B,$A115,RecoveredRaw!N:N)</f>
        <v>0</v>
      </c>
      <c r="L115">
        <f>SUMIF(RecoveredRaw!$B:$B,$A115,RecoveredRaw!O:O)</f>
        <v>0</v>
      </c>
      <c r="M115">
        <f>SUMIF(RecoveredRaw!$B:$B,$A115,RecoveredRaw!P:P)</f>
        <v>0</v>
      </c>
      <c r="N115">
        <f>SUMIF(RecoveredRaw!$B:$B,$A115,RecoveredRaw!Q:Q)</f>
        <v>0</v>
      </c>
      <c r="O115">
        <f>SUMIF(RecoveredRaw!$B:$B,$A115,RecoveredRaw!R:R)</f>
        <v>0</v>
      </c>
      <c r="P115">
        <f>SUMIF(RecoveredRaw!$B:$B,$A115,RecoveredRaw!S:S)</f>
        <v>0</v>
      </c>
      <c r="Q115">
        <f>SUMIF(RecoveredRaw!$B:$B,$A115,RecoveredRaw!T:T)</f>
        <v>0</v>
      </c>
      <c r="R115">
        <f>SUMIF(RecoveredRaw!$B:$B,$A115,RecoveredRaw!U:U)</f>
        <v>0</v>
      </c>
      <c r="S115">
        <f>SUMIF(RecoveredRaw!$B:$B,$A115,RecoveredRaw!V:V)</f>
        <v>0</v>
      </c>
      <c r="T115">
        <f>SUMIF(RecoveredRaw!$B:$B,$A115,RecoveredRaw!W:W)</f>
        <v>0</v>
      </c>
      <c r="U115">
        <f>SUMIF(RecoveredRaw!$B:$B,$A115,RecoveredRaw!X:X)</f>
        <v>0</v>
      </c>
      <c r="V115">
        <f>SUMIF(RecoveredRaw!$B:$B,$A115,RecoveredRaw!Y:Y)</f>
        <v>0</v>
      </c>
      <c r="W115">
        <f>SUMIF(RecoveredRaw!$B:$B,$A115,RecoveredRaw!Z:Z)</f>
        <v>0</v>
      </c>
      <c r="X115">
        <f>SUMIF(RecoveredRaw!$B:$B,$A115,RecoveredRaw!AA:AA)</f>
        <v>0</v>
      </c>
      <c r="Y115">
        <f>SUMIF(RecoveredRaw!$B:$B,$A115,RecoveredRaw!AB:AB)</f>
        <v>0</v>
      </c>
      <c r="Z115">
        <f>SUMIF(RecoveredRaw!$B:$B,$A115,RecoveredRaw!AC:AC)</f>
        <v>0</v>
      </c>
      <c r="AA115">
        <f>SUMIF(RecoveredRaw!$B:$B,$A115,RecoveredRaw!AD:AD)</f>
        <v>0</v>
      </c>
      <c r="AB115">
        <f>SUMIF(RecoveredRaw!$B:$B,$A115,RecoveredRaw!AE:AE)</f>
        <v>0</v>
      </c>
      <c r="AC115">
        <f>SUMIF(RecoveredRaw!$B:$B,$A115,RecoveredRaw!AF:AF)</f>
        <v>0</v>
      </c>
      <c r="AD115">
        <f>SUMIF(RecoveredRaw!$B:$B,$A115,RecoveredRaw!AG:AG)</f>
        <v>0</v>
      </c>
      <c r="AE115">
        <f>SUMIF(RecoveredRaw!$B:$B,$A115,RecoveredRaw!AH:AH)</f>
        <v>0</v>
      </c>
      <c r="AF115">
        <f>SUMIF(RecoveredRaw!$B:$B,$A115,RecoveredRaw!AI:AI)</f>
        <v>0</v>
      </c>
      <c r="AG115">
        <f>SUMIF(RecoveredRaw!$B:$B,$A115,RecoveredRaw!AJ:AJ)</f>
        <v>0</v>
      </c>
      <c r="AH115">
        <f>SUMIF(RecoveredRaw!$B:$B,$A115,RecoveredRaw!AK:AK)</f>
        <v>0</v>
      </c>
      <c r="AI115">
        <f>SUMIF(RecoveredRaw!$B:$B,$A115,RecoveredRaw!AL:AL)</f>
        <v>0</v>
      </c>
      <c r="AJ115">
        <f>SUMIF(RecoveredRaw!$B:$B,$A115,RecoveredRaw!AM:AM)</f>
        <v>0</v>
      </c>
      <c r="AK115">
        <f>SUMIF(RecoveredRaw!$B:$B,$A115,RecoveredRaw!AN:AN)</f>
        <v>0</v>
      </c>
      <c r="AL115">
        <f>SUMIF(RecoveredRaw!$B:$B,$A115,RecoveredRaw!AO:AO)</f>
        <v>0</v>
      </c>
      <c r="AM115">
        <f>SUMIF(RecoveredRaw!$B:$B,$A115,RecoveredRaw!AP:AP)</f>
        <v>0</v>
      </c>
      <c r="AN115">
        <f>SUMIF(RecoveredRaw!$B:$B,$A115,RecoveredRaw!AQ:AQ)</f>
        <v>0</v>
      </c>
      <c r="AO115">
        <f>SUMIF(RecoveredRaw!$B:$B,$A115,RecoveredRaw!AR:AR)</f>
        <v>0</v>
      </c>
      <c r="AP115">
        <f>SUMIF(RecoveredRaw!$B:$B,$A115,RecoveredRaw!AS:AS)</f>
        <v>0</v>
      </c>
      <c r="AQ115">
        <f>SUMIF(RecoveredRaw!$B:$B,$A115,RecoveredRaw!AT:AT)</f>
        <v>0</v>
      </c>
      <c r="AR115">
        <f>SUMIF(RecoveredRaw!$B:$B,$A115,RecoveredRaw!AU:AU)</f>
        <v>0</v>
      </c>
      <c r="AS115">
        <f>SUMIF(RecoveredRaw!$B:$B,$A115,RecoveredRaw!AV:AV)</f>
        <v>0</v>
      </c>
      <c r="AT115">
        <f>SUMIF(RecoveredRaw!$B:$B,$A115,RecoveredRaw!AW:AW)</f>
        <v>0</v>
      </c>
      <c r="AU115">
        <f>SUMIF(RecoveredRaw!$B:$B,$A115,RecoveredRaw!AX:AX)</f>
        <v>0</v>
      </c>
      <c r="AV115">
        <f>SUMIF(RecoveredRaw!$B:$B,$A115,RecoveredRaw!AY:AY)</f>
        <v>0</v>
      </c>
      <c r="AW115">
        <f>SUMIF(RecoveredRaw!$B:$B,$A115,RecoveredRaw!AZ:AZ)</f>
        <v>0</v>
      </c>
      <c r="AX115">
        <f>SUMIF(RecoveredRaw!$B:$B,$A115,RecoveredRaw!BA:BA)</f>
        <v>0</v>
      </c>
      <c r="AY115">
        <f>SUMIF(RecoveredRaw!$B:$B,$A115,RecoveredRaw!BB:BB)</f>
        <v>0</v>
      </c>
      <c r="AZ115">
        <f>SUMIF(RecoveredRaw!$B:$B,$A115,RecoveredRaw!BC:BC)</f>
        <v>0</v>
      </c>
      <c r="BA115">
        <f>SUMIF(RecoveredRaw!$B:$B,$A115,RecoveredRaw!BD:BD)</f>
        <v>0</v>
      </c>
      <c r="BB115">
        <f>SUMIF(RecoveredRaw!$B:$B,$A115,RecoveredRaw!BE:BE)</f>
        <v>0</v>
      </c>
      <c r="BC115">
        <f>SUMIF(RecoveredRaw!$B:$B,$A115,RecoveredRaw!BF:BF)</f>
        <v>0</v>
      </c>
      <c r="BD115">
        <f>SUMIF(RecoveredRaw!$B:$B,$A115,RecoveredRaw!BG:BG)</f>
        <v>0</v>
      </c>
      <c r="BE115">
        <f>SUMIF(RecoveredRaw!$B:$B,$A115,RecoveredRaw!BH:BH)</f>
        <v>0</v>
      </c>
      <c r="BF115">
        <f>SUMIF(RecoveredRaw!$B:$B,$A115,RecoveredRaw!BI:BI)</f>
        <v>0</v>
      </c>
      <c r="BG115">
        <f>SUMIF(RecoveredRaw!$B:$B,$A115,RecoveredRaw!BJ:BJ)</f>
        <v>0</v>
      </c>
      <c r="BH115">
        <f>SUMIF(RecoveredRaw!$B:$B,$A115,RecoveredRaw!BK:BK)</f>
        <v>0</v>
      </c>
      <c r="BI115">
        <f>SUMIF(RecoveredRaw!$B:$B,$A115,RecoveredRaw!BL:BL)</f>
        <v>0</v>
      </c>
      <c r="BJ115">
        <f>SUMIF(RecoveredRaw!$B:$B,$A115,RecoveredRaw!BM:BM)</f>
        <v>0</v>
      </c>
      <c r="BK115">
        <f>SUMIF(RecoveredRaw!$B:$B,$A115,RecoveredRaw!BN:BN)</f>
        <v>0</v>
      </c>
      <c r="BL115">
        <f>SUMIF(RecoveredRaw!$B:$B,$A115,RecoveredRaw!BO:BO)</f>
        <v>0</v>
      </c>
      <c r="BM115">
        <f>SUMIF(RecoveredRaw!$B:$B,$A115,RecoveredRaw!BP:BP)</f>
        <v>0</v>
      </c>
      <c r="BN115">
        <f>SUMIF(RecoveredRaw!$B:$B,$A115,RecoveredRaw!BQ:BQ)</f>
        <v>0</v>
      </c>
      <c r="BO115">
        <f>SUMIF(RecoveredRaw!$B:$B,$A115,RecoveredRaw!BR:BR)</f>
        <v>0</v>
      </c>
      <c r="BP115">
        <f>SUMIF(RecoveredRaw!$B:$B,$A115,RecoveredRaw!BS:BS)</f>
        <v>0</v>
      </c>
      <c r="BQ115">
        <f>SUMIF(RecoveredRaw!$B:$B,$A115,RecoveredRaw!BT:BT)</f>
        <v>0</v>
      </c>
      <c r="BR115">
        <f>SUMIF(RecoveredRaw!$B:$B,$A115,RecoveredRaw!BU:BU)</f>
        <v>0</v>
      </c>
      <c r="BS115">
        <f>SUMIF(RecoveredRaw!$B:$B,$A115,RecoveredRaw!BV:BV)</f>
        <v>0</v>
      </c>
      <c r="BT115">
        <f>SUMIF(RecoveredRaw!$B:$B,$A115,RecoveredRaw!BW:BW)</f>
        <v>0</v>
      </c>
    </row>
    <row r="116" spans="1:72" ht="15" thickBot="1" x14ac:dyDescent="0.35">
      <c r="A116" s="3" t="s">
        <v>416</v>
      </c>
      <c r="B116">
        <f>SUMIF(RecoveredRaw!$B:$B,$A116,RecoveredRaw!E:E)</f>
        <v>0</v>
      </c>
      <c r="C116">
        <f>SUMIF(RecoveredRaw!$B:$B,$A116,RecoveredRaw!F:F)</f>
        <v>0</v>
      </c>
      <c r="D116">
        <f>SUMIF(RecoveredRaw!$B:$B,$A116,RecoveredRaw!G:G)</f>
        <v>0</v>
      </c>
      <c r="E116">
        <f>SUMIF(RecoveredRaw!$B:$B,$A116,RecoveredRaw!H:H)</f>
        <v>0</v>
      </c>
      <c r="F116">
        <f>SUMIF(RecoveredRaw!$B:$B,$A116,RecoveredRaw!I:I)</f>
        <v>0</v>
      </c>
      <c r="G116">
        <f>SUMIF(RecoveredRaw!$B:$B,$A116,RecoveredRaw!J:J)</f>
        <v>0</v>
      </c>
      <c r="H116">
        <f>SUMIF(RecoveredRaw!$B:$B,$A116,RecoveredRaw!K:K)</f>
        <v>0</v>
      </c>
      <c r="I116">
        <f>SUMIF(RecoveredRaw!$B:$B,$A116,RecoveredRaw!L:L)</f>
        <v>0</v>
      </c>
      <c r="J116">
        <f>SUMIF(RecoveredRaw!$B:$B,$A116,RecoveredRaw!M:M)</f>
        <v>0</v>
      </c>
      <c r="K116">
        <f>SUMIF(RecoveredRaw!$B:$B,$A116,RecoveredRaw!N:N)</f>
        <v>0</v>
      </c>
      <c r="L116">
        <f>SUMIF(RecoveredRaw!$B:$B,$A116,RecoveredRaw!O:O)</f>
        <v>0</v>
      </c>
      <c r="M116">
        <f>SUMIF(RecoveredRaw!$B:$B,$A116,RecoveredRaw!P:P)</f>
        <v>0</v>
      </c>
      <c r="N116">
        <f>SUMIF(RecoveredRaw!$B:$B,$A116,RecoveredRaw!Q:Q)</f>
        <v>0</v>
      </c>
      <c r="O116">
        <f>SUMIF(RecoveredRaw!$B:$B,$A116,RecoveredRaw!R:R)</f>
        <v>0</v>
      </c>
      <c r="P116">
        <f>SUMIF(RecoveredRaw!$B:$B,$A116,RecoveredRaw!S:S)</f>
        <v>0</v>
      </c>
      <c r="Q116">
        <f>SUMIF(RecoveredRaw!$B:$B,$A116,RecoveredRaw!T:T)</f>
        <v>0</v>
      </c>
      <c r="R116">
        <f>SUMIF(RecoveredRaw!$B:$B,$A116,RecoveredRaw!U:U)</f>
        <v>0</v>
      </c>
      <c r="S116">
        <f>SUMIF(RecoveredRaw!$B:$B,$A116,RecoveredRaw!V:V)</f>
        <v>0</v>
      </c>
      <c r="T116">
        <f>SUMIF(RecoveredRaw!$B:$B,$A116,RecoveredRaw!W:W)</f>
        <v>0</v>
      </c>
      <c r="U116">
        <f>SUMIF(RecoveredRaw!$B:$B,$A116,RecoveredRaw!X:X)</f>
        <v>0</v>
      </c>
      <c r="V116">
        <f>SUMIF(RecoveredRaw!$B:$B,$A116,RecoveredRaw!Y:Y)</f>
        <v>0</v>
      </c>
      <c r="W116">
        <f>SUMIF(RecoveredRaw!$B:$B,$A116,RecoveredRaw!Z:Z)</f>
        <v>0</v>
      </c>
      <c r="X116">
        <f>SUMIF(RecoveredRaw!$B:$B,$A116,RecoveredRaw!AA:AA)</f>
        <v>0</v>
      </c>
      <c r="Y116">
        <f>SUMIF(RecoveredRaw!$B:$B,$A116,RecoveredRaw!AB:AB)</f>
        <v>0</v>
      </c>
      <c r="Z116">
        <f>SUMIF(RecoveredRaw!$B:$B,$A116,RecoveredRaw!AC:AC)</f>
        <v>0</v>
      </c>
      <c r="AA116">
        <f>SUMIF(RecoveredRaw!$B:$B,$A116,RecoveredRaw!AD:AD)</f>
        <v>0</v>
      </c>
      <c r="AB116">
        <f>SUMIF(RecoveredRaw!$B:$B,$A116,RecoveredRaw!AE:AE)</f>
        <v>0</v>
      </c>
      <c r="AC116">
        <f>SUMIF(RecoveredRaw!$B:$B,$A116,RecoveredRaw!AF:AF)</f>
        <v>0</v>
      </c>
      <c r="AD116">
        <f>SUMIF(RecoveredRaw!$B:$B,$A116,RecoveredRaw!AG:AG)</f>
        <v>0</v>
      </c>
      <c r="AE116">
        <f>SUMIF(RecoveredRaw!$B:$B,$A116,RecoveredRaw!AH:AH)</f>
        <v>0</v>
      </c>
      <c r="AF116">
        <f>SUMIF(RecoveredRaw!$B:$B,$A116,RecoveredRaw!AI:AI)</f>
        <v>0</v>
      </c>
      <c r="AG116">
        <f>SUMIF(RecoveredRaw!$B:$B,$A116,RecoveredRaw!AJ:AJ)</f>
        <v>0</v>
      </c>
      <c r="AH116">
        <f>SUMIF(RecoveredRaw!$B:$B,$A116,RecoveredRaw!AK:AK)</f>
        <v>0</v>
      </c>
      <c r="AI116">
        <f>SUMIF(RecoveredRaw!$B:$B,$A116,RecoveredRaw!AL:AL)</f>
        <v>0</v>
      </c>
      <c r="AJ116">
        <f>SUMIF(RecoveredRaw!$B:$B,$A116,RecoveredRaw!AM:AM)</f>
        <v>0</v>
      </c>
      <c r="AK116">
        <f>SUMIF(RecoveredRaw!$B:$B,$A116,RecoveredRaw!AN:AN)</f>
        <v>0</v>
      </c>
      <c r="AL116">
        <f>SUMIF(RecoveredRaw!$B:$B,$A116,RecoveredRaw!AO:AO)</f>
        <v>0</v>
      </c>
      <c r="AM116">
        <f>SUMIF(RecoveredRaw!$B:$B,$A116,RecoveredRaw!AP:AP)</f>
        <v>0</v>
      </c>
      <c r="AN116">
        <f>SUMIF(RecoveredRaw!$B:$B,$A116,RecoveredRaw!AQ:AQ)</f>
        <v>0</v>
      </c>
      <c r="AO116">
        <f>SUMIF(RecoveredRaw!$B:$B,$A116,RecoveredRaw!AR:AR)</f>
        <v>0</v>
      </c>
      <c r="AP116">
        <f>SUMIF(RecoveredRaw!$B:$B,$A116,RecoveredRaw!AS:AS)</f>
        <v>0</v>
      </c>
      <c r="AQ116">
        <f>SUMIF(RecoveredRaw!$B:$B,$A116,RecoveredRaw!AT:AT)</f>
        <v>0</v>
      </c>
      <c r="AR116">
        <f>SUMIF(RecoveredRaw!$B:$B,$A116,RecoveredRaw!AU:AU)</f>
        <v>0</v>
      </c>
      <c r="AS116">
        <f>SUMIF(RecoveredRaw!$B:$B,$A116,RecoveredRaw!AV:AV)</f>
        <v>0</v>
      </c>
      <c r="AT116">
        <f>SUMIF(RecoveredRaw!$B:$B,$A116,RecoveredRaw!AW:AW)</f>
        <v>0</v>
      </c>
      <c r="AU116">
        <f>SUMIF(RecoveredRaw!$B:$B,$A116,RecoveredRaw!AX:AX)</f>
        <v>0</v>
      </c>
      <c r="AV116">
        <f>SUMIF(RecoveredRaw!$B:$B,$A116,RecoveredRaw!AY:AY)</f>
        <v>0</v>
      </c>
      <c r="AW116">
        <f>SUMIF(RecoveredRaw!$B:$B,$A116,RecoveredRaw!AZ:AZ)</f>
        <v>0</v>
      </c>
      <c r="AX116">
        <f>SUMIF(RecoveredRaw!$B:$B,$A116,RecoveredRaw!BA:BA)</f>
        <v>0</v>
      </c>
      <c r="AY116">
        <f>SUMIF(RecoveredRaw!$B:$B,$A116,RecoveredRaw!BB:BB)</f>
        <v>0</v>
      </c>
      <c r="AZ116">
        <f>SUMIF(RecoveredRaw!$B:$B,$A116,RecoveredRaw!BC:BC)</f>
        <v>0</v>
      </c>
      <c r="BA116">
        <f>SUMIF(RecoveredRaw!$B:$B,$A116,RecoveredRaw!BD:BD)</f>
        <v>0</v>
      </c>
      <c r="BB116">
        <f>SUMIF(RecoveredRaw!$B:$B,$A116,RecoveredRaw!BE:BE)</f>
        <v>0</v>
      </c>
      <c r="BC116">
        <f>SUMIF(RecoveredRaw!$B:$B,$A116,RecoveredRaw!BF:BF)</f>
        <v>0</v>
      </c>
      <c r="BD116">
        <f>SUMIF(RecoveredRaw!$B:$B,$A116,RecoveredRaw!BG:BG)</f>
        <v>0</v>
      </c>
      <c r="BE116">
        <f>SUMIF(RecoveredRaw!$B:$B,$A116,RecoveredRaw!BH:BH)</f>
        <v>0</v>
      </c>
      <c r="BF116">
        <f>SUMIF(RecoveredRaw!$B:$B,$A116,RecoveredRaw!BI:BI)</f>
        <v>0</v>
      </c>
      <c r="BG116">
        <f>SUMIF(RecoveredRaw!$B:$B,$A116,RecoveredRaw!BJ:BJ)</f>
        <v>0</v>
      </c>
      <c r="BH116">
        <f>SUMIF(RecoveredRaw!$B:$B,$A116,RecoveredRaw!BK:BK)</f>
        <v>0</v>
      </c>
      <c r="BI116">
        <f>SUMIF(RecoveredRaw!$B:$B,$A116,RecoveredRaw!BL:BL)</f>
        <v>0</v>
      </c>
      <c r="BJ116">
        <f>SUMIF(RecoveredRaw!$B:$B,$A116,RecoveredRaw!BM:BM)</f>
        <v>0</v>
      </c>
      <c r="BK116">
        <f>SUMIF(RecoveredRaw!$B:$B,$A116,RecoveredRaw!BN:BN)</f>
        <v>0</v>
      </c>
      <c r="BL116">
        <f>SUMIF(RecoveredRaw!$B:$B,$A116,RecoveredRaw!BO:BO)</f>
        <v>0</v>
      </c>
      <c r="BM116">
        <f>SUMIF(RecoveredRaw!$B:$B,$A116,RecoveredRaw!BP:BP)</f>
        <v>0</v>
      </c>
      <c r="BN116">
        <f>SUMIF(RecoveredRaw!$B:$B,$A116,RecoveredRaw!BQ:BQ)</f>
        <v>0</v>
      </c>
      <c r="BO116">
        <f>SUMIF(RecoveredRaw!$B:$B,$A116,RecoveredRaw!BR:BR)</f>
        <v>0</v>
      </c>
      <c r="BP116">
        <f>SUMIF(RecoveredRaw!$B:$B,$A116,RecoveredRaw!BS:BS)</f>
        <v>0</v>
      </c>
      <c r="BQ116">
        <f>SUMIF(RecoveredRaw!$B:$B,$A116,RecoveredRaw!BT:BT)</f>
        <v>0</v>
      </c>
      <c r="BR116">
        <f>SUMIF(RecoveredRaw!$B:$B,$A116,RecoveredRaw!BU:BU)</f>
        <v>0</v>
      </c>
      <c r="BS116">
        <f>SUMIF(RecoveredRaw!$B:$B,$A116,RecoveredRaw!BV:BV)</f>
        <v>0</v>
      </c>
      <c r="BT116">
        <f>SUMIF(RecoveredRaw!$B:$B,$A116,RecoveredRaw!BW:BW)</f>
        <v>0</v>
      </c>
    </row>
    <row r="117" spans="1:72" ht="15" thickBot="1" x14ac:dyDescent="0.35">
      <c r="A117" s="4" t="s">
        <v>421</v>
      </c>
      <c r="B117">
        <f>SUMIF(RecoveredRaw!$B:$B,$A117,RecoveredRaw!E:E)</f>
        <v>0</v>
      </c>
      <c r="C117">
        <f>SUMIF(RecoveredRaw!$B:$B,$A117,RecoveredRaw!F:F)</f>
        <v>0</v>
      </c>
      <c r="D117">
        <f>SUMIF(RecoveredRaw!$B:$B,$A117,RecoveredRaw!G:G)</f>
        <v>0</v>
      </c>
      <c r="E117">
        <f>SUMIF(RecoveredRaw!$B:$B,$A117,RecoveredRaw!H:H)</f>
        <v>0</v>
      </c>
      <c r="F117">
        <f>SUMIF(RecoveredRaw!$B:$B,$A117,RecoveredRaw!I:I)</f>
        <v>0</v>
      </c>
      <c r="G117">
        <f>SUMIF(RecoveredRaw!$B:$B,$A117,RecoveredRaw!J:J)</f>
        <v>0</v>
      </c>
      <c r="H117">
        <f>SUMIF(RecoveredRaw!$B:$B,$A117,RecoveredRaw!K:K)</f>
        <v>0</v>
      </c>
      <c r="I117">
        <f>SUMIF(RecoveredRaw!$B:$B,$A117,RecoveredRaw!L:L)</f>
        <v>0</v>
      </c>
      <c r="J117">
        <f>SUMIF(RecoveredRaw!$B:$B,$A117,RecoveredRaw!M:M)</f>
        <v>0</v>
      </c>
      <c r="K117">
        <f>SUMIF(RecoveredRaw!$B:$B,$A117,RecoveredRaw!N:N)</f>
        <v>0</v>
      </c>
      <c r="L117">
        <f>SUMIF(RecoveredRaw!$B:$B,$A117,RecoveredRaw!O:O)</f>
        <v>0</v>
      </c>
      <c r="M117">
        <f>SUMIF(RecoveredRaw!$B:$B,$A117,RecoveredRaw!P:P)</f>
        <v>0</v>
      </c>
      <c r="N117">
        <f>SUMIF(RecoveredRaw!$B:$B,$A117,RecoveredRaw!Q:Q)</f>
        <v>0</v>
      </c>
      <c r="O117">
        <f>SUMIF(RecoveredRaw!$B:$B,$A117,RecoveredRaw!R:R)</f>
        <v>0</v>
      </c>
      <c r="P117">
        <f>SUMIF(RecoveredRaw!$B:$B,$A117,RecoveredRaw!S:S)</f>
        <v>0</v>
      </c>
      <c r="Q117">
        <f>SUMIF(RecoveredRaw!$B:$B,$A117,RecoveredRaw!T:T)</f>
        <v>0</v>
      </c>
      <c r="R117">
        <f>SUMIF(RecoveredRaw!$B:$B,$A117,RecoveredRaw!U:U)</f>
        <v>0</v>
      </c>
      <c r="S117">
        <f>SUMIF(RecoveredRaw!$B:$B,$A117,RecoveredRaw!V:V)</f>
        <v>0</v>
      </c>
      <c r="T117">
        <f>SUMIF(RecoveredRaw!$B:$B,$A117,RecoveredRaw!W:W)</f>
        <v>0</v>
      </c>
      <c r="U117">
        <f>SUMIF(RecoveredRaw!$B:$B,$A117,RecoveredRaw!X:X)</f>
        <v>0</v>
      </c>
      <c r="V117">
        <f>SUMIF(RecoveredRaw!$B:$B,$A117,RecoveredRaw!Y:Y)</f>
        <v>0</v>
      </c>
      <c r="W117">
        <f>SUMIF(RecoveredRaw!$B:$B,$A117,RecoveredRaw!Z:Z)</f>
        <v>0</v>
      </c>
      <c r="X117">
        <f>SUMIF(RecoveredRaw!$B:$B,$A117,RecoveredRaw!AA:AA)</f>
        <v>0</v>
      </c>
      <c r="Y117">
        <f>SUMIF(RecoveredRaw!$B:$B,$A117,RecoveredRaw!AB:AB)</f>
        <v>0</v>
      </c>
      <c r="Z117">
        <f>SUMIF(RecoveredRaw!$B:$B,$A117,RecoveredRaw!AC:AC)</f>
        <v>0</v>
      </c>
      <c r="AA117">
        <f>SUMIF(RecoveredRaw!$B:$B,$A117,RecoveredRaw!AD:AD)</f>
        <v>0</v>
      </c>
      <c r="AB117">
        <f>SUMIF(RecoveredRaw!$B:$B,$A117,RecoveredRaw!AE:AE)</f>
        <v>0</v>
      </c>
      <c r="AC117">
        <f>SUMIF(RecoveredRaw!$B:$B,$A117,RecoveredRaw!AF:AF)</f>
        <v>0</v>
      </c>
      <c r="AD117">
        <f>SUMIF(RecoveredRaw!$B:$B,$A117,RecoveredRaw!AG:AG)</f>
        <v>0</v>
      </c>
      <c r="AE117">
        <f>SUMIF(RecoveredRaw!$B:$B,$A117,RecoveredRaw!AH:AH)</f>
        <v>0</v>
      </c>
      <c r="AF117">
        <f>SUMIF(RecoveredRaw!$B:$B,$A117,RecoveredRaw!AI:AI)</f>
        <v>0</v>
      </c>
      <c r="AG117">
        <f>SUMIF(RecoveredRaw!$B:$B,$A117,RecoveredRaw!AJ:AJ)</f>
        <v>0</v>
      </c>
      <c r="AH117">
        <f>SUMIF(RecoveredRaw!$B:$B,$A117,RecoveredRaw!AK:AK)</f>
        <v>0</v>
      </c>
      <c r="AI117">
        <f>SUMIF(RecoveredRaw!$B:$B,$A117,RecoveredRaw!AL:AL)</f>
        <v>0</v>
      </c>
      <c r="AJ117">
        <f>SUMIF(RecoveredRaw!$B:$B,$A117,RecoveredRaw!AM:AM)</f>
        <v>0</v>
      </c>
      <c r="AK117">
        <f>SUMIF(RecoveredRaw!$B:$B,$A117,RecoveredRaw!AN:AN)</f>
        <v>0</v>
      </c>
      <c r="AL117">
        <f>SUMIF(RecoveredRaw!$B:$B,$A117,RecoveredRaw!AO:AO)</f>
        <v>0</v>
      </c>
      <c r="AM117">
        <f>SUMIF(RecoveredRaw!$B:$B,$A117,RecoveredRaw!AP:AP)</f>
        <v>0</v>
      </c>
      <c r="AN117">
        <f>SUMIF(RecoveredRaw!$B:$B,$A117,RecoveredRaw!AQ:AQ)</f>
        <v>0</v>
      </c>
      <c r="AO117">
        <f>SUMIF(RecoveredRaw!$B:$B,$A117,RecoveredRaw!AR:AR)</f>
        <v>0</v>
      </c>
      <c r="AP117">
        <f>SUMIF(RecoveredRaw!$B:$B,$A117,RecoveredRaw!AS:AS)</f>
        <v>0</v>
      </c>
      <c r="AQ117">
        <f>SUMIF(RecoveredRaw!$B:$B,$A117,RecoveredRaw!AT:AT)</f>
        <v>0</v>
      </c>
      <c r="AR117">
        <f>SUMIF(RecoveredRaw!$B:$B,$A117,RecoveredRaw!AU:AU)</f>
        <v>0</v>
      </c>
      <c r="AS117">
        <f>SUMIF(RecoveredRaw!$B:$B,$A117,RecoveredRaw!AV:AV)</f>
        <v>0</v>
      </c>
      <c r="AT117">
        <f>SUMIF(RecoveredRaw!$B:$B,$A117,RecoveredRaw!AW:AW)</f>
        <v>0</v>
      </c>
      <c r="AU117">
        <f>SUMIF(RecoveredRaw!$B:$B,$A117,RecoveredRaw!AX:AX)</f>
        <v>0</v>
      </c>
      <c r="AV117">
        <f>SUMIF(RecoveredRaw!$B:$B,$A117,RecoveredRaw!AY:AY)</f>
        <v>0</v>
      </c>
      <c r="AW117">
        <f>SUMIF(RecoveredRaw!$B:$B,$A117,RecoveredRaw!AZ:AZ)</f>
        <v>0</v>
      </c>
      <c r="AX117">
        <f>SUMIF(RecoveredRaw!$B:$B,$A117,RecoveredRaw!BA:BA)</f>
        <v>0</v>
      </c>
      <c r="AY117">
        <f>SUMIF(RecoveredRaw!$B:$B,$A117,RecoveredRaw!BB:BB)</f>
        <v>0</v>
      </c>
      <c r="AZ117">
        <f>SUMIF(RecoveredRaw!$B:$B,$A117,RecoveredRaw!BC:BC)</f>
        <v>0</v>
      </c>
      <c r="BA117">
        <f>SUMIF(RecoveredRaw!$B:$B,$A117,RecoveredRaw!BD:BD)</f>
        <v>0</v>
      </c>
      <c r="BB117">
        <f>SUMIF(RecoveredRaw!$B:$B,$A117,RecoveredRaw!BE:BE)</f>
        <v>0</v>
      </c>
      <c r="BC117">
        <f>SUMIF(RecoveredRaw!$B:$B,$A117,RecoveredRaw!BF:BF)</f>
        <v>0</v>
      </c>
      <c r="BD117">
        <f>SUMIF(RecoveredRaw!$B:$B,$A117,RecoveredRaw!BG:BG)</f>
        <v>0</v>
      </c>
      <c r="BE117">
        <f>SUMIF(RecoveredRaw!$B:$B,$A117,RecoveredRaw!BH:BH)</f>
        <v>0</v>
      </c>
      <c r="BF117">
        <f>SUMIF(RecoveredRaw!$B:$B,$A117,RecoveredRaw!BI:BI)</f>
        <v>0</v>
      </c>
      <c r="BG117">
        <f>SUMIF(RecoveredRaw!$B:$B,$A117,RecoveredRaw!BJ:BJ)</f>
        <v>0</v>
      </c>
      <c r="BH117">
        <f>SUMIF(RecoveredRaw!$B:$B,$A117,RecoveredRaw!BK:BK)</f>
        <v>0</v>
      </c>
      <c r="BI117">
        <f>SUMIF(RecoveredRaw!$B:$B,$A117,RecoveredRaw!BL:BL)</f>
        <v>0</v>
      </c>
      <c r="BJ117">
        <f>SUMIF(RecoveredRaw!$B:$B,$A117,RecoveredRaw!BM:BM)</f>
        <v>0</v>
      </c>
      <c r="BK117">
        <f>SUMIF(RecoveredRaw!$B:$B,$A117,RecoveredRaw!BN:BN)</f>
        <v>0</v>
      </c>
      <c r="BL117">
        <f>SUMIF(RecoveredRaw!$B:$B,$A117,RecoveredRaw!BO:BO)</f>
        <v>0</v>
      </c>
      <c r="BM117">
        <f>SUMIF(RecoveredRaw!$B:$B,$A117,RecoveredRaw!BP:BP)</f>
        <v>0</v>
      </c>
      <c r="BN117">
        <f>SUMIF(RecoveredRaw!$B:$B,$A117,RecoveredRaw!BQ:BQ)</f>
        <v>0</v>
      </c>
      <c r="BO117">
        <f>SUMIF(RecoveredRaw!$B:$B,$A117,RecoveredRaw!BR:BR)</f>
        <v>0</v>
      </c>
      <c r="BP117">
        <f>SUMIF(RecoveredRaw!$B:$B,$A117,RecoveredRaw!BS:BS)</f>
        <v>0</v>
      </c>
      <c r="BQ117">
        <f>SUMIF(RecoveredRaw!$B:$B,$A117,RecoveredRaw!BT:BT)</f>
        <v>0</v>
      </c>
      <c r="BR117">
        <f>SUMIF(RecoveredRaw!$B:$B,$A117,RecoveredRaw!BU:BU)</f>
        <v>0</v>
      </c>
      <c r="BS117">
        <f>SUMIF(RecoveredRaw!$B:$B,$A117,RecoveredRaw!BV:BV)</f>
        <v>0</v>
      </c>
      <c r="BT117">
        <f>SUMIF(RecoveredRaw!$B:$B,$A117,RecoveredRaw!BW:BW)</f>
        <v>0</v>
      </c>
    </row>
    <row r="118" spans="1:72" ht="15" thickBot="1" x14ac:dyDescent="0.35">
      <c r="A118" s="3" t="s">
        <v>411</v>
      </c>
      <c r="B118">
        <f>SUMIF(RecoveredRaw!$B:$B,$A118,RecoveredRaw!E:E)</f>
        <v>0</v>
      </c>
      <c r="C118">
        <f>SUMIF(RecoveredRaw!$B:$B,$A118,RecoveredRaw!F:F)</f>
        <v>0</v>
      </c>
      <c r="D118">
        <f>SUMIF(RecoveredRaw!$B:$B,$A118,RecoveredRaw!G:G)</f>
        <v>0</v>
      </c>
      <c r="E118">
        <f>SUMIF(RecoveredRaw!$B:$B,$A118,RecoveredRaw!H:H)</f>
        <v>0</v>
      </c>
      <c r="F118">
        <f>SUMIF(RecoveredRaw!$B:$B,$A118,RecoveredRaw!I:I)</f>
        <v>0</v>
      </c>
      <c r="G118">
        <f>SUMIF(RecoveredRaw!$B:$B,$A118,RecoveredRaw!J:J)</f>
        <v>0</v>
      </c>
      <c r="H118">
        <f>SUMIF(RecoveredRaw!$B:$B,$A118,RecoveredRaw!K:K)</f>
        <v>0</v>
      </c>
      <c r="I118">
        <f>SUMIF(RecoveredRaw!$B:$B,$A118,RecoveredRaw!L:L)</f>
        <v>0</v>
      </c>
      <c r="J118">
        <f>SUMIF(RecoveredRaw!$B:$B,$A118,RecoveredRaw!M:M)</f>
        <v>0</v>
      </c>
      <c r="K118">
        <f>SUMIF(RecoveredRaw!$B:$B,$A118,RecoveredRaw!N:N)</f>
        <v>0</v>
      </c>
      <c r="L118">
        <f>SUMIF(RecoveredRaw!$B:$B,$A118,RecoveredRaw!O:O)</f>
        <v>0</v>
      </c>
      <c r="M118">
        <f>SUMIF(RecoveredRaw!$B:$B,$A118,RecoveredRaw!P:P)</f>
        <v>0</v>
      </c>
      <c r="N118">
        <f>SUMIF(RecoveredRaw!$B:$B,$A118,RecoveredRaw!Q:Q)</f>
        <v>0</v>
      </c>
      <c r="O118">
        <f>SUMIF(RecoveredRaw!$B:$B,$A118,RecoveredRaw!R:R)</f>
        <v>0</v>
      </c>
      <c r="P118">
        <f>SUMIF(RecoveredRaw!$B:$B,$A118,RecoveredRaw!S:S)</f>
        <v>0</v>
      </c>
      <c r="Q118">
        <f>SUMIF(RecoveredRaw!$B:$B,$A118,RecoveredRaw!T:T)</f>
        <v>0</v>
      </c>
      <c r="R118">
        <f>SUMIF(RecoveredRaw!$B:$B,$A118,RecoveredRaw!U:U)</f>
        <v>0</v>
      </c>
      <c r="S118">
        <f>SUMIF(RecoveredRaw!$B:$B,$A118,RecoveredRaw!V:V)</f>
        <v>0</v>
      </c>
      <c r="T118">
        <f>SUMIF(RecoveredRaw!$B:$B,$A118,RecoveredRaw!W:W)</f>
        <v>0</v>
      </c>
      <c r="U118">
        <f>SUMIF(RecoveredRaw!$B:$B,$A118,RecoveredRaw!X:X)</f>
        <v>0</v>
      </c>
      <c r="V118">
        <f>SUMIF(RecoveredRaw!$B:$B,$A118,RecoveredRaw!Y:Y)</f>
        <v>0</v>
      </c>
      <c r="W118">
        <f>SUMIF(RecoveredRaw!$B:$B,$A118,RecoveredRaw!Z:Z)</f>
        <v>0</v>
      </c>
      <c r="X118">
        <f>SUMIF(RecoveredRaw!$B:$B,$A118,RecoveredRaw!AA:AA)</f>
        <v>0</v>
      </c>
      <c r="Y118">
        <f>SUMIF(RecoveredRaw!$B:$B,$A118,RecoveredRaw!AB:AB)</f>
        <v>0</v>
      </c>
      <c r="Z118">
        <f>SUMIF(RecoveredRaw!$B:$B,$A118,RecoveredRaw!AC:AC)</f>
        <v>0</v>
      </c>
      <c r="AA118">
        <f>SUMIF(RecoveredRaw!$B:$B,$A118,RecoveredRaw!AD:AD)</f>
        <v>0</v>
      </c>
      <c r="AB118">
        <f>SUMIF(RecoveredRaw!$B:$B,$A118,RecoveredRaw!AE:AE)</f>
        <v>0</v>
      </c>
      <c r="AC118">
        <f>SUMIF(RecoveredRaw!$B:$B,$A118,RecoveredRaw!AF:AF)</f>
        <v>0</v>
      </c>
      <c r="AD118">
        <f>SUMIF(RecoveredRaw!$B:$B,$A118,RecoveredRaw!AG:AG)</f>
        <v>0</v>
      </c>
      <c r="AE118">
        <f>SUMIF(RecoveredRaw!$B:$B,$A118,RecoveredRaw!AH:AH)</f>
        <v>0</v>
      </c>
      <c r="AF118">
        <f>SUMIF(RecoveredRaw!$B:$B,$A118,RecoveredRaw!AI:AI)</f>
        <v>0</v>
      </c>
      <c r="AG118">
        <f>SUMIF(RecoveredRaw!$B:$B,$A118,RecoveredRaw!AJ:AJ)</f>
        <v>0</v>
      </c>
      <c r="AH118">
        <f>SUMIF(RecoveredRaw!$B:$B,$A118,RecoveredRaw!AK:AK)</f>
        <v>0</v>
      </c>
      <c r="AI118">
        <f>SUMIF(RecoveredRaw!$B:$B,$A118,RecoveredRaw!AL:AL)</f>
        <v>0</v>
      </c>
      <c r="AJ118">
        <f>SUMIF(RecoveredRaw!$B:$B,$A118,RecoveredRaw!AM:AM)</f>
        <v>0</v>
      </c>
      <c r="AK118">
        <f>SUMIF(RecoveredRaw!$B:$B,$A118,RecoveredRaw!AN:AN)</f>
        <v>0</v>
      </c>
      <c r="AL118">
        <f>SUMIF(RecoveredRaw!$B:$B,$A118,RecoveredRaw!AO:AO)</f>
        <v>0</v>
      </c>
      <c r="AM118">
        <f>SUMIF(RecoveredRaw!$B:$B,$A118,RecoveredRaw!AP:AP)</f>
        <v>0</v>
      </c>
      <c r="AN118">
        <f>SUMIF(RecoveredRaw!$B:$B,$A118,RecoveredRaw!AQ:AQ)</f>
        <v>0</v>
      </c>
      <c r="AO118">
        <f>SUMIF(RecoveredRaw!$B:$B,$A118,RecoveredRaw!AR:AR)</f>
        <v>0</v>
      </c>
      <c r="AP118">
        <f>SUMIF(RecoveredRaw!$B:$B,$A118,RecoveredRaw!AS:AS)</f>
        <v>0</v>
      </c>
      <c r="AQ118">
        <f>SUMIF(RecoveredRaw!$B:$B,$A118,RecoveredRaw!AT:AT)</f>
        <v>0</v>
      </c>
      <c r="AR118">
        <f>SUMIF(RecoveredRaw!$B:$B,$A118,RecoveredRaw!AU:AU)</f>
        <v>0</v>
      </c>
      <c r="AS118">
        <f>SUMIF(RecoveredRaw!$B:$B,$A118,RecoveredRaw!AV:AV)</f>
        <v>0</v>
      </c>
      <c r="AT118">
        <f>SUMIF(RecoveredRaw!$B:$B,$A118,RecoveredRaw!AW:AW)</f>
        <v>0</v>
      </c>
      <c r="AU118">
        <f>SUMIF(RecoveredRaw!$B:$B,$A118,RecoveredRaw!AX:AX)</f>
        <v>0</v>
      </c>
      <c r="AV118">
        <f>SUMIF(RecoveredRaw!$B:$B,$A118,RecoveredRaw!AY:AY)</f>
        <v>0</v>
      </c>
      <c r="AW118">
        <f>SUMIF(RecoveredRaw!$B:$B,$A118,RecoveredRaw!AZ:AZ)</f>
        <v>0</v>
      </c>
      <c r="AX118">
        <f>SUMIF(RecoveredRaw!$B:$B,$A118,RecoveredRaw!BA:BA)</f>
        <v>0</v>
      </c>
      <c r="AY118">
        <f>SUMIF(RecoveredRaw!$B:$B,$A118,RecoveredRaw!BB:BB)</f>
        <v>0</v>
      </c>
      <c r="AZ118">
        <f>SUMIF(RecoveredRaw!$B:$B,$A118,RecoveredRaw!BC:BC)</f>
        <v>0</v>
      </c>
      <c r="BA118">
        <f>SUMIF(RecoveredRaw!$B:$B,$A118,RecoveredRaw!BD:BD)</f>
        <v>0</v>
      </c>
      <c r="BB118">
        <f>SUMIF(RecoveredRaw!$B:$B,$A118,RecoveredRaw!BE:BE)</f>
        <v>0</v>
      </c>
      <c r="BC118">
        <f>SUMIF(RecoveredRaw!$B:$B,$A118,RecoveredRaw!BF:BF)</f>
        <v>0</v>
      </c>
      <c r="BD118">
        <f>SUMIF(RecoveredRaw!$B:$B,$A118,RecoveredRaw!BG:BG)</f>
        <v>0</v>
      </c>
      <c r="BE118">
        <f>SUMIF(RecoveredRaw!$B:$B,$A118,RecoveredRaw!BH:BH)</f>
        <v>0</v>
      </c>
      <c r="BF118">
        <f>SUMIF(RecoveredRaw!$B:$B,$A118,RecoveredRaw!BI:BI)</f>
        <v>0</v>
      </c>
      <c r="BG118">
        <f>SUMIF(RecoveredRaw!$B:$B,$A118,RecoveredRaw!BJ:BJ)</f>
        <v>0</v>
      </c>
      <c r="BH118">
        <f>SUMIF(RecoveredRaw!$B:$B,$A118,RecoveredRaw!BK:BK)</f>
        <v>0</v>
      </c>
      <c r="BI118">
        <f>SUMIF(RecoveredRaw!$B:$B,$A118,RecoveredRaw!BL:BL)</f>
        <v>0</v>
      </c>
      <c r="BJ118">
        <f>SUMIF(RecoveredRaw!$B:$B,$A118,RecoveredRaw!BM:BM)</f>
        <v>0</v>
      </c>
      <c r="BK118">
        <f>SUMIF(RecoveredRaw!$B:$B,$A118,RecoveredRaw!BN:BN)</f>
        <v>0</v>
      </c>
      <c r="BL118">
        <f>SUMIF(RecoveredRaw!$B:$B,$A118,RecoveredRaw!BO:BO)</f>
        <v>0</v>
      </c>
      <c r="BM118">
        <f>SUMIF(RecoveredRaw!$B:$B,$A118,RecoveredRaw!BP:BP)</f>
        <v>0</v>
      </c>
      <c r="BN118">
        <f>SUMIF(RecoveredRaw!$B:$B,$A118,RecoveredRaw!BQ:BQ)</f>
        <v>0</v>
      </c>
      <c r="BO118">
        <f>SUMIF(RecoveredRaw!$B:$B,$A118,RecoveredRaw!BR:BR)</f>
        <v>0</v>
      </c>
      <c r="BP118">
        <f>SUMIF(RecoveredRaw!$B:$B,$A118,RecoveredRaw!BS:BS)</f>
        <v>0</v>
      </c>
      <c r="BQ118">
        <f>SUMIF(RecoveredRaw!$B:$B,$A118,RecoveredRaw!BT:BT)</f>
        <v>0</v>
      </c>
      <c r="BR118">
        <f>SUMIF(RecoveredRaw!$B:$B,$A118,RecoveredRaw!BU:BU)</f>
        <v>0</v>
      </c>
      <c r="BS118">
        <f>SUMIF(RecoveredRaw!$B:$B,$A118,RecoveredRaw!BV:BV)</f>
        <v>0</v>
      </c>
      <c r="BT118">
        <f>SUMIF(RecoveredRaw!$B:$B,$A118,RecoveredRaw!BW:BW)</f>
        <v>0</v>
      </c>
    </row>
    <row r="119" spans="1:72" ht="15" thickBot="1" x14ac:dyDescent="0.35">
      <c r="A119" s="3" t="s">
        <v>281</v>
      </c>
      <c r="B119">
        <f>SUMIF(RecoveredRaw!$B:$B,$A119,RecoveredRaw!E:E)</f>
        <v>0</v>
      </c>
      <c r="C119">
        <f>SUMIF(RecoveredRaw!$B:$B,$A119,RecoveredRaw!F:F)</f>
        <v>0</v>
      </c>
      <c r="D119">
        <f>SUMIF(RecoveredRaw!$B:$B,$A119,RecoveredRaw!G:G)</f>
        <v>0</v>
      </c>
      <c r="E119">
        <f>SUMIF(RecoveredRaw!$B:$B,$A119,RecoveredRaw!H:H)</f>
        <v>0</v>
      </c>
      <c r="F119">
        <f>SUMIF(RecoveredRaw!$B:$B,$A119,RecoveredRaw!I:I)</f>
        <v>0</v>
      </c>
      <c r="G119">
        <f>SUMIF(RecoveredRaw!$B:$B,$A119,RecoveredRaw!J:J)</f>
        <v>0</v>
      </c>
      <c r="H119">
        <f>SUMIF(RecoveredRaw!$B:$B,$A119,RecoveredRaw!K:K)</f>
        <v>0</v>
      </c>
      <c r="I119">
        <f>SUMIF(RecoveredRaw!$B:$B,$A119,RecoveredRaw!L:L)</f>
        <v>0</v>
      </c>
      <c r="J119">
        <f>SUMIF(RecoveredRaw!$B:$B,$A119,RecoveredRaw!M:M)</f>
        <v>0</v>
      </c>
      <c r="K119">
        <f>SUMIF(RecoveredRaw!$B:$B,$A119,RecoveredRaw!N:N)</f>
        <v>0</v>
      </c>
      <c r="L119">
        <f>SUMIF(RecoveredRaw!$B:$B,$A119,RecoveredRaw!O:O)</f>
        <v>0</v>
      </c>
      <c r="M119">
        <f>SUMIF(RecoveredRaw!$B:$B,$A119,RecoveredRaw!P:P)</f>
        <v>0</v>
      </c>
      <c r="N119">
        <f>SUMIF(RecoveredRaw!$B:$B,$A119,RecoveredRaw!Q:Q)</f>
        <v>0</v>
      </c>
      <c r="O119">
        <f>SUMIF(RecoveredRaw!$B:$B,$A119,RecoveredRaw!R:R)</f>
        <v>0</v>
      </c>
      <c r="P119">
        <f>SUMIF(RecoveredRaw!$B:$B,$A119,RecoveredRaw!S:S)</f>
        <v>0</v>
      </c>
      <c r="Q119">
        <f>SUMIF(RecoveredRaw!$B:$B,$A119,RecoveredRaw!T:T)</f>
        <v>0</v>
      </c>
      <c r="R119">
        <f>SUMIF(RecoveredRaw!$B:$B,$A119,RecoveredRaw!U:U)</f>
        <v>0</v>
      </c>
      <c r="S119">
        <f>SUMIF(RecoveredRaw!$B:$B,$A119,RecoveredRaw!V:V)</f>
        <v>0</v>
      </c>
      <c r="T119">
        <f>SUMIF(RecoveredRaw!$B:$B,$A119,RecoveredRaw!W:W)</f>
        <v>0</v>
      </c>
      <c r="U119">
        <f>SUMIF(RecoveredRaw!$B:$B,$A119,RecoveredRaw!X:X)</f>
        <v>0</v>
      </c>
      <c r="V119">
        <f>SUMIF(RecoveredRaw!$B:$B,$A119,RecoveredRaw!Y:Y)</f>
        <v>0</v>
      </c>
      <c r="W119">
        <f>SUMIF(RecoveredRaw!$B:$B,$A119,RecoveredRaw!Z:Z)</f>
        <v>0</v>
      </c>
      <c r="X119">
        <f>SUMIF(RecoveredRaw!$B:$B,$A119,RecoveredRaw!AA:AA)</f>
        <v>0</v>
      </c>
      <c r="Y119">
        <f>SUMIF(RecoveredRaw!$B:$B,$A119,RecoveredRaw!AB:AB)</f>
        <v>0</v>
      </c>
      <c r="Z119">
        <f>SUMIF(RecoveredRaw!$B:$B,$A119,RecoveredRaw!AC:AC)</f>
        <v>0</v>
      </c>
      <c r="AA119">
        <f>SUMIF(RecoveredRaw!$B:$B,$A119,RecoveredRaw!AD:AD)</f>
        <v>0</v>
      </c>
      <c r="AB119">
        <f>SUMIF(RecoveredRaw!$B:$B,$A119,RecoveredRaw!AE:AE)</f>
        <v>0</v>
      </c>
      <c r="AC119">
        <f>SUMIF(RecoveredRaw!$B:$B,$A119,RecoveredRaw!AF:AF)</f>
        <v>0</v>
      </c>
      <c r="AD119">
        <f>SUMIF(RecoveredRaw!$B:$B,$A119,RecoveredRaw!AG:AG)</f>
        <v>0</v>
      </c>
      <c r="AE119">
        <f>SUMIF(RecoveredRaw!$B:$B,$A119,RecoveredRaw!AH:AH)</f>
        <v>0</v>
      </c>
      <c r="AF119">
        <f>SUMIF(RecoveredRaw!$B:$B,$A119,RecoveredRaw!AI:AI)</f>
        <v>0</v>
      </c>
      <c r="AG119">
        <f>SUMIF(RecoveredRaw!$B:$B,$A119,RecoveredRaw!AJ:AJ)</f>
        <v>0</v>
      </c>
      <c r="AH119">
        <f>SUMIF(RecoveredRaw!$B:$B,$A119,RecoveredRaw!AK:AK)</f>
        <v>0</v>
      </c>
      <c r="AI119">
        <f>SUMIF(RecoveredRaw!$B:$B,$A119,RecoveredRaw!AL:AL)</f>
        <v>0</v>
      </c>
      <c r="AJ119">
        <f>SUMIF(RecoveredRaw!$B:$B,$A119,RecoveredRaw!AM:AM)</f>
        <v>0</v>
      </c>
      <c r="AK119">
        <f>SUMIF(RecoveredRaw!$B:$B,$A119,RecoveredRaw!AN:AN)</f>
        <v>0</v>
      </c>
      <c r="AL119">
        <f>SUMIF(RecoveredRaw!$B:$B,$A119,RecoveredRaw!AO:AO)</f>
        <v>0</v>
      </c>
      <c r="AM119">
        <f>SUMIF(RecoveredRaw!$B:$B,$A119,RecoveredRaw!AP:AP)</f>
        <v>0</v>
      </c>
      <c r="AN119">
        <f>SUMIF(RecoveredRaw!$B:$B,$A119,RecoveredRaw!AQ:AQ)</f>
        <v>0</v>
      </c>
      <c r="AO119">
        <f>SUMIF(RecoveredRaw!$B:$B,$A119,RecoveredRaw!AR:AR)</f>
        <v>0</v>
      </c>
      <c r="AP119">
        <f>SUMIF(RecoveredRaw!$B:$B,$A119,RecoveredRaw!AS:AS)</f>
        <v>0</v>
      </c>
      <c r="AQ119">
        <f>SUMIF(RecoveredRaw!$B:$B,$A119,RecoveredRaw!AT:AT)</f>
        <v>0</v>
      </c>
      <c r="AR119">
        <f>SUMIF(RecoveredRaw!$B:$B,$A119,RecoveredRaw!AU:AU)</f>
        <v>0</v>
      </c>
      <c r="AS119">
        <f>SUMIF(RecoveredRaw!$B:$B,$A119,RecoveredRaw!AV:AV)</f>
        <v>0</v>
      </c>
      <c r="AT119">
        <f>SUMIF(RecoveredRaw!$B:$B,$A119,RecoveredRaw!AW:AW)</f>
        <v>0</v>
      </c>
      <c r="AU119">
        <f>SUMIF(RecoveredRaw!$B:$B,$A119,RecoveredRaw!AX:AX)</f>
        <v>0</v>
      </c>
      <c r="AV119">
        <f>SUMIF(RecoveredRaw!$B:$B,$A119,RecoveredRaw!AY:AY)</f>
        <v>0</v>
      </c>
      <c r="AW119">
        <f>SUMIF(RecoveredRaw!$B:$B,$A119,RecoveredRaw!AZ:AZ)</f>
        <v>0</v>
      </c>
      <c r="AX119">
        <f>SUMIF(RecoveredRaw!$B:$B,$A119,RecoveredRaw!BA:BA)</f>
        <v>0</v>
      </c>
      <c r="AY119">
        <f>SUMIF(RecoveredRaw!$B:$B,$A119,RecoveredRaw!BB:BB)</f>
        <v>0</v>
      </c>
      <c r="AZ119">
        <f>SUMIF(RecoveredRaw!$B:$B,$A119,RecoveredRaw!BC:BC)</f>
        <v>0</v>
      </c>
      <c r="BA119">
        <f>SUMIF(RecoveredRaw!$B:$B,$A119,RecoveredRaw!BD:BD)</f>
        <v>0</v>
      </c>
      <c r="BB119">
        <f>SUMIF(RecoveredRaw!$B:$B,$A119,RecoveredRaw!BE:BE)</f>
        <v>0</v>
      </c>
      <c r="BC119">
        <f>SUMIF(RecoveredRaw!$B:$B,$A119,RecoveredRaw!BF:BF)</f>
        <v>0</v>
      </c>
      <c r="BD119">
        <f>SUMIF(RecoveredRaw!$B:$B,$A119,RecoveredRaw!BG:BG)</f>
        <v>0</v>
      </c>
      <c r="BE119">
        <f>SUMIF(RecoveredRaw!$B:$B,$A119,RecoveredRaw!BH:BH)</f>
        <v>0</v>
      </c>
      <c r="BF119">
        <f>SUMIF(RecoveredRaw!$B:$B,$A119,RecoveredRaw!BI:BI)</f>
        <v>0</v>
      </c>
      <c r="BG119">
        <f>SUMIF(RecoveredRaw!$B:$B,$A119,RecoveredRaw!BJ:BJ)</f>
        <v>0</v>
      </c>
      <c r="BH119">
        <f>SUMIF(RecoveredRaw!$B:$B,$A119,RecoveredRaw!BK:BK)</f>
        <v>0</v>
      </c>
      <c r="BI119">
        <f>SUMIF(RecoveredRaw!$B:$B,$A119,RecoveredRaw!BL:BL)</f>
        <v>0</v>
      </c>
      <c r="BJ119">
        <f>SUMIF(RecoveredRaw!$B:$B,$A119,RecoveredRaw!BM:BM)</f>
        <v>0</v>
      </c>
      <c r="BK119">
        <f>SUMIF(RecoveredRaw!$B:$B,$A119,RecoveredRaw!BN:BN)</f>
        <v>0</v>
      </c>
      <c r="BL119">
        <f>SUMIF(RecoveredRaw!$B:$B,$A119,RecoveredRaw!BO:BO)</f>
        <v>0</v>
      </c>
      <c r="BM119">
        <f>SUMIF(RecoveredRaw!$B:$B,$A119,RecoveredRaw!BP:BP)</f>
        <v>0</v>
      </c>
      <c r="BN119">
        <f>SUMIF(RecoveredRaw!$B:$B,$A119,RecoveredRaw!BQ:BQ)</f>
        <v>0</v>
      </c>
      <c r="BO119">
        <f>SUMIF(RecoveredRaw!$B:$B,$A119,RecoveredRaw!BR:BR)</f>
        <v>0</v>
      </c>
      <c r="BP119">
        <f>SUMIF(RecoveredRaw!$B:$B,$A119,RecoveredRaw!BS:BS)</f>
        <v>0</v>
      </c>
      <c r="BQ119">
        <f>SUMIF(RecoveredRaw!$B:$B,$A119,RecoveredRaw!BT:BT)</f>
        <v>0</v>
      </c>
      <c r="BR119">
        <f>SUMIF(RecoveredRaw!$B:$B,$A119,RecoveredRaw!BU:BU)</f>
        <v>0</v>
      </c>
      <c r="BS119">
        <f>SUMIF(RecoveredRaw!$B:$B,$A119,RecoveredRaw!BV:BV)</f>
        <v>0</v>
      </c>
      <c r="BT119">
        <f>SUMIF(RecoveredRaw!$B:$B,$A119,RecoveredRaw!BW:BW)</f>
        <v>0</v>
      </c>
    </row>
    <row r="120" spans="1:72" ht="15" thickBot="1" x14ac:dyDescent="0.35">
      <c r="A120" s="4" t="s">
        <v>125</v>
      </c>
      <c r="B120">
        <f>SUMIF(RecoveredRaw!$B:$B,$A120,RecoveredRaw!E:E)</f>
        <v>0</v>
      </c>
      <c r="C120">
        <f>SUMIF(RecoveredRaw!$B:$B,$A120,RecoveredRaw!F:F)</f>
        <v>0</v>
      </c>
      <c r="D120">
        <f>SUMIF(RecoveredRaw!$B:$B,$A120,RecoveredRaw!G:G)</f>
        <v>0</v>
      </c>
      <c r="E120">
        <f>SUMIF(RecoveredRaw!$B:$B,$A120,RecoveredRaw!H:H)</f>
        <v>0</v>
      </c>
      <c r="F120">
        <f>SUMIF(RecoveredRaw!$B:$B,$A120,RecoveredRaw!I:I)</f>
        <v>0</v>
      </c>
      <c r="G120">
        <f>SUMIF(RecoveredRaw!$B:$B,$A120,RecoveredRaw!J:J)</f>
        <v>0</v>
      </c>
      <c r="H120">
        <f>SUMIF(RecoveredRaw!$B:$B,$A120,RecoveredRaw!K:K)</f>
        <v>0</v>
      </c>
      <c r="I120">
        <f>SUMIF(RecoveredRaw!$B:$B,$A120,RecoveredRaw!L:L)</f>
        <v>0</v>
      </c>
      <c r="J120">
        <f>SUMIF(RecoveredRaw!$B:$B,$A120,RecoveredRaw!M:M)</f>
        <v>0</v>
      </c>
      <c r="K120">
        <f>SUMIF(RecoveredRaw!$B:$B,$A120,RecoveredRaw!N:N)</f>
        <v>0</v>
      </c>
      <c r="L120">
        <f>SUMIF(RecoveredRaw!$B:$B,$A120,RecoveredRaw!O:O)</f>
        <v>0</v>
      </c>
      <c r="M120">
        <f>SUMIF(RecoveredRaw!$B:$B,$A120,RecoveredRaw!P:P)</f>
        <v>0</v>
      </c>
      <c r="N120">
        <f>SUMIF(RecoveredRaw!$B:$B,$A120,RecoveredRaw!Q:Q)</f>
        <v>0</v>
      </c>
      <c r="O120">
        <f>SUMIF(RecoveredRaw!$B:$B,$A120,RecoveredRaw!R:R)</f>
        <v>0</v>
      </c>
      <c r="P120">
        <f>SUMIF(RecoveredRaw!$B:$B,$A120,RecoveredRaw!S:S)</f>
        <v>0</v>
      </c>
      <c r="Q120">
        <f>SUMIF(RecoveredRaw!$B:$B,$A120,RecoveredRaw!T:T)</f>
        <v>0</v>
      </c>
      <c r="R120">
        <f>SUMIF(RecoveredRaw!$B:$B,$A120,RecoveredRaw!U:U)</f>
        <v>0</v>
      </c>
      <c r="S120">
        <f>SUMIF(RecoveredRaw!$B:$B,$A120,RecoveredRaw!V:V)</f>
        <v>0</v>
      </c>
      <c r="T120">
        <f>SUMIF(RecoveredRaw!$B:$B,$A120,RecoveredRaw!W:W)</f>
        <v>0</v>
      </c>
      <c r="U120">
        <f>SUMIF(RecoveredRaw!$B:$B,$A120,RecoveredRaw!X:X)</f>
        <v>0</v>
      </c>
      <c r="V120">
        <f>SUMIF(RecoveredRaw!$B:$B,$A120,RecoveredRaw!Y:Y)</f>
        <v>0</v>
      </c>
      <c r="W120">
        <f>SUMIF(RecoveredRaw!$B:$B,$A120,RecoveredRaw!Z:Z)</f>
        <v>0</v>
      </c>
      <c r="X120">
        <f>SUMIF(RecoveredRaw!$B:$B,$A120,RecoveredRaw!AA:AA)</f>
        <v>0</v>
      </c>
      <c r="Y120">
        <f>SUMIF(RecoveredRaw!$B:$B,$A120,RecoveredRaw!AB:AB)</f>
        <v>0</v>
      </c>
      <c r="Z120">
        <f>SUMIF(RecoveredRaw!$B:$B,$A120,RecoveredRaw!AC:AC)</f>
        <v>0</v>
      </c>
      <c r="AA120">
        <f>SUMIF(RecoveredRaw!$B:$B,$A120,RecoveredRaw!AD:AD)</f>
        <v>0</v>
      </c>
      <c r="AB120">
        <f>SUMIF(RecoveredRaw!$B:$B,$A120,RecoveredRaw!AE:AE)</f>
        <v>0</v>
      </c>
      <c r="AC120">
        <f>SUMIF(RecoveredRaw!$B:$B,$A120,RecoveredRaw!AF:AF)</f>
        <v>0</v>
      </c>
      <c r="AD120">
        <f>SUMIF(RecoveredRaw!$B:$B,$A120,RecoveredRaw!AG:AG)</f>
        <v>0</v>
      </c>
      <c r="AE120">
        <f>SUMIF(RecoveredRaw!$B:$B,$A120,RecoveredRaw!AH:AH)</f>
        <v>0</v>
      </c>
      <c r="AF120">
        <f>SUMIF(RecoveredRaw!$B:$B,$A120,RecoveredRaw!AI:AI)</f>
        <v>0</v>
      </c>
      <c r="AG120">
        <f>SUMIF(RecoveredRaw!$B:$B,$A120,RecoveredRaw!AJ:AJ)</f>
        <v>0</v>
      </c>
      <c r="AH120">
        <f>SUMIF(RecoveredRaw!$B:$B,$A120,RecoveredRaw!AK:AK)</f>
        <v>0</v>
      </c>
      <c r="AI120">
        <f>SUMIF(RecoveredRaw!$B:$B,$A120,RecoveredRaw!AL:AL)</f>
        <v>0</v>
      </c>
      <c r="AJ120">
        <f>SUMIF(RecoveredRaw!$B:$B,$A120,RecoveredRaw!AM:AM)</f>
        <v>0</v>
      </c>
      <c r="AK120">
        <f>SUMIF(RecoveredRaw!$B:$B,$A120,RecoveredRaw!AN:AN)</f>
        <v>0</v>
      </c>
      <c r="AL120">
        <f>SUMIF(RecoveredRaw!$B:$B,$A120,RecoveredRaw!AO:AO)</f>
        <v>0</v>
      </c>
      <c r="AM120">
        <f>SUMIF(RecoveredRaw!$B:$B,$A120,RecoveredRaw!AP:AP)</f>
        <v>0</v>
      </c>
      <c r="AN120">
        <f>SUMIF(RecoveredRaw!$B:$B,$A120,RecoveredRaw!AQ:AQ)</f>
        <v>0</v>
      </c>
      <c r="AO120">
        <f>SUMIF(RecoveredRaw!$B:$B,$A120,RecoveredRaw!AR:AR)</f>
        <v>0</v>
      </c>
      <c r="AP120">
        <f>SUMIF(RecoveredRaw!$B:$B,$A120,RecoveredRaw!AS:AS)</f>
        <v>0</v>
      </c>
      <c r="AQ120">
        <f>SUMIF(RecoveredRaw!$B:$B,$A120,RecoveredRaw!AT:AT)</f>
        <v>0</v>
      </c>
      <c r="AR120">
        <f>SUMIF(RecoveredRaw!$B:$B,$A120,RecoveredRaw!AU:AU)</f>
        <v>0</v>
      </c>
      <c r="AS120">
        <f>SUMIF(RecoveredRaw!$B:$B,$A120,RecoveredRaw!AV:AV)</f>
        <v>0</v>
      </c>
      <c r="AT120">
        <f>SUMIF(RecoveredRaw!$B:$B,$A120,RecoveredRaw!AW:AW)</f>
        <v>0</v>
      </c>
      <c r="AU120">
        <f>SUMIF(RecoveredRaw!$B:$B,$A120,RecoveredRaw!AX:AX)</f>
        <v>0</v>
      </c>
      <c r="AV120">
        <f>SUMIF(RecoveredRaw!$B:$B,$A120,RecoveredRaw!AY:AY)</f>
        <v>0</v>
      </c>
      <c r="AW120">
        <f>SUMIF(RecoveredRaw!$B:$B,$A120,RecoveredRaw!AZ:AZ)</f>
        <v>0</v>
      </c>
      <c r="AX120">
        <f>SUMIF(RecoveredRaw!$B:$B,$A120,RecoveredRaw!BA:BA)</f>
        <v>0</v>
      </c>
      <c r="AY120">
        <f>SUMIF(RecoveredRaw!$B:$B,$A120,RecoveredRaw!BB:BB)</f>
        <v>0</v>
      </c>
      <c r="AZ120">
        <f>SUMIF(RecoveredRaw!$B:$B,$A120,RecoveredRaw!BC:BC)</f>
        <v>0</v>
      </c>
      <c r="BA120">
        <f>SUMIF(RecoveredRaw!$B:$B,$A120,RecoveredRaw!BD:BD)</f>
        <v>1</v>
      </c>
      <c r="BB120">
        <f>SUMIF(RecoveredRaw!$B:$B,$A120,RecoveredRaw!BE:BE)</f>
        <v>1</v>
      </c>
      <c r="BC120">
        <f>SUMIF(RecoveredRaw!$B:$B,$A120,RecoveredRaw!BF:BF)</f>
        <v>1</v>
      </c>
      <c r="BD120">
        <f>SUMIF(RecoveredRaw!$B:$B,$A120,RecoveredRaw!BG:BG)</f>
        <v>1</v>
      </c>
      <c r="BE120">
        <f>SUMIF(RecoveredRaw!$B:$B,$A120,RecoveredRaw!BH:BH)</f>
        <v>1</v>
      </c>
      <c r="BF120">
        <f>SUMIF(RecoveredRaw!$B:$B,$A120,RecoveredRaw!BI:BI)</f>
        <v>1</v>
      </c>
      <c r="BG120">
        <f>SUMIF(RecoveredRaw!$B:$B,$A120,RecoveredRaw!BJ:BJ)</f>
        <v>0</v>
      </c>
      <c r="BH120">
        <f>SUMIF(RecoveredRaw!$B:$B,$A120,RecoveredRaw!BK:BK)</f>
        <v>0</v>
      </c>
      <c r="BI120">
        <f>SUMIF(RecoveredRaw!$B:$B,$A120,RecoveredRaw!BL:BL)</f>
        <v>0</v>
      </c>
      <c r="BJ120">
        <f>SUMIF(RecoveredRaw!$B:$B,$A120,RecoveredRaw!BM:BM)</f>
        <v>0</v>
      </c>
      <c r="BK120">
        <f>SUMIF(RecoveredRaw!$B:$B,$A120,RecoveredRaw!BN:BN)</f>
        <v>0</v>
      </c>
      <c r="BL120">
        <f>SUMIF(RecoveredRaw!$B:$B,$A120,RecoveredRaw!BO:BO)</f>
        <v>0</v>
      </c>
      <c r="BM120">
        <f>SUMIF(RecoveredRaw!$B:$B,$A120,RecoveredRaw!BP:BP)</f>
        <v>0</v>
      </c>
      <c r="BN120">
        <f>SUMIF(RecoveredRaw!$B:$B,$A120,RecoveredRaw!BQ:BQ)</f>
        <v>0</v>
      </c>
      <c r="BO120">
        <f>SUMIF(RecoveredRaw!$B:$B,$A120,RecoveredRaw!BR:BR)</f>
        <v>0</v>
      </c>
      <c r="BP120">
        <f>SUMIF(RecoveredRaw!$B:$B,$A120,RecoveredRaw!BS:BS)</f>
        <v>0</v>
      </c>
      <c r="BQ120">
        <f>SUMIF(RecoveredRaw!$B:$B,$A120,RecoveredRaw!BT:BT)</f>
        <v>0</v>
      </c>
      <c r="BR120">
        <f>SUMIF(RecoveredRaw!$B:$B,$A120,RecoveredRaw!BU:BU)</f>
        <v>0</v>
      </c>
      <c r="BS120">
        <f>SUMIF(RecoveredRaw!$B:$B,$A120,RecoveredRaw!BV:BV)</f>
        <v>0</v>
      </c>
      <c r="BT120">
        <f>SUMIF(RecoveredRaw!$B:$B,$A120,RecoveredRaw!BW:BW)</f>
        <v>0</v>
      </c>
    </row>
    <row r="121" spans="1:72" ht="15" thickBot="1" x14ac:dyDescent="0.35">
      <c r="A121" s="3" t="s">
        <v>423</v>
      </c>
      <c r="B121">
        <f>SUMIF(RecoveredRaw!$B:$B,$A121,RecoveredRaw!E:E)</f>
        <v>0</v>
      </c>
      <c r="C121">
        <f>SUMIF(RecoveredRaw!$B:$B,$A121,RecoveredRaw!F:F)</f>
        <v>0</v>
      </c>
      <c r="D121">
        <f>SUMIF(RecoveredRaw!$B:$B,$A121,RecoveredRaw!G:G)</f>
        <v>0</v>
      </c>
      <c r="E121">
        <f>SUMIF(RecoveredRaw!$B:$B,$A121,RecoveredRaw!H:H)</f>
        <v>0</v>
      </c>
      <c r="F121">
        <f>SUMIF(RecoveredRaw!$B:$B,$A121,RecoveredRaw!I:I)</f>
        <v>0</v>
      </c>
      <c r="G121">
        <f>SUMIF(RecoveredRaw!$B:$B,$A121,RecoveredRaw!J:J)</f>
        <v>0</v>
      </c>
      <c r="H121">
        <f>SUMIF(RecoveredRaw!$B:$B,$A121,RecoveredRaw!K:K)</f>
        <v>0</v>
      </c>
      <c r="I121">
        <f>SUMIF(RecoveredRaw!$B:$B,$A121,RecoveredRaw!L:L)</f>
        <v>0</v>
      </c>
      <c r="J121">
        <f>SUMIF(RecoveredRaw!$B:$B,$A121,RecoveredRaw!M:M)</f>
        <v>0</v>
      </c>
      <c r="K121">
        <f>SUMIF(RecoveredRaw!$B:$B,$A121,RecoveredRaw!N:N)</f>
        <v>0</v>
      </c>
      <c r="L121">
        <f>SUMIF(RecoveredRaw!$B:$B,$A121,RecoveredRaw!O:O)</f>
        <v>0</v>
      </c>
      <c r="M121">
        <f>SUMIF(RecoveredRaw!$B:$B,$A121,RecoveredRaw!P:P)</f>
        <v>0</v>
      </c>
      <c r="N121">
        <f>SUMIF(RecoveredRaw!$B:$B,$A121,RecoveredRaw!Q:Q)</f>
        <v>0</v>
      </c>
      <c r="O121">
        <f>SUMIF(RecoveredRaw!$B:$B,$A121,RecoveredRaw!R:R)</f>
        <v>0</v>
      </c>
      <c r="P121">
        <f>SUMIF(RecoveredRaw!$B:$B,$A121,RecoveredRaw!S:S)</f>
        <v>0</v>
      </c>
      <c r="Q121">
        <f>SUMIF(RecoveredRaw!$B:$B,$A121,RecoveredRaw!T:T)</f>
        <v>0</v>
      </c>
      <c r="R121">
        <f>SUMIF(RecoveredRaw!$B:$B,$A121,RecoveredRaw!U:U)</f>
        <v>0</v>
      </c>
      <c r="S121">
        <f>SUMIF(RecoveredRaw!$B:$B,$A121,RecoveredRaw!V:V)</f>
        <v>0</v>
      </c>
      <c r="T121">
        <f>SUMIF(RecoveredRaw!$B:$B,$A121,RecoveredRaw!W:W)</f>
        <v>0</v>
      </c>
      <c r="U121">
        <f>SUMIF(RecoveredRaw!$B:$B,$A121,RecoveredRaw!X:X)</f>
        <v>0</v>
      </c>
      <c r="V121">
        <f>SUMIF(RecoveredRaw!$B:$B,$A121,RecoveredRaw!Y:Y)</f>
        <v>0</v>
      </c>
      <c r="W121">
        <f>SUMIF(RecoveredRaw!$B:$B,$A121,RecoveredRaw!Z:Z)</f>
        <v>0</v>
      </c>
      <c r="X121">
        <f>SUMIF(RecoveredRaw!$B:$B,$A121,RecoveredRaw!AA:AA)</f>
        <v>0</v>
      </c>
      <c r="Y121">
        <f>SUMIF(RecoveredRaw!$B:$B,$A121,RecoveredRaw!AB:AB)</f>
        <v>0</v>
      </c>
      <c r="Z121">
        <f>SUMIF(RecoveredRaw!$B:$B,$A121,RecoveredRaw!AC:AC)</f>
        <v>0</v>
      </c>
      <c r="AA121">
        <f>SUMIF(RecoveredRaw!$B:$B,$A121,RecoveredRaw!AD:AD)</f>
        <v>0</v>
      </c>
      <c r="AB121">
        <f>SUMIF(RecoveredRaw!$B:$B,$A121,RecoveredRaw!AE:AE)</f>
        <v>0</v>
      </c>
      <c r="AC121">
        <f>SUMIF(RecoveredRaw!$B:$B,$A121,RecoveredRaw!AF:AF)</f>
        <v>0</v>
      </c>
      <c r="AD121">
        <f>SUMIF(RecoveredRaw!$B:$B,$A121,RecoveredRaw!AG:AG)</f>
        <v>0</v>
      </c>
      <c r="AE121">
        <f>SUMIF(RecoveredRaw!$B:$B,$A121,RecoveredRaw!AH:AH)</f>
        <v>0</v>
      </c>
      <c r="AF121">
        <f>SUMIF(RecoveredRaw!$B:$B,$A121,RecoveredRaw!AI:AI)</f>
        <v>0</v>
      </c>
      <c r="AG121">
        <f>SUMIF(RecoveredRaw!$B:$B,$A121,RecoveredRaw!AJ:AJ)</f>
        <v>0</v>
      </c>
      <c r="AH121">
        <f>SUMIF(RecoveredRaw!$B:$B,$A121,RecoveredRaw!AK:AK)</f>
        <v>0</v>
      </c>
      <c r="AI121">
        <f>SUMIF(RecoveredRaw!$B:$B,$A121,RecoveredRaw!AL:AL)</f>
        <v>0</v>
      </c>
      <c r="AJ121">
        <f>SUMIF(RecoveredRaw!$B:$B,$A121,RecoveredRaw!AM:AM)</f>
        <v>0</v>
      </c>
      <c r="AK121">
        <f>SUMIF(RecoveredRaw!$B:$B,$A121,RecoveredRaw!AN:AN)</f>
        <v>0</v>
      </c>
      <c r="AL121">
        <f>SUMIF(RecoveredRaw!$B:$B,$A121,RecoveredRaw!AO:AO)</f>
        <v>0</v>
      </c>
      <c r="AM121">
        <f>SUMIF(RecoveredRaw!$B:$B,$A121,RecoveredRaw!AP:AP)</f>
        <v>0</v>
      </c>
      <c r="AN121">
        <f>SUMIF(RecoveredRaw!$B:$B,$A121,RecoveredRaw!AQ:AQ)</f>
        <v>0</v>
      </c>
      <c r="AO121">
        <f>SUMIF(RecoveredRaw!$B:$B,$A121,RecoveredRaw!AR:AR)</f>
        <v>0</v>
      </c>
      <c r="AP121">
        <f>SUMIF(RecoveredRaw!$B:$B,$A121,RecoveredRaw!AS:AS)</f>
        <v>0</v>
      </c>
      <c r="AQ121">
        <f>SUMIF(RecoveredRaw!$B:$B,$A121,RecoveredRaw!AT:AT)</f>
        <v>0</v>
      </c>
      <c r="AR121">
        <f>SUMIF(RecoveredRaw!$B:$B,$A121,RecoveredRaw!AU:AU)</f>
        <v>0</v>
      </c>
      <c r="AS121">
        <f>SUMIF(RecoveredRaw!$B:$B,$A121,RecoveredRaw!AV:AV)</f>
        <v>0</v>
      </c>
      <c r="AT121">
        <f>SUMIF(RecoveredRaw!$B:$B,$A121,RecoveredRaw!AW:AW)</f>
        <v>0</v>
      </c>
      <c r="AU121">
        <f>SUMIF(RecoveredRaw!$B:$B,$A121,RecoveredRaw!AX:AX)</f>
        <v>0</v>
      </c>
      <c r="AV121">
        <f>SUMIF(RecoveredRaw!$B:$B,$A121,RecoveredRaw!AY:AY)</f>
        <v>0</v>
      </c>
      <c r="AW121">
        <f>SUMIF(RecoveredRaw!$B:$B,$A121,RecoveredRaw!AZ:AZ)</f>
        <v>0</v>
      </c>
      <c r="AX121">
        <f>SUMIF(RecoveredRaw!$B:$B,$A121,RecoveredRaw!BA:BA)</f>
        <v>0</v>
      </c>
      <c r="AY121">
        <f>SUMIF(RecoveredRaw!$B:$B,$A121,RecoveredRaw!BB:BB)</f>
        <v>0</v>
      </c>
      <c r="AZ121">
        <f>SUMIF(RecoveredRaw!$B:$B,$A121,RecoveredRaw!BC:BC)</f>
        <v>0</v>
      </c>
      <c r="BA121">
        <f>SUMIF(RecoveredRaw!$B:$B,$A121,RecoveredRaw!BD:BD)</f>
        <v>0</v>
      </c>
      <c r="BB121">
        <f>SUMIF(RecoveredRaw!$B:$B,$A121,RecoveredRaw!BE:BE)</f>
        <v>0</v>
      </c>
      <c r="BC121">
        <f>SUMIF(RecoveredRaw!$B:$B,$A121,RecoveredRaw!BF:BF)</f>
        <v>0</v>
      </c>
      <c r="BD121">
        <f>SUMIF(RecoveredRaw!$B:$B,$A121,RecoveredRaw!BG:BG)</f>
        <v>0</v>
      </c>
      <c r="BE121">
        <f>SUMIF(RecoveredRaw!$B:$B,$A121,RecoveredRaw!BH:BH)</f>
        <v>0</v>
      </c>
      <c r="BF121">
        <f>SUMIF(RecoveredRaw!$B:$B,$A121,RecoveredRaw!BI:BI)</f>
        <v>0</v>
      </c>
      <c r="BG121">
        <f>SUMIF(RecoveredRaw!$B:$B,$A121,RecoveredRaw!BJ:BJ)</f>
        <v>0</v>
      </c>
      <c r="BH121">
        <f>SUMIF(RecoveredRaw!$B:$B,$A121,RecoveredRaw!BK:BK)</f>
        <v>0</v>
      </c>
      <c r="BI121">
        <f>SUMIF(RecoveredRaw!$B:$B,$A121,RecoveredRaw!BL:BL)</f>
        <v>0</v>
      </c>
      <c r="BJ121">
        <f>SUMIF(RecoveredRaw!$B:$B,$A121,RecoveredRaw!BM:BM)</f>
        <v>0</v>
      </c>
      <c r="BK121">
        <f>SUMIF(RecoveredRaw!$B:$B,$A121,RecoveredRaw!BN:BN)</f>
        <v>0</v>
      </c>
      <c r="BL121">
        <f>SUMIF(RecoveredRaw!$B:$B,$A121,RecoveredRaw!BO:BO)</f>
        <v>0</v>
      </c>
      <c r="BM121">
        <f>SUMIF(RecoveredRaw!$B:$B,$A121,RecoveredRaw!BP:BP)</f>
        <v>0</v>
      </c>
      <c r="BN121">
        <f>SUMIF(RecoveredRaw!$B:$B,$A121,RecoveredRaw!BQ:BQ)</f>
        <v>0</v>
      </c>
      <c r="BO121">
        <f>SUMIF(RecoveredRaw!$B:$B,$A121,RecoveredRaw!BR:BR)</f>
        <v>0</v>
      </c>
      <c r="BP121">
        <f>SUMIF(RecoveredRaw!$B:$B,$A121,RecoveredRaw!BS:BS)</f>
        <v>0</v>
      </c>
      <c r="BQ121">
        <f>SUMIF(RecoveredRaw!$B:$B,$A121,RecoveredRaw!BT:BT)</f>
        <v>0</v>
      </c>
      <c r="BR121">
        <f>SUMIF(RecoveredRaw!$B:$B,$A121,RecoveredRaw!BU:BU)</f>
        <v>0</v>
      </c>
      <c r="BS121">
        <f>SUMIF(RecoveredRaw!$B:$B,$A121,RecoveredRaw!BV:BV)</f>
        <v>0</v>
      </c>
      <c r="BT121">
        <f>SUMIF(RecoveredRaw!$B:$B,$A121,RecoveredRaw!BW:BW)</f>
        <v>0</v>
      </c>
    </row>
    <row r="122" spans="1:72" ht="15" thickBot="1" x14ac:dyDescent="0.35">
      <c r="A122" s="4" t="s">
        <v>136</v>
      </c>
      <c r="B122">
        <f>SUMIF(RecoveredRaw!$B:$B,$A122,RecoveredRaw!E:E)</f>
        <v>0</v>
      </c>
      <c r="C122">
        <f>SUMIF(RecoveredRaw!$B:$B,$A122,RecoveredRaw!F:F)</f>
        <v>0</v>
      </c>
      <c r="D122">
        <f>SUMIF(RecoveredRaw!$B:$B,$A122,RecoveredRaw!G:G)</f>
        <v>0</v>
      </c>
      <c r="E122">
        <f>SUMIF(RecoveredRaw!$B:$B,$A122,RecoveredRaw!H:H)</f>
        <v>0</v>
      </c>
      <c r="F122">
        <f>SUMIF(RecoveredRaw!$B:$B,$A122,RecoveredRaw!I:I)</f>
        <v>0</v>
      </c>
      <c r="G122">
        <f>SUMIF(RecoveredRaw!$B:$B,$A122,RecoveredRaw!J:J)</f>
        <v>0</v>
      </c>
      <c r="H122">
        <f>SUMIF(RecoveredRaw!$B:$B,$A122,RecoveredRaw!K:K)</f>
        <v>0</v>
      </c>
      <c r="I122">
        <f>SUMIF(RecoveredRaw!$B:$B,$A122,RecoveredRaw!L:L)</f>
        <v>0</v>
      </c>
      <c r="J122">
        <f>SUMIF(RecoveredRaw!$B:$B,$A122,RecoveredRaw!M:M)</f>
        <v>0</v>
      </c>
      <c r="K122">
        <f>SUMIF(RecoveredRaw!$B:$B,$A122,RecoveredRaw!N:N)</f>
        <v>0</v>
      </c>
      <c r="L122">
        <f>SUMIF(RecoveredRaw!$B:$B,$A122,RecoveredRaw!O:O)</f>
        <v>0</v>
      </c>
      <c r="M122">
        <f>SUMIF(RecoveredRaw!$B:$B,$A122,RecoveredRaw!P:P)</f>
        <v>0</v>
      </c>
      <c r="N122">
        <f>SUMIF(RecoveredRaw!$B:$B,$A122,RecoveredRaw!Q:Q)</f>
        <v>0</v>
      </c>
      <c r="O122">
        <f>SUMIF(RecoveredRaw!$B:$B,$A122,RecoveredRaw!R:R)</f>
        <v>0</v>
      </c>
      <c r="P122">
        <f>SUMIF(RecoveredRaw!$B:$B,$A122,RecoveredRaw!S:S)</f>
        <v>0</v>
      </c>
      <c r="Q122">
        <f>SUMIF(RecoveredRaw!$B:$B,$A122,RecoveredRaw!T:T)</f>
        <v>0</v>
      </c>
      <c r="R122">
        <f>SUMIF(RecoveredRaw!$B:$B,$A122,RecoveredRaw!U:U)</f>
        <v>0</v>
      </c>
      <c r="S122">
        <f>SUMIF(RecoveredRaw!$B:$B,$A122,RecoveredRaw!V:V)</f>
        <v>0</v>
      </c>
      <c r="T122">
        <f>SUMIF(RecoveredRaw!$B:$B,$A122,RecoveredRaw!W:W)</f>
        <v>0</v>
      </c>
      <c r="U122">
        <f>SUMIF(RecoveredRaw!$B:$B,$A122,RecoveredRaw!X:X)</f>
        <v>0</v>
      </c>
      <c r="V122">
        <f>SUMIF(RecoveredRaw!$B:$B,$A122,RecoveredRaw!Y:Y)</f>
        <v>0</v>
      </c>
      <c r="W122">
        <f>SUMIF(RecoveredRaw!$B:$B,$A122,RecoveredRaw!Z:Z)</f>
        <v>0</v>
      </c>
      <c r="X122">
        <f>SUMIF(RecoveredRaw!$B:$B,$A122,RecoveredRaw!AA:AA)</f>
        <v>0</v>
      </c>
      <c r="Y122">
        <f>SUMIF(RecoveredRaw!$B:$B,$A122,RecoveredRaw!AB:AB)</f>
        <v>0</v>
      </c>
      <c r="Z122">
        <f>SUMIF(RecoveredRaw!$B:$B,$A122,RecoveredRaw!AC:AC)</f>
        <v>0</v>
      </c>
      <c r="AA122">
        <f>SUMIF(RecoveredRaw!$B:$B,$A122,RecoveredRaw!AD:AD)</f>
        <v>0</v>
      </c>
      <c r="AB122">
        <f>SUMIF(RecoveredRaw!$B:$B,$A122,RecoveredRaw!AE:AE)</f>
        <v>0</v>
      </c>
      <c r="AC122">
        <f>SUMIF(RecoveredRaw!$B:$B,$A122,RecoveredRaw!AF:AF)</f>
        <v>0</v>
      </c>
      <c r="AD122">
        <f>SUMIF(RecoveredRaw!$B:$B,$A122,RecoveredRaw!AG:AG)</f>
        <v>0</v>
      </c>
      <c r="AE122">
        <f>SUMIF(RecoveredRaw!$B:$B,$A122,RecoveredRaw!AH:AH)</f>
        <v>0</v>
      </c>
      <c r="AF122">
        <f>SUMIF(RecoveredRaw!$B:$B,$A122,RecoveredRaw!AI:AI)</f>
        <v>0</v>
      </c>
      <c r="AG122">
        <f>SUMIF(RecoveredRaw!$B:$B,$A122,RecoveredRaw!AJ:AJ)</f>
        <v>0</v>
      </c>
      <c r="AH122">
        <f>SUMIF(RecoveredRaw!$B:$B,$A122,RecoveredRaw!AK:AK)</f>
        <v>0</v>
      </c>
      <c r="AI122">
        <f>SUMIF(RecoveredRaw!$B:$B,$A122,RecoveredRaw!AL:AL)</f>
        <v>0</v>
      </c>
      <c r="AJ122">
        <f>SUMIF(RecoveredRaw!$B:$B,$A122,RecoveredRaw!AM:AM)</f>
        <v>0</v>
      </c>
      <c r="AK122">
        <f>SUMIF(RecoveredRaw!$B:$B,$A122,RecoveredRaw!AN:AN)</f>
        <v>0</v>
      </c>
      <c r="AL122">
        <f>SUMIF(RecoveredRaw!$B:$B,$A122,RecoveredRaw!AO:AO)</f>
        <v>0</v>
      </c>
      <c r="AM122">
        <f>SUMIF(RecoveredRaw!$B:$B,$A122,RecoveredRaw!AP:AP)</f>
        <v>0</v>
      </c>
      <c r="AN122">
        <f>SUMIF(RecoveredRaw!$B:$B,$A122,RecoveredRaw!AQ:AQ)</f>
        <v>0</v>
      </c>
      <c r="AO122">
        <f>SUMIF(RecoveredRaw!$B:$B,$A122,RecoveredRaw!AR:AR)</f>
        <v>0</v>
      </c>
      <c r="AP122">
        <f>SUMIF(RecoveredRaw!$B:$B,$A122,RecoveredRaw!AS:AS)</f>
        <v>0</v>
      </c>
      <c r="AQ122">
        <f>SUMIF(RecoveredRaw!$B:$B,$A122,RecoveredRaw!AT:AT)</f>
        <v>0</v>
      </c>
      <c r="AR122">
        <f>SUMIF(RecoveredRaw!$B:$B,$A122,RecoveredRaw!AU:AU)</f>
        <v>0</v>
      </c>
      <c r="AS122">
        <f>SUMIF(RecoveredRaw!$B:$B,$A122,RecoveredRaw!AV:AV)</f>
        <v>0</v>
      </c>
      <c r="AT122">
        <f>SUMIF(RecoveredRaw!$B:$B,$A122,RecoveredRaw!AW:AW)</f>
        <v>0</v>
      </c>
      <c r="AU122">
        <f>SUMIF(RecoveredRaw!$B:$B,$A122,RecoveredRaw!AX:AX)</f>
        <v>0</v>
      </c>
      <c r="AV122">
        <f>SUMIF(RecoveredRaw!$B:$B,$A122,RecoveredRaw!AY:AY)</f>
        <v>0</v>
      </c>
      <c r="AW122">
        <f>SUMIF(RecoveredRaw!$B:$B,$A122,RecoveredRaw!AZ:AZ)</f>
        <v>0</v>
      </c>
      <c r="AX122">
        <f>SUMIF(RecoveredRaw!$B:$B,$A122,RecoveredRaw!BA:BA)</f>
        <v>0</v>
      </c>
      <c r="AY122">
        <f>SUMIF(RecoveredRaw!$B:$B,$A122,RecoveredRaw!BB:BB)</f>
        <v>0</v>
      </c>
      <c r="AZ122">
        <f>SUMIF(RecoveredRaw!$B:$B,$A122,RecoveredRaw!BC:BC)</f>
        <v>0</v>
      </c>
      <c r="BA122">
        <f>SUMIF(RecoveredRaw!$B:$B,$A122,RecoveredRaw!BD:BD)</f>
        <v>0</v>
      </c>
      <c r="BB122">
        <f>SUMIF(RecoveredRaw!$B:$B,$A122,RecoveredRaw!BE:BE)</f>
        <v>0</v>
      </c>
      <c r="BC122">
        <f>SUMIF(RecoveredRaw!$B:$B,$A122,RecoveredRaw!BF:BF)</f>
        <v>0</v>
      </c>
      <c r="BD122">
        <f>SUMIF(RecoveredRaw!$B:$B,$A122,RecoveredRaw!BG:BG)</f>
        <v>0</v>
      </c>
      <c r="BE122">
        <f>SUMIF(RecoveredRaw!$B:$B,$A122,RecoveredRaw!BH:BH)</f>
        <v>0</v>
      </c>
      <c r="BF122">
        <f>SUMIF(RecoveredRaw!$B:$B,$A122,RecoveredRaw!BI:BI)</f>
        <v>0</v>
      </c>
      <c r="BG122">
        <f>SUMIF(RecoveredRaw!$B:$B,$A122,RecoveredRaw!BJ:BJ)</f>
        <v>0</v>
      </c>
      <c r="BH122">
        <f>SUMIF(RecoveredRaw!$B:$B,$A122,RecoveredRaw!BK:BK)</f>
        <v>0</v>
      </c>
      <c r="BI122">
        <f>SUMIF(RecoveredRaw!$B:$B,$A122,RecoveredRaw!BL:BL)</f>
        <v>0</v>
      </c>
      <c r="BJ122">
        <f>SUMIF(RecoveredRaw!$B:$B,$A122,RecoveredRaw!BM:BM)</f>
        <v>0</v>
      </c>
      <c r="BK122">
        <f>SUMIF(RecoveredRaw!$B:$B,$A122,RecoveredRaw!BN:BN)</f>
        <v>0</v>
      </c>
      <c r="BL122">
        <f>SUMIF(RecoveredRaw!$B:$B,$A122,RecoveredRaw!BO:BO)</f>
        <v>0</v>
      </c>
      <c r="BM122">
        <f>SUMIF(RecoveredRaw!$B:$B,$A122,RecoveredRaw!BP:BP)</f>
        <v>0</v>
      </c>
      <c r="BN122">
        <f>SUMIF(RecoveredRaw!$B:$B,$A122,RecoveredRaw!BQ:BQ)</f>
        <v>0</v>
      </c>
      <c r="BO122">
        <f>SUMIF(RecoveredRaw!$B:$B,$A122,RecoveredRaw!BR:BR)</f>
        <v>0</v>
      </c>
      <c r="BP122">
        <f>SUMIF(RecoveredRaw!$B:$B,$A122,RecoveredRaw!BS:BS)</f>
        <v>0</v>
      </c>
      <c r="BQ122">
        <f>SUMIF(RecoveredRaw!$B:$B,$A122,RecoveredRaw!BT:BT)</f>
        <v>0</v>
      </c>
      <c r="BR122">
        <f>SUMIF(RecoveredRaw!$B:$B,$A122,RecoveredRaw!BU:BU)</f>
        <v>0</v>
      </c>
      <c r="BS122">
        <f>SUMIF(RecoveredRaw!$B:$B,$A122,RecoveredRaw!BV:BV)</f>
        <v>0</v>
      </c>
      <c r="BT122">
        <f>SUMIF(RecoveredRaw!$B:$B,$A122,RecoveredRaw!BW:BW)</f>
        <v>0</v>
      </c>
    </row>
    <row r="123" spans="1:72" ht="15" thickBot="1" x14ac:dyDescent="0.35">
      <c r="A123" s="4" t="s">
        <v>282</v>
      </c>
      <c r="B123">
        <f>SUMIF(RecoveredRaw!$B:$B,$A123,RecoveredRaw!E:E)</f>
        <v>0</v>
      </c>
      <c r="C123">
        <f>SUMIF(RecoveredRaw!$B:$B,$A123,RecoveredRaw!F:F)</f>
        <v>0</v>
      </c>
      <c r="D123">
        <f>SUMIF(RecoveredRaw!$B:$B,$A123,RecoveredRaw!G:G)</f>
        <v>0</v>
      </c>
      <c r="E123">
        <f>SUMIF(RecoveredRaw!$B:$B,$A123,RecoveredRaw!H:H)</f>
        <v>0</v>
      </c>
      <c r="F123">
        <f>SUMIF(RecoveredRaw!$B:$B,$A123,RecoveredRaw!I:I)</f>
        <v>0</v>
      </c>
      <c r="G123">
        <f>SUMIF(RecoveredRaw!$B:$B,$A123,RecoveredRaw!J:J)</f>
        <v>0</v>
      </c>
      <c r="H123">
        <f>SUMIF(RecoveredRaw!$B:$B,$A123,RecoveredRaw!K:K)</f>
        <v>0</v>
      </c>
      <c r="I123">
        <f>SUMIF(RecoveredRaw!$B:$B,$A123,RecoveredRaw!L:L)</f>
        <v>0</v>
      </c>
      <c r="J123">
        <f>SUMIF(RecoveredRaw!$B:$B,$A123,RecoveredRaw!M:M)</f>
        <v>0</v>
      </c>
      <c r="K123">
        <f>SUMIF(RecoveredRaw!$B:$B,$A123,RecoveredRaw!N:N)</f>
        <v>0</v>
      </c>
      <c r="L123">
        <f>SUMIF(RecoveredRaw!$B:$B,$A123,RecoveredRaw!O:O)</f>
        <v>0</v>
      </c>
      <c r="M123">
        <f>SUMIF(RecoveredRaw!$B:$B,$A123,RecoveredRaw!P:P)</f>
        <v>0</v>
      </c>
      <c r="N123">
        <f>SUMIF(RecoveredRaw!$B:$B,$A123,RecoveredRaw!Q:Q)</f>
        <v>0</v>
      </c>
      <c r="O123">
        <f>SUMIF(RecoveredRaw!$B:$B,$A123,RecoveredRaw!R:R)</f>
        <v>0</v>
      </c>
      <c r="P123">
        <f>SUMIF(RecoveredRaw!$B:$B,$A123,RecoveredRaw!S:S)</f>
        <v>0</v>
      </c>
      <c r="Q123">
        <f>SUMIF(RecoveredRaw!$B:$B,$A123,RecoveredRaw!T:T)</f>
        <v>0</v>
      </c>
      <c r="R123">
        <f>SUMIF(RecoveredRaw!$B:$B,$A123,RecoveredRaw!U:U)</f>
        <v>0</v>
      </c>
      <c r="S123">
        <f>SUMIF(RecoveredRaw!$B:$B,$A123,RecoveredRaw!V:V)</f>
        <v>0</v>
      </c>
      <c r="T123">
        <f>SUMIF(RecoveredRaw!$B:$B,$A123,RecoveredRaw!W:W)</f>
        <v>0</v>
      </c>
      <c r="U123">
        <f>SUMIF(RecoveredRaw!$B:$B,$A123,RecoveredRaw!X:X)</f>
        <v>0</v>
      </c>
      <c r="V123">
        <f>SUMIF(RecoveredRaw!$B:$B,$A123,RecoveredRaw!Y:Y)</f>
        <v>0</v>
      </c>
      <c r="W123">
        <f>SUMIF(RecoveredRaw!$B:$B,$A123,RecoveredRaw!Z:Z)</f>
        <v>0</v>
      </c>
      <c r="X123">
        <f>SUMIF(RecoveredRaw!$B:$B,$A123,RecoveredRaw!AA:AA)</f>
        <v>0</v>
      </c>
      <c r="Y123">
        <f>SUMIF(RecoveredRaw!$B:$B,$A123,RecoveredRaw!AB:AB)</f>
        <v>0</v>
      </c>
      <c r="Z123">
        <f>SUMIF(RecoveredRaw!$B:$B,$A123,RecoveredRaw!AC:AC)</f>
        <v>0</v>
      </c>
      <c r="AA123">
        <f>SUMIF(RecoveredRaw!$B:$B,$A123,RecoveredRaw!AD:AD)</f>
        <v>0</v>
      </c>
      <c r="AB123">
        <f>SUMIF(RecoveredRaw!$B:$B,$A123,RecoveredRaw!AE:AE)</f>
        <v>0</v>
      </c>
      <c r="AC123">
        <f>SUMIF(RecoveredRaw!$B:$B,$A123,RecoveredRaw!AF:AF)</f>
        <v>0</v>
      </c>
      <c r="AD123">
        <f>SUMIF(RecoveredRaw!$B:$B,$A123,RecoveredRaw!AG:AG)</f>
        <v>0</v>
      </c>
      <c r="AE123">
        <f>SUMIF(RecoveredRaw!$B:$B,$A123,RecoveredRaw!AH:AH)</f>
        <v>0</v>
      </c>
      <c r="AF123">
        <f>SUMIF(RecoveredRaw!$B:$B,$A123,RecoveredRaw!AI:AI)</f>
        <v>0</v>
      </c>
      <c r="AG123">
        <f>SUMIF(RecoveredRaw!$B:$B,$A123,RecoveredRaw!AJ:AJ)</f>
        <v>0</v>
      </c>
      <c r="AH123">
        <f>SUMIF(RecoveredRaw!$B:$B,$A123,RecoveredRaw!AK:AK)</f>
        <v>0</v>
      </c>
      <c r="AI123">
        <f>SUMIF(RecoveredRaw!$B:$B,$A123,RecoveredRaw!AL:AL)</f>
        <v>0</v>
      </c>
      <c r="AJ123">
        <f>SUMIF(RecoveredRaw!$B:$B,$A123,RecoveredRaw!AM:AM)</f>
        <v>0</v>
      </c>
      <c r="AK123">
        <f>SUMIF(RecoveredRaw!$B:$B,$A123,RecoveredRaw!AN:AN)</f>
        <v>0</v>
      </c>
      <c r="AL123">
        <f>SUMIF(RecoveredRaw!$B:$B,$A123,RecoveredRaw!AO:AO)</f>
        <v>0</v>
      </c>
      <c r="AM123">
        <f>SUMIF(RecoveredRaw!$B:$B,$A123,RecoveredRaw!AP:AP)</f>
        <v>0</v>
      </c>
      <c r="AN123">
        <f>SUMIF(RecoveredRaw!$B:$B,$A123,RecoveredRaw!AQ:AQ)</f>
        <v>0</v>
      </c>
      <c r="AO123">
        <f>SUMIF(RecoveredRaw!$B:$B,$A123,RecoveredRaw!AR:AR)</f>
        <v>0</v>
      </c>
      <c r="AP123">
        <f>SUMIF(RecoveredRaw!$B:$B,$A123,RecoveredRaw!AS:AS)</f>
        <v>0</v>
      </c>
      <c r="AQ123">
        <f>SUMIF(RecoveredRaw!$B:$B,$A123,RecoveredRaw!AT:AT)</f>
        <v>0</v>
      </c>
      <c r="AR123">
        <f>SUMIF(RecoveredRaw!$B:$B,$A123,RecoveredRaw!AU:AU)</f>
        <v>0</v>
      </c>
      <c r="AS123">
        <f>SUMIF(RecoveredRaw!$B:$B,$A123,RecoveredRaw!AV:AV)</f>
        <v>0</v>
      </c>
      <c r="AT123">
        <f>SUMIF(RecoveredRaw!$B:$B,$A123,RecoveredRaw!AW:AW)</f>
        <v>0</v>
      </c>
      <c r="AU123">
        <f>SUMIF(RecoveredRaw!$B:$B,$A123,RecoveredRaw!AX:AX)</f>
        <v>0</v>
      </c>
      <c r="AV123">
        <f>SUMIF(RecoveredRaw!$B:$B,$A123,RecoveredRaw!AY:AY)</f>
        <v>0</v>
      </c>
      <c r="AW123">
        <f>SUMIF(RecoveredRaw!$B:$B,$A123,RecoveredRaw!AZ:AZ)</f>
        <v>0</v>
      </c>
      <c r="AX123">
        <f>SUMIF(RecoveredRaw!$B:$B,$A123,RecoveredRaw!BA:BA)</f>
        <v>0</v>
      </c>
      <c r="AY123">
        <f>SUMIF(RecoveredRaw!$B:$B,$A123,RecoveredRaw!BB:BB)</f>
        <v>0</v>
      </c>
      <c r="AZ123">
        <f>SUMIF(RecoveredRaw!$B:$B,$A123,RecoveredRaw!BC:BC)</f>
        <v>0</v>
      </c>
      <c r="BA123">
        <f>SUMIF(RecoveredRaw!$B:$B,$A123,RecoveredRaw!BD:BD)</f>
        <v>0</v>
      </c>
      <c r="BB123">
        <f>SUMIF(RecoveredRaw!$B:$B,$A123,RecoveredRaw!BE:BE)</f>
        <v>0</v>
      </c>
      <c r="BC123">
        <f>SUMIF(RecoveredRaw!$B:$B,$A123,RecoveredRaw!BF:BF)</f>
        <v>0</v>
      </c>
      <c r="BD123">
        <f>SUMIF(RecoveredRaw!$B:$B,$A123,RecoveredRaw!BG:BG)</f>
        <v>0</v>
      </c>
      <c r="BE123">
        <f>SUMIF(RecoveredRaw!$B:$B,$A123,RecoveredRaw!BH:BH)</f>
        <v>0</v>
      </c>
      <c r="BF123">
        <f>SUMIF(RecoveredRaw!$B:$B,$A123,RecoveredRaw!BI:BI)</f>
        <v>0</v>
      </c>
      <c r="BG123">
        <f>SUMIF(RecoveredRaw!$B:$B,$A123,RecoveredRaw!BJ:BJ)</f>
        <v>0</v>
      </c>
      <c r="BH123">
        <f>SUMIF(RecoveredRaw!$B:$B,$A123,RecoveredRaw!BK:BK)</f>
        <v>0</v>
      </c>
      <c r="BI123">
        <f>SUMIF(RecoveredRaw!$B:$B,$A123,RecoveredRaw!BL:BL)</f>
        <v>0</v>
      </c>
      <c r="BJ123">
        <f>SUMIF(RecoveredRaw!$B:$B,$A123,RecoveredRaw!BM:BM)</f>
        <v>0</v>
      </c>
      <c r="BK123">
        <f>SUMIF(RecoveredRaw!$B:$B,$A123,RecoveredRaw!BN:BN)</f>
        <v>0</v>
      </c>
      <c r="BL123">
        <f>SUMIF(RecoveredRaw!$B:$B,$A123,RecoveredRaw!BO:BO)</f>
        <v>0</v>
      </c>
      <c r="BM123">
        <f>SUMIF(RecoveredRaw!$B:$B,$A123,RecoveredRaw!BP:BP)</f>
        <v>0</v>
      </c>
      <c r="BN123">
        <f>SUMIF(RecoveredRaw!$B:$B,$A123,RecoveredRaw!BQ:BQ)</f>
        <v>0</v>
      </c>
      <c r="BO123">
        <f>SUMIF(RecoveredRaw!$B:$B,$A123,RecoveredRaw!BR:BR)</f>
        <v>0</v>
      </c>
      <c r="BP123">
        <f>SUMIF(RecoveredRaw!$B:$B,$A123,RecoveredRaw!BS:BS)</f>
        <v>0</v>
      </c>
      <c r="BQ123">
        <f>SUMIF(RecoveredRaw!$B:$B,$A123,RecoveredRaw!BT:BT)</f>
        <v>0</v>
      </c>
      <c r="BR123">
        <f>SUMIF(RecoveredRaw!$B:$B,$A123,RecoveredRaw!BU:BU)</f>
        <v>0</v>
      </c>
      <c r="BS123">
        <f>SUMIF(RecoveredRaw!$B:$B,$A123,RecoveredRaw!BV:BV)</f>
        <v>0</v>
      </c>
      <c r="BT123">
        <f>SUMIF(RecoveredRaw!$B:$B,$A123,RecoveredRaw!BW:BW)</f>
        <v>0</v>
      </c>
    </row>
    <row r="124" spans="1:72" ht="15" thickBot="1" x14ac:dyDescent="0.35">
      <c r="A124" s="4" t="s">
        <v>42</v>
      </c>
      <c r="B124">
        <f>SUMIF(RecoveredRaw!$B:$B,$A124,RecoveredRaw!E:E)</f>
        <v>0</v>
      </c>
      <c r="C124">
        <f>SUMIF(RecoveredRaw!$B:$B,$A124,RecoveredRaw!F:F)</f>
        <v>0</v>
      </c>
      <c r="D124">
        <f>SUMIF(RecoveredRaw!$B:$B,$A124,RecoveredRaw!G:G)</f>
        <v>0</v>
      </c>
      <c r="E124">
        <f>SUMIF(RecoveredRaw!$B:$B,$A124,RecoveredRaw!H:H)</f>
        <v>0</v>
      </c>
      <c r="F124">
        <f>SUMIF(RecoveredRaw!$B:$B,$A124,RecoveredRaw!I:I)</f>
        <v>0</v>
      </c>
      <c r="G124">
        <f>SUMIF(RecoveredRaw!$B:$B,$A124,RecoveredRaw!J:J)</f>
        <v>0</v>
      </c>
      <c r="H124">
        <f>SUMIF(RecoveredRaw!$B:$B,$A124,RecoveredRaw!K:K)</f>
        <v>0</v>
      </c>
      <c r="I124">
        <f>SUMIF(RecoveredRaw!$B:$B,$A124,RecoveredRaw!L:L)</f>
        <v>0</v>
      </c>
      <c r="J124">
        <f>SUMIF(RecoveredRaw!$B:$B,$A124,RecoveredRaw!M:M)</f>
        <v>0</v>
      </c>
      <c r="K124">
        <f>SUMIF(RecoveredRaw!$B:$B,$A124,RecoveredRaw!N:N)</f>
        <v>0</v>
      </c>
      <c r="L124">
        <f>SUMIF(RecoveredRaw!$B:$B,$A124,RecoveredRaw!O:O)</f>
        <v>0</v>
      </c>
      <c r="M124">
        <f>SUMIF(RecoveredRaw!$B:$B,$A124,RecoveredRaw!P:P)</f>
        <v>0</v>
      </c>
      <c r="N124">
        <f>SUMIF(RecoveredRaw!$B:$B,$A124,RecoveredRaw!Q:Q)</f>
        <v>0</v>
      </c>
      <c r="O124">
        <f>SUMIF(RecoveredRaw!$B:$B,$A124,RecoveredRaw!R:R)</f>
        <v>0</v>
      </c>
      <c r="P124">
        <f>SUMIF(RecoveredRaw!$B:$B,$A124,RecoveredRaw!S:S)</f>
        <v>0</v>
      </c>
      <c r="Q124">
        <f>SUMIF(RecoveredRaw!$B:$B,$A124,RecoveredRaw!T:T)</f>
        <v>0</v>
      </c>
      <c r="R124">
        <f>SUMIF(RecoveredRaw!$B:$B,$A124,RecoveredRaw!U:U)</f>
        <v>0</v>
      </c>
      <c r="S124">
        <f>SUMIF(RecoveredRaw!$B:$B,$A124,RecoveredRaw!V:V)</f>
        <v>0</v>
      </c>
      <c r="T124">
        <f>SUMIF(RecoveredRaw!$B:$B,$A124,RecoveredRaw!W:W)</f>
        <v>0</v>
      </c>
      <c r="U124">
        <f>SUMIF(RecoveredRaw!$B:$B,$A124,RecoveredRaw!X:X)</f>
        <v>0</v>
      </c>
      <c r="V124">
        <f>SUMIF(RecoveredRaw!$B:$B,$A124,RecoveredRaw!Y:Y)</f>
        <v>0</v>
      </c>
      <c r="W124">
        <f>SUMIF(RecoveredRaw!$B:$B,$A124,RecoveredRaw!Z:Z)</f>
        <v>1</v>
      </c>
      <c r="X124">
        <f>SUMIF(RecoveredRaw!$B:$B,$A124,RecoveredRaw!AA:AA)</f>
        <v>1</v>
      </c>
      <c r="Y124">
        <f>SUMIF(RecoveredRaw!$B:$B,$A124,RecoveredRaw!AB:AB)</f>
        <v>1</v>
      </c>
      <c r="Z124">
        <f>SUMIF(RecoveredRaw!$B:$B,$A124,RecoveredRaw!AC:AC)</f>
        <v>1</v>
      </c>
      <c r="AA124">
        <f>SUMIF(RecoveredRaw!$B:$B,$A124,RecoveredRaw!AD:AD)</f>
        <v>1</v>
      </c>
      <c r="AB124">
        <f>SUMIF(RecoveredRaw!$B:$B,$A124,RecoveredRaw!AE:AE)</f>
        <v>1</v>
      </c>
      <c r="AC124">
        <f>SUMIF(RecoveredRaw!$B:$B,$A124,RecoveredRaw!AF:AF)</f>
        <v>1</v>
      </c>
      <c r="AD124">
        <f>SUMIF(RecoveredRaw!$B:$B,$A124,RecoveredRaw!AG:AG)</f>
        <v>1</v>
      </c>
      <c r="AE124">
        <f>SUMIF(RecoveredRaw!$B:$B,$A124,RecoveredRaw!AH:AH)</f>
        <v>1</v>
      </c>
      <c r="AF124">
        <f>SUMIF(RecoveredRaw!$B:$B,$A124,RecoveredRaw!AI:AI)</f>
        <v>1</v>
      </c>
      <c r="AG124">
        <f>SUMIF(RecoveredRaw!$B:$B,$A124,RecoveredRaw!AJ:AJ)</f>
        <v>1</v>
      </c>
      <c r="AH124">
        <f>SUMIF(RecoveredRaw!$B:$B,$A124,RecoveredRaw!AK:AK)</f>
        <v>1</v>
      </c>
      <c r="AI124">
        <f>SUMIF(RecoveredRaw!$B:$B,$A124,RecoveredRaw!AL:AL)</f>
        <v>1</v>
      </c>
      <c r="AJ124">
        <f>SUMIF(RecoveredRaw!$B:$B,$A124,RecoveredRaw!AM:AM)</f>
        <v>1</v>
      </c>
      <c r="AK124">
        <f>SUMIF(RecoveredRaw!$B:$B,$A124,RecoveredRaw!AN:AN)</f>
        <v>1</v>
      </c>
      <c r="AL124">
        <f>SUMIF(RecoveredRaw!$B:$B,$A124,RecoveredRaw!AO:AO)</f>
        <v>1</v>
      </c>
      <c r="AM124">
        <f>SUMIF(RecoveredRaw!$B:$B,$A124,RecoveredRaw!AP:AP)</f>
        <v>1</v>
      </c>
      <c r="AN124">
        <f>SUMIF(RecoveredRaw!$B:$B,$A124,RecoveredRaw!AQ:AQ)</f>
        <v>1</v>
      </c>
      <c r="AO124">
        <f>SUMIF(RecoveredRaw!$B:$B,$A124,RecoveredRaw!AR:AR)</f>
        <v>1</v>
      </c>
      <c r="AP124">
        <f>SUMIF(RecoveredRaw!$B:$B,$A124,RecoveredRaw!AS:AS)</f>
        <v>1</v>
      </c>
      <c r="AQ124">
        <f>SUMIF(RecoveredRaw!$B:$B,$A124,RecoveredRaw!AT:AT)</f>
        <v>1</v>
      </c>
      <c r="AR124">
        <f>SUMIF(RecoveredRaw!$B:$B,$A124,RecoveredRaw!AU:AU)</f>
        <v>1</v>
      </c>
      <c r="AS124">
        <f>SUMIF(RecoveredRaw!$B:$B,$A124,RecoveredRaw!AV:AV)</f>
        <v>1</v>
      </c>
      <c r="AT124">
        <f>SUMIF(RecoveredRaw!$B:$B,$A124,RecoveredRaw!AW:AW)</f>
        <v>1</v>
      </c>
      <c r="AU124">
        <f>SUMIF(RecoveredRaw!$B:$B,$A124,RecoveredRaw!AX:AX)</f>
        <v>1</v>
      </c>
      <c r="AV124">
        <f>SUMIF(RecoveredRaw!$B:$B,$A124,RecoveredRaw!AY:AY)</f>
        <v>1</v>
      </c>
      <c r="AW124">
        <f>SUMIF(RecoveredRaw!$B:$B,$A124,RecoveredRaw!AZ:AZ)</f>
        <v>1</v>
      </c>
      <c r="AX124">
        <f>SUMIF(RecoveredRaw!$B:$B,$A124,RecoveredRaw!BA:BA)</f>
        <v>1</v>
      </c>
      <c r="AY124">
        <f>SUMIF(RecoveredRaw!$B:$B,$A124,RecoveredRaw!BB:BB)</f>
        <v>1</v>
      </c>
      <c r="AZ124">
        <f>SUMIF(RecoveredRaw!$B:$B,$A124,RecoveredRaw!BC:BC)</f>
        <v>1</v>
      </c>
      <c r="BA124">
        <f>SUMIF(RecoveredRaw!$B:$B,$A124,RecoveredRaw!BD:BD)</f>
        <v>1</v>
      </c>
      <c r="BB124">
        <f>SUMIF(RecoveredRaw!$B:$B,$A124,RecoveredRaw!BE:BE)</f>
        <v>1</v>
      </c>
      <c r="BC124">
        <f>SUMIF(RecoveredRaw!$B:$B,$A124,RecoveredRaw!BF:BF)</f>
        <v>1</v>
      </c>
      <c r="BD124">
        <f>SUMIF(RecoveredRaw!$B:$B,$A124,RecoveredRaw!BG:BG)</f>
        <v>1</v>
      </c>
      <c r="BE124">
        <f>SUMIF(RecoveredRaw!$B:$B,$A124,RecoveredRaw!BH:BH)</f>
        <v>1</v>
      </c>
      <c r="BF124">
        <f>SUMIF(RecoveredRaw!$B:$B,$A124,RecoveredRaw!BI:BI)</f>
        <v>1</v>
      </c>
      <c r="BG124">
        <f>SUMIF(RecoveredRaw!$B:$B,$A124,RecoveredRaw!BJ:BJ)</f>
        <v>0</v>
      </c>
      <c r="BH124">
        <f>SUMIF(RecoveredRaw!$B:$B,$A124,RecoveredRaw!BK:BK)</f>
        <v>0</v>
      </c>
      <c r="BI124">
        <f>SUMIF(RecoveredRaw!$B:$B,$A124,RecoveredRaw!BL:BL)</f>
        <v>0</v>
      </c>
      <c r="BJ124">
        <f>SUMIF(RecoveredRaw!$B:$B,$A124,RecoveredRaw!BM:BM)</f>
        <v>0</v>
      </c>
      <c r="BK124">
        <f>SUMIF(RecoveredRaw!$B:$B,$A124,RecoveredRaw!BN:BN)</f>
        <v>0</v>
      </c>
      <c r="BL124">
        <f>SUMIF(RecoveredRaw!$B:$B,$A124,RecoveredRaw!BO:BO)</f>
        <v>0</v>
      </c>
      <c r="BM124">
        <f>SUMIF(RecoveredRaw!$B:$B,$A124,RecoveredRaw!BP:BP)</f>
        <v>0</v>
      </c>
      <c r="BN124">
        <f>SUMIF(RecoveredRaw!$B:$B,$A124,RecoveredRaw!BQ:BQ)</f>
        <v>0</v>
      </c>
      <c r="BO124">
        <f>SUMIF(RecoveredRaw!$B:$B,$A124,RecoveredRaw!BR:BR)</f>
        <v>0</v>
      </c>
      <c r="BP124">
        <f>SUMIF(RecoveredRaw!$B:$B,$A124,RecoveredRaw!BS:BS)</f>
        <v>0</v>
      </c>
      <c r="BQ124">
        <f>SUMIF(RecoveredRaw!$B:$B,$A124,RecoveredRaw!BT:BT)</f>
        <v>0</v>
      </c>
      <c r="BR124">
        <f>SUMIF(RecoveredRaw!$B:$B,$A124,RecoveredRaw!BU:BU)</f>
        <v>0</v>
      </c>
      <c r="BS124">
        <f>SUMIF(RecoveredRaw!$B:$B,$A124,RecoveredRaw!BV:BV)</f>
        <v>0</v>
      </c>
      <c r="BT124">
        <f>SUMIF(RecoveredRaw!$B:$B,$A124,RecoveredRaw!BW:BW)</f>
        <v>0</v>
      </c>
    </row>
    <row r="125" spans="1:72" ht="15" thickBot="1" x14ac:dyDescent="0.35">
      <c r="A125" s="3" t="s">
        <v>420</v>
      </c>
      <c r="B125">
        <f>SUMIF(RecoveredRaw!$B:$B,$A125,RecoveredRaw!E:E)</f>
        <v>0</v>
      </c>
      <c r="C125">
        <f>SUMIF(RecoveredRaw!$B:$B,$A125,RecoveredRaw!F:F)</f>
        <v>0</v>
      </c>
      <c r="D125">
        <f>SUMIF(RecoveredRaw!$B:$B,$A125,RecoveredRaw!G:G)</f>
        <v>0</v>
      </c>
      <c r="E125">
        <f>SUMIF(RecoveredRaw!$B:$B,$A125,RecoveredRaw!H:H)</f>
        <v>0</v>
      </c>
      <c r="F125">
        <f>SUMIF(RecoveredRaw!$B:$B,$A125,RecoveredRaw!I:I)</f>
        <v>0</v>
      </c>
      <c r="G125">
        <f>SUMIF(RecoveredRaw!$B:$B,$A125,RecoveredRaw!J:J)</f>
        <v>0</v>
      </c>
      <c r="H125">
        <f>SUMIF(RecoveredRaw!$B:$B,$A125,RecoveredRaw!K:K)</f>
        <v>0</v>
      </c>
      <c r="I125">
        <f>SUMIF(RecoveredRaw!$B:$B,$A125,RecoveredRaw!L:L)</f>
        <v>0</v>
      </c>
      <c r="J125">
        <f>SUMIF(RecoveredRaw!$B:$B,$A125,RecoveredRaw!M:M)</f>
        <v>0</v>
      </c>
      <c r="K125">
        <f>SUMIF(RecoveredRaw!$B:$B,$A125,RecoveredRaw!N:N)</f>
        <v>0</v>
      </c>
      <c r="L125">
        <f>SUMIF(RecoveredRaw!$B:$B,$A125,RecoveredRaw!O:O)</f>
        <v>0</v>
      </c>
      <c r="M125">
        <f>SUMIF(RecoveredRaw!$B:$B,$A125,RecoveredRaw!P:P)</f>
        <v>0</v>
      </c>
      <c r="N125">
        <f>SUMIF(RecoveredRaw!$B:$B,$A125,RecoveredRaw!Q:Q)</f>
        <v>0</v>
      </c>
      <c r="O125">
        <f>SUMIF(RecoveredRaw!$B:$B,$A125,RecoveredRaw!R:R)</f>
        <v>0</v>
      </c>
      <c r="P125">
        <f>SUMIF(RecoveredRaw!$B:$B,$A125,RecoveredRaw!S:S)</f>
        <v>0</v>
      </c>
      <c r="Q125">
        <f>SUMIF(RecoveredRaw!$B:$B,$A125,RecoveredRaw!T:T)</f>
        <v>0</v>
      </c>
      <c r="R125">
        <f>SUMIF(RecoveredRaw!$B:$B,$A125,RecoveredRaw!U:U)</f>
        <v>0</v>
      </c>
      <c r="S125">
        <f>SUMIF(RecoveredRaw!$B:$B,$A125,RecoveredRaw!V:V)</f>
        <v>0</v>
      </c>
      <c r="T125">
        <f>SUMIF(RecoveredRaw!$B:$B,$A125,RecoveredRaw!W:W)</f>
        <v>0</v>
      </c>
      <c r="U125">
        <f>SUMIF(RecoveredRaw!$B:$B,$A125,RecoveredRaw!X:X)</f>
        <v>0</v>
      </c>
      <c r="V125">
        <f>SUMIF(RecoveredRaw!$B:$B,$A125,RecoveredRaw!Y:Y)</f>
        <v>0</v>
      </c>
      <c r="W125">
        <f>SUMIF(RecoveredRaw!$B:$B,$A125,RecoveredRaw!Z:Z)</f>
        <v>0</v>
      </c>
      <c r="X125">
        <f>SUMIF(RecoveredRaw!$B:$B,$A125,RecoveredRaw!AA:AA)</f>
        <v>0</v>
      </c>
      <c r="Y125">
        <f>SUMIF(RecoveredRaw!$B:$B,$A125,RecoveredRaw!AB:AB)</f>
        <v>0</v>
      </c>
      <c r="Z125">
        <f>SUMIF(RecoveredRaw!$B:$B,$A125,RecoveredRaw!AC:AC)</f>
        <v>0</v>
      </c>
      <c r="AA125">
        <f>SUMIF(RecoveredRaw!$B:$B,$A125,RecoveredRaw!AD:AD)</f>
        <v>0</v>
      </c>
      <c r="AB125">
        <f>SUMIF(RecoveredRaw!$B:$B,$A125,RecoveredRaw!AE:AE)</f>
        <v>0</v>
      </c>
      <c r="AC125">
        <f>SUMIF(RecoveredRaw!$B:$B,$A125,RecoveredRaw!AF:AF)</f>
        <v>0</v>
      </c>
      <c r="AD125">
        <f>SUMIF(RecoveredRaw!$B:$B,$A125,RecoveredRaw!AG:AG)</f>
        <v>0</v>
      </c>
      <c r="AE125">
        <f>SUMIF(RecoveredRaw!$B:$B,$A125,RecoveredRaw!AH:AH)</f>
        <v>0</v>
      </c>
      <c r="AF125">
        <f>SUMIF(RecoveredRaw!$B:$B,$A125,RecoveredRaw!AI:AI)</f>
        <v>0</v>
      </c>
      <c r="AG125">
        <f>SUMIF(RecoveredRaw!$B:$B,$A125,RecoveredRaw!AJ:AJ)</f>
        <v>0</v>
      </c>
      <c r="AH125">
        <f>SUMIF(RecoveredRaw!$B:$B,$A125,RecoveredRaw!AK:AK)</f>
        <v>0</v>
      </c>
      <c r="AI125">
        <f>SUMIF(RecoveredRaw!$B:$B,$A125,RecoveredRaw!AL:AL)</f>
        <v>0</v>
      </c>
      <c r="AJ125">
        <f>SUMIF(RecoveredRaw!$B:$B,$A125,RecoveredRaw!AM:AM)</f>
        <v>0</v>
      </c>
      <c r="AK125">
        <f>SUMIF(RecoveredRaw!$B:$B,$A125,RecoveredRaw!AN:AN)</f>
        <v>0</v>
      </c>
      <c r="AL125">
        <f>SUMIF(RecoveredRaw!$B:$B,$A125,RecoveredRaw!AO:AO)</f>
        <v>0</v>
      </c>
      <c r="AM125">
        <f>SUMIF(RecoveredRaw!$B:$B,$A125,RecoveredRaw!AP:AP)</f>
        <v>0</v>
      </c>
      <c r="AN125">
        <f>SUMIF(RecoveredRaw!$B:$B,$A125,RecoveredRaw!AQ:AQ)</f>
        <v>0</v>
      </c>
      <c r="AO125">
        <f>SUMIF(RecoveredRaw!$B:$B,$A125,RecoveredRaw!AR:AR)</f>
        <v>0</v>
      </c>
      <c r="AP125">
        <f>SUMIF(RecoveredRaw!$B:$B,$A125,RecoveredRaw!AS:AS)</f>
        <v>0</v>
      </c>
      <c r="AQ125">
        <f>SUMIF(RecoveredRaw!$B:$B,$A125,RecoveredRaw!AT:AT)</f>
        <v>0</v>
      </c>
      <c r="AR125">
        <f>SUMIF(RecoveredRaw!$B:$B,$A125,RecoveredRaw!AU:AU)</f>
        <v>0</v>
      </c>
      <c r="AS125">
        <f>SUMIF(RecoveredRaw!$B:$B,$A125,RecoveredRaw!AV:AV)</f>
        <v>0</v>
      </c>
      <c r="AT125">
        <f>SUMIF(RecoveredRaw!$B:$B,$A125,RecoveredRaw!AW:AW)</f>
        <v>0</v>
      </c>
      <c r="AU125">
        <f>SUMIF(RecoveredRaw!$B:$B,$A125,RecoveredRaw!AX:AX)</f>
        <v>0</v>
      </c>
      <c r="AV125">
        <f>SUMIF(RecoveredRaw!$B:$B,$A125,RecoveredRaw!AY:AY)</f>
        <v>0</v>
      </c>
      <c r="AW125">
        <f>SUMIF(RecoveredRaw!$B:$B,$A125,RecoveredRaw!AZ:AZ)</f>
        <v>0</v>
      </c>
      <c r="AX125">
        <f>SUMIF(RecoveredRaw!$B:$B,$A125,RecoveredRaw!BA:BA)</f>
        <v>0</v>
      </c>
      <c r="AY125">
        <f>SUMIF(RecoveredRaw!$B:$B,$A125,RecoveredRaw!BB:BB)</f>
        <v>0</v>
      </c>
      <c r="AZ125">
        <f>SUMIF(RecoveredRaw!$B:$B,$A125,RecoveredRaw!BC:BC)</f>
        <v>0</v>
      </c>
      <c r="BA125">
        <f>SUMIF(RecoveredRaw!$B:$B,$A125,RecoveredRaw!BD:BD)</f>
        <v>0</v>
      </c>
      <c r="BB125">
        <f>SUMIF(RecoveredRaw!$B:$B,$A125,RecoveredRaw!BE:BE)</f>
        <v>0</v>
      </c>
      <c r="BC125">
        <f>SUMIF(RecoveredRaw!$B:$B,$A125,RecoveredRaw!BF:BF)</f>
        <v>0</v>
      </c>
      <c r="BD125">
        <f>SUMIF(RecoveredRaw!$B:$B,$A125,RecoveredRaw!BG:BG)</f>
        <v>0</v>
      </c>
      <c r="BE125">
        <f>SUMIF(RecoveredRaw!$B:$B,$A125,RecoveredRaw!BH:BH)</f>
        <v>0</v>
      </c>
      <c r="BF125">
        <f>SUMIF(RecoveredRaw!$B:$B,$A125,RecoveredRaw!BI:BI)</f>
        <v>0</v>
      </c>
      <c r="BG125">
        <f>SUMIF(RecoveredRaw!$B:$B,$A125,RecoveredRaw!BJ:BJ)</f>
        <v>0</v>
      </c>
      <c r="BH125">
        <f>SUMIF(RecoveredRaw!$B:$B,$A125,RecoveredRaw!BK:BK)</f>
        <v>0</v>
      </c>
      <c r="BI125">
        <f>SUMIF(RecoveredRaw!$B:$B,$A125,RecoveredRaw!BL:BL)</f>
        <v>0</v>
      </c>
      <c r="BJ125">
        <f>SUMIF(RecoveredRaw!$B:$B,$A125,RecoveredRaw!BM:BM)</f>
        <v>0</v>
      </c>
      <c r="BK125">
        <f>SUMIF(RecoveredRaw!$B:$B,$A125,RecoveredRaw!BN:BN)</f>
        <v>0</v>
      </c>
      <c r="BL125">
        <f>SUMIF(RecoveredRaw!$B:$B,$A125,RecoveredRaw!BO:BO)</f>
        <v>0</v>
      </c>
      <c r="BM125">
        <f>SUMIF(RecoveredRaw!$B:$B,$A125,RecoveredRaw!BP:BP)</f>
        <v>0</v>
      </c>
      <c r="BN125">
        <f>SUMIF(RecoveredRaw!$B:$B,$A125,RecoveredRaw!BQ:BQ)</f>
        <v>0</v>
      </c>
      <c r="BO125">
        <f>SUMIF(RecoveredRaw!$B:$B,$A125,RecoveredRaw!BR:BR)</f>
        <v>0</v>
      </c>
      <c r="BP125">
        <f>SUMIF(RecoveredRaw!$B:$B,$A125,RecoveredRaw!BS:BS)</f>
        <v>0</v>
      </c>
      <c r="BQ125">
        <f>SUMIF(RecoveredRaw!$B:$B,$A125,RecoveredRaw!BT:BT)</f>
        <v>0</v>
      </c>
      <c r="BR125">
        <f>SUMIF(RecoveredRaw!$B:$B,$A125,RecoveredRaw!BU:BU)</f>
        <v>0</v>
      </c>
      <c r="BS125">
        <f>SUMIF(RecoveredRaw!$B:$B,$A125,RecoveredRaw!BV:BV)</f>
        <v>0</v>
      </c>
      <c r="BT125">
        <f>SUMIF(RecoveredRaw!$B:$B,$A125,RecoveredRaw!BW:BW)</f>
        <v>0</v>
      </c>
    </row>
    <row r="126" spans="1:72" ht="15" thickBot="1" x14ac:dyDescent="0.35">
      <c r="A126" s="3" t="s">
        <v>163</v>
      </c>
      <c r="B126">
        <f>SUMIF(RecoveredRaw!$B:$B,$A126,RecoveredRaw!E:E)</f>
        <v>0</v>
      </c>
      <c r="C126">
        <f>SUMIF(RecoveredRaw!$B:$B,$A126,RecoveredRaw!F:F)</f>
        <v>0</v>
      </c>
      <c r="D126">
        <f>SUMIF(RecoveredRaw!$B:$B,$A126,RecoveredRaw!G:G)</f>
        <v>0</v>
      </c>
      <c r="E126">
        <f>SUMIF(RecoveredRaw!$B:$B,$A126,RecoveredRaw!H:H)</f>
        <v>0</v>
      </c>
      <c r="F126">
        <f>SUMIF(RecoveredRaw!$B:$B,$A126,RecoveredRaw!I:I)</f>
        <v>0</v>
      </c>
      <c r="G126">
        <f>SUMIF(RecoveredRaw!$B:$B,$A126,RecoveredRaw!J:J)</f>
        <v>0</v>
      </c>
      <c r="H126">
        <f>SUMIF(RecoveredRaw!$B:$B,$A126,RecoveredRaw!K:K)</f>
        <v>0</v>
      </c>
      <c r="I126">
        <f>SUMIF(RecoveredRaw!$B:$B,$A126,RecoveredRaw!L:L)</f>
        <v>0</v>
      </c>
      <c r="J126">
        <f>SUMIF(RecoveredRaw!$B:$B,$A126,RecoveredRaw!M:M)</f>
        <v>0</v>
      </c>
      <c r="K126">
        <f>SUMIF(RecoveredRaw!$B:$B,$A126,RecoveredRaw!N:N)</f>
        <v>0</v>
      </c>
      <c r="L126">
        <f>SUMIF(RecoveredRaw!$B:$B,$A126,RecoveredRaw!O:O)</f>
        <v>0</v>
      </c>
      <c r="M126">
        <f>SUMIF(RecoveredRaw!$B:$B,$A126,RecoveredRaw!P:P)</f>
        <v>0</v>
      </c>
      <c r="N126">
        <f>SUMIF(RecoveredRaw!$B:$B,$A126,RecoveredRaw!Q:Q)</f>
        <v>0</v>
      </c>
      <c r="O126">
        <f>SUMIF(RecoveredRaw!$B:$B,$A126,RecoveredRaw!R:R)</f>
        <v>0</v>
      </c>
      <c r="P126">
        <f>SUMIF(RecoveredRaw!$B:$B,$A126,RecoveredRaw!S:S)</f>
        <v>0</v>
      </c>
      <c r="Q126">
        <f>SUMIF(RecoveredRaw!$B:$B,$A126,RecoveredRaw!T:T)</f>
        <v>0</v>
      </c>
      <c r="R126">
        <f>SUMIF(RecoveredRaw!$B:$B,$A126,RecoveredRaw!U:U)</f>
        <v>0</v>
      </c>
      <c r="S126">
        <f>SUMIF(RecoveredRaw!$B:$B,$A126,RecoveredRaw!V:V)</f>
        <v>0</v>
      </c>
      <c r="T126">
        <f>SUMIF(RecoveredRaw!$B:$B,$A126,RecoveredRaw!W:W)</f>
        <v>0</v>
      </c>
      <c r="U126">
        <f>SUMIF(RecoveredRaw!$B:$B,$A126,RecoveredRaw!X:X)</f>
        <v>0</v>
      </c>
      <c r="V126">
        <f>SUMIF(RecoveredRaw!$B:$B,$A126,RecoveredRaw!Y:Y)</f>
        <v>0</v>
      </c>
      <c r="W126">
        <f>SUMIF(RecoveredRaw!$B:$B,$A126,RecoveredRaw!Z:Z)</f>
        <v>0</v>
      </c>
      <c r="X126">
        <f>SUMIF(RecoveredRaw!$B:$B,$A126,RecoveredRaw!AA:AA)</f>
        <v>0</v>
      </c>
      <c r="Y126">
        <f>SUMIF(RecoveredRaw!$B:$B,$A126,RecoveredRaw!AB:AB)</f>
        <v>0</v>
      </c>
      <c r="Z126">
        <f>SUMIF(RecoveredRaw!$B:$B,$A126,RecoveredRaw!AC:AC)</f>
        <v>0</v>
      </c>
      <c r="AA126">
        <f>SUMIF(RecoveredRaw!$B:$B,$A126,RecoveredRaw!AD:AD)</f>
        <v>0</v>
      </c>
      <c r="AB126">
        <f>SUMIF(RecoveredRaw!$B:$B,$A126,RecoveredRaw!AE:AE)</f>
        <v>0</v>
      </c>
      <c r="AC126">
        <f>SUMIF(RecoveredRaw!$B:$B,$A126,RecoveredRaw!AF:AF)</f>
        <v>0</v>
      </c>
      <c r="AD126">
        <f>SUMIF(RecoveredRaw!$B:$B,$A126,RecoveredRaw!AG:AG)</f>
        <v>0</v>
      </c>
      <c r="AE126">
        <f>SUMIF(RecoveredRaw!$B:$B,$A126,RecoveredRaw!AH:AH)</f>
        <v>0</v>
      </c>
      <c r="AF126">
        <f>SUMIF(RecoveredRaw!$B:$B,$A126,RecoveredRaw!AI:AI)</f>
        <v>0</v>
      </c>
      <c r="AG126">
        <f>SUMIF(RecoveredRaw!$B:$B,$A126,RecoveredRaw!AJ:AJ)</f>
        <v>0</v>
      </c>
      <c r="AH126">
        <f>SUMIF(RecoveredRaw!$B:$B,$A126,RecoveredRaw!AK:AK)</f>
        <v>0</v>
      </c>
      <c r="AI126">
        <f>SUMIF(RecoveredRaw!$B:$B,$A126,RecoveredRaw!AL:AL)</f>
        <v>0</v>
      </c>
      <c r="AJ126">
        <f>SUMIF(RecoveredRaw!$B:$B,$A126,RecoveredRaw!AM:AM)</f>
        <v>0</v>
      </c>
      <c r="AK126">
        <f>SUMIF(RecoveredRaw!$B:$B,$A126,RecoveredRaw!AN:AN)</f>
        <v>0</v>
      </c>
      <c r="AL126">
        <f>SUMIF(RecoveredRaw!$B:$B,$A126,RecoveredRaw!AO:AO)</f>
        <v>0</v>
      </c>
      <c r="AM126">
        <f>SUMIF(RecoveredRaw!$B:$B,$A126,RecoveredRaw!AP:AP)</f>
        <v>0</v>
      </c>
      <c r="AN126">
        <f>SUMIF(RecoveredRaw!$B:$B,$A126,RecoveredRaw!AQ:AQ)</f>
        <v>0</v>
      </c>
      <c r="AO126">
        <f>SUMIF(RecoveredRaw!$B:$B,$A126,RecoveredRaw!AR:AR)</f>
        <v>0</v>
      </c>
      <c r="AP126">
        <f>SUMIF(RecoveredRaw!$B:$B,$A126,RecoveredRaw!AS:AS)</f>
        <v>0</v>
      </c>
      <c r="AQ126">
        <f>SUMIF(RecoveredRaw!$B:$B,$A126,RecoveredRaw!AT:AT)</f>
        <v>0</v>
      </c>
      <c r="AR126">
        <f>SUMIF(RecoveredRaw!$B:$B,$A126,RecoveredRaw!AU:AU)</f>
        <v>0</v>
      </c>
      <c r="AS126">
        <f>SUMIF(RecoveredRaw!$B:$B,$A126,RecoveredRaw!AV:AV)</f>
        <v>0</v>
      </c>
      <c r="AT126">
        <f>SUMIF(RecoveredRaw!$B:$B,$A126,RecoveredRaw!AW:AW)</f>
        <v>0</v>
      </c>
      <c r="AU126">
        <f>SUMIF(RecoveredRaw!$B:$B,$A126,RecoveredRaw!AX:AX)</f>
        <v>0</v>
      </c>
      <c r="AV126">
        <f>SUMIF(RecoveredRaw!$B:$B,$A126,RecoveredRaw!AY:AY)</f>
        <v>0</v>
      </c>
      <c r="AW126">
        <f>SUMIF(RecoveredRaw!$B:$B,$A126,RecoveredRaw!AZ:AZ)</f>
        <v>0</v>
      </c>
      <c r="AX126">
        <f>SUMIF(RecoveredRaw!$B:$B,$A126,RecoveredRaw!BA:BA)</f>
        <v>0</v>
      </c>
      <c r="AY126">
        <f>SUMIF(RecoveredRaw!$B:$B,$A126,RecoveredRaw!BB:BB)</f>
        <v>0</v>
      </c>
      <c r="AZ126">
        <f>SUMIF(RecoveredRaw!$B:$B,$A126,RecoveredRaw!BC:BC)</f>
        <v>0</v>
      </c>
      <c r="BA126">
        <f>SUMIF(RecoveredRaw!$B:$B,$A126,RecoveredRaw!BD:BD)</f>
        <v>0</v>
      </c>
      <c r="BB126">
        <f>SUMIF(RecoveredRaw!$B:$B,$A126,RecoveredRaw!BE:BE)</f>
        <v>0</v>
      </c>
      <c r="BC126">
        <f>SUMIF(RecoveredRaw!$B:$B,$A126,RecoveredRaw!BF:BF)</f>
        <v>0</v>
      </c>
      <c r="BD126">
        <f>SUMIF(RecoveredRaw!$B:$B,$A126,RecoveredRaw!BG:BG)</f>
        <v>0</v>
      </c>
      <c r="BE126">
        <f>SUMIF(RecoveredRaw!$B:$B,$A126,RecoveredRaw!BH:BH)</f>
        <v>0</v>
      </c>
      <c r="BF126">
        <f>SUMIF(RecoveredRaw!$B:$B,$A126,RecoveredRaw!BI:BI)</f>
        <v>0</v>
      </c>
      <c r="BG126">
        <f>SUMIF(RecoveredRaw!$B:$B,$A126,RecoveredRaw!BJ:BJ)</f>
        <v>0</v>
      </c>
      <c r="BH126">
        <f>SUMIF(RecoveredRaw!$B:$B,$A126,RecoveredRaw!BK:BK)</f>
        <v>0</v>
      </c>
      <c r="BI126">
        <f>SUMIF(RecoveredRaw!$B:$B,$A126,RecoveredRaw!BL:BL)</f>
        <v>0</v>
      </c>
      <c r="BJ126">
        <f>SUMIF(RecoveredRaw!$B:$B,$A126,RecoveredRaw!BM:BM)</f>
        <v>0</v>
      </c>
      <c r="BK126">
        <f>SUMIF(RecoveredRaw!$B:$B,$A126,RecoveredRaw!BN:BN)</f>
        <v>0</v>
      </c>
      <c r="BL126">
        <f>SUMIF(RecoveredRaw!$B:$B,$A126,RecoveredRaw!BO:BO)</f>
        <v>0</v>
      </c>
      <c r="BM126">
        <f>SUMIF(RecoveredRaw!$B:$B,$A126,RecoveredRaw!BP:BP)</f>
        <v>0</v>
      </c>
      <c r="BN126">
        <f>SUMIF(RecoveredRaw!$B:$B,$A126,RecoveredRaw!BQ:BQ)</f>
        <v>0</v>
      </c>
      <c r="BO126">
        <f>SUMIF(RecoveredRaw!$B:$B,$A126,RecoveredRaw!BR:BR)</f>
        <v>0</v>
      </c>
      <c r="BP126">
        <f>SUMIF(RecoveredRaw!$B:$B,$A126,RecoveredRaw!BS:BS)</f>
        <v>0</v>
      </c>
      <c r="BQ126">
        <f>SUMIF(RecoveredRaw!$B:$B,$A126,RecoveredRaw!BT:BT)</f>
        <v>0</v>
      </c>
      <c r="BR126">
        <f>SUMIF(RecoveredRaw!$B:$B,$A126,RecoveredRaw!BU:BU)</f>
        <v>0</v>
      </c>
      <c r="BS126">
        <f>SUMIF(RecoveredRaw!$B:$B,$A126,RecoveredRaw!BV:BV)</f>
        <v>0</v>
      </c>
      <c r="BT126">
        <f>SUMIF(RecoveredRaw!$B:$B,$A126,RecoveredRaw!BW:BW)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BT126"/>
  <sheetViews>
    <sheetView workbookViewId="0">
      <selection activeCell="B2" sqref="B2:BT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SUMIF(DeadRaw!$B:$B,$A2,DeadRaw!E:E)</f>
        <v>17</v>
      </c>
      <c r="C2">
        <f>SUMIF(DeadRaw!$B:$B,$A2,DeadRaw!F:F)</f>
        <v>18</v>
      </c>
      <c r="D2">
        <f>SUMIF(DeadRaw!$B:$B,$A2,DeadRaw!G:G)</f>
        <v>26</v>
      </c>
      <c r="E2">
        <f>SUMIF(DeadRaw!$B:$B,$A2,DeadRaw!H:H)</f>
        <v>42</v>
      </c>
      <c r="F2">
        <f>SUMIF(DeadRaw!$B:$B,$A2,DeadRaw!I:I)</f>
        <v>56</v>
      </c>
      <c r="G2">
        <f>SUMIF(DeadRaw!$B:$B,$A2,DeadRaw!J:J)</f>
        <v>82</v>
      </c>
      <c r="H2">
        <f>SUMIF(DeadRaw!$B:$B,$A2,DeadRaw!K:K)</f>
        <v>131</v>
      </c>
      <c r="I2">
        <f>SUMIF(DeadRaw!$B:$B,$A2,DeadRaw!L:L)</f>
        <v>133</v>
      </c>
      <c r="J2">
        <f>SUMIF(DeadRaw!$B:$B,$A2,DeadRaw!M:M)</f>
        <v>171</v>
      </c>
      <c r="K2">
        <f>SUMIF(DeadRaw!$B:$B,$A2,DeadRaw!N:N)</f>
        <v>213</v>
      </c>
      <c r="L2">
        <f>SUMIF(DeadRaw!$B:$B,$A2,DeadRaw!O:O)</f>
        <v>259</v>
      </c>
      <c r="M2">
        <f>SUMIF(DeadRaw!$B:$B,$A2,DeadRaw!P:P)</f>
        <v>361</v>
      </c>
      <c r="N2">
        <f>SUMIF(DeadRaw!$B:$B,$A2,DeadRaw!Q:Q)</f>
        <v>425</v>
      </c>
      <c r="O2">
        <f>SUMIF(DeadRaw!$B:$B,$A2,DeadRaw!R:R)</f>
        <v>491</v>
      </c>
      <c r="P2">
        <f>SUMIF(DeadRaw!$B:$B,$A2,DeadRaw!S:S)</f>
        <v>563</v>
      </c>
      <c r="Q2">
        <f>SUMIF(DeadRaw!$B:$B,$A2,DeadRaw!T:T)</f>
        <v>633</v>
      </c>
      <c r="R2">
        <f>SUMIF(DeadRaw!$B:$B,$A2,DeadRaw!U:U)</f>
        <v>718</v>
      </c>
      <c r="S2">
        <f>SUMIF(DeadRaw!$B:$B,$A2,DeadRaw!V:V)</f>
        <v>805</v>
      </c>
      <c r="T2">
        <f>SUMIF(DeadRaw!$B:$B,$A2,DeadRaw!W:W)</f>
        <v>905</v>
      </c>
      <c r="U2">
        <f>SUMIF(DeadRaw!$B:$B,$A2,DeadRaw!X:X)</f>
        <v>1012</v>
      </c>
      <c r="V2">
        <f>SUMIF(DeadRaw!$B:$B,$A2,DeadRaw!Y:Y)</f>
        <v>1112</v>
      </c>
      <c r="W2">
        <f>SUMIF(DeadRaw!$B:$B,$A2,DeadRaw!Z:Z)</f>
        <v>1117</v>
      </c>
      <c r="X2">
        <f>SUMIF(DeadRaw!$B:$B,$A2,DeadRaw!AA:AA)</f>
        <v>1369</v>
      </c>
      <c r="Y2">
        <f>SUMIF(DeadRaw!$B:$B,$A2,DeadRaw!AB:AB)</f>
        <v>1521</v>
      </c>
      <c r="Z2">
        <f>SUMIF(DeadRaw!$B:$B,$A2,DeadRaw!AC:AC)</f>
        <v>1663</v>
      </c>
      <c r="AA2">
        <f>SUMIF(DeadRaw!$B:$B,$A2,DeadRaw!AD:AD)</f>
        <v>1766</v>
      </c>
      <c r="AB2">
        <f>SUMIF(DeadRaw!$B:$B,$A2,DeadRaw!AE:AE)</f>
        <v>1864</v>
      </c>
      <c r="AC2">
        <f>SUMIF(DeadRaw!$B:$B,$A2,DeadRaw!AF:AF)</f>
        <v>2003</v>
      </c>
      <c r="AD2">
        <f>SUMIF(DeadRaw!$B:$B,$A2,DeadRaw!AG:AG)</f>
        <v>2116</v>
      </c>
      <c r="AE2">
        <f>SUMIF(DeadRaw!$B:$B,$A2,DeadRaw!AH:AH)</f>
        <v>2238</v>
      </c>
      <c r="AF2">
        <f>SUMIF(DeadRaw!$B:$B,$A2,DeadRaw!AI:AI)</f>
        <v>2238</v>
      </c>
      <c r="AG2">
        <f>SUMIF(DeadRaw!$B:$B,$A2,DeadRaw!AJ:AJ)</f>
        <v>2443</v>
      </c>
      <c r="AH2">
        <f>SUMIF(DeadRaw!$B:$B,$A2,DeadRaw!AK:AK)</f>
        <v>2445</v>
      </c>
      <c r="AI2">
        <f>SUMIF(DeadRaw!$B:$B,$A2,DeadRaw!AL:AL)</f>
        <v>2595</v>
      </c>
      <c r="AJ2">
        <f>SUMIF(DeadRaw!$B:$B,$A2,DeadRaw!AM:AM)</f>
        <v>2665</v>
      </c>
      <c r="AK2">
        <f>SUMIF(DeadRaw!$B:$B,$A2,DeadRaw!AN:AN)</f>
        <v>2717</v>
      </c>
      <c r="AL2">
        <f>SUMIF(DeadRaw!$B:$B,$A2,DeadRaw!AO:AO)</f>
        <v>2746</v>
      </c>
      <c r="AM2">
        <f>SUMIF(DeadRaw!$B:$B,$A2,DeadRaw!AP:AP)</f>
        <v>2790</v>
      </c>
      <c r="AN2">
        <f>SUMIF(DeadRaw!$B:$B,$A2,DeadRaw!AQ:AQ)</f>
        <v>2837</v>
      </c>
      <c r="AO2">
        <f>SUMIF(DeadRaw!$B:$B,$A2,DeadRaw!AR:AR)</f>
        <v>2872</v>
      </c>
      <c r="AP2">
        <f>SUMIF(DeadRaw!$B:$B,$A2,DeadRaw!AS:AS)</f>
        <v>2914</v>
      </c>
      <c r="AQ2">
        <f>SUMIF(DeadRaw!$B:$B,$A2,DeadRaw!AT:AT)</f>
        <v>2947</v>
      </c>
      <c r="AR2">
        <f>SUMIF(DeadRaw!$B:$B,$A2,DeadRaw!AU:AU)</f>
        <v>2983</v>
      </c>
      <c r="AS2">
        <f>SUMIF(DeadRaw!$B:$B,$A2,DeadRaw!AV:AV)</f>
        <v>3015</v>
      </c>
      <c r="AT2">
        <f>SUMIF(DeadRaw!$B:$B,$A2,DeadRaw!AW:AW)</f>
        <v>3044</v>
      </c>
      <c r="AU2">
        <f>SUMIF(DeadRaw!$B:$B,$A2,DeadRaw!AX:AX)</f>
        <v>3072</v>
      </c>
      <c r="AV2">
        <f>SUMIF(DeadRaw!$B:$B,$A2,DeadRaw!AY:AY)</f>
        <v>3100</v>
      </c>
      <c r="AW2">
        <f>SUMIF(DeadRaw!$B:$B,$A2,DeadRaw!AZ:AZ)</f>
        <v>3123</v>
      </c>
      <c r="AX2">
        <f>SUMIF(DeadRaw!$B:$B,$A2,DeadRaw!BA:BA)</f>
        <v>3139</v>
      </c>
      <c r="AY2">
        <f>SUMIF(DeadRaw!$B:$B,$A2,DeadRaw!BB:BB)</f>
        <v>3161</v>
      </c>
      <c r="AZ2">
        <f>SUMIF(DeadRaw!$B:$B,$A2,DeadRaw!BC:BC)</f>
        <v>3172</v>
      </c>
      <c r="BA2">
        <f>SUMIF(DeadRaw!$B:$B,$A2,DeadRaw!BD:BD)</f>
        <v>3180</v>
      </c>
      <c r="BB2">
        <f>SUMIF(DeadRaw!$B:$B,$A2,DeadRaw!BE:BE)</f>
        <v>3193</v>
      </c>
      <c r="BC2">
        <f>SUMIF(DeadRaw!$B:$B,$A2,DeadRaw!BF:BF)</f>
        <v>3203</v>
      </c>
      <c r="BD2">
        <f>SUMIF(DeadRaw!$B:$B,$A2,DeadRaw!BG:BG)</f>
        <v>3217</v>
      </c>
      <c r="BE2">
        <f>SUMIF(DeadRaw!$B:$B,$A2,DeadRaw!BH:BH)</f>
        <v>3230</v>
      </c>
      <c r="BF2">
        <f>SUMIF(DeadRaw!$B:$B,$A2,DeadRaw!BI:BI)</f>
        <v>3241</v>
      </c>
      <c r="BG2">
        <f>SUMIF(DeadRaw!$B:$B,$A2,DeadRaw!BJ:BJ)</f>
        <v>0</v>
      </c>
      <c r="BH2">
        <f>SUMIF(DeadRaw!$B:$B,$A2,DeadRaw!BK:BK)</f>
        <v>0</v>
      </c>
      <c r="BI2">
        <f>SUMIF(DeadRaw!$B:$B,$A2,DeadRaw!BL:BL)</f>
        <v>0</v>
      </c>
      <c r="BJ2">
        <f>SUMIF(DeadRaw!$B:$B,$A2,DeadRaw!BM:BM)</f>
        <v>0</v>
      </c>
      <c r="BK2">
        <f>SUMIF(DeadRaw!$B:$B,$A2,DeadRaw!BN:BN)</f>
        <v>0</v>
      </c>
      <c r="BL2">
        <f>SUMIF(DeadRaw!$B:$B,$A2,DeadRaw!BO:BO)</f>
        <v>0</v>
      </c>
      <c r="BM2">
        <f>SUMIF(DeadRaw!$B:$B,$A2,DeadRaw!BP:BP)</f>
        <v>0</v>
      </c>
      <c r="BN2">
        <f>SUMIF(DeadRaw!$B:$B,$A2,DeadRaw!BQ:BQ)</f>
        <v>0</v>
      </c>
      <c r="BO2">
        <f>SUMIF(DeadRaw!$B:$B,$A2,DeadRaw!BR:BR)</f>
        <v>0</v>
      </c>
      <c r="BP2">
        <f>SUMIF(DeadRaw!$B:$B,$A2,DeadRaw!BS:BS)</f>
        <v>0</v>
      </c>
      <c r="BQ2">
        <f>SUMIF(DeadRaw!$B:$B,$A2,DeadRaw!BT:BT)</f>
        <v>0</v>
      </c>
      <c r="BR2">
        <f>SUMIF(DeadRaw!$B:$B,$A2,DeadRaw!BU:BU)</f>
        <v>0</v>
      </c>
      <c r="BS2">
        <f>SUMIF(DeadRaw!$B:$B,$A2,DeadRaw!BV:BV)</f>
        <v>0</v>
      </c>
      <c r="BT2">
        <f>SUMIF(DeadRaw!$B:$B,$A2,DeadRaw!BW:BW)</f>
        <v>0</v>
      </c>
    </row>
    <row r="3" spans="1:72" ht="15" thickBot="1" x14ac:dyDescent="0.35">
      <c r="A3" s="3" t="s">
        <v>58</v>
      </c>
      <c r="B3">
        <f>SUMIF(DeadRaw!$B:$B,$A3,DeadRaw!E:E)</f>
        <v>0</v>
      </c>
      <c r="C3">
        <f>SUMIF(DeadRaw!$B:$B,$A3,DeadRaw!F:F)</f>
        <v>0</v>
      </c>
      <c r="D3">
        <f>SUMIF(DeadRaw!$B:$B,$A3,DeadRaw!G:G)</f>
        <v>0</v>
      </c>
      <c r="E3">
        <f>SUMIF(DeadRaw!$B:$B,$A3,DeadRaw!H:H)</f>
        <v>0</v>
      </c>
      <c r="F3">
        <f>SUMIF(DeadRaw!$B:$B,$A3,DeadRaw!I:I)</f>
        <v>0</v>
      </c>
      <c r="G3">
        <f>SUMIF(DeadRaw!$B:$B,$A3,DeadRaw!J:J)</f>
        <v>0</v>
      </c>
      <c r="H3">
        <f>SUMIF(DeadRaw!$B:$B,$A3,DeadRaw!K:K)</f>
        <v>0</v>
      </c>
      <c r="I3">
        <f>SUMIF(DeadRaw!$B:$B,$A3,DeadRaw!L:L)</f>
        <v>0</v>
      </c>
      <c r="J3">
        <f>SUMIF(DeadRaw!$B:$B,$A3,DeadRaw!M:M)</f>
        <v>0</v>
      </c>
      <c r="K3">
        <f>SUMIF(DeadRaw!$B:$B,$A3,DeadRaw!N:N)</f>
        <v>0</v>
      </c>
      <c r="L3">
        <f>SUMIF(DeadRaw!$B:$B,$A3,DeadRaw!O:O)</f>
        <v>0</v>
      </c>
      <c r="M3">
        <f>SUMIF(DeadRaw!$B:$B,$A3,DeadRaw!P:P)</f>
        <v>0</v>
      </c>
      <c r="N3">
        <f>SUMIF(DeadRaw!$B:$B,$A3,DeadRaw!Q:Q)</f>
        <v>0</v>
      </c>
      <c r="O3">
        <f>SUMIF(DeadRaw!$B:$B,$A3,DeadRaw!R:R)</f>
        <v>0</v>
      </c>
      <c r="P3">
        <f>SUMIF(DeadRaw!$B:$B,$A3,DeadRaw!S:S)</f>
        <v>0</v>
      </c>
      <c r="Q3">
        <f>SUMIF(DeadRaw!$B:$B,$A3,DeadRaw!T:T)</f>
        <v>0</v>
      </c>
      <c r="R3">
        <f>SUMIF(DeadRaw!$B:$B,$A3,DeadRaw!U:U)</f>
        <v>0</v>
      </c>
      <c r="S3">
        <f>SUMIF(DeadRaw!$B:$B,$A3,DeadRaw!V:V)</f>
        <v>0</v>
      </c>
      <c r="T3">
        <f>SUMIF(DeadRaw!$B:$B,$A3,DeadRaw!W:W)</f>
        <v>0</v>
      </c>
      <c r="U3">
        <f>SUMIF(DeadRaw!$B:$B,$A3,DeadRaw!X:X)</f>
        <v>0</v>
      </c>
      <c r="V3">
        <f>SUMIF(DeadRaw!$B:$B,$A3,DeadRaw!Y:Y)</f>
        <v>0</v>
      </c>
      <c r="W3">
        <f>SUMIF(DeadRaw!$B:$B,$A3,DeadRaw!Z:Z)</f>
        <v>0</v>
      </c>
      <c r="X3">
        <f>SUMIF(DeadRaw!$B:$B,$A3,DeadRaw!AA:AA)</f>
        <v>0</v>
      </c>
      <c r="Y3">
        <f>SUMIF(DeadRaw!$B:$B,$A3,DeadRaw!AB:AB)</f>
        <v>0</v>
      </c>
      <c r="Z3">
        <f>SUMIF(DeadRaw!$B:$B,$A3,DeadRaw!AC:AC)</f>
        <v>0</v>
      </c>
      <c r="AA3">
        <f>SUMIF(DeadRaw!$B:$B,$A3,DeadRaw!AD:AD)</f>
        <v>0</v>
      </c>
      <c r="AB3">
        <f>SUMIF(DeadRaw!$B:$B,$A3,DeadRaw!AE:AE)</f>
        <v>0</v>
      </c>
      <c r="AC3">
        <f>SUMIF(DeadRaw!$B:$B,$A3,DeadRaw!AF:AF)</f>
        <v>0</v>
      </c>
      <c r="AD3">
        <f>SUMIF(DeadRaw!$B:$B,$A3,DeadRaw!AG:AG)</f>
        <v>0</v>
      </c>
      <c r="AE3">
        <f>SUMIF(DeadRaw!$B:$B,$A3,DeadRaw!AH:AH)</f>
        <v>0</v>
      </c>
      <c r="AF3">
        <f>SUMIF(DeadRaw!$B:$B,$A3,DeadRaw!AI:AI)</f>
        <v>1</v>
      </c>
      <c r="AG3">
        <f>SUMIF(DeadRaw!$B:$B,$A3,DeadRaw!AJ:AJ)</f>
        <v>2</v>
      </c>
      <c r="AH3">
        <f>SUMIF(DeadRaw!$B:$B,$A3,DeadRaw!AK:AK)</f>
        <v>3</v>
      </c>
      <c r="AI3">
        <f>SUMIF(DeadRaw!$B:$B,$A3,DeadRaw!AL:AL)</f>
        <v>7</v>
      </c>
      <c r="AJ3">
        <f>SUMIF(DeadRaw!$B:$B,$A3,DeadRaw!AM:AM)</f>
        <v>10</v>
      </c>
      <c r="AK3">
        <f>SUMIF(DeadRaw!$B:$B,$A3,DeadRaw!AN:AN)</f>
        <v>12</v>
      </c>
      <c r="AL3">
        <f>SUMIF(DeadRaw!$B:$B,$A3,DeadRaw!AO:AO)</f>
        <v>17</v>
      </c>
      <c r="AM3">
        <f>SUMIF(DeadRaw!$B:$B,$A3,DeadRaw!AP:AP)</f>
        <v>21</v>
      </c>
      <c r="AN3">
        <f>SUMIF(DeadRaw!$B:$B,$A3,DeadRaw!AQ:AQ)</f>
        <v>29</v>
      </c>
      <c r="AO3">
        <f>SUMIF(DeadRaw!$B:$B,$A3,DeadRaw!AR:AR)</f>
        <v>34</v>
      </c>
      <c r="AP3">
        <f>SUMIF(DeadRaw!$B:$B,$A3,DeadRaw!AS:AS)</f>
        <v>52</v>
      </c>
      <c r="AQ3">
        <f>SUMIF(DeadRaw!$B:$B,$A3,DeadRaw!AT:AT)</f>
        <v>79</v>
      </c>
      <c r="AR3">
        <f>SUMIF(DeadRaw!$B:$B,$A3,DeadRaw!AU:AU)</f>
        <v>107</v>
      </c>
      <c r="AS3">
        <f>SUMIF(DeadRaw!$B:$B,$A3,DeadRaw!AV:AV)</f>
        <v>148</v>
      </c>
      <c r="AT3">
        <f>SUMIF(DeadRaw!$B:$B,$A3,DeadRaw!AW:AW)</f>
        <v>197</v>
      </c>
      <c r="AU3">
        <f>SUMIF(DeadRaw!$B:$B,$A3,DeadRaw!AX:AX)</f>
        <v>233</v>
      </c>
      <c r="AV3">
        <f>SUMIF(DeadRaw!$B:$B,$A3,DeadRaw!AY:AY)</f>
        <v>366</v>
      </c>
      <c r="AW3">
        <f>SUMIF(DeadRaw!$B:$B,$A3,DeadRaw!AZ:AZ)</f>
        <v>463</v>
      </c>
      <c r="AX3">
        <f>SUMIF(DeadRaw!$B:$B,$A3,DeadRaw!BA:BA)</f>
        <v>631</v>
      </c>
      <c r="AY3">
        <f>SUMIF(DeadRaw!$B:$B,$A3,DeadRaw!BB:BB)</f>
        <v>827</v>
      </c>
      <c r="AZ3">
        <f>SUMIF(DeadRaw!$B:$B,$A3,DeadRaw!BC:BC)</f>
        <v>827</v>
      </c>
      <c r="BA3">
        <f>SUMIF(DeadRaw!$B:$B,$A3,DeadRaw!BD:BD)</f>
        <v>1266</v>
      </c>
      <c r="BB3">
        <f>SUMIF(DeadRaw!$B:$B,$A3,DeadRaw!BE:BE)</f>
        <v>1441</v>
      </c>
      <c r="BC3">
        <f>SUMIF(DeadRaw!$B:$B,$A3,DeadRaw!BF:BF)</f>
        <v>1809</v>
      </c>
      <c r="BD3">
        <f>SUMIF(DeadRaw!$B:$B,$A3,DeadRaw!BG:BG)</f>
        <v>2158</v>
      </c>
      <c r="BE3">
        <f>SUMIF(DeadRaw!$B:$B,$A3,DeadRaw!BH:BH)</f>
        <v>2503</v>
      </c>
      <c r="BF3">
        <f>SUMIF(DeadRaw!$B:$B,$A3,DeadRaw!BI:BI)</f>
        <v>2978</v>
      </c>
      <c r="BG3">
        <f>SUMIF(DeadRaw!$B:$B,$A3,DeadRaw!BJ:BJ)</f>
        <v>0</v>
      </c>
      <c r="BH3">
        <f>SUMIF(DeadRaw!$B:$B,$A3,DeadRaw!BK:BK)</f>
        <v>0</v>
      </c>
      <c r="BI3">
        <f>SUMIF(DeadRaw!$B:$B,$A3,DeadRaw!BL:BL)</f>
        <v>0</v>
      </c>
      <c r="BJ3">
        <f>SUMIF(DeadRaw!$B:$B,$A3,DeadRaw!BM:BM)</f>
        <v>0</v>
      </c>
      <c r="BK3">
        <f>SUMIF(DeadRaw!$B:$B,$A3,DeadRaw!BN:BN)</f>
        <v>0</v>
      </c>
      <c r="BL3">
        <f>SUMIF(DeadRaw!$B:$B,$A3,DeadRaw!BO:BO)</f>
        <v>0</v>
      </c>
      <c r="BM3">
        <f>SUMIF(DeadRaw!$B:$B,$A3,DeadRaw!BP:BP)</f>
        <v>0</v>
      </c>
      <c r="BN3">
        <f>SUMIF(DeadRaw!$B:$B,$A3,DeadRaw!BQ:BQ)</f>
        <v>0</v>
      </c>
      <c r="BO3">
        <f>SUMIF(DeadRaw!$B:$B,$A3,DeadRaw!BR:BR)</f>
        <v>0</v>
      </c>
      <c r="BP3">
        <f>SUMIF(DeadRaw!$B:$B,$A3,DeadRaw!BS:BS)</f>
        <v>0</v>
      </c>
      <c r="BQ3">
        <f>SUMIF(DeadRaw!$B:$B,$A3,DeadRaw!BT:BT)</f>
        <v>0</v>
      </c>
      <c r="BR3">
        <f>SUMIF(DeadRaw!$B:$B,$A3,DeadRaw!BU:BU)</f>
        <v>0</v>
      </c>
      <c r="BS3">
        <f>SUMIF(DeadRaw!$B:$B,$A3,DeadRaw!BV:BV)</f>
        <v>0</v>
      </c>
      <c r="BT3">
        <f>SUMIF(DeadRaw!$B:$B,$A3,DeadRaw!BW:BW)</f>
        <v>0</v>
      </c>
    </row>
    <row r="4" spans="1:72" ht="15" thickBot="1" x14ac:dyDescent="0.35">
      <c r="A4" s="4" t="s">
        <v>338</v>
      </c>
      <c r="B4">
        <f>SUMIF(DeadRaw!$B:$B,$A4,DeadRaw!E:E)</f>
        <v>0</v>
      </c>
      <c r="C4">
        <f>SUMIF(DeadRaw!$B:$B,$A4,DeadRaw!F:F)</f>
        <v>0</v>
      </c>
      <c r="D4">
        <f>SUMIF(DeadRaw!$B:$B,$A4,DeadRaw!G:G)</f>
        <v>0</v>
      </c>
      <c r="E4">
        <f>SUMIF(DeadRaw!$B:$B,$A4,DeadRaw!H:H)</f>
        <v>0</v>
      </c>
      <c r="F4">
        <f>SUMIF(DeadRaw!$B:$B,$A4,DeadRaw!I:I)</f>
        <v>0</v>
      </c>
      <c r="G4">
        <f>SUMIF(DeadRaw!$B:$B,$A4,DeadRaw!J:J)</f>
        <v>0</v>
      </c>
      <c r="H4">
        <f>SUMIF(DeadRaw!$B:$B,$A4,DeadRaw!K:K)</f>
        <v>0</v>
      </c>
      <c r="I4">
        <f>SUMIF(DeadRaw!$B:$B,$A4,DeadRaw!L:L)</f>
        <v>0</v>
      </c>
      <c r="J4">
        <f>SUMIF(DeadRaw!$B:$B,$A4,DeadRaw!M:M)</f>
        <v>0</v>
      </c>
      <c r="K4">
        <f>SUMIF(DeadRaw!$B:$B,$A4,DeadRaw!N:N)</f>
        <v>0</v>
      </c>
      <c r="L4">
        <f>SUMIF(DeadRaw!$B:$B,$A4,DeadRaw!O:O)</f>
        <v>0</v>
      </c>
      <c r="M4">
        <f>SUMIF(DeadRaw!$B:$B,$A4,DeadRaw!P:P)</f>
        <v>0</v>
      </c>
      <c r="N4">
        <f>SUMIF(DeadRaw!$B:$B,$A4,DeadRaw!Q:Q)</f>
        <v>0</v>
      </c>
      <c r="O4">
        <f>SUMIF(DeadRaw!$B:$B,$A4,DeadRaw!R:R)</f>
        <v>0</v>
      </c>
      <c r="P4">
        <f>SUMIF(DeadRaw!$B:$B,$A4,DeadRaw!S:S)</f>
        <v>0</v>
      </c>
      <c r="Q4">
        <f>SUMIF(DeadRaw!$B:$B,$A4,DeadRaw!T:T)</f>
        <v>0</v>
      </c>
      <c r="R4">
        <f>SUMIF(DeadRaw!$B:$B,$A4,DeadRaw!U:U)</f>
        <v>0</v>
      </c>
      <c r="S4">
        <f>SUMIF(DeadRaw!$B:$B,$A4,DeadRaw!V:V)</f>
        <v>0</v>
      </c>
      <c r="T4">
        <f>SUMIF(DeadRaw!$B:$B,$A4,DeadRaw!W:W)</f>
        <v>0</v>
      </c>
      <c r="U4">
        <f>SUMIF(DeadRaw!$B:$B,$A4,DeadRaw!X:X)</f>
        <v>0</v>
      </c>
      <c r="V4">
        <f>SUMIF(DeadRaw!$B:$B,$A4,DeadRaw!Y:Y)</f>
        <v>0</v>
      </c>
      <c r="W4">
        <f>SUMIF(DeadRaw!$B:$B,$A4,DeadRaw!Z:Z)</f>
        <v>0</v>
      </c>
      <c r="X4">
        <f>SUMIF(DeadRaw!$B:$B,$A4,DeadRaw!AA:AA)</f>
        <v>0</v>
      </c>
      <c r="Y4">
        <f>SUMIF(DeadRaw!$B:$B,$A4,DeadRaw!AB:AB)</f>
        <v>0</v>
      </c>
      <c r="Z4">
        <f>SUMIF(DeadRaw!$B:$B,$A4,DeadRaw!AC:AC)</f>
        <v>0</v>
      </c>
      <c r="AA4">
        <f>SUMIF(DeadRaw!$B:$B,$A4,DeadRaw!AD:AD)</f>
        <v>0</v>
      </c>
      <c r="AB4">
        <f>SUMIF(DeadRaw!$B:$B,$A4,DeadRaw!AE:AE)</f>
        <v>0</v>
      </c>
      <c r="AC4">
        <f>SUMIF(DeadRaw!$B:$B,$A4,DeadRaw!AF:AF)</f>
        <v>0</v>
      </c>
      <c r="AD4">
        <f>SUMIF(DeadRaw!$B:$B,$A4,DeadRaw!AG:AG)</f>
        <v>2</v>
      </c>
      <c r="AE4">
        <f>SUMIF(DeadRaw!$B:$B,$A4,DeadRaw!AH:AH)</f>
        <v>2</v>
      </c>
      <c r="AF4">
        <f>SUMIF(DeadRaw!$B:$B,$A4,DeadRaw!AI:AI)</f>
        <v>4</v>
      </c>
      <c r="AG4">
        <f>SUMIF(DeadRaw!$B:$B,$A4,DeadRaw!AJ:AJ)</f>
        <v>5</v>
      </c>
      <c r="AH4">
        <f>SUMIF(DeadRaw!$B:$B,$A4,DeadRaw!AK:AK)</f>
        <v>8</v>
      </c>
      <c r="AI4">
        <f>SUMIF(DeadRaw!$B:$B,$A4,DeadRaw!AL:AL)</f>
        <v>12</v>
      </c>
      <c r="AJ4">
        <f>SUMIF(DeadRaw!$B:$B,$A4,DeadRaw!AM:AM)</f>
        <v>16</v>
      </c>
      <c r="AK4">
        <f>SUMIF(DeadRaw!$B:$B,$A4,DeadRaw!AN:AN)</f>
        <v>19</v>
      </c>
      <c r="AL4">
        <f>SUMIF(DeadRaw!$B:$B,$A4,DeadRaw!AO:AO)</f>
        <v>26</v>
      </c>
      <c r="AM4">
        <f>SUMIF(DeadRaw!$B:$B,$A4,DeadRaw!AP:AP)</f>
        <v>34</v>
      </c>
      <c r="AN4">
        <f>SUMIF(DeadRaw!$B:$B,$A4,DeadRaw!AQ:AQ)</f>
        <v>43</v>
      </c>
      <c r="AO4">
        <f>SUMIF(DeadRaw!$B:$B,$A4,DeadRaw!AR:AR)</f>
        <v>54</v>
      </c>
      <c r="AP4">
        <f>SUMIF(DeadRaw!$B:$B,$A4,DeadRaw!AS:AS)</f>
        <v>66</v>
      </c>
      <c r="AQ4">
        <f>SUMIF(DeadRaw!$B:$B,$A4,DeadRaw!AT:AT)</f>
        <v>77</v>
      </c>
      <c r="AR4">
        <f>SUMIF(DeadRaw!$B:$B,$A4,DeadRaw!AU:AU)</f>
        <v>92</v>
      </c>
      <c r="AS4">
        <f>SUMIF(DeadRaw!$B:$B,$A4,DeadRaw!AV:AV)</f>
        <v>107</v>
      </c>
      <c r="AT4">
        <f>SUMIF(DeadRaw!$B:$B,$A4,DeadRaw!AW:AW)</f>
        <v>124</v>
      </c>
      <c r="AU4">
        <f>SUMIF(DeadRaw!$B:$B,$A4,DeadRaw!AX:AX)</f>
        <v>145</v>
      </c>
      <c r="AV4">
        <f>SUMIF(DeadRaw!$B:$B,$A4,DeadRaw!AY:AY)</f>
        <v>194</v>
      </c>
      <c r="AW4">
        <f>SUMIF(DeadRaw!$B:$B,$A4,DeadRaw!AZ:AZ)</f>
        <v>237</v>
      </c>
      <c r="AX4">
        <f>SUMIF(DeadRaw!$B:$B,$A4,DeadRaw!BA:BA)</f>
        <v>291</v>
      </c>
      <c r="AY4">
        <f>SUMIF(DeadRaw!$B:$B,$A4,DeadRaw!BB:BB)</f>
        <v>354</v>
      </c>
      <c r="AZ4">
        <f>SUMIF(DeadRaw!$B:$B,$A4,DeadRaw!BC:BC)</f>
        <v>429</v>
      </c>
      <c r="BA4">
        <f>SUMIF(DeadRaw!$B:$B,$A4,DeadRaw!BD:BD)</f>
        <v>514</v>
      </c>
      <c r="BB4">
        <f>SUMIF(DeadRaw!$B:$B,$A4,DeadRaw!BE:BE)</f>
        <v>611</v>
      </c>
      <c r="BC4">
        <f>SUMIF(DeadRaw!$B:$B,$A4,DeadRaw!BF:BF)</f>
        <v>724</v>
      </c>
      <c r="BD4">
        <f>SUMIF(DeadRaw!$B:$B,$A4,DeadRaw!BG:BG)</f>
        <v>853</v>
      </c>
      <c r="BE4">
        <f>SUMIF(DeadRaw!$B:$B,$A4,DeadRaw!BH:BH)</f>
        <v>988</v>
      </c>
      <c r="BF4">
        <f>SUMIF(DeadRaw!$B:$B,$A4,DeadRaw!BI:BI)</f>
        <v>1135</v>
      </c>
      <c r="BG4">
        <f>SUMIF(DeadRaw!$B:$B,$A4,DeadRaw!BJ:BJ)</f>
        <v>0</v>
      </c>
      <c r="BH4">
        <f>SUMIF(DeadRaw!$B:$B,$A4,DeadRaw!BK:BK)</f>
        <v>0</v>
      </c>
      <c r="BI4">
        <f>SUMIF(DeadRaw!$B:$B,$A4,DeadRaw!BL:BL)</f>
        <v>0</v>
      </c>
      <c r="BJ4">
        <f>SUMIF(DeadRaw!$B:$B,$A4,DeadRaw!BM:BM)</f>
        <v>0</v>
      </c>
      <c r="BK4">
        <f>SUMIF(DeadRaw!$B:$B,$A4,DeadRaw!BN:BN)</f>
        <v>0</v>
      </c>
      <c r="BL4">
        <f>SUMIF(DeadRaw!$B:$B,$A4,DeadRaw!BO:BO)</f>
        <v>0</v>
      </c>
      <c r="BM4">
        <f>SUMIF(DeadRaw!$B:$B,$A4,DeadRaw!BP:BP)</f>
        <v>0</v>
      </c>
      <c r="BN4">
        <f>SUMIF(DeadRaw!$B:$B,$A4,DeadRaw!BQ:BQ)</f>
        <v>0</v>
      </c>
      <c r="BO4">
        <f>SUMIF(DeadRaw!$B:$B,$A4,DeadRaw!BR:BR)</f>
        <v>0</v>
      </c>
      <c r="BP4">
        <f>SUMIF(DeadRaw!$B:$B,$A4,DeadRaw!BS:BS)</f>
        <v>0</v>
      </c>
      <c r="BQ4">
        <f>SUMIF(DeadRaw!$B:$B,$A4,DeadRaw!BT:BT)</f>
        <v>0</v>
      </c>
      <c r="BR4">
        <f>SUMIF(DeadRaw!$B:$B,$A4,DeadRaw!BU:BU)</f>
        <v>0</v>
      </c>
      <c r="BS4">
        <f>SUMIF(DeadRaw!$B:$B,$A4,DeadRaw!BV:BV)</f>
        <v>0</v>
      </c>
      <c r="BT4">
        <f>SUMIF(DeadRaw!$B:$B,$A4,DeadRaw!BW:BW)</f>
        <v>0</v>
      </c>
    </row>
    <row r="5" spans="1:72" ht="15" thickBot="1" x14ac:dyDescent="0.35">
      <c r="A5" s="3" t="s">
        <v>339</v>
      </c>
      <c r="B5">
        <f>SUMIF(DeadRaw!$B:$B,$A5,DeadRaw!E:E)</f>
        <v>0</v>
      </c>
      <c r="C5">
        <f>SUMIF(DeadRaw!$B:$B,$A5,DeadRaw!F:F)</f>
        <v>0</v>
      </c>
      <c r="D5">
        <f>SUMIF(DeadRaw!$B:$B,$A5,DeadRaw!G:G)</f>
        <v>0</v>
      </c>
      <c r="E5">
        <f>SUMIF(DeadRaw!$B:$B,$A5,DeadRaw!H:H)</f>
        <v>0</v>
      </c>
      <c r="F5">
        <f>SUMIF(DeadRaw!$B:$B,$A5,DeadRaw!I:I)</f>
        <v>0</v>
      </c>
      <c r="G5">
        <f>SUMIF(DeadRaw!$B:$B,$A5,DeadRaw!J:J)</f>
        <v>0</v>
      </c>
      <c r="H5">
        <f>SUMIF(DeadRaw!$B:$B,$A5,DeadRaw!K:K)</f>
        <v>0</v>
      </c>
      <c r="I5">
        <f>SUMIF(DeadRaw!$B:$B,$A5,DeadRaw!L:L)</f>
        <v>0</v>
      </c>
      <c r="J5">
        <f>SUMIF(DeadRaw!$B:$B,$A5,DeadRaw!M:M)</f>
        <v>0</v>
      </c>
      <c r="K5">
        <f>SUMIF(DeadRaw!$B:$B,$A5,DeadRaw!N:N)</f>
        <v>0</v>
      </c>
      <c r="L5">
        <f>SUMIF(DeadRaw!$B:$B,$A5,DeadRaw!O:O)</f>
        <v>0</v>
      </c>
      <c r="M5">
        <f>SUMIF(DeadRaw!$B:$B,$A5,DeadRaw!P:P)</f>
        <v>0</v>
      </c>
      <c r="N5">
        <f>SUMIF(DeadRaw!$B:$B,$A5,DeadRaw!Q:Q)</f>
        <v>0</v>
      </c>
      <c r="O5">
        <f>SUMIF(DeadRaw!$B:$B,$A5,DeadRaw!R:R)</f>
        <v>0</v>
      </c>
      <c r="P5">
        <f>SUMIF(DeadRaw!$B:$B,$A5,DeadRaw!S:S)</f>
        <v>0</v>
      </c>
      <c r="Q5">
        <f>SUMIF(DeadRaw!$B:$B,$A5,DeadRaw!T:T)</f>
        <v>0</v>
      </c>
      <c r="R5">
        <f>SUMIF(DeadRaw!$B:$B,$A5,DeadRaw!U:U)</f>
        <v>0</v>
      </c>
      <c r="S5">
        <f>SUMIF(DeadRaw!$B:$B,$A5,DeadRaw!V:V)</f>
        <v>0</v>
      </c>
      <c r="T5">
        <f>SUMIF(DeadRaw!$B:$B,$A5,DeadRaw!W:W)</f>
        <v>0</v>
      </c>
      <c r="U5">
        <f>SUMIF(DeadRaw!$B:$B,$A5,DeadRaw!X:X)</f>
        <v>0</v>
      </c>
      <c r="V5">
        <f>SUMIF(DeadRaw!$B:$B,$A5,DeadRaw!Y:Y)</f>
        <v>0</v>
      </c>
      <c r="W5">
        <f>SUMIF(DeadRaw!$B:$B,$A5,DeadRaw!Z:Z)</f>
        <v>0</v>
      </c>
      <c r="X5">
        <f>SUMIF(DeadRaw!$B:$B,$A5,DeadRaw!AA:AA)</f>
        <v>0</v>
      </c>
      <c r="Y5">
        <f>SUMIF(DeadRaw!$B:$B,$A5,DeadRaw!AB:AB)</f>
        <v>0</v>
      </c>
      <c r="Z5">
        <f>SUMIF(DeadRaw!$B:$B,$A5,DeadRaw!AC:AC)</f>
        <v>0</v>
      </c>
      <c r="AA5">
        <f>SUMIF(DeadRaw!$B:$B,$A5,DeadRaw!AD:AD)</f>
        <v>0</v>
      </c>
      <c r="AB5">
        <f>SUMIF(DeadRaw!$B:$B,$A5,DeadRaw!AE:AE)</f>
        <v>0</v>
      </c>
      <c r="AC5">
        <f>SUMIF(DeadRaw!$B:$B,$A5,DeadRaw!AF:AF)</f>
        <v>0</v>
      </c>
      <c r="AD5">
        <f>SUMIF(DeadRaw!$B:$B,$A5,DeadRaw!AG:AG)</f>
        <v>0</v>
      </c>
      <c r="AE5">
        <f>SUMIF(DeadRaw!$B:$B,$A5,DeadRaw!AH:AH)</f>
        <v>1</v>
      </c>
      <c r="AF5">
        <f>SUMIF(DeadRaw!$B:$B,$A5,DeadRaw!AI:AI)</f>
        <v>2</v>
      </c>
      <c r="AG5">
        <f>SUMIF(DeadRaw!$B:$B,$A5,DeadRaw!AJ:AJ)</f>
        <v>2</v>
      </c>
      <c r="AH5">
        <f>SUMIF(DeadRaw!$B:$B,$A5,DeadRaw!AK:AK)</f>
        <v>6</v>
      </c>
      <c r="AI5">
        <f>SUMIF(DeadRaw!$B:$B,$A5,DeadRaw!AL:AL)</f>
        <v>8</v>
      </c>
      <c r="AJ5">
        <f>SUMIF(DeadRaw!$B:$B,$A5,DeadRaw!AM:AM)</f>
        <v>10</v>
      </c>
      <c r="AK5">
        <f>SUMIF(DeadRaw!$B:$B,$A5,DeadRaw!AN:AN)</f>
        <v>12</v>
      </c>
      <c r="AL5">
        <f>SUMIF(DeadRaw!$B:$B,$A5,DeadRaw!AO:AO)</f>
        <v>13</v>
      </c>
      <c r="AM5">
        <f>SUMIF(DeadRaw!$B:$B,$A5,DeadRaw!AP:AP)</f>
        <v>13</v>
      </c>
      <c r="AN5">
        <f>SUMIF(DeadRaw!$B:$B,$A5,DeadRaw!AQ:AQ)</f>
        <v>16</v>
      </c>
      <c r="AO5">
        <f>SUMIF(DeadRaw!$B:$B,$A5,DeadRaw!AR:AR)</f>
        <v>17</v>
      </c>
      <c r="AP5">
        <f>SUMIF(DeadRaw!$B:$B,$A5,DeadRaw!AS:AS)</f>
        <v>28</v>
      </c>
      <c r="AQ5">
        <f>SUMIF(DeadRaw!$B:$B,$A5,DeadRaw!AT:AT)</f>
        <v>28</v>
      </c>
      <c r="AR5">
        <f>SUMIF(DeadRaw!$B:$B,$A5,DeadRaw!AU:AU)</f>
        <v>35</v>
      </c>
      <c r="AS5">
        <f>SUMIF(DeadRaw!$B:$B,$A5,DeadRaw!AV:AV)</f>
        <v>35</v>
      </c>
      <c r="AT5">
        <f>SUMIF(DeadRaw!$B:$B,$A5,DeadRaw!AW:AW)</f>
        <v>42</v>
      </c>
      <c r="AU5">
        <f>SUMIF(DeadRaw!$B:$B,$A5,DeadRaw!AX:AX)</f>
        <v>44</v>
      </c>
      <c r="AV5">
        <f>SUMIF(DeadRaw!$B:$B,$A5,DeadRaw!AY:AY)</f>
        <v>50</v>
      </c>
      <c r="AW5">
        <f>SUMIF(DeadRaw!$B:$B,$A5,DeadRaw!AZ:AZ)</f>
        <v>53</v>
      </c>
      <c r="AX5">
        <f>SUMIF(DeadRaw!$B:$B,$A5,DeadRaw!BA:BA)</f>
        <v>54</v>
      </c>
      <c r="AY5">
        <f>SUMIF(DeadRaw!$B:$B,$A5,DeadRaw!BB:BB)</f>
        <v>60</v>
      </c>
      <c r="AZ5">
        <f>SUMIF(DeadRaw!$B:$B,$A5,DeadRaw!BC:BC)</f>
        <v>66</v>
      </c>
      <c r="BA5">
        <f>SUMIF(DeadRaw!$B:$B,$A5,DeadRaw!BD:BD)</f>
        <v>66</v>
      </c>
      <c r="BB5">
        <f>SUMIF(DeadRaw!$B:$B,$A5,DeadRaw!BE:BE)</f>
        <v>72</v>
      </c>
      <c r="BC5">
        <f>SUMIF(DeadRaw!$B:$B,$A5,DeadRaw!BF:BF)</f>
        <v>75</v>
      </c>
      <c r="BD5">
        <f>SUMIF(DeadRaw!$B:$B,$A5,DeadRaw!BG:BG)</f>
        <v>75</v>
      </c>
      <c r="BE5">
        <f>SUMIF(DeadRaw!$B:$B,$A5,DeadRaw!BH:BH)</f>
        <v>81</v>
      </c>
      <c r="BF5">
        <f>SUMIF(DeadRaw!$B:$B,$A5,DeadRaw!BI:BI)</f>
        <v>84</v>
      </c>
      <c r="BG5">
        <f>SUMIF(DeadRaw!$B:$B,$A5,DeadRaw!BJ:BJ)</f>
        <v>0</v>
      </c>
      <c r="BH5">
        <f>SUMIF(DeadRaw!$B:$B,$A5,DeadRaw!BK:BK)</f>
        <v>0</v>
      </c>
      <c r="BI5">
        <f>SUMIF(DeadRaw!$B:$B,$A5,DeadRaw!BL:BL)</f>
        <v>0</v>
      </c>
      <c r="BJ5">
        <f>SUMIF(DeadRaw!$B:$B,$A5,DeadRaw!BM:BM)</f>
        <v>0</v>
      </c>
      <c r="BK5">
        <f>SUMIF(DeadRaw!$B:$B,$A5,DeadRaw!BN:BN)</f>
        <v>0</v>
      </c>
      <c r="BL5">
        <f>SUMIF(DeadRaw!$B:$B,$A5,DeadRaw!BO:BO)</f>
        <v>0</v>
      </c>
      <c r="BM5">
        <f>SUMIF(DeadRaw!$B:$B,$A5,DeadRaw!BP:BP)</f>
        <v>0</v>
      </c>
      <c r="BN5">
        <f>SUMIF(DeadRaw!$B:$B,$A5,DeadRaw!BQ:BQ)</f>
        <v>0</v>
      </c>
      <c r="BO5">
        <f>SUMIF(DeadRaw!$B:$B,$A5,DeadRaw!BR:BR)</f>
        <v>0</v>
      </c>
      <c r="BP5">
        <f>SUMIF(DeadRaw!$B:$B,$A5,DeadRaw!BS:BS)</f>
        <v>0</v>
      </c>
      <c r="BQ5">
        <f>SUMIF(DeadRaw!$B:$B,$A5,DeadRaw!BT:BT)</f>
        <v>0</v>
      </c>
      <c r="BR5">
        <f>SUMIF(DeadRaw!$B:$B,$A5,DeadRaw!BU:BU)</f>
        <v>0</v>
      </c>
      <c r="BS5">
        <f>SUMIF(DeadRaw!$B:$B,$A5,DeadRaw!BV:BV)</f>
        <v>0</v>
      </c>
      <c r="BT5">
        <f>SUMIF(DeadRaw!$B:$B,$A5,DeadRaw!BW:BW)</f>
        <v>0</v>
      </c>
    </row>
    <row r="6" spans="1:72" ht="15" thickBot="1" x14ac:dyDescent="0.35">
      <c r="A6" s="3" t="s">
        <v>60</v>
      </c>
      <c r="B6">
        <f>SUMIF(DeadRaw!$B:$B,$A6,DeadRaw!E:E)</f>
        <v>0</v>
      </c>
      <c r="C6">
        <f>SUMIF(DeadRaw!$B:$B,$A6,DeadRaw!F:F)</f>
        <v>0</v>
      </c>
      <c r="D6">
        <f>SUMIF(DeadRaw!$B:$B,$A6,DeadRaw!G:G)</f>
        <v>0</v>
      </c>
      <c r="E6">
        <f>SUMIF(DeadRaw!$B:$B,$A6,DeadRaw!H:H)</f>
        <v>0</v>
      </c>
      <c r="F6">
        <f>SUMIF(DeadRaw!$B:$B,$A6,DeadRaw!I:I)</f>
        <v>0</v>
      </c>
      <c r="G6">
        <f>SUMIF(DeadRaw!$B:$B,$A6,DeadRaw!J:J)</f>
        <v>0</v>
      </c>
      <c r="H6">
        <f>SUMIF(DeadRaw!$B:$B,$A6,DeadRaw!K:K)</f>
        <v>0</v>
      </c>
      <c r="I6">
        <f>SUMIF(DeadRaw!$B:$B,$A6,DeadRaw!L:L)</f>
        <v>0</v>
      </c>
      <c r="J6">
        <f>SUMIF(DeadRaw!$B:$B,$A6,DeadRaw!M:M)</f>
        <v>0</v>
      </c>
      <c r="K6">
        <f>SUMIF(DeadRaw!$B:$B,$A6,DeadRaw!N:N)</f>
        <v>0</v>
      </c>
      <c r="L6">
        <f>SUMIF(DeadRaw!$B:$B,$A6,DeadRaw!O:O)</f>
        <v>0</v>
      </c>
      <c r="M6">
        <f>SUMIF(DeadRaw!$B:$B,$A6,DeadRaw!P:P)</f>
        <v>0</v>
      </c>
      <c r="N6">
        <f>SUMIF(DeadRaw!$B:$B,$A6,DeadRaw!Q:Q)</f>
        <v>0</v>
      </c>
      <c r="O6">
        <f>SUMIF(DeadRaw!$B:$B,$A6,DeadRaw!R:R)</f>
        <v>0</v>
      </c>
      <c r="P6">
        <f>SUMIF(DeadRaw!$B:$B,$A6,DeadRaw!S:S)</f>
        <v>0</v>
      </c>
      <c r="Q6">
        <f>SUMIF(DeadRaw!$B:$B,$A6,DeadRaw!T:T)</f>
        <v>0</v>
      </c>
      <c r="R6">
        <f>SUMIF(DeadRaw!$B:$B,$A6,DeadRaw!U:U)</f>
        <v>0</v>
      </c>
      <c r="S6">
        <f>SUMIF(DeadRaw!$B:$B,$A6,DeadRaw!V:V)</f>
        <v>0</v>
      </c>
      <c r="T6">
        <f>SUMIF(DeadRaw!$B:$B,$A6,DeadRaw!W:W)</f>
        <v>0</v>
      </c>
      <c r="U6">
        <f>SUMIF(DeadRaw!$B:$B,$A6,DeadRaw!X:X)</f>
        <v>0</v>
      </c>
      <c r="V6">
        <f>SUMIF(DeadRaw!$B:$B,$A6,DeadRaw!Y:Y)</f>
        <v>0</v>
      </c>
      <c r="W6">
        <f>SUMIF(DeadRaw!$B:$B,$A6,DeadRaw!Z:Z)</f>
        <v>0</v>
      </c>
      <c r="X6">
        <f>SUMIF(DeadRaw!$B:$B,$A6,DeadRaw!AA:AA)</f>
        <v>0</v>
      </c>
      <c r="Y6">
        <f>SUMIF(DeadRaw!$B:$B,$A6,DeadRaw!AB:AB)</f>
        <v>0</v>
      </c>
      <c r="Z6">
        <f>SUMIF(DeadRaw!$B:$B,$A6,DeadRaw!AC:AC)</f>
        <v>0</v>
      </c>
      <c r="AA6">
        <f>SUMIF(DeadRaw!$B:$B,$A6,DeadRaw!AD:AD)</f>
        <v>0</v>
      </c>
      <c r="AB6">
        <f>SUMIF(DeadRaw!$B:$B,$A6,DeadRaw!AE:AE)</f>
        <v>0</v>
      </c>
      <c r="AC6">
        <f>SUMIF(DeadRaw!$B:$B,$A6,DeadRaw!AF:AF)</f>
        <v>0</v>
      </c>
      <c r="AD6">
        <f>SUMIF(DeadRaw!$B:$B,$A6,DeadRaw!AG:AG)</f>
        <v>0</v>
      </c>
      <c r="AE6">
        <f>SUMIF(DeadRaw!$B:$B,$A6,DeadRaw!AH:AH)</f>
        <v>0</v>
      </c>
      <c r="AF6">
        <f>SUMIF(DeadRaw!$B:$B,$A6,DeadRaw!AI:AI)</f>
        <v>0</v>
      </c>
      <c r="AG6">
        <f>SUMIF(DeadRaw!$B:$B,$A6,DeadRaw!AJ:AJ)</f>
        <v>0</v>
      </c>
      <c r="AH6">
        <f>SUMIF(DeadRaw!$B:$B,$A6,DeadRaw!AK:AK)</f>
        <v>0</v>
      </c>
      <c r="AI6">
        <f>SUMIF(DeadRaw!$B:$B,$A6,DeadRaw!AL:AL)</f>
        <v>0</v>
      </c>
      <c r="AJ6">
        <f>SUMIF(DeadRaw!$B:$B,$A6,DeadRaw!AM:AM)</f>
        <v>0</v>
      </c>
      <c r="AK6">
        <f>SUMIF(DeadRaw!$B:$B,$A6,DeadRaw!AN:AN)</f>
        <v>0</v>
      </c>
      <c r="AL6">
        <f>SUMIF(DeadRaw!$B:$B,$A6,DeadRaw!AO:AO)</f>
        <v>0</v>
      </c>
      <c r="AM6">
        <f>SUMIF(DeadRaw!$B:$B,$A6,DeadRaw!AP:AP)</f>
        <v>0</v>
      </c>
      <c r="AN6">
        <f>SUMIF(DeadRaw!$B:$B,$A6,DeadRaw!AQ:AQ)</f>
        <v>0</v>
      </c>
      <c r="AO6">
        <f>SUMIF(DeadRaw!$B:$B,$A6,DeadRaw!AR:AR)</f>
        <v>0</v>
      </c>
      <c r="AP6">
        <f>SUMIF(DeadRaw!$B:$B,$A6,DeadRaw!AS:AS)</f>
        <v>0</v>
      </c>
      <c r="AQ6">
        <f>SUMIF(DeadRaw!$B:$B,$A6,DeadRaw!AT:AT)</f>
        <v>1</v>
      </c>
      <c r="AR6">
        <f>SUMIF(DeadRaw!$B:$B,$A6,DeadRaw!AU:AU)</f>
        <v>2</v>
      </c>
      <c r="AS6">
        <f>SUMIF(DeadRaw!$B:$B,$A6,DeadRaw!AV:AV)</f>
        <v>3</v>
      </c>
      <c r="AT6">
        <f>SUMIF(DeadRaw!$B:$B,$A6,DeadRaw!AW:AW)</f>
        <v>5</v>
      </c>
      <c r="AU6">
        <f>SUMIF(DeadRaw!$B:$B,$A6,DeadRaw!AX:AX)</f>
        <v>10</v>
      </c>
      <c r="AV6">
        <f>SUMIF(DeadRaw!$B:$B,$A6,DeadRaw!AY:AY)</f>
        <v>17</v>
      </c>
      <c r="AW6">
        <f>SUMIF(DeadRaw!$B:$B,$A6,DeadRaw!AZ:AZ)</f>
        <v>28</v>
      </c>
      <c r="AX6">
        <f>SUMIF(DeadRaw!$B:$B,$A6,DeadRaw!BA:BA)</f>
        <v>35</v>
      </c>
      <c r="AY6">
        <f>SUMIF(DeadRaw!$B:$B,$A6,DeadRaw!BB:BB)</f>
        <v>54</v>
      </c>
      <c r="AZ6">
        <f>SUMIF(DeadRaw!$B:$B,$A6,DeadRaw!BC:BC)</f>
        <v>55</v>
      </c>
      <c r="BA6">
        <f>SUMIF(DeadRaw!$B:$B,$A6,DeadRaw!BD:BD)</f>
        <v>133</v>
      </c>
      <c r="BB6">
        <f>SUMIF(DeadRaw!$B:$B,$A6,DeadRaw!BE:BE)</f>
        <v>195</v>
      </c>
      <c r="BC6">
        <f>SUMIF(DeadRaw!$B:$B,$A6,DeadRaw!BF:BF)</f>
        <v>289</v>
      </c>
      <c r="BD6">
        <f>SUMIF(DeadRaw!$B:$B,$A6,DeadRaw!BG:BG)</f>
        <v>342</v>
      </c>
      <c r="BE6">
        <f>SUMIF(DeadRaw!$B:$B,$A6,DeadRaw!BH:BH)</f>
        <v>533</v>
      </c>
      <c r="BF6">
        <f>SUMIF(DeadRaw!$B:$B,$A6,DeadRaw!BI:BI)</f>
        <v>623</v>
      </c>
      <c r="BG6">
        <f>SUMIF(DeadRaw!$B:$B,$A6,DeadRaw!BJ:BJ)</f>
        <v>0</v>
      </c>
      <c r="BH6">
        <f>SUMIF(DeadRaw!$B:$B,$A6,DeadRaw!BK:BK)</f>
        <v>0</v>
      </c>
      <c r="BI6">
        <f>SUMIF(DeadRaw!$B:$B,$A6,DeadRaw!BL:BL)</f>
        <v>0</v>
      </c>
      <c r="BJ6">
        <f>SUMIF(DeadRaw!$B:$B,$A6,DeadRaw!BM:BM)</f>
        <v>0</v>
      </c>
      <c r="BK6">
        <f>SUMIF(DeadRaw!$B:$B,$A6,DeadRaw!BN:BN)</f>
        <v>0</v>
      </c>
      <c r="BL6">
        <f>SUMIF(DeadRaw!$B:$B,$A6,DeadRaw!BO:BO)</f>
        <v>0</v>
      </c>
      <c r="BM6">
        <f>SUMIF(DeadRaw!$B:$B,$A6,DeadRaw!BP:BP)</f>
        <v>0</v>
      </c>
      <c r="BN6">
        <f>SUMIF(DeadRaw!$B:$B,$A6,DeadRaw!BQ:BQ)</f>
        <v>0</v>
      </c>
      <c r="BO6">
        <f>SUMIF(DeadRaw!$B:$B,$A6,DeadRaw!BR:BR)</f>
        <v>0</v>
      </c>
      <c r="BP6">
        <f>SUMIF(DeadRaw!$B:$B,$A6,DeadRaw!BS:BS)</f>
        <v>0</v>
      </c>
      <c r="BQ6">
        <f>SUMIF(DeadRaw!$B:$B,$A6,DeadRaw!BT:BT)</f>
        <v>0</v>
      </c>
      <c r="BR6">
        <f>SUMIF(DeadRaw!$B:$B,$A6,DeadRaw!BU:BU)</f>
        <v>0</v>
      </c>
      <c r="BS6">
        <f>SUMIF(DeadRaw!$B:$B,$A6,DeadRaw!BV:BV)</f>
        <v>0</v>
      </c>
      <c r="BT6">
        <f>SUMIF(DeadRaw!$B:$B,$A6,DeadRaw!BW:BW)</f>
        <v>0</v>
      </c>
    </row>
    <row r="7" spans="1:72" ht="15" thickBot="1" x14ac:dyDescent="0.35">
      <c r="A7" s="4" t="s">
        <v>53</v>
      </c>
      <c r="B7">
        <f>SUMIF(DeadRaw!$B:$B,$A7,DeadRaw!E:E)</f>
        <v>0</v>
      </c>
      <c r="C7">
        <f>SUMIF(DeadRaw!$B:$B,$A7,DeadRaw!F:F)</f>
        <v>0</v>
      </c>
      <c r="D7">
        <f>SUMIF(DeadRaw!$B:$B,$A7,DeadRaw!G:G)</f>
        <v>0</v>
      </c>
      <c r="E7">
        <f>SUMIF(DeadRaw!$B:$B,$A7,DeadRaw!H:H)</f>
        <v>0</v>
      </c>
      <c r="F7">
        <f>SUMIF(DeadRaw!$B:$B,$A7,DeadRaw!I:I)</f>
        <v>0</v>
      </c>
      <c r="G7">
        <f>SUMIF(DeadRaw!$B:$B,$A7,DeadRaw!J:J)</f>
        <v>0</v>
      </c>
      <c r="H7">
        <f>SUMIF(DeadRaw!$B:$B,$A7,DeadRaw!K:K)</f>
        <v>0</v>
      </c>
      <c r="I7">
        <f>SUMIF(DeadRaw!$B:$B,$A7,DeadRaw!L:L)</f>
        <v>0</v>
      </c>
      <c r="J7">
        <f>SUMIF(DeadRaw!$B:$B,$A7,DeadRaw!M:M)</f>
        <v>0</v>
      </c>
      <c r="K7">
        <f>SUMIF(DeadRaw!$B:$B,$A7,DeadRaw!N:N)</f>
        <v>0</v>
      </c>
      <c r="L7">
        <f>SUMIF(DeadRaw!$B:$B,$A7,DeadRaw!O:O)</f>
        <v>0</v>
      </c>
      <c r="M7">
        <f>SUMIF(DeadRaw!$B:$B,$A7,DeadRaw!P:P)</f>
        <v>0</v>
      </c>
      <c r="N7">
        <f>SUMIF(DeadRaw!$B:$B,$A7,DeadRaw!Q:Q)</f>
        <v>0</v>
      </c>
      <c r="O7">
        <f>SUMIF(DeadRaw!$B:$B,$A7,DeadRaw!R:R)</f>
        <v>0</v>
      </c>
      <c r="P7">
        <f>SUMIF(DeadRaw!$B:$B,$A7,DeadRaw!S:S)</f>
        <v>0</v>
      </c>
      <c r="Q7">
        <f>SUMIF(DeadRaw!$B:$B,$A7,DeadRaw!T:T)</f>
        <v>0</v>
      </c>
      <c r="R7">
        <f>SUMIF(DeadRaw!$B:$B,$A7,DeadRaw!U:U)</f>
        <v>0</v>
      </c>
      <c r="S7">
        <f>SUMIF(DeadRaw!$B:$B,$A7,DeadRaw!V:V)</f>
        <v>0</v>
      </c>
      <c r="T7">
        <f>SUMIF(DeadRaw!$B:$B,$A7,DeadRaw!W:W)</f>
        <v>0</v>
      </c>
      <c r="U7">
        <f>SUMIF(DeadRaw!$B:$B,$A7,DeadRaw!X:X)</f>
        <v>0</v>
      </c>
      <c r="V7">
        <f>SUMIF(DeadRaw!$B:$B,$A7,DeadRaw!Y:Y)</f>
        <v>0</v>
      </c>
      <c r="W7">
        <f>SUMIF(DeadRaw!$B:$B,$A7,DeadRaw!Z:Z)</f>
        <v>0</v>
      </c>
      <c r="X7">
        <f>SUMIF(DeadRaw!$B:$B,$A7,DeadRaw!AA:AA)</f>
        <v>0</v>
      </c>
      <c r="Y7">
        <f>SUMIF(DeadRaw!$B:$B,$A7,DeadRaw!AB:AB)</f>
        <v>0</v>
      </c>
      <c r="Z7">
        <f>SUMIF(DeadRaw!$B:$B,$A7,DeadRaw!AC:AC)</f>
        <v>0</v>
      </c>
      <c r="AA7">
        <f>SUMIF(DeadRaw!$B:$B,$A7,DeadRaw!AD:AD)</f>
        <v>0</v>
      </c>
      <c r="AB7">
        <f>SUMIF(DeadRaw!$B:$B,$A7,DeadRaw!AE:AE)</f>
        <v>0</v>
      </c>
      <c r="AC7">
        <f>SUMIF(DeadRaw!$B:$B,$A7,DeadRaw!AF:AF)</f>
        <v>0</v>
      </c>
      <c r="AD7">
        <f>SUMIF(DeadRaw!$B:$B,$A7,DeadRaw!AG:AG)</f>
        <v>0</v>
      </c>
      <c r="AE7">
        <f>SUMIF(DeadRaw!$B:$B,$A7,DeadRaw!AH:AH)</f>
        <v>0</v>
      </c>
      <c r="AF7">
        <f>SUMIF(DeadRaw!$B:$B,$A7,DeadRaw!AI:AI)</f>
        <v>0</v>
      </c>
      <c r="AG7">
        <f>SUMIF(DeadRaw!$B:$B,$A7,DeadRaw!AJ:AJ)</f>
        <v>0</v>
      </c>
      <c r="AH7">
        <f>SUMIF(DeadRaw!$B:$B,$A7,DeadRaw!AK:AK)</f>
        <v>0</v>
      </c>
      <c r="AI7">
        <f>SUMIF(DeadRaw!$B:$B,$A7,DeadRaw!AL:AL)</f>
        <v>0</v>
      </c>
      <c r="AJ7">
        <f>SUMIF(DeadRaw!$B:$B,$A7,DeadRaw!AM:AM)</f>
        <v>0</v>
      </c>
      <c r="AK7">
        <f>SUMIF(DeadRaw!$B:$B,$A7,DeadRaw!AN:AN)</f>
        <v>0</v>
      </c>
      <c r="AL7">
        <f>SUMIF(DeadRaw!$B:$B,$A7,DeadRaw!AO:AO)</f>
        <v>0</v>
      </c>
      <c r="AM7">
        <f>SUMIF(DeadRaw!$B:$B,$A7,DeadRaw!AP:AP)</f>
        <v>0</v>
      </c>
      <c r="AN7">
        <f>SUMIF(DeadRaw!$B:$B,$A7,DeadRaw!AQ:AQ)</f>
        <v>0</v>
      </c>
      <c r="AO7">
        <f>SUMIF(DeadRaw!$B:$B,$A7,DeadRaw!AR:AR)</f>
        <v>0</v>
      </c>
      <c r="AP7">
        <f>SUMIF(DeadRaw!$B:$B,$A7,DeadRaw!AS:AS)</f>
        <v>0</v>
      </c>
      <c r="AQ7">
        <f>SUMIF(DeadRaw!$B:$B,$A7,DeadRaw!AT:AT)</f>
        <v>0</v>
      </c>
      <c r="AR7">
        <f>SUMIF(DeadRaw!$B:$B,$A7,DeadRaw!AU:AU)</f>
        <v>0</v>
      </c>
      <c r="AS7">
        <f>SUMIF(DeadRaw!$B:$B,$A7,DeadRaw!AV:AV)</f>
        <v>0</v>
      </c>
      <c r="AT7">
        <f>SUMIF(DeadRaw!$B:$B,$A7,DeadRaw!AW:AW)</f>
        <v>0</v>
      </c>
      <c r="AU7">
        <f>SUMIF(DeadRaw!$B:$B,$A7,DeadRaw!AX:AX)</f>
        <v>0</v>
      </c>
      <c r="AV7">
        <f>SUMIF(DeadRaw!$B:$B,$A7,DeadRaw!AY:AY)</f>
        <v>0</v>
      </c>
      <c r="AW7">
        <f>SUMIF(DeadRaw!$B:$B,$A7,DeadRaw!AZ:AZ)</f>
        <v>2</v>
      </c>
      <c r="AX7">
        <f>SUMIF(DeadRaw!$B:$B,$A7,DeadRaw!BA:BA)</f>
        <v>2</v>
      </c>
      <c r="AY7">
        <f>SUMIF(DeadRaw!$B:$B,$A7,DeadRaw!BB:BB)</f>
        <v>3</v>
      </c>
      <c r="AZ7">
        <f>SUMIF(DeadRaw!$B:$B,$A7,DeadRaw!BC:BC)</f>
        <v>3</v>
      </c>
      <c r="BA7">
        <f>SUMIF(DeadRaw!$B:$B,$A7,DeadRaw!BD:BD)</f>
        <v>7</v>
      </c>
      <c r="BB7">
        <f>SUMIF(DeadRaw!$B:$B,$A7,DeadRaw!BE:BE)</f>
        <v>9</v>
      </c>
      <c r="BC7">
        <f>SUMIF(DeadRaw!$B:$B,$A7,DeadRaw!BF:BF)</f>
        <v>11</v>
      </c>
      <c r="BD7">
        <f>SUMIF(DeadRaw!$B:$B,$A7,DeadRaw!BG:BG)</f>
        <v>17</v>
      </c>
      <c r="BE7">
        <f>SUMIF(DeadRaw!$B:$B,$A7,DeadRaw!BH:BH)</f>
        <v>24</v>
      </c>
      <c r="BF7">
        <f>SUMIF(DeadRaw!$B:$B,$A7,DeadRaw!BI:BI)</f>
        <v>28</v>
      </c>
      <c r="BG7">
        <f>SUMIF(DeadRaw!$B:$B,$A7,DeadRaw!BJ:BJ)</f>
        <v>0</v>
      </c>
      <c r="BH7">
        <f>SUMIF(DeadRaw!$B:$B,$A7,DeadRaw!BK:BK)</f>
        <v>0</v>
      </c>
      <c r="BI7">
        <f>SUMIF(DeadRaw!$B:$B,$A7,DeadRaw!BL:BL)</f>
        <v>0</v>
      </c>
      <c r="BJ7">
        <f>SUMIF(DeadRaw!$B:$B,$A7,DeadRaw!BM:BM)</f>
        <v>0</v>
      </c>
      <c r="BK7">
        <f>SUMIF(DeadRaw!$B:$B,$A7,DeadRaw!BN:BN)</f>
        <v>0</v>
      </c>
      <c r="BL7">
        <f>SUMIF(DeadRaw!$B:$B,$A7,DeadRaw!BO:BO)</f>
        <v>0</v>
      </c>
      <c r="BM7">
        <f>SUMIF(DeadRaw!$B:$B,$A7,DeadRaw!BP:BP)</f>
        <v>0</v>
      </c>
      <c r="BN7">
        <f>SUMIF(DeadRaw!$B:$B,$A7,DeadRaw!BQ:BQ)</f>
        <v>0</v>
      </c>
      <c r="BO7">
        <f>SUMIF(DeadRaw!$B:$B,$A7,DeadRaw!BR:BR)</f>
        <v>0</v>
      </c>
      <c r="BP7">
        <f>SUMIF(DeadRaw!$B:$B,$A7,DeadRaw!BS:BS)</f>
        <v>0</v>
      </c>
      <c r="BQ7">
        <f>SUMIF(DeadRaw!$B:$B,$A7,DeadRaw!BT:BT)</f>
        <v>0</v>
      </c>
      <c r="BR7">
        <f>SUMIF(DeadRaw!$B:$B,$A7,DeadRaw!BU:BU)</f>
        <v>0</v>
      </c>
      <c r="BS7">
        <f>SUMIF(DeadRaw!$B:$B,$A7,DeadRaw!BV:BV)</f>
        <v>0</v>
      </c>
      <c r="BT7">
        <f>SUMIF(DeadRaw!$B:$B,$A7,DeadRaw!BW:BW)</f>
        <v>0</v>
      </c>
    </row>
    <row r="8" spans="1:72" ht="15" thickBot="1" x14ac:dyDescent="0.35">
      <c r="A8" s="4" t="s">
        <v>41</v>
      </c>
      <c r="B8">
        <f>SUMIF(DeadRaw!$B:$B,$A8,DeadRaw!E:E)</f>
        <v>0</v>
      </c>
      <c r="C8">
        <f>SUMIF(DeadRaw!$B:$B,$A8,DeadRaw!F:F)</f>
        <v>0</v>
      </c>
      <c r="D8">
        <f>SUMIF(DeadRaw!$B:$B,$A8,DeadRaw!G:G)</f>
        <v>0</v>
      </c>
      <c r="E8">
        <f>SUMIF(DeadRaw!$B:$B,$A8,DeadRaw!H:H)</f>
        <v>0</v>
      </c>
      <c r="F8">
        <f>SUMIF(DeadRaw!$B:$B,$A8,DeadRaw!I:I)</f>
        <v>0</v>
      </c>
      <c r="G8">
        <f>SUMIF(DeadRaw!$B:$B,$A8,DeadRaw!J:J)</f>
        <v>0</v>
      </c>
      <c r="H8">
        <f>SUMIF(DeadRaw!$B:$B,$A8,DeadRaw!K:K)</f>
        <v>0</v>
      </c>
      <c r="I8">
        <f>SUMIF(DeadRaw!$B:$B,$A8,DeadRaw!L:L)</f>
        <v>0</v>
      </c>
      <c r="J8">
        <f>SUMIF(DeadRaw!$B:$B,$A8,DeadRaw!M:M)</f>
        <v>0</v>
      </c>
      <c r="K8">
        <f>SUMIF(DeadRaw!$B:$B,$A8,DeadRaw!N:N)</f>
        <v>0</v>
      </c>
      <c r="L8">
        <f>SUMIF(DeadRaw!$B:$B,$A8,DeadRaw!O:O)</f>
        <v>0</v>
      </c>
      <c r="M8">
        <f>SUMIF(DeadRaw!$B:$B,$A8,DeadRaw!P:P)</f>
        <v>0</v>
      </c>
      <c r="N8">
        <f>SUMIF(DeadRaw!$B:$B,$A8,DeadRaw!Q:Q)</f>
        <v>0</v>
      </c>
      <c r="O8">
        <f>SUMIF(DeadRaw!$B:$B,$A8,DeadRaw!R:R)</f>
        <v>0</v>
      </c>
      <c r="P8">
        <f>SUMIF(DeadRaw!$B:$B,$A8,DeadRaw!S:S)</f>
        <v>0</v>
      </c>
      <c r="Q8">
        <f>SUMIF(DeadRaw!$B:$B,$A8,DeadRaw!T:T)</f>
        <v>0</v>
      </c>
      <c r="R8">
        <f>SUMIF(DeadRaw!$B:$B,$A8,DeadRaw!U:U)</f>
        <v>0</v>
      </c>
      <c r="S8">
        <f>SUMIF(DeadRaw!$B:$B,$A8,DeadRaw!V:V)</f>
        <v>0</v>
      </c>
      <c r="T8">
        <f>SUMIF(DeadRaw!$B:$B,$A8,DeadRaw!W:W)</f>
        <v>0</v>
      </c>
      <c r="U8">
        <f>SUMIF(DeadRaw!$B:$B,$A8,DeadRaw!X:X)</f>
        <v>0</v>
      </c>
      <c r="V8">
        <f>SUMIF(DeadRaw!$B:$B,$A8,DeadRaw!Y:Y)</f>
        <v>0</v>
      </c>
      <c r="W8">
        <f>SUMIF(DeadRaw!$B:$B,$A8,DeadRaw!Z:Z)</f>
        <v>0</v>
      </c>
      <c r="X8">
        <f>SUMIF(DeadRaw!$B:$B,$A8,DeadRaw!AA:AA)</f>
        <v>0</v>
      </c>
      <c r="Y8">
        <f>SUMIF(DeadRaw!$B:$B,$A8,DeadRaw!AB:AB)</f>
        <v>0</v>
      </c>
      <c r="Z8">
        <f>SUMIF(DeadRaw!$B:$B,$A8,DeadRaw!AC:AC)</f>
        <v>1</v>
      </c>
      <c r="AA8">
        <f>SUMIF(DeadRaw!$B:$B,$A8,DeadRaw!AD:AD)</f>
        <v>1</v>
      </c>
      <c r="AB8">
        <f>SUMIF(DeadRaw!$B:$B,$A8,DeadRaw!AE:AE)</f>
        <v>1</v>
      </c>
      <c r="AC8">
        <f>SUMIF(DeadRaw!$B:$B,$A8,DeadRaw!AF:AF)</f>
        <v>1</v>
      </c>
      <c r="AD8">
        <f>SUMIF(DeadRaw!$B:$B,$A8,DeadRaw!AG:AG)</f>
        <v>1</v>
      </c>
      <c r="AE8">
        <f>SUMIF(DeadRaw!$B:$B,$A8,DeadRaw!AH:AH)</f>
        <v>1</v>
      </c>
      <c r="AF8">
        <f>SUMIF(DeadRaw!$B:$B,$A8,DeadRaw!AI:AI)</f>
        <v>1</v>
      </c>
      <c r="AG8">
        <f>SUMIF(DeadRaw!$B:$B,$A8,DeadRaw!AJ:AJ)</f>
        <v>1</v>
      </c>
      <c r="AH8">
        <f>SUMIF(DeadRaw!$B:$B,$A8,DeadRaw!AK:AK)</f>
        <v>1</v>
      </c>
      <c r="AI8">
        <f>SUMIF(DeadRaw!$B:$B,$A8,DeadRaw!AL:AL)</f>
        <v>1</v>
      </c>
      <c r="AJ8">
        <f>SUMIF(DeadRaw!$B:$B,$A8,DeadRaw!AM:AM)</f>
        <v>1</v>
      </c>
      <c r="AK8">
        <f>SUMIF(DeadRaw!$B:$B,$A8,DeadRaw!AN:AN)</f>
        <v>2</v>
      </c>
      <c r="AL8">
        <f>SUMIF(DeadRaw!$B:$B,$A8,DeadRaw!AO:AO)</f>
        <v>2</v>
      </c>
      <c r="AM8">
        <f>SUMIF(DeadRaw!$B:$B,$A8,DeadRaw!AP:AP)</f>
        <v>2</v>
      </c>
      <c r="AN8">
        <f>SUMIF(DeadRaw!$B:$B,$A8,DeadRaw!AQ:AQ)</f>
        <v>2</v>
      </c>
      <c r="AO8">
        <f>SUMIF(DeadRaw!$B:$B,$A8,DeadRaw!AR:AR)</f>
        <v>2</v>
      </c>
      <c r="AP8">
        <f>SUMIF(DeadRaw!$B:$B,$A8,DeadRaw!AS:AS)</f>
        <v>3</v>
      </c>
      <c r="AQ8">
        <f>SUMIF(DeadRaw!$B:$B,$A8,DeadRaw!AT:AT)</f>
        <v>4</v>
      </c>
      <c r="AR8">
        <f>SUMIF(DeadRaw!$B:$B,$A8,DeadRaw!AU:AU)</f>
        <v>4</v>
      </c>
      <c r="AS8">
        <f>SUMIF(DeadRaw!$B:$B,$A8,DeadRaw!AV:AV)</f>
        <v>6</v>
      </c>
      <c r="AT8">
        <f>SUMIF(DeadRaw!$B:$B,$A8,DeadRaw!AW:AW)</f>
        <v>9</v>
      </c>
      <c r="AU8">
        <f>SUMIF(DeadRaw!$B:$B,$A8,DeadRaw!AX:AX)</f>
        <v>11</v>
      </c>
      <c r="AV8">
        <f>SUMIF(DeadRaw!$B:$B,$A8,DeadRaw!AY:AY)</f>
        <v>19</v>
      </c>
      <c r="AW8">
        <f>SUMIF(DeadRaw!$B:$B,$A8,DeadRaw!AZ:AZ)</f>
        <v>19</v>
      </c>
      <c r="AX8">
        <f>SUMIF(DeadRaw!$B:$B,$A8,DeadRaw!BA:BA)</f>
        <v>33</v>
      </c>
      <c r="AY8">
        <f>SUMIF(DeadRaw!$B:$B,$A8,DeadRaw!BB:BB)</f>
        <v>48</v>
      </c>
      <c r="AZ8">
        <f>SUMIF(DeadRaw!$B:$B,$A8,DeadRaw!BC:BC)</f>
        <v>48</v>
      </c>
      <c r="BA8">
        <f>SUMIF(DeadRaw!$B:$B,$A8,DeadRaw!BD:BD)</f>
        <v>79</v>
      </c>
      <c r="BB8">
        <f>SUMIF(DeadRaw!$B:$B,$A8,DeadRaw!BE:BE)</f>
        <v>91</v>
      </c>
      <c r="BC8">
        <f>SUMIF(DeadRaw!$B:$B,$A8,DeadRaw!BF:BF)</f>
        <v>91</v>
      </c>
      <c r="BD8">
        <f>SUMIF(DeadRaw!$B:$B,$A8,DeadRaw!BG:BG)</f>
        <v>148</v>
      </c>
      <c r="BE8">
        <f>SUMIF(DeadRaw!$B:$B,$A8,DeadRaw!BH:BH)</f>
        <v>148</v>
      </c>
      <c r="BF8">
        <f>SUMIF(DeadRaw!$B:$B,$A8,DeadRaw!BI:BI)</f>
        <v>148</v>
      </c>
      <c r="BG8">
        <f>SUMIF(DeadRaw!$B:$B,$A8,DeadRaw!BJ:BJ)</f>
        <v>0</v>
      </c>
      <c r="BH8">
        <f>SUMIF(DeadRaw!$B:$B,$A8,DeadRaw!BK:BK)</f>
        <v>0</v>
      </c>
      <c r="BI8">
        <f>SUMIF(DeadRaw!$B:$B,$A8,DeadRaw!BL:BL)</f>
        <v>0</v>
      </c>
      <c r="BJ8">
        <f>SUMIF(DeadRaw!$B:$B,$A8,DeadRaw!BM:BM)</f>
        <v>0</v>
      </c>
      <c r="BK8">
        <f>SUMIF(DeadRaw!$B:$B,$A8,DeadRaw!BN:BN)</f>
        <v>0</v>
      </c>
      <c r="BL8">
        <f>SUMIF(DeadRaw!$B:$B,$A8,DeadRaw!BO:BO)</f>
        <v>0</v>
      </c>
      <c r="BM8">
        <f>SUMIF(DeadRaw!$B:$B,$A8,DeadRaw!BP:BP)</f>
        <v>0</v>
      </c>
      <c r="BN8">
        <f>SUMIF(DeadRaw!$B:$B,$A8,DeadRaw!BQ:BQ)</f>
        <v>0</v>
      </c>
      <c r="BO8">
        <f>SUMIF(DeadRaw!$B:$B,$A8,DeadRaw!BR:BR)</f>
        <v>0</v>
      </c>
      <c r="BP8">
        <f>SUMIF(DeadRaw!$B:$B,$A8,DeadRaw!BS:BS)</f>
        <v>0</v>
      </c>
      <c r="BQ8">
        <f>SUMIF(DeadRaw!$B:$B,$A8,DeadRaw!BT:BT)</f>
        <v>0</v>
      </c>
      <c r="BR8">
        <f>SUMIF(DeadRaw!$B:$B,$A8,DeadRaw!BU:BU)</f>
        <v>0</v>
      </c>
      <c r="BS8">
        <f>SUMIF(DeadRaw!$B:$B,$A8,DeadRaw!BV:BV)</f>
        <v>0</v>
      </c>
      <c r="BT8">
        <f>SUMIF(DeadRaw!$B:$B,$A8,DeadRaw!BW:BW)</f>
        <v>0</v>
      </c>
    </row>
    <row r="9" spans="1:72" ht="15" thickBot="1" x14ac:dyDescent="0.35">
      <c r="A9" s="3" t="s">
        <v>38</v>
      </c>
      <c r="B9">
        <f>SUMIF(DeadRaw!$B:$B,$A9,DeadRaw!E:E)</f>
        <v>0</v>
      </c>
      <c r="C9">
        <f>SUMIF(DeadRaw!$B:$B,$A9,DeadRaw!F:F)</f>
        <v>0</v>
      </c>
      <c r="D9">
        <f>SUMIF(DeadRaw!$B:$B,$A9,DeadRaw!G:G)</f>
        <v>0</v>
      </c>
      <c r="E9">
        <f>SUMIF(DeadRaw!$B:$B,$A9,DeadRaw!H:H)</f>
        <v>0</v>
      </c>
      <c r="F9">
        <f>SUMIF(DeadRaw!$B:$B,$A9,DeadRaw!I:I)</f>
        <v>0</v>
      </c>
      <c r="G9">
        <f>SUMIF(DeadRaw!$B:$B,$A9,DeadRaw!J:J)</f>
        <v>0</v>
      </c>
      <c r="H9">
        <f>SUMIF(DeadRaw!$B:$B,$A9,DeadRaw!K:K)</f>
        <v>0</v>
      </c>
      <c r="I9">
        <f>SUMIF(DeadRaw!$B:$B,$A9,DeadRaw!L:L)</f>
        <v>0</v>
      </c>
      <c r="J9">
        <f>SUMIF(DeadRaw!$B:$B,$A9,DeadRaw!M:M)</f>
        <v>0</v>
      </c>
      <c r="K9">
        <f>SUMIF(DeadRaw!$B:$B,$A9,DeadRaw!N:N)</f>
        <v>0</v>
      </c>
      <c r="L9">
        <f>SUMIF(DeadRaw!$B:$B,$A9,DeadRaw!O:O)</f>
        <v>0</v>
      </c>
      <c r="M9">
        <f>SUMIF(DeadRaw!$B:$B,$A9,DeadRaw!P:P)</f>
        <v>0</v>
      </c>
      <c r="N9">
        <f>SUMIF(DeadRaw!$B:$B,$A9,DeadRaw!Q:Q)</f>
        <v>0</v>
      </c>
      <c r="O9">
        <f>SUMIF(DeadRaw!$B:$B,$A9,DeadRaw!R:R)</f>
        <v>0</v>
      </c>
      <c r="P9">
        <f>SUMIF(DeadRaw!$B:$B,$A9,DeadRaw!S:S)</f>
        <v>0</v>
      </c>
      <c r="Q9">
        <f>SUMIF(DeadRaw!$B:$B,$A9,DeadRaw!T:T)</f>
        <v>0</v>
      </c>
      <c r="R9">
        <f>SUMIF(DeadRaw!$B:$B,$A9,DeadRaw!U:U)</f>
        <v>0</v>
      </c>
      <c r="S9">
        <f>SUMIF(DeadRaw!$B:$B,$A9,DeadRaw!V:V)</f>
        <v>0</v>
      </c>
      <c r="T9">
        <f>SUMIF(DeadRaw!$B:$B,$A9,DeadRaw!W:W)</f>
        <v>0</v>
      </c>
      <c r="U9">
        <f>SUMIF(DeadRaw!$B:$B,$A9,DeadRaw!X:X)</f>
        <v>0</v>
      </c>
      <c r="V9">
        <f>SUMIF(DeadRaw!$B:$B,$A9,DeadRaw!Y:Y)</f>
        <v>0</v>
      </c>
      <c r="W9">
        <f>SUMIF(DeadRaw!$B:$B,$A9,DeadRaw!Z:Z)</f>
        <v>0</v>
      </c>
      <c r="X9">
        <f>SUMIF(DeadRaw!$B:$B,$A9,DeadRaw!AA:AA)</f>
        <v>0</v>
      </c>
      <c r="Y9">
        <f>SUMIF(DeadRaw!$B:$B,$A9,DeadRaw!AB:AB)</f>
        <v>0</v>
      </c>
      <c r="Z9">
        <f>SUMIF(DeadRaw!$B:$B,$A9,DeadRaw!AC:AC)</f>
        <v>0</v>
      </c>
      <c r="AA9">
        <f>SUMIF(DeadRaw!$B:$B,$A9,DeadRaw!AD:AD)</f>
        <v>0</v>
      </c>
      <c r="AB9">
        <f>SUMIF(DeadRaw!$B:$B,$A9,DeadRaw!AE:AE)</f>
        <v>0</v>
      </c>
      <c r="AC9">
        <f>SUMIF(DeadRaw!$B:$B,$A9,DeadRaw!AF:AF)</f>
        <v>0</v>
      </c>
      <c r="AD9">
        <f>SUMIF(DeadRaw!$B:$B,$A9,DeadRaw!AG:AG)</f>
        <v>0</v>
      </c>
      <c r="AE9">
        <f>SUMIF(DeadRaw!$B:$B,$A9,DeadRaw!AH:AH)</f>
        <v>0</v>
      </c>
      <c r="AF9">
        <f>SUMIF(DeadRaw!$B:$B,$A9,DeadRaw!AI:AI)</f>
        <v>0</v>
      </c>
      <c r="AG9">
        <f>SUMIF(DeadRaw!$B:$B,$A9,DeadRaw!AJ:AJ)</f>
        <v>0</v>
      </c>
      <c r="AH9">
        <f>SUMIF(DeadRaw!$B:$B,$A9,DeadRaw!AK:AK)</f>
        <v>0</v>
      </c>
      <c r="AI9">
        <f>SUMIF(DeadRaw!$B:$B,$A9,DeadRaw!AL:AL)</f>
        <v>0</v>
      </c>
      <c r="AJ9">
        <f>SUMIF(DeadRaw!$B:$B,$A9,DeadRaw!AM:AM)</f>
        <v>0</v>
      </c>
      <c r="AK9">
        <f>SUMIF(DeadRaw!$B:$B,$A9,DeadRaw!AN:AN)</f>
        <v>0</v>
      </c>
      <c r="AL9">
        <f>SUMIF(DeadRaw!$B:$B,$A9,DeadRaw!AO:AO)</f>
        <v>0</v>
      </c>
      <c r="AM9">
        <f>SUMIF(DeadRaw!$B:$B,$A9,DeadRaw!AP:AP)</f>
        <v>0</v>
      </c>
      <c r="AN9">
        <f>SUMIF(DeadRaw!$B:$B,$A9,DeadRaw!AQ:AQ)</f>
        <v>1</v>
      </c>
      <c r="AO9">
        <f>SUMIF(DeadRaw!$B:$B,$A9,DeadRaw!AR:AR)</f>
        <v>1</v>
      </c>
      <c r="AP9">
        <f>SUMIF(DeadRaw!$B:$B,$A9,DeadRaw!AS:AS)</f>
        <v>6</v>
      </c>
      <c r="AQ9">
        <f>SUMIF(DeadRaw!$B:$B,$A9,DeadRaw!AT:AT)</f>
        <v>7</v>
      </c>
      <c r="AR9">
        <f>SUMIF(DeadRaw!$B:$B,$A9,DeadRaw!AU:AU)</f>
        <v>11</v>
      </c>
      <c r="AS9">
        <f>SUMIF(DeadRaw!$B:$B,$A9,DeadRaw!AV:AV)</f>
        <v>12</v>
      </c>
      <c r="AT9">
        <f>SUMIF(DeadRaw!$B:$B,$A9,DeadRaw!AW:AW)</f>
        <v>14</v>
      </c>
      <c r="AU9">
        <f>SUMIF(DeadRaw!$B:$B,$A9,DeadRaw!AX:AX)</f>
        <v>17</v>
      </c>
      <c r="AV9">
        <f>SUMIF(DeadRaw!$B:$B,$A9,DeadRaw!AY:AY)</f>
        <v>21</v>
      </c>
      <c r="AW9">
        <f>SUMIF(DeadRaw!$B:$B,$A9,DeadRaw!AZ:AZ)</f>
        <v>22</v>
      </c>
      <c r="AX9">
        <f>SUMIF(DeadRaw!$B:$B,$A9,DeadRaw!BA:BA)</f>
        <v>28</v>
      </c>
      <c r="AY9">
        <f>SUMIF(DeadRaw!$B:$B,$A9,DeadRaw!BB:BB)</f>
        <v>36</v>
      </c>
      <c r="AZ9">
        <f>SUMIF(DeadRaw!$B:$B,$A9,DeadRaw!BC:BC)</f>
        <v>40</v>
      </c>
      <c r="BA9">
        <f>SUMIF(DeadRaw!$B:$B,$A9,DeadRaw!BD:BD)</f>
        <v>47</v>
      </c>
      <c r="BB9">
        <f>SUMIF(DeadRaw!$B:$B,$A9,DeadRaw!BE:BE)</f>
        <v>54</v>
      </c>
      <c r="BC9">
        <f>SUMIF(DeadRaw!$B:$B,$A9,DeadRaw!BF:BF)</f>
        <v>63</v>
      </c>
      <c r="BD9">
        <f>SUMIF(DeadRaw!$B:$B,$A9,DeadRaw!BG:BG)</f>
        <v>85</v>
      </c>
      <c r="BE9">
        <f>SUMIF(DeadRaw!$B:$B,$A9,DeadRaw!BH:BH)</f>
        <v>108</v>
      </c>
      <c r="BF9">
        <f>SUMIF(DeadRaw!$B:$B,$A9,DeadRaw!BI:BI)</f>
        <v>118</v>
      </c>
      <c r="BG9">
        <f>SUMIF(DeadRaw!$B:$B,$A9,DeadRaw!BJ:BJ)</f>
        <v>0</v>
      </c>
      <c r="BH9">
        <f>SUMIF(DeadRaw!$B:$B,$A9,DeadRaw!BK:BK)</f>
        <v>0</v>
      </c>
      <c r="BI9">
        <f>SUMIF(DeadRaw!$B:$B,$A9,DeadRaw!BL:BL)</f>
        <v>0</v>
      </c>
      <c r="BJ9">
        <f>SUMIF(DeadRaw!$B:$B,$A9,DeadRaw!BM:BM)</f>
        <v>0</v>
      </c>
      <c r="BK9">
        <f>SUMIF(DeadRaw!$B:$B,$A9,DeadRaw!BN:BN)</f>
        <v>0</v>
      </c>
      <c r="BL9">
        <f>SUMIF(DeadRaw!$B:$B,$A9,DeadRaw!BO:BO)</f>
        <v>0</v>
      </c>
      <c r="BM9">
        <f>SUMIF(DeadRaw!$B:$B,$A9,DeadRaw!BP:BP)</f>
        <v>0</v>
      </c>
      <c r="BN9">
        <f>SUMIF(DeadRaw!$B:$B,$A9,DeadRaw!BQ:BQ)</f>
        <v>0</v>
      </c>
      <c r="BO9">
        <f>SUMIF(DeadRaw!$B:$B,$A9,DeadRaw!BR:BR)</f>
        <v>0</v>
      </c>
      <c r="BP9">
        <f>SUMIF(DeadRaw!$B:$B,$A9,DeadRaw!BS:BS)</f>
        <v>0</v>
      </c>
      <c r="BQ9">
        <f>SUMIF(DeadRaw!$B:$B,$A9,DeadRaw!BT:BT)</f>
        <v>0</v>
      </c>
      <c r="BR9">
        <f>SUMIF(DeadRaw!$B:$B,$A9,DeadRaw!BU:BU)</f>
        <v>0</v>
      </c>
      <c r="BS9">
        <f>SUMIF(DeadRaw!$B:$B,$A9,DeadRaw!BV:BV)</f>
        <v>0</v>
      </c>
      <c r="BT9">
        <f>SUMIF(DeadRaw!$B:$B,$A9,DeadRaw!BW:BW)</f>
        <v>0</v>
      </c>
    </row>
    <row r="10" spans="1:72" ht="15" thickBot="1" x14ac:dyDescent="0.35">
      <c r="A10" s="4" t="s">
        <v>77</v>
      </c>
      <c r="B10">
        <f>SUMIF(DeadRaw!$B:$B,$A10,DeadRaw!E:E)</f>
        <v>0</v>
      </c>
      <c r="C10">
        <f>SUMIF(DeadRaw!$B:$B,$A10,DeadRaw!F:F)</f>
        <v>0</v>
      </c>
      <c r="D10">
        <f>SUMIF(DeadRaw!$B:$B,$A10,DeadRaw!G:G)</f>
        <v>0</v>
      </c>
      <c r="E10">
        <f>SUMIF(DeadRaw!$B:$B,$A10,DeadRaw!H:H)</f>
        <v>0</v>
      </c>
      <c r="F10">
        <f>SUMIF(DeadRaw!$B:$B,$A10,DeadRaw!I:I)</f>
        <v>0</v>
      </c>
      <c r="G10">
        <f>SUMIF(DeadRaw!$B:$B,$A10,DeadRaw!J:J)</f>
        <v>0</v>
      </c>
      <c r="H10">
        <f>SUMIF(DeadRaw!$B:$B,$A10,DeadRaw!K:K)</f>
        <v>0</v>
      </c>
      <c r="I10">
        <f>SUMIF(DeadRaw!$B:$B,$A10,DeadRaw!L:L)</f>
        <v>0</v>
      </c>
      <c r="J10">
        <f>SUMIF(DeadRaw!$B:$B,$A10,DeadRaw!M:M)</f>
        <v>0</v>
      </c>
      <c r="K10">
        <f>SUMIF(DeadRaw!$B:$B,$A10,DeadRaw!N:N)</f>
        <v>0</v>
      </c>
      <c r="L10">
        <f>SUMIF(DeadRaw!$B:$B,$A10,DeadRaw!O:O)</f>
        <v>0</v>
      </c>
      <c r="M10">
        <f>SUMIF(DeadRaw!$B:$B,$A10,DeadRaw!P:P)</f>
        <v>0</v>
      </c>
      <c r="N10">
        <f>SUMIF(DeadRaw!$B:$B,$A10,DeadRaw!Q:Q)</f>
        <v>0</v>
      </c>
      <c r="O10">
        <f>SUMIF(DeadRaw!$B:$B,$A10,DeadRaw!R:R)</f>
        <v>0</v>
      </c>
      <c r="P10">
        <f>SUMIF(DeadRaw!$B:$B,$A10,DeadRaw!S:S)</f>
        <v>0</v>
      </c>
      <c r="Q10">
        <f>SUMIF(DeadRaw!$B:$B,$A10,DeadRaw!T:T)</f>
        <v>0</v>
      </c>
      <c r="R10">
        <f>SUMIF(DeadRaw!$B:$B,$A10,DeadRaw!U:U)</f>
        <v>0</v>
      </c>
      <c r="S10">
        <f>SUMIF(DeadRaw!$B:$B,$A10,DeadRaw!V:V)</f>
        <v>0</v>
      </c>
      <c r="T10">
        <f>SUMIF(DeadRaw!$B:$B,$A10,DeadRaw!W:W)</f>
        <v>0</v>
      </c>
      <c r="U10">
        <f>SUMIF(DeadRaw!$B:$B,$A10,DeadRaw!X:X)</f>
        <v>0</v>
      </c>
      <c r="V10">
        <f>SUMIF(DeadRaw!$B:$B,$A10,DeadRaw!Y:Y)</f>
        <v>0</v>
      </c>
      <c r="W10">
        <f>SUMIF(DeadRaw!$B:$B,$A10,DeadRaw!Z:Z)</f>
        <v>0</v>
      </c>
      <c r="X10">
        <f>SUMIF(DeadRaw!$B:$B,$A10,DeadRaw!AA:AA)</f>
        <v>0</v>
      </c>
      <c r="Y10">
        <f>SUMIF(DeadRaw!$B:$B,$A10,DeadRaw!AB:AB)</f>
        <v>0</v>
      </c>
      <c r="Z10">
        <f>SUMIF(DeadRaw!$B:$B,$A10,DeadRaw!AC:AC)</f>
        <v>0</v>
      </c>
      <c r="AA10">
        <f>SUMIF(DeadRaw!$B:$B,$A10,DeadRaw!AD:AD)</f>
        <v>0</v>
      </c>
      <c r="AB10">
        <f>SUMIF(DeadRaw!$B:$B,$A10,DeadRaw!AE:AE)</f>
        <v>0</v>
      </c>
      <c r="AC10">
        <f>SUMIF(DeadRaw!$B:$B,$A10,DeadRaw!AF:AF)</f>
        <v>0</v>
      </c>
      <c r="AD10">
        <f>SUMIF(DeadRaw!$B:$B,$A10,DeadRaw!AG:AG)</f>
        <v>0</v>
      </c>
      <c r="AE10">
        <f>SUMIF(DeadRaw!$B:$B,$A10,DeadRaw!AH:AH)</f>
        <v>0</v>
      </c>
      <c r="AF10">
        <f>SUMIF(DeadRaw!$B:$B,$A10,DeadRaw!AI:AI)</f>
        <v>0</v>
      </c>
      <c r="AG10">
        <f>SUMIF(DeadRaw!$B:$B,$A10,DeadRaw!AJ:AJ)</f>
        <v>0</v>
      </c>
      <c r="AH10">
        <f>SUMIF(DeadRaw!$B:$B,$A10,DeadRaw!AK:AK)</f>
        <v>0</v>
      </c>
      <c r="AI10">
        <f>SUMIF(DeadRaw!$B:$B,$A10,DeadRaw!AL:AL)</f>
        <v>0</v>
      </c>
      <c r="AJ10">
        <f>SUMIF(DeadRaw!$B:$B,$A10,DeadRaw!AM:AM)</f>
        <v>0</v>
      </c>
      <c r="AK10">
        <f>SUMIF(DeadRaw!$B:$B,$A10,DeadRaw!AN:AN)</f>
        <v>0</v>
      </c>
      <c r="AL10">
        <f>SUMIF(DeadRaw!$B:$B,$A10,DeadRaw!AO:AO)</f>
        <v>0</v>
      </c>
      <c r="AM10">
        <f>SUMIF(DeadRaw!$B:$B,$A10,DeadRaw!AP:AP)</f>
        <v>0</v>
      </c>
      <c r="AN10">
        <f>SUMIF(DeadRaw!$B:$B,$A10,DeadRaw!AQ:AQ)</f>
        <v>0</v>
      </c>
      <c r="AO10">
        <f>SUMIF(DeadRaw!$B:$B,$A10,DeadRaw!AR:AR)</f>
        <v>0</v>
      </c>
      <c r="AP10">
        <f>SUMIF(DeadRaw!$B:$B,$A10,DeadRaw!AS:AS)</f>
        <v>0</v>
      </c>
      <c r="AQ10">
        <f>SUMIF(DeadRaw!$B:$B,$A10,DeadRaw!AT:AT)</f>
        <v>0</v>
      </c>
      <c r="AR10">
        <f>SUMIF(DeadRaw!$B:$B,$A10,DeadRaw!AU:AU)</f>
        <v>0</v>
      </c>
      <c r="AS10">
        <f>SUMIF(DeadRaw!$B:$B,$A10,DeadRaw!AV:AV)</f>
        <v>1</v>
      </c>
      <c r="AT10">
        <f>SUMIF(DeadRaw!$B:$B,$A10,DeadRaw!AW:AW)</f>
        <v>1</v>
      </c>
      <c r="AU10">
        <f>SUMIF(DeadRaw!$B:$B,$A10,DeadRaw!AX:AX)</f>
        <v>1</v>
      </c>
      <c r="AV10">
        <f>SUMIF(DeadRaw!$B:$B,$A10,DeadRaw!AY:AY)</f>
        <v>2</v>
      </c>
      <c r="AW10">
        <f>SUMIF(DeadRaw!$B:$B,$A10,DeadRaw!AZ:AZ)</f>
        <v>2</v>
      </c>
      <c r="AX10">
        <f>SUMIF(DeadRaw!$B:$B,$A10,DeadRaw!BA:BA)</f>
        <v>3</v>
      </c>
      <c r="AY10">
        <f>SUMIF(DeadRaw!$B:$B,$A10,DeadRaw!BB:BB)</f>
        <v>4</v>
      </c>
      <c r="AZ10">
        <f>SUMIF(DeadRaw!$B:$B,$A10,DeadRaw!BC:BC)</f>
        <v>4</v>
      </c>
      <c r="BA10">
        <f>SUMIF(DeadRaw!$B:$B,$A10,DeadRaw!BD:BD)</f>
        <v>11</v>
      </c>
      <c r="BB10">
        <f>SUMIF(DeadRaw!$B:$B,$A10,DeadRaw!BE:BE)</f>
        <v>13</v>
      </c>
      <c r="BC10">
        <f>SUMIF(DeadRaw!$B:$B,$A10,DeadRaw!BF:BF)</f>
        <v>14</v>
      </c>
      <c r="BD10">
        <f>SUMIF(DeadRaw!$B:$B,$A10,DeadRaw!BG:BG)</f>
        <v>14</v>
      </c>
      <c r="BE10">
        <f>SUMIF(DeadRaw!$B:$B,$A10,DeadRaw!BH:BH)</f>
        <v>27</v>
      </c>
      <c r="BF10">
        <f>SUMIF(DeadRaw!$B:$B,$A10,DeadRaw!BI:BI)</f>
        <v>28</v>
      </c>
      <c r="BG10">
        <f>SUMIF(DeadRaw!$B:$B,$A10,DeadRaw!BJ:BJ)</f>
        <v>0</v>
      </c>
      <c r="BH10">
        <f>SUMIF(DeadRaw!$B:$B,$A10,DeadRaw!BK:BK)</f>
        <v>0</v>
      </c>
      <c r="BI10">
        <f>SUMIF(DeadRaw!$B:$B,$A10,DeadRaw!BL:BL)</f>
        <v>0</v>
      </c>
      <c r="BJ10">
        <f>SUMIF(DeadRaw!$B:$B,$A10,DeadRaw!BM:BM)</f>
        <v>0</v>
      </c>
      <c r="BK10">
        <f>SUMIF(DeadRaw!$B:$B,$A10,DeadRaw!BN:BN)</f>
        <v>0</v>
      </c>
      <c r="BL10">
        <f>SUMIF(DeadRaw!$B:$B,$A10,DeadRaw!BO:BO)</f>
        <v>0</v>
      </c>
      <c r="BM10">
        <f>SUMIF(DeadRaw!$B:$B,$A10,DeadRaw!BP:BP)</f>
        <v>0</v>
      </c>
      <c r="BN10">
        <f>SUMIF(DeadRaw!$B:$B,$A10,DeadRaw!BQ:BQ)</f>
        <v>0</v>
      </c>
      <c r="BO10">
        <f>SUMIF(DeadRaw!$B:$B,$A10,DeadRaw!BR:BR)</f>
        <v>0</v>
      </c>
      <c r="BP10">
        <f>SUMIF(DeadRaw!$B:$B,$A10,DeadRaw!BS:BS)</f>
        <v>0</v>
      </c>
      <c r="BQ10">
        <f>SUMIF(DeadRaw!$B:$B,$A10,DeadRaw!BT:BT)</f>
        <v>0</v>
      </c>
      <c r="BR10">
        <f>SUMIF(DeadRaw!$B:$B,$A10,DeadRaw!BU:BU)</f>
        <v>0</v>
      </c>
      <c r="BS10">
        <f>SUMIF(DeadRaw!$B:$B,$A10,DeadRaw!BV:BV)</f>
        <v>0</v>
      </c>
      <c r="BT10">
        <f>SUMIF(DeadRaw!$B:$B,$A10,DeadRaw!BW:BW)</f>
        <v>0</v>
      </c>
    </row>
    <row r="11" spans="1:72" ht="15" thickBot="1" x14ac:dyDescent="0.35">
      <c r="A11" s="4" t="s">
        <v>85</v>
      </c>
      <c r="B11">
        <f>SUMIF(DeadRaw!$B:$B,$A11,DeadRaw!E:E)</f>
        <v>0</v>
      </c>
      <c r="C11">
        <f>SUMIF(DeadRaw!$B:$B,$A11,DeadRaw!F:F)</f>
        <v>0</v>
      </c>
      <c r="D11">
        <f>SUMIF(DeadRaw!$B:$B,$A11,DeadRaw!G:G)</f>
        <v>0</v>
      </c>
      <c r="E11">
        <f>SUMIF(DeadRaw!$B:$B,$A11,DeadRaw!H:H)</f>
        <v>0</v>
      </c>
      <c r="F11">
        <f>SUMIF(DeadRaw!$B:$B,$A11,DeadRaw!I:I)</f>
        <v>0</v>
      </c>
      <c r="G11">
        <f>SUMIF(DeadRaw!$B:$B,$A11,DeadRaw!J:J)</f>
        <v>0</v>
      </c>
      <c r="H11">
        <f>SUMIF(DeadRaw!$B:$B,$A11,DeadRaw!K:K)</f>
        <v>0</v>
      </c>
      <c r="I11">
        <f>SUMIF(DeadRaw!$B:$B,$A11,DeadRaw!L:L)</f>
        <v>0</v>
      </c>
      <c r="J11">
        <f>SUMIF(DeadRaw!$B:$B,$A11,DeadRaw!M:M)</f>
        <v>0</v>
      </c>
      <c r="K11">
        <f>SUMIF(DeadRaw!$B:$B,$A11,DeadRaw!N:N)</f>
        <v>0</v>
      </c>
      <c r="L11">
        <f>SUMIF(DeadRaw!$B:$B,$A11,DeadRaw!O:O)</f>
        <v>0</v>
      </c>
      <c r="M11">
        <f>SUMIF(DeadRaw!$B:$B,$A11,DeadRaw!P:P)</f>
        <v>0</v>
      </c>
      <c r="N11">
        <f>SUMIF(DeadRaw!$B:$B,$A11,DeadRaw!Q:Q)</f>
        <v>0</v>
      </c>
      <c r="O11">
        <f>SUMIF(DeadRaw!$B:$B,$A11,DeadRaw!R:R)</f>
        <v>0</v>
      </c>
      <c r="P11">
        <f>SUMIF(DeadRaw!$B:$B,$A11,DeadRaw!S:S)</f>
        <v>0</v>
      </c>
      <c r="Q11">
        <f>SUMIF(DeadRaw!$B:$B,$A11,DeadRaw!T:T)</f>
        <v>0</v>
      </c>
      <c r="R11">
        <f>SUMIF(DeadRaw!$B:$B,$A11,DeadRaw!U:U)</f>
        <v>0</v>
      </c>
      <c r="S11">
        <f>SUMIF(DeadRaw!$B:$B,$A11,DeadRaw!V:V)</f>
        <v>0</v>
      </c>
      <c r="T11">
        <f>SUMIF(DeadRaw!$B:$B,$A11,DeadRaw!W:W)</f>
        <v>0</v>
      </c>
      <c r="U11">
        <f>SUMIF(DeadRaw!$B:$B,$A11,DeadRaw!X:X)</f>
        <v>0</v>
      </c>
      <c r="V11">
        <f>SUMIF(DeadRaw!$B:$B,$A11,DeadRaw!Y:Y)</f>
        <v>0</v>
      </c>
      <c r="W11">
        <f>SUMIF(DeadRaw!$B:$B,$A11,DeadRaw!Z:Z)</f>
        <v>0</v>
      </c>
      <c r="X11">
        <f>SUMIF(DeadRaw!$B:$B,$A11,DeadRaw!AA:AA)</f>
        <v>0</v>
      </c>
      <c r="Y11">
        <f>SUMIF(DeadRaw!$B:$B,$A11,DeadRaw!AB:AB)</f>
        <v>0</v>
      </c>
      <c r="Z11">
        <f>SUMIF(DeadRaw!$B:$B,$A11,DeadRaw!AC:AC)</f>
        <v>0</v>
      </c>
      <c r="AA11">
        <f>SUMIF(DeadRaw!$B:$B,$A11,DeadRaw!AD:AD)</f>
        <v>0</v>
      </c>
      <c r="AB11">
        <f>SUMIF(DeadRaw!$B:$B,$A11,DeadRaw!AE:AE)</f>
        <v>0</v>
      </c>
      <c r="AC11">
        <f>SUMIF(DeadRaw!$B:$B,$A11,DeadRaw!AF:AF)</f>
        <v>0</v>
      </c>
      <c r="AD11">
        <f>SUMIF(DeadRaw!$B:$B,$A11,DeadRaw!AG:AG)</f>
        <v>0</v>
      </c>
      <c r="AE11">
        <f>SUMIF(DeadRaw!$B:$B,$A11,DeadRaw!AH:AH)</f>
        <v>0</v>
      </c>
      <c r="AF11">
        <f>SUMIF(DeadRaw!$B:$B,$A11,DeadRaw!AI:AI)</f>
        <v>0</v>
      </c>
      <c r="AG11">
        <f>SUMIF(DeadRaw!$B:$B,$A11,DeadRaw!AJ:AJ)</f>
        <v>0</v>
      </c>
      <c r="AH11">
        <f>SUMIF(DeadRaw!$B:$B,$A11,DeadRaw!AK:AK)</f>
        <v>0</v>
      </c>
      <c r="AI11">
        <f>SUMIF(DeadRaw!$B:$B,$A11,DeadRaw!AL:AL)</f>
        <v>0</v>
      </c>
      <c r="AJ11">
        <f>SUMIF(DeadRaw!$B:$B,$A11,DeadRaw!AM:AM)</f>
        <v>0</v>
      </c>
      <c r="AK11">
        <f>SUMIF(DeadRaw!$B:$B,$A11,DeadRaw!AN:AN)</f>
        <v>0</v>
      </c>
      <c r="AL11">
        <f>SUMIF(DeadRaw!$B:$B,$A11,DeadRaw!AO:AO)</f>
        <v>0</v>
      </c>
      <c r="AM11">
        <f>SUMIF(DeadRaw!$B:$B,$A11,DeadRaw!AP:AP)</f>
        <v>0</v>
      </c>
      <c r="AN11">
        <f>SUMIF(DeadRaw!$B:$B,$A11,DeadRaw!AQ:AQ)</f>
        <v>0</v>
      </c>
      <c r="AO11">
        <f>SUMIF(DeadRaw!$B:$B,$A11,DeadRaw!AR:AR)</f>
        <v>0</v>
      </c>
      <c r="AP11">
        <f>SUMIF(DeadRaw!$B:$B,$A11,DeadRaw!AS:AS)</f>
        <v>0</v>
      </c>
      <c r="AQ11">
        <f>SUMIF(DeadRaw!$B:$B,$A11,DeadRaw!AT:AT)</f>
        <v>0</v>
      </c>
      <c r="AR11">
        <f>SUMIF(DeadRaw!$B:$B,$A11,DeadRaw!AU:AU)</f>
        <v>0</v>
      </c>
      <c r="AS11">
        <f>SUMIF(DeadRaw!$B:$B,$A11,DeadRaw!AV:AV)</f>
        <v>0</v>
      </c>
      <c r="AT11">
        <f>SUMIF(DeadRaw!$B:$B,$A11,DeadRaw!AW:AW)</f>
        <v>0</v>
      </c>
      <c r="AU11">
        <f>SUMIF(DeadRaw!$B:$B,$A11,DeadRaw!AX:AX)</f>
        <v>0</v>
      </c>
      <c r="AV11">
        <f>SUMIF(DeadRaw!$B:$B,$A11,DeadRaw!AY:AY)</f>
        <v>0</v>
      </c>
      <c r="AW11">
        <f>SUMIF(DeadRaw!$B:$B,$A11,DeadRaw!AZ:AZ)</f>
        <v>0</v>
      </c>
      <c r="AX11">
        <f>SUMIF(DeadRaw!$B:$B,$A11,DeadRaw!BA:BA)</f>
        <v>0</v>
      </c>
      <c r="AY11">
        <f>SUMIF(DeadRaw!$B:$B,$A11,DeadRaw!BB:BB)</f>
        <v>0</v>
      </c>
      <c r="AZ11">
        <f>SUMIF(DeadRaw!$B:$B,$A11,DeadRaw!BC:BC)</f>
        <v>0</v>
      </c>
      <c r="BA11">
        <f>SUMIF(DeadRaw!$B:$B,$A11,DeadRaw!BD:BD)</f>
        <v>0</v>
      </c>
      <c r="BB11">
        <f>SUMIF(DeadRaw!$B:$B,$A11,DeadRaw!BE:BE)</f>
        <v>3</v>
      </c>
      <c r="BC11">
        <f>SUMIF(DeadRaw!$B:$B,$A11,DeadRaw!BF:BF)</f>
        <v>3</v>
      </c>
      <c r="BD11">
        <f>SUMIF(DeadRaw!$B:$B,$A11,DeadRaw!BG:BG)</f>
        <v>3</v>
      </c>
      <c r="BE11">
        <f>SUMIF(DeadRaw!$B:$B,$A11,DeadRaw!BH:BH)</f>
        <v>3</v>
      </c>
      <c r="BF11">
        <f>SUMIF(DeadRaw!$B:$B,$A11,DeadRaw!BI:BI)</f>
        <v>6</v>
      </c>
      <c r="BG11">
        <f>SUMIF(DeadRaw!$B:$B,$A11,DeadRaw!BJ:BJ)</f>
        <v>0</v>
      </c>
      <c r="BH11">
        <f>SUMIF(DeadRaw!$B:$B,$A11,DeadRaw!BK:BK)</f>
        <v>0</v>
      </c>
      <c r="BI11">
        <f>SUMIF(DeadRaw!$B:$B,$A11,DeadRaw!BL:BL)</f>
        <v>0</v>
      </c>
      <c r="BJ11">
        <f>SUMIF(DeadRaw!$B:$B,$A11,DeadRaw!BM:BM)</f>
        <v>0</v>
      </c>
      <c r="BK11">
        <f>SUMIF(DeadRaw!$B:$B,$A11,DeadRaw!BN:BN)</f>
        <v>0</v>
      </c>
      <c r="BL11">
        <f>SUMIF(DeadRaw!$B:$B,$A11,DeadRaw!BO:BO)</f>
        <v>0</v>
      </c>
      <c r="BM11">
        <f>SUMIF(DeadRaw!$B:$B,$A11,DeadRaw!BP:BP)</f>
        <v>0</v>
      </c>
      <c r="BN11">
        <f>SUMIF(DeadRaw!$B:$B,$A11,DeadRaw!BQ:BQ)</f>
        <v>0</v>
      </c>
      <c r="BO11">
        <f>SUMIF(DeadRaw!$B:$B,$A11,DeadRaw!BR:BR)</f>
        <v>0</v>
      </c>
      <c r="BP11">
        <f>SUMIF(DeadRaw!$B:$B,$A11,DeadRaw!BS:BS)</f>
        <v>0</v>
      </c>
      <c r="BQ11">
        <f>SUMIF(DeadRaw!$B:$B,$A11,DeadRaw!BT:BT)</f>
        <v>0</v>
      </c>
      <c r="BR11">
        <f>SUMIF(DeadRaw!$B:$B,$A11,DeadRaw!BU:BU)</f>
        <v>0</v>
      </c>
      <c r="BS11">
        <f>SUMIF(DeadRaw!$B:$B,$A11,DeadRaw!BV:BV)</f>
        <v>0</v>
      </c>
      <c r="BT11">
        <f>SUMIF(DeadRaw!$B:$B,$A11,DeadRaw!BW:BW)</f>
        <v>0</v>
      </c>
    </row>
    <row r="12" spans="1:72" ht="15" thickBot="1" x14ac:dyDescent="0.35">
      <c r="A12" s="4" t="s">
        <v>59</v>
      </c>
      <c r="B12">
        <f>SUMIF(DeadRaw!$B:$B,$A12,DeadRaw!E:E)</f>
        <v>0</v>
      </c>
      <c r="C12">
        <f>SUMIF(DeadRaw!$B:$B,$A12,DeadRaw!F:F)</f>
        <v>0</v>
      </c>
      <c r="D12">
        <f>SUMIF(DeadRaw!$B:$B,$A12,DeadRaw!G:G)</f>
        <v>0</v>
      </c>
      <c r="E12">
        <f>SUMIF(DeadRaw!$B:$B,$A12,DeadRaw!H:H)</f>
        <v>0</v>
      </c>
      <c r="F12">
        <f>SUMIF(DeadRaw!$B:$B,$A12,DeadRaw!I:I)</f>
        <v>0</v>
      </c>
      <c r="G12">
        <f>SUMIF(DeadRaw!$B:$B,$A12,DeadRaw!J:J)</f>
        <v>0</v>
      </c>
      <c r="H12">
        <f>SUMIF(DeadRaw!$B:$B,$A12,DeadRaw!K:K)</f>
        <v>0</v>
      </c>
      <c r="I12">
        <f>SUMIF(DeadRaw!$B:$B,$A12,DeadRaw!L:L)</f>
        <v>0</v>
      </c>
      <c r="J12">
        <f>SUMIF(DeadRaw!$B:$B,$A12,DeadRaw!M:M)</f>
        <v>0</v>
      </c>
      <c r="K12">
        <f>SUMIF(DeadRaw!$B:$B,$A12,DeadRaw!N:N)</f>
        <v>0</v>
      </c>
      <c r="L12">
        <f>SUMIF(DeadRaw!$B:$B,$A12,DeadRaw!O:O)</f>
        <v>0</v>
      </c>
      <c r="M12">
        <f>SUMIF(DeadRaw!$B:$B,$A12,DeadRaw!P:P)</f>
        <v>0</v>
      </c>
      <c r="N12">
        <f>SUMIF(DeadRaw!$B:$B,$A12,DeadRaw!Q:Q)</f>
        <v>0</v>
      </c>
      <c r="O12">
        <f>SUMIF(DeadRaw!$B:$B,$A12,DeadRaw!R:R)</f>
        <v>0</v>
      </c>
      <c r="P12">
        <f>SUMIF(DeadRaw!$B:$B,$A12,DeadRaw!S:S)</f>
        <v>0</v>
      </c>
      <c r="Q12">
        <f>SUMIF(DeadRaw!$B:$B,$A12,DeadRaw!T:T)</f>
        <v>0</v>
      </c>
      <c r="R12">
        <f>SUMIF(DeadRaw!$B:$B,$A12,DeadRaw!U:U)</f>
        <v>0</v>
      </c>
      <c r="S12">
        <f>SUMIF(DeadRaw!$B:$B,$A12,DeadRaw!V:V)</f>
        <v>0</v>
      </c>
      <c r="T12">
        <f>SUMIF(DeadRaw!$B:$B,$A12,DeadRaw!W:W)</f>
        <v>0</v>
      </c>
      <c r="U12">
        <f>SUMIF(DeadRaw!$B:$B,$A12,DeadRaw!X:X)</f>
        <v>0</v>
      </c>
      <c r="V12">
        <f>SUMIF(DeadRaw!$B:$B,$A12,DeadRaw!Y:Y)</f>
        <v>0</v>
      </c>
      <c r="W12">
        <f>SUMIF(DeadRaw!$B:$B,$A12,DeadRaw!Z:Z)</f>
        <v>0</v>
      </c>
      <c r="X12">
        <f>SUMIF(DeadRaw!$B:$B,$A12,DeadRaw!AA:AA)</f>
        <v>0</v>
      </c>
      <c r="Y12">
        <f>SUMIF(DeadRaw!$B:$B,$A12,DeadRaw!AB:AB)</f>
        <v>0</v>
      </c>
      <c r="Z12">
        <f>SUMIF(DeadRaw!$B:$B,$A12,DeadRaw!AC:AC)</f>
        <v>0</v>
      </c>
      <c r="AA12">
        <f>SUMIF(DeadRaw!$B:$B,$A12,DeadRaw!AD:AD)</f>
        <v>0</v>
      </c>
      <c r="AB12">
        <f>SUMIF(DeadRaw!$B:$B,$A12,DeadRaw!AE:AE)</f>
        <v>0</v>
      </c>
      <c r="AC12">
        <f>SUMIF(DeadRaw!$B:$B,$A12,DeadRaw!AF:AF)</f>
        <v>0</v>
      </c>
      <c r="AD12">
        <f>SUMIF(DeadRaw!$B:$B,$A12,DeadRaw!AG:AG)</f>
        <v>0</v>
      </c>
      <c r="AE12">
        <f>SUMIF(DeadRaw!$B:$B,$A12,DeadRaw!AH:AH)</f>
        <v>0</v>
      </c>
      <c r="AF12">
        <f>SUMIF(DeadRaw!$B:$B,$A12,DeadRaw!AI:AI)</f>
        <v>0</v>
      </c>
      <c r="AG12">
        <f>SUMIF(DeadRaw!$B:$B,$A12,DeadRaw!AJ:AJ)</f>
        <v>0</v>
      </c>
      <c r="AH12">
        <f>SUMIF(DeadRaw!$B:$B,$A12,DeadRaw!AK:AK)</f>
        <v>0</v>
      </c>
      <c r="AI12">
        <f>SUMIF(DeadRaw!$B:$B,$A12,DeadRaw!AL:AL)</f>
        <v>0</v>
      </c>
      <c r="AJ12">
        <f>SUMIF(DeadRaw!$B:$B,$A12,DeadRaw!AM:AM)</f>
        <v>0</v>
      </c>
      <c r="AK12">
        <f>SUMIF(DeadRaw!$B:$B,$A12,DeadRaw!AN:AN)</f>
        <v>0</v>
      </c>
      <c r="AL12">
        <f>SUMIF(DeadRaw!$B:$B,$A12,DeadRaw!AO:AO)</f>
        <v>0</v>
      </c>
      <c r="AM12">
        <f>SUMIF(DeadRaw!$B:$B,$A12,DeadRaw!AP:AP)</f>
        <v>0</v>
      </c>
      <c r="AN12">
        <f>SUMIF(DeadRaw!$B:$B,$A12,DeadRaw!AQ:AQ)</f>
        <v>0</v>
      </c>
      <c r="AO12">
        <f>SUMIF(DeadRaw!$B:$B,$A12,DeadRaw!AR:AR)</f>
        <v>0</v>
      </c>
      <c r="AP12">
        <f>SUMIF(DeadRaw!$B:$B,$A12,DeadRaw!AS:AS)</f>
        <v>0</v>
      </c>
      <c r="AQ12">
        <f>SUMIF(DeadRaw!$B:$B,$A12,DeadRaw!AT:AT)</f>
        <v>0</v>
      </c>
      <c r="AR12">
        <f>SUMIF(DeadRaw!$B:$B,$A12,DeadRaw!AU:AU)</f>
        <v>0</v>
      </c>
      <c r="AS12">
        <f>SUMIF(DeadRaw!$B:$B,$A12,DeadRaw!AV:AV)</f>
        <v>0</v>
      </c>
      <c r="AT12">
        <f>SUMIF(DeadRaw!$B:$B,$A12,DeadRaw!AW:AW)</f>
        <v>0</v>
      </c>
      <c r="AU12">
        <f>SUMIF(DeadRaw!$B:$B,$A12,DeadRaw!AX:AX)</f>
        <v>0</v>
      </c>
      <c r="AV12">
        <f>SUMIF(DeadRaw!$B:$B,$A12,DeadRaw!AY:AY)</f>
        <v>0</v>
      </c>
      <c r="AW12">
        <f>SUMIF(DeadRaw!$B:$B,$A12,DeadRaw!AZ:AZ)</f>
        <v>0</v>
      </c>
      <c r="AX12">
        <f>SUMIF(DeadRaw!$B:$B,$A12,DeadRaw!BA:BA)</f>
        <v>0</v>
      </c>
      <c r="AY12">
        <f>SUMIF(DeadRaw!$B:$B,$A12,DeadRaw!BB:BB)</f>
        <v>1</v>
      </c>
      <c r="AZ12">
        <f>SUMIF(DeadRaw!$B:$B,$A12,DeadRaw!BC:BC)</f>
        <v>1</v>
      </c>
      <c r="BA12">
        <f>SUMIF(DeadRaw!$B:$B,$A12,DeadRaw!BD:BD)</f>
        <v>1</v>
      </c>
      <c r="BB12">
        <f>SUMIF(DeadRaw!$B:$B,$A12,DeadRaw!BE:BE)</f>
        <v>2</v>
      </c>
      <c r="BC12">
        <f>SUMIF(DeadRaw!$B:$B,$A12,DeadRaw!BF:BF)</f>
        <v>3</v>
      </c>
      <c r="BD12">
        <f>SUMIF(DeadRaw!$B:$B,$A12,DeadRaw!BG:BG)</f>
        <v>6</v>
      </c>
      <c r="BE12">
        <f>SUMIF(DeadRaw!$B:$B,$A12,DeadRaw!BH:BH)</f>
        <v>7</v>
      </c>
      <c r="BF12">
        <f>SUMIF(DeadRaw!$B:$B,$A12,DeadRaw!BI:BI)</f>
        <v>10</v>
      </c>
      <c r="BG12">
        <f>SUMIF(DeadRaw!$B:$B,$A12,DeadRaw!BJ:BJ)</f>
        <v>0</v>
      </c>
      <c r="BH12">
        <f>SUMIF(DeadRaw!$B:$B,$A12,DeadRaw!BK:BK)</f>
        <v>0</v>
      </c>
      <c r="BI12">
        <f>SUMIF(DeadRaw!$B:$B,$A12,DeadRaw!BL:BL)</f>
        <v>0</v>
      </c>
      <c r="BJ12">
        <f>SUMIF(DeadRaw!$B:$B,$A12,DeadRaw!BM:BM)</f>
        <v>0</v>
      </c>
      <c r="BK12">
        <f>SUMIF(DeadRaw!$B:$B,$A12,DeadRaw!BN:BN)</f>
        <v>0</v>
      </c>
      <c r="BL12">
        <f>SUMIF(DeadRaw!$B:$B,$A12,DeadRaw!BO:BO)</f>
        <v>0</v>
      </c>
      <c r="BM12">
        <f>SUMIF(DeadRaw!$B:$B,$A12,DeadRaw!BP:BP)</f>
        <v>0</v>
      </c>
      <c r="BN12">
        <f>SUMIF(DeadRaw!$B:$B,$A12,DeadRaw!BQ:BQ)</f>
        <v>0</v>
      </c>
      <c r="BO12">
        <f>SUMIF(DeadRaw!$B:$B,$A12,DeadRaw!BR:BR)</f>
        <v>0</v>
      </c>
      <c r="BP12">
        <f>SUMIF(DeadRaw!$B:$B,$A12,DeadRaw!BS:BS)</f>
        <v>0</v>
      </c>
      <c r="BQ12">
        <f>SUMIF(DeadRaw!$B:$B,$A12,DeadRaw!BT:BT)</f>
        <v>0</v>
      </c>
      <c r="BR12">
        <f>SUMIF(DeadRaw!$B:$B,$A12,DeadRaw!BU:BU)</f>
        <v>0</v>
      </c>
      <c r="BS12">
        <f>SUMIF(DeadRaw!$B:$B,$A12,DeadRaw!BV:BV)</f>
        <v>0</v>
      </c>
      <c r="BT12">
        <f>SUMIF(DeadRaw!$B:$B,$A12,DeadRaw!BW:BW)</f>
        <v>0</v>
      </c>
    </row>
    <row r="13" spans="1:72" ht="15" thickBot="1" x14ac:dyDescent="0.35">
      <c r="A13" s="3" t="s">
        <v>87</v>
      </c>
      <c r="B13">
        <f>SUMIF(DeadRaw!$B:$B,$A13,DeadRaw!E:E)</f>
        <v>0</v>
      </c>
      <c r="C13">
        <f>SUMIF(DeadRaw!$B:$B,$A13,DeadRaw!F:F)</f>
        <v>0</v>
      </c>
      <c r="D13">
        <f>SUMIF(DeadRaw!$B:$B,$A13,DeadRaw!G:G)</f>
        <v>0</v>
      </c>
      <c r="E13">
        <f>SUMIF(DeadRaw!$B:$B,$A13,DeadRaw!H:H)</f>
        <v>0</v>
      </c>
      <c r="F13">
        <f>SUMIF(DeadRaw!$B:$B,$A13,DeadRaw!I:I)</f>
        <v>0</v>
      </c>
      <c r="G13">
        <f>SUMIF(DeadRaw!$B:$B,$A13,DeadRaw!J:J)</f>
        <v>0</v>
      </c>
      <c r="H13">
        <f>SUMIF(DeadRaw!$B:$B,$A13,DeadRaw!K:K)</f>
        <v>0</v>
      </c>
      <c r="I13">
        <f>SUMIF(DeadRaw!$B:$B,$A13,DeadRaw!L:L)</f>
        <v>0</v>
      </c>
      <c r="J13">
        <f>SUMIF(DeadRaw!$B:$B,$A13,DeadRaw!M:M)</f>
        <v>0</v>
      </c>
      <c r="K13">
        <f>SUMIF(DeadRaw!$B:$B,$A13,DeadRaw!N:N)</f>
        <v>0</v>
      </c>
      <c r="L13">
        <f>SUMIF(DeadRaw!$B:$B,$A13,DeadRaw!O:O)</f>
        <v>0</v>
      </c>
      <c r="M13">
        <f>SUMIF(DeadRaw!$B:$B,$A13,DeadRaw!P:P)</f>
        <v>0</v>
      </c>
      <c r="N13">
        <f>SUMIF(DeadRaw!$B:$B,$A13,DeadRaw!Q:Q)</f>
        <v>0</v>
      </c>
      <c r="O13">
        <f>SUMIF(DeadRaw!$B:$B,$A13,DeadRaw!R:R)</f>
        <v>0</v>
      </c>
      <c r="P13">
        <f>SUMIF(DeadRaw!$B:$B,$A13,DeadRaw!S:S)</f>
        <v>0</v>
      </c>
      <c r="Q13">
        <f>SUMIF(DeadRaw!$B:$B,$A13,DeadRaw!T:T)</f>
        <v>0</v>
      </c>
      <c r="R13">
        <f>SUMIF(DeadRaw!$B:$B,$A13,DeadRaw!U:U)</f>
        <v>0</v>
      </c>
      <c r="S13">
        <f>SUMIF(DeadRaw!$B:$B,$A13,DeadRaw!V:V)</f>
        <v>0</v>
      </c>
      <c r="T13">
        <f>SUMIF(DeadRaw!$B:$B,$A13,DeadRaw!W:W)</f>
        <v>0</v>
      </c>
      <c r="U13">
        <f>SUMIF(DeadRaw!$B:$B,$A13,DeadRaw!X:X)</f>
        <v>0</v>
      </c>
      <c r="V13">
        <f>SUMIF(DeadRaw!$B:$B,$A13,DeadRaw!Y:Y)</f>
        <v>0</v>
      </c>
      <c r="W13">
        <f>SUMIF(DeadRaw!$B:$B,$A13,DeadRaw!Z:Z)</f>
        <v>0</v>
      </c>
      <c r="X13">
        <f>SUMIF(DeadRaw!$B:$B,$A13,DeadRaw!AA:AA)</f>
        <v>0</v>
      </c>
      <c r="Y13">
        <f>SUMIF(DeadRaw!$B:$B,$A13,DeadRaw!AB:AB)</f>
        <v>0</v>
      </c>
      <c r="Z13">
        <f>SUMIF(DeadRaw!$B:$B,$A13,DeadRaw!AC:AC)</f>
        <v>0</v>
      </c>
      <c r="AA13">
        <f>SUMIF(DeadRaw!$B:$B,$A13,DeadRaw!AD:AD)</f>
        <v>0</v>
      </c>
      <c r="AB13">
        <f>SUMIF(DeadRaw!$B:$B,$A13,DeadRaw!AE:AE)</f>
        <v>0</v>
      </c>
      <c r="AC13">
        <f>SUMIF(DeadRaw!$B:$B,$A13,DeadRaw!AF:AF)</f>
        <v>0</v>
      </c>
      <c r="AD13">
        <f>SUMIF(DeadRaw!$B:$B,$A13,DeadRaw!AG:AG)</f>
        <v>0</v>
      </c>
      <c r="AE13">
        <f>SUMIF(DeadRaw!$B:$B,$A13,DeadRaw!AH:AH)</f>
        <v>0</v>
      </c>
      <c r="AF13">
        <f>SUMIF(DeadRaw!$B:$B,$A13,DeadRaw!AI:AI)</f>
        <v>0</v>
      </c>
      <c r="AG13">
        <f>SUMIF(DeadRaw!$B:$B,$A13,DeadRaw!AJ:AJ)</f>
        <v>0</v>
      </c>
      <c r="AH13">
        <f>SUMIF(DeadRaw!$B:$B,$A13,DeadRaw!AK:AK)</f>
        <v>0</v>
      </c>
      <c r="AI13">
        <f>SUMIF(DeadRaw!$B:$B,$A13,DeadRaw!AL:AL)</f>
        <v>0</v>
      </c>
      <c r="AJ13">
        <f>SUMIF(DeadRaw!$B:$B,$A13,DeadRaw!AM:AM)</f>
        <v>0</v>
      </c>
      <c r="AK13">
        <f>SUMIF(DeadRaw!$B:$B,$A13,DeadRaw!AN:AN)</f>
        <v>0</v>
      </c>
      <c r="AL13">
        <f>SUMIF(DeadRaw!$B:$B,$A13,DeadRaw!AO:AO)</f>
        <v>0</v>
      </c>
      <c r="AM13">
        <f>SUMIF(DeadRaw!$B:$B,$A13,DeadRaw!AP:AP)</f>
        <v>0</v>
      </c>
      <c r="AN13">
        <f>SUMIF(DeadRaw!$B:$B,$A13,DeadRaw!AQ:AQ)</f>
        <v>0</v>
      </c>
      <c r="AO13">
        <f>SUMIF(DeadRaw!$B:$B,$A13,DeadRaw!AR:AR)</f>
        <v>0</v>
      </c>
      <c r="AP13">
        <f>SUMIF(DeadRaw!$B:$B,$A13,DeadRaw!AS:AS)</f>
        <v>0</v>
      </c>
      <c r="AQ13">
        <f>SUMIF(DeadRaw!$B:$B,$A13,DeadRaw!AT:AT)</f>
        <v>0</v>
      </c>
      <c r="AR13">
        <f>SUMIF(DeadRaw!$B:$B,$A13,DeadRaw!AU:AU)</f>
        <v>0</v>
      </c>
      <c r="AS13">
        <f>SUMIF(DeadRaw!$B:$B,$A13,DeadRaw!AV:AV)</f>
        <v>0</v>
      </c>
      <c r="AT13">
        <f>SUMIF(DeadRaw!$B:$B,$A13,DeadRaw!AW:AW)</f>
        <v>0</v>
      </c>
      <c r="AU13">
        <f>SUMIF(DeadRaw!$B:$B,$A13,DeadRaw!AX:AX)</f>
        <v>0</v>
      </c>
      <c r="AV13">
        <f>SUMIF(DeadRaw!$B:$B,$A13,DeadRaw!AY:AY)</f>
        <v>0</v>
      </c>
      <c r="AW13">
        <f>SUMIF(DeadRaw!$B:$B,$A13,DeadRaw!AZ:AZ)</f>
        <v>0</v>
      </c>
      <c r="AX13">
        <f>SUMIF(DeadRaw!$B:$B,$A13,DeadRaw!BA:BA)</f>
        <v>0</v>
      </c>
      <c r="AY13">
        <f>SUMIF(DeadRaw!$B:$B,$A13,DeadRaw!BB:BB)</f>
        <v>0</v>
      </c>
      <c r="AZ13">
        <f>SUMIF(DeadRaw!$B:$B,$A13,DeadRaw!BC:BC)</f>
        <v>0</v>
      </c>
      <c r="BA13">
        <f>SUMIF(DeadRaw!$B:$B,$A13,DeadRaw!BD:BD)</f>
        <v>0</v>
      </c>
      <c r="BB13">
        <f>SUMIF(DeadRaw!$B:$B,$A13,DeadRaw!BE:BE)</f>
        <v>1</v>
      </c>
      <c r="BC13">
        <f>SUMIF(DeadRaw!$B:$B,$A13,DeadRaw!BF:BF)</f>
        <v>2</v>
      </c>
      <c r="BD13">
        <f>SUMIF(DeadRaw!$B:$B,$A13,DeadRaw!BG:BG)</f>
        <v>3</v>
      </c>
      <c r="BE13">
        <f>SUMIF(DeadRaw!$B:$B,$A13,DeadRaw!BH:BH)</f>
        <v>4</v>
      </c>
      <c r="BF13">
        <f>SUMIF(DeadRaw!$B:$B,$A13,DeadRaw!BI:BI)</f>
        <v>4</v>
      </c>
      <c r="BG13">
        <f>SUMIF(DeadRaw!$B:$B,$A13,DeadRaw!BJ:BJ)</f>
        <v>0</v>
      </c>
      <c r="BH13">
        <f>SUMIF(DeadRaw!$B:$B,$A13,DeadRaw!BK:BK)</f>
        <v>0</v>
      </c>
      <c r="BI13">
        <f>SUMIF(DeadRaw!$B:$B,$A13,DeadRaw!BL:BL)</f>
        <v>0</v>
      </c>
      <c r="BJ13">
        <f>SUMIF(DeadRaw!$B:$B,$A13,DeadRaw!BM:BM)</f>
        <v>0</v>
      </c>
      <c r="BK13">
        <f>SUMIF(DeadRaw!$B:$B,$A13,DeadRaw!BN:BN)</f>
        <v>0</v>
      </c>
      <c r="BL13">
        <f>SUMIF(DeadRaw!$B:$B,$A13,DeadRaw!BO:BO)</f>
        <v>0</v>
      </c>
      <c r="BM13">
        <f>SUMIF(DeadRaw!$B:$B,$A13,DeadRaw!BP:BP)</f>
        <v>0</v>
      </c>
      <c r="BN13">
        <f>SUMIF(DeadRaw!$B:$B,$A13,DeadRaw!BQ:BQ)</f>
        <v>0</v>
      </c>
      <c r="BO13">
        <f>SUMIF(DeadRaw!$B:$B,$A13,DeadRaw!BR:BR)</f>
        <v>0</v>
      </c>
      <c r="BP13">
        <f>SUMIF(DeadRaw!$B:$B,$A13,DeadRaw!BS:BS)</f>
        <v>0</v>
      </c>
      <c r="BQ13">
        <f>SUMIF(DeadRaw!$B:$B,$A13,DeadRaw!BT:BT)</f>
        <v>0</v>
      </c>
      <c r="BR13">
        <f>SUMIF(DeadRaw!$B:$B,$A13,DeadRaw!BU:BU)</f>
        <v>0</v>
      </c>
      <c r="BS13">
        <f>SUMIF(DeadRaw!$B:$B,$A13,DeadRaw!BV:BV)</f>
        <v>0</v>
      </c>
      <c r="BT13">
        <f>SUMIF(DeadRaw!$B:$B,$A13,DeadRaw!BW:BW)</f>
        <v>0</v>
      </c>
    </row>
    <row r="14" spans="1:72" ht="15" thickBot="1" x14ac:dyDescent="0.35">
      <c r="A14" s="3" t="s">
        <v>89</v>
      </c>
      <c r="B14">
        <f>SUMIF(DeadRaw!$B:$B,$A14,DeadRaw!E:E)</f>
        <v>0</v>
      </c>
      <c r="C14">
        <f>SUMIF(DeadRaw!$B:$B,$A14,DeadRaw!F:F)</f>
        <v>0</v>
      </c>
      <c r="D14">
        <f>SUMIF(DeadRaw!$B:$B,$A14,DeadRaw!G:G)</f>
        <v>0</v>
      </c>
      <c r="E14">
        <f>SUMIF(DeadRaw!$B:$B,$A14,DeadRaw!H:H)</f>
        <v>0</v>
      </c>
      <c r="F14">
        <f>SUMIF(DeadRaw!$B:$B,$A14,DeadRaw!I:I)</f>
        <v>0</v>
      </c>
      <c r="G14">
        <f>SUMIF(DeadRaw!$B:$B,$A14,DeadRaw!J:J)</f>
        <v>0</v>
      </c>
      <c r="H14">
        <f>SUMIF(DeadRaw!$B:$B,$A14,DeadRaw!K:K)</f>
        <v>0</v>
      </c>
      <c r="I14">
        <f>SUMIF(DeadRaw!$B:$B,$A14,DeadRaw!L:L)</f>
        <v>0</v>
      </c>
      <c r="J14">
        <f>SUMIF(DeadRaw!$B:$B,$A14,DeadRaw!M:M)</f>
        <v>0</v>
      </c>
      <c r="K14">
        <f>SUMIF(DeadRaw!$B:$B,$A14,DeadRaw!N:N)</f>
        <v>0</v>
      </c>
      <c r="L14">
        <f>SUMIF(DeadRaw!$B:$B,$A14,DeadRaw!O:O)</f>
        <v>0</v>
      </c>
      <c r="M14">
        <f>SUMIF(DeadRaw!$B:$B,$A14,DeadRaw!P:P)</f>
        <v>0</v>
      </c>
      <c r="N14">
        <f>SUMIF(DeadRaw!$B:$B,$A14,DeadRaw!Q:Q)</f>
        <v>0</v>
      </c>
      <c r="O14">
        <f>SUMIF(DeadRaw!$B:$B,$A14,DeadRaw!R:R)</f>
        <v>0</v>
      </c>
      <c r="P14">
        <f>SUMIF(DeadRaw!$B:$B,$A14,DeadRaw!S:S)</f>
        <v>0</v>
      </c>
      <c r="Q14">
        <f>SUMIF(DeadRaw!$B:$B,$A14,DeadRaw!T:T)</f>
        <v>0</v>
      </c>
      <c r="R14">
        <f>SUMIF(DeadRaw!$B:$B,$A14,DeadRaw!U:U)</f>
        <v>0</v>
      </c>
      <c r="S14">
        <f>SUMIF(DeadRaw!$B:$B,$A14,DeadRaw!V:V)</f>
        <v>0</v>
      </c>
      <c r="T14">
        <f>SUMIF(DeadRaw!$B:$B,$A14,DeadRaw!W:W)</f>
        <v>0</v>
      </c>
      <c r="U14">
        <f>SUMIF(DeadRaw!$B:$B,$A14,DeadRaw!X:X)</f>
        <v>0</v>
      </c>
      <c r="V14">
        <f>SUMIF(DeadRaw!$B:$B,$A14,DeadRaw!Y:Y)</f>
        <v>0</v>
      </c>
      <c r="W14">
        <f>SUMIF(DeadRaw!$B:$B,$A14,DeadRaw!Z:Z)</f>
        <v>0</v>
      </c>
      <c r="X14">
        <f>SUMIF(DeadRaw!$B:$B,$A14,DeadRaw!AA:AA)</f>
        <v>0</v>
      </c>
      <c r="Y14">
        <f>SUMIF(DeadRaw!$B:$B,$A14,DeadRaw!AB:AB)</f>
        <v>0</v>
      </c>
      <c r="Z14">
        <f>SUMIF(DeadRaw!$B:$B,$A14,DeadRaw!AC:AC)</f>
        <v>0</v>
      </c>
      <c r="AA14">
        <f>SUMIF(DeadRaw!$B:$B,$A14,DeadRaw!AD:AD)</f>
        <v>0</v>
      </c>
      <c r="AB14">
        <f>SUMIF(DeadRaw!$B:$B,$A14,DeadRaw!AE:AE)</f>
        <v>0</v>
      </c>
      <c r="AC14">
        <f>SUMIF(DeadRaw!$B:$B,$A14,DeadRaw!AF:AF)</f>
        <v>0</v>
      </c>
      <c r="AD14">
        <f>SUMIF(DeadRaw!$B:$B,$A14,DeadRaw!AG:AG)</f>
        <v>0</v>
      </c>
      <c r="AE14">
        <f>SUMIF(DeadRaw!$B:$B,$A14,DeadRaw!AH:AH)</f>
        <v>0</v>
      </c>
      <c r="AF14">
        <f>SUMIF(DeadRaw!$B:$B,$A14,DeadRaw!AI:AI)</f>
        <v>0</v>
      </c>
      <c r="AG14">
        <f>SUMIF(DeadRaw!$B:$B,$A14,DeadRaw!AJ:AJ)</f>
        <v>0</v>
      </c>
      <c r="AH14">
        <f>SUMIF(DeadRaw!$B:$B,$A14,DeadRaw!AK:AK)</f>
        <v>0</v>
      </c>
      <c r="AI14">
        <f>SUMIF(DeadRaw!$B:$B,$A14,DeadRaw!AL:AL)</f>
        <v>0</v>
      </c>
      <c r="AJ14">
        <f>SUMIF(DeadRaw!$B:$B,$A14,DeadRaw!AM:AM)</f>
        <v>0</v>
      </c>
      <c r="AK14">
        <f>SUMIF(DeadRaw!$B:$B,$A14,DeadRaw!AN:AN)</f>
        <v>0</v>
      </c>
      <c r="AL14">
        <f>SUMIF(DeadRaw!$B:$B,$A14,DeadRaw!AO:AO)</f>
        <v>0</v>
      </c>
      <c r="AM14">
        <f>SUMIF(DeadRaw!$B:$B,$A14,DeadRaw!AP:AP)</f>
        <v>0</v>
      </c>
      <c r="AN14">
        <f>SUMIF(DeadRaw!$B:$B,$A14,DeadRaw!AQ:AQ)</f>
        <v>0</v>
      </c>
      <c r="AO14">
        <f>SUMIF(DeadRaw!$B:$B,$A14,DeadRaw!AR:AR)</f>
        <v>0</v>
      </c>
      <c r="AP14">
        <f>SUMIF(DeadRaw!$B:$B,$A14,DeadRaw!AS:AS)</f>
        <v>0</v>
      </c>
      <c r="AQ14">
        <f>SUMIF(DeadRaw!$B:$B,$A14,DeadRaw!AT:AT)</f>
        <v>0</v>
      </c>
      <c r="AR14">
        <f>SUMIF(DeadRaw!$B:$B,$A14,DeadRaw!AU:AU)</f>
        <v>0</v>
      </c>
      <c r="AS14">
        <f>SUMIF(DeadRaw!$B:$B,$A14,DeadRaw!AV:AV)</f>
        <v>0</v>
      </c>
      <c r="AT14">
        <f>SUMIF(DeadRaw!$B:$B,$A14,DeadRaw!AW:AW)</f>
        <v>1</v>
      </c>
      <c r="AU14">
        <f>SUMIF(DeadRaw!$B:$B,$A14,DeadRaw!AX:AX)</f>
        <v>1</v>
      </c>
      <c r="AV14">
        <f>SUMIF(DeadRaw!$B:$B,$A14,DeadRaw!AY:AY)</f>
        <v>3</v>
      </c>
      <c r="AW14">
        <f>SUMIF(DeadRaw!$B:$B,$A14,DeadRaw!AZ:AZ)</f>
        <v>3</v>
      </c>
      <c r="AX14">
        <f>SUMIF(DeadRaw!$B:$B,$A14,DeadRaw!BA:BA)</f>
        <v>4</v>
      </c>
      <c r="AY14">
        <f>SUMIF(DeadRaw!$B:$B,$A14,DeadRaw!BB:BB)</f>
        <v>5</v>
      </c>
      <c r="AZ14">
        <f>SUMIF(DeadRaw!$B:$B,$A14,DeadRaw!BC:BC)</f>
        <v>5</v>
      </c>
      <c r="BA14">
        <f>SUMIF(DeadRaw!$B:$B,$A14,DeadRaw!BD:BD)</f>
        <v>10</v>
      </c>
      <c r="BB14">
        <f>SUMIF(DeadRaw!$B:$B,$A14,DeadRaw!BE:BE)</f>
        <v>12</v>
      </c>
      <c r="BC14">
        <f>SUMIF(DeadRaw!$B:$B,$A14,DeadRaw!BF:BF)</f>
        <v>20</v>
      </c>
      <c r="BD14">
        <f>SUMIF(DeadRaw!$B:$B,$A14,DeadRaw!BG:BG)</f>
        <v>24</v>
      </c>
      <c r="BE14">
        <f>SUMIF(DeadRaw!$B:$B,$A14,DeadRaw!BH:BH)</f>
        <v>43</v>
      </c>
      <c r="BF14">
        <f>SUMIF(DeadRaw!$B:$B,$A14,DeadRaw!BI:BI)</f>
        <v>58</v>
      </c>
      <c r="BG14">
        <f>SUMIF(DeadRaw!$B:$B,$A14,DeadRaw!BJ:BJ)</f>
        <v>0</v>
      </c>
      <c r="BH14">
        <f>SUMIF(DeadRaw!$B:$B,$A14,DeadRaw!BK:BK)</f>
        <v>0</v>
      </c>
      <c r="BI14">
        <f>SUMIF(DeadRaw!$B:$B,$A14,DeadRaw!BL:BL)</f>
        <v>0</v>
      </c>
      <c r="BJ14">
        <f>SUMIF(DeadRaw!$B:$B,$A14,DeadRaw!BM:BM)</f>
        <v>0</v>
      </c>
      <c r="BK14">
        <f>SUMIF(DeadRaw!$B:$B,$A14,DeadRaw!BN:BN)</f>
        <v>0</v>
      </c>
      <c r="BL14">
        <f>SUMIF(DeadRaw!$B:$B,$A14,DeadRaw!BO:BO)</f>
        <v>0</v>
      </c>
      <c r="BM14">
        <f>SUMIF(DeadRaw!$B:$B,$A14,DeadRaw!BP:BP)</f>
        <v>0</v>
      </c>
      <c r="BN14">
        <f>SUMIF(DeadRaw!$B:$B,$A14,DeadRaw!BQ:BQ)</f>
        <v>0</v>
      </c>
      <c r="BO14">
        <f>SUMIF(DeadRaw!$B:$B,$A14,DeadRaw!BR:BR)</f>
        <v>0</v>
      </c>
      <c r="BP14">
        <f>SUMIF(DeadRaw!$B:$B,$A14,DeadRaw!BS:BS)</f>
        <v>0</v>
      </c>
      <c r="BQ14">
        <f>SUMIF(DeadRaw!$B:$B,$A14,DeadRaw!BT:BT)</f>
        <v>0</v>
      </c>
      <c r="BR14">
        <f>SUMIF(DeadRaw!$B:$B,$A14,DeadRaw!BU:BU)</f>
        <v>0</v>
      </c>
      <c r="BS14">
        <f>SUMIF(DeadRaw!$B:$B,$A14,DeadRaw!BV:BV)</f>
        <v>0</v>
      </c>
      <c r="BT14">
        <f>SUMIF(DeadRaw!$B:$B,$A14,DeadRaw!BW:BW)</f>
        <v>0</v>
      </c>
    </row>
    <row r="15" spans="1:72" ht="15" thickBot="1" x14ac:dyDescent="0.35">
      <c r="A15" s="3" t="s">
        <v>349</v>
      </c>
      <c r="B15">
        <f>SUMIF(DeadRaw!$B:$B,$A15,DeadRaw!E:E)</f>
        <v>0</v>
      </c>
      <c r="C15">
        <f>SUMIF(DeadRaw!$B:$B,$A15,DeadRaw!F:F)</f>
        <v>0</v>
      </c>
      <c r="D15">
        <f>SUMIF(DeadRaw!$B:$B,$A15,DeadRaw!G:G)</f>
        <v>0</v>
      </c>
      <c r="E15">
        <f>SUMIF(DeadRaw!$B:$B,$A15,DeadRaw!H:H)</f>
        <v>0</v>
      </c>
      <c r="F15">
        <f>SUMIF(DeadRaw!$B:$B,$A15,DeadRaw!I:I)</f>
        <v>0</v>
      </c>
      <c r="G15">
        <f>SUMIF(DeadRaw!$B:$B,$A15,DeadRaw!J:J)</f>
        <v>0</v>
      </c>
      <c r="H15">
        <f>SUMIF(DeadRaw!$B:$B,$A15,DeadRaw!K:K)</f>
        <v>0</v>
      </c>
      <c r="I15">
        <f>SUMIF(DeadRaw!$B:$B,$A15,DeadRaw!L:L)</f>
        <v>0</v>
      </c>
      <c r="J15">
        <f>SUMIF(DeadRaw!$B:$B,$A15,DeadRaw!M:M)</f>
        <v>0</v>
      </c>
      <c r="K15">
        <f>SUMIF(DeadRaw!$B:$B,$A15,DeadRaw!N:N)</f>
        <v>0</v>
      </c>
      <c r="L15">
        <f>SUMIF(DeadRaw!$B:$B,$A15,DeadRaw!O:O)</f>
        <v>0</v>
      </c>
      <c r="M15">
        <f>SUMIF(DeadRaw!$B:$B,$A15,DeadRaw!P:P)</f>
        <v>0</v>
      </c>
      <c r="N15">
        <f>SUMIF(DeadRaw!$B:$B,$A15,DeadRaw!Q:Q)</f>
        <v>0</v>
      </c>
      <c r="O15">
        <f>SUMIF(DeadRaw!$B:$B,$A15,DeadRaw!R:R)</f>
        <v>0</v>
      </c>
      <c r="P15">
        <f>SUMIF(DeadRaw!$B:$B,$A15,DeadRaw!S:S)</f>
        <v>0</v>
      </c>
      <c r="Q15">
        <f>SUMIF(DeadRaw!$B:$B,$A15,DeadRaw!T:T)</f>
        <v>0</v>
      </c>
      <c r="R15">
        <f>SUMIF(DeadRaw!$B:$B,$A15,DeadRaw!U:U)</f>
        <v>0</v>
      </c>
      <c r="S15">
        <f>SUMIF(DeadRaw!$B:$B,$A15,DeadRaw!V:V)</f>
        <v>0</v>
      </c>
      <c r="T15">
        <f>SUMIF(DeadRaw!$B:$B,$A15,DeadRaw!W:W)</f>
        <v>0</v>
      </c>
      <c r="U15">
        <f>SUMIF(DeadRaw!$B:$B,$A15,DeadRaw!X:X)</f>
        <v>0</v>
      </c>
      <c r="V15">
        <f>SUMIF(DeadRaw!$B:$B,$A15,DeadRaw!Y:Y)</f>
        <v>0</v>
      </c>
      <c r="W15">
        <f>SUMIF(DeadRaw!$B:$B,$A15,DeadRaw!Z:Z)</f>
        <v>0</v>
      </c>
      <c r="X15">
        <f>SUMIF(DeadRaw!$B:$B,$A15,DeadRaw!AA:AA)</f>
        <v>0</v>
      </c>
      <c r="Y15">
        <f>SUMIF(DeadRaw!$B:$B,$A15,DeadRaw!AB:AB)</f>
        <v>0</v>
      </c>
      <c r="Z15">
        <f>SUMIF(DeadRaw!$B:$B,$A15,DeadRaw!AC:AC)</f>
        <v>0</v>
      </c>
      <c r="AA15">
        <f>SUMIF(DeadRaw!$B:$B,$A15,DeadRaw!AD:AD)</f>
        <v>0</v>
      </c>
      <c r="AB15">
        <f>SUMIF(DeadRaw!$B:$B,$A15,DeadRaw!AE:AE)</f>
        <v>0</v>
      </c>
      <c r="AC15">
        <f>SUMIF(DeadRaw!$B:$B,$A15,DeadRaw!AF:AF)</f>
        <v>0</v>
      </c>
      <c r="AD15">
        <f>SUMIF(DeadRaw!$B:$B,$A15,DeadRaw!AG:AG)</f>
        <v>0</v>
      </c>
      <c r="AE15">
        <f>SUMIF(DeadRaw!$B:$B,$A15,DeadRaw!AH:AH)</f>
        <v>0</v>
      </c>
      <c r="AF15">
        <f>SUMIF(DeadRaw!$B:$B,$A15,DeadRaw!AI:AI)</f>
        <v>0</v>
      </c>
      <c r="AG15">
        <f>SUMIF(DeadRaw!$B:$B,$A15,DeadRaw!AJ:AJ)</f>
        <v>0</v>
      </c>
      <c r="AH15">
        <f>SUMIF(DeadRaw!$B:$B,$A15,DeadRaw!AK:AK)</f>
        <v>0</v>
      </c>
      <c r="AI15">
        <f>SUMIF(DeadRaw!$B:$B,$A15,DeadRaw!AL:AL)</f>
        <v>0</v>
      </c>
      <c r="AJ15">
        <f>SUMIF(DeadRaw!$B:$B,$A15,DeadRaw!AM:AM)</f>
        <v>0</v>
      </c>
      <c r="AK15">
        <f>SUMIF(DeadRaw!$B:$B,$A15,DeadRaw!AN:AN)</f>
        <v>0</v>
      </c>
      <c r="AL15">
        <f>SUMIF(DeadRaw!$B:$B,$A15,DeadRaw!AO:AO)</f>
        <v>0</v>
      </c>
      <c r="AM15">
        <f>SUMIF(DeadRaw!$B:$B,$A15,DeadRaw!AP:AP)</f>
        <v>0</v>
      </c>
      <c r="AN15">
        <f>SUMIF(DeadRaw!$B:$B,$A15,DeadRaw!AQ:AQ)</f>
        <v>0</v>
      </c>
      <c r="AO15">
        <f>SUMIF(DeadRaw!$B:$B,$A15,DeadRaw!AR:AR)</f>
        <v>0</v>
      </c>
      <c r="AP15">
        <f>SUMIF(DeadRaw!$B:$B,$A15,DeadRaw!AS:AS)</f>
        <v>0</v>
      </c>
      <c r="AQ15">
        <f>SUMIF(DeadRaw!$B:$B,$A15,DeadRaw!AT:AT)</f>
        <v>0</v>
      </c>
      <c r="AR15">
        <f>SUMIF(DeadRaw!$B:$B,$A15,DeadRaw!AU:AU)</f>
        <v>0</v>
      </c>
      <c r="AS15">
        <f>SUMIF(DeadRaw!$B:$B,$A15,DeadRaw!AV:AV)</f>
        <v>1</v>
      </c>
      <c r="AT15">
        <f>SUMIF(DeadRaw!$B:$B,$A15,DeadRaw!AW:AW)</f>
        <v>2</v>
      </c>
      <c r="AU15">
        <f>SUMIF(DeadRaw!$B:$B,$A15,DeadRaw!AX:AX)</f>
        <v>2</v>
      </c>
      <c r="AV15">
        <f>SUMIF(DeadRaw!$B:$B,$A15,DeadRaw!AY:AY)</f>
        <v>3</v>
      </c>
      <c r="AW15">
        <f>SUMIF(DeadRaw!$B:$B,$A15,DeadRaw!AZ:AZ)</f>
        <v>4</v>
      </c>
      <c r="AX15">
        <f>SUMIF(DeadRaw!$B:$B,$A15,DeadRaw!BA:BA)</f>
        <v>6</v>
      </c>
      <c r="AY15">
        <f>SUMIF(DeadRaw!$B:$B,$A15,DeadRaw!BB:BB)</f>
        <v>8</v>
      </c>
      <c r="AZ15">
        <f>SUMIF(DeadRaw!$B:$B,$A15,DeadRaw!BC:BC)</f>
        <v>8</v>
      </c>
      <c r="BA15">
        <f>SUMIF(DeadRaw!$B:$B,$A15,DeadRaw!BD:BD)</f>
        <v>8</v>
      </c>
      <c r="BB15">
        <f>SUMIF(DeadRaw!$B:$B,$A15,DeadRaw!BE:BE)</f>
        <v>21</v>
      </c>
      <c r="BC15">
        <f>SUMIF(DeadRaw!$B:$B,$A15,DeadRaw!BF:BF)</f>
        <v>21</v>
      </c>
      <c r="BD15">
        <f>SUMIF(DeadRaw!$B:$B,$A15,DeadRaw!BG:BG)</f>
        <v>56</v>
      </c>
      <c r="BE15">
        <f>SUMIF(DeadRaw!$B:$B,$A15,DeadRaw!BH:BH)</f>
        <v>56</v>
      </c>
      <c r="BF15">
        <f>SUMIF(DeadRaw!$B:$B,$A15,DeadRaw!BI:BI)</f>
        <v>72</v>
      </c>
      <c r="BG15">
        <f>SUMIF(DeadRaw!$B:$B,$A15,DeadRaw!BJ:BJ)</f>
        <v>0</v>
      </c>
      <c r="BH15">
        <f>SUMIF(DeadRaw!$B:$B,$A15,DeadRaw!BK:BK)</f>
        <v>0</v>
      </c>
      <c r="BI15">
        <f>SUMIF(DeadRaw!$B:$B,$A15,DeadRaw!BL:BL)</f>
        <v>0</v>
      </c>
      <c r="BJ15">
        <f>SUMIF(DeadRaw!$B:$B,$A15,DeadRaw!BM:BM)</f>
        <v>0</v>
      </c>
      <c r="BK15">
        <f>SUMIF(DeadRaw!$B:$B,$A15,DeadRaw!BN:BN)</f>
        <v>0</v>
      </c>
      <c r="BL15">
        <f>SUMIF(DeadRaw!$B:$B,$A15,DeadRaw!BO:BO)</f>
        <v>0</v>
      </c>
      <c r="BM15">
        <f>SUMIF(DeadRaw!$B:$B,$A15,DeadRaw!BP:BP)</f>
        <v>0</v>
      </c>
      <c r="BN15">
        <f>SUMIF(DeadRaw!$B:$B,$A15,DeadRaw!BQ:BQ)</f>
        <v>0</v>
      </c>
      <c r="BO15">
        <f>SUMIF(DeadRaw!$B:$B,$A15,DeadRaw!BR:BR)</f>
        <v>0</v>
      </c>
      <c r="BP15">
        <f>SUMIF(DeadRaw!$B:$B,$A15,DeadRaw!BS:BS)</f>
        <v>0</v>
      </c>
      <c r="BQ15">
        <f>SUMIF(DeadRaw!$B:$B,$A15,DeadRaw!BT:BT)</f>
        <v>0</v>
      </c>
      <c r="BR15">
        <f>SUMIF(DeadRaw!$B:$B,$A15,DeadRaw!BU:BU)</f>
        <v>0</v>
      </c>
      <c r="BS15">
        <f>SUMIF(DeadRaw!$B:$B,$A15,DeadRaw!BV:BV)</f>
        <v>0</v>
      </c>
      <c r="BT15">
        <f>SUMIF(DeadRaw!$B:$B,$A15,DeadRaw!BW:BW)</f>
        <v>0</v>
      </c>
    </row>
    <row r="16" spans="1:72" ht="15" thickBot="1" x14ac:dyDescent="0.35">
      <c r="A16" s="4" t="s">
        <v>36</v>
      </c>
      <c r="B16">
        <f>SUMIF(DeadRaw!$B:$B,$A16,DeadRaw!E:E)</f>
        <v>0</v>
      </c>
      <c r="C16">
        <f>SUMIF(DeadRaw!$B:$B,$A16,DeadRaw!F:F)</f>
        <v>0</v>
      </c>
      <c r="D16">
        <f>SUMIF(DeadRaw!$B:$B,$A16,DeadRaw!G:G)</f>
        <v>0</v>
      </c>
      <c r="E16">
        <f>SUMIF(DeadRaw!$B:$B,$A16,DeadRaw!H:H)</f>
        <v>0</v>
      </c>
      <c r="F16">
        <f>SUMIF(DeadRaw!$B:$B,$A16,DeadRaw!I:I)</f>
        <v>0</v>
      </c>
      <c r="G16">
        <f>SUMIF(DeadRaw!$B:$B,$A16,DeadRaw!J:J)</f>
        <v>0</v>
      </c>
      <c r="H16">
        <f>SUMIF(DeadRaw!$B:$B,$A16,DeadRaw!K:K)</f>
        <v>0</v>
      </c>
      <c r="I16">
        <f>SUMIF(DeadRaw!$B:$B,$A16,DeadRaw!L:L)</f>
        <v>0</v>
      </c>
      <c r="J16">
        <f>SUMIF(DeadRaw!$B:$B,$A16,DeadRaw!M:M)</f>
        <v>0</v>
      </c>
      <c r="K16">
        <f>SUMIF(DeadRaw!$B:$B,$A16,DeadRaw!N:N)</f>
        <v>0</v>
      </c>
      <c r="L16">
        <f>SUMIF(DeadRaw!$B:$B,$A16,DeadRaw!O:O)</f>
        <v>0</v>
      </c>
      <c r="M16">
        <f>SUMIF(DeadRaw!$B:$B,$A16,DeadRaw!P:P)</f>
        <v>0</v>
      </c>
      <c r="N16">
        <f>SUMIF(DeadRaw!$B:$B,$A16,DeadRaw!Q:Q)</f>
        <v>0</v>
      </c>
      <c r="O16">
        <f>SUMIF(DeadRaw!$B:$B,$A16,DeadRaw!R:R)</f>
        <v>0</v>
      </c>
      <c r="P16">
        <f>SUMIF(DeadRaw!$B:$B,$A16,DeadRaw!S:S)</f>
        <v>0</v>
      </c>
      <c r="Q16">
        <f>SUMIF(DeadRaw!$B:$B,$A16,DeadRaw!T:T)</f>
        <v>0</v>
      </c>
      <c r="R16">
        <f>SUMIF(DeadRaw!$B:$B,$A16,DeadRaw!U:U)</f>
        <v>0</v>
      </c>
      <c r="S16">
        <f>SUMIF(DeadRaw!$B:$B,$A16,DeadRaw!V:V)</f>
        <v>0</v>
      </c>
      <c r="T16">
        <f>SUMIF(DeadRaw!$B:$B,$A16,DeadRaw!W:W)</f>
        <v>0</v>
      </c>
      <c r="U16">
        <f>SUMIF(DeadRaw!$B:$B,$A16,DeadRaw!X:X)</f>
        <v>0</v>
      </c>
      <c r="V16">
        <f>SUMIF(DeadRaw!$B:$B,$A16,DeadRaw!Y:Y)</f>
        <v>0</v>
      </c>
      <c r="W16">
        <f>SUMIF(DeadRaw!$B:$B,$A16,DeadRaw!Z:Z)</f>
        <v>0</v>
      </c>
      <c r="X16">
        <f>SUMIF(DeadRaw!$B:$B,$A16,DeadRaw!AA:AA)</f>
        <v>1</v>
      </c>
      <c r="Y16">
        <f>SUMIF(DeadRaw!$B:$B,$A16,DeadRaw!AB:AB)</f>
        <v>1</v>
      </c>
      <c r="Z16">
        <f>SUMIF(DeadRaw!$B:$B,$A16,DeadRaw!AC:AC)</f>
        <v>1</v>
      </c>
      <c r="AA16">
        <f>SUMIF(DeadRaw!$B:$B,$A16,DeadRaw!AD:AD)</f>
        <v>1</v>
      </c>
      <c r="AB16">
        <f>SUMIF(DeadRaw!$B:$B,$A16,DeadRaw!AE:AE)</f>
        <v>1</v>
      </c>
      <c r="AC16">
        <f>SUMIF(DeadRaw!$B:$B,$A16,DeadRaw!AF:AF)</f>
        <v>1</v>
      </c>
      <c r="AD16">
        <f>SUMIF(DeadRaw!$B:$B,$A16,DeadRaw!AG:AG)</f>
        <v>1</v>
      </c>
      <c r="AE16">
        <f>SUMIF(DeadRaw!$B:$B,$A16,DeadRaw!AH:AH)</f>
        <v>1</v>
      </c>
      <c r="AF16">
        <f>SUMIF(DeadRaw!$B:$B,$A16,DeadRaw!AI:AI)</f>
        <v>1</v>
      </c>
      <c r="AG16">
        <f>SUMIF(DeadRaw!$B:$B,$A16,DeadRaw!AJ:AJ)</f>
        <v>1</v>
      </c>
      <c r="AH16">
        <f>SUMIF(DeadRaw!$B:$B,$A16,DeadRaw!AK:AK)</f>
        <v>1</v>
      </c>
      <c r="AI16">
        <f>SUMIF(DeadRaw!$B:$B,$A16,DeadRaw!AL:AL)</f>
        <v>1</v>
      </c>
      <c r="AJ16">
        <f>SUMIF(DeadRaw!$B:$B,$A16,DeadRaw!AM:AM)</f>
        <v>1</v>
      </c>
      <c r="AK16">
        <f>SUMIF(DeadRaw!$B:$B,$A16,DeadRaw!AN:AN)</f>
        <v>2</v>
      </c>
      <c r="AL16">
        <f>SUMIF(DeadRaw!$B:$B,$A16,DeadRaw!AO:AO)</f>
        <v>4</v>
      </c>
      <c r="AM16">
        <f>SUMIF(DeadRaw!$B:$B,$A16,DeadRaw!AP:AP)</f>
        <v>4</v>
      </c>
      <c r="AN16">
        <f>SUMIF(DeadRaw!$B:$B,$A16,DeadRaw!AQ:AQ)</f>
        <v>5</v>
      </c>
      <c r="AO16">
        <f>SUMIF(DeadRaw!$B:$B,$A16,DeadRaw!AR:AR)</f>
        <v>6</v>
      </c>
      <c r="AP16">
        <f>SUMIF(DeadRaw!$B:$B,$A16,DeadRaw!AS:AS)</f>
        <v>6</v>
      </c>
      <c r="AQ16">
        <f>SUMIF(DeadRaw!$B:$B,$A16,DeadRaw!AT:AT)</f>
        <v>6</v>
      </c>
      <c r="AR16">
        <f>SUMIF(DeadRaw!$B:$B,$A16,DeadRaw!AU:AU)</f>
        <v>6</v>
      </c>
      <c r="AS16">
        <f>SUMIF(DeadRaw!$B:$B,$A16,DeadRaw!AV:AV)</f>
        <v>6</v>
      </c>
      <c r="AT16">
        <f>SUMIF(DeadRaw!$B:$B,$A16,DeadRaw!AW:AW)</f>
        <v>6</v>
      </c>
      <c r="AU16">
        <f>SUMIF(DeadRaw!$B:$B,$A16,DeadRaw!AX:AX)</f>
        <v>6</v>
      </c>
      <c r="AV16">
        <f>SUMIF(DeadRaw!$B:$B,$A16,DeadRaw!AY:AY)</f>
        <v>6</v>
      </c>
      <c r="AW16">
        <f>SUMIF(DeadRaw!$B:$B,$A16,DeadRaw!AZ:AZ)</f>
        <v>10</v>
      </c>
      <c r="AX16">
        <f>SUMIF(DeadRaw!$B:$B,$A16,DeadRaw!BA:BA)</f>
        <v>10</v>
      </c>
      <c r="AY16">
        <f>SUMIF(DeadRaw!$B:$B,$A16,DeadRaw!BB:BB)</f>
        <v>15</v>
      </c>
      <c r="AZ16">
        <f>SUMIF(DeadRaw!$B:$B,$A16,DeadRaw!BC:BC)</f>
        <v>16</v>
      </c>
      <c r="BA16">
        <f>SUMIF(DeadRaw!$B:$B,$A16,DeadRaw!BD:BD)</f>
        <v>19</v>
      </c>
      <c r="BB16">
        <f>SUMIF(DeadRaw!$B:$B,$A16,DeadRaw!BE:BE)</f>
        <v>22</v>
      </c>
      <c r="BC16">
        <f>SUMIF(DeadRaw!$B:$B,$A16,DeadRaw!BF:BF)</f>
        <v>22</v>
      </c>
      <c r="BD16">
        <f>SUMIF(DeadRaw!$B:$B,$A16,DeadRaw!BG:BG)</f>
        <v>27</v>
      </c>
      <c r="BE16">
        <f>SUMIF(DeadRaw!$B:$B,$A16,DeadRaw!BH:BH)</f>
        <v>29</v>
      </c>
      <c r="BF16">
        <f>SUMIF(DeadRaw!$B:$B,$A16,DeadRaw!BI:BI)</f>
        <v>29</v>
      </c>
      <c r="BG16">
        <f>SUMIF(DeadRaw!$B:$B,$A16,DeadRaw!BJ:BJ)</f>
        <v>0</v>
      </c>
      <c r="BH16">
        <f>SUMIF(DeadRaw!$B:$B,$A16,DeadRaw!BK:BK)</f>
        <v>0</v>
      </c>
      <c r="BI16">
        <f>SUMIF(DeadRaw!$B:$B,$A16,DeadRaw!BL:BL)</f>
        <v>0</v>
      </c>
      <c r="BJ16">
        <f>SUMIF(DeadRaw!$B:$B,$A16,DeadRaw!BM:BM)</f>
        <v>0</v>
      </c>
      <c r="BK16">
        <f>SUMIF(DeadRaw!$B:$B,$A16,DeadRaw!BN:BN)</f>
        <v>0</v>
      </c>
      <c r="BL16">
        <f>SUMIF(DeadRaw!$B:$B,$A16,DeadRaw!BO:BO)</f>
        <v>0</v>
      </c>
      <c r="BM16">
        <f>SUMIF(DeadRaw!$B:$B,$A16,DeadRaw!BP:BP)</f>
        <v>0</v>
      </c>
      <c r="BN16">
        <f>SUMIF(DeadRaw!$B:$B,$A16,DeadRaw!BQ:BQ)</f>
        <v>0</v>
      </c>
      <c r="BO16">
        <f>SUMIF(DeadRaw!$B:$B,$A16,DeadRaw!BR:BR)</f>
        <v>0</v>
      </c>
      <c r="BP16">
        <f>SUMIF(DeadRaw!$B:$B,$A16,DeadRaw!BS:BS)</f>
        <v>0</v>
      </c>
      <c r="BQ16">
        <f>SUMIF(DeadRaw!$B:$B,$A16,DeadRaw!BT:BT)</f>
        <v>0</v>
      </c>
      <c r="BR16">
        <f>SUMIF(DeadRaw!$B:$B,$A16,DeadRaw!BU:BU)</f>
        <v>0</v>
      </c>
      <c r="BS16">
        <f>SUMIF(DeadRaw!$B:$B,$A16,DeadRaw!BV:BV)</f>
        <v>0</v>
      </c>
      <c r="BT16">
        <f>SUMIF(DeadRaw!$B:$B,$A16,DeadRaw!BW:BW)</f>
        <v>0</v>
      </c>
    </row>
    <row r="17" spans="1:72" ht="15" thickBot="1" x14ac:dyDescent="0.35">
      <c r="A17" s="4" t="s">
        <v>340</v>
      </c>
      <c r="B17">
        <f>SUMIF(DeadRaw!$B:$B,$A17,DeadRaw!E:E)</f>
        <v>0</v>
      </c>
      <c r="C17">
        <f>SUMIF(DeadRaw!$B:$B,$A17,DeadRaw!F:F)</f>
        <v>0</v>
      </c>
      <c r="D17">
        <f>SUMIF(DeadRaw!$B:$B,$A17,DeadRaw!G:G)</f>
        <v>0</v>
      </c>
      <c r="E17">
        <f>SUMIF(DeadRaw!$B:$B,$A17,DeadRaw!H:H)</f>
        <v>0</v>
      </c>
      <c r="F17">
        <f>SUMIF(DeadRaw!$B:$B,$A17,DeadRaw!I:I)</f>
        <v>0</v>
      </c>
      <c r="G17">
        <f>SUMIF(DeadRaw!$B:$B,$A17,DeadRaw!J:J)</f>
        <v>0</v>
      </c>
      <c r="H17">
        <f>SUMIF(DeadRaw!$B:$B,$A17,DeadRaw!K:K)</f>
        <v>0</v>
      </c>
      <c r="I17">
        <f>SUMIF(DeadRaw!$B:$B,$A17,DeadRaw!L:L)</f>
        <v>0</v>
      </c>
      <c r="J17">
        <f>SUMIF(DeadRaw!$B:$B,$A17,DeadRaw!M:M)</f>
        <v>0</v>
      </c>
      <c r="K17">
        <f>SUMIF(DeadRaw!$B:$B,$A17,DeadRaw!N:N)</f>
        <v>0</v>
      </c>
      <c r="L17">
        <f>SUMIF(DeadRaw!$B:$B,$A17,DeadRaw!O:O)</f>
        <v>0</v>
      </c>
      <c r="M17">
        <f>SUMIF(DeadRaw!$B:$B,$A17,DeadRaw!P:P)</f>
        <v>0</v>
      </c>
      <c r="N17">
        <f>SUMIF(DeadRaw!$B:$B,$A17,DeadRaw!Q:Q)</f>
        <v>0</v>
      </c>
      <c r="O17">
        <f>SUMIF(DeadRaw!$B:$B,$A17,DeadRaw!R:R)</f>
        <v>0</v>
      </c>
      <c r="P17">
        <f>SUMIF(DeadRaw!$B:$B,$A17,DeadRaw!S:S)</f>
        <v>0</v>
      </c>
      <c r="Q17">
        <f>SUMIF(DeadRaw!$B:$B,$A17,DeadRaw!T:T)</f>
        <v>0</v>
      </c>
      <c r="R17">
        <f>SUMIF(DeadRaw!$B:$B,$A17,DeadRaw!U:U)</f>
        <v>0</v>
      </c>
      <c r="S17">
        <f>SUMIF(DeadRaw!$B:$B,$A17,DeadRaw!V:V)</f>
        <v>0</v>
      </c>
      <c r="T17">
        <f>SUMIF(DeadRaw!$B:$B,$A17,DeadRaw!W:W)</f>
        <v>0</v>
      </c>
      <c r="U17">
        <f>SUMIF(DeadRaw!$B:$B,$A17,DeadRaw!X:X)</f>
        <v>0</v>
      </c>
      <c r="V17">
        <f>SUMIF(DeadRaw!$B:$B,$A17,DeadRaw!Y:Y)</f>
        <v>0</v>
      </c>
      <c r="W17">
        <f>SUMIF(DeadRaw!$B:$B,$A17,DeadRaw!Z:Z)</f>
        <v>0</v>
      </c>
      <c r="X17">
        <f>SUMIF(DeadRaw!$B:$B,$A17,DeadRaw!AA:AA)</f>
        <v>0</v>
      </c>
      <c r="Y17">
        <f>SUMIF(DeadRaw!$B:$B,$A17,DeadRaw!AB:AB)</f>
        <v>0</v>
      </c>
      <c r="Z17">
        <f>SUMIF(DeadRaw!$B:$B,$A17,DeadRaw!AC:AC)</f>
        <v>0</v>
      </c>
      <c r="AA17">
        <f>SUMIF(DeadRaw!$B:$B,$A17,DeadRaw!AD:AD)</f>
        <v>0</v>
      </c>
      <c r="AB17">
        <f>SUMIF(DeadRaw!$B:$B,$A17,DeadRaw!AE:AE)</f>
        <v>0</v>
      </c>
      <c r="AC17">
        <f>SUMIF(DeadRaw!$B:$B,$A17,DeadRaw!AF:AF)</f>
        <v>0</v>
      </c>
      <c r="AD17">
        <f>SUMIF(DeadRaw!$B:$B,$A17,DeadRaw!AG:AG)</f>
        <v>0</v>
      </c>
      <c r="AE17">
        <f>SUMIF(DeadRaw!$B:$B,$A17,DeadRaw!AH:AH)</f>
        <v>2</v>
      </c>
      <c r="AF17">
        <f>SUMIF(DeadRaw!$B:$B,$A17,DeadRaw!AI:AI)</f>
        <v>2</v>
      </c>
      <c r="AG17">
        <f>SUMIF(DeadRaw!$B:$B,$A17,DeadRaw!AJ:AJ)</f>
        <v>2</v>
      </c>
      <c r="AH17">
        <f>SUMIF(DeadRaw!$B:$B,$A17,DeadRaw!AK:AK)</f>
        <v>3</v>
      </c>
      <c r="AI17">
        <f>SUMIF(DeadRaw!$B:$B,$A17,DeadRaw!AL:AL)</f>
        <v>3</v>
      </c>
      <c r="AJ17">
        <f>SUMIF(DeadRaw!$B:$B,$A17,DeadRaw!AM:AM)</f>
        <v>3</v>
      </c>
      <c r="AK17">
        <f>SUMIF(DeadRaw!$B:$B,$A17,DeadRaw!AN:AN)</f>
        <v>4</v>
      </c>
      <c r="AL17">
        <f>SUMIF(DeadRaw!$B:$B,$A17,DeadRaw!AO:AO)</f>
        <v>4</v>
      </c>
      <c r="AM17">
        <f>SUMIF(DeadRaw!$B:$B,$A17,DeadRaw!AP:AP)</f>
        <v>6</v>
      </c>
      <c r="AN17">
        <f>SUMIF(DeadRaw!$B:$B,$A17,DeadRaw!AQ:AQ)</f>
        <v>6</v>
      </c>
      <c r="AO17">
        <f>SUMIF(DeadRaw!$B:$B,$A17,DeadRaw!AR:AR)</f>
        <v>6</v>
      </c>
      <c r="AP17">
        <f>SUMIF(DeadRaw!$B:$B,$A17,DeadRaw!AS:AS)</f>
        <v>6</v>
      </c>
      <c r="AQ17">
        <f>SUMIF(DeadRaw!$B:$B,$A17,DeadRaw!AT:AT)</f>
        <v>6</v>
      </c>
      <c r="AR17">
        <f>SUMIF(DeadRaw!$B:$B,$A17,DeadRaw!AU:AU)</f>
        <v>6</v>
      </c>
      <c r="AS17">
        <f>SUMIF(DeadRaw!$B:$B,$A17,DeadRaw!AV:AV)</f>
        <v>6</v>
      </c>
      <c r="AT17">
        <f>SUMIF(DeadRaw!$B:$B,$A17,DeadRaw!AW:AW)</f>
        <v>6</v>
      </c>
      <c r="AU17">
        <f>SUMIF(DeadRaw!$B:$B,$A17,DeadRaw!AX:AX)</f>
        <v>6</v>
      </c>
      <c r="AV17">
        <f>SUMIF(DeadRaw!$B:$B,$A17,DeadRaw!AY:AY)</f>
        <v>6</v>
      </c>
      <c r="AW17">
        <f>SUMIF(DeadRaw!$B:$B,$A17,DeadRaw!AZ:AZ)</f>
        <v>6</v>
      </c>
      <c r="AX17">
        <f>SUMIF(DeadRaw!$B:$B,$A17,DeadRaw!BA:BA)</f>
        <v>6</v>
      </c>
      <c r="AY17">
        <f>SUMIF(DeadRaw!$B:$B,$A17,DeadRaw!BB:BB)</f>
        <v>7</v>
      </c>
      <c r="AZ17">
        <f>SUMIF(DeadRaw!$B:$B,$A17,DeadRaw!BC:BC)</f>
        <v>7</v>
      </c>
      <c r="BA17">
        <f>SUMIF(DeadRaw!$B:$B,$A17,DeadRaw!BD:BD)</f>
        <v>7</v>
      </c>
      <c r="BB17">
        <f>SUMIF(DeadRaw!$B:$B,$A17,DeadRaw!BE:BE)</f>
        <v>7</v>
      </c>
      <c r="BC17">
        <f>SUMIF(DeadRaw!$B:$B,$A17,DeadRaw!BF:BF)</f>
        <v>7</v>
      </c>
      <c r="BD17">
        <f>SUMIF(DeadRaw!$B:$B,$A17,DeadRaw!BG:BG)</f>
        <v>7</v>
      </c>
      <c r="BE17">
        <f>SUMIF(DeadRaw!$B:$B,$A17,DeadRaw!BH:BH)</f>
        <v>7</v>
      </c>
      <c r="BF17">
        <f>SUMIF(DeadRaw!$B:$B,$A17,DeadRaw!BI:BI)</f>
        <v>7</v>
      </c>
      <c r="BG17">
        <f>SUMIF(DeadRaw!$B:$B,$A17,DeadRaw!BJ:BJ)</f>
        <v>0</v>
      </c>
      <c r="BH17">
        <f>SUMIF(DeadRaw!$B:$B,$A17,DeadRaw!BK:BK)</f>
        <v>0</v>
      </c>
      <c r="BI17">
        <f>SUMIF(DeadRaw!$B:$B,$A17,DeadRaw!BL:BL)</f>
        <v>0</v>
      </c>
      <c r="BJ17">
        <f>SUMIF(DeadRaw!$B:$B,$A17,DeadRaw!BM:BM)</f>
        <v>0</v>
      </c>
      <c r="BK17">
        <f>SUMIF(DeadRaw!$B:$B,$A17,DeadRaw!BN:BN)</f>
        <v>0</v>
      </c>
      <c r="BL17">
        <f>SUMIF(DeadRaw!$B:$B,$A17,DeadRaw!BO:BO)</f>
        <v>0</v>
      </c>
      <c r="BM17">
        <f>SUMIF(DeadRaw!$B:$B,$A17,DeadRaw!BP:BP)</f>
        <v>0</v>
      </c>
      <c r="BN17">
        <f>SUMIF(DeadRaw!$B:$B,$A17,DeadRaw!BQ:BQ)</f>
        <v>0</v>
      </c>
      <c r="BO17">
        <f>SUMIF(DeadRaw!$B:$B,$A17,DeadRaw!BR:BR)</f>
        <v>0</v>
      </c>
      <c r="BP17">
        <f>SUMIF(DeadRaw!$B:$B,$A17,DeadRaw!BS:BS)</f>
        <v>0</v>
      </c>
      <c r="BQ17">
        <f>SUMIF(DeadRaw!$B:$B,$A17,DeadRaw!BT:BT)</f>
        <v>0</v>
      </c>
      <c r="BR17">
        <f>SUMIF(DeadRaw!$B:$B,$A17,DeadRaw!BU:BU)</f>
        <v>0</v>
      </c>
      <c r="BS17">
        <f>SUMIF(DeadRaw!$B:$B,$A17,DeadRaw!BV:BV)</f>
        <v>0</v>
      </c>
      <c r="BT17">
        <f>SUMIF(DeadRaw!$B:$B,$A17,DeadRaw!BW:BW)</f>
        <v>0</v>
      </c>
    </row>
    <row r="18" spans="1:72" ht="15" thickBot="1" x14ac:dyDescent="0.35">
      <c r="A18" s="3" t="s">
        <v>63</v>
      </c>
      <c r="B18">
        <f>SUMIF(DeadRaw!$B:$B,$A18,DeadRaw!E:E)</f>
        <v>0</v>
      </c>
      <c r="C18">
        <f>SUMIF(DeadRaw!$B:$B,$A18,DeadRaw!F:F)</f>
        <v>0</v>
      </c>
      <c r="D18">
        <f>SUMIF(DeadRaw!$B:$B,$A18,DeadRaw!G:G)</f>
        <v>0</v>
      </c>
      <c r="E18">
        <f>SUMIF(DeadRaw!$B:$B,$A18,DeadRaw!H:H)</f>
        <v>0</v>
      </c>
      <c r="F18">
        <f>SUMIF(DeadRaw!$B:$B,$A18,DeadRaw!I:I)</f>
        <v>0</v>
      </c>
      <c r="G18">
        <f>SUMIF(DeadRaw!$B:$B,$A18,DeadRaw!J:J)</f>
        <v>0</v>
      </c>
      <c r="H18">
        <f>SUMIF(DeadRaw!$B:$B,$A18,DeadRaw!K:K)</f>
        <v>0</v>
      </c>
      <c r="I18">
        <f>SUMIF(DeadRaw!$B:$B,$A18,DeadRaw!L:L)</f>
        <v>0</v>
      </c>
      <c r="J18">
        <f>SUMIF(DeadRaw!$B:$B,$A18,DeadRaw!M:M)</f>
        <v>0</v>
      </c>
      <c r="K18">
        <f>SUMIF(DeadRaw!$B:$B,$A18,DeadRaw!N:N)</f>
        <v>0</v>
      </c>
      <c r="L18">
        <f>SUMIF(DeadRaw!$B:$B,$A18,DeadRaw!O:O)</f>
        <v>0</v>
      </c>
      <c r="M18">
        <f>SUMIF(DeadRaw!$B:$B,$A18,DeadRaw!P:P)</f>
        <v>0</v>
      </c>
      <c r="N18">
        <f>SUMIF(DeadRaw!$B:$B,$A18,DeadRaw!Q:Q)</f>
        <v>0</v>
      </c>
      <c r="O18">
        <f>SUMIF(DeadRaw!$B:$B,$A18,DeadRaw!R:R)</f>
        <v>0</v>
      </c>
      <c r="P18">
        <f>SUMIF(DeadRaw!$B:$B,$A18,DeadRaw!S:S)</f>
        <v>0</v>
      </c>
      <c r="Q18">
        <f>SUMIF(DeadRaw!$B:$B,$A18,DeadRaw!T:T)</f>
        <v>0</v>
      </c>
      <c r="R18">
        <f>SUMIF(DeadRaw!$B:$B,$A18,DeadRaw!U:U)</f>
        <v>0</v>
      </c>
      <c r="S18">
        <f>SUMIF(DeadRaw!$B:$B,$A18,DeadRaw!V:V)</f>
        <v>0</v>
      </c>
      <c r="T18">
        <f>SUMIF(DeadRaw!$B:$B,$A18,DeadRaw!W:W)</f>
        <v>0</v>
      </c>
      <c r="U18">
        <f>SUMIF(DeadRaw!$B:$B,$A18,DeadRaw!X:X)</f>
        <v>0</v>
      </c>
      <c r="V18">
        <f>SUMIF(DeadRaw!$B:$B,$A18,DeadRaw!Y:Y)</f>
        <v>0</v>
      </c>
      <c r="W18">
        <f>SUMIF(DeadRaw!$B:$B,$A18,DeadRaw!Z:Z)</f>
        <v>0</v>
      </c>
      <c r="X18">
        <f>SUMIF(DeadRaw!$B:$B,$A18,DeadRaw!AA:AA)</f>
        <v>0</v>
      </c>
      <c r="Y18">
        <f>SUMIF(DeadRaw!$B:$B,$A18,DeadRaw!AB:AB)</f>
        <v>0</v>
      </c>
      <c r="Z18">
        <f>SUMIF(DeadRaw!$B:$B,$A18,DeadRaw!AC:AC)</f>
        <v>0</v>
      </c>
      <c r="AA18">
        <f>SUMIF(DeadRaw!$B:$B,$A18,DeadRaw!AD:AD)</f>
        <v>0</v>
      </c>
      <c r="AB18">
        <f>SUMIF(DeadRaw!$B:$B,$A18,DeadRaw!AE:AE)</f>
        <v>0</v>
      </c>
      <c r="AC18">
        <f>SUMIF(DeadRaw!$B:$B,$A18,DeadRaw!AF:AF)</f>
        <v>0</v>
      </c>
      <c r="AD18">
        <f>SUMIF(DeadRaw!$B:$B,$A18,DeadRaw!AG:AG)</f>
        <v>0</v>
      </c>
      <c r="AE18">
        <f>SUMIF(DeadRaw!$B:$B,$A18,DeadRaw!AH:AH)</f>
        <v>0</v>
      </c>
      <c r="AF18">
        <f>SUMIF(DeadRaw!$B:$B,$A18,DeadRaw!AI:AI)</f>
        <v>0</v>
      </c>
      <c r="AG18">
        <f>SUMIF(DeadRaw!$B:$B,$A18,DeadRaw!AJ:AJ)</f>
        <v>0</v>
      </c>
      <c r="AH18">
        <f>SUMIF(DeadRaw!$B:$B,$A18,DeadRaw!AK:AK)</f>
        <v>0</v>
      </c>
      <c r="AI18">
        <f>SUMIF(DeadRaw!$B:$B,$A18,DeadRaw!AL:AL)</f>
        <v>0</v>
      </c>
      <c r="AJ18">
        <f>SUMIF(DeadRaw!$B:$B,$A18,DeadRaw!AM:AM)</f>
        <v>0</v>
      </c>
      <c r="AK18">
        <f>SUMIF(DeadRaw!$B:$B,$A18,DeadRaw!AN:AN)</f>
        <v>0</v>
      </c>
      <c r="AL18">
        <f>SUMIF(DeadRaw!$B:$B,$A18,DeadRaw!AO:AO)</f>
        <v>0</v>
      </c>
      <c r="AM18">
        <f>SUMIF(DeadRaw!$B:$B,$A18,DeadRaw!AP:AP)</f>
        <v>0</v>
      </c>
      <c r="AN18">
        <f>SUMIF(DeadRaw!$B:$B,$A18,DeadRaw!AQ:AQ)</f>
        <v>0</v>
      </c>
      <c r="AO18">
        <f>SUMIF(DeadRaw!$B:$B,$A18,DeadRaw!AR:AR)</f>
        <v>0</v>
      </c>
      <c r="AP18">
        <f>SUMIF(DeadRaw!$B:$B,$A18,DeadRaw!AS:AS)</f>
        <v>0</v>
      </c>
      <c r="AQ18">
        <f>SUMIF(DeadRaw!$B:$B,$A18,DeadRaw!AT:AT)</f>
        <v>0</v>
      </c>
      <c r="AR18">
        <f>SUMIF(DeadRaw!$B:$B,$A18,DeadRaw!AU:AU)</f>
        <v>0</v>
      </c>
      <c r="AS18">
        <f>SUMIF(DeadRaw!$B:$B,$A18,DeadRaw!AV:AV)</f>
        <v>0</v>
      </c>
      <c r="AT18">
        <f>SUMIF(DeadRaw!$B:$B,$A18,DeadRaw!AW:AW)</f>
        <v>0</v>
      </c>
      <c r="AU18">
        <f>SUMIF(DeadRaw!$B:$B,$A18,DeadRaw!AX:AX)</f>
        <v>0</v>
      </c>
      <c r="AV18">
        <f>SUMIF(DeadRaw!$B:$B,$A18,DeadRaw!AY:AY)</f>
        <v>0</v>
      </c>
      <c r="AW18">
        <f>SUMIF(DeadRaw!$B:$B,$A18,DeadRaw!AZ:AZ)</f>
        <v>0</v>
      </c>
      <c r="AX18">
        <f>SUMIF(DeadRaw!$B:$B,$A18,DeadRaw!BA:BA)</f>
        <v>0</v>
      </c>
      <c r="AY18">
        <f>SUMIF(DeadRaw!$B:$B,$A18,DeadRaw!BB:BB)</f>
        <v>3</v>
      </c>
      <c r="AZ18">
        <f>SUMIF(DeadRaw!$B:$B,$A18,DeadRaw!BC:BC)</f>
        <v>3</v>
      </c>
      <c r="BA18">
        <f>SUMIF(DeadRaw!$B:$B,$A18,DeadRaw!BD:BD)</f>
        <v>3</v>
      </c>
      <c r="BB18">
        <f>SUMIF(DeadRaw!$B:$B,$A18,DeadRaw!BE:BE)</f>
        <v>4</v>
      </c>
      <c r="BC18">
        <f>SUMIF(DeadRaw!$B:$B,$A18,DeadRaw!BF:BF)</f>
        <v>4</v>
      </c>
      <c r="BD18">
        <f>SUMIF(DeadRaw!$B:$B,$A18,DeadRaw!BG:BG)</f>
        <v>5</v>
      </c>
      <c r="BE18">
        <f>SUMIF(DeadRaw!$B:$B,$A18,DeadRaw!BH:BH)</f>
        <v>10</v>
      </c>
      <c r="BF18">
        <f>SUMIF(DeadRaw!$B:$B,$A18,DeadRaw!BI:BI)</f>
        <v>14</v>
      </c>
      <c r="BG18">
        <f>SUMIF(DeadRaw!$B:$B,$A18,DeadRaw!BJ:BJ)</f>
        <v>0</v>
      </c>
      <c r="BH18">
        <f>SUMIF(DeadRaw!$B:$B,$A18,DeadRaw!BK:BK)</f>
        <v>0</v>
      </c>
      <c r="BI18">
        <f>SUMIF(DeadRaw!$B:$B,$A18,DeadRaw!BL:BL)</f>
        <v>0</v>
      </c>
      <c r="BJ18">
        <f>SUMIF(DeadRaw!$B:$B,$A18,DeadRaw!BM:BM)</f>
        <v>0</v>
      </c>
      <c r="BK18">
        <f>SUMIF(DeadRaw!$B:$B,$A18,DeadRaw!BN:BN)</f>
        <v>0</v>
      </c>
      <c r="BL18">
        <f>SUMIF(DeadRaw!$B:$B,$A18,DeadRaw!BO:BO)</f>
        <v>0</v>
      </c>
      <c r="BM18">
        <f>SUMIF(DeadRaw!$B:$B,$A18,DeadRaw!BP:BP)</f>
        <v>0</v>
      </c>
      <c r="BN18">
        <f>SUMIF(DeadRaw!$B:$B,$A18,DeadRaw!BQ:BQ)</f>
        <v>0</v>
      </c>
      <c r="BO18">
        <f>SUMIF(DeadRaw!$B:$B,$A18,DeadRaw!BR:BR)</f>
        <v>0</v>
      </c>
      <c r="BP18">
        <f>SUMIF(DeadRaw!$B:$B,$A18,DeadRaw!BS:BS)</f>
        <v>0</v>
      </c>
      <c r="BQ18">
        <f>SUMIF(DeadRaw!$B:$B,$A18,DeadRaw!BT:BT)</f>
        <v>0</v>
      </c>
      <c r="BR18">
        <f>SUMIF(DeadRaw!$B:$B,$A18,DeadRaw!BU:BU)</f>
        <v>0</v>
      </c>
      <c r="BS18">
        <f>SUMIF(DeadRaw!$B:$B,$A18,DeadRaw!BV:BV)</f>
        <v>0</v>
      </c>
      <c r="BT18">
        <f>SUMIF(DeadRaw!$B:$B,$A18,DeadRaw!BW:BW)</f>
        <v>0</v>
      </c>
    </row>
    <row r="19" spans="1:72" ht="15" thickBot="1" x14ac:dyDescent="0.35">
      <c r="A19" s="3" t="s">
        <v>78</v>
      </c>
      <c r="B19">
        <f>SUMIF(DeadRaw!$B:$B,$A19,DeadRaw!E:E)</f>
        <v>0</v>
      </c>
      <c r="C19">
        <f>SUMIF(DeadRaw!$B:$B,$A19,DeadRaw!F:F)</f>
        <v>0</v>
      </c>
      <c r="D19">
        <f>SUMIF(DeadRaw!$B:$B,$A19,DeadRaw!G:G)</f>
        <v>0</v>
      </c>
      <c r="E19">
        <f>SUMIF(DeadRaw!$B:$B,$A19,DeadRaw!H:H)</f>
        <v>0</v>
      </c>
      <c r="F19">
        <f>SUMIF(DeadRaw!$B:$B,$A19,DeadRaw!I:I)</f>
        <v>0</v>
      </c>
      <c r="G19">
        <f>SUMIF(DeadRaw!$B:$B,$A19,DeadRaw!J:J)</f>
        <v>0</v>
      </c>
      <c r="H19">
        <f>SUMIF(DeadRaw!$B:$B,$A19,DeadRaw!K:K)</f>
        <v>0</v>
      </c>
      <c r="I19">
        <f>SUMIF(DeadRaw!$B:$B,$A19,DeadRaw!L:L)</f>
        <v>0</v>
      </c>
      <c r="J19">
        <f>SUMIF(DeadRaw!$B:$B,$A19,DeadRaw!M:M)</f>
        <v>0</v>
      </c>
      <c r="K19">
        <f>SUMIF(DeadRaw!$B:$B,$A19,DeadRaw!N:N)</f>
        <v>0</v>
      </c>
      <c r="L19">
        <f>SUMIF(DeadRaw!$B:$B,$A19,DeadRaw!O:O)</f>
        <v>0</v>
      </c>
      <c r="M19">
        <f>SUMIF(DeadRaw!$B:$B,$A19,DeadRaw!P:P)</f>
        <v>0</v>
      </c>
      <c r="N19">
        <f>SUMIF(DeadRaw!$B:$B,$A19,DeadRaw!Q:Q)</f>
        <v>0</v>
      </c>
      <c r="O19">
        <f>SUMIF(DeadRaw!$B:$B,$A19,DeadRaw!R:R)</f>
        <v>0</v>
      </c>
      <c r="P19">
        <f>SUMIF(DeadRaw!$B:$B,$A19,DeadRaw!S:S)</f>
        <v>0</v>
      </c>
      <c r="Q19">
        <f>SUMIF(DeadRaw!$B:$B,$A19,DeadRaw!T:T)</f>
        <v>0</v>
      </c>
      <c r="R19">
        <f>SUMIF(DeadRaw!$B:$B,$A19,DeadRaw!U:U)</f>
        <v>0</v>
      </c>
      <c r="S19">
        <f>SUMIF(DeadRaw!$B:$B,$A19,DeadRaw!V:V)</f>
        <v>0</v>
      </c>
      <c r="T19">
        <f>SUMIF(DeadRaw!$B:$B,$A19,DeadRaw!W:W)</f>
        <v>0</v>
      </c>
      <c r="U19">
        <f>SUMIF(DeadRaw!$B:$B,$A19,DeadRaw!X:X)</f>
        <v>0</v>
      </c>
      <c r="V19">
        <f>SUMIF(DeadRaw!$B:$B,$A19,DeadRaw!Y:Y)</f>
        <v>0</v>
      </c>
      <c r="W19">
        <f>SUMIF(DeadRaw!$B:$B,$A19,DeadRaw!Z:Z)</f>
        <v>0</v>
      </c>
      <c r="X19">
        <f>SUMIF(DeadRaw!$B:$B,$A19,DeadRaw!AA:AA)</f>
        <v>0</v>
      </c>
      <c r="Y19">
        <f>SUMIF(DeadRaw!$B:$B,$A19,DeadRaw!AB:AB)</f>
        <v>0</v>
      </c>
      <c r="Z19">
        <f>SUMIF(DeadRaw!$B:$B,$A19,DeadRaw!AC:AC)</f>
        <v>0</v>
      </c>
      <c r="AA19">
        <f>SUMIF(DeadRaw!$B:$B,$A19,DeadRaw!AD:AD)</f>
        <v>0</v>
      </c>
      <c r="AB19">
        <f>SUMIF(DeadRaw!$B:$B,$A19,DeadRaw!AE:AE)</f>
        <v>0</v>
      </c>
      <c r="AC19">
        <f>SUMIF(DeadRaw!$B:$B,$A19,DeadRaw!AF:AF)</f>
        <v>0</v>
      </c>
      <c r="AD19">
        <f>SUMIF(DeadRaw!$B:$B,$A19,DeadRaw!AG:AG)</f>
        <v>0</v>
      </c>
      <c r="AE19">
        <f>SUMIF(DeadRaw!$B:$B,$A19,DeadRaw!AH:AH)</f>
        <v>0</v>
      </c>
      <c r="AF19">
        <f>SUMIF(DeadRaw!$B:$B,$A19,DeadRaw!AI:AI)</f>
        <v>0</v>
      </c>
      <c r="AG19">
        <f>SUMIF(DeadRaw!$B:$B,$A19,DeadRaw!AJ:AJ)</f>
        <v>0</v>
      </c>
      <c r="AH19">
        <f>SUMIF(DeadRaw!$B:$B,$A19,DeadRaw!AK:AK)</f>
        <v>0</v>
      </c>
      <c r="AI19">
        <f>SUMIF(DeadRaw!$B:$B,$A19,DeadRaw!AL:AL)</f>
        <v>0</v>
      </c>
      <c r="AJ19">
        <f>SUMIF(DeadRaw!$B:$B,$A19,DeadRaw!AM:AM)</f>
        <v>0</v>
      </c>
      <c r="AK19">
        <f>SUMIF(DeadRaw!$B:$B,$A19,DeadRaw!AN:AN)</f>
        <v>0</v>
      </c>
      <c r="AL19">
        <f>SUMIF(DeadRaw!$B:$B,$A19,DeadRaw!AO:AO)</f>
        <v>0</v>
      </c>
      <c r="AM19">
        <f>SUMIF(DeadRaw!$B:$B,$A19,DeadRaw!AP:AP)</f>
        <v>0</v>
      </c>
      <c r="AN19">
        <f>SUMIF(DeadRaw!$B:$B,$A19,DeadRaw!AQ:AQ)</f>
        <v>0</v>
      </c>
      <c r="AO19">
        <f>SUMIF(DeadRaw!$B:$B,$A19,DeadRaw!AR:AR)</f>
        <v>0</v>
      </c>
      <c r="AP19">
        <f>SUMIF(DeadRaw!$B:$B,$A19,DeadRaw!AS:AS)</f>
        <v>0</v>
      </c>
      <c r="AQ19">
        <f>SUMIF(DeadRaw!$B:$B,$A19,DeadRaw!AT:AT)</f>
        <v>0</v>
      </c>
      <c r="AR19">
        <f>SUMIF(DeadRaw!$B:$B,$A19,DeadRaw!AU:AU)</f>
        <v>0</v>
      </c>
      <c r="AS19">
        <f>SUMIF(DeadRaw!$B:$B,$A19,DeadRaw!AV:AV)</f>
        <v>0</v>
      </c>
      <c r="AT19">
        <f>SUMIF(DeadRaw!$B:$B,$A19,DeadRaw!AW:AW)</f>
        <v>0</v>
      </c>
      <c r="AU19">
        <f>SUMIF(DeadRaw!$B:$B,$A19,DeadRaw!AX:AX)</f>
        <v>0</v>
      </c>
      <c r="AV19">
        <f>SUMIF(DeadRaw!$B:$B,$A19,DeadRaw!AY:AY)</f>
        <v>0</v>
      </c>
      <c r="AW19">
        <f>SUMIF(DeadRaw!$B:$B,$A19,DeadRaw!AZ:AZ)</f>
        <v>0</v>
      </c>
      <c r="AX19">
        <f>SUMIF(DeadRaw!$B:$B,$A19,DeadRaw!BA:BA)</f>
        <v>0</v>
      </c>
      <c r="AY19">
        <f>SUMIF(DeadRaw!$B:$B,$A19,DeadRaw!BB:BB)</f>
        <v>0</v>
      </c>
      <c r="AZ19">
        <f>SUMIF(DeadRaw!$B:$B,$A19,DeadRaw!BC:BC)</f>
        <v>1</v>
      </c>
      <c r="BA19">
        <f>SUMIF(DeadRaw!$B:$B,$A19,DeadRaw!BD:BD)</f>
        <v>1</v>
      </c>
      <c r="BB19">
        <f>SUMIF(DeadRaw!$B:$B,$A19,DeadRaw!BE:BE)</f>
        <v>1</v>
      </c>
      <c r="BC19">
        <f>SUMIF(DeadRaw!$B:$B,$A19,DeadRaw!BF:BF)</f>
        <v>1</v>
      </c>
      <c r="BD19">
        <f>SUMIF(DeadRaw!$B:$B,$A19,DeadRaw!BG:BG)</f>
        <v>3</v>
      </c>
      <c r="BE19">
        <f>SUMIF(DeadRaw!$B:$B,$A19,DeadRaw!BH:BH)</f>
        <v>3</v>
      </c>
      <c r="BF19">
        <f>SUMIF(DeadRaw!$B:$B,$A19,DeadRaw!BI:BI)</f>
        <v>4</v>
      </c>
      <c r="BG19">
        <f>SUMIF(DeadRaw!$B:$B,$A19,DeadRaw!BJ:BJ)</f>
        <v>0</v>
      </c>
      <c r="BH19">
        <f>SUMIF(DeadRaw!$B:$B,$A19,DeadRaw!BK:BK)</f>
        <v>0</v>
      </c>
      <c r="BI19">
        <f>SUMIF(DeadRaw!$B:$B,$A19,DeadRaw!BL:BL)</f>
        <v>0</v>
      </c>
      <c r="BJ19">
        <f>SUMIF(DeadRaw!$B:$B,$A19,DeadRaw!BM:BM)</f>
        <v>0</v>
      </c>
      <c r="BK19">
        <f>SUMIF(DeadRaw!$B:$B,$A19,DeadRaw!BN:BN)</f>
        <v>0</v>
      </c>
      <c r="BL19">
        <f>SUMIF(DeadRaw!$B:$B,$A19,DeadRaw!BO:BO)</f>
        <v>0</v>
      </c>
      <c r="BM19">
        <f>SUMIF(DeadRaw!$B:$B,$A19,DeadRaw!BP:BP)</f>
        <v>0</v>
      </c>
      <c r="BN19">
        <f>SUMIF(DeadRaw!$B:$B,$A19,DeadRaw!BQ:BQ)</f>
        <v>0</v>
      </c>
      <c r="BO19">
        <f>SUMIF(DeadRaw!$B:$B,$A19,DeadRaw!BR:BR)</f>
        <v>0</v>
      </c>
      <c r="BP19">
        <f>SUMIF(DeadRaw!$B:$B,$A19,DeadRaw!BS:BS)</f>
        <v>0</v>
      </c>
      <c r="BQ19">
        <f>SUMIF(DeadRaw!$B:$B,$A19,DeadRaw!BT:BT)</f>
        <v>0</v>
      </c>
      <c r="BR19">
        <f>SUMIF(DeadRaw!$B:$B,$A19,DeadRaw!BU:BU)</f>
        <v>0</v>
      </c>
      <c r="BS19">
        <f>SUMIF(DeadRaw!$B:$B,$A19,DeadRaw!BV:BV)</f>
        <v>0</v>
      </c>
      <c r="BT19">
        <f>SUMIF(DeadRaw!$B:$B,$A19,DeadRaw!BW:BW)</f>
        <v>0</v>
      </c>
    </row>
    <row r="20" spans="1:72" ht="15" thickBot="1" x14ac:dyDescent="0.35">
      <c r="A20" s="3" t="s">
        <v>101</v>
      </c>
      <c r="B20">
        <f>SUMIF(DeadRaw!$B:$B,$A20,DeadRaw!E:E)</f>
        <v>0</v>
      </c>
      <c r="C20">
        <f>SUMIF(DeadRaw!$B:$B,$A20,DeadRaw!F:F)</f>
        <v>0</v>
      </c>
      <c r="D20">
        <f>SUMIF(DeadRaw!$B:$B,$A20,DeadRaw!G:G)</f>
        <v>0</v>
      </c>
      <c r="E20">
        <f>SUMIF(DeadRaw!$B:$B,$A20,DeadRaw!H:H)</f>
        <v>0</v>
      </c>
      <c r="F20">
        <f>SUMIF(DeadRaw!$B:$B,$A20,DeadRaw!I:I)</f>
        <v>0</v>
      </c>
      <c r="G20">
        <f>SUMIF(DeadRaw!$B:$B,$A20,DeadRaw!J:J)</f>
        <v>0</v>
      </c>
      <c r="H20">
        <f>SUMIF(DeadRaw!$B:$B,$A20,DeadRaw!K:K)</f>
        <v>0</v>
      </c>
      <c r="I20">
        <f>SUMIF(DeadRaw!$B:$B,$A20,DeadRaw!L:L)</f>
        <v>0</v>
      </c>
      <c r="J20">
        <f>SUMIF(DeadRaw!$B:$B,$A20,DeadRaw!M:M)</f>
        <v>0</v>
      </c>
      <c r="K20">
        <f>SUMIF(DeadRaw!$B:$B,$A20,DeadRaw!N:N)</f>
        <v>0</v>
      </c>
      <c r="L20">
        <f>SUMIF(DeadRaw!$B:$B,$A20,DeadRaw!O:O)</f>
        <v>0</v>
      </c>
      <c r="M20">
        <f>SUMIF(DeadRaw!$B:$B,$A20,DeadRaw!P:P)</f>
        <v>0</v>
      </c>
      <c r="N20">
        <f>SUMIF(DeadRaw!$B:$B,$A20,DeadRaw!Q:Q)</f>
        <v>0</v>
      </c>
      <c r="O20">
        <f>SUMIF(DeadRaw!$B:$B,$A20,DeadRaw!R:R)</f>
        <v>0</v>
      </c>
      <c r="P20">
        <f>SUMIF(DeadRaw!$B:$B,$A20,DeadRaw!S:S)</f>
        <v>0</v>
      </c>
      <c r="Q20">
        <f>SUMIF(DeadRaw!$B:$B,$A20,DeadRaw!T:T)</f>
        <v>0</v>
      </c>
      <c r="R20">
        <f>SUMIF(DeadRaw!$B:$B,$A20,DeadRaw!U:U)</f>
        <v>0</v>
      </c>
      <c r="S20">
        <f>SUMIF(DeadRaw!$B:$B,$A20,DeadRaw!V:V)</f>
        <v>0</v>
      </c>
      <c r="T20">
        <f>SUMIF(DeadRaw!$B:$B,$A20,DeadRaw!W:W)</f>
        <v>0</v>
      </c>
      <c r="U20">
        <f>SUMIF(DeadRaw!$B:$B,$A20,DeadRaw!X:X)</f>
        <v>0</v>
      </c>
      <c r="V20">
        <f>SUMIF(DeadRaw!$B:$B,$A20,DeadRaw!Y:Y)</f>
        <v>0</v>
      </c>
      <c r="W20">
        <f>SUMIF(DeadRaw!$B:$B,$A20,DeadRaw!Z:Z)</f>
        <v>0</v>
      </c>
      <c r="X20">
        <f>SUMIF(DeadRaw!$B:$B,$A20,DeadRaw!AA:AA)</f>
        <v>0</v>
      </c>
      <c r="Y20">
        <f>SUMIF(DeadRaw!$B:$B,$A20,DeadRaw!AB:AB)</f>
        <v>0</v>
      </c>
      <c r="Z20">
        <f>SUMIF(DeadRaw!$B:$B,$A20,DeadRaw!AC:AC)</f>
        <v>0</v>
      </c>
      <c r="AA20">
        <f>SUMIF(DeadRaw!$B:$B,$A20,DeadRaw!AD:AD)</f>
        <v>0</v>
      </c>
      <c r="AB20">
        <f>SUMIF(DeadRaw!$B:$B,$A20,DeadRaw!AE:AE)</f>
        <v>0</v>
      </c>
      <c r="AC20">
        <f>SUMIF(DeadRaw!$B:$B,$A20,DeadRaw!AF:AF)</f>
        <v>0</v>
      </c>
      <c r="AD20">
        <f>SUMIF(DeadRaw!$B:$B,$A20,DeadRaw!AG:AG)</f>
        <v>0</v>
      </c>
      <c r="AE20">
        <f>SUMIF(DeadRaw!$B:$B,$A20,DeadRaw!AH:AH)</f>
        <v>0</v>
      </c>
      <c r="AF20">
        <f>SUMIF(DeadRaw!$B:$B,$A20,DeadRaw!AI:AI)</f>
        <v>0</v>
      </c>
      <c r="AG20">
        <f>SUMIF(DeadRaw!$B:$B,$A20,DeadRaw!AJ:AJ)</f>
        <v>0</v>
      </c>
      <c r="AH20">
        <f>SUMIF(DeadRaw!$B:$B,$A20,DeadRaw!AK:AK)</f>
        <v>0</v>
      </c>
      <c r="AI20">
        <f>SUMIF(DeadRaw!$B:$B,$A20,DeadRaw!AL:AL)</f>
        <v>0</v>
      </c>
      <c r="AJ20">
        <f>SUMIF(DeadRaw!$B:$B,$A20,DeadRaw!AM:AM)</f>
        <v>0</v>
      </c>
      <c r="AK20">
        <f>SUMIF(DeadRaw!$B:$B,$A20,DeadRaw!AN:AN)</f>
        <v>0</v>
      </c>
      <c r="AL20">
        <f>SUMIF(DeadRaw!$B:$B,$A20,DeadRaw!AO:AO)</f>
        <v>0</v>
      </c>
      <c r="AM20">
        <f>SUMIF(DeadRaw!$B:$B,$A20,DeadRaw!AP:AP)</f>
        <v>0</v>
      </c>
      <c r="AN20">
        <f>SUMIF(DeadRaw!$B:$B,$A20,DeadRaw!AQ:AQ)</f>
        <v>0</v>
      </c>
      <c r="AO20">
        <f>SUMIF(DeadRaw!$B:$B,$A20,DeadRaw!AR:AR)</f>
        <v>0</v>
      </c>
      <c r="AP20">
        <f>SUMIF(DeadRaw!$B:$B,$A20,DeadRaw!AS:AS)</f>
        <v>0</v>
      </c>
      <c r="AQ20">
        <f>SUMIF(DeadRaw!$B:$B,$A20,DeadRaw!AT:AT)</f>
        <v>0</v>
      </c>
      <c r="AR20">
        <f>SUMIF(DeadRaw!$B:$B,$A20,DeadRaw!AU:AU)</f>
        <v>0</v>
      </c>
      <c r="AS20">
        <f>SUMIF(DeadRaw!$B:$B,$A20,DeadRaw!AV:AV)</f>
        <v>0</v>
      </c>
      <c r="AT20">
        <f>SUMIF(DeadRaw!$B:$B,$A20,DeadRaw!AW:AW)</f>
        <v>0</v>
      </c>
      <c r="AU20">
        <f>SUMIF(DeadRaw!$B:$B,$A20,DeadRaw!AX:AX)</f>
        <v>0</v>
      </c>
      <c r="AV20">
        <f>SUMIF(DeadRaw!$B:$B,$A20,DeadRaw!AY:AY)</f>
        <v>0</v>
      </c>
      <c r="AW20">
        <f>SUMIF(DeadRaw!$B:$B,$A20,DeadRaw!AZ:AZ)</f>
        <v>0</v>
      </c>
      <c r="AX20">
        <f>SUMIF(DeadRaw!$B:$B,$A20,DeadRaw!BA:BA)</f>
        <v>0</v>
      </c>
      <c r="AY20">
        <f>SUMIF(DeadRaw!$B:$B,$A20,DeadRaw!BB:BB)</f>
        <v>0</v>
      </c>
      <c r="AZ20">
        <f>SUMIF(DeadRaw!$B:$B,$A20,DeadRaw!BC:BC)</f>
        <v>0</v>
      </c>
      <c r="BA20">
        <f>SUMIF(DeadRaw!$B:$B,$A20,DeadRaw!BD:BD)</f>
        <v>0</v>
      </c>
      <c r="BB20">
        <f>SUMIF(DeadRaw!$B:$B,$A20,DeadRaw!BE:BE)</f>
        <v>0</v>
      </c>
      <c r="BC20">
        <f>SUMIF(DeadRaw!$B:$B,$A20,DeadRaw!BF:BF)</f>
        <v>0</v>
      </c>
      <c r="BD20">
        <f>SUMIF(DeadRaw!$B:$B,$A20,DeadRaw!BG:BG)</f>
        <v>0</v>
      </c>
      <c r="BE20">
        <f>SUMIF(DeadRaw!$B:$B,$A20,DeadRaw!BH:BH)</f>
        <v>0</v>
      </c>
      <c r="BF20">
        <f>SUMIF(DeadRaw!$B:$B,$A20,DeadRaw!BI:BI)</f>
        <v>0</v>
      </c>
      <c r="BG20">
        <f>SUMIF(DeadRaw!$B:$B,$A20,DeadRaw!BJ:BJ)</f>
        <v>0</v>
      </c>
      <c r="BH20">
        <f>SUMIF(DeadRaw!$B:$B,$A20,DeadRaw!BK:BK)</f>
        <v>0</v>
      </c>
      <c r="BI20">
        <f>SUMIF(DeadRaw!$B:$B,$A20,DeadRaw!BL:BL)</f>
        <v>0</v>
      </c>
      <c r="BJ20">
        <f>SUMIF(DeadRaw!$B:$B,$A20,DeadRaw!BM:BM)</f>
        <v>0</v>
      </c>
      <c r="BK20">
        <f>SUMIF(DeadRaw!$B:$B,$A20,DeadRaw!BN:BN)</f>
        <v>0</v>
      </c>
      <c r="BL20">
        <f>SUMIF(DeadRaw!$B:$B,$A20,DeadRaw!BO:BO)</f>
        <v>0</v>
      </c>
      <c r="BM20">
        <f>SUMIF(DeadRaw!$B:$B,$A20,DeadRaw!BP:BP)</f>
        <v>0</v>
      </c>
      <c r="BN20">
        <f>SUMIF(DeadRaw!$B:$B,$A20,DeadRaw!BQ:BQ)</f>
        <v>0</v>
      </c>
      <c r="BO20">
        <f>SUMIF(DeadRaw!$B:$B,$A20,DeadRaw!BR:BR)</f>
        <v>0</v>
      </c>
      <c r="BP20">
        <f>SUMIF(DeadRaw!$B:$B,$A20,DeadRaw!BS:BS)</f>
        <v>0</v>
      </c>
      <c r="BQ20">
        <f>SUMIF(DeadRaw!$B:$B,$A20,DeadRaw!BT:BT)</f>
        <v>0</v>
      </c>
      <c r="BR20">
        <f>SUMIF(DeadRaw!$B:$B,$A20,DeadRaw!BU:BU)</f>
        <v>0</v>
      </c>
      <c r="BS20">
        <f>SUMIF(DeadRaw!$B:$B,$A20,DeadRaw!BV:BV)</f>
        <v>0</v>
      </c>
      <c r="BT20">
        <f>SUMIF(DeadRaw!$B:$B,$A20,DeadRaw!BW:BW)</f>
        <v>0</v>
      </c>
    </row>
    <row r="21" spans="1:72" ht="15" thickBot="1" x14ac:dyDescent="0.35">
      <c r="A21" s="3" t="s">
        <v>48</v>
      </c>
      <c r="B21">
        <f>SUMIF(DeadRaw!$B:$B,$A21,DeadRaw!E:E)</f>
        <v>0</v>
      </c>
      <c r="C21">
        <f>SUMIF(DeadRaw!$B:$B,$A21,DeadRaw!F:F)</f>
        <v>0</v>
      </c>
      <c r="D21">
        <f>SUMIF(DeadRaw!$B:$B,$A21,DeadRaw!G:G)</f>
        <v>0</v>
      </c>
      <c r="E21">
        <f>SUMIF(DeadRaw!$B:$B,$A21,DeadRaw!H:H)</f>
        <v>0</v>
      </c>
      <c r="F21">
        <f>SUMIF(DeadRaw!$B:$B,$A21,DeadRaw!I:I)</f>
        <v>0</v>
      </c>
      <c r="G21">
        <f>SUMIF(DeadRaw!$B:$B,$A21,DeadRaw!J:J)</f>
        <v>0</v>
      </c>
      <c r="H21">
        <f>SUMIF(DeadRaw!$B:$B,$A21,DeadRaw!K:K)</f>
        <v>0</v>
      </c>
      <c r="I21">
        <f>SUMIF(DeadRaw!$B:$B,$A21,DeadRaw!L:L)</f>
        <v>0</v>
      </c>
      <c r="J21">
        <f>SUMIF(DeadRaw!$B:$B,$A21,DeadRaw!M:M)</f>
        <v>0</v>
      </c>
      <c r="K21">
        <f>SUMIF(DeadRaw!$B:$B,$A21,DeadRaw!N:N)</f>
        <v>0</v>
      </c>
      <c r="L21">
        <f>SUMIF(DeadRaw!$B:$B,$A21,DeadRaw!O:O)</f>
        <v>0</v>
      </c>
      <c r="M21">
        <f>SUMIF(DeadRaw!$B:$B,$A21,DeadRaw!P:P)</f>
        <v>0</v>
      </c>
      <c r="N21">
        <f>SUMIF(DeadRaw!$B:$B,$A21,DeadRaw!Q:Q)</f>
        <v>0</v>
      </c>
      <c r="O21">
        <f>SUMIF(DeadRaw!$B:$B,$A21,DeadRaw!R:R)</f>
        <v>0</v>
      </c>
      <c r="P21">
        <f>SUMIF(DeadRaw!$B:$B,$A21,DeadRaw!S:S)</f>
        <v>0</v>
      </c>
      <c r="Q21">
        <f>SUMIF(DeadRaw!$B:$B,$A21,DeadRaw!T:T)</f>
        <v>0</v>
      </c>
      <c r="R21">
        <f>SUMIF(DeadRaw!$B:$B,$A21,DeadRaw!U:U)</f>
        <v>0</v>
      </c>
      <c r="S21">
        <f>SUMIF(DeadRaw!$B:$B,$A21,DeadRaw!V:V)</f>
        <v>0</v>
      </c>
      <c r="T21">
        <f>SUMIF(DeadRaw!$B:$B,$A21,DeadRaw!W:W)</f>
        <v>0</v>
      </c>
      <c r="U21">
        <f>SUMIF(DeadRaw!$B:$B,$A21,DeadRaw!X:X)</f>
        <v>0</v>
      </c>
      <c r="V21">
        <f>SUMIF(DeadRaw!$B:$B,$A21,DeadRaw!Y:Y)</f>
        <v>0</v>
      </c>
      <c r="W21">
        <f>SUMIF(DeadRaw!$B:$B,$A21,DeadRaw!Z:Z)</f>
        <v>0</v>
      </c>
      <c r="X21">
        <f>SUMIF(DeadRaw!$B:$B,$A21,DeadRaw!AA:AA)</f>
        <v>0</v>
      </c>
      <c r="Y21">
        <f>SUMIF(DeadRaw!$B:$B,$A21,DeadRaw!AB:AB)</f>
        <v>0</v>
      </c>
      <c r="Z21">
        <f>SUMIF(DeadRaw!$B:$B,$A21,DeadRaw!AC:AC)</f>
        <v>0</v>
      </c>
      <c r="AA21">
        <f>SUMIF(DeadRaw!$B:$B,$A21,DeadRaw!AD:AD)</f>
        <v>0</v>
      </c>
      <c r="AB21">
        <f>SUMIF(DeadRaw!$B:$B,$A21,DeadRaw!AE:AE)</f>
        <v>0</v>
      </c>
      <c r="AC21">
        <f>SUMIF(DeadRaw!$B:$B,$A21,DeadRaw!AF:AF)</f>
        <v>0</v>
      </c>
      <c r="AD21">
        <f>SUMIF(DeadRaw!$B:$B,$A21,DeadRaw!AG:AG)</f>
        <v>0</v>
      </c>
      <c r="AE21">
        <f>SUMIF(DeadRaw!$B:$B,$A21,DeadRaw!AH:AH)</f>
        <v>0</v>
      </c>
      <c r="AF21">
        <f>SUMIF(DeadRaw!$B:$B,$A21,DeadRaw!AI:AI)</f>
        <v>0</v>
      </c>
      <c r="AG21">
        <f>SUMIF(DeadRaw!$B:$B,$A21,DeadRaw!AJ:AJ)</f>
        <v>0</v>
      </c>
      <c r="AH21">
        <f>SUMIF(DeadRaw!$B:$B,$A21,DeadRaw!AK:AK)</f>
        <v>0</v>
      </c>
      <c r="AI21">
        <f>SUMIF(DeadRaw!$B:$B,$A21,DeadRaw!AL:AL)</f>
        <v>0</v>
      </c>
      <c r="AJ21">
        <f>SUMIF(DeadRaw!$B:$B,$A21,DeadRaw!AM:AM)</f>
        <v>0</v>
      </c>
      <c r="AK21">
        <f>SUMIF(DeadRaw!$B:$B,$A21,DeadRaw!AN:AN)</f>
        <v>0</v>
      </c>
      <c r="AL21">
        <f>SUMIF(DeadRaw!$B:$B,$A21,DeadRaw!AO:AO)</f>
        <v>0</v>
      </c>
      <c r="AM21">
        <f>SUMIF(DeadRaw!$B:$B,$A21,DeadRaw!AP:AP)</f>
        <v>0</v>
      </c>
      <c r="AN21">
        <f>SUMIF(DeadRaw!$B:$B,$A21,DeadRaw!AQ:AQ)</f>
        <v>0</v>
      </c>
      <c r="AO21">
        <f>SUMIF(DeadRaw!$B:$B,$A21,DeadRaw!AR:AR)</f>
        <v>1</v>
      </c>
      <c r="AP21">
        <f>SUMIF(DeadRaw!$B:$B,$A21,DeadRaw!AS:AS)</f>
        <v>1</v>
      </c>
      <c r="AQ21">
        <f>SUMIF(DeadRaw!$B:$B,$A21,DeadRaw!AT:AT)</f>
        <v>1</v>
      </c>
      <c r="AR21">
        <f>SUMIF(DeadRaw!$B:$B,$A21,DeadRaw!AU:AU)</f>
        <v>2</v>
      </c>
      <c r="AS21">
        <f>SUMIF(DeadRaw!$B:$B,$A21,DeadRaw!AV:AV)</f>
        <v>2</v>
      </c>
      <c r="AT21">
        <f>SUMIF(DeadRaw!$B:$B,$A21,DeadRaw!AW:AW)</f>
        <v>2</v>
      </c>
      <c r="AU21">
        <f>SUMIF(DeadRaw!$B:$B,$A21,DeadRaw!AX:AX)</f>
        <v>2</v>
      </c>
      <c r="AV21">
        <f>SUMIF(DeadRaw!$B:$B,$A21,DeadRaw!AY:AY)</f>
        <v>3</v>
      </c>
      <c r="AW21">
        <f>SUMIF(DeadRaw!$B:$B,$A21,DeadRaw!AZ:AZ)</f>
        <v>3</v>
      </c>
      <c r="AX21">
        <f>SUMIF(DeadRaw!$B:$B,$A21,DeadRaw!BA:BA)</f>
        <v>3</v>
      </c>
      <c r="AY21">
        <f>SUMIF(DeadRaw!$B:$B,$A21,DeadRaw!BB:BB)</f>
        <v>3</v>
      </c>
      <c r="AZ21">
        <f>SUMIF(DeadRaw!$B:$B,$A21,DeadRaw!BC:BC)</f>
        <v>3</v>
      </c>
      <c r="BA21">
        <f>SUMIF(DeadRaw!$B:$B,$A21,DeadRaw!BD:BD)</f>
        <v>3</v>
      </c>
      <c r="BB21">
        <f>SUMIF(DeadRaw!$B:$B,$A21,DeadRaw!BE:BE)</f>
        <v>3</v>
      </c>
      <c r="BC21">
        <f>SUMIF(DeadRaw!$B:$B,$A21,DeadRaw!BF:BF)</f>
        <v>3</v>
      </c>
      <c r="BD21">
        <f>SUMIF(DeadRaw!$B:$B,$A21,DeadRaw!BG:BG)</f>
        <v>3</v>
      </c>
      <c r="BE21">
        <f>SUMIF(DeadRaw!$B:$B,$A21,DeadRaw!BH:BH)</f>
        <v>5</v>
      </c>
      <c r="BF21">
        <f>SUMIF(DeadRaw!$B:$B,$A21,DeadRaw!BI:BI)</f>
        <v>6</v>
      </c>
      <c r="BG21">
        <f>SUMIF(DeadRaw!$B:$B,$A21,DeadRaw!BJ:BJ)</f>
        <v>0</v>
      </c>
      <c r="BH21">
        <f>SUMIF(DeadRaw!$B:$B,$A21,DeadRaw!BK:BK)</f>
        <v>0</v>
      </c>
      <c r="BI21">
        <f>SUMIF(DeadRaw!$B:$B,$A21,DeadRaw!BL:BL)</f>
        <v>0</v>
      </c>
      <c r="BJ21">
        <f>SUMIF(DeadRaw!$B:$B,$A21,DeadRaw!BM:BM)</f>
        <v>0</v>
      </c>
      <c r="BK21">
        <f>SUMIF(DeadRaw!$B:$B,$A21,DeadRaw!BN:BN)</f>
        <v>0</v>
      </c>
      <c r="BL21">
        <f>SUMIF(DeadRaw!$B:$B,$A21,DeadRaw!BO:BO)</f>
        <v>0</v>
      </c>
      <c r="BM21">
        <f>SUMIF(DeadRaw!$B:$B,$A21,DeadRaw!BP:BP)</f>
        <v>0</v>
      </c>
      <c r="BN21">
        <f>SUMIF(DeadRaw!$B:$B,$A21,DeadRaw!BQ:BQ)</f>
        <v>0</v>
      </c>
      <c r="BO21">
        <f>SUMIF(DeadRaw!$B:$B,$A21,DeadRaw!BR:BR)</f>
        <v>0</v>
      </c>
      <c r="BP21">
        <f>SUMIF(DeadRaw!$B:$B,$A21,DeadRaw!BS:BS)</f>
        <v>0</v>
      </c>
      <c r="BQ21">
        <f>SUMIF(DeadRaw!$B:$B,$A21,DeadRaw!BT:BT)</f>
        <v>0</v>
      </c>
      <c r="BR21">
        <f>SUMIF(DeadRaw!$B:$B,$A21,DeadRaw!BU:BU)</f>
        <v>0</v>
      </c>
      <c r="BS21">
        <f>SUMIF(DeadRaw!$B:$B,$A21,DeadRaw!BV:BV)</f>
        <v>0</v>
      </c>
      <c r="BT21">
        <f>SUMIF(DeadRaw!$B:$B,$A21,DeadRaw!BW:BW)</f>
        <v>0</v>
      </c>
    </row>
    <row r="22" spans="1:72" ht="15" thickBot="1" x14ac:dyDescent="0.35">
      <c r="A22" s="3" t="s">
        <v>40</v>
      </c>
      <c r="B22">
        <f>SUMIF(DeadRaw!$B:$B,$A22,DeadRaw!E:E)</f>
        <v>0</v>
      </c>
      <c r="C22">
        <f>SUMIF(DeadRaw!$B:$B,$A22,DeadRaw!F:F)</f>
        <v>0</v>
      </c>
      <c r="D22">
        <f>SUMIF(DeadRaw!$B:$B,$A22,DeadRaw!G:G)</f>
        <v>0</v>
      </c>
      <c r="E22">
        <f>SUMIF(DeadRaw!$B:$B,$A22,DeadRaw!H:H)</f>
        <v>0</v>
      </c>
      <c r="F22">
        <f>SUMIF(DeadRaw!$B:$B,$A22,DeadRaw!I:I)</f>
        <v>0</v>
      </c>
      <c r="G22">
        <f>SUMIF(DeadRaw!$B:$B,$A22,DeadRaw!J:J)</f>
        <v>0</v>
      </c>
      <c r="H22">
        <f>SUMIF(DeadRaw!$B:$B,$A22,DeadRaw!K:K)</f>
        <v>0</v>
      </c>
      <c r="I22">
        <f>SUMIF(DeadRaw!$B:$B,$A22,DeadRaw!L:L)</f>
        <v>0</v>
      </c>
      <c r="J22">
        <f>SUMIF(DeadRaw!$B:$B,$A22,DeadRaw!M:M)</f>
        <v>0</v>
      </c>
      <c r="K22">
        <f>SUMIF(DeadRaw!$B:$B,$A22,DeadRaw!N:N)</f>
        <v>0</v>
      </c>
      <c r="L22">
        <f>SUMIF(DeadRaw!$B:$B,$A22,DeadRaw!O:O)</f>
        <v>0</v>
      </c>
      <c r="M22">
        <f>SUMIF(DeadRaw!$B:$B,$A22,DeadRaw!P:P)</f>
        <v>0</v>
      </c>
      <c r="N22">
        <f>SUMIF(DeadRaw!$B:$B,$A22,DeadRaw!Q:Q)</f>
        <v>0</v>
      </c>
      <c r="O22">
        <f>SUMIF(DeadRaw!$B:$B,$A22,DeadRaw!R:R)</f>
        <v>0</v>
      </c>
      <c r="P22">
        <f>SUMIF(DeadRaw!$B:$B,$A22,DeadRaw!S:S)</f>
        <v>0</v>
      </c>
      <c r="Q22">
        <f>SUMIF(DeadRaw!$B:$B,$A22,DeadRaw!T:T)</f>
        <v>0</v>
      </c>
      <c r="R22">
        <f>SUMIF(DeadRaw!$B:$B,$A22,DeadRaw!U:U)</f>
        <v>0</v>
      </c>
      <c r="S22">
        <f>SUMIF(DeadRaw!$B:$B,$A22,DeadRaw!V:V)</f>
        <v>0</v>
      </c>
      <c r="T22">
        <f>SUMIF(DeadRaw!$B:$B,$A22,DeadRaw!W:W)</f>
        <v>0</v>
      </c>
      <c r="U22">
        <f>SUMIF(DeadRaw!$B:$B,$A22,DeadRaw!X:X)</f>
        <v>0</v>
      </c>
      <c r="V22">
        <f>SUMIF(DeadRaw!$B:$B,$A22,DeadRaw!Y:Y)</f>
        <v>0</v>
      </c>
      <c r="W22">
        <f>SUMIF(DeadRaw!$B:$B,$A22,DeadRaw!Z:Z)</f>
        <v>0</v>
      </c>
      <c r="X22">
        <f>SUMIF(DeadRaw!$B:$B,$A22,DeadRaw!AA:AA)</f>
        <v>0</v>
      </c>
      <c r="Y22">
        <f>SUMIF(DeadRaw!$B:$B,$A22,DeadRaw!AB:AB)</f>
        <v>0</v>
      </c>
      <c r="Z22">
        <f>SUMIF(DeadRaw!$B:$B,$A22,DeadRaw!AC:AC)</f>
        <v>0</v>
      </c>
      <c r="AA22">
        <f>SUMIF(DeadRaw!$B:$B,$A22,DeadRaw!AD:AD)</f>
        <v>0</v>
      </c>
      <c r="AB22">
        <f>SUMIF(DeadRaw!$B:$B,$A22,DeadRaw!AE:AE)</f>
        <v>0</v>
      </c>
      <c r="AC22">
        <f>SUMIF(DeadRaw!$B:$B,$A22,DeadRaw!AF:AF)</f>
        <v>0</v>
      </c>
      <c r="AD22">
        <f>SUMIF(DeadRaw!$B:$B,$A22,DeadRaw!AG:AG)</f>
        <v>0</v>
      </c>
      <c r="AE22">
        <f>SUMIF(DeadRaw!$B:$B,$A22,DeadRaw!AH:AH)</f>
        <v>0</v>
      </c>
      <c r="AF22">
        <f>SUMIF(DeadRaw!$B:$B,$A22,DeadRaw!AI:AI)</f>
        <v>0</v>
      </c>
      <c r="AG22">
        <f>SUMIF(DeadRaw!$B:$B,$A22,DeadRaw!AJ:AJ)</f>
        <v>0</v>
      </c>
      <c r="AH22">
        <f>SUMIF(DeadRaw!$B:$B,$A22,DeadRaw!AK:AK)</f>
        <v>0</v>
      </c>
      <c r="AI22">
        <f>SUMIF(DeadRaw!$B:$B,$A22,DeadRaw!AL:AL)</f>
        <v>0</v>
      </c>
      <c r="AJ22">
        <f>SUMIF(DeadRaw!$B:$B,$A22,DeadRaw!AM:AM)</f>
        <v>0</v>
      </c>
      <c r="AK22">
        <f>SUMIF(DeadRaw!$B:$B,$A22,DeadRaw!AN:AN)</f>
        <v>0</v>
      </c>
      <c r="AL22">
        <f>SUMIF(DeadRaw!$B:$B,$A22,DeadRaw!AO:AO)</f>
        <v>0</v>
      </c>
      <c r="AM22">
        <f>SUMIF(DeadRaw!$B:$B,$A22,DeadRaw!AP:AP)</f>
        <v>0</v>
      </c>
      <c r="AN22">
        <f>SUMIF(DeadRaw!$B:$B,$A22,DeadRaw!AQ:AQ)</f>
        <v>0</v>
      </c>
      <c r="AO22">
        <f>SUMIF(DeadRaw!$B:$B,$A22,DeadRaw!AR:AR)</f>
        <v>0</v>
      </c>
      <c r="AP22">
        <f>SUMIF(DeadRaw!$B:$B,$A22,DeadRaw!AS:AS)</f>
        <v>0</v>
      </c>
      <c r="AQ22">
        <f>SUMIF(DeadRaw!$B:$B,$A22,DeadRaw!AT:AT)</f>
        <v>0</v>
      </c>
      <c r="AR22">
        <f>SUMIF(DeadRaw!$B:$B,$A22,DeadRaw!AU:AU)</f>
        <v>0</v>
      </c>
      <c r="AS22">
        <f>SUMIF(DeadRaw!$B:$B,$A22,DeadRaw!AV:AV)</f>
        <v>0</v>
      </c>
      <c r="AT22">
        <f>SUMIF(DeadRaw!$B:$B,$A22,DeadRaw!AW:AW)</f>
        <v>0</v>
      </c>
      <c r="AU22">
        <f>SUMIF(DeadRaw!$B:$B,$A22,DeadRaw!AX:AX)</f>
        <v>0</v>
      </c>
      <c r="AV22">
        <f>SUMIF(DeadRaw!$B:$B,$A22,DeadRaw!AY:AY)</f>
        <v>0</v>
      </c>
      <c r="AW22">
        <f>SUMIF(DeadRaw!$B:$B,$A22,DeadRaw!AZ:AZ)</f>
        <v>0</v>
      </c>
      <c r="AX22">
        <f>SUMIF(DeadRaw!$B:$B,$A22,DeadRaw!BA:BA)</f>
        <v>0</v>
      </c>
      <c r="AY22">
        <f>SUMIF(DeadRaw!$B:$B,$A22,DeadRaw!BB:BB)</f>
        <v>0</v>
      </c>
      <c r="AZ22">
        <f>SUMIF(DeadRaw!$B:$B,$A22,DeadRaw!BC:BC)</f>
        <v>0</v>
      </c>
      <c r="BA22">
        <f>SUMIF(DeadRaw!$B:$B,$A22,DeadRaw!BD:BD)</f>
        <v>0</v>
      </c>
      <c r="BB22">
        <f>SUMIF(DeadRaw!$B:$B,$A22,DeadRaw!BE:BE)</f>
        <v>0</v>
      </c>
      <c r="BC22">
        <f>SUMIF(DeadRaw!$B:$B,$A22,DeadRaw!BF:BF)</f>
        <v>0</v>
      </c>
      <c r="BD22">
        <f>SUMIF(DeadRaw!$B:$B,$A22,DeadRaw!BG:BG)</f>
        <v>0</v>
      </c>
      <c r="BE22">
        <f>SUMIF(DeadRaw!$B:$B,$A22,DeadRaw!BH:BH)</f>
        <v>0</v>
      </c>
      <c r="BF22">
        <f>SUMIF(DeadRaw!$B:$B,$A22,DeadRaw!BI:BI)</f>
        <v>0</v>
      </c>
      <c r="BG22">
        <f>SUMIF(DeadRaw!$B:$B,$A22,DeadRaw!BJ:BJ)</f>
        <v>0</v>
      </c>
      <c r="BH22">
        <f>SUMIF(DeadRaw!$B:$B,$A22,DeadRaw!BK:BK)</f>
        <v>0</v>
      </c>
      <c r="BI22">
        <f>SUMIF(DeadRaw!$B:$B,$A22,DeadRaw!BL:BL)</f>
        <v>0</v>
      </c>
      <c r="BJ22">
        <f>SUMIF(DeadRaw!$B:$B,$A22,DeadRaw!BM:BM)</f>
        <v>0</v>
      </c>
      <c r="BK22">
        <f>SUMIF(DeadRaw!$B:$B,$A22,DeadRaw!BN:BN)</f>
        <v>0</v>
      </c>
      <c r="BL22">
        <f>SUMIF(DeadRaw!$B:$B,$A22,DeadRaw!BO:BO)</f>
        <v>0</v>
      </c>
      <c r="BM22">
        <f>SUMIF(DeadRaw!$B:$B,$A22,DeadRaw!BP:BP)</f>
        <v>0</v>
      </c>
      <c r="BN22">
        <f>SUMIF(DeadRaw!$B:$B,$A22,DeadRaw!BQ:BQ)</f>
        <v>0</v>
      </c>
      <c r="BO22">
        <f>SUMIF(DeadRaw!$B:$B,$A22,DeadRaw!BR:BR)</f>
        <v>0</v>
      </c>
      <c r="BP22">
        <f>SUMIF(DeadRaw!$B:$B,$A22,DeadRaw!BS:BS)</f>
        <v>0</v>
      </c>
      <c r="BQ22">
        <f>SUMIF(DeadRaw!$B:$B,$A22,DeadRaw!BT:BT)</f>
        <v>0</v>
      </c>
      <c r="BR22">
        <f>SUMIF(DeadRaw!$B:$B,$A22,DeadRaw!BU:BU)</f>
        <v>0</v>
      </c>
      <c r="BS22">
        <f>SUMIF(DeadRaw!$B:$B,$A22,DeadRaw!BV:BV)</f>
        <v>0</v>
      </c>
      <c r="BT22">
        <f>SUMIF(DeadRaw!$B:$B,$A22,DeadRaw!BW:BW)</f>
        <v>0</v>
      </c>
    </row>
    <row r="23" spans="1:72" ht="15" thickBot="1" x14ac:dyDescent="0.35">
      <c r="A23" s="3" t="s">
        <v>43</v>
      </c>
      <c r="B23">
        <f>SUMIF(DeadRaw!$B:$B,$A23,DeadRaw!E:E)</f>
        <v>0</v>
      </c>
      <c r="C23">
        <f>SUMIF(DeadRaw!$B:$B,$A23,DeadRaw!F:F)</f>
        <v>0</v>
      </c>
      <c r="D23">
        <f>SUMIF(DeadRaw!$B:$B,$A23,DeadRaw!G:G)</f>
        <v>0</v>
      </c>
      <c r="E23">
        <f>SUMIF(DeadRaw!$B:$B,$A23,DeadRaw!H:H)</f>
        <v>0</v>
      </c>
      <c r="F23">
        <f>SUMIF(DeadRaw!$B:$B,$A23,DeadRaw!I:I)</f>
        <v>0</v>
      </c>
      <c r="G23">
        <f>SUMIF(DeadRaw!$B:$B,$A23,DeadRaw!J:J)</f>
        <v>0</v>
      </c>
      <c r="H23">
        <f>SUMIF(DeadRaw!$B:$B,$A23,DeadRaw!K:K)</f>
        <v>0</v>
      </c>
      <c r="I23">
        <f>SUMIF(DeadRaw!$B:$B,$A23,DeadRaw!L:L)</f>
        <v>0</v>
      </c>
      <c r="J23">
        <f>SUMIF(DeadRaw!$B:$B,$A23,DeadRaw!M:M)</f>
        <v>0</v>
      </c>
      <c r="K23">
        <f>SUMIF(DeadRaw!$B:$B,$A23,DeadRaw!N:N)</f>
        <v>0</v>
      </c>
      <c r="L23">
        <f>SUMIF(DeadRaw!$B:$B,$A23,DeadRaw!O:O)</f>
        <v>0</v>
      </c>
      <c r="M23">
        <f>SUMIF(DeadRaw!$B:$B,$A23,DeadRaw!P:P)</f>
        <v>0</v>
      </c>
      <c r="N23">
        <f>SUMIF(DeadRaw!$B:$B,$A23,DeadRaw!Q:Q)</f>
        <v>0</v>
      </c>
      <c r="O23">
        <f>SUMIF(DeadRaw!$B:$B,$A23,DeadRaw!R:R)</f>
        <v>0</v>
      </c>
      <c r="P23">
        <f>SUMIF(DeadRaw!$B:$B,$A23,DeadRaw!S:S)</f>
        <v>0</v>
      </c>
      <c r="Q23">
        <f>SUMIF(DeadRaw!$B:$B,$A23,DeadRaw!T:T)</f>
        <v>0</v>
      </c>
      <c r="R23">
        <f>SUMIF(DeadRaw!$B:$B,$A23,DeadRaw!U:U)</f>
        <v>0</v>
      </c>
      <c r="S23">
        <f>SUMIF(DeadRaw!$B:$B,$A23,DeadRaw!V:V)</f>
        <v>0</v>
      </c>
      <c r="T23">
        <f>SUMIF(DeadRaw!$B:$B,$A23,DeadRaw!W:W)</f>
        <v>0</v>
      </c>
      <c r="U23">
        <f>SUMIF(DeadRaw!$B:$B,$A23,DeadRaw!X:X)</f>
        <v>0</v>
      </c>
      <c r="V23">
        <f>SUMIF(DeadRaw!$B:$B,$A23,DeadRaw!Y:Y)</f>
        <v>0</v>
      </c>
      <c r="W23">
        <f>SUMIF(DeadRaw!$B:$B,$A23,DeadRaw!Z:Z)</f>
        <v>0</v>
      </c>
      <c r="X23">
        <f>SUMIF(DeadRaw!$B:$B,$A23,DeadRaw!AA:AA)</f>
        <v>0</v>
      </c>
      <c r="Y23">
        <f>SUMIF(DeadRaw!$B:$B,$A23,DeadRaw!AB:AB)</f>
        <v>0</v>
      </c>
      <c r="Z23">
        <f>SUMIF(DeadRaw!$B:$B,$A23,DeadRaw!AC:AC)</f>
        <v>0</v>
      </c>
      <c r="AA23">
        <f>SUMIF(DeadRaw!$B:$B,$A23,DeadRaw!AD:AD)</f>
        <v>0</v>
      </c>
      <c r="AB23">
        <f>SUMIF(DeadRaw!$B:$B,$A23,DeadRaw!AE:AE)</f>
        <v>0</v>
      </c>
      <c r="AC23">
        <f>SUMIF(DeadRaw!$B:$B,$A23,DeadRaw!AF:AF)</f>
        <v>0</v>
      </c>
      <c r="AD23">
        <f>SUMIF(DeadRaw!$B:$B,$A23,DeadRaw!AG:AG)</f>
        <v>0</v>
      </c>
      <c r="AE23">
        <f>SUMIF(DeadRaw!$B:$B,$A23,DeadRaw!AH:AH)</f>
        <v>0</v>
      </c>
      <c r="AF23">
        <f>SUMIF(DeadRaw!$B:$B,$A23,DeadRaw!AI:AI)</f>
        <v>0</v>
      </c>
      <c r="AG23">
        <f>SUMIF(DeadRaw!$B:$B,$A23,DeadRaw!AJ:AJ)</f>
        <v>0</v>
      </c>
      <c r="AH23">
        <f>SUMIF(DeadRaw!$B:$B,$A23,DeadRaw!AK:AK)</f>
        <v>0</v>
      </c>
      <c r="AI23">
        <f>SUMIF(DeadRaw!$B:$B,$A23,DeadRaw!AL:AL)</f>
        <v>0</v>
      </c>
      <c r="AJ23">
        <f>SUMIF(DeadRaw!$B:$B,$A23,DeadRaw!AM:AM)</f>
        <v>0</v>
      </c>
      <c r="AK23">
        <f>SUMIF(DeadRaw!$B:$B,$A23,DeadRaw!AN:AN)</f>
        <v>0</v>
      </c>
      <c r="AL23">
        <f>SUMIF(DeadRaw!$B:$B,$A23,DeadRaw!AO:AO)</f>
        <v>0</v>
      </c>
      <c r="AM23">
        <f>SUMIF(DeadRaw!$B:$B,$A23,DeadRaw!AP:AP)</f>
        <v>0</v>
      </c>
      <c r="AN23">
        <f>SUMIF(DeadRaw!$B:$B,$A23,DeadRaw!AQ:AQ)</f>
        <v>0</v>
      </c>
      <c r="AO23">
        <f>SUMIF(DeadRaw!$B:$B,$A23,DeadRaw!AR:AR)</f>
        <v>0</v>
      </c>
      <c r="AP23">
        <f>SUMIF(DeadRaw!$B:$B,$A23,DeadRaw!AS:AS)</f>
        <v>0</v>
      </c>
      <c r="AQ23">
        <f>SUMIF(DeadRaw!$B:$B,$A23,DeadRaw!AT:AT)</f>
        <v>0</v>
      </c>
      <c r="AR23">
        <f>SUMIF(DeadRaw!$B:$B,$A23,DeadRaw!AU:AU)</f>
        <v>0</v>
      </c>
      <c r="AS23">
        <f>SUMIF(DeadRaw!$B:$B,$A23,DeadRaw!AV:AV)</f>
        <v>0</v>
      </c>
      <c r="AT23">
        <f>SUMIF(DeadRaw!$B:$B,$A23,DeadRaw!AW:AW)</f>
        <v>0</v>
      </c>
      <c r="AU23">
        <f>SUMIF(DeadRaw!$B:$B,$A23,DeadRaw!AX:AX)</f>
        <v>0</v>
      </c>
      <c r="AV23">
        <f>SUMIF(DeadRaw!$B:$B,$A23,DeadRaw!AY:AY)</f>
        <v>0</v>
      </c>
      <c r="AW23">
        <f>SUMIF(DeadRaw!$B:$B,$A23,DeadRaw!AZ:AZ)</f>
        <v>0</v>
      </c>
      <c r="AX23">
        <f>SUMIF(DeadRaw!$B:$B,$A23,DeadRaw!BA:BA)</f>
        <v>0</v>
      </c>
      <c r="AY23">
        <f>SUMIF(DeadRaw!$B:$B,$A23,DeadRaw!BB:BB)</f>
        <v>0</v>
      </c>
      <c r="AZ23">
        <f>SUMIF(DeadRaw!$B:$B,$A23,DeadRaw!BC:BC)</f>
        <v>0</v>
      </c>
      <c r="BA23">
        <f>SUMIF(DeadRaw!$B:$B,$A23,DeadRaw!BD:BD)</f>
        <v>0</v>
      </c>
      <c r="BB23">
        <f>SUMIF(DeadRaw!$B:$B,$A23,DeadRaw!BE:BE)</f>
        <v>0</v>
      </c>
      <c r="BC23">
        <f>SUMIF(DeadRaw!$B:$B,$A23,DeadRaw!BF:BF)</f>
        <v>0</v>
      </c>
      <c r="BD23">
        <f>SUMIF(DeadRaw!$B:$B,$A23,DeadRaw!BG:BG)</f>
        <v>0</v>
      </c>
      <c r="BE23">
        <f>SUMIF(DeadRaw!$B:$B,$A23,DeadRaw!BH:BH)</f>
        <v>2</v>
      </c>
      <c r="BF23">
        <f>SUMIF(DeadRaw!$B:$B,$A23,DeadRaw!BI:BI)</f>
        <v>2</v>
      </c>
      <c r="BG23">
        <f>SUMIF(DeadRaw!$B:$B,$A23,DeadRaw!BJ:BJ)</f>
        <v>0</v>
      </c>
      <c r="BH23">
        <f>SUMIF(DeadRaw!$B:$B,$A23,DeadRaw!BK:BK)</f>
        <v>0</v>
      </c>
      <c r="BI23">
        <f>SUMIF(DeadRaw!$B:$B,$A23,DeadRaw!BL:BL)</f>
        <v>0</v>
      </c>
      <c r="BJ23">
        <f>SUMIF(DeadRaw!$B:$B,$A23,DeadRaw!BM:BM)</f>
        <v>0</v>
      </c>
      <c r="BK23">
        <f>SUMIF(DeadRaw!$B:$B,$A23,DeadRaw!BN:BN)</f>
        <v>0</v>
      </c>
      <c r="BL23">
        <f>SUMIF(DeadRaw!$B:$B,$A23,DeadRaw!BO:BO)</f>
        <v>0</v>
      </c>
      <c r="BM23">
        <f>SUMIF(DeadRaw!$B:$B,$A23,DeadRaw!BP:BP)</f>
        <v>0</v>
      </c>
      <c r="BN23">
        <f>SUMIF(DeadRaw!$B:$B,$A23,DeadRaw!BQ:BQ)</f>
        <v>0</v>
      </c>
      <c r="BO23">
        <f>SUMIF(DeadRaw!$B:$B,$A23,DeadRaw!BR:BR)</f>
        <v>0</v>
      </c>
      <c r="BP23">
        <f>SUMIF(DeadRaw!$B:$B,$A23,DeadRaw!BS:BS)</f>
        <v>0</v>
      </c>
      <c r="BQ23">
        <f>SUMIF(DeadRaw!$B:$B,$A23,DeadRaw!BT:BT)</f>
        <v>0</v>
      </c>
      <c r="BR23">
        <f>SUMIF(DeadRaw!$B:$B,$A23,DeadRaw!BU:BU)</f>
        <v>0</v>
      </c>
      <c r="BS23">
        <f>SUMIF(DeadRaw!$B:$B,$A23,DeadRaw!BV:BV)</f>
        <v>0</v>
      </c>
      <c r="BT23">
        <f>SUMIF(DeadRaw!$B:$B,$A23,DeadRaw!BW:BW)</f>
        <v>0</v>
      </c>
    </row>
    <row r="24" spans="1:72" ht="15" thickBot="1" x14ac:dyDescent="0.35">
      <c r="A24" s="4" t="s">
        <v>45</v>
      </c>
      <c r="B24">
        <f>SUMIF(DeadRaw!$B:$B,$A24,DeadRaw!E:E)</f>
        <v>0</v>
      </c>
      <c r="C24">
        <f>SUMIF(DeadRaw!$B:$B,$A24,DeadRaw!F:F)</f>
        <v>0</v>
      </c>
      <c r="D24">
        <f>SUMIF(DeadRaw!$B:$B,$A24,DeadRaw!G:G)</f>
        <v>0</v>
      </c>
      <c r="E24">
        <f>SUMIF(DeadRaw!$B:$B,$A24,DeadRaw!H:H)</f>
        <v>0</v>
      </c>
      <c r="F24">
        <f>SUMIF(DeadRaw!$B:$B,$A24,DeadRaw!I:I)</f>
        <v>0</v>
      </c>
      <c r="G24">
        <f>SUMIF(DeadRaw!$B:$B,$A24,DeadRaw!J:J)</f>
        <v>0</v>
      </c>
      <c r="H24">
        <f>SUMIF(DeadRaw!$B:$B,$A24,DeadRaw!K:K)</f>
        <v>0</v>
      </c>
      <c r="I24">
        <f>SUMIF(DeadRaw!$B:$B,$A24,DeadRaw!L:L)</f>
        <v>0</v>
      </c>
      <c r="J24">
        <f>SUMIF(DeadRaw!$B:$B,$A24,DeadRaw!M:M)</f>
        <v>0</v>
      </c>
      <c r="K24">
        <f>SUMIF(DeadRaw!$B:$B,$A24,DeadRaw!N:N)</f>
        <v>0</v>
      </c>
      <c r="L24">
        <f>SUMIF(DeadRaw!$B:$B,$A24,DeadRaw!O:O)</f>
        <v>0</v>
      </c>
      <c r="M24">
        <f>SUMIF(DeadRaw!$B:$B,$A24,DeadRaw!P:P)</f>
        <v>0</v>
      </c>
      <c r="N24">
        <f>SUMIF(DeadRaw!$B:$B,$A24,DeadRaw!Q:Q)</f>
        <v>0</v>
      </c>
      <c r="O24">
        <f>SUMIF(DeadRaw!$B:$B,$A24,DeadRaw!R:R)</f>
        <v>0</v>
      </c>
      <c r="P24">
        <f>SUMIF(DeadRaw!$B:$B,$A24,DeadRaw!S:S)</f>
        <v>0</v>
      </c>
      <c r="Q24">
        <f>SUMIF(DeadRaw!$B:$B,$A24,DeadRaw!T:T)</f>
        <v>0</v>
      </c>
      <c r="R24">
        <f>SUMIF(DeadRaw!$B:$B,$A24,DeadRaw!U:U)</f>
        <v>0</v>
      </c>
      <c r="S24">
        <f>SUMIF(DeadRaw!$B:$B,$A24,DeadRaw!V:V)</f>
        <v>0</v>
      </c>
      <c r="T24">
        <f>SUMIF(DeadRaw!$B:$B,$A24,DeadRaw!W:W)</f>
        <v>0</v>
      </c>
      <c r="U24">
        <f>SUMIF(DeadRaw!$B:$B,$A24,DeadRaw!X:X)</f>
        <v>0</v>
      </c>
      <c r="V24">
        <f>SUMIF(DeadRaw!$B:$B,$A24,DeadRaw!Y:Y)</f>
        <v>0</v>
      </c>
      <c r="W24">
        <f>SUMIF(DeadRaw!$B:$B,$A24,DeadRaw!Z:Z)</f>
        <v>0</v>
      </c>
      <c r="X24">
        <f>SUMIF(DeadRaw!$B:$B,$A24,DeadRaw!AA:AA)</f>
        <v>0</v>
      </c>
      <c r="Y24">
        <f>SUMIF(DeadRaw!$B:$B,$A24,DeadRaw!AB:AB)</f>
        <v>0</v>
      </c>
      <c r="Z24">
        <f>SUMIF(DeadRaw!$B:$B,$A24,DeadRaw!AC:AC)</f>
        <v>0</v>
      </c>
      <c r="AA24">
        <f>SUMIF(DeadRaw!$B:$B,$A24,DeadRaw!AD:AD)</f>
        <v>0</v>
      </c>
      <c r="AB24">
        <f>SUMIF(DeadRaw!$B:$B,$A24,DeadRaw!AE:AE)</f>
        <v>0</v>
      </c>
      <c r="AC24">
        <f>SUMIF(DeadRaw!$B:$B,$A24,DeadRaw!AF:AF)</f>
        <v>0</v>
      </c>
      <c r="AD24">
        <f>SUMIF(DeadRaw!$B:$B,$A24,DeadRaw!AG:AG)</f>
        <v>0</v>
      </c>
      <c r="AE24">
        <f>SUMIF(DeadRaw!$B:$B,$A24,DeadRaw!AH:AH)</f>
        <v>0</v>
      </c>
      <c r="AF24">
        <f>SUMIF(DeadRaw!$B:$B,$A24,DeadRaw!AI:AI)</f>
        <v>0</v>
      </c>
      <c r="AG24">
        <f>SUMIF(DeadRaw!$B:$B,$A24,DeadRaw!AJ:AJ)</f>
        <v>0</v>
      </c>
      <c r="AH24">
        <f>SUMIF(DeadRaw!$B:$B,$A24,DeadRaw!AK:AK)</f>
        <v>0</v>
      </c>
      <c r="AI24">
        <f>SUMIF(DeadRaw!$B:$B,$A24,DeadRaw!AL:AL)</f>
        <v>0</v>
      </c>
      <c r="AJ24">
        <f>SUMIF(DeadRaw!$B:$B,$A24,DeadRaw!AM:AM)</f>
        <v>0</v>
      </c>
      <c r="AK24">
        <f>SUMIF(DeadRaw!$B:$B,$A24,DeadRaw!AN:AN)</f>
        <v>0</v>
      </c>
      <c r="AL24">
        <f>SUMIF(DeadRaw!$B:$B,$A24,DeadRaw!AO:AO)</f>
        <v>0</v>
      </c>
      <c r="AM24">
        <f>SUMIF(DeadRaw!$B:$B,$A24,DeadRaw!AP:AP)</f>
        <v>0</v>
      </c>
      <c r="AN24">
        <f>SUMIF(DeadRaw!$B:$B,$A24,DeadRaw!AQ:AQ)</f>
        <v>0</v>
      </c>
      <c r="AO24">
        <f>SUMIF(DeadRaw!$B:$B,$A24,DeadRaw!AR:AR)</f>
        <v>0</v>
      </c>
      <c r="AP24">
        <f>SUMIF(DeadRaw!$B:$B,$A24,DeadRaw!AS:AS)</f>
        <v>0</v>
      </c>
      <c r="AQ24">
        <f>SUMIF(DeadRaw!$B:$B,$A24,DeadRaw!AT:AT)</f>
        <v>0</v>
      </c>
      <c r="AR24">
        <f>SUMIF(DeadRaw!$B:$B,$A24,DeadRaw!AU:AU)</f>
        <v>0</v>
      </c>
      <c r="AS24">
        <f>SUMIF(DeadRaw!$B:$B,$A24,DeadRaw!AV:AV)</f>
        <v>0</v>
      </c>
      <c r="AT24">
        <f>SUMIF(DeadRaw!$B:$B,$A24,DeadRaw!AW:AW)</f>
        <v>0</v>
      </c>
      <c r="AU24">
        <f>SUMIF(DeadRaw!$B:$B,$A24,DeadRaw!AX:AX)</f>
        <v>0</v>
      </c>
      <c r="AV24">
        <f>SUMIF(DeadRaw!$B:$B,$A24,DeadRaw!AY:AY)</f>
        <v>0</v>
      </c>
      <c r="AW24">
        <f>SUMIF(DeadRaw!$B:$B,$A24,DeadRaw!AZ:AZ)</f>
        <v>1</v>
      </c>
      <c r="AX24">
        <f>SUMIF(DeadRaw!$B:$B,$A24,DeadRaw!BA:BA)</f>
        <v>1</v>
      </c>
      <c r="AY24">
        <f>SUMIF(DeadRaw!$B:$B,$A24,DeadRaw!BB:BB)</f>
        <v>1</v>
      </c>
      <c r="AZ24">
        <f>SUMIF(DeadRaw!$B:$B,$A24,DeadRaw!BC:BC)</f>
        <v>1</v>
      </c>
      <c r="BA24">
        <f>SUMIF(DeadRaw!$B:$B,$A24,DeadRaw!BD:BD)</f>
        <v>1</v>
      </c>
      <c r="BB24">
        <f>SUMIF(DeadRaw!$B:$B,$A24,DeadRaw!BE:BE)</f>
        <v>1</v>
      </c>
      <c r="BC24">
        <f>SUMIF(DeadRaw!$B:$B,$A24,DeadRaw!BF:BF)</f>
        <v>1</v>
      </c>
      <c r="BD24">
        <f>SUMIF(DeadRaw!$B:$B,$A24,DeadRaw!BG:BG)</f>
        <v>4</v>
      </c>
      <c r="BE24">
        <f>SUMIF(DeadRaw!$B:$B,$A24,DeadRaw!BH:BH)</f>
        <v>5</v>
      </c>
      <c r="BF24">
        <f>SUMIF(DeadRaw!$B:$B,$A24,DeadRaw!BI:BI)</f>
        <v>8</v>
      </c>
      <c r="BG24">
        <f>SUMIF(DeadRaw!$B:$B,$A24,DeadRaw!BJ:BJ)</f>
        <v>0</v>
      </c>
      <c r="BH24">
        <f>SUMIF(DeadRaw!$B:$B,$A24,DeadRaw!BK:BK)</f>
        <v>0</v>
      </c>
      <c r="BI24">
        <f>SUMIF(DeadRaw!$B:$B,$A24,DeadRaw!BL:BL)</f>
        <v>0</v>
      </c>
      <c r="BJ24">
        <f>SUMIF(DeadRaw!$B:$B,$A24,DeadRaw!BM:BM)</f>
        <v>0</v>
      </c>
      <c r="BK24">
        <f>SUMIF(DeadRaw!$B:$B,$A24,DeadRaw!BN:BN)</f>
        <v>0</v>
      </c>
      <c r="BL24">
        <f>SUMIF(DeadRaw!$B:$B,$A24,DeadRaw!BO:BO)</f>
        <v>0</v>
      </c>
      <c r="BM24">
        <f>SUMIF(DeadRaw!$B:$B,$A24,DeadRaw!BP:BP)</f>
        <v>0</v>
      </c>
      <c r="BN24">
        <f>SUMIF(DeadRaw!$B:$B,$A24,DeadRaw!BQ:BQ)</f>
        <v>0</v>
      </c>
      <c r="BO24">
        <f>SUMIF(DeadRaw!$B:$B,$A24,DeadRaw!BR:BR)</f>
        <v>0</v>
      </c>
      <c r="BP24">
        <f>SUMIF(DeadRaw!$B:$B,$A24,DeadRaw!BS:BS)</f>
        <v>0</v>
      </c>
      <c r="BQ24">
        <f>SUMIF(DeadRaw!$B:$B,$A24,DeadRaw!BT:BT)</f>
        <v>0</v>
      </c>
      <c r="BR24">
        <f>SUMIF(DeadRaw!$B:$B,$A24,DeadRaw!BU:BU)</f>
        <v>0</v>
      </c>
      <c r="BS24">
        <f>SUMIF(DeadRaw!$B:$B,$A24,DeadRaw!BV:BV)</f>
        <v>0</v>
      </c>
      <c r="BT24">
        <f>SUMIF(DeadRaw!$B:$B,$A24,DeadRaw!BW:BW)</f>
        <v>0</v>
      </c>
    </row>
    <row r="25" spans="1:72" ht="15" thickBot="1" x14ac:dyDescent="0.35">
      <c r="A25" s="4" t="s">
        <v>83</v>
      </c>
      <c r="B25">
        <f>SUMIF(DeadRaw!$B:$B,$A25,DeadRaw!E:E)</f>
        <v>0</v>
      </c>
      <c r="C25">
        <f>SUMIF(DeadRaw!$B:$B,$A25,DeadRaw!F:F)</f>
        <v>0</v>
      </c>
      <c r="D25">
        <f>SUMIF(DeadRaw!$B:$B,$A25,DeadRaw!G:G)</f>
        <v>0</v>
      </c>
      <c r="E25">
        <f>SUMIF(DeadRaw!$B:$B,$A25,DeadRaw!H:H)</f>
        <v>0</v>
      </c>
      <c r="F25">
        <f>SUMIF(DeadRaw!$B:$B,$A25,DeadRaw!I:I)</f>
        <v>0</v>
      </c>
      <c r="G25">
        <f>SUMIF(DeadRaw!$B:$B,$A25,DeadRaw!J:J)</f>
        <v>0</v>
      </c>
      <c r="H25">
        <f>SUMIF(DeadRaw!$B:$B,$A25,DeadRaw!K:K)</f>
        <v>0</v>
      </c>
      <c r="I25">
        <f>SUMIF(DeadRaw!$B:$B,$A25,DeadRaw!L:L)</f>
        <v>0</v>
      </c>
      <c r="J25">
        <f>SUMIF(DeadRaw!$B:$B,$A25,DeadRaw!M:M)</f>
        <v>0</v>
      </c>
      <c r="K25">
        <f>SUMIF(DeadRaw!$B:$B,$A25,DeadRaw!N:N)</f>
        <v>0</v>
      </c>
      <c r="L25">
        <f>SUMIF(DeadRaw!$B:$B,$A25,DeadRaw!O:O)</f>
        <v>0</v>
      </c>
      <c r="M25">
        <f>SUMIF(DeadRaw!$B:$B,$A25,DeadRaw!P:P)</f>
        <v>0</v>
      </c>
      <c r="N25">
        <f>SUMIF(DeadRaw!$B:$B,$A25,DeadRaw!Q:Q)</f>
        <v>0</v>
      </c>
      <c r="O25">
        <f>SUMIF(DeadRaw!$B:$B,$A25,DeadRaw!R:R)</f>
        <v>0</v>
      </c>
      <c r="P25">
        <f>SUMIF(DeadRaw!$B:$B,$A25,DeadRaw!S:S)</f>
        <v>0</v>
      </c>
      <c r="Q25">
        <f>SUMIF(DeadRaw!$B:$B,$A25,DeadRaw!T:T)</f>
        <v>0</v>
      </c>
      <c r="R25">
        <f>SUMIF(DeadRaw!$B:$B,$A25,DeadRaw!U:U)</f>
        <v>0</v>
      </c>
      <c r="S25">
        <f>SUMIF(DeadRaw!$B:$B,$A25,DeadRaw!V:V)</f>
        <v>0</v>
      </c>
      <c r="T25">
        <f>SUMIF(DeadRaw!$B:$B,$A25,DeadRaw!W:W)</f>
        <v>0</v>
      </c>
      <c r="U25">
        <f>SUMIF(DeadRaw!$B:$B,$A25,DeadRaw!X:X)</f>
        <v>0</v>
      </c>
      <c r="V25">
        <f>SUMIF(DeadRaw!$B:$B,$A25,DeadRaw!Y:Y)</f>
        <v>0</v>
      </c>
      <c r="W25">
        <f>SUMIF(DeadRaw!$B:$B,$A25,DeadRaw!Z:Z)</f>
        <v>0</v>
      </c>
      <c r="X25">
        <f>SUMIF(DeadRaw!$B:$B,$A25,DeadRaw!AA:AA)</f>
        <v>0</v>
      </c>
      <c r="Y25">
        <f>SUMIF(DeadRaw!$B:$B,$A25,DeadRaw!AB:AB)</f>
        <v>0</v>
      </c>
      <c r="Z25">
        <f>SUMIF(DeadRaw!$B:$B,$A25,DeadRaw!AC:AC)</f>
        <v>0</v>
      </c>
      <c r="AA25">
        <f>SUMIF(DeadRaw!$B:$B,$A25,DeadRaw!AD:AD)</f>
        <v>0</v>
      </c>
      <c r="AB25">
        <f>SUMIF(DeadRaw!$B:$B,$A25,DeadRaw!AE:AE)</f>
        <v>0</v>
      </c>
      <c r="AC25">
        <f>SUMIF(DeadRaw!$B:$B,$A25,DeadRaw!AF:AF)</f>
        <v>0</v>
      </c>
      <c r="AD25">
        <f>SUMIF(DeadRaw!$B:$B,$A25,DeadRaw!AG:AG)</f>
        <v>0</v>
      </c>
      <c r="AE25">
        <f>SUMIF(DeadRaw!$B:$B,$A25,DeadRaw!AH:AH)</f>
        <v>0</v>
      </c>
      <c r="AF25">
        <f>SUMIF(DeadRaw!$B:$B,$A25,DeadRaw!AI:AI)</f>
        <v>0</v>
      </c>
      <c r="AG25">
        <f>SUMIF(DeadRaw!$B:$B,$A25,DeadRaw!AJ:AJ)</f>
        <v>0</v>
      </c>
      <c r="AH25">
        <f>SUMIF(DeadRaw!$B:$B,$A25,DeadRaw!AK:AK)</f>
        <v>0</v>
      </c>
      <c r="AI25">
        <f>SUMIF(DeadRaw!$B:$B,$A25,DeadRaw!AL:AL)</f>
        <v>0</v>
      </c>
      <c r="AJ25">
        <f>SUMIF(DeadRaw!$B:$B,$A25,DeadRaw!AM:AM)</f>
        <v>0</v>
      </c>
      <c r="AK25">
        <f>SUMIF(DeadRaw!$B:$B,$A25,DeadRaw!AN:AN)</f>
        <v>0</v>
      </c>
      <c r="AL25">
        <f>SUMIF(DeadRaw!$B:$B,$A25,DeadRaw!AO:AO)</f>
        <v>0</v>
      </c>
      <c r="AM25">
        <f>SUMIF(DeadRaw!$B:$B,$A25,DeadRaw!AP:AP)</f>
        <v>0</v>
      </c>
      <c r="AN25">
        <f>SUMIF(DeadRaw!$B:$B,$A25,DeadRaw!AQ:AQ)</f>
        <v>0</v>
      </c>
      <c r="AO25">
        <f>SUMIF(DeadRaw!$B:$B,$A25,DeadRaw!AR:AR)</f>
        <v>0</v>
      </c>
      <c r="AP25">
        <f>SUMIF(DeadRaw!$B:$B,$A25,DeadRaw!AS:AS)</f>
        <v>0</v>
      </c>
      <c r="AQ25">
        <f>SUMIF(DeadRaw!$B:$B,$A25,DeadRaw!AT:AT)</f>
        <v>0</v>
      </c>
      <c r="AR25">
        <f>SUMIF(DeadRaw!$B:$B,$A25,DeadRaw!AU:AU)</f>
        <v>0</v>
      </c>
      <c r="AS25">
        <f>SUMIF(DeadRaw!$B:$B,$A25,DeadRaw!AV:AV)</f>
        <v>0</v>
      </c>
      <c r="AT25">
        <f>SUMIF(DeadRaw!$B:$B,$A25,DeadRaw!AW:AW)</f>
        <v>0</v>
      </c>
      <c r="AU25">
        <f>SUMIF(DeadRaw!$B:$B,$A25,DeadRaw!AX:AX)</f>
        <v>0</v>
      </c>
      <c r="AV25">
        <f>SUMIF(DeadRaw!$B:$B,$A25,DeadRaw!AY:AY)</f>
        <v>0</v>
      </c>
      <c r="AW25">
        <f>SUMIF(DeadRaw!$B:$B,$A25,DeadRaw!AZ:AZ)</f>
        <v>0</v>
      </c>
      <c r="AX25">
        <f>SUMIF(DeadRaw!$B:$B,$A25,DeadRaw!BA:BA)</f>
        <v>0</v>
      </c>
      <c r="AY25">
        <f>SUMIF(DeadRaw!$B:$B,$A25,DeadRaw!BB:BB)</f>
        <v>1</v>
      </c>
      <c r="AZ25">
        <f>SUMIF(DeadRaw!$B:$B,$A25,DeadRaw!BC:BC)</f>
        <v>1</v>
      </c>
      <c r="BA25">
        <f>SUMIF(DeadRaw!$B:$B,$A25,DeadRaw!BD:BD)</f>
        <v>1</v>
      </c>
      <c r="BB25">
        <f>SUMIF(DeadRaw!$B:$B,$A25,DeadRaw!BE:BE)</f>
        <v>3</v>
      </c>
      <c r="BC25">
        <f>SUMIF(DeadRaw!$B:$B,$A25,DeadRaw!BF:BF)</f>
        <v>4</v>
      </c>
      <c r="BD25">
        <f>SUMIF(DeadRaw!$B:$B,$A25,DeadRaw!BG:BG)</f>
        <v>4</v>
      </c>
      <c r="BE25">
        <f>SUMIF(DeadRaw!$B:$B,$A25,DeadRaw!BH:BH)</f>
        <v>5</v>
      </c>
      <c r="BF25">
        <f>SUMIF(DeadRaw!$B:$B,$A25,DeadRaw!BI:BI)</f>
        <v>5</v>
      </c>
      <c r="BG25">
        <f>SUMIF(DeadRaw!$B:$B,$A25,DeadRaw!BJ:BJ)</f>
        <v>0</v>
      </c>
      <c r="BH25">
        <f>SUMIF(DeadRaw!$B:$B,$A25,DeadRaw!BK:BK)</f>
        <v>0</v>
      </c>
      <c r="BI25">
        <f>SUMIF(DeadRaw!$B:$B,$A25,DeadRaw!BL:BL)</f>
        <v>0</v>
      </c>
      <c r="BJ25">
        <f>SUMIF(DeadRaw!$B:$B,$A25,DeadRaw!BM:BM)</f>
        <v>0</v>
      </c>
      <c r="BK25">
        <f>SUMIF(DeadRaw!$B:$B,$A25,DeadRaw!BN:BN)</f>
        <v>0</v>
      </c>
      <c r="BL25">
        <f>SUMIF(DeadRaw!$B:$B,$A25,DeadRaw!BO:BO)</f>
        <v>0</v>
      </c>
      <c r="BM25">
        <f>SUMIF(DeadRaw!$B:$B,$A25,DeadRaw!BP:BP)</f>
        <v>0</v>
      </c>
      <c r="BN25">
        <f>SUMIF(DeadRaw!$B:$B,$A25,DeadRaw!BQ:BQ)</f>
        <v>0</v>
      </c>
      <c r="BO25">
        <f>SUMIF(DeadRaw!$B:$B,$A25,DeadRaw!BR:BR)</f>
        <v>0</v>
      </c>
      <c r="BP25">
        <f>SUMIF(DeadRaw!$B:$B,$A25,DeadRaw!BS:BS)</f>
        <v>0</v>
      </c>
      <c r="BQ25">
        <f>SUMIF(DeadRaw!$B:$B,$A25,DeadRaw!BT:BT)</f>
        <v>0</v>
      </c>
      <c r="BR25">
        <f>SUMIF(DeadRaw!$B:$B,$A25,DeadRaw!BU:BU)</f>
        <v>0</v>
      </c>
      <c r="BS25">
        <f>SUMIF(DeadRaw!$B:$B,$A25,DeadRaw!BV:BV)</f>
        <v>0</v>
      </c>
      <c r="BT25">
        <f>SUMIF(DeadRaw!$B:$B,$A25,DeadRaw!BW:BW)</f>
        <v>0</v>
      </c>
    </row>
    <row r="26" spans="1:72" ht="15" thickBot="1" x14ac:dyDescent="0.35">
      <c r="A26" s="4" t="s">
        <v>73</v>
      </c>
      <c r="B26">
        <f>SUMIF(DeadRaw!$B:$B,$A26,DeadRaw!E:E)</f>
        <v>0</v>
      </c>
      <c r="C26">
        <f>SUMIF(DeadRaw!$B:$B,$A26,DeadRaw!F:F)</f>
        <v>0</v>
      </c>
      <c r="D26">
        <f>SUMIF(DeadRaw!$B:$B,$A26,DeadRaw!G:G)</f>
        <v>0</v>
      </c>
      <c r="E26">
        <f>SUMIF(DeadRaw!$B:$B,$A26,DeadRaw!H:H)</f>
        <v>0</v>
      </c>
      <c r="F26">
        <f>SUMIF(DeadRaw!$B:$B,$A26,DeadRaw!I:I)</f>
        <v>0</v>
      </c>
      <c r="G26">
        <f>SUMIF(DeadRaw!$B:$B,$A26,DeadRaw!J:J)</f>
        <v>0</v>
      </c>
      <c r="H26">
        <f>SUMIF(DeadRaw!$B:$B,$A26,DeadRaw!K:K)</f>
        <v>0</v>
      </c>
      <c r="I26">
        <f>SUMIF(DeadRaw!$B:$B,$A26,DeadRaw!L:L)</f>
        <v>0</v>
      </c>
      <c r="J26">
        <f>SUMIF(DeadRaw!$B:$B,$A26,DeadRaw!M:M)</f>
        <v>0</v>
      </c>
      <c r="K26">
        <f>SUMIF(DeadRaw!$B:$B,$A26,DeadRaw!N:N)</f>
        <v>0</v>
      </c>
      <c r="L26">
        <f>SUMIF(DeadRaw!$B:$B,$A26,DeadRaw!O:O)</f>
        <v>0</v>
      </c>
      <c r="M26">
        <f>SUMIF(DeadRaw!$B:$B,$A26,DeadRaw!P:P)</f>
        <v>0</v>
      </c>
      <c r="N26">
        <f>SUMIF(DeadRaw!$B:$B,$A26,DeadRaw!Q:Q)</f>
        <v>0</v>
      </c>
      <c r="O26">
        <f>SUMIF(DeadRaw!$B:$B,$A26,DeadRaw!R:R)</f>
        <v>0</v>
      </c>
      <c r="P26">
        <f>SUMIF(DeadRaw!$B:$B,$A26,DeadRaw!S:S)</f>
        <v>0</v>
      </c>
      <c r="Q26">
        <f>SUMIF(DeadRaw!$B:$B,$A26,DeadRaw!T:T)</f>
        <v>0</v>
      </c>
      <c r="R26">
        <f>SUMIF(DeadRaw!$B:$B,$A26,DeadRaw!U:U)</f>
        <v>0</v>
      </c>
      <c r="S26">
        <f>SUMIF(DeadRaw!$B:$B,$A26,DeadRaw!V:V)</f>
        <v>0</v>
      </c>
      <c r="T26">
        <f>SUMIF(DeadRaw!$B:$B,$A26,DeadRaw!W:W)</f>
        <v>0</v>
      </c>
      <c r="U26">
        <f>SUMIF(DeadRaw!$B:$B,$A26,DeadRaw!X:X)</f>
        <v>0</v>
      </c>
      <c r="V26">
        <f>SUMIF(DeadRaw!$B:$B,$A26,DeadRaw!Y:Y)</f>
        <v>0</v>
      </c>
      <c r="W26">
        <f>SUMIF(DeadRaw!$B:$B,$A26,DeadRaw!Z:Z)</f>
        <v>0</v>
      </c>
      <c r="X26">
        <f>SUMIF(DeadRaw!$B:$B,$A26,DeadRaw!AA:AA)</f>
        <v>0</v>
      </c>
      <c r="Y26">
        <f>SUMIF(DeadRaw!$B:$B,$A26,DeadRaw!AB:AB)</f>
        <v>0</v>
      </c>
      <c r="Z26">
        <f>SUMIF(DeadRaw!$B:$B,$A26,DeadRaw!AC:AC)</f>
        <v>0</v>
      </c>
      <c r="AA26">
        <f>SUMIF(DeadRaw!$B:$B,$A26,DeadRaw!AD:AD)</f>
        <v>0</v>
      </c>
      <c r="AB26">
        <f>SUMIF(DeadRaw!$B:$B,$A26,DeadRaw!AE:AE)</f>
        <v>0</v>
      </c>
      <c r="AC26">
        <f>SUMIF(DeadRaw!$B:$B,$A26,DeadRaw!AF:AF)</f>
        <v>0</v>
      </c>
      <c r="AD26">
        <f>SUMIF(DeadRaw!$B:$B,$A26,DeadRaw!AG:AG)</f>
        <v>0</v>
      </c>
      <c r="AE26">
        <f>SUMIF(DeadRaw!$B:$B,$A26,DeadRaw!AH:AH)</f>
        <v>0</v>
      </c>
      <c r="AF26">
        <f>SUMIF(DeadRaw!$B:$B,$A26,DeadRaw!AI:AI)</f>
        <v>0</v>
      </c>
      <c r="AG26">
        <f>SUMIF(DeadRaw!$B:$B,$A26,DeadRaw!AJ:AJ)</f>
        <v>0</v>
      </c>
      <c r="AH26">
        <f>SUMIF(DeadRaw!$B:$B,$A26,DeadRaw!AK:AK)</f>
        <v>0</v>
      </c>
      <c r="AI26">
        <f>SUMIF(DeadRaw!$B:$B,$A26,DeadRaw!AL:AL)</f>
        <v>0</v>
      </c>
      <c r="AJ26">
        <f>SUMIF(DeadRaw!$B:$B,$A26,DeadRaw!AM:AM)</f>
        <v>0</v>
      </c>
      <c r="AK26">
        <f>SUMIF(DeadRaw!$B:$B,$A26,DeadRaw!AN:AN)</f>
        <v>0</v>
      </c>
      <c r="AL26">
        <f>SUMIF(DeadRaw!$B:$B,$A26,DeadRaw!AO:AO)</f>
        <v>0</v>
      </c>
      <c r="AM26">
        <f>SUMIF(DeadRaw!$B:$B,$A26,DeadRaw!AP:AP)</f>
        <v>0</v>
      </c>
      <c r="AN26">
        <f>SUMIF(DeadRaw!$B:$B,$A26,DeadRaw!AQ:AQ)</f>
        <v>0</v>
      </c>
      <c r="AO26">
        <f>SUMIF(DeadRaw!$B:$B,$A26,DeadRaw!AR:AR)</f>
        <v>0</v>
      </c>
      <c r="AP26">
        <f>SUMIF(DeadRaw!$B:$B,$A26,DeadRaw!AS:AS)</f>
        <v>0</v>
      </c>
      <c r="AQ26">
        <f>SUMIF(DeadRaw!$B:$B,$A26,DeadRaw!AT:AT)</f>
        <v>0</v>
      </c>
      <c r="AR26">
        <f>SUMIF(DeadRaw!$B:$B,$A26,DeadRaw!AU:AU)</f>
        <v>0</v>
      </c>
      <c r="AS26">
        <f>SUMIF(DeadRaw!$B:$B,$A26,DeadRaw!AV:AV)</f>
        <v>0</v>
      </c>
      <c r="AT26">
        <f>SUMIF(DeadRaw!$B:$B,$A26,DeadRaw!AW:AW)</f>
        <v>0</v>
      </c>
      <c r="AU26">
        <f>SUMIF(DeadRaw!$B:$B,$A26,DeadRaw!AX:AX)</f>
        <v>0</v>
      </c>
      <c r="AV26">
        <f>SUMIF(DeadRaw!$B:$B,$A26,DeadRaw!AY:AY)</f>
        <v>0</v>
      </c>
      <c r="AW26">
        <f>SUMIF(DeadRaw!$B:$B,$A26,DeadRaw!AZ:AZ)</f>
        <v>0</v>
      </c>
      <c r="AX26">
        <f>SUMIF(DeadRaw!$B:$B,$A26,DeadRaw!BA:BA)</f>
        <v>0</v>
      </c>
      <c r="AY26">
        <f>SUMIF(DeadRaw!$B:$B,$A26,DeadRaw!BB:BB)</f>
        <v>0</v>
      </c>
      <c r="AZ26">
        <f>SUMIF(DeadRaw!$B:$B,$A26,DeadRaw!BC:BC)</f>
        <v>0</v>
      </c>
      <c r="BA26">
        <f>SUMIF(DeadRaw!$B:$B,$A26,DeadRaw!BD:BD)</f>
        <v>0</v>
      </c>
      <c r="BB26">
        <f>SUMIF(DeadRaw!$B:$B,$A26,DeadRaw!BE:BE)</f>
        <v>0</v>
      </c>
      <c r="BC26">
        <f>SUMIF(DeadRaw!$B:$B,$A26,DeadRaw!BF:BF)</f>
        <v>0</v>
      </c>
      <c r="BD26">
        <f>SUMIF(DeadRaw!$B:$B,$A26,DeadRaw!BG:BG)</f>
        <v>1</v>
      </c>
      <c r="BE26">
        <f>SUMIF(DeadRaw!$B:$B,$A26,DeadRaw!BH:BH)</f>
        <v>1</v>
      </c>
      <c r="BF26">
        <f>SUMIF(DeadRaw!$B:$B,$A26,DeadRaw!BI:BI)</f>
        <v>1</v>
      </c>
      <c r="BG26">
        <f>SUMIF(DeadRaw!$B:$B,$A26,DeadRaw!BJ:BJ)</f>
        <v>0</v>
      </c>
      <c r="BH26">
        <f>SUMIF(DeadRaw!$B:$B,$A26,DeadRaw!BK:BK)</f>
        <v>0</v>
      </c>
      <c r="BI26">
        <f>SUMIF(DeadRaw!$B:$B,$A26,DeadRaw!BL:BL)</f>
        <v>0</v>
      </c>
      <c r="BJ26">
        <f>SUMIF(DeadRaw!$B:$B,$A26,DeadRaw!BM:BM)</f>
        <v>0</v>
      </c>
      <c r="BK26">
        <f>SUMIF(DeadRaw!$B:$B,$A26,DeadRaw!BN:BN)</f>
        <v>0</v>
      </c>
      <c r="BL26">
        <f>SUMIF(DeadRaw!$B:$B,$A26,DeadRaw!BO:BO)</f>
        <v>0</v>
      </c>
      <c r="BM26">
        <f>SUMIF(DeadRaw!$B:$B,$A26,DeadRaw!BP:BP)</f>
        <v>0</v>
      </c>
      <c r="BN26">
        <f>SUMIF(DeadRaw!$B:$B,$A26,DeadRaw!BQ:BQ)</f>
        <v>0</v>
      </c>
      <c r="BO26">
        <f>SUMIF(DeadRaw!$B:$B,$A26,DeadRaw!BR:BR)</f>
        <v>0</v>
      </c>
      <c r="BP26">
        <f>SUMIF(DeadRaw!$B:$B,$A26,DeadRaw!BS:BS)</f>
        <v>0</v>
      </c>
      <c r="BQ26">
        <f>SUMIF(DeadRaw!$B:$B,$A26,DeadRaw!BT:BT)</f>
        <v>0</v>
      </c>
      <c r="BR26">
        <f>SUMIF(DeadRaw!$B:$B,$A26,DeadRaw!BU:BU)</f>
        <v>0</v>
      </c>
      <c r="BS26">
        <f>SUMIF(DeadRaw!$B:$B,$A26,DeadRaw!BV:BV)</f>
        <v>0</v>
      </c>
      <c r="BT26">
        <f>SUMIF(DeadRaw!$B:$B,$A26,DeadRaw!BW:BW)</f>
        <v>0</v>
      </c>
    </row>
    <row r="27" spans="1:72" ht="15" thickBot="1" x14ac:dyDescent="0.35">
      <c r="A27" s="4" t="s">
        <v>79</v>
      </c>
      <c r="B27">
        <f>SUMIF(DeadRaw!$B:$B,$A27,DeadRaw!E:E)</f>
        <v>0</v>
      </c>
      <c r="C27">
        <f>SUMIF(DeadRaw!$B:$B,$A27,DeadRaw!F:F)</f>
        <v>0</v>
      </c>
      <c r="D27">
        <f>SUMIF(DeadRaw!$B:$B,$A27,DeadRaw!G:G)</f>
        <v>0</v>
      </c>
      <c r="E27">
        <f>SUMIF(DeadRaw!$B:$B,$A27,DeadRaw!H:H)</f>
        <v>0</v>
      </c>
      <c r="F27">
        <f>SUMIF(DeadRaw!$B:$B,$A27,DeadRaw!I:I)</f>
        <v>0</v>
      </c>
      <c r="G27">
        <f>SUMIF(DeadRaw!$B:$B,$A27,DeadRaw!J:J)</f>
        <v>0</v>
      </c>
      <c r="H27">
        <f>SUMIF(DeadRaw!$B:$B,$A27,DeadRaw!K:K)</f>
        <v>0</v>
      </c>
      <c r="I27">
        <f>SUMIF(DeadRaw!$B:$B,$A27,DeadRaw!L:L)</f>
        <v>0</v>
      </c>
      <c r="J27">
        <f>SUMIF(DeadRaw!$B:$B,$A27,DeadRaw!M:M)</f>
        <v>0</v>
      </c>
      <c r="K27">
        <f>SUMIF(DeadRaw!$B:$B,$A27,DeadRaw!N:N)</f>
        <v>0</v>
      </c>
      <c r="L27">
        <f>SUMIF(DeadRaw!$B:$B,$A27,DeadRaw!O:O)</f>
        <v>0</v>
      </c>
      <c r="M27">
        <f>SUMIF(DeadRaw!$B:$B,$A27,DeadRaw!P:P)</f>
        <v>0</v>
      </c>
      <c r="N27">
        <f>SUMIF(DeadRaw!$B:$B,$A27,DeadRaw!Q:Q)</f>
        <v>0</v>
      </c>
      <c r="O27">
        <f>SUMIF(DeadRaw!$B:$B,$A27,DeadRaw!R:R)</f>
        <v>0</v>
      </c>
      <c r="P27">
        <f>SUMIF(DeadRaw!$B:$B,$A27,DeadRaw!S:S)</f>
        <v>0</v>
      </c>
      <c r="Q27">
        <f>SUMIF(DeadRaw!$B:$B,$A27,DeadRaw!T:T)</f>
        <v>0</v>
      </c>
      <c r="R27">
        <f>SUMIF(DeadRaw!$B:$B,$A27,DeadRaw!U:U)</f>
        <v>0</v>
      </c>
      <c r="S27">
        <f>SUMIF(DeadRaw!$B:$B,$A27,DeadRaw!V:V)</f>
        <v>0</v>
      </c>
      <c r="T27">
        <f>SUMIF(DeadRaw!$B:$B,$A27,DeadRaw!W:W)</f>
        <v>0</v>
      </c>
      <c r="U27">
        <f>SUMIF(DeadRaw!$B:$B,$A27,DeadRaw!X:X)</f>
        <v>0</v>
      </c>
      <c r="V27">
        <f>SUMIF(DeadRaw!$B:$B,$A27,DeadRaw!Y:Y)</f>
        <v>0</v>
      </c>
      <c r="W27">
        <f>SUMIF(DeadRaw!$B:$B,$A27,DeadRaw!Z:Z)</f>
        <v>0</v>
      </c>
      <c r="X27">
        <f>SUMIF(DeadRaw!$B:$B,$A27,DeadRaw!AA:AA)</f>
        <v>0</v>
      </c>
      <c r="Y27">
        <f>SUMIF(DeadRaw!$B:$B,$A27,DeadRaw!AB:AB)</f>
        <v>0</v>
      </c>
      <c r="Z27">
        <f>SUMIF(DeadRaw!$B:$B,$A27,DeadRaw!AC:AC)</f>
        <v>0</v>
      </c>
      <c r="AA27">
        <f>SUMIF(DeadRaw!$B:$B,$A27,DeadRaw!AD:AD)</f>
        <v>0</v>
      </c>
      <c r="AB27">
        <f>SUMIF(DeadRaw!$B:$B,$A27,DeadRaw!AE:AE)</f>
        <v>0</v>
      </c>
      <c r="AC27">
        <f>SUMIF(DeadRaw!$B:$B,$A27,DeadRaw!AF:AF)</f>
        <v>0</v>
      </c>
      <c r="AD27">
        <f>SUMIF(DeadRaw!$B:$B,$A27,DeadRaw!AG:AG)</f>
        <v>0</v>
      </c>
      <c r="AE27">
        <f>SUMIF(DeadRaw!$B:$B,$A27,DeadRaw!AH:AH)</f>
        <v>0</v>
      </c>
      <c r="AF27">
        <f>SUMIF(DeadRaw!$B:$B,$A27,DeadRaw!AI:AI)</f>
        <v>0</v>
      </c>
      <c r="AG27">
        <f>SUMIF(DeadRaw!$B:$B,$A27,DeadRaw!AJ:AJ)</f>
        <v>0</v>
      </c>
      <c r="AH27">
        <f>SUMIF(DeadRaw!$B:$B,$A27,DeadRaw!AK:AK)</f>
        <v>0</v>
      </c>
      <c r="AI27">
        <f>SUMIF(DeadRaw!$B:$B,$A27,DeadRaw!AL:AL)</f>
        <v>0</v>
      </c>
      <c r="AJ27">
        <f>SUMIF(DeadRaw!$B:$B,$A27,DeadRaw!AM:AM)</f>
        <v>0</v>
      </c>
      <c r="AK27">
        <f>SUMIF(DeadRaw!$B:$B,$A27,DeadRaw!AN:AN)</f>
        <v>0</v>
      </c>
      <c r="AL27">
        <f>SUMIF(DeadRaw!$B:$B,$A27,DeadRaw!AO:AO)</f>
        <v>0</v>
      </c>
      <c r="AM27">
        <f>SUMIF(DeadRaw!$B:$B,$A27,DeadRaw!AP:AP)</f>
        <v>0</v>
      </c>
      <c r="AN27">
        <f>SUMIF(DeadRaw!$B:$B,$A27,DeadRaw!AQ:AQ)</f>
        <v>0</v>
      </c>
      <c r="AO27">
        <f>SUMIF(DeadRaw!$B:$B,$A27,DeadRaw!AR:AR)</f>
        <v>0</v>
      </c>
      <c r="AP27">
        <f>SUMIF(DeadRaw!$B:$B,$A27,DeadRaw!AS:AS)</f>
        <v>0</v>
      </c>
      <c r="AQ27">
        <f>SUMIF(DeadRaw!$B:$B,$A27,DeadRaw!AT:AT)</f>
        <v>0</v>
      </c>
      <c r="AR27">
        <f>SUMIF(DeadRaw!$B:$B,$A27,DeadRaw!AU:AU)</f>
        <v>0</v>
      </c>
      <c r="AS27">
        <f>SUMIF(DeadRaw!$B:$B,$A27,DeadRaw!AV:AV)</f>
        <v>0</v>
      </c>
      <c r="AT27">
        <f>SUMIF(DeadRaw!$B:$B,$A27,DeadRaw!AW:AW)</f>
        <v>0</v>
      </c>
      <c r="AU27">
        <f>SUMIF(DeadRaw!$B:$B,$A27,DeadRaw!AX:AX)</f>
        <v>0</v>
      </c>
      <c r="AV27">
        <f>SUMIF(DeadRaw!$B:$B,$A27,DeadRaw!AY:AY)</f>
        <v>0</v>
      </c>
      <c r="AW27">
        <f>SUMIF(DeadRaw!$B:$B,$A27,DeadRaw!AZ:AZ)</f>
        <v>0</v>
      </c>
      <c r="AX27">
        <f>SUMIF(DeadRaw!$B:$B,$A27,DeadRaw!BA:BA)</f>
        <v>0</v>
      </c>
      <c r="AY27">
        <f>SUMIF(DeadRaw!$B:$B,$A27,DeadRaw!BB:BB)</f>
        <v>0</v>
      </c>
      <c r="AZ27">
        <f>SUMIF(DeadRaw!$B:$B,$A27,DeadRaw!BC:BC)</f>
        <v>0</v>
      </c>
      <c r="BA27">
        <f>SUMIF(DeadRaw!$B:$B,$A27,DeadRaw!BD:BD)</f>
        <v>0</v>
      </c>
      <c r="BB27">
        <f>SUMIF(DeadRaw!$B:$B,$A27,DeadRaw!BE:BE)</f>
        <v>0</v>
      </c>
      <c r="BC27">
        <f>SUMIF(DeadRaw!$B:$B,$A27,DeadRaw!BF:BF)</f>
        <v>0</v>
      </c>
      <c r="BD27">
        <f>SUMIF(DeadRaw!$B:$B,$A27,DeadRaw!BG:BG)</f>
        <v>0</v>
      </c>
      <c r="BE27">
        <f>SUMIF(DeadRaw!$B:$B,$A27,DeadRaw!BH:BH)</f>
        <v>0</v>
      </c>
      <c r="BF27">
        <f>SUMIF(DeadRaw!$B:$B,$A27,DeadRaw!BI:BI)</f>
        <v>0</v>
      </c>
      <c r="BG27">
        <f>SUMIF(DeadRaw!$B:$B,$A27,DeadRaw!BJ:BJ)</f>
        <v>0</v>
      </c>
      <c r="BH27">
        <f>SUMIF(DeadRaw!$B:$B,$A27,DeadRaw!BK:BK)</f>
        <v>0</v>
      </c>
      <c r="BI27">
        <f>SUMIF(DeadRaw!$B:$B,$A27,DeadRaw!BL:BL)</f>
        <v>0</v>
      </c>
      <c r="BJ27">
        <f>SUMIF(DeadRaw!$B:$B,$A27,DeadRaw!BM:BM)</f>
        <v>0</v>
      </c>
      <c r="BK27">
        <f>SUMIF(DeadRaw!$B:$B,$A27,DeadRaw!BN:BN)</f>
        <v>0</v>
      </c>
      <c r="BL27">
        <f>SUMIF(DeadRaw!$B:$B,$A27,DeadRaw!BO:BO)</f>
        <v>0</v>
      </c>
      <c r="BM27">
        <f>SUMIF(DeadRaw!$B:$B,$A27,DeadRaw!BP:BP)</f>
        <v>0</v>
      </c>
      <c r="BN27">
        <f>SUMIF(DeadRaw!$B:$B,$A27,DeadRaw!BQ:BQ)</f>
        <v>0</v>
      </c>
      <c r="BO27">
        <f>SUMIF(DeadRaw!$B:$B,$A27,DeadRaw!BR:BR)</f>
        <v>0</v>
      </c>
      <c r="BP27">
        <f>SUMIF(DeadRaw!$B:$B,$A27,DeadRaw!BS:BS)</f>
        <v>0</v>
      </c>
      <c r="BQ27">
        <f>SUMIF(DeadRaw!$B:$B,$A27,DeadRaw!BT:BT)</f>
        <v>0</v>
      </c>
      <c r="BR27">
        <f>SUMIF(DeadRaw!$B:$B,$A27,DeadRaw!BU:BU)</f>
        <v>0</v>
      </c>
      <c r="BS27">
        <f>SUMIF(DeadRaw!$B:$B,$A27,DeadRaw!BV:BV)</f>
        <v>0</v>
      </c>
      <c r="BT27">
        <f>SUMIF(DeadRaw!$B:$B,$A27,DeadRaw!BW:BW)</f>
        <v>0</v>
      </c>
    </row>
    <row r="28" spans="1:72" ht="15" thickBot="1" x14ac:dyDescent="0.35">
      <c r="A28" s="3" t="s">
        <v>54</v>
      </c>
      <c r="B28">
        <f>SUMIF(DeadRaw!$B:$B,$A28,DeadRaw!E:E)</f>
        <v>0</v>
      </c>
      <c r="C28">
        <f>SUMIF(DeadRaw!$B:$B,$A28,DeadRaw!F:F)</f>
        <v>0</v>
      </c>
      <c r="D28">
        <f>SUMIF(DeadRaw!$B:$B,$A28,DeadRaw!G:G)</f>
        <v>0</v>
      </c>
      <c r="E28">
        <f>SUMIF(DeadRaw!$B:$B,$A28,DeadRaw!H:H)</f>
        <v>0</v>
      </c>
      <c r="F28">
        <f>SUMIF(DeadRaw!$B:$B,$A28,DeadRaw!I:I)</f>
        <v>0</v>
      </c>
      <c r="G28">
        <f>SUMIF(DeadRaw!$B:$B,$A28,DeadRaw!J:J)</f>
        <v>0</v>
      </c>
      <c r="H28">
        <f>SUMIF(DeadRaw!$B:$B,$A28,DeadRaw!K:K)</f>
        <v>0</v>
      </c>
      <c r="I28">
        <f>SUMIF(DeadRaw!$B:$B,$A28,DeadRaw!L:L)</f>
        <v>0</v>
      </c>
      <c r="J28">
        <f>SUMIF(DeadRaw!$B:$B,$A28,DeadRaw!M:M)</f>
        <v>0</v>
      </c>
      <c r="K28">
        <f>SUMIF(DeadRaw!$B:$B,$A28,DeadRaw!N:N)</f>
        <v>0</v>
      </c>
      <c r="L28">
        <f>SUMIF(DeadRaw!$B:$B,$A28,DeadRaw!O:O)</f>
        <v>0</v>
      </c>
      <c r="M28">
        <f>SUMIF(DeadRaw!$B:$B,$A28,DeadRaw!P:P)</f>
        <v>0</v>
      </c>
      <c r="N28">
        <f>SUMIF(DeadRaw!$B:$B,$A28,DeadRaw!Q:Q)</f>
        <v>0</v>
      </c>
      <c r="O28">
        <f>SUMIF(DeadRaw!$B:$B,$A28,DeadRaw!R:R)</f>
        <v>0</v>
      </c>
      <c r="P28">
        <f>SUMIF(DeadRaw!$B:$B,$A28,DeadRaw!S:S)</f>
        <v>0</v>
      </c>
      <c r="Q28">
        <f>SUMIF(DeadRaw!$B:$B,$A28,DeadRaw!T:T)</f>
        <v>0</v>
      </c>
      <c r="R28">
        <f>SUMIF(DeadRaw!$B:$B,$A28,DeadRaw!U:U)</f>
        <v>0</v>
      </c>
      <c r="S28">
        <f>SUMIF(DeadRaw!$B:$B,$A28,DeadRaw!V:V)</f>
        <v>0</v>
      </c>
      <c r="T28">
        <f>SUMIF(DeadRaw!$B:$B,$A28,DeadRaw!W:W)</f>
        <v>0</v>
      </c>
      <c r="U28">
        <f>SUMIF(DeadRaw!$B:$B,$A28,DeadRaw!X:X)</f>
        <v>0</v>
      </c>
      <c r="V28">
        <f>SUMIF(DeadRaw!$B:$B,$A28,DeadRaw!Y:Y)</f>
        <v>0</v>
      </c>
      <c r="W28">
        <f>SUMIF(DeadRaw!$B:$B,$A28,DeadRaw!Z:Z)</f>
        <v>0</v>
      </c>
      <c r="X28">
        <f>SUMIF(DeadRaw!$B:$B,$A28,DeadRaw!AA:AA)</f>
        <v>0</v>
      </c>
      <c r="Y28">
        <f>SUMIF(DeadRaw!$B:$B,$A28,DeadRaw!AB:AB)</f>
        <v>0</v>
      </c>
      <c r="Z28">
        <f>SUMIF(DeadRaw!$B:$B,$A28,DeadRaw!AC:AC)</f>
        <v>0</v>
      </c>
      <c r="AA28">
        <f>SUMIF(DeadRaw!$B:$B,$A28,DeadRaw!AD:AD)</f>
        <v>0</v>
      </c>
      <c r="AB28">
        <f>SUMIF(DeadRaw!$B:$B,$A28,DeadRaw!AE:AE)</f>
        <v>0</v>
      </c>
      <c r="AC28">
        <f>SUMIF(DeadRaw!$B:$B,$A28,DeadRaw!AF:AF)</f>
        <v>0</v>
      </c>
      <c r="AD28">
        <f>SUMIF(DeadRaw!$B:$B,$A28,DeadRaw!AG:AG)</f>
        <v>0</v>
      </c>
      <c r="AE28">
        <f>SUMIF(DeadRaw!$B:$B,$A28,DeadRaw!AH:AH)</f>
        <v>0</v>
      </c>
      <c r="AF28">
        <f>SUMIF(DeadRaw!$B:$B,$A28,DeadRaw!AI:AI)</f>
        <v>0</v>
      </c>
      <c r="AG28">
        <f>SUMIF(DeadRaw!$B:$B,$A28,DeadRaw!AJ:AJ)</f>
        <v>0</v>
      </c>
      <c r="AH28">
        <f>SUMIF(DeadRaw!$B:$B,$A28,DeadRaw!AK:AK)</f>
        <v>0</v>
      </c>
      <c r="AI28">
        <f>SUMIF(DeadRaw!$B:$B,$A28,DeadRaw!AL:AL)</f>
        <v>0</v>
      </c>
      <c r="AJ28">
        <f>SUMIF(DeadRaw!$B:$B,$A28,DeadRaw!AM:AM)</f>
        <v>0</v>
      </c>
      <c r="AK28">
        <f>SUMIF(DeadRaw!$B:$B,$A28,DeadRaw!AN:AN)</f>
        <v>0</v>
      </c>
      <c r="AL28">
        <f>SUMIF(DeadRaw!$B:$B,$A28,DeadRaw!AO:AO)</f>
        <v>0</v>
      </c>
      <c r="AM28">
        <f>SUMIF(DeadRaw!$B:$B,$A28,DeadRaw!AP:AP)</f>
        <v>0</v>
      </c>
      <c r="AN28">
        <f>SUMIF(DeadRaw!$B:$B,$A28,DeadRaw!AQ:AQ)</f>
        <v>0</v>
      </c>
      <c r="AO28">
        <f>SUMIF(DeadRaw!$B:$B,$A28,DeadRaw!AR:AR)</f>
        <v>0</v>
      </c>
      <c r="AP28">
        <f>SUMIF(DeadRaw!$B:$B,$A28,DeadRaw!AS:AS)</f>
        <v>0</v>
      </c>
      <c r="AQ28">
        <f>SUMIF(DeadRaw!$B:$B,$A28,DeadRaw!AT:AT)</f>
        <v>0</v>
      </c>
      <c r="AR28">
        <f>SUMIF(DeadRaw!$B:$B,$A28,DeadRaw!AU:AU)</f>
        <v>0</v>
      </c>
      <c r="AS28">
        <f>SUMIF(DeadRaw!$B:$B,$A28,DeadRaw!AV:AV)</f>
        <v>0</v>
      </c>
      <c r="AT28">
        <f>SUMIF(DeadRaw!$B:$B,$A28,DeadRaw!AW:AW)</f>
        <v>0</v>
      </c>
      <c r="AU28">
        <f>SUMIF(DeadRaw!$B:$B,$A28,DeadRaw!AX:AX)</f>
        <v>0</v>
      </c>
      <c r="AV28">
        <f>SUMIF(DeadRaw!$B:$B,$A28,DeadRaw!AY:AY)</f>
        <v>0</v>
      </c>
      <c r="AW28">
        <f>SUMIF(DeadRaw!$B:$B,$A28,DeadRaw!AZ:AZ)</f>
        <v>0</v>
      </c>
      <c r="AX28">
        <f>SUMIF(DeadRaw!$B:$B,$A28,DeadRaw!BA:BA)</f>
        <v>0</v>
      </c>
      <c r="AY28">
        <f>SUMIF(DeadRaw!$B:$B,$A28,DeadRaw!BB:BB)</f>
        <v>0</v>
      </c>
      <c r="AZ28">
        <f>SUMIF(DeadRaw!$B:$B,$A28,DeadRaw!BC:BC)</f>
        <v>0</v>
      </c>
      <c r="BA28">
        <f>SUMIF(DeadRaw!$B:$B,$A28,DeadRaw!BD:BD)</f>
        <v>0</v>
      </c>
      <c r="BB28">
        <f>SUMIF(DeadRaw!$B:$B,$A28,DeadRaw!BE:BE)</f>
        <v>0</v>
      </c>
      <c r="BC28">
        <f>SUMIF(DeadRaw!$B:$B,$A28,DeadRaw!BF:BF)</f>
        <v>0</v>
      </c>
      <c r="BD28">
        <f>SUMIF(DeadRaw!$B:$B,$A28,DeadRaw!BG:BG)</f>
        <v>0</v>
      </c>
      <c r="BE28">
        <f>SUMIF(DeadRaw!$B:$B,$A28,DeadRaw!BH:BH)</f>
        <v>0</v>
      </c>
      <c r="BF28">
        <f>SUMIF(DeadRaw!$B:$B,$A28,DeadRaw!BI:BI)</f>
        <v>0</v>
      </c>
      <c r="BG28">
        <f>SUMIF(DeadRaw!$B:$B,$A28,DeadRaw!BJ:BJ)</f>
        <v>0</v>
      </c>
      <c r="BH28">
        <f>SUMIF(DeadRaw!$B:$B,$A28,DeadRaw!BK:BK)</f>
        <v>0</v>
      </c>
      <c r="BI28">
        <f>SUMIF(DeadRaw!$B:$B,$A28,DeadRaw!BL:BL)</f>
        <v>0</v>
      </c>
      <c r="BJ28">
        <f>SUMIF(DeadRaw!$B:$B,$A28,DeadRaw!BM:BM)</f>
        <v>0</v>
      </c>
      <c r="BK28">
        <f>SUMIF(DeadRaw!$B:$B,$A28,DeadRaw!BN:BN)</f>
        <v>0</v>
      </c>
      <c r="BL28">
        <f>SUMIF(DeadRaw!$B:$B,$A28,DeadRaw!BO:BO)</f>
        <v>0</v>
      </c>
      <c r="BM28">
        <f>SUMIF(DeadRaw!$B:$B,$A28,DeadRaw!BP:BP)</f>
        <v>0</v>
      </c>
      <c r="BN28">
        <f>SUMIF(DeadRaw!$B:$B,$A28,DeadRaw!BQ:BQ)</f>
        <v>0</v>
      </c>
      <c r="BO28">
        <f>SUMIF(DeadRaw!$B:$B,$A28,DeadRaw!BR:BR)</f>
        <v>0</v>
      </c>
      <c r="BP28">
        <f>SUMIF(DeadRaw!$B:$B,$A28,DeadRaw!BS:BS)</f>
        <v>0</v>
      </c>
      <c r="BQ28">
        <f>SUMIF(DeadRaw!$B:$B,$A28,DeadRaw!BT:BT)</f>
        <v>0</v>
      </c>
      <c r="BR28">
        <f>SUMIF(DeadRaw!$B:$B,$A28,DeadRaw!BU:BU)</f>
        <v>0</v>
      </c>
      <c r="BS28">
        <f>SUMIF(DeadRaw!$B:$B,$A28,DeadRaw!BV:BV)</f>
        <v>0</v>
      </c>
      <c r="BT28">
        <f>SUMIF(DeadRaw!$B:$B,$A28,DeadRaw!BW:BW)</f>
        <v>0</v>
      </c>
    </row>
    <row r="29" spans="1:72" ht="15" thickBot="1" x14ac:dyDescent="0.35">
      <c r="A29" s="4" t="s">
        <v>81</v>
      </c>
      <c r="B29">
        <f>SUMIF(DeadRaw!$B:$B,$A29,DeadRaw!E:E)</f>
        <v>0</v>
      </c>
      <c r="C29">
        <f>SUMIF(DeadRaw!$B:$B,$A29,DeadRaw!F:F)</f>
        <v>0</v>
      </c>
      <c r="D29">
        <f>SUMIF(DeadRaw!$B:$B,$A29,DeadRaw!G:G)</f>
        <v>0</v>
      </c>
      <c r="E29">
        <f>SUMIF(DeadRaw!$B:$B,$A29,DeadRaw!H:H)</f>
        <v>0</v>
      </c>
      <c r="F29">
        <f>SUMIF(DeadRaw!$B:$B,$A29,DeadRaw!I:I)</f>
        <v>0</v>
      </c>
      <c r="G29">
        <f>SUMIF(DeadRaw!$B:$B,$A29,DeadRaw!J:J)</f>
        <v>0</v>
      </c>
      <c r="H29">
        <f>SUMIF(DeadRaw!$B:$B,$A29,DeadRaw!K:K)</f>
        <v>0</v>
      </c>
      <c r="I29">
        <f>SUMIF(DeadRaw!$B:$B,$A29,DeadRaw!L:L)</f>
        <v>0</v>
      </c>
      <c r="J29">
        <f>SUMIF(DeadRaw!$B:$B,$A29,DeadRaw!M:M)</f>
        <v>0</v>
      </c>
      <c r="K29">
        <f>SUMIF(DeadRaw!$B:$B,$A29,DeadRaw!N:N)</f>
        <v>0</v>
      </c>
      <c r="L29">
        <f>SUMIF(DeadRaw!$B:$B,$A29,DeadRaw!O:O)</f>
        <v>0</v>
      </c>
      <c r="M29">
        <f>SUMIF(DeadRaw!$B:$B,$A29,DeadRaw!P:P)</f>
        <v>0</v>
      </c>
      <c r="N29">
        <f>SUMIF(DeadRaw!$B:$B,$A29,DeadRaw!Q:Q)</f>
        <v>0</v>
      </c>
      <c r="O29">
        <f>SUMIF(DeadRaw!$B:$B,$A29,DeadRaw!R:R)</f>
        <v>0</v>
      </c>
      <c r="P29">
        <f>SUMIF(DeadRaw!$B:$B,$A29,DeadRaw!S:S)</f>
        <v>0</v>
      </c>
      <c r="Q29">
        <f>SUMIF(DeadRaw!$B:$B,$A29,DeadRaw!T:T)</f>
        <v>0</v>
      </c>
      <c r="R29">
        <f>SUMIF(DeadRaw!$B:$B,$A29,DeadRaw!U:U)</f>
        <v>0</v>
      </c>
      <c r="S29">
        <f>SUMIF(DeadRaw!$B:$B,$A29,DeadRaw!V:V)</f>
        <v>0</v>
      </c>
      <c r="T29">
        <f>SUMIF(DeadRaw!$B:$B,$A29,DeadRaw!W:W)</f>
        <v>0</v>
      </c>
      <c r="U29">
        <f>SUMIF(DeadRaw!$B:$B,$A29,DeadRaw!X:X)</f>
        <v>0</v>
      </c>
      <c r="V29">
        <f>SUMIF(DeadRaw!$B:$B,$A29,DeadRaw!Y:Y)</f>
        <v>0</v>
      </c>
      <c r="W29">
        <f>SUMIF(DeadRaw!$B:$B,$A29,DeadRaw!Z:Z)</f>
        <v>0</v>
      </c>
      <c r="X29">
        <f>SUMIF(DeadRaw!$B:$B,$A29,DeadRaw!AA:AA)</f>
        <v>0</v>
      </c>
      <c r="Y29">
        <f>SUMIF(DeadRaw!$B:$B,$A29,DeadRaw!AB:AB)</f>
        <v>0</v>
      </c>
      <c r="Z29">
        <f>SUMIF(DeadRaw!$B:$B,$A29,DeadRaw!AC:AC)</f>
        <v>0</v>
      </c>
      <c r="AA29">
        <f>SUMIF(DeadRaw!$B:$B,$A29,DeadRaw!AD:AD)</f>
        <v>0</v>
      </c>
      <c r="AB29">
        <f>SUMIF(DeadRaw!$B:$B,$A29,DeadRaw!AE:AE)</f>
        <v>0</v>
      </c>
      <c r="AC29">
        <f>SUMIF(DeadRaw!$B:$B,$A29,DeadRaw!AF:AF)</f>
        <v>0</v>
      </c>
      <c r="AD29">
        <f>SUMIF(DeadRaw!$B:$B,$A29,DeadRaw!AG:AG)</f>
        <v>0</v>
      </c>
      <c r="AE29">
        <f>SUMIF(DeadRaw!$B:$B,$A29,DeadRaw!AH:AH)</f>
        <v>0</v>
      </c>
      <c r="AF29">
        <f>SUMIF(DeadRaw!$B:$B,$A29,DeadRaw!AI:AI)</f>
        <v>0</v>
      </c>
      <c r="AG29">
        <f>SUMIF(DeadRaw!$B:$B,$A29,DeadRaw!AJ:AJ)</f>
        <v>0</v>
      </c>
      <c r="AH29">
        <f>SUMIF(DeadRaw!$B:$B,$A29,DeadRaw!AK:AK)</f>
        <v>0</v>
      </c>
      <c r="AI29">
        <f>SUMIF(DeadRaw!$B:$B,$A29,DeadRaw!AL:AL)</f>
        <v>0</v>
      </c>
      <c r="AJ29">
        <f>SUMIF(DeadRaw!$B:$B,$A29,DeadRaw!AM:AM)</f>
        <v>0</v>
      </c>
      <c r="AK29">
        <f>SUMIF(DeadRaw!$B:$B,$A29,DeadRaw!AN:AN)</f>
        <v>0</v>
      </c>
      <c r="AL29">
        <f>SUMIF(DeadRaw!$B:$B,$A29,DeadRaw!AO:AO)</f>
        <v>0</v>
      </c>
      <c r="AM29">
        <f>SUMIF(DeadRaw!$B:$B,$A29,DeadRaw!AP:AP)</f>
        <v>0</v>
      </c>
      <c r="AN29">
        <f>SUMIF(DeadRaw!$B:$B,$A29,DeadRaw!AQ:AQ)</f>
        <v>0</v>
      </c>
      <c r="AO29">
        <f>SUMIF(DeadRaw!$B:$B,$A29,DeadRaw!AR:AR)</f>
        <v>0</v>
      </c>
      <c r="AP29">
        <f>SUMIF(DeadRaw!$B:$B,$A29,DeadRaw!AS:AS)</f>
        <v>0</v>
      </c>
      <c r="AQ29">
        <f>SUMIF(DeadRaw!$B:$B,$A29,DeadRaw!AT:AT)</f>
        <v>0</v>
      </c>
      <c r="AR29">
        <f>SUMIF(DeadRaw!$B:$B,$A29,DeadRaw!AU:AU)</f>
        <v>0</v>
      </c>
      <c r="AS29">
        <f>SUMIF(DeadRaw!$B:$B,$A29,DeadRaw!AV:AV)</f>
        <v>0</v>
      </c>
      <c r="AT29">
        <f>SUMIF(DeadRaw!$B:$B,$A29,DeadRaw!AW:AW)</f>
        <v>0</v>
      </c>
      <c r="AU29">
        <f>SUMIF(DeadRaw!$B:$B,$A29,DeadRaw!AX:AX)</f>
        <v>0</v>
      </c>
      <c r="AV29">
        <f>SUMIF(DeadRaw!$B:$B,$A29,DeadRaw!AY:AY)</f>
        <v>0</v>
      </c>
      <c r="AW29">
        <f>SUMIF(DeadRaw!$B:$B,$A29,DeadRaw!AZ:AZ)</f>
        <v>0</v>
      </c>
      <c r="AX29">
        <f>SUMIF(DeadRaw!$B:$B,$A29,DeadRaw!BA:BA)</f>
        <v>0</v>
      </c>
      <c r="AY29">
        <f>SUMIF(DeadRaw!$B:$B,$A29,DeadRaw!BB:BB)</f>
        <v>0</v>
      </c>
      <c r="AZ29">
        <f>SUMIF(DeadRaw!$B:$B,$A29,DeadRaw!BC:BC)</f>
        <v>0</v>
      </c>
      <c r="BA29">
        <f>SUMIF(DeadRaw!$B:$B,$A29,DeadRaw!BD:BD)</f>
        <v>0</v>
      </c>
      <c r="BB29">
        <f>SUMIF(DeadRaw!$B:$B,$A29,DeadRaw!BE:BE)</f>
        <v>0</v>
      </c>
      <c r="BC29">
        <f>SUMIF(DeadRaw!$B:$B,$A29,DeadRaw!BF:BF)</f>
        <v>0</v>
      </c>
      <c r="BD29">
        <f>SUMIF(DeadRaw!$B:$B,$A29,DeadRaw!BG:BG)</f>
        <v>0</v>
      </c>
      <c r="BE29">
        <f>SUMIF(DeadRaw!$B:$B,$A29,DeadRaw!BH:BH)</f>
        <v>1</v>
      </c>
      <c r="BF29">
        <f>SUMIF(DeadRaw!$B:$B,$A29,DeadRaw!BI:BI)</f>
        <v>3</v>
      </c>
      <c r="BG29">
        <f>SUMIF(DeadRaw!$B:$B,$A29,DeadRaw!BJ:BJ)</f>
        <v>0</v>
      </c>
      <c r="BH29">
        <f>SUMIF(DeadRaw!$B:$B,$A29,DeadRaw!BK:BK)</f>
        <v>0</v>
      </c>
      <c r="BI29">
        <f>SUMIF(DeadRaw!$B:$B,$A29,DeadRaw!BL:BL)</f>
        <v>0</v>
      </c>
      <c r="BJ29">
        <f>SUMIF(DeadRaw!$B:$B,$A29,DeadRaw!BM:BM)</f>
        <v>0</v>
      </c>
      <c r="BK29">
        <f>SUMIF(DeadRaw!$B:$B,$A29,DeadRaw!BN:BN)</f>
        <v>0</v>
      </c>
      <c r="BL29">
        <f>SUMIF(DeadRaw!$B:$B,$A29,DeadRaw!BO:BO)</f>
        <v>0</v>
      </c>
      <c r="BM29">
        <f>SUMIF(DeadRaw!$B:$B,$A29,DeadRaw!BP:BP)</f>
        <v>0</v>
      </c>
      <c r="BN29">
        <f>SUMIF(DeadRaw!$B:$B,$A29,DeadRaw!BQ:BQ)</f>
        <v>0</v>
      </c>
      <c r="BO29">
        <f>SUMIF(DeadRaw!$B:$B,$A29,DeadRaw!BR:BR)</f>
        <v>0</v>
      </c>
      <c r="BP29">
        <f>SUMIF(DeadRaw!$B:$B,$A29,DeadRaw!BS:BS)</f>
        <v>0</v>
      </c>
      <c r="BQ29">
        <f>SUMIF(DeadRaw!$B:$B,$A29,DeadRaw!BT:BT)</f>
        <v>0</v>
      </c>
      <c r="BR29">
        <f>SUMIF(DeadRaw!$B:$B,$A29,DeadRaw!BU:BU)</f>
        <v>0</v>
      </c>
      <c r="BS29">
        <f>SUMIF(DeadRaw!$B:$B,$A29,DeadRaw!BV:BV)</f>
        <v>0</v>
      </c>
      <c r="BT29">
        <f>SUMIF(DeadRaw!$B:$B,$A29,DeadRaw!BW:BW)</f>
        <v>0</v>
      </c>
    </row>
    <row r="30" spans="1:72" ht="15" thickBot="1" x14ac:dyDescent="0.35">
      <c r="A30" s="3" t="s">
        <v>341</v>
      </c>
      <c r="B30">
        <f>SUMIF(DeadRaw!$B:$B,$A30,DeadRaw!E:E)</f>
        <v>0</v>
      </c>
      <c r="C30">
        <f>SUMIF(DeadRaw!$B:$B,$A30,DeadRaw!F:F)</f>
        <v>0</v>
      </c>
      <c r="D30">
        <f>SUMIF(DeadRaw!$B:$B,$A30,DeadRaw!G:G)</f>
        <v>0</v>
      </c>
      <c r="E30">
        <f>SUMIF(DeadRaw!$B:$B,$A30,DeadRaw!H:H)</f>
        <v>0</v>
      </c>
      <c r="F30">
        <f>SUMIF(DeadRaw!$B:$B,$A30,DeadRaw!I:I)</f>
        <v>0</v>
      </c>
      <c r="G30">
        <f>SUMIF(DeadRaw!$B:$B,$A30,DeadRaw!J:J)</f>
        <v>0</v>
      </c>
      <c r="H30">
        <f>SUMIF(DeadRaw!$B:$B,$A30,DeadRaw!K:K)</f>
        <v>0</v>
      </c>
      <c r="I30">
        <f>SUMIF(DeadRaw!$B:$B,$A30,DeadRaw!L:L)</f>
        <v>0</v>
      </c>
      <c r="J30">
        <f>SUMIF(DeadRaw!$B:$B,$A30,DeadRaw!M:M)</f>
        <v>0</v>
      </c>
      <c r="K30">
        <f>SUMIF(DeadRaw!$B:$B,$A30,DeadRaw!N:N)</f>
        <v>0</v>
      </c>
      <c r="L30">
        <f>SUMIF(DeadRaw!$B:$B,$A30,DeadRaw!O:O)</f>
        <v>0</v>
      </c>
      <c r="M30">
        <f>SUMIF(DeadRaw!$B:$B,$A30,DeadRaw!P:P)</f>
        <v>0</v>
      </c>
      <c r="N30">
        <f>SUMIF(DeadRaw!$B:$B,$A30,DeadRaw!Q:Q)</f>
        <v>0</v>
      </c>
      <c r="O30">
        <f>SUMIF(DeadRaw!$B:$B,$A30,DeadRaw!R:R)</f>
        <v>0</v>
      </c>
      <c r="P30">
        <f>SUMIF(DeadRaw!$B:$B,$A30,DeadRaw!S:S)</f>
        <v>0</v>
      </c>
      <c r="Q30">
        <f>SUMIF(DeadRaw!$B:$B,$A30,DeadRaw!T:T)</f>
        <v>0</v>
      </c>
      <c r="R30">
        <f>SUMIF(DeadRaw!$B:$B,$A30,DeadRaw!U:U)</f>
        <v>0</v>
      </c>
      <c r="S30">
        <f>SUMIF(DeadRaw!$B:$B,$A30,DeadRaw!V:V)</f>
        <v>0</v>
      </c>
      <c r="T30">
        <f>SUMIF(DeadRaw!$B:$B,$A30,DeadRaw!W:W)</f>
        <v>0</v>
      </c>
      <c r="U30">
        <f>SUMIF(DeadRaw!$B:$B,$A30,DeadRaw!X:X)</f>
        <v>0</v>
      </c>
      <c r="V30">
        <f>SUMIF(DeadRaw!$B:$B,$A30,DeadRaw!Y:Y)</f>
        <v>0</v>
      </c>
      <c r="W30">
        <f>SUMIF(DeadRaw!$B:$B,$A30,DeadRaw!Z:Z)</f>
        <v>0</v>
      </c>
      <c r="X30">
        <f>SUMIF(DeadRaw!$B:$B,$A30,DeadRaw!AA:AA)</f>
        <v>0</v>
      </c>
      <c r="Y30">
        <f>SUMIF(DeadRaw!$B:$B,$A30,DeadRaw!AB:AB)</f>
        <v>0</v>
      </c>
      <c r="Z30">
        <f>SUMIF(DeadRaw!$B:$B,$A30,DeadRaw!AC:AC)</f>
        <v>0</v>
      </c>
      <c r="AA30">
        <f>SUMIF(DeadRaw!$B:$B,$A30,DeadRaw!AD:AD)</f>
        <v>0</v>
      </c>
      <c r="AB30">
        <f>SUMIF(DeadRaw!$B:$B,$A30,DeadRaw!AE:AE)</f>
        <v>0</v>
      </c>
      <c r="AC30">
        <f>SUMIF(DeadRaw!$B:$B,$A30,DeadRaw!AF:AF)</f>
        <v>0</v>
      </c>
      <c r="AD30">
        <f>SUMIF(DeadRaw!$B:$B,$A30,DeadRaw!AG:AG)</f>
        <v>0</v>
      </c>
      <c r="AE30">
        <f>SUMIF(DeadRaw!$B:$B,$A30,DeadRaw!AH:AH)</f>
        <v>0</v>
      </c>
      <c r="AF30">
        <f>SUMIF(DeadRaw!$B:$B,$A30,DeadRaw!AI:AI)</f>
        <v>0</v>
      </c>
      <c r="AG30">
        <f>SUMIF(DeadRaw!$B:$B,$A30,DeadRaw!AJ:AJ)</f>
        <v>0</v>
      </c>
      <c r="AH30">
        <f>SUMIF(DeadRaw!$B:$B,$A30,DeadRaw!AK:AK)</f>
        <v>0</v>
      </c>
      <c r="AI30">
        <f>SUMIF(DeadRaw!$B:$B,$A30,DeadRaw!AL:AL)</f>
        <v>0</v>
      </c>
      <c r="AJ30">
        <f>SUMIF(DeadRaw!$B:$B,$A30,DeadRaw!AM:AM)</f>
        <v>0</v>
      </c>
      <c r="AK30">
        <f>SUMIF(DeadRaw!$B:$B,$A30,DeadRaw!AN:AN)</f>
        <v>0</v>
      </c>
      <c r="AL30">
        <f>SUMIF(DeadRaw!$B:$B,$A30,DeadRaw!AO:AO)</f>
        <v>0</v>
      </c>
      <c r="AM30">
        <f>SUMIF(DeadRaw!$B:$B,$A30,DeadRaw!AP:AP)</f>
        <v>0</v>
      </c>
      <c r="AN30">
        <f>SUMIF(DeadRaw!$B:$B,$A30,DeadRaw!AQ:AQ)</f>
        <v>0</v>
      </c>
      <c r="AO30">
        <f>SUMIF(DeadRaw!$B:$B,$A30,DeadRaw!AR:AR)</f>
        <v>0</v>
      </c>
      <c r="AP30">
        <f>SUMIF(DeadRaw!$B:$B,$A30,DeadRaw!AS:AS)</f>
        <v>0</v>
      </c>
      <c r="AQ30">
        <f>SUMIF(DeadRaw!$B:$B,$A30,DeadRaw!AT:AT)</f>
        <v>0</v>
      </c>
      <c r="AR30">
        <f>SUMIF(DeadRaw!$B:$B,$A30,DeadRaw!AU:AU)</f>
        <v>0</v>
      </c>
      <c r="AS30">
        <f>SUMIF(DeadRaw!$B:$B,$A30,DeadRaw!AV:AV)</f>
        <v>0</v>
      </c>
      <c r="AT30">
        <f>SUMIF(DeadRaw!$B:$B,$A30,DeadRaw!AW:AW)</f>
        <v>0</v>
      </c>
      <c r="AU30">
        <f>SUMIF(DeadRaw!$B:$B,$A30,DeadRaw!AX:AX)</f>
        <v>0</v>
      </c>
      <c r="AV30">
        <f>SUMIF(DeadRaw!$B:$B,$A30,DeadRaw!AY:AY)</f>
        <v>0</v>
      </c>
      <c r="AW30">
        <f>SUMIF(DeadRaw!$B:$B,$A30,DeadRaw!AZ:AZ)</f>
        <v>0</v>
      </c>
      <c r="AX30">
        <f>SUMIF(DeadRaw!$B:$B,$A30,DeadRaw!BA:BA)</f>
        <v>0</v>
      </c>
      <c r="AY30">
        <f>SUMIF(DeadRaw!$B:$B,$A30,DeadRaw!BB:BB)</f>
        <v>0</v>
      </c>
      <c r="AZ30">
        <f>SUMIF(DeadRaw!$B:$B,$A30,DeadRaw!BC:BC)</f>
        <v>0</v>
      </c>
      <c r="BA30">
        <f>SUMIF(DeadRaw!$B:$B,$A30,DeadRaw!BD:BD)</f>
        <v>0</v>
      </c>
      <c r="BB30">
        <f>SUMIF(DeadRaw!$B:$B,$A30,DeadRaw!BE:BE)</f>
        <v>0</v>
      </c>
      <c r="BC30">
        <f>SUMIF(DeadRaw!$B:$B,$A30,DeadRaw!BF:BF)</f>
        <v>0</v>
      </c>
      <c r="BD30">
        <f>SUMIF(DeadRaw!$B:$B,$A30,DeadRaw!BG:BG)</f>
        <v>0</v>
      </c>
      <c r="BE30">
        <f>SUMIF(DeadRaw!$B:$B,$A30,DeadRaw!BH:BH)</f>
        <v>0</v>
      </c>
      <c r="BF30">
        <f>SUMIF(DeadRaw!$B:$B,$A30,DeadRaw!BI:BI)</f>
        <v>0</v>
      </c>
      <c r="BG30">
        <f>SUMIF(DeadRaw!$B:$B,$A30,DeadRaw!BJ:BJ)</f>
        <v>0</v>
      </c>
      <c r="BH30">
        <f>SUMIF(DeadRaw!$B:$B,$A30,DeadRaw!BK:BK)</f>
        <v>0</v>
      </c>
      <c r="BI30">
        <f>SUMIF(DeadRaw!$B:$B,$A30,DeadRaw!BL:BL)</f>
        <v>0</v>
      </c>
      <c r="BJ30">
        <f>SUMIF(DeadRaw!$B:$B,$A30,DeadRaw!BM:BM)</f>
        <v>0</v>
      </c>
      <c r="BK30">
        <f>SUMIF(DeadRaw!$B:$B,$A30,DeadRaw!BN:BN)</f>
        <v>0</v>
      </c>
      <c r="BL30">
        <f>SUMIF(DeadRaw!$B:$B,$A30,DeadRaw!BO:BO)</f>
        <v>0</v>
      </c>
      <c r="BM30">
        <f>SUMIF(DeadRaw!$B:$B,$A30,DeadRaw!BP:BP)</f>
        <v>0</v>
      </c>
      <c r="BN30">
        <f>SUMIF(DeadRaw!$B:$B,$A30,DeadRaw!BQ:BQ)</f>
        <v>0</v>
      </c>
      <c r="BO30">
        <f>SUMIF(DeadRaw!$B:$B,$A30,DeadRaw!BR:BR)</f>
        <v>0</v>
      </c>
      <c r="BP30">
        <f>SUMIF(DeadRaw!$B:$B,$A30,DeadRaw!BS:BS)</f>
        <v>0</v>
      </c>
      <c r="BQ30">
        <f>SUMIF(DeadRaw!$B:$B,$A30,DeadRaw!BT:BT)</f>
        <v>0</v>
      </c>
      <c r="BR30">
        <f>SUMIF(DeadRaw!$B:$B,$A30,DeadRaw!BU:BU)</f>
        <v>0</v>
      </c>
      <c r="BS30">
        <f>SUMIF(DeadRaw!$B:$B,$A30,DeadRaw!BV:BV)</f>
        <v>0</v>
      </c>
      <c r="BT30">
        <f>SUMIF(DeadRaw!$B:$B,$A30,DeadRaw!BW:BW)</f>
        <v>0</v>
      </c>
    </row>
    <row r="31" spans="1:72" ht="15" thickBot="1" x14ac:dyDescent="0.35">
      <c r="A31" s="4" t="s">
        <v>141</v>
      </c>
      <c r="B31">
        <f>SUMIF(DeadRaw!$B:$B,$A31,DeadRaw!E:E)</f>
        <v>0</v>
      </c>
      <c r="C31">
        <f>SUMIF(DeadRaw!$B:$B,$A31,DeadRaw!F:F)</f>
        <v>0</v>
      </c>
      <c r="D31">
        <f>SUMIF(DeadRaw!$B:$B,$A31,DeadRaw!G:G)</f>
        <v>0</v>
      </c>
      <c r="E31">
        <f>SUMIF(DeadRaw!$B:$B,$A31,DeadRaw!H:H)</f>
        <v>0</v>
      </c>
      <c r="F31">
        <f>SUMIF(DeadRaw!$B:$B,$A31,DeadRaw!I:I)</f>
        <v>0</v>
      </c>
      <c r="G31">
        <f>SUMIF(DeadRaw!$B:$B,$A31,DeadRaw!J:J)</f>
        <v>0</v>
      </c>
      <c r="H31">
        <f>SUMIF(DeadRaw!$B:$B,$A31,DeadRaw!K:K)</f>
        <v>0</v>
      </c>
      <c r="I31">
        <f>SUMIF(DeadRaw!$B:$B,$A31,DeadRaw!L:L)</f>
        <v>0</v>
      </c>
      <c r="J31">
        <f>SUMIF(DeadRaw!$B:$B,$A31,DeadRaw!M:M)</f>
        <v>0</v>
      </c>
      <c r="K31">
        <f>SUMIF(DeadRaw!$B:$B,$A31,DeadRaw!N:N)</f>
        <v>0</v>
      </c>
      <c r="L31">
        <f>SUMIF(DeadRaw!$B:$B,$A31,DeadRaw!O:O)</f>
        <v>0</v>
      </c>
      <c r="M31">
        <f>SUMIF(DeadRaw!$B:$B,$A31,DeadRaw!P:P)</f>
        <v>0</v>
      </c>
      <c r="N31">
        <f>SUMIF(DeadRaw!$B:$B,$A31,DeadRaw!Q:Q)</f>
        <v>0</v>
      </c>
      <c r="O31">
        <f>SUMIF(DeadRaw!$B:$B,$A31,DeadRaw!R:R)</f>
        <v>0</v>
      </c>
      <c r="P31">
        <f>SUMIF(DeadRaw!$B:$B,$A31,DeadRaw!S:S)</f>
        <v>0</v>
      </c>
      <c r="Q31">
        <f>SUMIF(DeadRaw!$B:$B,$A31,DeadRaw!T:T)</f>
        <v>0</v>
      </c>
      <c r="R31">
        <f>SUMIF(DeadRaw!$B:$B,$A31,DeadRaw!U:U)</f>
        <v>0</v>
      </c>
      <c r="S31">
        <f>SUMIF(DeadRaw!$B:$B,$A31,DeadRaw!V:V)</f>
        <v>0</v>
      </c>
      <c r="T31">
        <f>SUMIF(DeadRaw!$B:$B,$A31,DeadRaw!W:W)</f>
        <v>0</v>
      </c>
      <c r="U31">
        <f>SUMIF(DeadRaw!$B:$B,$A31,DeadRaw!X:X)</f>
        <v>0</v>
      </c>
      <c r="V31">
        <f>SUMIF(DeadRaw!$B:$B,$A31,DeadRaw!Y:Y)</f>
        <v>0</v>
      </c>
      <c r="W31">
        <f>SUMIF(DeadRaw!$B:$B,$A31,DeadRaw!Z:Z)</f>
        <v>0</v>
      </c>
      <c r="X31">
        <f>SUMIF(DeadRaw!$B:$B,$A31,DeadRaw!AA:AA)</f>
        <v>0</v>
      </c>
      <c r="Y31">
        <f>SUMIF(DeadRaw!$B:$B,$A31,DeadRaw!AB:AB)</f>
        <v>0</v>
      </c>
      <c r="Z31">
        <f>SUMIF(DeadRaw!$B:$B,$A31,DeadRaw!AC:AC)</f>
        <v>0</v>
      </c>
      <c r="AA31">
        <f>SUMIF(DeadRaw!$B:$B,$A31,DeadRaw!AD:AD)</f>
        <v>0</v>
      </c>
      <c r="AB31">
        <f>SUMIF(DeadRaw!$B:$B,$A31,DeadRaw!AE:AE)</f>
        <v>0</v>
      </c>
      <c r="AC31">
        <f>SUMIF(DeadRaw!$B:$B,$A31,DeadRaw!AF:AF)</f>
        <v>0</v>
      </c>
      <c r="AD31">
        <f>SUMIF(DeadRaw!$B:$B,$A31,DeadRaw!AG:AG)</f>
        <v>0</v>
      </c>
      <c r="AE31">
        <f>SUMIF(DeadRaw!$B:$B,$A31,DeadRaw!AH:AH)</f>
        <v>0</v>
      </c>
      <c r="AF31">
        <f>SUMIF(DeadRaw!$B:$B,$A31,DeadRaw!AI:AI)</f>
        <v>0</v>
      </c>
      <c r="AG31">
        <f>SUMIF(DeadRaw!$B:$B,$A31,DeadRaw!AJ:AJ)</f>
        <v>0</v>
      </c>
      <c r="AH31">
        <f>SUMIF(DeadRaw!$B:$B,$A31,DeadRaw!AK:AK)</f>
        <v>0</v>
      </c>
      <c r="AI31">
        <f>SUMIF(DeadRaw!$B:$B,$A31,DeadRaw!AL:AL)</f>
        <v>0</v>
      </c>
      <c r="AJ31">
        <f>SUMIF(DeadRaw!$B:$B,$A31,DeadRaw!AM:AM)</f>
        <v>0</v>
      </c>
      <c r="AK31">
        <f>SUMIF(DeadRaw!$B:$B,$A31,DeadRaw!AN:AN)</f>
        <v>0</v>
      </c>
      <c r="AL31">
        <f>SUMIF(DeadRaw!$B:$B,$A31,DeadRaw!AO:AO)</f>
        <v>0</v>
      </c>
      <c r="AM31">
        <f>SUMIF(DeadRaw!$B:$B,$A31,DeadRaw!AP:AP)</f>
        <v>0</v>
      </c>
      <c r="AN31">
        <f>SUMIF(DeadRaw!$B:$B,$A31,DeadRaw!AQ:AQ)</f>
        <v>0</v>
      </c>
      <c r="AO31">
        <f>SUMIF(DeadRaw!$B:$B,$A31,DeadRaw!AR:AR)</f>
        <v>0</v>
      </c>
      <c r="AP31">
        <f>SUMIF(DeadRaw!$B:$B,$A31,DeadRaw!AS:AS)</f>
        <v>0</v>
      </c>
      <c r="AQ31">
        <f>SUMIF(DeadRaw!$B:$B,$A31,DeadRaw!AT:AT)</f>
        <v>0</v>
      </c>
      <c r="AR31">
        <f>SUMIF(DeadRaw!$B:$B,$A31,DeadRaw!AU:AU)</f>
        <v>0</v>
      </c>
      <c r="AS31">
        <f>SUMIF(DeadRaw!$B:$B,$A31,DeadRaw!AV:AV)</f>
        <v>0</v>
      </c>
      <c r="AT31">
        <f>SUMIF(DeadRaw!$B:$B,$A31,DeadRaw!AW:AW)</f>
        <v>0</v>
      </c>
      <c r="AU31">
        <f>SUMIF(DeadRaw!$B:$B,$A31,DeadRaw!AX:AX)</f>
        <v>0</v>
      </c>
      <c r="AV31">
        <f>SUMIF(DeadRaw!$B:$B,$A31,DeadRaw!AY:AY)</f>
        <v>0</v>
      </c>
      <c r="AW31">
        <f>SUMIF(DeadRaw!$B:$B,$A31,DeadRaw!AZ:AZ)</f>
        <v>0</v>
      </c>
      <c r="AX31">
        <f>SUMIF(DeadRaw!$B:$B,$A31,DeadRaw!BA:BA)</f>
        <v>0</v>
      </c>
      <c r="AY31">
        <f>SUMIF(DeadRaw!$B:$B,$A31,DeadRaw!BB:BB)</f>
        <v>0</v>
      </c>
      <c r="AZ31">
        <f>SUMIF(DeadRaw!$B:$B,$A31,DeadRaw!BC:BC)</f>
        <v>0</v>
      </c>
      <c r="BA31">
        <f>SUMIF(DeadRaw!$B:$B,$A31,DeadRaw!BD:BD)</f>
        <v>0</v>
      </c>
      <c r="BB31">
        <f>SUMIF(DeadRaw!$B:$B,$A31,DeadRaw!BE:BE)</f>
        <v>1</v>
      </c>
      <c r="BC31">
        <f>SUMIF(DeadRaw!$B:$B,$A31,DeadRaw!BF:BF)</f>
        <v>1</v>
      </c>
      <c r="BD31">
        <f>SUMIF(DeadRaw!$B:$B,$A31,DeadRaw!BG:BG)</f>
        <v>1</v>
      </c>
      <c r="BE31">
        <f>SUMIF(DeadRaw!$B:$B,$A31,DeadRaw!BH:BH)</f>
        <v>1</v>
      </c>
      <c r="BF31">
        <f>SUMIF(DeadRaw!$B:$B,$A31,DeadRaw!BI:BI)</f>
        <v>1</v>
      </c>
      <c r="BG31">
        <f>SUMIF(DeadRaw!$B:$B,$A31,DeadRaw!BJ:BJ)</f>
        <v>0</v>
      </c>
      <c r="BH31">
        <f>SUMIF(DeadRaw!$B:$B,$A31,DeadRaw!BK:BK)</f>
        <v>0</v>
      </c>
      <c r="BI31">
        <f>SUMIF(DeadRaw!$B:$B,$A31,DeadRaw!BL:BL)</f>
        <v>0</v>
      </c>
      <c r="BJ31">
        <f>SUMIF(DeadRaw!$B:$B,$A31,DeadRaw!BM:BM)</f>
        <v>0</v>
      </c>
      <c r="BK31">
        <f>SUMIF(DeadRaw!$B:$B,$A31,DeadRaw!BN:BN)</f>
        <v>0</v>
      </c>
      <c r="BL31">
        <f>SUMIF(DeadRaw!$B:$B,$A31,DeadRaw!BO:BO)</f>
        <v>0</v>
      </c>
      <c r="BM31">
        <f>SUMIF(DeadRaw!$B:$B,$A31,DeadRaw!BP:BP)</f>
        <v>0</v>
      </c>
      <c r="BN31">
        <f>SUMIF(DeadRaw!$B:$B,$A31,DeadRaw!BQ:BQ)</f>
        <v>0</v>
      </c>
      <c r="BO31">
        <f>SUMIF(DeadRaw!$B:$B,$A31,DeadRaw!BR:BR)</f>
        <v>0</v>
      </c>
      <c r="BP31">
        <f>SUMIF(DeadRaw!$B:$B,$A31,DeadRaw!BS:BS)</f>
        <v>0</v>
      </c>
      <c r="BQ31">
        <f>SUMIF(DeadRaw!$B:$B,$A31,DeadRaw!BT:BT)</f>
        <v>0</v>
      </c>
      <c r="BR31">
        <f>SUMIF(DeadRaw!$B:$B,$A31,DeadRaw!BU:BU)</f>
        <v>0</v>
      </c>
      <c r="BS31">
        <f>SUMIF(DeadRaw!$B:$B,$A31,DeadRaw!BV:BV)</f>
        <v>0</v>
      </c>
      <c r="BT31">
        <f>SUMIF(DeadRaw!$B:$B,$A31,DeadRaw!BW:BW)</f>
        <v>0</v>
      </c>
    </row>
    <row r="32" spans="1:72" ht="15" thickBot="1" x14ac:dyDescent="0.35">
      <c r="A32" s="4" t="s">
        <v>92</v>
      </c>
      <c r="B32">
        <f>SUMIF(DeadRaw!$B:$B,$A32,DeadRaw!E:E)</f>
        <v>0</v>
      </c>
      <c r="C32">
        <f>SUMIF(DeadRaw!$B:$B,$A32,DeadRaw!F:F)</f>
        <v>0</v>
      </c>
      <c r="D32">
        <f>SUMIF(DeadRaw!$B:$B,$A32,DeadRaw!G:G)</f>
        <v>0</v>
      </c>
      <c r="E32">
        <f>SUMIF(DeadRaw!$B:$B,$A32,DeadRaw!H:H)</f>
        <v>0</v>
      </c>
      <c r="F32">
        <f>SUMIF(DeadRaw!$B:$B,$A32,DeadRaw!I:I)</f>
        <v>0</v>
      </c>
      <c r="G32">
        <f>SUMIF(DeadRaw!$B:$B,$A32,DeadRaw!J:J)</f>
        <v>0</v>
      </c>
      <c r="H32">
        <f>SUMIF(DeadRaw!$B:$B,$A32,DeadRaw!K:K)</f>
        <v>0</v>
      </c>
      <c r="I32">
        <f>SUMIF(DeadRaw!$B:$B,$A32,DeadRaw!L:L)</f>
        <v>0</v>
      </c>
      <c r="J32">
        <f>SUMIF(DeadRaw!$B:$B,$A32,DeadRaw!M:M)</f>
        <v>0</v>
      </c>
      <c r="K32">
        <f>SUMIF(DeadRaw!$B:$B,$A32,DeadRaw!N:N)</f>
        <v>0</v>
      </c>
      <c r="L32">
        <f>SUMIF(DeadRaw!$B:$B,$A32,DeadRaw!O:O)</f>
        <v>0</v>
      </c>
      <c r="M32">
        <f>SUMIF(DeadRaw!$B:$B,$A32,DeadRaw!P:P)</f>
        <v>0</v>
      </c>
      <c r="N32">
        <f>SUMIF(DeadRaw!$B:$B,$A32,DeadRaw!Q:Q)</f>
        <v>0</v>
      </c>
      <c r="O32">
        <f>SUMIF(DeadRaw!$B:$B,$A32,DeadRaw!R:R)</f>
        <v>0</v>
      </c>
      <c r="P32">
        <f>SUMIF(DeadRaw!$B:$B,$A32,DeadRaw!S:S)</f>
        <v>0</v>
      </c>
      <c r="Q32">
        <f>SUMIF(DeadRaw!$B:$B,$A32,DeadRaw!T:T)</f>
        <v>0</v>
      </c>
      <c r="R32">
        <f>SUMIF(DeadRaw!$B:$B,$A32,DeadRaw!U:U)</f>
        <v>0</v>
      </c>
      <c r="S32">
        <f>SUMIF(DeadRaw!$B:$B,$A32,DeadRaw!V:V)</f>
        <v>0</v>
      </c>
      <c r="T32">
        <f>SUMIF(DeadRaw!$B:$B,$A32,DeadRaw!W:W)</f>
        <v>0</v>
      </c>
      <c r="U32">
        <f>SUMIF(DeadRaw!$B:$B,$A32,DeadRaw!X:X)</f>
        <v>0</v>
      </c>
      <c r="V32">
        <f>SUMIF(DeadRaw!$B:$B,$A32,DeadRaw!Y:Y)</f>
        <v>0</v>
      </c>
      <c r="W32">
        <f>SUMIF(DeadRaw!$B:$B,$A32,DeadRaw!Z:Z)</f>
        <v>0</v>
      </c>
      <c r="X32">
        <f>SUMIF(DeadRaw!$B:$B,$A32,DeadRaw!AA:AA)</f>
        <v>0</v>
      </c>
      <c r="Y32">
        <f>SUMIF(DeadRaw!$B:$B,$A32,DeadRaw!AB:AB)</f>
        <v>0</v>
      </c>
      <c r="Z32">
        <f>SUMIF(DeadRaw!$B:$B,$A32,DeadRaw!AC:AC)</f>
        <v>0</v>
      </c>
      <c r="AA32">
        <f>SUMIF(DeadRaw!$B:$B,$A32,DeadRaw!AD:AD)</f>
        <v>0</v>
      </c>
      <c r="AB32">
        <f>SUMIF(DeadRaw!$B:$B,$A32,DeadRaw!AE:AE)</f>
        <v>0</v>
      </c>
      <c r="AC32">
        <f>SUMIF(DeadRaw!$B:$B,$A32,DeadRaw!AF:AF)</f>
        <v>0</v>
      </c>
      <c r="AD32">
        <f>SUMIF(DeadRaw!$B:$B,$A32,DeadRaw!AG:AG)</f>
        <v>0</v>
      </c>
      <c r="AE32">
        <f>SUMIF(DeadRaw!$B:$B,$A32,DeadRaw!AH:AH)</f>
        <v>0</v>
      </c>
      <c r="AF32">
        <f>SUMIF(DeadRaw!$B:$B,$A32,DeadRaw!AI:AI)</f>
        <v>0</v>
      </c>
      <c r="AG32">
        <f>SUMIF(DeadRaw!$B:$B,$A32,DeadRaw!AJ:AJ)</f>
        <v>0</v>
      </c>
      <c r="AH32">
        <f>SUMIF(DeadRaw!$B:$B,$A32,DeadRaw!AK:AK)</f>
        <v>0</v>
      </c>
      <c r="AI32">
        <f>SUMIF(DeadRaw!$B:$B,$A32,DeadRaw!AL:AL)</f>
        <v>0</v>
      </c>
      <c r="AJ32">
        <f>SUMIF(DeadRaw!$B:$B,$A32,DeadRaw!AM:AM)</f>
        <v>0</v>
      </c>
      <c r="AK32">
        <f>SUMIF(DeadRaw!$B:$B,$A32,DeadRaw!AN:AN)</f>
        <v>0</v>
      </c>
      <c r="AL32">
        <f>SUMIF(DeadRaw!$B:$B,$A32,DeadRaw!AO:AO)</f>
        <v>0</v>
      </c>
      <c r="AM32">
        <f>SUMIF(DeadRaw!$B:$B,$A32,DeadRaw!AP:AP)</f>
        <v>0</v>
      </c>
      <c r="AN32">
        <f>SUMIF(DeadRaw!$B:$B,$A32,DeadRaw!AQ:AQ)</f>
        <v>0</v>
      </c>
      <c r="AO32">
        <f>SUMIF(DeadRaw!$B:$B,$A32,DeadRaw!AR:AR)</f>
        <v>0</v>
      </c>
      <c r="AP32">
        <f>SUMIF(DeadRaw!$B:$B,$A32,DeadRaw!AS:AS)</f>
        <v>0</v>
      </c>
      <c r="AQ32">
        <f>SUMIF(DeadRaw!$B:$B,$A32,DeadRaw!AT:AT)</f>
        <v>0</v>
      </c>
      <c r="AR32">
        <f>SUMIF(DeadRaw!$B:$B,$A32,DeadRaw!AU:AU)</f>
        <v>0</v>
      </c>
      <c r="AS32">
        <f>SUMIF(DeadRaw!$B:$B,$A32,DeadRaw!AV:AV)</f>
        <v>0</v>
      </c>
      <c r="AT32">
        <f>SUMIF(DeadRaw!$B:$B,$A32,DeadRaw!AW:AW)</f>
        <v>0</v>
      </c>
      <c r="AU32">
        <f>SUMIF(DeadRaw!$B:$B,$A32,DeadRaw!AX:AX)</f>
        <v>0</v>
      </c>
      <c r="AV32">
        <f>SUMIF(DeadRaw!$B:$B,$A32,DeadRaw!AY:AY)</f>
        <v>0</v>
      </c>
      <c r="AW32">
        <f>SUMIF(DeadRaw!$B:$B,$A32,DeadRaw!AZ:AZ)</f>
        <v>0</v>
      </c>
      <c r="AX32">
        <f>SUMIF(DeadRaw!$B:$B,$A32,DeadRaw!BA:BA)</f>
        <v>0</v>
      </c>
      <c r="AY32">
        <f>SUMIF(DeadRaw!$B:$B,$A32,DeadRaw!BB:BB)</f>
        <v>0</v>
      </c>
      <c r="AZ32">
        <f>SUMIF(DeadRaw!$B:$B,$A32,DeadRaw!BC:BC)</f>
        <v>0</v>
      </c>
      <c r="BA32">
        <f>SUMIF(DeadRaw!$B:$B,$A32,DeadRaw!BD:BD)</f>
        <v>0</v>
      </c>
      <c r="BB32">
        <f>SUMIF(DeadRaw!$B:$B,$A32,DeadRaw!BE:BE)</f>
        <v>0</v>
      </c>
      <c r="BC32">
        <f>SUMIF(DeadRaw!$B:$B,$A32,DeadRaw!BF:BF)</f>
        <v>5</v>
      </c>
      <c r="BD32">
        <f>SUMIF(DeadRaw!$B:$B,$A32,DeadRaw!BG:BG)</f>
        <v>0</v>
      </c>
      <c r="BE32">
        <f>SUMIF(DeadRaw!$B:$B,$A32,DeadRaw!BH:BH)</f>
        <v>1</v>
      </c>
      <c r="BF32">
        <f>SUMIF(DeadRaw!$B:$B,$A32,DeadRaw!BI:BI)</f>
        <v>1</v>
      </c>
      <c r="BG32">
        <f>SUMIF(DeadRaw!$B:$B,$A32,DeadRaw!BJ:BJ)</f>
        <v>0</v>
      </c>
      <c r="BH32">
        <f>SUMIF(DeadRaw!$B:$B,$A32,DeadRaw!BK:BK)</f>
        <v>0</v>
      </c>
      <c r="BI32">
        <f>SUMIF(DeadRaw!$B:$B,$A32,DeadRaw!BL:BL)</f>
        <v>0</v>
      </c>
      <c r="BJ32">
        <f>SUMIF(DeadRaw!$B:$B,$A32,DeadRaw!BM:BM)</f>
        <v>0</v>
      </c>
      <c r="BK32">
        <f>SUMIF(DeadRaw!$B:$B,$A32,DeadRaw!BN:BN)</f>
        <v>0</v>
      </c>
      <c r="BL32">
        <f>SUMIF(DeadRaw!$B:$B,$A32,DeadRaw!BO:BO)</f>
        <v>0</v>
      </c>
      <c r="BM32">
        <f>SUMIF(DeadRaw!$B:$B,$A32,DeadRaw!BP:BP)</f>
        <v>0</v>
      </c>
      <c r="BN32">
        <f>SUMIF(DeadRaw!$B:$B,$A32,DeadRaw!BQ:BQ)</f>
        <v>0</v>
      </c>
      <c r="BO32">
        <f>SUMIF(DeadRaw!$B:$B,$A32,DeadRaw!BR:BR)</f>
        <v>0</v>
      </c>
      <c r="BP32">
        <f>SUMIF(DeadRaw!$B:$B,$A32,DeadRaw!BS:BS)</f>
        <v>0</v>
      </c>
      <c r="BQ32">
        <f>SUMIF(DeadRaw!$B:$B,$A32,DeadRaw!BT:BT)</f>
        <v>0</v>
      </c>
      <c r="BR32">
        <f>SUMIF(DeadRaw!$B:$B,$A32,DeadRaw!BU:BU)</f>
        <v>0</v>
      </c>
      <c r="BS32">
        <f>SUMIF(DeadRaw!$B:$B,$A32,DeadRaw!BV:BV)</f>
        <v>0</v>
      </c>
      <c r="BT32">
        <f>SUMIF(DeadRaw!$B:$B,$A32,DeadRaw!BW:BW)</f>
        <v>0</v>
      </c>
    </row>
    <row r="33" spans="1:72" ht="15" thickBot="1" x14ac:dyDescent="0.35">
      <c r="A33" s="3" t="s">
        <v>108</v>
      </c>
      <c r="B33">
        <f>SUMIF(DeadRaw!$B:$B,$A33,DeadRaw!E:E)</f>
        <v>0</v>
      </c>
      <c r="C33">
        <f>SUMIF(DeadRaw!$B:$B,$A33,DeadRaw!F:F)</f>
        <v>0</v>
      </c>
      <c r="D33">
        <f>SUMIF(DeadRaw!$B:$B,$A33,DeadRaw!G:G)</f>
        <v>0</v>
      </c>
      <c r="E33">
        <f>SUMIF(DeadRaw!$B:$B,$A33,DeadRaw!H:H)</f>
        <v>0</v>
      </c>
      <c r="F33">
        <f>SUMIF(DeadRaw!$B:$B,$A33,DeadRaw!I:I)</f>
        <v>0</v>
      </c>
      <c r="G33">
        <f>SUMIF(DeadRaw!$B:$B,$A33,DeadRaw!J:J)</f>
        <v>0</v>
      </c>
      <c r="H33">
        <f>SUMIF(DeadRaw!$B:$B,$A33,DeadRaw!K:K)</f>
        <v>0</v>
      </c>
      <c r="I33">
        <f>SUMIF(DeadRaw!$B:$B,$A33,DeadRaw!L:L)</f>
        <v>0</v>
      </c>
      <c r="J33">
        <f>SUMIF(DeadRaw!$B:$B,$A33,DeadRaw!M:M)</f>
        <v>0</v>
      </c>
      <c r="K33">
        <f>SUMIF(DeadRaw!$B:$B,$A33,DeadRaw!N:N)</f>
        <v>0</v>
      </c>
      <c r="L33">
        <f>SUMIF(DeadRaw!$B:$B,$A33,DeadRaw!O:O)</f>
        <v>0</v>
      </c>
      <c r="M33">
        <f>SUMIF(DeadRaw!$B:$B,$A33,DeadRaw!P:P)</f>
        <v>0</v>
      </c>
      <c r="N33">
        <f>SUMIF(DeadRaw!$B:$B,$A33,DeadRaw!Q:Q)</f>
        <v>0</v>
      </c>
      <c r="O33">
        <f>SUMIF(DeadRaw!$B:$B,$A33,DeadRaw!R:R)</f>
        <v>0</v>
      </c>
      <c r="P33">
        <f>SUMIF(DeadRaw!$B:$B,$A33,DeadRaw!S:S)</f>
        <v>0</v>
      </c>
      <c r="Q33">
        <f>SUMIF(DeadRaw!$B:$B,$A33,DeadRaw!T:T)</f>
        <v>0</v>
      </c>
      <c r="R33">
        <f>SUMIF(DeadRaw!$B:$B,$A33,DeadRaw!U:U)</f>
        <v>0</v>
      </c>
      <c r="S33">
        <f>SUMIF(DeadRaw!$B:$B,$A33,DeadRaw!V:V)</f>
        <v>0</v>
      </c>
      <c r="T33">
        <f>SUMIF(DeadRaw!$B:$B,$A33,DeadRaw!W:W)</f>
        <v>0</v>
      </c>
      <c r="U33">
        <f>SUMIF(DeadRaw!$B:$B,$A33,DeadRaw!X:X)</f>
        <v>0</v>
      </c>
      <c r="V33">
        <f>SUMIF(DeadRaw!$B:$B,$A33,DeadRaw!Y:Y)</f>
        <v>0</v>
      </c>
      <c r="W33">
        <f>SUMIF(DeadRaw!$B:$B,$A33,DeadRaw!Z:Z)</f>
        <v>0</v>
      </c>
      <c r="X33">
        <f>SUMIF(DeadRaw!$B:$B,$A33,DeadRaw!AA:AA)</f>
        <v>0</v>
      </c>
      <c r="Y33">
        <f>SUMIF(DeadRaw!$B:$B,$A33,DeadRaw!AB:AB)</f>
        <v>0</v>
      </c>
      <c r="Z33">
        <f>SUMIF(DeadRaw!$B:$B,$A33,DeadRaw!AC:AC)</f>
        <v>0</v>
      </c>
      <c r="AA33">
        <f>SUMIF(DeadRaw!$B:$B,$A33,DeadRaw!AD:AD)</f>
        <v>0</v>
      </c>
      <c r="AB33">
        <f>SUMIF(DeadRaw!$B:$B,$A33,DeadRaw!AE:AE)</f>
        <v>0</v>
      </c>
      <c r="AC33">
        <f>SUMIF(DeadRaw!$B:$B,$A33,DeadRaw!AF:AF)</f>
        <v>0</v>
      </c>
      <c r="AD33">
        <f>SUMIF(DeadRaw!$B:$B,$A33,DeadRaw!AG:AG)</f>
        <v>0</v>
      </c>
      <c r="AE33">
        <f>SUMIF(DeadRaw!$B:$B,$A33,DeadRaw!AH:AH)</f>
        <v>0</v>
      </c>
      <c r="AF33">
        <f>SUMIF(DeadRaw!$B:$B,$A33,DeadRaw!AI:AI)</f>
        <v>0</v>
      </c>
      <c r="AG33">
        <f>SUMIF(DeadRaw!$B:$B,$A33,DeadRaw!AJ:AJ)</f>
        <v>0</v>
      </c>
      <c r="AH33">
        <f>SUMIF(DeadRaw!$B:$B,$A33,DeadRaw!AK:AK)</f>
        <v>0</v>
      </c>
      <c r="AI33">
        <f>SUMIF(DeadRaw!$B:$B,$A33,DeadRaw!AL:AL)</f>
        <v>0</v>
      </c>
      <c r="AJ33">
        <f>SUMIF(DeadRaw!$B:$B,$A33,DeadRaw!AM:AM)</f>
        <v>0</v>
      </c>
      <c r="AK33">
        <f>SUMIF(DeadRaw!$B:$B,$A33,DeadRaw!AN:AN)</f>
        <v>0</v>
      </c>
      <c r="AL33">
        <f>SUMIF(DeadRaw!$B:$B,$A33,DeadRaw!AO:AO)</f>
        <v>0</v>
      </c>
      <c r="AM33">
        <f>SUMIF(DeadRaw!$B:$B,$A33,DeadRaw!AP:AP)</f>
        <v>0</v>
      </c>
      <c r="AN33">
        <f>SUMIF(DeadRaw!$B:$B,$A33,DeadRaw!AQ:AQ)</f>
        <v>0</v>
      </c>
      <c r="AO33">
        <f>SUMIF(DeadRaw!$B:$B,$A33,DeadRaw!AR:AR)</f>
        <v>0</v>
      </c>
      <c r="AP33">
        <f>SUMIF(DeadRaw!$B:$B,$A33,DeadRaw!AS:AS)</f>
        <v>0</v>
      </c>
      <c r="AQ33">
        <f>SUMIF(DeadRaw!$B:$B,$A33,DeadRaw!AT:AT)</f>
        <v>0</v>
      </c>
      <c r="AR33">
        <f>SUMIF(DeadRaw!$B:$B,$A33,DeadRaw!AU:AU)</f>
        <v>0</v>
      </c>
      <c r="AS33">
        <f>SUMIF(DeadRaw!$B:$B,$A33,DeadRaw!AV:AV)</f>
        <v>0</v>
      </c>
      <c r="AT33">
        <f>SUMIF(DeadRaw!$B:$B,$A33,DeadRaw!AW:AW)</f>
        <v>0</v>
      </c>
      <c r="AU33">
        <f>SUMIF(DeadRaw!$B:$B,$A33,DeadRaw!AX:AX)</f>
        <v>0</v>
      </c>
      <c r="AV33">
        <f>SUMIF(DeadRaw!$B:$B,$A33,DeadRaw!AY:AY)</f>
        <v>0</v>
      </c>
      <c r="AW33">
        <f>SUMIF(DeadRaw!$B:$B,$A33,DeadRaw!AZ:AZ)</f>
        <v>0</v>
      </c>
      <c r="AX33">
        <f>SUMIF(DeadRaw!$B:$B,$A33,DeadRaw!BA:BA)</f>
        <v>0</v>
      </c>
      <c r="AY33">
        <f>SUMIF(DeadRaw!$B:$B,$A33,DeadRaw!BB:BB)</f>
        <v>0</v>
      </c>
      <c r="AZ33">
        <f>SUMIF(DeadRaw!$B:$B,$A33,DeadRaw!BC:BC)</f>
        <v>0</v>
      </c>
      <c r="BA33">
        <f>SUMIF(DeadRaw!$B:$B,$A33,DeadRaw!BD:BD)</f>
        <v>0</v>
      </c>
      <c r="BB33">
        <f>SUMIF(DeadRaw!$B:$B,$A33,DeadRaw!BE:BE)</f>
        <v>0</v>
      </c>
      <c r="BC33">
        <f>SUMIF(DeadRaw!$B:$B,$A33,DeadRaw!BF:BF)</f>
        <v>0</v>
      </c>
      <c r="BD33">
        <f>SUMIF(DeadRaw!$B:$B,$A33,DeadRaw!BG:BG)</f>
        <v>0</v>
      </c>
      <c r="BE33">
        <f>SUMIF(DeadRaw!$B:$B,$A33,DeadRaw!BH:BH)</f>
        <v>1</v>
      </c>
      <c r="BF33">
        <f>SUMIF(DeadRaw!$B:$B,$A33,DeadRaw!BI:BI)</f>
        <v>2</v>
      </c>
      <c r="BG33">
        <f>SUMIF(DeadRaw!$B:$B,$A33,DeadRaw!BJ:BJ)</f>
        <v>0</v>
      </c>
      <c r="BH33">
        <f>SUMIF(DeadRaw!$B:$B,$A33,DeadRaw!BK:BK)</f>
        <v>0</v>
      </c>
      <c r="BI33">
        <f>SUMIF(DeadRaw!$B:$B,$A33,DeadRaw!BL:BL)</f>
        <v>0</v>
      </c>
      <c r="BJ33">
        <f>SUMIF(DeadRaw!$B:$B,$A33,DeadRaw!BM:BM)</f>
        <v>0</v>
      </c>
      <c r="BK33">
        <f>SUMIF(DeadRaw!$B:$B,$A33,DeadRaw!BN:BN)</f>
        <v>0</v>
      </c>
      <c r="BL33">
        <f>SUMIF(DeadRaw!$B:$B,$A33,DeadRaw!BO:BO)</f>
        <v>0</v>
      </c>
      <c r="BM33">
        <f>SUMIF(DeadRaw!$B:$B,$A33,DeadRaw!BP:BP)</f>
        <v>0</v>
      </c>
      <c r="BN33">
        <f>SUMIF(DeadRaw!$B:$B,$A33,DeadRaw!BQ:BQ)</f>
        <v>0</v>
      </c>
      <c r="BO33">
        <f>SUMIF(DeadRaw!$B:$B,$A33,DeadRaw!BR:BR)</f>
        <v>0</v>
      </c>
      <c r="BP33">
        <f>SUMIF(DeadRaw!$B:$B,$A33,DeadRaw!BS:BS)</f>
        <v>0</v>
      </c>
      <c r="BQ33">
        <f>SUMIF(DeadRaw!$B:$B,$A33,DeadRaw!BT:BT)</f>
        <v>0</v>
      </c>
      <c r="BR33">
        <f>SUMIF(DeadRaw!$B:$B,$A33,DeadRaw!BU:BU)</f>
        <v>0</v>
      </c>
      <c r="BS33">
        <f>SUMIF(DeadRaw!$B:$B,$A33,DeadRaw!BV:BV)</f>
        <v>0</v>
      </c>
      <c r="BT33">
        <f>SUMIF(DeadRaw!$B:$B,$A33,DeadRaw!BW:BW)</f>
        <v>0</v>
      </c>
    </row>
    <row r="34" spans="1:72" ht="15" thickBot="1" x14ac:dyDescent="0.35">
      <c r="A34" s="3" t="s">
        <v>70</v>
      </c>
      <c r="B34">
        <f>SUMIF(DeadRaw!$B:$B,$A34,DeadRaw!E:E)</f>
        <v>0</v>
      </c>
      <c r="C34">
        <f>SUMIF(DeadRaw!$B:$B,$A34,DeadRaw!F:F)</f>
        <v>0</v>
      </c>
      <c r="D34">
        <f>SUMIF(DeadRaw!$B:$B,$A34,DeadRaw!G:G)</f>
        <v>0</v>
      </c>
      <c r="E34">
        <f>SUMIF(DeadRaw!$B:$B,$A34,DeadRaw!H:H)</f>
        <v>0</v>
      </c>
      <c r="F34">
        <f>SUMIF(DeadRaw!$B:$B,$A34,DeadRaw!I:I)</f>
        <v>0</v>
      </c>
      <c r="G34">
        <f>SUMIF(DeadRaw!$B:$B,$A34,DeadRaw!J:J)</f>
        <v>0</v>
      </c>
      <c r="H34">
        <f>SUMIF(DeadRaw!$B:$B,$A34,DeadRaw!K:K)</f>
        <v>0</v>
      </c>
      <c r="I34">
        <f>SUMIF(DeadRaw!$B:$B,$A34,DeadRaw!L:L)</f>
        <v>0</v>
      </c>
      <c r="J34">
        <f>SUMIF(DeadRaw!$B:$B,$A34,DeadRaw!M:M)</f>
        <v>0</v>
      </c>
      <c r="K34">
        <f>SUMIF(DeadRaw!$B:$B,$A34,DeadRaw!N:N)</f>
        <v>0</v>
      </c>
      <c r="L34">
        <f>SUMIF(DeadRaw!$B:$B,$A34,DeadRaw!O:O)</f>
        <v>0</v>
      </c>
      <c r="M34">
        <f>SUMIF(DeadRaw!$B:$B,$A34,DeadRaw!P:P)</f>
        <v>0</v>
      </c>
      <c r="N34">
        <f>SUMIF(DeadRaw!$B:$B,$A34,DeadRaw!Q:Q)</f>
        <v>0</v>
      </c>
      <c r="O34">
        <f>SUMIF(DeadRaw!$B:$B,$A34,DeadRaw!R:R)</f>
        <v>0</v>
      </c>
      <c r="P34">
        <f>SUMIF(DeadRaw!$B:$B,$A34,DeadRaw!S:S)</f>
        <v>0</v>
      </c>
      <c r="Q34">
        <f>SUMIF(DeadRaw!$B:$B,$A34,DeadRaw!T:T)</f>
        <v>0</v>
      </c>
      <c r="R34">
        <f>SUMIF(DeadRaw!$B:$B,$A34,DeadRaw!U:U)</f>
        <v>0</v>
      </c>
      <c r="S34">
        <f>SUMIF(DeadRaw!$B:$B,$A34,DeadRaw!V:V)</f>
        <v>0</v>
      </c>
      <c r="T34">
        <f>SUMIF(DeadRaw!$B:$B,$A34,DeadRaw!W:W)</f>
        <v>0</v>
      </c>
      <c r="U34">
        <f>SUMIF(DeadRaw!$B:$B,$A34,DeadRaw!X:X)</f>
        <v>0</v>
      </c>
      <c r="V34">
        <f>SUMIF(DeadRaw!$B:$B,$A34,DeadRaw!Y:Y)</f>
        <v>0</v>
      </c>
      <c r="W34">
        <f>SUMIF(DeadRaw!$B:$B,$A34,DeadRaw!Z:Z)</f>
        <v>0</v>
      </c>
      <c r="X34">
        <f>SUMIF(DeadRaw!$B:$B,$A34,DeadRaw!AA:AA)</f>
        <v>0</v>
      </c>
      <c r="Y34">
        <f>SUMIF(DeadRaw!$B:$B,$A34,DeadRaw!AB:AB)</f>
        <v>0</v>
      </c>
      <c r="Z34">
        <f>SUMIF(DeadRaw!$B:$B,$A34,DeadRaw!AC:AC)</f>
        <v>0</v>
      </c>
      <c r="AA34">
        <f>SUMIF(DeadRaw!$B:$B,$A34,DeadRaw!AD:AD)</f>
        <v>0</v>
      </c>
      <c r="AB34">
        <f>SUMIF(DeadRaw!$B:$B,$A34,DeadRaw!AE:AE)</f>
        <v>0</v>
      </c>
      <c r="AC34">
        <f>SUMIF(DeadRaw!$B:$B,$A34,DeadRaw!AF:AF)</f>
        <v>0</v>
      </c>
      <c r="AD34">
        <f>SUMIF(DeadRaw!$B:$B,$A34,DeadRaw!AG:AG)</f>
        <v>0</v>
      </c>
      <c r="AE34">
        <f>SUMIF(DeadRaw!$B:$B,$A34,DeadRaw!AH:AH)</f>
        <v>0</v>
      </c>
      <c r="AF34">
        <f>SUMIF(DeadRaw!$B:$B,$A34,DeadRaw!AI:AI)</f>
        <v>0</v>
      </c>
      <c r="AG34">
        <f>SUMIF(DeadRaw!$B:$B,$A34,DeadRaw!AJ:AJ)</f>
        <v>0</v>
      </c>
      <c r="AH34">
        <f>SUMIF(DeadRaw!$B:$B,$A34,DeadRaw!AK:AK)</f>
        <v>0</v>
      </c>
      <c r="AI34">
        <f>SUMIF(DeadRaw!$B:$B,$A34,DeadRaw!AL:AL)</f>
        <v>0</v>
      </c>
      <c r="AJ34">
        <f>SUMIF(DeadRaw!$B:$B,$A34,DeadRaw!AM:AM)</f>
        <v>0</v>
      </c>
      <c r="AK34">
        <f>SUMIF(DeadRaw!$B:$B,$A34,DeadRaw!AN:AN)</f>
        <v>0</v>
      </c>
      <c r="AL34">
        <f>SUMIF(DeadRaw!$B:$B,$A34,DeadRaw!AO:AO)</f>
        <v>0</v>
      </c>
      <c r="AM34">
        <f>SUMIF(DeadRaw!$B:$B,$A34,DeadRaw!AP:AP)</f>
        <v>0</v>
      </c>
      <c r="AN34">
        <f>SUMIF(DeadRaw!$B:$B,$A34,DeadRaw!AQ:AQ)</f>
        <v>0</v>
      </c>
      <c r="AO34">
        <f>SUMIF(DeadRaw!$B:$B,$A34,DeadRaw!AR:AR)</f>
        <v>0</v>
      </c>
      <c r="AP34">
        <f>SUMIF(DeadRaw!$B:$B,$A34,DeadRaw!AS:AS)</f>
        <v>0</v>
      </c>
      <c r="AQ34">
        <f>SUMIF(DeadRaw!$B:$B,$A34,DeadRaw!AT:AT)</f>
        <v>0</v>
      </c>
      <c r="AR34">
        <f>SUMIF(DeadRaw!$B:$B,$A34,DeadRaw!AU:AU)</f>
        <v>2</v>
      </c>
      <c r="AS34">
        <f>SUMIF(DeadRaw!$B:$B,$A34,DeadRaw!AV:AV)</f>
        <v>2</v>
      </c>
      <c r="AT34">
        <f>SUMIF(DeadRaw!$B:$B,$A34,DeadRaw!AW:AW)</f>
        <v>3</v>
      </c>
      <c r="AU34">
        <f>SUMIF(DeadRaw!$B:$B,$A34,DeadRaw!AX:AX)</f>
        <v>4</v>
      </c>
      <c r="AV34">
        <f>SUMIF(DeadRaw!$B:$B,$A34,DeadRaw!AY:AY)</f>
        <v>6</v>
      </c>
      <c r="AW34">
        <f>SUMIF(DeadRaw!$B:$B,$A34,DeadRaw!AZ:AZ)</f>
        <v>6</v>
      </c>
      <c r="AX34">
        <f>SUMIF(DeadRaw!$B:$B,$A34,DeadRaw!BA:BA)</f>
        <v>7</v>
      </c>
      <c r="AY34">
        <f>SUMIF(DeadRaw!$B:$B,$A34,DeadRaw!BB:BB)</f>
        <v>7</v>
      </c>
      <c r="AZ34">
        <f>SUMIF(DeadRaw!$B:$B,$A34,DeadRaw!BC:BC)</f>
        <v>8</v>
      </c>
      <c r="BA34">
        <f>SUMIF(DeadRaw!$B:$B,$A34,DeadRaw!BD:BD)</f>
        <v>9</v>
      </c>
      <c r="BB34">
        <f>SUMIF(DeadRaw!$B:$B,$A34,DeadRaw!BE:BE)</f>
        <v>10</v>
      </c>
      <c r="BC34">
        <f>SUMIF(DeadRaw!$B:$B,$A34,DeadRaw!BF:BF)</f>
        <v>10</v>
      </c>
      <c r="BD34">
        <f>SUMIF(DeadRaw!$B:$B,$A34,DeadRaw!BG:BG)</f>
        <v>10</v>
      </c>
      <c r="BE34">
        <f>SUMIF(DeadRaw!$B:$B,$A34,DeadRaw!BH:BH)</f>
        <v>11</v>
      </c>
      <c r="BF34">
        <f>SUMIF(DeadRaw!$B:$B,$A34,DeadRaw!BI:BI)</f>
        <v>12</v>
      </c>
      <c r="BG34">
        <f>SUMIF(DeadRaw!$B:$B,$A34,DeadRaw!BJ:BJ)</f>
        <v>0</v>
      </c>
      <c r="BH34">
        <f>SUMIF(DeadRaw!$B:$B,$A34,DeadRaw!BK:BK)</f>
        <v>0</v>
      </c>
      <c r="BI34">
        <f>SUMIF(DeadRaw!$B:$B,$A34,DeadRaw!BL:BL)</f>
        <v>0</v>
      </c>
      <c r="BJ34">
        <f>SUMIF(DeadRaw!$B:$B,$A34,DeadRaw!BM:BM)</f>
        <v>0</v>
      </c>
      <c r="BK34">
        <f>SUMIF(DeadRaw!$B:$B,$A34,DeadRaw!BN:BN)</f>
        <v>0</v>
      </c>
      <c r="BL34">
        <f>SUMIF(DeadRaw!$B:$B,$A34,DeadRaw!BO:BO)</f>
        <v>0</v>
      </c>
      <c r="BM34">
        <f>SUMIF(DeadRaw!$B:$B,$A34,DeadRaw!BP:BP)</f>
        <v>0</v>
      </c>
      <c r="BN34">
        <f>SUMIF(DeadRaw!$B:$B,$A34,DeadRaw!BQ:BQ)</f>
        <v>0</v>
      </c>
      <c r="BO34">
        <f>SUMIF(DeadRaw!$B:$B,$A34,DeadRaw!BR:BR)</f>
        <v>0</v>
      </c>
      <c r="BP34">
        <f>SUMIF(DeadRaw!$B:$B,$A34,DeadRaw!BS:BS)</f>
        <v>0</v>
      </c>
      <c r="BQ34">
        <f>SUMIF(DeadRaw!$B:$B,$A34,DeadRaw!BT:BT)</f>
        <v>0</v>
      </c>
      <c r="BR34">
        <f>SUMIF(DeadRaw!$B:$B,$A34,DeadRaw!BU:BU)</f>
        <v>0</v>
      </c>
      <c r="BS34">
        <f>SUMIF(DeadRaw!$B:$B,$A34,DeadRaw!BV:BV)</f>
        <v>0</v>
      </c>
      <c r="BT34">
        <f>SUMIF(DeadRaw!$B:$B,$A34,DeadRaw!BW:BW)</f>
        <v>0</v>
      </c>
    </row>
    <row r="35" spans="1:72" ht="15" thickBot="1" x14ac:dyDescent="0.35">
      <c r="A35" s="4" t="s">
        <v>98</v>
      </c>
      <c r="B35">
        <f>SUMIF(DeadRaw!$B:$B,$A35,DeadRaw!E:E)</f>
        <v>0</v>
      </c>
      <c r="C35">
        <f>SUMIF(DeadRaw!$B:$B,$A35,DeadRaw!F:F)</f>
        <v>0</v>
      </c>
      <c r="D35">
        <f>SUMIF(DeadRaw!$B:$B,$A35,DeadRaw!G:G)</f>
        <v>0</v>
      </c>
      <c r="E35">
        <f>SUMIF(DeadRaw!$B:$B,$A35,DeadRaw!H:H)</f>
        <v>0</v>
      </c>
      <c r="F35">
        <f>SUMIF(DeadRaw!$B:$B,$A35,DeadRaw!I:I)</f>
        <v>0</v>
      </c>
      <c r="G35">
        <f>SUMIF(DeadRaw!$B:$B,$A35,DeadRaw!J:J)</f>
        <v>0</v>
      </c>
      <c r="H35">
        <f>SUMIF(DeadRaw!$B:$B,$A35,DeadRaw!K:K)</f>
        <v>0</v>
      </c>
      <c r="I35">
        <f>SUMIF(DeadRaw!$B:$B,$A35,DeadRaw!L:L)</f>
        <v>0</v>
      </c>
      <c r="J35">
        <f>SUMIF(DeadRaw!$B:$B,$A35,DeadRaw!M:M)</f>
        <v>0</v>
      </c>
      <c r="K35">
        <f>SUMIF(DeadRaw!$B:$B,$A35,DeadRaw!N:N)</f>
        <v>0</v>
      </c>
      <c r="L35">
        <f>SUMIF(DeadRaw!$B:$B,$A35,DeadRaw!O:O)</f>
        <v>0</v>
      </c>
      <c r="M35">
        <f>SUMIF(DeadRaw!$B:$B,$A35,DeadRaw!P:P)</f>
        <v>0</v>
      </c>
      <c r="N35">
        <f>SUMIF(DeadRaw!$B:$B,$A35,DeadRaw!Q:Q)</f>
        <v>0</v>
      </c>
      <c r="O35">
        <f>SUMIF(DeadRaw!$B:$B,$A35,DeadRaw!R:R)</f>
        <v>0</v>
      </c>
      <c r="P35">
        <f>SUMIF(DeadRaw!$B:$B,$A35,DeadRaw!S:S)</f>
        <v>0</v>
      </c>
      <c r="Q35">
        <f>SUMIF(DeadRaw!$B:$B,$A35,DeadRaw!T:T)</f>
        <v>0</v>
      </c>
      <c r="R35">
        <f>SUMIF(DeadRaw!$B:$B,$A35,DeadRaw!U:U)</f>
        <v>0</v>
      </c>
      <c r="S35">
        <f>SUMIF(DeadRaw!$B:$B,$A35,DeadRaw!V:V)</f>
        <v>0</v>
      </c>
      <c r="T35">
        <f>SUMIF(DeadRaw!$B:$B,$A35,DeadRaw!W:W)</f>
        <v>0</v>
      </c>
      <c r="U35">
        <f>SUMIF(DeadRaw!$B:$B,$A35,DeadRaw!X:X)</f>
        <v>0</v>
      </c>
      <c r="V35">
        <f>SUMIF(DeadRaw!$B:$B,$A35,DeadRaw!Y:Y)</f>
        <v>0</v>
      </c>
      <c r="W35">
        <f>SUMIF(DeadRaw!$B:$B,$A35,DeadRaw!Z:Z)</f>
        <v>0</v>
      </c>
      <c r="X35">
        <f>SUMIF(DeadRaw!$B:$B,$A35,DeadRaw!AA:AA)</f>
        <v>0</v>
      </c>
      <c r="Y35">
        <f>SUMIF(DeadRaw!$B:$B,$A35,DeadRaw!AB:AB)</f>
        <v>0</v>
      </c>
      <c r="Z35">
        <f>SUMIF(DeadRaw!$B:$B,$A35,DeadRaw!AC:AC)</f>
        <v>0</v>
      </c>
      <c r="AA35">
        <f>SUMIF(DeadRaw!$B:$B,$A35,DeadRaw!AD:AD)</f>
        <v>0</v>
      </c>
      <c r="AB35">
        <f>SUMIF(DeadRaw!$B:$B,$A35,DeadRaw!AE:AE)</f>
        <v>0</v>
      </c>
      <c r="AC35">
        <f>SUMIF(DeadRaw!$B:$B,$A35,DeadRaw!AF:AF)</f>
        <v>0</v>
      </c>
      <c r="AD35">
        <f>SUMIF(DeadRaw!$B:$B,$A35,DeadRaw!AG:AG)</f>
        <v>0</v>
      </c>
      <c r="AE35">
        <f>SUMIF(DeadRaw!$B:$B,$A35,DeadRaw!AH:AH)</f>
        <v>0</v>
      </c>
      <c r="AF35">
        <f>SUMIF(DeadRaw!$B:$B,$A35,DeadRaw!AI:AI)</f>
        <v>0</v>
      </c>
      <c r="AG35">
        <f>SUMIF(DeadRaw!$B:$B,$A35,DeadRaw!AJ:AJ)</f>
        <v>0</v>
      </c>
      <c r="AH35">
        <f>SUMIF(DeadRaw!$B:$B,$A35,DeadRaw!AK:AK)</f>
        <v>0</v>
      </c>
      <c r="AI35">
        <f>SUMIF(DeadRaw!$B:$B,$A35,DeadRaw!AL:AL)</f>
        <v>0</v>
      </c>
      <c r="AJ35">
        <f>SUMIF(DeadRaw!$B:$B,$A35,DeadRaw!AM:AM)</f>
        <v>0</v>
      </c>
      <c r="AK35">
        <f>SUMIF(DeadRaw!$B:$B,$A35,DeadRaw!AN:AN)</f>
        <v>0</v>
      </c>
      <c r="AL35">
        <f>SUMIF(DeadRaw!$B:$B,$A35,DeadRaw!AO:AO)</f>
        <v>0</v>
      </c>
      <c r="AM35">
        <f>SUMIF(DeadRaw!$B:$B,$A35,DeadRaw!AP:AP)</f>
        <v>0</v>
      </c>
      <c r="AN35">
        <f>SUMIF(DeadRaw!$B:$B,$A35,DeadRaw!AQ:AQ)</f>
        <v>0</v>
      </c>
      <c r="AO35">
        <f>SUMIF(DeadRaw!$B:$B,$A35,DeadRaw!AR:AR)</f>
        <v>0</v>
      </c>
      <c r="AP35">
        <f>SUMIF(DeadRaw!$B:$B,$A35,DeadRaw!AS:AS)</f>
        <v>0</v>
      </c>
      <c r="AQ35">
        <f>SUMIF(DeadRaw!$B:$B,$A35,DeadRaw!AT:AT)</f>
        <v>0</v>
      </c>
      <c r="AR35">
        <f>SUMIF(DeadRaw!$B:$B,$A35,DeadRaw!AU:AU)</f>
        <v>0</v>
      </c>
      <c r="AS35">
        <f>SUMIF(DeadRaw!$B:$B,$A35,DeadRaw!AV:AV)</f>
        <v>0</v>
      </c>
      <c r="AT35">
        <f>SUMIF(DeadRaw!$B:$B,$A35,DeadRaw!AW:AW)</f>
        <v>0</v>
      </c>
      <c r="AU35">
        <f>SUMIF(DeadRaw!$B:$B,$A35,DeadRaw!AX:AX)</f>
        <v>0</v>
      </c>
      <c r="AV35">
        <f>SUMIF(DeadRaw!$B:$B,$A35,DeadRaw!AY:AY)</f>
        <v>0</v>
      </c>
      <c r="AW35">
        <f>SUMIF(DeadRaw!$B:$B,$A35,DeadRaw!AZ:AZ)</f>
        <v>0</v>
      </c>
      <c r="AX35">
        <f>SUMIF(DeadRaw!$B:$B,$A35,DeadRaw!BA:BA)</f>
        <v>0</v>
      </c>
      <c r="AY35">
        <f>SUMIF(DeadRaw!$B:$B,$A35,DeadRaw!BB:BB)</f>
        <v>1</v>
      </c>
      <c r="AZ35">
        <f>SUMIF(DeadRaw!$B:$B,$A35,DeadRaw!BC:BC)</f>
        <v>1</v>
      </c>
      <c r="BA35">
        <f>SUMIF(DeadRaw!$B:$B,$A35,DeadRaw!BD:BD)</f>
        <v>1</v>
      </c>
      <c r="BB35">
        <f>SUMIF(DeadRaw!$B:$B,$A35,DeadRaw!BE:BE)</f>
        <v>2</v>
      </c>
      <c r="BC35">
        <f>SUMIF(DeadRaw!$B:$B,$A35,DeadRaw!BF:BF)</f>
        <v>2</v>
      </c>
      <c r="BD35">
        <f>SUMIF(DeadRaw!$B:$B,$A35,DeadRaw!BG:BG)</f>
        <v>2</v>
      </c>
      <c r="BE35">
        <f>SUMIF(DeadRaw!$B:$B,$A35,DeadRaw!BH:BH)</f>
        <v>2</v>
      </c>
      <c r="BF35">
        <f>SUMIF(DeadRaw!$B:$B,$A35,DeadRaw!BI:BI)</f>
        <v>2</v>
      </c>
      <c r="BG35">
        <f>SUMIF(DeadRaw!$B:$B,$A35,DeadRaw!BJ:BJ)</f>
        <v>0</v>
      </c>
      <c r="BH35">
        <f>SUMIF(DeadRaw!$B:$B,$A35,DeadRaw!BK:BK)</f>
        <v>0</v>
      </c>
      <c r="BI35">
        <f>SUMIF(DeadRaw!$B:$B,$A35,DeadRaw!BL:BL)</f>
        <v>0</v>
      </c>
      <c r="BJ35">
        <f>SUMIF(DeadRaw!$B:$B,$A35,DeadRaw!BM:BM)</f>
        <v>0</v>
      </c>
      <c r="BK35">
        <f>SUMIF(DeadRaw!$B:$B,$A35,DeadRaw!BN:BN)</f>
        <v>0</v>
      </c>
      <c r="BL35">
        <f>SUMIF(DeadRaw!$B:$B,$A35,DeadRaw!BO:BO)</f>
        <v>0</v>
      </c>
      <c r="BM35">
        <f>SUMIF(DeadRaw!$B:$B,$A35,DeadRaw!BP:BP)</f>
        <v>0</v>
      </c>
      <c r="BN35">
        <f>SUMIF(DeadRaw!$B:$B,$A35,DeadRaw!BQ:BQ)</f>
        <v>0</v>
      </c>
      <c r="BO35">
        <f>SUMIF(DeadRaw!$B:$B,$A35,DeadRaw!BR:BR)</f>
        <v>0</v>
      </c>
      <c r="BP35">
        <f>SUMIF(DeadRaw!$B:$B,$A35,DeadRaw!BS:BS)</f>
        <v>0</v>
      </c>
      <c r="BQ35">
        <f>SUMIF(DeadRaw!$B:$B,$A35,DeadRaw!BT:BT)</f>
        <v>0</v>
      </c>
      <c r="BR35">
        <f>SUMIF(DeadRaw!$B:$B,$A35,DeadRaw!BU:BU)</f>
        <v>0</v>
      </c>
      <c r="BS35">
        <f>SUMIF(DeadRaw!$B:$B,$A35,DeadRaw!BV:BV)</f>
        <v>0</v>
      </c>
      <c r="BT35">
        <f>SUMIF(DeadRaw!$B:$B,$A35,DeadRaw!BW:BW)</f>
        <v>0</v>
      </c>
    </row>
    <row r="36" spans="1:72" ht="15" thickBot="1" x14ac:dyDescent="0.35">
      <c r="A36" s="3" t="s">
        <v>86</v>
      </c>
      <c r="B36">
        <f>SUMIF(DeadRaw!$B:$B,$A36,DeadRaw!E:E)</f>
        <v>0</v>
      </c>
      <c r="C36">
        <f>SUMIF(DeadRaw!$B:$B,$A36,DeadRaw!F:F)</f>
        <v>0</v>
      </c>
      <c r="D36">
        <f>SUMIF(DeadRaw!$B:$B,$A36,DeadRaw!G:G)</f>
        <v>0</v>
      </c>
      <c r="E36">
        <f>SUMIF(DeadRaw!$B:$B,$A36,DeadRaw!H:H)</f>
        <v>0</v>
      </c>
      <c r="F36">
        <f>SUMIF(DeadRaw!$B:$B,$A36,DeadRaw!I:I)</f>
        <v>0</v>
      </c>
      <c r="G36">
        <f>SUMIF(DeadRaw!$B:$B,$A36,DeadRaw!J:J)</f>
        <v>0</v>
      </c>
      <c r="H36">
        <f>SUMIF(DeadRaw!$B:$B,$A36,DeadRaw!K:K)</f>
        <v>0</v>
      </c>
      <c r="I36">
        <f>SUMIF(DeadRaw!$B:$B,$A36,DeadRaw!L:L)</f>
        <v>0</v>
      </c>
      <c r="J36">
        <f>SUMIF(DeadRaw!$B:$B,$A36,DeadRaw!M:M)</f>
        <v>0</v>
      </c>
      <c r="K36">
        <f>SUMIF(DeadRaw!$B:$B,$A36,DeadRaw!N:N)</f>
        <v>0</v>
      </c>
      <c r="L36">
        <f>SUMIF(DeadRaw!$B:$B,$A36,DeadRaw!O:O)</f>
        <v>0</v>
      </c>
      <c r="M36">
        <f>SUMIF(DeadRaw!$B:$B,$A36,DeadRaw!P:P)</f>
        <v>0</v>
      </c>
      <c r="N36">
        <f>SUMIF(DeadRaw!$B:$B,$A36,DeadRaw!Q:Q)</f>
        <v>0</v>
      </c>
      <c r="O36">
        <f>SUMIF(DeadRaw!$B:$B,$A36,DeadRaw!R:R)</f>
        <v>0</v>
      </c>
      <c r="P36">
        <f>SUMIF(DeadRaw!$B:$B,$A36,DeadRaw!S:S)</f>
        <v>0</v>
      </c>
      <c r="Q36">
        <f>SUMIF(DeadRaw!$B:$B,$A36,DeadRaw!T:T)</f>
        <v>0</v>
      </c>
      <c r="R36">
        <f>SUMIF(DeadRaw!$B:$B,$A36,DeadRaw!U:U)</f>
        <v>0</v>
      </c>
      <c r="S36">
        <f>SUMIF(DeadRaw!$B:$B,$A36,DeadRaw!V:V)</f>
        <v>0</v>
      </c>
      <c r="T36">
        <f>SUMIF(DeadRaw!$B:$B,$A36,DeadRaw!W:W)</f>
        <v>0</v>
      </c>
      <c r="U36">
        <f>SUMIF(DeadRaw!$B:$B,$A36,DeadRaw!X:X)</f>
        <v>0</v>
      </c>
      <c r="V36">
        <f>SUMIF(DeadRaw!$B:$B,$A36,DeadRaw!Y:Y)</f>
        <v>0</v>
      </c>
      <c r="W36">
        <f>SUMIF(DeadRaw!$B:$B,$A36,DeadRaw!Z:Z)</f>
        <v>0</v>
      </c>
      <c r="X36">
        <f>SUMIF(DeadRaw!$B:$B,$A36,DeadRaw!AA:AA)</f>
        <v>0</v>
      </c>
      <c r="Y36">
        <f>SUMIF(DeadRaw!$B:$B,$A36,DeadRaw!AB:AB)</f>
        <v>0</v>
      </c>
      <c r="Z36">
        <f>SUMIF(DeadRaw!$B:$B,$A36,DeadRaw!AC:AC)</f>
        <v>0</v>
      </c>
      <c r="AA36">
        <f>SUMIF(DeadRaw!$B:$B,$A36,DeadRaw!AD:AD)</f>
        <v>0</v>
      </c>
      <c r="AB36">
        <f>SUMIF(DeadRaw!$B:$B,$A36,DeadRaw!AE:AE)</f>
        <v>0</v>
      </c>
      <c r="AC36">
        <f>SUMIF(DeadRaw!$B:$B,$A36,DeadRaw!AF:AF)</f>
        <v>0</v>
      </c>
      <c r="AD36">
        <f>SUMIF(DeadRaw!$B:$B,$A36,DeadRaw!AG:AG)</f>
        <v>0</v>
      </c>
      <c r="AE36">
        <f>SUMIF(DeadRaw!$B:$B,$A36,DeadRaw!AH:AH)</f>
        <v>0</v>
      </c>
      <c r="AF36">
        <f>SUMIF(DeadRaw!$B:$B,$A36,DeadRaw!AI:AI)</f>
        <v>0</v>
      </c>
      <c r="AG36">
        <f>SUMIF(DeadRaw!$B:$B,$A36,DeadRaw!AJ:AJ)</f>
        <v>0</v>
      </c>
      <c r="AH36">
        <f>SUMIF(DeadRaw!$B:$B,$A36,DeadRaw!AK:AK)</f>
        <v>0</v>
      </c>
      <c r="AI36">
        <f>SUMIF(DeadRaw!$B:$B,$A36,DeadRaw!AL:AL)</f>
        <v>0</v>
      </c>
      <c r="AJ36">
        <f>SUMIF(DeadRaw!$B:$B,$A36,DeadRaw!AM:AM)</f>
        <v>0</v>
      </c>
      <c r="AK36">
        <f>SUMIF(DeadRaw!$B:$B,$A36,DeadRaw!AN:AN)</f>
        <v>0</v>
      </c>
      <c r="AL36">
        <f>SUMIF(DeadRaw!$B:$B,$A36,DeadRaw!AO:AO)</f>
        <v>0</v>
      </c>
      <c r="AM36">
        <f>SUMIF(DeadRaw!$B:$B,$A36,DeadRaw!AP:AP)</f>
        <v>0</v>
      </c>
      <c r="AN36">
        <f>SUMIF(DeadRaw!$B:$B,$A36,DeadRaw!AQ:AQ)</f>
        <v>0</v>
      </c>
      <c r="AO36">
        <f>SUMIF(DeadRaw!$B:$B,$A36,DeadRaw!AR:AR)</f>
        <v>0</v>
      </c>
      <c r="AP36">
        <f>SUMIF(DeadRaw!$B:$B,$A36,DeadRaw!AS:AS)</f>
        <v>0</v>
      </c>
      <c r="AQ36">
        <f>SUMIF(DeadRaw!$B:$B,$A36,DeadRaw!AT:AT)</f>
        <v>0</v>
      </c>
      <c r="AR36">
        <f>SUMIF(DeadRaw!$B:$B,$A36,DeadRaw!AU:AU)</f>
        <v>0</v>
      </c>
      <c r="AS36">
        <f>SUMIF(DeadRaw!$B:$B,$A36,DeadRaw!AV:AV)</f>
        <v>0</v>
      </c>
      <c r="AT36">
        <f>SUMIF(DeadRaw!$B:$B,$A36,DeadRaw!AW:AW)</f>
        <v>0</v>
      </c>
      <c r="AU36">
        <f>SUMIF(DeadRaw!$B:$B,$A36,DeadRaw!AX:AX)</f>
        <v>0</v>
      </c>
      <c r="AV36">
        <f>SUMIF(DeadRaw!$B:$B,$A36,DeadRaw!AY:AY)</f>
        <v>0</v>
      </c>
      <c r="AW36">
        <f>SUMIF(DeadRaw!$B:$B,$A36,DeadRaw!AZ:AZ)</f>
        <v>0</v>
      </c>
      <c r="AX36">
        <f>SUMIF(DeadRaw!$B:$B,$A36,DeadRaw!BA:BA)</f>
        <v>0</v>
      </c>
      <c r="AY36">
        <f>SUMIF(DeadRaw!$B:$B,$A36,DeadRaw!BB:BB)</f>
        <v>0</v>
      </c>
      <c r="AZ36">
        <f>SUMIF(DeadRaw!$B:$B,$A36,DeadRaw!BC:BC)</f>
        <v>0</v>
      </c>
      <c r="BA36">
        <f>SUMIF(DeadRaw!$B:$B,$A36,DeadRaw!BD:BD)</f>
        <v>0</v>
      </c>
      <c r="BB36">
        <f>SUMIF(DeadRaw!$B:$B,$A36,DeadRaw!BE:BE)</f>
        <v>0</v>
      </c>
      <c r="BC36">
        <f>SUMIF(DeadRaw!$B:$B,$A36,DeadRaw!BF:BF)</f>
        <v>0</v>
      </c>
      <c r="BD36">
        <f>SUMIF(DeadRaw!$B:$B,$A36,DeadRaw!BG:BG)</f>
        <v>0</v>
      </c>
      <c r="BE36">
        <f>SUMIF(DeadRaw!$B:$B,$A36,DeadRaw!BH:BH)</f>
        <v>0</v>
      </c>
      <c r="BF36">
        <f>SUMIF(DeadRaw!$B:$B,$A36,DeadRaw!BI:BI)</f>
        <v>0</v>
      </c>
      <c r="BG36">
        <f>SUMIF(DeadRaw!$B:$B,$A36,DeadRaw!BJ:BJ)</f>
        <v>0</v>
      </c>
      <c r="BH36">
        <f>SUMIF(DeadRaw!$B:$B,$A36,DeadRaw!BK:BK)</f>
        <v>0</v>
      </c>
      <c r="BI36">
        <f>SUMIF(DeadRaw!$B:$B,$A36,DeadRaw!BL:BL)</f>
        <v>0</v>
      </c>
      <c r="BJ36">
        <f>SUMIF(DeadRaw!$B:$B,$A36,DeadRaw!BM:BM)</f>
        <v>0</v>
      </c>
      <c r="BK36">
        <f>SUMIF(DeadRaw!$B:$B,$A36,DeadRaw!BN:BN)</f>
        <v>0</v>
      </c>
      <c r="BL36">
        <f>SUMIF(DeadRaw!$B:$B,$A36,DeadRaw!BO:BO)</f>
        <v>0</v>
      </c>
      <c r="BM36">
        <f>SUMIF(DeadRaw!$B:$B,$A36,DeadRaw!BP:BP)</f>
        <v>0</v>
      </c>
      <c r="BN36">
        <f>SUMIF(DeadRaw!$B:$B,$A36,DeadRaw!BQ:BQ)</f>
        <v>0</v>
      </c>
      <c r="BO36">
        <f>SUMIF(DeadRaw!$B:$B,$A36,DeadRaw!BR:BR)</f>
        <v>0</v>
      </c>
      <c r="BP36">
        <f>SUMIF(DeadRaw!$B:$B,$A36,DeadRaw!BS:BS)</f>
        <v>0</v>
      </c>
      <c r="BQ36">
        <f>SUMIF(DeadRaw!$B:$B,$A36,DeadRaw!BT:BT)</f>
        <v>0</v>
      </c>
      <c r="BR36">
        <f>SUMIF(DeadRaw!$B:$B,$A36,DeadRaw!BU:BU)</f>
        <v>0</v>
      </c>
      <c r="BS36">
        <f>SUMIF(DeadRaw!$B:$B,$A36,DeadRaw!BV:BV)</f>
        <v>0</v>
      </c>
      <c r="BT36">
        <f>SUMIF(DeadRaw!$B:$B,$A36,DeadRaw!BW:BW)</f>
        <v>0</v>
      </c>
    </row>
    <row r="37" spans="1:72" ht="15" thickBot="1" x14ac:dyDescent="0.35">
      <c r="A37" s="4" t="s">
        <v>113</v>
      </c>
      <c r="B37">
        <f>SUMIF(DeadRaw!$B:$B,$A37,DeadRaw!E:E)</f>
        <v>0</v>
      </c>
      <c r="C37">
        <f>SUMIF(DeadRaw!$B:$B,$A37,DeadRaw!F:F)</f>
        <v>0</v>
      </c>
      <c r="D37">
        <f>SUMIF(DeadRaw!$B:$B,$A37,DeadRaw!G:G)</f>
        <v>0</v>
      </c>
      <c r="E37">
        <f>SUMIF(DeadRaw!$B:$B,$A37,DeadRaw!H:H)</f>
        <v>0</v>
      </c>
      <c r="F37">
        <f>SUMIF(DeadRaw!$B:$B,$A37,DeadRaw!I:I)</f>
        <v>0</v>
      </c>
      <c r="G37">
        <f>SUMIF(DeadRaw!$B:$B,$A37,DeadRaw!J:J)</f>
        <v>0</v>
      </c>
      <c r="H37">
        <f>SUMIF(DeadRaw!$B:$B,$A37,DeadRaw!K:K)</f>
        <v>0</v>
      </c>
      <c r="I37">
        <f>SUMIF(DeadRaw!$B:$B,$A37,DeadRaw!L:L)</f>
        <v>0</v>
      </c>
      <c r="J37">
        <f>SUMIF(DeadRaw!$B:$B,$A37,DeadRaw!M:M)</f>
        <v>0</v>
      </c>
      <c r="K37">
        <f>SUMIF(DeadRaw!$B:$B,$A37,DeadRaw!N:N)</f>
        <v>0</v>
      </c>
      <c r="L37">
        <f>SUMIF(DeadRaw!$B:$B,$A37,DeadRaw!O:O)</f>
        <v>0</v>
      </c>
      <c r="M37">
        <f>SUMIF(DeadRaw!$B:$B,$A37,DeadRaw!P:P)</f>
        <v>0</v>
      </c>
      <c r="N37">
        <f>SUMIF(DeadRaw!$B:$B,$A37,DeadRaw!Q:Q)</f>
        <v>0</v>
      </c>
      <c r="O37">
        <f>SUMIF(DeadRaw!$B:$B,$A37,DeadRaw!R:R)</f>
        <v>0</v>
      </c>
      <c r="P37">
        <f>SUMIF(DeadRaw!$B:$B,$A37,DeadRaw!S:S)</f>
        <v>0</v>
      </c>
      <c r="Q37">
        <f>SUMIF(DeadRaw!$B:$B,$A37,DeadRaw!T:T)</f>
        <v>0</v>
      </c>
      <c r="R37">
        <f>SUMIF(DeadRaw!$B:$B,$A37,DeadRaw!U:U)</f>
        <v>0</v>
      </c>
      <c r="S37">
        <f>SUMIF(DeadRaw!$B:$B,$A37,DeadRaw!V:V)</f>
        <v>0</v>
      </c>
      <c r="T37">
        <f>SUMIF(DeadRaw!$B:$B,$A37,DeadRaw!W:W)</f>
        <v>0</v>
      </c>
      <c r="U37">
        <f>SUMIF(DeadRaw!$B:$B,$A37,DeadRaw!X:X)</f>
        <v>0</v>
      </c>
      <c r="V37">
        <f>SUMIF(DeadRaw!$B:$B,$A37,DeadRaw!Y:Y)</f>
        <v>0</v>
      </c>
      <c r="W37">
        <f>SUMIF(DeadRaw!$B:$B,$A37,DeadRaw!Z:Z)</f>
        <v>0</v>
      </c>
      <c r="X37">
        <f>SUMIF(DeadRaw!$B:$B,$A37,DeadRaw!AA:AA)</f>
        <v>0</v>
      </c>
      <c r="Y37">
        <f>SUMIF(DeadRaw!$B:$B,$A37,DeadRaw!AB:AB)</f>
        <v>0</v>
      </c>
      <c r="Z37">
        <f>SUMIF(DeadRaw!$B:$B,$A37,DeadRaw!AC:AC)</f>
        <v>0</v>
      </c>
      <c r="AA37">
        <f>SUMIF(DeadRaw!$B:$B,$A37,DeadRaw!AD:AD)</f>
        <v>0</v>
      </c>
      <c r="AB37">
        <f>SUMIF(DeadRaw!$B:$B,$A37,DeadRaw!AE:AE)</f>
        <v>0</v>
      </c>
      <c r="AC37">
        <f>SUMIF(DeadRaw!$B:$B,$A37,DeadRaw!AF:AF)</f>
        <v>0</v>
      </c>
      <c r="AD37">
        <f>SUMIF(DeadRaw!$B:$B,$A37,DeadRaw!AG:AG)</f>
        <v>0</v>
      </c>
      <c r="AE37">
        <f>SUMIF(DeadRaw!$B:$B,$A37,DeadRaw!AH:AH)</f>
        <v>0</v>
      </c>
      <c r="AF37">
        <f>SUMIF(DeadRaw!$B:$B,$A37,DeadRaw!AI:AI)</f>
        <v>0</v>
      </c>
      <c r="AG37">
        <f>SUMIF(DeadRaw!$B:$B,$A37,DeadRaw!AJ:AJ)</f>
        <v>0</v>
      </c>
      <c r="AH37">
        <f>SUMIF(DeadRaw!$B:$B,$A37,DeadRaw!AK:AK)</f>
        <v>0</v>
      </c>
      <c r="AI37">
        <f>SUMIF(DeadRaw!$B:$B,$A37,DeadRaw!AL:AL)</f>
        <v>0</v>
      </c>
      <c r="AJ37">
        <f>SUMIF(DeadRaw!$B:$B,$A37,DeadRaw!AM:AM)</f>
        <v>0</v>
      </c>
      <c r="AK37">
        <f>SUMIF(DeadRaw!$B:$B,$A37,DeadRaw!AN:AN)</f>
        <v>0</v>
      </c>
      <c r="AL37">
        <f>SUMIF(DeadRaw!$B:$B,$A37,DeadRaw!AO:AO)</f>
        <v>0</v>
      </c>
      <c r="AM37">
        <f>SUMIF(DeadRaw!$B:$B,$A37,DeadRaw!AP:AP)</f>
        <v>0</v>
      </c>
      <c r="AN37">
        <f>SUMIF(DeadRaw!$B:$B,$A37,DeadRaw!AQ:AQ)</f>
        <v>0</v>
      </c>
      <c r="AO37">
        <f>SUMIF(DeadRaw!$B:$B,$A37,DeadRaw!AR:AR)</f>
        <v>0</v>
      </c>
      <c r="AP37">
        <f>SUMIF(DeadRaw!$B:$B,$A37,DeadRaw!AS:AS)</f>
        <v>0</v>
      </c>
      <c r="AQ37">
        <f>SUMIF(DeadRaw!$B:$B,$A37,DeadRaw!AT:AT)</f>
        <v>0</v>
      </c>
      <c r="AR37">
        <f>SUMIF(DeadRaw!$B:$B,$A37,DeadRaw!AU:AU)</f>
        <v>0</v>
      </c>
      <c r="AS37">
        <f>SUMIF(DeadRaw!$B:$B,$A37,DeadRaw!AV:AV)</f>
        <v>0</v>
      </c>
      <c r="AT37">
        <f>SUMIF(DeadRaw!$B:$B,$A37,DeadRaw!AW:AW)</f>
        <v>0</v>
      </c>
      <c r="AU37">
        <f>SUMIF(DeadRaw!$B:$B,$A37,DeadRaw!AX:AX)</f>
        <v>0</v>
      </c>
      <c r="AV37">
        <f>SUMIF(DeadRaw!$B:$B,$A37,DeadRaw!AY:AY)</f>
        <v>0</v>
      </c>
      <c r="AW37">
        <f>SUMIF(DeadRaw!$B:$B,$A37,DeadRaw!AZ:AZ)</f>
        <v>0</v>
      </c>
      <c r="AX37">
        <f>SUMIF(DeadRaw!$B:$B,$A37,DeadRaw!BA:BA)</f>
        <v>0</v>
      </c>
      <c r="AY37">
        <f>SUMIF(DeadRaw!$B:$B,$A37,DeadRaw!BB:BB)</f>
        <v>0</v>
      </c>
      <c r="AZ37">
        <f>SUMIF(DeadRaw!$B:$B,$A37,DeadRaw!BC:BC)</f>
        <v>0</v>
      </c>
      <c r="BA37">
        <f>SUMIF(DeadRaw!$B:$B,$A37,DeadRaw!BD:BD)</f>
        <v>0</v>
      </c>
      <c r="BB37">
        <f>SUMIF(DeadRaw!$B:$B,$A37,DeadRaw!BE:BE)</f>
        <v>0</v>
      </c>
      <c r="BC37">
        <f>SUMIF(DeadRaw!$B:$B,$A37,DeadRaw!BF:BF)</f>
        <v>0</v>
      </c>
      <c r="BD37">
        <f>SUMIF(DeadRaw!$B:$B,$A37,DeadRaw!BG:BG)</f>
        <v>0</v>
      </c>
      <c r="BE37">
        <f>SUMIF(DeadRaw!$B:$B,$A37,DeadRaw!BH:BH)</f>
        <v>0</v>
      </c>
      <c r="BF37">
        <f>SUMIF(DeadRaw!$B:$B,$A37,DeadRaw!BI:BI)</f>
        <v>0</v>
      </c>
      <c r="BG37">
        <f>SUMIF(DeadRaw!$B:$B,$A37,DeadRaw!BJ:BJ)</f>
        <v>0</v>
      </c>
      <c r="BH37">
        <f>SUMIF(DeadRaw!$B:$B,$A37,DeadRaw!BK:BK)</f>
        <v>0</v>
      </c>
      <c r="BI37">
        <f>SUMIF(DeadRaw!$B:$B,$A37,DeadRaw!BL:BL)</f>
        <v>0</v>
      </c>
      <c r="BJ37">
        <f>SUMIF(DeadRaw!$B:$B,$A37,DeadRaw!BM:BM)</f>
        <v>0</v>
      </c>
      <c r="BK37">
        <f>SUMIF(DeadRaw!$B:$B,$A37,DeadRaw!BN:BN)</f>
        <v>0</v>
      </c>
      <c r="BL37">
        <f>SUMIF(DeadRaw!$B:$B,$A37,DeadRaw!BO:BO)</f>
        <v>0</v>
      </c>
      <c r="BM37">
        <f>SUMIF(DeadRaw!$B:$B,$A37,DeadRaw!BP:BP)</f>
        <v>0</v>
      </c>
      <c r="BN37">
        <f>SUMIF(DeadRaw!$B:$B,$A37,DeadRaw!BQ:BQ)</f>
        <v>0</v>
      </c>
      <c r="BO37">
        <f>SUMIF(DeadRaw!$B:$B,$A37,DeadRaw!BR:BR)</f>
        <v>0</v>
      </c>
      <c r="BP37">
        <f>SUMIF(DeadRaw!$B:$B,$A37,DeadRaw!BS:BS)</f>
        <v>0</v>
      </c>
      <c r="BQ37">
        <f>SUMIF(DeadRaw!$B:$B,$A37,DeadRaw!BT:BT)</f>
        <v>0</v>
      </c>
      <c r="BR37">
        <f>SUMIF(DeadRaw!$B:$B,$A37,DeadRaw!BU:BU)</f>
        <v>0</v>
      </c>
      <c r="BS37">
        <f>SUMIF(DeadRaw!$B:$B,$A37,DeadRaw!BV:BV)</f>
        <v>0</v>
      </c>
      <c r="BT37">
        <f>SUMIF(DeadRaw!$B:$B,$A37,DeadRaw!BW:BW)</f>
        <v>0</v>
      </c>
    </row>
    <row r="38" spans="1:72" ht="15" thickBot="1" x14ac:dyDescent="0.35">
      <c r="A38" s="4" t="s">
        <v>55</v>
      </c>
      <c r="B38">
        <f>SUMIF(DeadRaw!$B:$B,$A38,DeadRaw!E:E)</f>
        <v>0</v>
      </c>
      <c r="C38">
        <f>SUMIF(DeadRaw!$B:$B,$A38,DeadRaw!F:F)</f>
        <v>0</v>
      </c>
      <c r="D38">
        <f>SUMIF(DeadRaw!$B:$B,$A38,DeadRaw!G:G)</f>
        <v>0</v>
      </c>
      <c r="E38">
        <f>SUMIF(DeadRaw!$B:$B,$A38,DeadRaw!H:H)</f>
        <v>0</v>
      </c>
      <c r="F38">
        <f>SUMIF(DeadRaw!$B:$B,$A38,DeadRaw!I:I)</f>
        <v>0</v>
      </c>
      <c r="G38">
        <f>SUMIF(DeadRaw!$B:$B,$A38,DeadRaw!J:J)</f>
        <v>0</v>
      </c>
      <c r="H38">
        <f>SUMIF(DeadRaw!$B:$B,$A38,DeadRaw!K:K)</f>
        <v>0</v>
      </c>
      <c r="I38">
        <f>SUMIF(DeadRaw!$B:$B,$A38,DeadRaw!L:L)</f>
        <v>0</v>
      </c>
      <c r="J38">
        <f>SUMIF(DeadRaw!$B:$B,$A38,DeadRaw!M:M)</f>
        <v>0</v>
      </c>
      <c r="K38">
        <f>SUMIF(DeadRaw!$B:$B,$A38,DeadRaw!N:N)</f>
        <v>0</v>
      </c>
      <c r="L38">
        <f>SUMIF(DeadRaw!$B:$B,$A38,DeadRaw!O:O)</f>
        <v>0</v>
      </c>
      <c r="M38">
        <f>SUMIF(DeadRaw!$B:$B,$A38,DeadRaw!P:P)</f>
        <v>0</v>
      </c>
      <c r="N38">
        <f>SUMIF(DeadRaw!$B:$B,$A38,DeadRaw!Q:Q)</f>
        <v>0</v>
      </c>
      <c r="O38">
        <f>SUMIF(DeadRaw!$B:$B,$A38,DeadRaw!R:R)</f>
        <v>0</v>
      </c>
      <c r="P38">
        <f>SUMIF(DeadRaw!$B:$B,$A38,DeadRaw!S:S)</f>
        <v>0</v>
      </c>
      <c r="Q38">
        <f>SUMIF(DeadRaw!$B:$B,$A38,DeadRaw!T:T)</f>
        <v>0</v>
      </c>
      <c r="R38">
        <f>SUMIF(DeadRaw!$B:$B,$A38,DeadRaw!U:U)</f>
        <v>0</v>
      </c>
      <c r="S38">
        <f>SUMIF(DeadRaw!$B:$B,$A38,DeadRaw!V:V)</f>
        <v>0</v>
      </c>
      <c r="T38">
        <f>SUMIF(DeadRaw!$B:$B,$A38,DeadRaw!W:W)</f>
        <v>0</v>
      </c>
      <c r="U38">
        <f>SUMIF(DeadRaw!$B:$B,$A38,DeadRaw!X:X)</f>
        <v>0</v>
      </c>
      <c r="V38">
        <f>SUMIF(DeadRaw!$B:$B,$A38,DeadRaw!Y:Y)</f>
        <v>0</v>
      </c>
      <c r="W38">
        <f>SUMIF(DeadRaw!$B:$B,$A38,DeadRaw!Z:Z)</f>
        <v>0</v>
      </c>
      <c r="X38">
        <f>SUMIF(DeadRaw!$B:$B,$A38,DeadRaw!AA:AA)</f>
        <v>0</v>
      </c>
      <c r="Y38">
        <f>SUMIF(DeadRaw!$B:$B,$A38,DeadRaw!AB:AB)</f>
        <v>0</v>
      </c>
      <c r="Z38">
        <f>SUMIF(DeadRaw!$B:$B,$A38,DeadRaw!AC:AC)</f>
        <v>0</v>
      </c>
      <c r="AA38">
        <f>SUMIF(DeadRaw!$B:$B,$A38,DeadRaw!AD:AD)</f>
        <v>0</v>
      </c>
      <c r="AB38">
        <f>SUMIF(DeadRaw!$B:$B,$A38,DeadRaw!AE:AE)</f>
        <v>0</v>
      </c>
      <c r="AC38">
        <f>SUMIF(DeadRaw!$B:$B,$A38,DeadRaw!AF:AF)</f>
        <v>0</v>
      </c>
      <c r="AD38">
        <f>SUMIF(DeadRaw!$B:$B,$A38,DeadRaw!AG:AG)</f>
        <v>0</v>
      </c>
      <c r="AE38">
        <f>SUMIF(DeadRaw!$B:$B,$A38,DeadRaw!AH:AH)</f>
        <v>0</v>
      </c>
      <c r="AF38">
        <f>SUMIF(DeadRaw!$B:$B,$A38,DeadRaw!AI:AI)</f>
        <v>0</v>
      </c>
      <c r="AG38">
        <f>SUMIF(DeadRaw!$B:$B,$A38,DeadRaw!AJ:AJ)</f>
        <v>0</v>
      </c>
      <c r="AH38">
        <f>SUMIF(DeadRaw!$B:$B,$A38,DeadRaw!AK:AK)</f>
        <v>0</v>
      </c>
      <c r="AI38">
        <f>SUMIF(DeadRaw!$B:$B,$A38,DeadRaw!AL:AL)</f>
        <v>0</v>
      </c>
      <c r="AJ38">
        <f>SUMIF(DeadRaw!$B:$B,$A38,DeadRaw!AM:AM)</f>
        <v>0</v>
      </c>
      <c r="AK38">
        <f>SUMIF(DeadRaw!$B:$B,$A38,DeadRaw!AN:AN)</f>
        <v>0</v>
      </c>
      <c r="AL38">
        <f>SUMIF(DeadRaw!$B:$B,$A38,DeadRaw!AO:AO)</f>
        <v>0</v>
      </c>
      <c r="AM38">
        <f>SUMIF(DeadRaw!$B:$B,$A38,DeadRaw!AP:AP)</f>
        <v>0</v>
      </c>
      <c r="AN38">
        <f>SUMIF(DeadRaw!$B:$B,$A38,DeadRaw!AQ:AQ)</f>
        <v>0</v>
      </c>
      <c r="AO38">
        <f>SUMIF(DeadRaw!$B:$B,$A38,DeadRaw!AR:AR)</f>
        <v>0</v>
      </c>
      <c r="AP38">
        <f>SUMIF(DeadRaw!$B:$B,$A38,DeadRaw!AS:AS)</f>
        <v>0</v>
      </c>
      <c r="AQ38">
        <f>SUMIF(DeadRaw!$B:$B,$A38,DeadRaw!AT:AT)</f>
        <v>0</v>
      </c>
      <c r="AR38">
        <f>SUMIF(DeadRaw!$B:$B,$A38,DeadRaw!AU:AU)</f>
        <v>0</v>
      </c>
      <c r="AS38">
        <f>SUMIF(DeadRaw!$B:$B,$A38,DeadRaw!AV:AV)</f>
        <v>0</v>
      </c>
      <c r="AT38">
        <f>SUMIF(DeadRaw!$B:$B,$A38,DeadRaw!AW:AW)</f>
        <v>0</v>
      </c>
      <c r="AU38">
        <f>SUMIF(DeadRaw!$B:$B,$A38,DeadRaw!AX:AX)</f>
        <v>0</v>
      </c>
      <c r="AV38">
        <f>SUMIF(DeadRaw!$B:$B,$A38,DeadRaw!AY:AY)</f>
        <v>0</v>
      </c>
      <c r="AW38">
        <f>SUMIF(DeadRaw!$B:$B,$A38,DeadRaw!AZ:AZ)</f>
        <v>0</v>
      </c>
      <c r="AX38">
        <f>SUMIF(DeadRaw!$B:$B,$A38,DeadRaw!BA:BA)</f>
        <v>0</v>
      </c>
      <c r="AY38">
        <f>SUMIF(DeadRaw!$B:$B,$A38,DeadRaw!BB:BB)</f>
        <v>0</v>
      </c>
      <c r="AZ38">
        <f>SUMIF(DeadRaw!$B:$B,$A38,DeadRaw!BC:BC)</f>
        <v>0</v>
      </c>
      <c r="BA38">
        <f>SUMIF(DeadRaw!$B:$B,$A38,DeadRaw!BD:BD)</f>
        <v>0</v>
      </c>
      <c r="BB38">
        <f>SUMIF(DeadRaw!$B:$B,$A38,DeadRaw!BE:BE)</f>
        <v>0</v>
      </c>
      <c r="BC38">
        <f>SUMIF(DeadRaw!$B:$B,$A38,DeadRaw!BF:BF)</f>
        <v>0</v>
      </c>
      <c r="BD38">
        <f>SUMIF(DeadRaw!$B:$B,$A38,DeadRaw!BG:BG)</f>
        <v>0</v>
      </c>
      <c r="BE38">
        <f>SUMIF(DeadRaw!$B:$B,$A38,DeadRaw!BH:BH)</f>
        <v>0</v>
      </c>
      <c r="BF38">
        <f>SUMIF(DeadRaw!$B:$B,$A38,DeadRaw!BI:BI)</f>
        <v>0</v>
      </c>
      <c r="BG38">
        <f>SUMIF(DeadRaw!$B:$B,$A38,DeadRaw!BJ:BJ)</f>
        <v>0</v>
      </c>
      <c r="BH38">
        <f>SUMIF(DeadRaw!$B:$B,$A38,DeadRaw!BK:BK)</f>
        <v>0</v>
      </c>
      <c r="BI38">
        <f>SUMIF(DeadRaw!$B:$B,$A38,DeadRaw!BL:BL)</f>
        <v>0</v>
      </c>
      <c r="BJ38">
        <f>SUMIF(DeadRaw!$B:$B,$A38,DeadRaw!BM:BM)</f>
        <v>0</v>
      </c>
      <c r="BK38">
        <f>SUMIF(DeadRaw!$B:$B,$A38,DeadRaw!BN:BN)</f>
        <v>0</v>
      </c>
      <c r="BL38">
        <f>SUMIF(DeadRaw!$B:$B,$A38,DeadRaw!BO:BO)</f>
        <v>0</v>
      </c>
      <c r="BM38">
        <f>SUMIF(DeadRaw!$B:$B,$A38,DeadRaw!BP:BP)</f>
        <v>0</v>
      </c>
      <c r="BN38">
        <f>SUMIF(DeadRaw!$B:$B,$A38,DeadRaw!BQ:BQ)</f>
        <v>0</v>
      </c>
      <c r="BO38">
        <f>SUMIF(DeadRaw!$B:$B,$A38,DeadRaw!BR:BR)</f>
        <v>0</v>
      </c>
      <c r="BP38">
        <f>SUMIF(DeadRaw!$B:$B,$A38,DeadRaw!BS:BS)</f>
        <v>0</v>
      </c>
      <c r="BQ38">
        <f>SUMIF(DeadRaw!$B:$B,$A38,DeadRaw!BT:BT)</f>
        <v>0</v>
      </c>
      <c r="BR38">
        <f>SUMIF(DeadRaw!$B:$B,$A38,DeadRaw!BU:BU)</f>
        <v>0</v>
      </c>
      <c r="BS38">
        <f>SUMIF(DeadRaw!$B:$B,$A38,DeadRaw!BV:BV)</f>
        <v>0</v>
      </c>
      <c r="BT38">
        <f>SUMIF(DeadRaw!$B:$B,$A38,DeadRaw!BW:BW)</f>
        <v>0</v>
      </c>
    </row>
    <row r="39" spans="1:72" ht="15" thickBot="1" x14ac:dyDescent="0.35">
      <c r="A39" s="4" t="s">
        <v>57</v>
      </c>
      <c r="B39">
        <f>SUMIF(DeadRaw!$B:$B,$A39,DeadRaw!E:E)</f>
        <v>0</v>
      </c>
      <c r="C39">
        <f>SUMIF(DeadRaw!$B:$B,$A39,DeadRaw!F:F)</f>
        <v>0</v>
      </c>
      <c r="D39">
        <f>SUMIF(DeadRaw!$B:$B,$A39,DeadRaw!G:G)</f>
        <v>0</v>
      </c>
      <c r="E39">
        <f>SUMIF(DeadRaw!$B:$B,$A39,DeadRaw!H:H)</f>
        <v>0</v>
      </c>
      <c r="F39">
        <f>SUMIF(DeadRaw!$B:$B,$A39,DeadRaw!I:I)</f>
        <v>0</v>
      </c>
      <c r="G39">
        <f>SUMIF(DeadRaw!$B:$B,$A39,DeadRaw!J:J)</f>
        <v>0</v>
      </c>
      <c r="H39">
        <f>SUMIF(DeadRaw!$B:$B,$A39,DeadRaw!K:K)</f>
        <v>0</v>
      </c>
      <c r="I39">
        <f>SUMIF(DeadRaw!$B:$B,$A39,DeadRaw!L:L)</f>
        <v>0</v>
      </c>
      <c r="J39">
        <f>SUMIF(DeadRaw!$B:$B,$A39,DeadRaw!M:M)</f>
        <v>0</v>
      </c>
      <c r="K39">
        <f>SUMIF(DeadRaw!$B:$B,$A39,DeadRaw!N:N)</f>
        <v>0</v>
      </c>
      <c r="L39">
        <f>SUMIF(DeadRaw!$B:$B,$A39,DeadRaw!O:O)</f>
        <v>0</v>
      </c>
      <c r="M39">
        <f>SUMIF(DeadRaw!$B:$B,$A39,DeadRaw!P:P)</f>
        <v>0</v>
      </c>
      <c r="N39">
        <f>SUMIF(DeadRaw!$B:$B,$A39,DeadRaw!Q:Q)</f>
        <v>0</v>
      </c>
      <c r="O39">
        <f>SUMIF(DeadRaw!$B:$B,$A39,DeadRaw!R:R)</f>
        <v>0</v>
      </c>
      <c r="P39">
        <f>SUMIF(DeadRaw!$B:$B,$A39,DeadRaw!S:S)</f>
        <v>0</v>
      </c>
      <c r="Q39">
        <f>SUMIF(DeadRaw!$B:$B,$A39,DeadRaw!T:T)</f>
        <v>0</v>
      </c>
      <c r="R39">
        <f>SUMIF(DeadRaw!$B:$B,$A39,DeadRaw!U:U)</f>
        <v>0</v>
      </c>
      <c r="S39">
        <f>SUMIF(DeadRaw!$B:$B,$A39,DeadRaw!V:V)</f>
        <v>0</v>
      </c>
      <c r="T39">
        <f>SUMIF(DeadRaw!$B:$B,$A39,DeadRaw!W:W)</f>
        <v>0</v>
      </c>
      <c r="U39">
        <f>SUMIF(DeadRaw!$B:$B,$A39,DeadRaw!X:X)</f>
        <v>0</v>
      </c>
      <c r="V39">
        <f>SUMIF(DeadRaw!$B:$B,$A39,DeadRaw!Y:Y)</f>
        <v>0</v>
      </c>
      <c r="W39">
        <f>SUMIF(DeadRaw!$B:$B,$A39,DeadRaw!Z:Z)</f>
        <v>0</v>
      </c>
      <c r="X39">
        <f>SUMIF(DeadRaw!$B:$B,$A39,DeadRaw!AA:AA)</f>
        <v>0</v>
      </c>
      <c r="Y39">
        <f>SUMIF(DeadRaw!$B:$B,$A39,DeadRaw!AB:AB)</f>
        <v>0</v>
      </c>
      <c r="Z39">
        <f>SUMIF(DeadRaw!$B:$B,$A39,DeadRaw!AC:AC)</f>
        <v>0</v>
      </c>
      <c r="AA39">
        <f>SUMIF(DeadRaw!$B:$B,$A39,DeadRaw!AD:AD)</f>
        <v>0</v>
      </c>
      <c r="AB39">
        <f>SUMIF(DeadRaw!$B:$B,$A39,DeadRaw!AE:AE)</f>
        <v>0</v>
      </c>
      <c r="AC39">
        <f>SUMIF(DeadRaw!$B:$B,$A39,DeadRaw!AF:AF)</f>
        <v>0</v>
      </c>
      <c r="AD39">
        <f>SUMIF(DeadRaw!$B:$B,$A39,DeadRaw!AG:AG)</f>
        <v>0</v>
      </c>
      <c r="AE39">
        <f>SUMIF(DeadRaw!$B:$B,$A39,DeadRaw!AH:AH)</f>
        <v>0</v>
      </c>
      <c r="AF39">
        <f>SUMIF(DeadRaw!$B:$B,$A39,DeadRaw!AI:AI)</f>
        <v>0</v>
      </c>
      <c r="AG39">
        <f>SUMIF(DeadRaw!$B:$B,$A39,DeadRaw!AJ:AJ)</f>
        <v>0</v>
      </c>
      <c r="AH39">
        <f>SUMIF(DeadRaw!$B:$B,$A39,DeadRaw!AK:AK)</f>
        <v>0</v>
      </c>
      <c r="AI39">
        <f>SUMIF(DeadRaw!$B:$B,$A39,DeadRaw!AL:AL)</f>
        <v>0</v>
      </c>
      <c r="AJ39">
        <f>SUMIF(DeadRaw!$B:$B,$A39,DeadRaw!AM:AM)</f>
        <v>0</v>
      </c>
      <c r="AK39">
        <f>SUMIF(DeadRaw!$B:$B,$A39,DeadRaw!AN:AN)</f>
        <v>0</v>
      </c>
      <c r="AL39">
        <f>SUMIF(DeadRaw!$B:$B,$A39,DeadRaw!AO:AO)</f>
        <v>0</v>
      </c>
      <c r="AM39">
        <f>SUMIF(DeadRaw!$B:$B,$A39,DeadRaw!AP:AP)</f>
        <v>0</v>
      </c>
      <c r="AN39">
        <f>SUMIF(DeadRaw!$B:$B,$A39,DeadRaw!AQ:AQ)</f>
        <v>0</v>
      </c>
      <c r="AO39">
        <f>SUMIF(DeadRaw!$B:$B,$A39,DeadRaw!AR:AR)</f>
        <v>0</v>
      </c>
      <c r="AP39">
        <f>SUMIF(DeadRaw!$B:$B,$A39,DeadRaw!AS:AS)</f>
        <v>0</v>
      </c>
      <c r="AQ39">
        <f>SUMIF(DeadRaw!$B:$B,$A39,DeadRaw!AT:AT)</f>
        <v>0</v>
      </c>
      <c r="AR39">
        <f>SUMIF(DeadRaw!$B:$B,$A39,DeadRaw!AU:AU)</f>
        <v>0</v>
      </c>
      <c r="AS39">
        <f>SUMIF(DeadRaw!$B:$B,$A39,DeadRaw!AV:AV)</f>
        <v>0</v>
      </c>
      <c r="AT39">
        <f>SUMIF(DeadRaw!$B:$B,$A39,DeadRaw!AW:AW)</f>
        <v>0</v>
      </c>
      <c r="AU39">
        <f>SUMIF(DeadRaw!$B:$B,$A39,DeadRaw!AX:AX)</f>
        <v>0</v>
      </c>
      <c r="AV39">
        <f>SUMIF(DeadRaw!$B:$B,$A39,DeadRaw!AY:AY)</f>
        <v>0</v>
      </c>
      <c r="AW39">
        <f>SUMIF(DeadRaw!$B:$B,$A39,DeadRaw!AZ:AZ)</f>
        <v>0</v>
      </c>
      <c r="AX39">
        <f>SUMIF(DeadRaw!$B:$B,$A39,DeadRaw!BA:BA)</f>
        <v>0</v>
      </c>
      <c r="AY39">
        <f>SUMIF(DeadRaw!$B:$B,$A39,DeadRaw!BB:BB)</f>
        <v>1</v>
      </c>
      <c r="AZ39">
        <f>SUMIF(DeadRaw!$B:$B,$A39,DeadRaw!BC:BC)</f>
        <v>1</v>
      </c>
      <c r="BA39">
        <f>SUMIF(DeadRaw!$B:$B,$A39,DeadRaw!BD:BD)</f>
        <v>2</v>
      </c>
      <c r="BB39">
        <f>SUMIF(DeadRaw!$B:$B,$A39,DeadRaw!BE:BE)</f>
        <v>2</v>
      </c>
      <c r="BC39">
        <f>SUMIF(DeadRaw!$B:$B,$A39,DeadRaw!BF:BF)</f>
        <v>2</v>
      </c>
      <c r="BD39">
        <f>SUMIF(DeadRaw!$B:$B,$A39,DeadRaw!BG:BG)</f>
        <v>2</v>
      </c>
      <c r="BE39">
        <f>SUMIF(DeadRaw!$B:$B,$A39,DeadRaw!BH:BH)</f>
        <v>3</v>
      </c>
      <c r="BF39">
        <f>SUMIF(DeadRaw!$B:$B,$A39,DeadRaw!BI:BI)</f>
        <v>3</v>
      </c>
      <c r="BG39">
        <f>SUMIF(DeadRaw!$B:$B,$A39,DeadRaw!BJ:BJ)</f>
        <v>0</v>
      </c>
      <c r="BH39">
        <f>SUMIF(DeadRaw!$B:$B,$A39,DeadRaw!BK:BK)</f>
        <v>0</v>
      </c>
      <c r="BI39">
        <f>SUMIF(DeadRaw!$B:$B,$A39,DeadRaw!BL:BL)</f>
        <v>0</v>
      </c>
      <c r="BJ39">
        <f>SUMIF(DeadRaw!$B:$B,$A39,DeadRaw!BM:BM)</f>
        <v>0</v>
      </c>
      <c r="BK39">
        <f>SUMIF(DeadRaw!$B:$B,$A39,DeadRaw!BN:BN)</f>
        <v>0</v>
      </c>
      <c r="BL39">
        <f>SUMIF(DeadRaw!$B:$B,$A39,DeadRaw!BO:BO)</f>
        <v>0</v>
      </c>
      <c r="BM39">
        <f>SUMIF(DeadRaw!$B:$B,$A39,DeadRaw!BP:BP)</f>
        <v>0</v>
      </c>
      <c r="BN39">
        <f>SUMIF(DeadRaw!$B:$B,$A39,DeadRaw!BQ:BQ)</f>
        <v>0</v>
      </c>
      <c r="BO39">
        <f>SUMIF(DeadRaw!$B:$B,$A39,DeadRaw!BR:BR)</f>
        <v>0</v>
      </c>
      <c r="BP39">
        <f>SUMIF(DeadRaw!$B:$B,$A39,DeadRaw!BS:BS)</f>
        <v>0</v>
      </c>
      <c r="BQ39">
        <f>SUMIF(DeadRaw!$B:$B,$A39,DeadRaw!BT:BT)</f>
        <v>0</v>
      </c>
      <c r="BR39">
        <f>SUMIF(DeadRaw!$B:$B,$A39,DeadRaw!BU:BU)</f>
        <v>0</v>
      </c>
      <c r="BS39">
        <f>SUMIF(DeadRaw!$B:$B,$A39,DeadRaw!BV:BV)</f>
        <v>0</v>
      </c>
      <c r="BT39">
        <f>SUMIF(DeadRaw!$B:$B,$A39,DeadRaw!BW:BW)</f>
        <v>0</v>
      </c>
    </row>
    <row r="40" spans="1:72" ht="15" thickBot="1" x14ac:dyDescent="0.35">
      <c r="A40" s="4" t="s">
        <v>65</v>
      </c>
      <c r="B40">
        <f>SUMIF(DeadRaw!$B:$B,$A40,DeadRaw!E:E)</f>
        <v>0</v>
      </c>
      <c r="C40">
        <f>SUMIF(DeadRaw!$B:$B,$A40,DeadRaw!F:F)</f>
        <v>0</v>
      </c>
      <c r="D40">
        <f>SUMIF(DeadRaw!$B:$B,$A40,DeadRaw!G:G)</f>
        <v>0</v>
      </c>
      <c r="E40">
        <f>SUMIF(DeadRaw!$B:$B,$A40,DeadRaw!H:H)</f>
        <v>0</v>
      </c>
      <c r="F40">
        <f>SUMIF(DeadRaw!$B:$B,$A40,DeadRaw!I:I)</f>
        <v>0</v>
      </c>
      <c r="G40">
        <f>SUMIF(DeadRaw!$B:$B,$A40,DeadRaw!J:J)</f>
        <v>0</v>
      </c>
      <c r="H40">
        <f>SUMIF(DeadRaw!$B:$B,$A40,DeadRaw!K:K)</f>
        <v>0</v>
      </c>
      <c r="I40">
        <f>SUMIF(DeadRaw!$B:$B,$A40,DeadRaw!L:L)</f>
        <v>0</v>
      </c>
      <c r="J40">
        <f>SUMIF(DeadRaw!$B:$B,$A40,DeadRaw!M:M)</f>
        <v>0</v>
      </c>
      <c r="K40">
        <f>SUMIF(DeadRaw!$B:$B,$A40,DeadRaw!N:N)</f>
        <v>0</v>
      </c>
      <c r="L40">
        <f>SUMIF(DeadRaw!$B:$B,$A40,DeadRaw!O:O)</f>
        <v>0</v>
      </c>
      <c r="M40">
        <f>SUMIF(DeadRaw!$B:$B,$A40,DeadRaw!P:P)</f>
        <v>0</v>
      </c>
      <c r="N40">
        <f>SUMIF(DeadRaw!$B:$B,$A40,DeadRaw!Q:Q)</f>
        <v>0</v>
      </c>
      <c r="O40">
        <f>SUMIF(DeadRaw!$B:$B,$A40,DeadRaw!R:R)</f>
        <v>0</v>
      </c>
      <c r="P40">
        <f>SUMIF(DeadRaw!$B:$B,$A40,DeadRaw!S:S)</f>
        <v>0</v>
      </c>
      <c r="Q40">
        <f>SUMIF(DeadRaw!$B:$B,$A40,DeadRaw!T:T)</f>
        <v>0</v>
      </c>
      <c r="R40">
        <f>SUMIF(DeadRaw!$B:$B,$A40,DeadRaw!U:U)</f>
        <v>0</v>
      </c>
      <c r="S40">
        <f>SUMIF(DeadRaw!$B:$B,$A40,DeadRaw!V:V)</f>
        <v>0</v>
      </c>
      <c r="T40">
        <f>SUMIF(DeadRaw!$B:$B,$A40,DeadRaw!W:W)</f>
        <v>0</v>
      </c>
      <c r="U40">
        <f>SUMIF(DeadRaw!$B:$B,$A40,DeadRaw!X:X)</f>
        <v>0</v>
      </c>
      <c r="V40">
        <f>SUMIF(DeadRaw!$B:$B,$A40,DeadRaw!Y:Y)</f>
        <v>0</v>
      </c>
      <c r="W40">
        <f>SUMIF(DeadRaw!$B:$B,$A40,DeadRaw!Z:Z)</f>
        <v>0</v>
      </c>
      <c r="X40">
        <f>SUMIF(DeadRaw!$B:$B,$A40,DeadRaw!AA:AA)</f>
        <v>0</v>
      </c>
      <c r="Y40">
        <f>SUMIF(DeadRaw!$B:$B,$A40,DeadRaw!AB:AB)</f>
        <v>0</v>
      </c>
      <c r="Z40">
        <f>SUMIF(DeadRaw!$B:$B,$A40,DeadRaw!AC:AC)</f>
        <v>0</v>
      </c>
      <c r="AA40">
        <f>SUMIF(DeadRaw!$B:$B,$A40,DeadRaw!AD:AD)</f>
        <v>0</v>
      </c>
      <c r="AB40">
        <f>SUMIF(DeadRaw!$B:$B,$A40,DeadRaw!AE:AE)</f>
        <v>0</v>
      </c>
      <c r="AC40">
        <f>SUMIF(DeadRaw!$B:$B,$A40,DeadRaw!AF:AF)</f>
        <v>0</v>
      </c>
      <c r="AD40">
        <f>SUMIF(DeadRaw!$B:$B,$A40,DeadRaw!AG:AG)</f>
        <v>0</v>
      </c>
      <c r="AE40">
        <f>SUMIF(DeadRaw!$B:$B,$A40,DeadRaw!AH:AH)</f>
        <v>0</v>
      </c>
      <c r="AF40">
        <f>SUMIF(DeadRaw!$B:$B,$A40,DeadRaw!AI:AI)</f>
        <v>0</v>
      </c>
      <c r="AG40">
        <f>SUMIF(DeadRaw!$B:$B,$A40,DeadRaw!AJ:AJ)</f>
        <v>0</v>
      </c>
      <c r="AH40">
        <f>SUMIF(DeadRaw!$B:$B,$A40,DeadRaw!AK:AK)</f>
        <v>0</v>
      </c>
      <c r="AI40">
        <f>SUMIF(DeadRaw!$B:$B,$A40,DeadRaw!AL:AL)</f>
        <v>0</v>
      </c>
      <c r="AJ40">
        <f>SUMIF(DeadRaw!$B:$B,$A40,DeadRaw!AM:AM)</f>
        <v>0</v>
      </c>
      <c r="AK40">
        <f>SUMIF(DeadRaw!$B:$B,$A40,DeadRaw!AN:AN)</f>
        <v>0</v>
      </c>
      <c r="AL40">
        <f>SUMIF(DeadRaw!$B:$B,$A40,DeadRaw!AO:AO)</f>
        <v>0</v>
      </c>
      <c r="AM40">
        <f>SUMIF(DeadRaw!$B:$B,$A40,DeadRaw!AP:AP)</f>
        <v>0</v>
      </c>
      <c r="AN40">
        <f>SUMIF(DeadRaw!$B:$B,$A40,DeadRaw!AQ:AQ)</f>
        <v>0</v>
      </c>
      <c r="AO40">
        <f>SUMIF(DeadRaw!$B:$B,$A40,DeadRaw!AR:AR)</f>
        <v>0</v>
      </c>
      <c r="AP40">
        <f>SUMIF(DeadRaw!$B:$B,$A40,DeadRaw!AS:AS)</f>
        <v>0</v>
      </c>
      <c r="AQ40">
        <f>SUMIF(DeadRaw!$B:$B,$A40,DeadRaw!AT:AT)</f>
        <v>0</v>
      </c>
      <c r="AR40">
        <f>SUMIF(DeadRaw!$B:$B,$A40,DeadRaw!AU:AU)</f>
        <v>0</v>
      </c>
      <c r="AS40">
        <f>SUMIF(DeadRaw!$B:$B,$A40,DeadRaw!AV:AV)</f>
        <v>0</v>
      </c>
      <c r="AT40">
        <f>SUMIF(DeadRaw!$B:$B,$A40,DeadRaw!AW:AW)</f>
        <v>0</v>
      </c>
      <c r="AU40">
        <f>SUMIF(DeadRaw!$B:$B,$A40,DeadRaw!AX:AX)</f>
        <v>0</v>
      </c>
      <c r="AV40">
        <f>SUMIF(DeadRaw!$B:$B,$A40,DeadRaw!AY:AY)</f>
        <v>1</v>
      </c>
      <c r="AW40">
        <f>SUMIF(DeadRaw!$B:$B,$A40,DeadRaw!AZ:AZ)</f>
        <v>1</v>
      </c>
      <c r="AX40">
        <f>SUMIF(DeadRaw!$B:$B,$A40,DeadRaw!BA:BA)</f>
        <v>1</v>
      </c>
      <c r="AY40">
        <f>SUMIF(DeadRaw!$B:$B,$A40,DeadRaw!BB:BB)</f>
        <v>1</v>
      </c>
      <c r="AZ40">
        <f>SUMIF(DeadRaw!$B:$B,$A40,DeadRaw!BC:BC)</f>
        <v>1</v>
      </c>
      <c r="BA40">
        <f>SUMIF(DeadRaw!$B:$B,$A40,DeadRaw!BD:BD)</f>
        <v>2</v>
      </c>
      <c r="BB40">
        <f>SUMIF(DeadRaw!$B:$B,$A40,DeadRaw!BE:BE)</f>
        <v>2</v>
      </c>
      <c r="BC40">
        <f>SUMIF(DeadRaw!$B:$B,$A40,DeadRaw!BF:BF)</f>
        <v>2</v>
      </c>
      <c r="BD40">
        <f>SUMIF(DeadRaw!$B:$B,$A40,DeadRaw!BG:BG)</f>
        <v>2</v>
      </c>
      <c r="BE40">
        <f>SUMIF(DeadRaw!$B:$B,$A40,DeadRaw!BH:BH)</f>
        <v>4</v>
      </c>
      <c r="BF40">
        <f>SUMIF(DeadRaw!$B:$B,$A40,DeadRaw!BI:BI)</f>
        <v>6</v>
      </c>
      <c r="BG40">
        <f>SUMIF(DeadRaw!$B:$B,$A40,DeadRaw!BJ:BJ)</f>
        <v>0</v>
      </c>
      <c r="BH40">
        <f>SUMIF(DeadRaw!$B:$B,$A40,DeadRaw!BK:BK)</f>
        <v>0</v>
      </c>
      <c r="BI40">
        <f>SUMIF(DeadRaw!$B:$B,$A40,DeadRaw!BL:BL)</f>
        <v>0</v>
      </c>
      <c r="BJ40">
        <f>SUMIF(DeadRaw!$B:$B,$A40,DeadRaw!BM:BM)</f>
        <v>0</v>
      </c>
      <c r="BK40">
        <f>SUMIF(DeadRaw!$B:$B,$A40,DeadRaw!BN:BN)</f>
        <v>0</v>
      </c>
      <c r="BL40">
        <f>SUMIF(DeadRaw!$B:$B,$A40,DeadRaw!BO:BO)</f>
        <v>0</v>
      </c>
      <c r="BM40">
        <f>SUMIF(DeadRaw!$B:$B,$A40,DeadRaw!BP:BP)</f>
        <v>0</v>
      </c>
      <c r="BN40">
        <f>SUMIF(DeadRaw!$B:$B,$A40,DeadRaw!BQ:BQ)</f>
        <v>0</v>
      </c>
      <c r="BO40">
        <f>SUMIF(DeadRaw!$B:$B,$A40,DeadRaw!BR:BR)</f>
        <v>0</v>
      </c>
      <c r="BP40">
        <f>SUMIF(DeadRaw!$B:$B,$A40,DeadRaw!BS:BS)</f>
        <v>0</v>
      </c>
      <c r="BQ40">
        <f>SUMIF(DeadRaw!$B:$B,$A40,DeadRaw!BT:BT)</f>
        <v>0</v>
      </c>
      <c r="BR40">
        <f>SUMIF(DeadRaw!$B:$B,$A40,DeadRaw!BU:BU)</f>
        <v>0</v>
      </c>
      <c r="BS40">
        <f>SUMIF(DeadRaw!$B:$B,$A40,DeadRaw!BV:BV)</f>
        <v>0</v>
      </c>
      <c r="BT40">
        <f>SUMIF(DeadRaw!$B:$B,$A40,DeadRaw!BW:BW)</f>
        <v>0</v>
      </c>
    </row>
    <row r="41" spans="1:72" ht="15" thickBot="1" x14ac:dyDescent="0.35">
      <c r="A41" s="3" t="s">
        <v>74</v>
      </c>
      <c r="B41">
        <f>SUMIF(DeadRaw!$B:$B,$A41,DeadRaw!E:E)</f>
        <v>0</v>
      </c>
      <c r="C41">
        <f>SUMIF(DeadRaw!$B:$B,$A41,DeadRaw!F:F)</f>
        <v>0</v>
      </c>
      <c r="D41">
        <f>SUMIF(DeadRaw!$B:$B,$A41,DeadRaw!G:G)</f>
        <v>0</v>
      </c>
      <c r="E41">
        <f>SUMIF(DeadRaw!$B:$B,$A41,DeadRaw!H:H)</f>
        <v>0</v>
      </c>
      <c r="F41">
        <f>SUMIF(DeadRaw!$B:$B,$A41,DeadRaw!I:I)</f>
        <v>0</v>
      </c>
      <c r="G41">
        <f>SUMIF(DeadRaw!$B:$B,$A41,DeadRaw!J:J)</f>
        <v>0</v>
      </c>
      <c r="H41">
        <f>SUMIF(DeadRaw!$B:$B,$A41,DeadRaw!K:K)</f>
        <v>0</v>
      </c>
      <c r="I41">
        <f>SUMIF(DeadRaw!$B:$B,$A41,DeadRaw!L:L)</f>
        <v>0</v>
      </c>
      <c r="J41">
        <f>SUMIF(DeadRaw!$B:$B,$A41,DeadRaw!M:M)</f>
        <v>0</v>
      </c>
      <c r="K41">
        <f>SUMIF(DeadRaw!$B:$B,$A41,DeadRaw!N:N)</f>
        <v>0</v>
      </c>
      <c r="L41">
        <f>SUMIF(DeadRaw!$B:$B,$A41,DeadRaw!O:O)</f>
        <v>0</v>
      </c>
      <c r="M41">
        <f>SUMIF(DeadRaw!$B:$B,$A41,DeadRaw!P:P)</f>
        <v>0</v>
      </c>
      <c r="N41">
        <f>SUMIF(DeadRaw!$B:$B,$A41,DeadRaw!Q:Q)</f>
        <v>0</v>
      </c>
      <c r="O41">
        <f>SUMIF(DeadRaw!$B:$B,$A41,DeadRaw!R:R)</f>
        <v>0</v>
      </c>
      <c r="P41">
        <f>SUMIF(DeadRaw!$B:$B,$A41,DeadRaw!S:S)</f>
        <v>0</v>
      </c>
      <c r="Q41">
        <f>SUMIF(DeadRaw!$B:$B,$A41,DeadRaw!T:T)</f>
        <v>0</v>
      </c>
      <c r="R41">
        <f>SUMIF(DeadRaw!$B:$B,$A41,DeadRaw!U:U)</f>
        <v>0</v>
      </c>
      <c r="S41">
        <f>SUMIF(DeadRaw!$B:$B,$A41,DeadRaw!V:V)</f>
        <v>0</v>
      </c>
      <c r="T41">
        <f>SUMIF(DeadRaw!$B:$B,$A41,DeadRaw!W:W)</f>
        <v>0</v>
      </c>
      <c r="U41">
        <f>SUMIF(DeadRaw!$B:$B,$A41,DeadRaw!X:X)</f>
        <v>0</v>
      </c>
      <c r="V41">
        <f>SUMIF(DeadRaw!$B:$B,$A41,DeadRaw!Y:Y)</f>
        <v>0</v>
      </c>
      <c r="W41">
        <f>SUMIF(DeadRaw!$B:$B,$A41,DeadRaw!Z:Z)</f>
        <v>0</v>
      </c>
      <c r="X41">
        <f>SUMIF(DeadRaw!$B:$B,$A41,DeadRaw!AA:AA)</f>
        <v>0</v>
      </c>
      <c r="Y41">
        <f>SUMIF(DeadRaw!$B:$B,$A41,DeadRaw!AB:AB)</f>
        <v>0</v>
      </c>
      <c r="Z41">
        <f>SUMIF(DeadRaw!$B:$B,$A41,DeadRaw!AC:AC)</f>
        <v>0</v>
      </c>
      <c r="AA41">
        <f>SUMIF(DeadRaw!$B:$B,$A41,DeadRaw!AD:AD)</f>
        <v>0</v>
      </c>
      <c r="AB41">
        <f>SUMIF(DeadRaw!$B:$B,$A41,DeadRaw!AE:AE)</f>
        <v>0</v>
      </c>
      <c r="AC41">
        <f>SUMIF(DeadRaw!$B:$B,$A41,DeadRaw!AF:AF)</f>
        <v>0</v>
      </c>
      <c r="AD41">
        <f>SUMIF(DeadRaw!$B:$B,$A41,DeadRaw!AG:AG)</f>
        <v>0</v>
      </c>
      <c r="AE41">
        <f>SUMIF(DeadRaw!$B:$B,$A41,DeadRaw!AH:AH)</f>
        <v>0</v>
      </c>
      <c r="AF41">
        <f>SUMIF(DeadRaw!$B:$B,$A41,DeadRaw!AI:AI)</f>
        <v>0</v>
      </c>
      <c r="AG41">
        <f>SUMIF(DeadRaw!$B:$B,$A41,DeadRaw!AJ:AJ)</f>
        <v>0</v>
      </c>
      <c r="AH41">
        <f>SUMIF(DeadRaw!$B:$B,$A41,DeadRaw!AK:AK)</f>
        <v>0</v>
      </c>
      <c r="AI41">
        <f>SUMIF(DeadRaw!$B:$B,$A41,DeadRaw!AL:AL)</f>
        <v>0</v>
      </c>
      <c r="AJ41">
        <f>SUMIF(DeadRaw!$B:$B,$A41,DeadRaw!AM:AM)</f>
        <v>0</v>
      </c>
      <c r="AK41">
        <f>SUMIF(DeadRaw!$B:$B,$A41,DeadRaw!AN:AN)</f>
        <v>0</v>
      </c>
      <c r="AL41">
        <f>SUMIF(DeadRaw!$B:$B,$A41,DeadRaw!AO:AO)</f>
        <v>0</v>
      </c>
      <c r="AM41">
        <f>SUMIF(DeadRaw!$B:$B,$A41,DeadRaw!AP:AP)</f>
        <v>0</v>
      </c>
      <c r="AN41">
        <f>SUMIF(DeadRaw!$B:$B,$A41,DeadRaw!AQ:AQ)</f>
        <v>0</v>
      </c>
      <c r="AO41">
        <f>SUMIF(DeadRaw!$B:$B,$A41,DeadRaw!AR:AR)</f>
        <v>0</v>
      </c>
      <c r="AP41">
        <f>SUMIF(DeadRaw!$B:$B,$A41,DeadRaw!AS:AS)</f>
        <v>0</v>
      </c>
      <c r="AQ41">
        <f>SUMIF(DeadRaw!$B:$B,$A41,DeadRaw!AT:AT)</f>
        <v>0</v>
      </c>
      <c r="AR41">
        <f>SUMIF(DeadRaw!$B:$B,$A41,DeadRaw!AU:AU)</f>
        <v>0</v>
      </c>
      <c r="AS41">
        <f>SUMIF(DeadRaw!$B:$B,$A41,DeadRaw!AV:AV)</f>
        <v>0</v>
      </c>
      <c r="AT41">
        <f>SUMIF(DeadRaw!$B:$B,$A41,DeadRaw!AW:AW)</f>
        <v>0</v>
      </c>
      <c r="AU41">
        <f>SUMIF(DeadRaw!$B:$B,$A41,DeadRaw!AX:AX)</f>
        <v>0</v>
      </c>
      <c r="AV41">
        <f>SUMIF(DeadRaw!$B:$B,$A41,DeadRaw!AY:AY)</f>
        <v>0</v>
      </c>
      <c r="AW41">
        <f>SUMIF(DeadRaw!$B:$B,$A41,DeadRaw!AZ:AZ)</f>
        <v>0</v>
      </c>
      <c r="AX41">
        <f>SUMIF(DeadRaw!$B:$B,$A41,DeadRaw!BA:BA)</f>
        <v>0</v>
      </c>
      <c r="AY41">
        <f>SUMIF(DeadRaw!$B:$B,$A41,DeadRaw!BB:BB)</f>
        <v>0</v>
      </c>
      <c r="AZ41">
        <f>SUMIF(DeadRaw!$B:$B,$A41,DeadRaw!BC:BC)</f>
        <v>0</v>
      </c>
      <c r="BA41">
        <f>SUMIF(DeadRaw!$B:$B,$A41,DeadRaw!BD:BD)</f>
        <v>0</v>
      </c>
      <c r="BB41">
        <f>SUMIF(DeadRaw!$B:$B,$A41,DeadRaw!BE:BE)</f>
        <v>0</v>
      </c>
      <c r="BC41">
        <f>SUMIF(DeadRaw!$B:$B,$A41,DeadRaw!BF:BF)</f>
        <v>0</v>
      </c>
      <c r="BD41">
        <f>SUMIF(DeadRaw!$B:$B,$A41,DeadRaw!BG:BG)</f>
        <v>0</v>
      </c>
      <c r="BE41">
        <f>SUMIF(DeadRaw!$B:$B,$A41,DeadRaw!BH:BH)</f>
        <v>0</v>
      </c>
      <c r="BF41">
        <f>SUMIF(DeadRaw!$B:$B,$A41,DeadRaw!BI:BI)</f>
        <v>0</v>
      </c>
      <c r="BG41">
        <f>SUMIF(DeadRaw!$B:$B,$A41,DeadRaw!BJ:BJ)</f>
        <v>0</v>
      </c>
      <c r="BH41">
        <f>SUMIF(DeadRaw!$B:$B,$A41,DeadRaw!BK:BK)</f>
        <v>0</v>
      </c>
      <c r="BI41">
        <f>SUMIF(DeadRaw!$B:$B,$A41,DeadRaw!BL:BL)</f>
        <v>0</v>
      </c>
      <c r="BJ41">
        <f>SUMIF(DeadRaw!$B:$B,$A41,DeadRaw!BM:BM)</f>
        <v>0</v>
      </c>
      <c r="BK41">
        <f>SUMIF(DeadRaw!$B:$B,$A41,DeadRaw!BN:BN)</f>
        <v>0</v>
      </c>
      <c r="BL41">
        <f>SUMIF(DeadRaw!$B:$B,$A41,DeadRaw!BO:BO)</f>
        <v>0</v>
      </c>
      <c r="BM41">
        <f>SUMIF(DeadRaw!$B:$B,$A41,DeadRaw!BP:BP)</f>
        <v>0</v>
      </c>
      <c r="BN41">
        <f>SUMIF(DeadRaw!$B:$B,$A41,DeadRaw!BQ:BQ)</f>
        <v>0</v>
      </c>
      <c r="BO41">
        <f>SUMIF(DeadRaw!$B:$B,$A41,DeadRaw!BR:BR)</f>
        <v>0</v>
      </c>
      <c r="BP41">
        <f>SUMIF(DeadRaw!$B:$B,$A41,DeadRaw!BS:BS)</f>
        <v>0</v>
      </c>
      <c r="BQ41">
        <f>SUMIF(DeadRaw!$B:$B,$A41,DeadRaw!BT:BT)</f>
        <v>0</v>
      </c>
      <c r="BR41">
        <f>SUMIF(DeadRaw!$B:$B,$A41,DeadRaw!BU:BU)</f>
        <v>0</v>
      </c>
      <c r="BS41">
        <f>SUMIF(DeadRaw!$B:$B,$A41,DeadRaw!BV:BV)</f>
        <v>0</v>
      </c>
      <c r="BT41">
        <f>SUMIF(DeadRaw!$B:$B,$A41,DeadRaw!BW:BW)</f>
        <v>0</v>
      </c>
    </row>
    <row r="42" spans="1:72" ht="15" thickBot="1" x14ac:dyDescent="0.35">
      <c r="A42" s="4" t="s">
        <v>90</v>
      </c>
      <c r="B42">
        <f>SUMIF(DeadRaw!$B:$B,$A42,DeadRaw!E:E)</f>
        <v>0</v>
      </c>
      <c r="C42">
        <f>SUMIF(DeadRaw!$B:$B,$A42,DeadRaw!F:F)</f>
        <v>0</v>
      </c>
      <c r="D42">
        <f>SUMIF(DeadRaw!$B:$B,$A42,DeadRaw!G:G)</f>
        <v>0</v>
      </c>
      <c r="E42">
        <f>SUMIF(DeadRaw!$B:$B,$A42,DeadRaw!H:H)</f>
        <v>0</v>
      </c>
      <c r="F42">
        <f>SUMIF(DeadRaw!$B:$B,$A42,DeadRaw!I:I)</f>
        <v>0</v>
      </c>
      <c r="G42">
        <f>SUMIF(DeadRaw!$B:$B,$A42,DeadRaw!J:J)</f>
        <v>0</v>
      </c>
      <c r="H42">
        <f>SUMIF(DeadRaw!$B:$B,$A42,DeadRaw!K:K)</f>
        <v>0</v>
      </c>
      <c r="I42">
        <f>SUMIF(DeadRaw!$B:$B,$A42,DeadRaw!L:L)</f>
        <v>0</v>
      </c>
      <c r="J42">
        <f>SUMIF(DeadRaw!$B:$B,$A42,DeadRaw!M:M)</f>
        <v>0</v>
      </c>
      <c r="K42">
        <f>SUMIF(DeadRaw!$B:$B,$A42,DeadRaw!N:N)</f>
        <v>0</v>
      </c>
      <c r="L42">
        <f>SUMIF(DeadRaw!$B:$B,$A42,DeadRaw!O:O)</f>
        <v>0</v>
      </c>
      <c r="M42">
        <f>SUMIF(DeadRaw!$B:$B,$A42,DeadRaw!P:P)</f>
        <v>0</v>
      </c>
      <c r="N42">
        <f>SUMIF(DeadRaw!$B:$B,$A42,DeadRaw!Q:Q)</f>
        <v>0</v>
      </c>
      <c r="O42">
        <f>SUMIF(DeadRaw!$B:$B,$A42,DeadRaw!R:R)</f>
        <v>0</v>
      </c>
      <c r="P42">
        <f>SUMIF(DeadRaw!$B:$B,$A42,DeadRaw!S:S)</f>
        <v>0</v>
      </c>
      <c r="Q42">
        <f>SUMIF(DeadRaw!$B:$B,$A42,DeadRaw!T:T)</f>
        <v>0</v>
      </c>
      <c r="R42">
        <f>SUMIF(DeadRaw!$B:$B,$A42,DeadRaw!U:U)</f>
        <v>0</v>
      </c>
      <c r="S42">
        <f>SUMIF(DeadRaw!$B:$B,$A42,DeadRaw!V:V)</f>
        <v>0</v>
      </c>
      <c r="T42">
        <f>SUMIF(DeadRaw!$B:$B,$A42,DeadRaw!W:W)</f>
        <v>0</v>
      </c>
      <c r="U42">
        <f>SUMIF(DeadRaw!$B:$B,$A42,DeadRaw!X:X)</f>
        <v>0</v>
      </c>
      <c r="V42">
        <f>SUMIF(DeadRaw!$B:$B,$A42,DeadRaw!Y:Y)</f>
        <v>0</v>
      </c>
      <c r="W42">
        <f>SUMIF(DeadRaw!$B:$B,$A42,DeadRaw!Z:Z)</f>
        <v>0</v>
      </c>
      <c r="X42">
        <f>SUMIF(DeadRaw!$B:$B,$A42,DeadRaw!AA:AA)</f>
        <v>0</v>
      </c>
      <c r="Y42">
        <f>SUMIF(DeadRaw!$B:$B,$A42,DeadRaw!AB:AB)</f>
        <v>0</v>
      </c>
      <c r="Z42">
        <f>SUMIF(DeadRaw!$B:$B,$A42,DeadRaw!AC:AC)</f>
        <v>0</v>
      </c>
      <c r="AA42">
        <f>SUMIF(DeadRaw!$B:$B,$A42,DeadRaw!AD:AD)</f>
        <v>0</v>
      </c>
      <c r="AB42">
        <f>SUMIF(DeadRaw!$B:$B,$A42,DeadRaw!AE:AE)</f>
        <v>0</v>
      </c>
      <c r="AC42">
        <f>SUMIF(DeadRaw!$B:$B,$A42,DeadRaw!AF:AF)</f>
        <v>0</v>
      </c>
      <c r="AD42">
        <f>SUMIF(DeadRaw!$B:$B,$A42,DeadRaw!AG:AG)</f>
        <v>0</v>
      </c>
      <c r="AE42">
        <f>SUMIF(DeadRaw!$B:$B,$A42,DeadRaw!AH:AH)</f>
        <v>0</v>
      </c>
      <c r="AF42">
        <f>SUMIF(DeadRaw!$B:$B,$A42,DeadRaw!AI:AI)</f>
        <v>0</v>
      </c>
      <c r="AG42">
        <f>SUMIF(DeadRaw!$B:$B,$A42,DeadRaw!AJ:AJ)</f>
        <v>0</v>
      </c>
      <c r="AH42">
        <f>SUMIF(DeadRaw!$B:$B,$A42,DeadRaw!AK:AK)</f>
        <v>0</v>
      </c>
      <c r="AI42">
        <f>SUMIF(DeadRaw!$B:$B,$A42,DeadRaw!AL:AL)</f>
        <v>0</v>
      </c>
      <c r="AJ42">
        <f>SUMIF(DeadRaw!$B:$B,$A42,DeadRaw!AM:AM)</f>
        <v>0</v>
      </c>
      <c r="AK42">
        <f>SUMIF(DeadRaw!$B:$B,$A42,DeadRaw!AN:AN)</f>
        <v>0</v>
      </c>
      <c r="AL42">
        <f>SUMIF(DeadRaw!$B:$B,$A42,DeadRaw!AO:AO)</f>
        <v>0</v>
      </c>
      <c r="AM42">
        <f>SUMIF(DeadRaw!$B:$B,$A42,DeadRaw!AP:AP)</f>
        <v>0</v>
      </c>
      <c r="AN42">
        <f>SUMIF(DeadRaw!$B:$B,$A42,DeadRaw!AQ:AQ)</f>
        <v>0</v>
      </c>
      <c r="AO42">
        <f>SUMIF(DeadRaw!$B:$B,$A42,DeadRaw!AR:AR)</f>
        <v>0</v>
      </c>
      <c r="AP42">
        <f>SUMIF(DeadRaw!$B:$B,$A42,DeadRaw!AS:AS)</f>
        <v>0</v>
      </c>
      <c r="AQ42">
        <f>SUMIF(DeadRaw!$B:$B,$A42,DeadRaw!AT:AT)</f>
        <v>1</v>
      </c>
      <c r="AR42">
        <f>SUMIF(DeadRaw!$B:$B,$A42,DeadRaw!AU:AU)</f>
        <v>1</v>
      </c>
      <c r="AS42">
        <f>SUMIF(DeadRaw!$B:$B,$A42,DeadRaw!AV:AV)</f>
        <v>1</v>
      </c>
      <c r="AT42">
        <f>SUMIF(DeadRaw!$B:$B,$A42,DeadRaw!AW:AW)</f>
        <v>1</v>
      </c>
      <c r="AU42">
        <f>SUMIF(DeadRaw!$B:$B,$A42,DeadRaw!AX:AX)</f>
        <v>1</v>
      </c>
      <c r="AV42">
        <f>SUMIF(DeadRaw!$B:$B,$A42,DeadRaw!AY:AY)</f>
        <v>1</v>
      </c>
      <c r="AW42">
        <f>SUMIF(DeadRaw!$B:$B,$A42,DeadRaw!AZ:AZ)</f>
        <v>1</v>
      </c>
      <c r="AX42">
        <f>SUMIF(DeadRaw!$B:$B,$A42,DeadRaw!BA:BA)</f>
        <v>2</v>
      </c>
      <c r="AY42">
        <f>SUMIF(DeadRaw!$B:$B,$A42,DeadRaw!BB:BB)</f>
        <v>2</v>
      </c>
      <c r="AZ42">
        <f>SUMIF(DeadRaw!$B:$B,$A42,DeadRaw!BC:BC)</f>
        <v>3</v>
      </c>
      <c r="BA42">
        <f>SUMIF(DeadRaw!$B:$B,$A42,DeadRaw!BD:BD)</f>
        <v>5</v>
      </c>
      <c r="BB42">
        <f>SUMIF(DeadRaw!$B:$B,$A42,DeadRaw!BE:BE)</f>
        <v>5</v>
      </c>
      <c r="BC42">
        <f>SUMIF(DeadRaw!$B:$B,$A42,DeadRaw!BF:BF)</f>
        <v>5</v>
      </c>
      <c r="BD42">
        <f>SUMIF(DeadRaw!$B:$B,$A42,DeadRaw!BG:BG)</f>
        <v>7</v>
      </c>
      <c r="BE42">
        <f>SUMIF(DeadRaw!$B:$B,$A42,DeadRaw!BH:BH)</f>
        <v>7</v>
      </c>
      <c r="BF42">
        <f>SUMIF(DeadRaw!$B:$B,$A42,DeadRaw!BI:BI)</f>
        <v>11</v>
      </c>
      <c r="BG42">
        <f>SUMIF(DeadRaw!$B:$B,$A42,DeadRaw!BJ:BJ)</f>
        <v>0</v>
      </c>
      <c r="BH42">
        <f>SUMIF(DeadRaw!$B:$B,$A42,DeadRaw!BK:BK)</f>
        <v>0</v>
      </c>
      <c r="BI42">
        <f>SUMIF(DeadRaw!$B:$B,$A42,DeadRaw!BL:BL)</f>
        <v>0</v>
      </c>
      <c r="BJ42">
        <f>SUMIF(DeadRaw!$B:$B,$A42,DeadRaw!BM:BM)</f>
        <v>0</v>
      </c>
      <c r="BK42">
        <f>SUMIF(DeadRaw!$B:$B,$A42,DeadRaw!BN:BN)</f>
        <v>0</v>
      </c>
      <c r="BL42">
        <f>SUMIF(DeadRaw!$B:$B,$A42,DeadRaw!BO:BO)</f>
        <v>0</v>
      </c>
      <c r="BM42">
        <f>SUMIF(DeadRaw!$B:$B,$A42,DeadRaw!BP:BP)</f>
        <v>0</v>
      </c>
      <c r="BN42">
        <f>SUMIF(DeadRaw!$B:$B,$A42,DeadRaw!BQ:BQ)</f>
        <v>0</v>
      </c>
      <c r="BO42">
        <f>SUMIF(DeadRaw!$B:$B,$A42,DeadRaw!BR:BR)</f>
        <v>0</v>
      </c>
      <c r="BP42">
        <f>SUMIF(DeadRaw!$B:$B,$A42,DeadRaw!BS:BS)</f>
        <v>0</v>
      </c>
      <c r="BQ42">
        <f>SUMIF(DeadRaw!$B:$B,$A42,DeadRaw!BT:BT)</f>
        <v>0</v>
      </c>
      <c r="BR42">
        <f>SUMIF(DeadRaw!$B:$B,$A42,DeadRaw!BU:BU)</f>
        <v>0</v>
      </c>
      <c r="BS42">
        <f>SUMIF(DeadRaw!$B:$B,$A42,DeadRaw!BV:BV)</f>
        <v>0</v>
      </c>
      <c r="BT42">
        <f>SUMIF(DeadRaw!$B:$B,$A42,DeadRaw!BW:BW)</f>
        <v>0</v>
      </c>
    </row>
    <row r="43" spans="1:72" ht="15" thickBot="1" x14ac:dyDescent="0.35">
      <c r="A43" s="4" t="s">
        <v>88</v>
      </c>
      <c r="B43">
        <f>SUMIF(DeadRaw!$B:$B,$A43,DeadRaw!E:E)</f>
        <v>0</v>
      </c>
      <c r="C43">
        <f>SUMIF(DeadRaw!$B:$B,$A43,DeadRaw!F:F)</f>
        <v>0</v>
      </c>
      <c r="D43">
        <f>SUMIF(DeadRaw!$B:$B,$A43,DeadRaw!G:G)</f>
        <v>0</v>
      </c>
      <c r="E43">
        <f>SUMIF(DeadRaw!$B:$B,$A43,DeadRaw!H:H)</f>
        <v>0</v>
      </c>
      <c r="F43">
        <f>SUMIF(DeadRaw!$B:$B,$A43,DeadRaw!I:I)</f>
        <v>0</v>
      </c>
      <c r="G43">
        <f>SUMIF(DeadRaw!$B:$B,$A43,DeadRaw!J:J)</f>
        <v>0</v>
      </c>
      <c r="H43">
        <f>SUMIF(DeadRaw!$B:$B,$A43,DeadRaw!K:K)</f>
        <v>0</v>
      </c>
      <c r="I43">
        <f>SUMIF(DeadRaw!$B:$B,$A43,DeadRaw!L:L)</f>
        <v>0</v>
      </c>
      <c r="J43">
        <f>SUMIF(DeadRaw!$B:$B,$A43,DeadRaw!M:M)</f>
        <v>0</v>
      </c>
      <c r="K43">
        <f>SUMIF(DeadRaw!$B:$B,$A43,DeadRaw!N:N)</f>
        <v>0</v>
      </c>
      <c r="L43">
        <f>SUMIF(DeadRaw!$B:$B,$A43,DeadRaw!O:O)</f>
        <v>0</v>
      </c>
      <c r="M43">
        <f>SUMIF(DeadRaw!$B:$B,$A43,DeadRaw!P:P)</f>
        <v>0</v>
      </c>
      <c r="N43">
        <f>SUMIF(DeadRaw!$B:$B,$A43,DeadRaw!Q:Q)</f>
        <v>0</v>
      </c>
      <c r="O43">
        <f>SUMIF(DeadRaw!$B:$B,$A43,DeadRaw!R:R)</f>
        <v>0</v>
      </c>
      <c r="P43">
        <f>SUMIF(DeadRaw!$B:$B,$A43,DeadRaw!S:S)</f>
        <v>0</v>
      </c>
      <c r="Q43">
        <f>SUMIF(DeadRaw!$B:$B,$A43,DeadRaw!T:T)</f>
        <v>0</v>
      </c>
      <c r="R43">
        <f>SUMIF(DeadRaw!$B:$B,$A43,DeadRaw!U:U)</f>
        <v>0</v>
      </c>
      <c r="S43">
        <f>SUMIF(DeadRaw!$B:$B,$A43,DeadRaw!V:V)</f>
        <v>0</v>
      </c>
      <c r="T43">
        <f>SUMIF(DeadRaw!$B:$B,$A43,DeadRaw!W:W)</f>
        <v>0</v>
      </c>
      <c r="U43">
        <f>SUMIF(DeadRaw!$B:$B,$A43,DeadRaw!X:X)</f>
        <v>0</v>
      </c>
      <c r="V43">
        <f>SUMIF(DeadRaw!$B:$B,$A43,DeadRaw!Y:Y)</f>
        <v>0</v>
      </c>
      <c r="W43">
        <f>SUMIF(DeadRaw!$B:$B,$A43,DeadRaw!Z:Z)</f>
        <v>0</v>
      </c>
      <c r="X43">
        <f>SUMIF(DeadRaw!$B:$B,$A43,DeadRaw!AA:AA)</f>
        <v>0</v>
      </c>
      <c r="Y43">
        <f>SUMIF(DeadRaw!$B:$B,$A43,DeadRaw!AB:AB)</f>
        <v>0</v>
      </c>
      <c r="Z43">
        <f>SUMIF(DeadRaw!$B:$B,$A43,DeadRaw!AC:AC)</f>
        <v>0</v>
      </c>
      <c r="AA43">
        <f>SUMIF(DeadRaw!$B:$B,$A43,DeadRaw!AD:AD)</f>
        <v>0</v>
      </c>
      <c r="AB43">
        <f>SUMIF(DeadRaw!$B:$B,$A43,DeadRaw!AE:AE)</f>
        <v>0</v>
      </c>
      <c r="AC43">
        <f>SUMIF(DeadRaw!$B:$B,$A43,DeadRaw!AF:AF)</f>
        <v>0</v>
      </c>
      <c r="AD43">
        <f>SUMIF(DeadRaw!$B:$B,$A43,DeadRaw!AG:AG)</f>
        <v>0</v>
      </c>
      <c r="AE43">
        <f>SUMIF(DeadRaw!$B:$B,$A43,DeadRaw!AH:AH)</f>
        <v>0</v>
      </c>
      <c r="AF43">
        <f>SUMIF(DeadRaw!$B:$B,$A43,DeadRaw!AI:AI)</f>
        <v>0</v>
      </c>
      <c r="AG43">
        <f>SUMIF(DeadRaw!$B:$B,$A43,DeadRaw!AJ:AJ)</f>
        <v>0</v>
      </c>
      <c r="AH43">
        <f>SUMIF(DeadRaw!$B:$B,$A43,DeadRaw!AK:AK)</f>
        <v>0</v>
      </c>
      <c r="AI43">
        <f>SUMIF(DeadRaw!$B:$B,$A43,DeadRaw!AL:AL)</f>
        <v>0</v>
      </c>
      <c r="AJ43">
        <f>SUMIF(DeadRaw!$B:$B,$A43,DeadRaw!AM:AM)</f>
        <v>0</v>
      </c>
      <c r="AK43">
        <f>SUMIF(DeadRaw!$B:$B,$A43,DeadRaw!AN:AN)</f>
        <v>0</v>
      </c>
      <c r="AL43">
        <f>SUMIF(DeadRaw!$B:$B,$A43,DeadRaw!AO:AO)</f>
        <v>0</v>
      </c>
      <c r="AM43">
        <f>SUMIF(DeadRaw!$B:$B,$A43,DeadRaw!AP:AP)</f>
        <v>0</v>
      </c>
      <c r="AN43">
        <f>SUMIF(DeadRaw!$B:$B,$A43,DeadRaw!AQ:AQ)</f>
        <v>0</v>
      </c>
      <c r="AO43">
        <f>SUMIF(DeadRaw!$B:$B,$A43,DeadRaw!AR:AR)</f>
        <v>0</v>
      </c>
      <c r="AP43">
        <f>SUMIF(DeadRaw!$B:$B,$A43,DeadRaw!AS:AS)</f>
        <v>0</v>
      </c>
      <c r="AQ43">
        <f>SUMIF(DeadRaw!$B:$B,$A43,DeadRaw!AT:AT)</f>
        <v>0</v>
      </c>
      <c r="AR43">
        <f>SUMIF(DeadRaw!$B:$B,$A43,DeadRaw!AU:AU)</f>
        <v>0</v>
      </c>
      <c r="AS43">
        <f>SUMIF(DeadRaw!$B:$B,$A43,DeadRaw!AV:AV)</f>
        <v>0</v>
      </c>
      <c r="AT43">
        <f>SUMIF(DeadRaw!$B:$B,$A43,DeadRaw!AW:AW)</f>
        <v>0</v>
      </c>
      <c r="AU43">
        <f>SUMIF(DeadRaw!$B:$B,$A43,DeadRaw!AX:AX)</f>
        <v>0</v>
      </c>
      <c r="AV43">
        <f>SUMIF(DeadRaw!$B:$B,$A43,DeadRaw!AY:AY)</f>
        <v>0</v>
      </c>
      <c r="AW43">
        <f>SUMIF(DeadRaw!$B:$B,$A43,DeadRaw!AZ:AZ)</f>
        <v>0</v>
      </c>
      <c r="AX43">
        <f>SUMIF(DeadRaw!$B:$B,$A43,DeadRaw!BA:BA)</f>
        <v>0</v>
      </c>
      <c r="AY43">
        <f>SUMIF(DeadRaw!$B:$B,$A43,DeadRaw!BB:BB)</f>
        <v>0</v>
      </c>
      <c r="AZ43">
        <f>SUMIF(DeadRaw!$B:$B,$A43,DeadRaw!BC:BC)</f>
        <v>0</v>
      </c>
      <c r="BA43">
        <f>SUMIF(DeadRaw!$B:$B,$A43,DeadRaw!BD:BD)</f>
        <v>0</v>
      </c>
      <c r="BB43">
        <f>SUMIF(DeadRaw!$B:$B,$A43,DeadRaw!BE:BE)</f>
        <v>0</v>
      </c>
      <c r="BC43">
        <f>SUMIF(DeadRaw!$B:$B,$A43,DeadRaw!BF:BF)</f>
        <v>0</v>
      </c>
      <c r="BD43">
        <f>SUMIF(DeadRaw!$B:$B,$A43,DeadRaw!BG:BG)</f>
        <v>0</v>
      </c>
      <c r="BE43">
        <f>SUMIF(DeadRaw!$B:$B,$A43,DeadRaw!BH:BH)</f>
        <v>0</v>
      </c>
      <c r="BF43">
        <f>SUMIF(DeadRaw!$B:$B,$A43,DeadRaw!BI:BI)</f>
        <v>0</v>
      </c>
      <c r="BG43">
        <f>SUMIF(DeadRaw!$B:$B,$A43,DeadRaw!BJ:BJ)</f>
        <v>0</v>
      </c>
      <c r="BH43">
        <f>SUMIF(DeadRaw!$B:$B,$A43,DeadRaw!BK:BK)</f>
        <v>0</v>
      </c>
      <c r="BI43">
        <f>SUMIF(DeadRaw!$B:$B,$A43,DeadRaw!BL:BL)</f>
        <v>0</v>
      </c>
      <c r="BJ43">
        <f>SUMIF(DeadRaw!$B:$B,$A43,DeadRaw!BM:BM)</f>
        <v>0</v>
      </c>
      <c r="BK43">
        <f>SUMIF(DeadRaw!$B:$B,$A43,DeadRaw!BN:BN)</f>
        <v>0</v>
      </c>
      <c r="BL43">
        <f>SUMIF(DeadRaw!$B:$B,$A43,DeadRaw!BO:BO)</f>
        <v>0</v>
      </c>
      <c r="BM43">
        <f>SUMIF(DeadRaw!$B:$B,$A43,DeadRaw!BP:BP)</f>
        <v>0</v>
      </c>
      <c r="BN43">
        <f>SUMIF(DeadRaw!$B:$B,$A43,DeadRaw!BQ:BQ)</f>
        <v>0</v>
      </c>
      <c r="BO43">
        <f>SUMIF(DeadRaw!$B:$B,$A43,DeadRaw!BR:BR)</f>
        <v>0</v>
      </c>
      <c r="BP43">
        <f>SUMIF(DeadRaw!$B:$B,$A43,DeadRaw!BS:BS)</f>
        <v>0</v>
      </c>
      <c r="BQ43">
        <f>SUMIF(DeadRaw!$B:$B,$A43,DeadRaw!BT:BT)</f>
        <v>0</v>
      </c>
      <c r="BR43">
        <f>SUMIF(DeadRaw!$B:$B,$A43,DeadRaw!BU:BU)</f>
        <v>0</v>
      </c>
      <c r="BS43">
        <f>SUMIF(DeadRaw!$B:$B,$A43,DeadRaw!BV:BV)</f>
        <v>0</v>
      </c>
      <c r="BT43">
        <f>SUMIF(DeadRaw!$B:$B,$A43,DeadRaw!BW:BW)</f>
        <v>0</v>
      </c>
    </row>
    <row r="44" spans="1:72" ht="15" thickBot="1" x14ac:dyDescent="0.35">
      <c r="A44" s="4" t="s">
        <v>67</v>
      </c>
      <c r="B44">
        <f>SUMIF(DeadRaw!$B:$B,$A44,DeadRaw!E:E)</f>
        <v>0</v>
      </c>
      <c r="C44">
        <f>SUMIF(DeadRaw!$B:$B,$A44,DeadRaw!F:F)</f>
        <v>0</v>
      </c>
      <c r="D44">
        <f>SUMIF(DeadRaw!$B:$B,$A44,DeadRaw!G:G)</f>
        <v>0</v>
      </c>
      <c r="E44">
        <f>SUMIF(DeadRaw!$B:$B,$A44,DeadRaw!H:H)</f>
        <v>0</v>
      </c>
      <c r="F44">
        <f>SUMIF(DeadRaw!$B:$B,$A44,DeadRaw!I:I)</f>
        <v>0</v>
      </c>
      <c r="G44">
        <f>SUMIF(DeadRaw!$B:$B,$A44,DeadRaw!J:J)</f>
        <v>0</v>
      </c>
      <c r="H44">
        <f>SUMIF(DeadRaw!$B:$B,$A44,DeadRaw!K:K)</f>
        <v>0</v>
      </c>
      <c r="I44">
        <f>SUMIF(DeadRaw!$B:$B,$A44,DeadRaw!L:L)</f>
        <v>0</v>
      </c>
      <c r="J44">
        <f>SUMIF(DeadRaw!$B:$B,$A44,DeadRaw!M:M)</f>
        <v>0</v>
      </c>
      <c r="K44">
        <f>SUMIF(DeadRaw!$B:$B,$A44,DeadRaw!N:N)</f>
        <v>0</v>
      </c>
      <c r="L44">
        <f>SUMIF(DeadRaw!$B:$B,$A44,DeadRaw!O:O)</f>
        <v>0</v>
      </c>
      <c r="M44">
        <f>SUMIF(DeadRaw!$B:$B,$A44,DeadRaw!P:P)</f>
        <v>0</v>
      </c>
      <c r="N44">
        <f>SUMIF(DeadRaw!$B:$B,$A44,DeadRaw!Q:Q)</f>
        <v>0</v>
      </c>
      <c r="O44">
        <f>SUMIF(DeadRaw!$B:$B,$A44,DeadRaw!R:R)</f>
        <v>0</v>
      </c>
      <c r="P44">
        <f>SUMIF(DeadRaw!$B:$B,$A44,DeadRaw!S:S)</f>
        <v>0</v>
      </c>
      <c r="Q44">
        <f>SUMIF(DeadRaw!$B:$B,$A44,DeadRaw!T:T)</f>
        <v>0</v>
      </c>
      <c r="R44">
        <f>SUMIF(DeadRaw!$B:$B,$A44,DeadRaw!U:U)</f>
        <v>0</v>
      </c>
      <c r="S44">
        <f>SUMIF(DeadRaw!$B:$B,$A44,DeadRaw!V:V)</f>
        <v>0</v>
      </c>
      <c r="T44">
        <f>SUMIF(DeadRaw!$B:$B,$A44,DeadRaw!W:W)</f>
        <v>0</v>
      </c>
      <c r="U44">
        <f>SUMIF(DeadRaw!$B:$B,$A44,DeadRaw!X:X)</f>
        <v>0</v>
      </c>
      <c r="V44">
        <f>SUMIF(DeadRaw!$B:$B,$A44,DeadRaw!Y:Y)</f>
        <v>0</v>
      </c>
      <c r="W44">
        <f>SUMIF(DeadRaw!$B:$B,$A44,DeadRaw!Z:Z)</f>
        <v>0</v>
      </c>
      <c r="X44">
        <f>SUMIF(DeadRaw!$B:$B,$A44,DeadRaw!AA:AA)</f>
        <v>0</v>
      </c>
      <c r="Y44">
        <f>SUMIF(DeadRaw!$B:$B,$A44,DeadRaw!AB:AB)</f>
        <v>0</v>
      </c>
      <c r="Z44">
        <f>SUMIF(DeadRaw!$B:$B,$A44,DeadRaw!AC:AC)</f>
        <v>0</v>
      </c>
      <c r="AA44">
        <f>SUMIF(DeadRaw!$B:$B,$A44,DeadRaw!AD:AD)</f>
        <v>0</v>
      </c>
      <c r="AB44">
        <f>SUMIF(DeadRaw!$B:$B,$A44,DeadRaw!AE:AE)</f>
        <v>0</v>
      </c>
      <c r="AC44">
        <f>SUMIF(DeadRaw!$B:$B,$A44,DeadRaw!AF:AF)</f>
        <v>0</v>
      </c>
      <c r="AD44">
        <f>SUMIF(DeadRaw!$B:$B,$A44,DeadRaw!AG:AG)</f>
        <v>0</v>
      </c>
      <c r="AE44">
        <f>SUMIF(DeadRaw!$B:$B,$A44,DeadRaw!AH:AH)</f>
        <v>0</v>
      </c>
      <c r="AF44">
        <f>SUMIF(DeadRaw!$B:$B,$A44,DeadRaw!AI:AI)</f>
        <v>0</v>
      </c>
      <c r="AG44">
        <f>SUMIF(DeadRaw!$B:$B,$A44,DeadRaw!AJ:AJ)</f>
        <v>0</v>
      </c>
      <c r="AH44">
        <f>SUMIF(DeadRaw!$B:$B,$A44,DeadRaw!AK:AK)</f>
        <v>0</v>
      </c>
      <c r="AI44">
        <f>SUMIF(DeadRaw!$B:$B,$A44,DeadRaw!AL:AL)</f>
        <v>0</v>
      </c>
      <c r="AJ44">
        <f>SUMIF(DeadRaw!$B:$B,$A44,DeadRaw!AM:AM)</f>
        <v>0</v>
      </c>
      <c r="AK44">
        <f>SUMIF(DeadRaw!$B:$B,$A44,DeadRaw!AN:AN)</f>
        <v>0</v>
      </c>
      <c r="AL44">
        <f>SUMIF(DeadRaw!$B:$B,$A44,DeadRaw!AO:AO)</f>
        <v>0</v>
      </c>
      <c r="AM44">
        <f>SUMIF(DeadRaw!$B:$B,$A44,DeadRaw!AP:AP)</f>
        <v>0</v>
      </c>
      <c r="AN44">
        <f>SUMIF(DeadRaw!$B:$B,$A44,DeadRaw!AQ:AQ)</f>
        <v>0</v>
      </c>
      <c r="AO44">
        <f>SUMIF(DeadRaw!$B:$B,$A44,DeadRaw!AR:AR)</f>
        <v>0</v>
      </c>
      <c r="AP44">
        <f>SUMIF(DeadRaw!$B:$B,$A44,DeadRaw!AS:AS)</f>
        <v>0</v>
      </c>
      <c r="AQ44">
        <f>SUMIF(DeadRaw!$B:$B,$A44,DeadRaw!AT:AT)</f>
        <v>0</v>
      </c>
      <c r="AR44">
        <f>SUMIF(DeadRaw!$B:$B,$A44,DeadRaw!AU:AU)</f>
        <v>0</v>
      </c>
      <c r="AS44">
        <f>SUMIF(DeadRaw!$B:$B,$A44,DeadRaw!AV:AV)</f>
        <v>0</v>
      </c>
      <c r="AT44">
        <f>SUMIF(DeadRaw!$B:$B,$A44,DeadRaw!AW:AW)</f>
        <v>0</v>
      </c>
      <c r="AU44">
        <f>SUMIF(DeadRaw!$B:$B,$A44,DeadRaw!AX:AX)</f>
        <v>0</v>
      </c>
      <c r="AV44">
        <f>SUMIF(DeadRaw!$B:$B,$A44,DeadRaw!AY:AY)</f>
        <v>0</v>
      </c>
      <c r="AW44">
        <f>SUMIF(DeadRaw!$B:$B,$A44,DeadRaw!AZ:AZ)</f>
        <v>0</v>
      </c>
      <c r="AX44">
        <f>SUMIF(DeadRaw!$B:$B,$A44,DeadRaw!BA:BA)</f>
        <v>1</v>
      </c>
      <c r="AY44">
        <f>SUMIF(DeadRaw!$B:$B,$A44,DeadRaw!BB:BB)</f>
        <v>3</v>
      </c>
      <c r="AZ44">
        <f>SUMIF(DeadRaw!$B:$B,$A44,DeadRaw!BC:BC)</f>
        <v>3</v>
      </c>
      <c r="BA44">
        <f>SUMIF(DeadRaw!$B:$B,$A44,DeadRaw!BD:BD)</f>
        <v>3</v>
      </c>
      <c r="BB44">
        <f>SUMIF(DeadRaw!$B:$B,$A44,DeadRaw!BE:BE)</f>
        <v>3</v>
      </c>
      <c r="BC44">
        <f>SUMIF(DeadRaw!$B:$B,$A44,DeadRaw!BF:BF)</f>
        <v>3</v>
      </c>
      <c r="BD44">
        <f>SUMIF(DeadRaw!$B:$B,$A44,DeadRaw!BG:BG)</f>
        <v>3</v>
      </c>
      <c r="BE44">
        <f>SUMIF(DeadRaw!$B:$B,$A44,DeadRaw!BH:BH)</f>
        <v>3</v>
      </c>
      <c r="BF44">
        <f>SUMIF(DeadRaw!$B:$B,$A44,DeadRaw!BI:BI)</f>
        <v>3</v>
      </c>
      <c r="BG44">
        <f>SUMIF(DeadRaw!$B:$B,$A44,DeadRaw!BJ:BJ)</f>
        <v>0</v>
      </c>
      <c r="BH44">
        <f>SUMIF(DeadRaw!$B:$B,$A44,DeadRaw!BK:BK)</f>
        <v>0</v>
      </c>
      <c r="BI44">
        <f>SUMIF(DeadRaw!$B:$B,$A44,DeadRaw!BL:BL)</f>
        <v>0</v>
      </c>
      <c r="BJ44">
        <f>SUMIF(DeadRaw!$B:$B,$A44,DeadRaw!BM:BM)</f>
        <v>0</v>
      </c>
      <c r="BK44">
        <f>SUMIF(DeadRaw!$B:$B,$A44,DeadRaw!BN:BN)</f>
        <v>0</v>
      </c>
      <c r="BL44">
        <f>SUMIF(DeadRaw!$B:$B,$A44,DeadRaw!BO:BO)</f>
        <v>0</v>
      </c>
      <c r="BM44">
        <f>SUMIF(DeadRaw!$B:$B,$A44,DeadRaw!BP:BP)</f>
        <v>0</v>
      </c>
      <c r="BN44">
        <f>SUMIF(DeadRaw!$B:$B,$A44,DeadRaw!BQ:BQ)</f>
        <v>0</v>
      </c>
      <c r="BO44">
        <f>SUMIF(DeadRaw!$B:$B,$A44,DeadRaw!BR:BR)</f>
        <v>0</v>
      </c>
      <c r="BP44">
        <f>SUMIF(DeadRaw!$B:$B,$A44,DeadRaw!BS:BS)</f>
        <v>0</v>
      </c>
      <c r="BQ44">
        <f>SUMIF(DeadRaw!$B:$B,$A44,DeadRaw!BT:BT)</f>
        <v>0</v>
      </c>
      <c r="BR44">
        <f>SUMIF(DeadRaw!$B:$B,$A44,DeadRaw!BU:BU)</f>
        <v>0</v>
      </c>
      <c r="BS44">
        <f>SUMIF(DeadRaw!$B:$B,$A44,DeadRaw!BV:BV)</f>
        <v>0</v>
      </c>
      <c r="BT44">
        <f>SUMIF(DeadRaw!$B:$B,$A44,DeadRaw!BW:BW)</f>
        <v>0</v>
      </c>
    </row>
    <row r="45" spans="1:72" ht="15" thickBot="1" x14ac:dyDescent="0.35">
      <c r="A45" s="3" t="s">
        <v>35</v>
      </c>
      <c r="B45">
        <f>SUMIF(DeadRaw!$B:$B,$A45,DeadRaw!E:E)</f>
        <v>0</v>
      </c>
      <c r="C45">
        <f>SUMIF(DeadRaw!$B:$B,$A45,DeadRaw!F:F)</f>
        <v>0</v>
      </c>
      <c r="D45">
        <f>SUMIF(DeadRaw!$B:$B,$A45,DeadRaw!G:G)</f>
        <v>0</v>
      </c>
      <c r="E45">
        <f>SUMIF(DeadRaw!$B:$B,$A45,DeadRaw!H:H)</f>
        <v>0</v>
      </c>
      <c r="F45">
        <f>SUMIF(DeadRaw!$B:$B,$A45,DeadRaw!I:I)</f>
        <v>0</v>
      </c>
      <c r="G45">
        <f>SUMIF(DeadRaw!$B:$B,$A45,DeadRaw!J:J)</f>
        <v>0</v>
      </c>
      <c r="H45">
        <f>SUMIF(DeadRaw!$B:$B,$A45,DeadRaw!K:K)</f>
        <v>0</v>
      </c>
      <c r="I45">
        <f>SUMIF(DeadRaw!$B:$B,$A45,DeadRaw!L:L)</f>
        <v>0</v>
      </c>
      <c r="J45">
        <f>SUMIF(DeadRaw!$B:$B,$A45,DeadRaw!M:M)</f>
        <v>0</v>
      </c>
      <c r="K45">
        <f>SUMIF(DeadRaw!$B:$B,$A45,DeadRaw!N:N)</f>
        <v>0</v>
      </c>
      <c r="L45">
        <f>SUMIF(DeadRaw!$B:$B,$A45,DeadRaw!O:O)</f>
        <v>0</v>
      </c>
      <c r="M45">
        <f>SUMIF(DeadRaw!$B:$B,$A45,DeadRaw!P:P)</f>
        <v>0</v>
      </c>
      <c r="N45">
        <f>SUMIF(DeadRaw!$B:$B,$A45,DeadRaw!Q:Q)</f>
        <v>0</v>
      </c>
      <c r="O45">
        <f>SUMIF(DeadRaw!$B:$B,$A45,DeadRaw!R:R)</f>
        <v>0</v>
      </c>
      <c r="P45">
        <f>SUMIF(DeadRaw!$B:$B,$A45,DeadRaw!S:S)</f>
        <v>0</v>
      </c>
      <c r="Q45">
        <f>SUMIF(DeadRaw!$B:$B,$A45,DeadRaw!T:T)</f>
        <v>0</v>
      </c>
      <c r="R45">
        <f>SUMIF(DeadRaw!$B:$B,$A45,DeadRaw!U:U)</f>
        <v>0</v>
      </c>
      <c r="S45">
        <f>SUMIF(DeadRaw!$B:$B,$A45,DeadRaw!V:V)</f>
        <v>0</v>
      </c>
      <c r="T45">
        <f>SUMIF(DeadRaw!$B:$B,$A45,DeadRaw!W:W)</f>
        <v>0</v>
      </c>
      <c r="U45">
        <f>SUMIF(DeadRaw!$B:$B,$A45,DeadRaw!X:X)</f>
        <v>0</v>
      </c>
      <c r="V45">
        <f>SUMIF(DeadRaw!$B:$B,$A45,DeadRaw!Y:Y)</f>
        <v>0</v>
      </c>
      <c r="W45">
        <f>SUMIF(DeadRaw!$B:$B,$A45,DeadRaw!Z:Z)</f>
        <v>0</v>
      </c>
      <c r="X45">
        <f>SUMIF(DeadRaw!$B:$B,$A45,DeadRaw!AA:AA)</f>
        <v>0</v>
      </c>
      <c r="Y45">
        <f>SUMIF(DeadRaw!$B:$B,$A45,DeadRaw!AB:AB)</f>
        <v>0</v>
      </c>
      <c r="Z45">
        <f>SUMIF(DeadRaw!$B:$B,$A45,DeadRaw!AC:AC)</f>
        <v>0</v>
      </c>
      <c r="AA45">
        <f>SUMIF(DeadRaw!$B:$B,$A45,DeadRaw!AD:AD)</f>
        <v>0</v>
      </c>
      <c r="AB45">
        <f>SUMIF(DeadRaw!$B:$B,$A45,DeadRaw!AE:AE)</f>
        <v>0</v>
      </c>
      <c r="AC45">
        <f>SUMIF(DeadRaw!$B:$B,$A45,DeadRaw!AF:AF)</f>
        <v>0</v>
      </c>
      <c r="AD45">
        <f>SUMIF(DeadRaw!$B:$B,$A45,DeadRaw!AG:AG)</f>
        <v>0</v>
      </c>
      <c r="AE45">
        <f>SUMIF(DeadRaw!$B:$B,$A45,DeadRaw!AH:AH)</f>
        <v>0</v>
      </c>
      <c r="AF45">
        <f>SUMIF(DeadRaw!$B:$B,$A45,DeadRaw!AI:AI)</f>
        <v>0</v>
      </c>
      <c r="AG45">
        <f>SUMIF(DeadRaw!$B:$B,$A45,DeadRaw!AJ:AJ)</f>
        <v>0</v>
      </c>
      <c r="AH45">
        <f>SUMIF(DeadRaw!$B:$B,$A45,DeadRaw!AK:AK)</f>
        <v>0</v>
      </c>
      <c r="AI45">
        <f>SUMIF(DeadRaw!$B:$B,$A45,DeadRaw!AL:AL)</f>
        <v>0</v>
      </c>
      <c r="AJ45">
        <f>SUMIF(DeadRaw!$B:$B,$A45,DeadRaw!AM:AM)</f>
        <v>0</v>
      </c>
      <c r="AK45">
        <f>SUMIF(DeadRaw!$B:$B,$A45,DeadRaw!AN:AN)</f>
        <v>0</v>
      </c>
      <c r="AL45">
        <f>SUMIF(DeadRaw!$B:$B,$A45,DeadRaw!AO:AO)</f>
        <v>0</v>
      </c>
      <c r="AM45">
        <f>SUMIF(DeadRaw!$B:$B,$A45,DeadRaw!AP:AP)</f>
        <v>0</v>
      </c>
      <c r="AN45">
        <f>SUMIF(DeadRaw!$B:$B,$A45,DeadRaw!AQ:AQ)</f>
        <v>0</v>
      </c>
      <c r="AO45">
        <f>SUMIF(DeadRaw!$B:$B,$A45,DeadRaw!AR:AR)</f>
        <v>1</v>
      </c>
      <c r="AP45">
        <f>SUMIF(DeadRaw!$B:$B,$A45,DeadRaw!AS:AS)</f>
        <v>1</v>
      </c>
      <c r="AQ45">
        <f>SUMIF(DeadRaw!$B:$B,$A45,DeadRaw!AT:AT)</f>
        <v>1</v>
      </c>
      <c r="AR45">
        <f>SUMIF(DeadRaw!$B:$B,$A45,DeadRaw!AU:AU)</f>
        <v>1</v>
      </c>
      <c r="AS45">
        <f>SUMIF(DeadRaw!$B:$B,$A45,DeadRaw!AV:AV)</f>
        <v>1</v>
      </c>
      <c r="AT45">
        <f>SUMIF(DeadRaw!$B:$B,$A45,DeadRaw!AW:AW)</f>
        <v>1</v>
      </c>
      <c r="AU45">
        <f>SUMIF(DeadRaw!$B:$B,$A45,DeadRaw!AX:AX)</f>
        <v>1</v>
      </c>
      <c r="AV45">
        <f>SUMIF(DeadRaw!$B:$B,$A45,DeadRaw!AY:AY)</f>
        <v>1</v>
      </c>
      <c r="AW45">
        <f>SUMIF(DeadRaw!$B:$B,$A45,DeadRaw!AZ:AZ)</f>
        <v>1</v>
      </c>
      <c r="AX45">
        <f>SUMIF(DeadRaw!$B:$B,$A45,DeadRaw!BA:BA)</f>
        <v>1</v>
      </c>
      <c r="AY45">
        <f>SUMIF(DeadRaw!$B:$B,$A45,DeadRaw!BB:BB)</f>
        <v>1</v>
      </c>
      <c r="AZ45">
        <f>SUMIF(DeadRaw!$B:$B,$A45,DeadRaw!BC:BC)</f>
        <v>1</v>
      </c>
      <c r="BA45">
        <f>SUMIF(DeadRaw!$B:$B,$A45,DeadRaw!BD:BD)</f>
        <v>1</v>
      </c>
      <c r="BB45">
        <f>SUMIF(DeadRaw!$B:$B,$A45,DeadRaw!BE:BE)</f>
        <v>1</v>
      </c>
      <c r="BC45">
        <f>SUMIF(DeadRaw!$B:$B,$A45,DeadRaw!BF:BF)</f>
        <v>1</v>
      </c>
      <c r="BD45">
        <f>SUMIF(DeadRaw!$B:$B,$A45,DeadRaw!BG:BG)</f>
        <v>1</v>
      </c>
      <c r="BE45">
        <f>SUMIF(DeadRaw!$B:$B,$A45,DeadRaw!BH:BH)</f>
        <v>1</v>
      </c>
      <c r="BF45">
        <f>SUMIF(DeadRaw!$B:$B,$A45,DeadRaw!BI:BI)</f>
        <v>1</v>
      </c>
      <c r="BG45">
        <f>SUMIF(DeadRaw!$B:$B,$A45,DeadRaw!BJ:BJ)</f>
        <v>0</v>
      </c>
      <c r="BH45">
        <f>SUMIF(DeadRaw!$B:$B,$A45,DeadRaw!BK:BK)</f>
        <v>0</v>
      </c>
      <c r="BI45">
        <f>SUMIF(DeadRaw!$B:$B,$A45,DeadRaw!BL:BL)</f>
        <v>0</v>
      </c>
      <c r="BJ45">
        <f>SUMIF(DeadRaw!$B:$B,$A45,DeadRaw!BM:BM)</f>
        <v>0</v>
      </c>
      <c r="BK45">
        <f>SUMIF(DeadRaw!$B:$B,$A45,DeadRaw!BN:BN)</f>
        <v>0</v>
      </c>
      <c r="BL45">
        <f>SUMIF(DeadRaw!$B:$B,$A45,DeadRaw!BO:BO)</f>
        <v>0</v>
      </c>
      <c r="BM45">
        <f>SUMIF(DeadRaw!$B:$B,$A45,DeadRaw!BP:BP)</f>
        <v>0</v>
      </c>
      <c r="BN45">
        <f>SUMIF(DeadRaw!$B:$B,$A45,DeadRaw!BQ:BQ)</f>
        <v>0</v>
      </c>
      <c r="BO45">
        <f>SUMIF(DeadRaw!$B:$B,$A45,DeadRaw!BR:BR)</f>
        <v>0</v>
      </c>
      <c r="BP45">
        <f>SUMIF(DeadRaw!$B:$B,$A45,DeadRaw!BS:BS)</f>
        <v>0</v>
      </c>
      <c r="BQ45">
        <f>SUMIF(DeadRaw!$B:$B,$A45,DeadRaw!BT:BT)</f>
        <v>0</v>
      </c>
      <c r="BR45">
        <f>SUMIF(DeadRaw!$B:$B,$A45,DeadRaw!BU:BU)</f>
        <v>0</v>
      </c>
      <c r="BS45">
        <f>SUMIF(DeadRaw!$B:$B,$A45,DeadRaw!BV:BV)</f>
        <v>0</v>
      </c>
      <c r="BT45">
        <f>SUMIF(DeadRaw!$B:$B,$A45,DeadRaw!BW:BW)</f>
        <v>0</v>
      </c>
    </row>
    <row r="46" spans="1:72" ht="15" thickBot="1" x14ac:dyDescent="0.35">
      <c r="A46" s="4" t="s">
        <v>107</v>
      </c>
      <c r="B46">
        <f>SUMIF(DeadRaw!$B:$B,$A46,DeadRaw!E:E)</f>
        <v>0</v>
      </c>
      <c r="C46">
        <f>SUMIF(DeadRaw!$B:$B,$A46,DeadRaw!F:F)</f>
        <v>0</v>
      </c>
      <c r="D46">
        <f>SUMIF(DeadRaw!$B:$B,$A46,DeadRaw!G:G)</f>
        <v>0</v>
      </c>
      <c r="E46">
        <f>SUMIF(DeadRaw!$B:$B,$A46,DeadRaw!H:H)</f>
        <v>0</v>
      </c>
      <c r="F46">
        <f>SUMIF(DeadRaw!$B:$B,$A46,DeadRaw!I:I)</f>
        <v>0</v>
      </c>
      <c r="G46">
        <f>SUMIF(DeadRaw!$B:$B,$A46,DeadRaw!J:J)</f>
        <v>0</v>
      </c>
      <c r="H46">
        <f>SUMIF(DeadRaw!$B:$B,$A46,DeadRaw!K:K)</f>
        <v>0</v>
      </c>
      <c r="I46">
        <f>SUMIF(DeadRaw!$B:$B,$A46,DeadRaw!L:L)</f>
        <v>0</v>
      </c>
      <c r="J46">
        <f>SUMIF(DeadRaw!$B:$B,$A46,DeadRaw!M:M)</f>
        <v>0</v>
      </c>
      <c r="K46">
        <f>SUMIF(DeadRaw!$B:$B,$A46,DeadRaw!N:N)</f>
        <v>0</v>
      </c>
      <c r="L46">
        <f>SUMIF(DeadRaw!$B:$B,$A46,DeadRaw!O:O)</f>
        <v>0</v>
      </c>
      <c r="M46">
        <f>SUMIF(DeadRaw!$B:$B,$A46,DeadRaw!P:P)</f>
        <v>0</v>
      </c>
      <c r="N46">
        <f>SUMIF(DeadRaw!$B:$B,$A46,DeadRaw!Q:Q)</f>
        <v>0</v>
      </c>
      <c r="O46">
        <f>SUMIF(DeadRaw!$B:$B,$A46,DeadRaw!R:R)</f>
        <v>0</v>
      </c>
      <c r="P46">
        <f>SUMIF(DeadRaw!$B:$B,$A46,DeadRaw!S:S)</f>
        <v>0</v>
      </c>
      <c r="Q46">
        <f>SUMIF(DeadRaw!$B:$B,$A46,DeadRaw!T:T)</f>
        <v>0</v>
      </c>
      <c r="R46">
        <f>SUMIF(DeadRaw!$B:$B,$A46,DeadRaw!U:U)</f>
        <v>0</v>
      </c>
      <c r="S46">
        <f>SUMIF(DeadRaw!$B:$B,$A46,DeadRaw!V:V)</f>
        <v>0</v>
      </c>
      <c r="T46">
        <f>SUMIF(DeadRaw!$B:$B,$A46,DeadRaw!W:W)</f>
        <v>0</v>
      </c>
      <c r="U46">
        <f>SUMIF(DeadRaw!$B:$B,$A46,DeadRaw!X:X)</f>
        <v>0</v>
      </c>
      <c r="V46">
        <f>SUMIF(DeadRaw!$B:$B,$A46,DeadRaw!Y:Y)</f>
        <v>0</v>
      </c>
      <c r="W46">
        <f>SUMIF(DeadRaw!$B:$B,$A46,DeadRaw!Z:Z)</f>
        <v>0</v>
      </c>
      <c r="X46">
        <f>SUMIF(DeadRaw!$B:$B,$A46,DeadRaw!AA:AA)</f>
        <v>0</v>
      </c>
      <c r="Y46">
        <f>SUMIF(DeadRaw!$B:$B,$A46,DeadRaw!AB:AB)</f>
        <v>0</v>
      </c>
      <c r="Z46">
        <f>SUMIF(DeadRaw!$B:$B,$A46,DeadRaw!AC:AC)</f>
        <v>0</v>
      </c>
      <c r="AA46">
        <f>SUMIF(DeadRaw!$B:$B,$A46,DeadRaw!AD:AD)</f>
        <v>0</v>
      </c>
      <c r="AB46">
        <f>SUMIF(DeadRaw!$B:$B,$A46,DeadRaw!AE:AE)</f>
        <v>0</v>
      </c>
      <c r="AC46">
        <f>SUMIF(DeadRaw!$B:$B,$A46,DeadRaw!AF:AF)</f>
        <v>0</v>
      </c>
      <c r="AD46">
        <f>SUMIF(DeadRaw!$B:$B,$A46,DeadRaw!AG:AG)</f>
        <v>0</v>
      </c>
      <c r="AE46">
        <f>SUMIF(DeadRaw!$B:$B,$A46,DeadRaw!AH:AH)</f>
        <v>0</v>
      </c>
      <c r="AF46">
        <f>SUMIF(DeadRaw!$B:$B,$A46,DeadRaw!AI:AI)</f>
        <v>0</v>
      </c>
      <c r="AG46">
        <f>SUMIF(DeadRaw!$B:$B,$A46,DeadRaw!AJ:AJ)</f>
        <v>0</v>
      </c>
      <c r="AH46">
        <f>SUMIF(DeadRaw!$B:$B,$A46,DeadRaw!AK:AK)</f>
        <v>0</v>
      </c>
      <c r="AI46">
        <f>SUMIF(DeadRaw!$B:$B,$A46,DeadRaw!AL:AL)</f>
        <v>0</v>
      </c>
      <c r="AJ46">
        <f>SUMIF(DeadRaw!$B:$B,$A46,DeadRaw!AM:AM)</f>
        <v>0</v>
      </c>
      <c r="AK46">
        <f>SUMIF(DeadRaw!$B:$B,$A46,DeadRaw!AN:AN)</f>
        <v>0</v>
      </c>
      <c r="AL46">
        <f>SUMIF(DeadRaw!$B:$B,$A46,DeadRaw!AO:AO)</f>
        <v>0</v>
      </c>
      <c r="AM46">
        <f>SUMIF(DeadRaw!$B:$B,$A46,DeadRaw!AP:AP)</f>
        <v>0</v>
      </c>
      <c r="AN46">
        <f>SUMIF(DeadRaw!$B:$B,$A46,DeadRaw!AQ:AQ)</f>
        <v>0</v>
      </c>
      <c r="AO46">
        <f>SUMIF(DeadRaw!$B:$B,$A46,DeadRaw!AR:AR)</f>
        <v>0</v>
      </c>
      <c r="AP46">
        <f>SUMIF(DeadRaw!$B:$B,$A46,DeadRaw!AS:AS)</f>
        <v>0</v>
      </c>
      <c r="AQ46">
        <f>SUMIF(DeadRaw!$B:$B,$A46,DeadRaw!AT:AT)</f>
        <v>0</v>
      </c>
      <c r="AR46">
        <f>SUMIF(DeadRaw!$B:$B,$A46,DeadRaw!AU:AU)</f>
        <v>0</v>
      </c>
      <c r="AS46">
        <f>SUMIF(DeadRaw!$B:$B,$A46,DeadRaw!AV:AV)</f>
        <v>0</v>
      </c>
      <c r="AT46">
        <f>SUMIF(DeadRaw!$B:$B,$A46,DeadRaw!AW:AW)</f>
        <v>0</v>
      </c>
      <c r="AU46">
        <f>SUMIF(DeadRaw!$B:$B,$A46,DeadRaw!AX:AX)</f>
        <v>0</v>
      </c>
      <c r="AV46">
        <f>SUMIF(DeadRaw!$B:$B,$A46,DeadRaw!AY:AY)</f>
        <v>0</v>
      </c>
      <c r="AW46">
        <f>SUMIF(DeadRaw!$B:$B,$A46,DeadRaw!AZ:AZ)</f>
        <v>0</v>
      </c>
      <c r="AX46">
        <f>SUMIF(DeadRaw!$B:$B,$A46,DeadRaw!BA:BA)</f>
        <v>0</v>
      </c>
      <c r="AY46">
        <f>SUMIF(DeadRaw!$B:$B,$A46,DeadRaw!BB:BB)</f>
        <v>1</v>
      </c>
      <c r="AZ46">
        <f>SUMIF(DeadRaw!$B:$B,$A46,DeadRaw!BC:BC)</f>
        <v>1</v>
      </c>
      <c r="BA46">
        <f>SUMIF(DeadRaw!$B:$B,$A46,DeadRaw!BD:BD)</f>
        <v>4</v>
      </c>
      <c r="BB46">
        <f>SUMIF(DeadRaw!$B:$B,$A46,DeadRaw!BE:BE)</f>
        <v>5</v>
      </c>
      <c r="BC46">
        <f>SUMIF(DeadRaw!$B:$B,$A46,DeadRaw!BF:BF)</f>
        <v>5</v>
      </c>
      <c r="BD46">
        <f>SUMIF(DeadRaw!$B:$B,$A46,DeadRaw!BG:BG)</f>
        <v>5</v>
      </c>
      <c r="BE46">
        <f>SUMIF(DeadRaw!$B:$B,$A46,DeadRaw!BH:BH)</f>
        <v>5</v>
      </c>
      <c r="BF46">
        <f>SUMIF(DeadRaw!$B:$B,$A46,DeadRaw!BI:BI)</f>
        <v>19</v>
      </c>
      <c r="BG46">
        <f>SUMIF(DeadRaw!$B:$B,$A46,DeadRaw!BJ:BJ)</f>
        <v>0</v>
      </c>
      <c r="BH46">
        <f>SUMIF(DeadRaw!$B:$B,$A46,DeadRaw!BK:BK)</f>
        <v>0</v>
      </c>
      <c r="BI46">
        <f>SUMIF(DeadRaw!$B:$B,$A46,DeadRaw!BL:BL)</f>
        <v>0</v>
      </c>
      <c r="BJ46">
        <f>SUMIF(DeadRaw!$B:$B,$A46,DeadRaw!BM:BM)</f>
        <v>0</v>
      </c>
      <c r="BK46">
        <f>SUMIF(DeadRaw!$B:$B,$A46,DeadRaw!BN:BN)</f>
        <v>0</v>
      </c>
      <c r="BL46">
        <f>SUMIF(DeadRaw!$B:$B,$A46,DeadRaw!BO:BO)</f>
        <v>0</v>
      </c>
      <c r="BM46">
        <f>SUMIF(DeadRaw!$B:$B,$A46,DeadRaw!BP:BP)</f>
        <v>0</v>
      </c>
      <c r="BN46">
        <f>SUMIF(DeadRaw!$B:$B,$A46,DeadRaw!BQ:BQ)</f>
        <v>0</v>
      </c>
      <c r="BO46">
        <f>SUMIF(DeadRaw!$B:$B,$A46,DeadRaw!BR:BR)</f>
        <v>0</v>
      </c>
      <c r="BP46">
        <f>SUMIF(DeadRaw!$B:$B,$A46,DeadRaw!BS:BS)</f>
        <v>0</v>
      </c>
      <c r="BQ46">
        <f>SUMIF(DeadRaw!$B:$B,$A46,DeadRaw!BT:BT)</f>
        <v>0</v>
      </c>
      <c r="BR46">
        <f>SUMIF(DeadRaw!$B:$B,$A46,DeadRaw!BU:BU)</f>
        <v>0</v>
      </c>
      <c r="BS46">
        <f>SUMIF(DeadRaw!$B:$B,$A46,DeadRaw!BV:BV)</f>
        <v>0</v>
      </c>
      <c r="BT46">
        <f>SUMIF(DeadRaw!$B:$B,$A46,DeadRaw!BW:BW)</f>
        <v>0</v>
      </c>
    </row>
    <row r="47" spans="1:72" ht="15" thickBot="1" x14ac:dyDescent="0.35">
      <c r="A47" s="3" t="s">
        <v>137</v>
      </c>
      <c r="B47">
        <f>SUMIF(DeadRaw!$B:$B,$A47,DeadRaw!E:E)</f>
        <v>0</v>
      </c>
      <c r="C47">
        <f>SUMIF(DeadRaw!$B:$B,$A47,DeadRaw!F:F)</f>
        <v>0</v>
      </c>
      <c r="D47">
        <f>SUMIF(DeadRaw!$B:$B,$A47,DeadRaw!G:G)</f>
        <v>0</v>
      </c>
      <c r="E47">
        <f>SUMIF(DeadRaw!$B:$B,$A47,DeadRaw!H:H)</f>
        <v>0</v>
      </c>
      <c r="F47">
        <f>SUMIF(DeadRaw!$B:$B,$A47,DeadRaw!I:I)</f>
        <v>0</v>
      </c>
      <c r="G47">
        <f>SUMIF(DeadRaw!$B:$B,$A47,DeadRaw!J:J)</f>
        <v>0</v>
      </c>
      <c r="H47">
        <f>SUMIF(DeadRaw!$B:$B,$A47,DeadRaw!K:K)</f>
        <v>0</v>
      </c>
      <c r="I47">
        <f>SUMIF(DeadRaw!$B:$B,$A47,DeadRaw!L:L)</f>
        <v>0</v>
      </c>
      <c r="J47">
        <f>SUMIF(DeadRaw!$B:$B,$A47,DeadRaw!M:M)</f>
        <v>0</v>
      </c>
      <c r="K47">
        <f>SUMIF(DeadRaw!$B:$B,$A47,DeadRaw!N:N)</f>
        <v>0</v>
      </c>
      <c r="L47">
        <f>SUMIF(DeadRaw!$B:$B,$A47,DeadRaw!O:O)</f>
        <v>0</v>
      </c>
      <c r="M47">
        <f>SUMIF(DeadRaw!$B:$B,$A47,DeadRaw!P:P)</f>
        <v>0</v>
      </c>
      <c r="N47">
        <f>SUMIF(DeadRaw!$B:$B,$A47,DeadRaw!Q:Q)</f>
        <v>0</v>
      </c>
      <c r="O47">
        <f>SUMIF(DeadRaw!$B:$B,$A47,DeadRaw!R:R)</f>
        <v>0</v>
      </c>
      <c r="P47">
        <f>SUMIF(DeadRaw!$B:$B,$A47,DeadRaw!S:S)</f>
        <v>0</v>
      </c>
      <c r="Q47">
        <f>SUMIF(DeadRaw!$B:$B,$A47,DeadRaw!T:T)</f>
        <v>0</v>
      </c>
      <c r="R47">
        <f>SUMIF(DeadRaw!$B:$B,$A47,DeadRaw!U:U)</f>
        <v>0</v>
      </c>
      <c r="S47">
        <f>SUMIF(DeadRaw!$B:$B,$A47,DeadRaw!V:V)</f>
        <v>0</v>
      </c>
      <c r="T47">
        <f>SUMIF(DeadRaw!$B:$B,$A47,DeadRaw!W:W)</f>
        <v>0</v>
      </c>
      <c r="U47">
        <f>SUMIF(DeadRaw!$B:$B,$A47,DeadRaw!X:X)</f>
        <v>0</v>
      </c>
      <c r="V47">
        <f>SUMIF(DeadRaw!$B:$B,$A47,DeadRaw!Y:Y)</f>
        <v>0</v>
      </c>
      <c r="W47">
        <f>SUMIF(DeadRaw!$B:$B,$A47,DeadRaw!Z:Z)</f>
        <v>0</v>
      </c>
      <c r="X47">
        <f>SUMIF(DeadRaw!$B:$B,$A47,DeadRaw!AA:AA)</f>
        <v>0</v>
      </c>
      <c r="Y47">
        <f>SUMIF(DeadRaw!$B:$B,$A47,DeadRaw!AB:AB)</f>
        <v>0</v>
      </c>
      <c r="Z47">
        <f>SUMIF(DeadRaw!$B:$B,$A47,DeadRaw!AC:AC)</f>
        <v>0</v>
      </c>
      <c r="AA47">
        <f>SUMIF(DeadRaw!$B:$B,$A47,DeadRaw!AD:AD)</f>
        <v>0</v>
      </c>
      <c r="AB47">
        <f>SUMIF(DeadRaw!$B:$B,$A47,DeadRaw!AE:AE)</f>
        <v>0</v>
      </c>
      <c r="AC47">
        <f>SUMIF(DeadRaw!$B:$B,$A47,DeadRaw!AF:AF)</f>
        <v>0</v>
      </c>
      <c r="AD47">
        <f>SUMIF(DeadRaw!$B:$B,$A47,DeadRaw!AG:AG)</f>
        <v>0</v>
      </c>
      <c r="AE47">
        <f>SUMIF(DeadRaw!$B:$B,$A47,DeadRaw!AH:AH)</f>
        <v>0</v>
      </c>
      <c r="AF47">
        <f>SUMIF(DeadRaw!$B:$B,$A47,DeadRaw!AI:AI)</f>
        <v>0</v>
      </c>
      <c r="AG47">
        <f>SUMIF(DeadRaw!$B:$B,$A47,DeadRaw!AJ:AJ)</f>
        <v>0</v>
      </c>
      <c r="AH47">
        <f>SUMIF(DeadRaw!$B:$B,$A47,DeadRaw!AK:AK)</f>
        <v>0</v>
      </c>
      <c r="AI47">
        <f>SUMIF(DeadRaw!$B:$B,$A47,DeadRaw!AL:AL)</f>
        <v>0</v>
      </c>
      <c r="AJ47">
        <f>SUMIF(DeadRaw!$B:$B,$A47,DeadRaw!AM:AM)</f>
        <v>0</v>
      </c>
      <c r="AK47">
        <f>SUMIF(DeadRaw!$B:$B,$A47,DeadRaw!AN:AN)</f>
        <v>0</v>
      </c>
      <c r="AL47">
        <f>SUMIF(DeadRaw!$B:$B,$A47,DeadRaw!AO:AO)</f>
        <v>0</v>
      </c>
      <c r="AM47">
        <f>SUMIF(DeadRaw!$B:$B,$A47,DeadRaw!AP:AP)</f>
        <v>0</v>
      </c>
      <c r="AN47">
        <f>SUMIF(DeadRaw!$B:$B,$A47,DeadRaw!AQ:AQ)</f>
        <v>0</v>
      </c>
      <c r="AO47">
        <f>SUMIF(DeadRaw!$B:$B,$A47,DeadRaw!AR:AR)</f>
        <v>0</v>
      </c>
      <c r="AP47">
        <f>SUMIF(DeadRaw!$B:$B,$A47,DeadRaw!AS:AS)</f>
        <v>0</v>
      </c>
      <c r="AQ47">
        <f>SUMIF(DeadRaw!$B:$B,$A47,DeadRaw!AT:AT)</f>
        <v>0</v>
      </c>
      <c r="AR47">
        <f>SUMIF(DeadRaw!$B:$B,$A47,DeadRaw!AU:AU)</f>
        <v>0</v>
      </c>
      <c r="AS47">
        <f>SUMIF(DeadRaw!$B:$B,$A47,DeadRaw!AV:AV)</f>
        <v>0</v>
      </c>
      <c r="AT47">
        <f>SUMIF(DeadRaw!$B:$B,$A47,DeadRaw!AW:AW)</f>
        <v>0</v>
      </c>
      <c r="AU47">
        <f>SUMIF(DeadRaw!$B:$B,$A47,DeadRaw!AX:AX)</f>
        <v>0</v>
      </c>
      <c r="AV47">
        <f>SUMIF(DeadRaw!$B:$B,$A47,DeadRaw!AY:AY)</f>
        <v>0</v>
      </c>
      <c r="AW47">
        <f>SUMIF(DeadRaw!$B:$B,$A47,DeadRaw!AZ:AZ)</f>
        <v>0</v>
      </c>
      <c r="AX47">
        <f>SUMIF(DeadRaw!$B:$B,$A47,DeadRaw!BA:BA)</f>
        <v>0</v>
      </c>
      <c r="AY47">
        <f>SUMIF(DeadRaw!$B:$B,$A47,DeadRaw!BB:BB)</f>
        <v>0</v>
      </c>
      <c r="AZ47">
        <f>SUMIF(DeadRaw!$B:$B,$A47,DeadRaw!BC:BC)</f>
        <v>1</v>
      </c>
      <c r="BA47">
        <f>SUMIF(DeadRaw!$B:$B,$A47,DeadRaw!BD:BD)</f>
        <v>2</v>
      </c>
      <c r="BB47">
        <f>SUMIF(DeadRaw!$B:$B,$A47,DeadRaw!BE:BE)</f>
        <v>3</v>
      </c>
      <c r="BC47">
        <f>SUMIF(DeadRaw!$B:$B,$A47,DeadRaw!BF:BF)</f>
        <v>3</v>
      </c>
      <c r="BD47">
        <f>SUMIF(DeadRaw!$B:$B,$A47,DeadRaw!BG:BG)</f>
        <v>4</v>
      </c>
      <c r="BE47">
        <f>SUMIF(DeadRaw!$B:$B,$A47,DeadRaw!BH:BH)</f>
        <v>5</v>
      </c>
      <c r="BF47">
        <f>SUMIF(DeadRaw!$B:$B,$A47,DeadRaw!BI:BI)</f>
        <v>5</v>
      </c>
      <c r="BG47">
        <f>SUMIF(DeadRaw!$B:$B,$A47,DeadRaw!BJ:BJ)</f>
        <v>0</v>
      </c>
      <c r="BH47">
        <f>SUMIF(DeadRaw!$B:$B,$A47,DeadRaw!BK:BK)</f>
        <v>0</v>
      </c>
      <c r="BI47">
        <f>SUMIF(DeadRaw!$B:$B,$A47,DeadRaw!BL:BL)</f>
        <v>0</v>
      </c>
      <c r="BJ47">
        <f>SUMIF(DeadRaw!$B:$B,$A47,DeadRaw!BM:BM)</f>
        <v>0</v>
      </c>
      <c r="BK47">
        <f>SUMIF(DeadRaw!$B:$B,$A47,DeadRaw!BN:BN)</f>
        <v>0</v>
      </c>
      <c r="BL47">
        <f>SUMIF(DeadRaw!$B:$B,$A47,DeadRaw!BO:BO)</f>
        <v>0</v>
      </c>
      <c r="BM47">
        <f>SUMIF(DeadRaw!$B:$B,$A47,DeadRaw!BP:BP)</f>
        <v>0</v>
      </c>
      <c r="BN47">
        <f>SUMIF(DeadRaw!$B:$B,$A47,DeadRaw!BQ:BQ)</f>
        <v>0</v>
      </c>
      <c r="BO47">
        <f>SUMIF(DeadRaw!$B:$B,$A47,DeadRaw!BR:BR)</f>
        <v>0</v>
      </c>
      <c r="BP47">
        <f>SUMIF(DeadRaw!$B:$B,$A47,DeadRaw!BS:BS)</f>
        <v>0</v>
      </c>
      <c r="BQ47">
        <f>SUMIF(DeadRaw!$B:$B,$A47,DeadRaw!BT:BT)</f>
        <v>0</v>
      </c>
      <c r="BR47">
        <f>SUMIF(DeadRaw!$B:$B,$A47,DeadRaw!BU:BU)</f>
        <v>0</v>
      </c>
      <c r="BS47">
        <f>SUMIF(DeadRaw!$B:$B,$A47,DeadRaw!BV:BV)</f>
        <v>0</v>
      </c>
      <c r="BT47">
        <f>SUMIF(DeadRaw!$B:$B,$A47,DeadRaw!BW:BW)</f>
        <v>0</v>
      </c>
    </row>
    <row r="48" spans="1:72" ht="15" thickBot="1" x14ac:dyDescent="0.35">
      <c r="A48" s="3" t="s">
        <v>56</v>
      </c>
      <c r="B48">
        <f>SUMIF(DeadRaw!$B:$B,$A48,DeadRaw!E:E)</f>
        <v>0</v>
      </c>
      <c r="C48">
        <f>SUMIF(DeadRaw!$B:$B,$A48,DeadRaw!F:F)</f>
        <v>0</v>
      </c>
      <c r="D48">
        <f>SUMIF(DeadRaw!$B:$B,$A48,DeadRaw!G:G)</f>
        <v>0</v>
      </c>
      <c r="E48">
        <f>SUMIF(DeadRaw!$B:$B,$A48,DeadRaw!H:H)</f>
        <v>0</v>
      </c>
      <c r="F48">
        <f>SUMIF(DeadRaw!$B:$B,$A48,DeadRaw!I:I)</f>
        <v>0</v>
      </c>
      <c r="G48">
        <f>SUMIF(DeadRaw!$B:$B,$A48,DeadRaw!J:J)</f>
        <v>0</v>
      </c>
      <c r="H48">
        <f>SUMIF(DeadRaw!$B:$B,$A48,DeadRaw!K:K)</f>
        <v>0</v>
      </c>
      <c r="I48">
        <f>SUMIF(DeadRaw!$B:$B,$A48,DeadRaw!L:L)</f>
        <v>0</v>
      </c>
      <c r="J48">
        <f>SUMIF(DeadRaw!$B:$B,$A48,DeadRaw!M:M)</f>
        <v>0</v>
      </c>
      <c r="K48">
        <f>SUMIF(DeadRaw!$B:$B,$A48,DeadRaw!N:N)</f>
        <v>0</v>
      </c>
      <c r="L48">
        <f>SUMIF(DeadRaw!$B:$B,$A48,DeadRaw!O:O)</f>
        <v>0</v>
      </c>
      <c r="M48">
        <f>SUMIF(DeadRaw!$B:$B,$A48,DeadRaw!P:P)</f>
        <v>1</v>
      </c>
      <c r="N48">
        <f>SUMIF(DeadRaw!$B:$B,$A48,DeadRaw!Q:Q)</f>
        <v>1</v>
      </c>
      <c r="O48">
        <f>SUMIF(DeadRaw!$B:$B,$A48,DeadRaw!R:R)</f>
        <v>1</v>
      </c>
      <c r="P48">
        <f>SUMIF(DeadRaw!$B:$B,$A48,DeadRaw!S:S)</f>
        <v>1</v>
      </c>
      <c r="Q48">
        <f>SUMIF(DeadRaw!$B:$B,$A48,DeadRaw!T:T)</f>
        <v>1</v>
      </c>
      <c r="R48">
        <f>SUMIF(DeadRaw!$B:$B,$A48,DeadRaw!U:U)</f>
        <v>1</v>
      </c>
      <c r="S48">
        <f>SUMIF(DeadRaw!$B:$B,$A48,DeadRaw!V:V)</f>
        <v>1</v>
      </c>
      <c r="T48">
        <f>SUMIF(DeadRaw!$B:$B,$A48,DeadRaw!W:W)</f>
        <v>1</v>
      </c>
      <c r="U48">
        <f>SUMIF(DeadRaw!$B:$B,$A48,DeadRaw!X:X)</f>
        <v>1</v>
      </c>
      <c r="V48">
        <f>SUMIF(DeadRaw!$B:$B,$A48,DeadRaw!Y:Y)</f>
        <v>1</v>
      </c>
      <c r="W48">
        <f>SUMIF(DeadRaw!$B:$B,$A48,DeadRaw!Z:Z)</f>
        <v>1</v>
      </c>
      <c r="X48">
        <f>SUMIF(DeadRaw!$B:$B,$A48,DeadRaw!AA:AA)</f>
        <v>1</v>
      </c>
      <c r="Y48">
        <f>SUMIF(DeadRaw!$B:$B,$A48,DeadRaw!AB:AB)</f>
        <v>1</v>
      </c>
      <c r="Z48">
        <f>SUMIF(DeadRaw!$B:$B,$A48,DeadRaw!AC:AC)</f>
        <v>1</v>
      </c>
      <c r="AA48">
        <f>SUMIF(DeadRaw!$B:$B,$A48,DeadRaw!AD:AD)</f>
        <v>1</v>
      </c>
      <c r="AB48">
        <f>SUMIF(DeadRaw!$B:$B,$A48,DeadRaw!AE:AE)</f>
        <v>1</v>
      </c>
      <c r="AC48">
        <f>SUMIF(DeadRaw!$B:$B,$A48,DeadRaw!AF:AF)</f>
        <v>1</v>
      </c>
      <c r="AD48">
        <f>SUMIF(DeadRaw!$B:$B,$A48,DeadRaw!AG:AG)</f>
        <v>1</v>
      </c>
      <c r="AE48">
        <f>SUMIF(DeadRaw!$B:$B,$A48,DeadRaw!AH:AH)</f>
        <v>1</v>
      </c>
      <c r="AF48">
        <f>SUMIF(DeadRaw!$B:$B,$A48,DeadRaw!AI:AI)</f>
        <v>1</v>
      </c>
      <c r="AG48">
        <f>SUMIF(DeadRaw!$B:$B,$A48,DeadRaw!AJ:AJ)</f>
        <v>1</v>
      </c>
      <c r="AH48">
        <f>SUMIF(DeadRaw!$B:$B,$A48,DeadRaw!AK:AK)</f>
        <v>1</v>
      </c>
      <c r="AI48">
        <f>SUMIF(DeadRaw!$B:$B,$A48,DeadRaw!AL:AL)</f>
        <v>1</v>
      </c>
      <c r="AJ48">
        <f>SUMIF(DeadRaw!$B:$B,$A48,DeadRaw!AM:AM)</f>
        <v>1</v>
      </c>
      <c r="AK48">
        <f>SUMIF(DeadRaw!$B:$B,$A48,DeadRaw!AN:AN)</f>
        <v>1</v>
      </c>
      <c r="AL48">
        <f>SUMIF(DeadRaw!$B:$B,$A48,DeadRaw!AO:AO)</f>
        <v>1</v>
      </c>
      <c r="AM48">
        <f>SUMIF(DeadRaw!$B:$B,$A48,DeadRaw!AP:AP)</f>
        <v>1</v>
      </c>
      <c r="AN48">
        <f>SUMIF(DeadRaw!$B:$B,$A48,DeadRaw!AQ:AQ)</f>
        <v>1</v>
      </c>
      <c r="AO48">
        <f>SUMIF(DeadRaw!$B:$B,$A48,DeadRaw!AR:AR)</f>
        <v>1</v>
      </c>
      <c r="AP48">
        <f>SUMIF(DeadRaw!$B:$B,$A48,DeadRaw!AS:AS)</f>
        <v>1</v>
      </c>
      <c r="AQ48">
        <f>SUMIF(DeadRaw!$B:$B,$A48,DeadRaw!AT:AT)</f>
        <v>1</v>
      </c>
      <c r="AR48">
        <f>SUMIF(DeadRaw!$B:$B,$A48,DeadRaw!AU:AU)</f>
        <v>1</v>
      </c>
      <c r="AS48">
        <f>SUMIF(DeadRaw!$B:$B,$A48,DeadRaw!AV:AV)</f>
        <v>1</v>
      </c>
      <c r="AT48">
        <f>SUMIF(DeadRaw!$B:$B,$A48,DeadRaw!AW:AW)</f>
        <v>1</v>
      </c>
      <c r="AU48">
        <f>SUMIF(DeadRaw!$B:$B,$A48,DeadRaw!AX:AX)</f>
        <v>1</v>
      </c>
      <c r="AV48">
        <f>SUMIF(DeadRaw!$B:$B,$A48,DeadRaw!AY:AY)</f>
        <v>1</v>
      </c>
      <c r="AW48">
        <f>SUMIF(DeadRaw!$B:$B,$A48,DeadRaw!AZ:AZ)</f>
        <v>1</v>
      </c>
      <c r="AX48">
        <f>SUMIF(DeadRaw!$B:$B,$A48,DeadRaw!BA:BA)</f>
        <v>1</v>
      </c>
      <c r="AY48">
        <f>SUMIF(DeadRaw!$B:$B,$A48,DeadRaw!BB:BB)</f>
        <v>1</v>
      </c>
      <c r="AZ48">
        <f>SUMIF(DeadRaw!$B:$B,$A48,DeadRaw!BC:BC)</f>
        <v>2</v>
      </c>
      <c r="BA48">
        <f>SUMIF(DeadRaw!$B:$B,$A48,DeadRaw!BD:BD)</f>
        <v>5</v>
      </c>
      <c r="BB48">
        <f>SUMIF(DeadRaw!$B:$B,$A48,DeadRaw!BE:BE)</f>
        <v>8</v>
      </c>
      <c r="BC48">
        <f>SUMIF(DeadRaw!$B:$B,$A48,DeadRaw!BF:BF)</f>
        <v>11</v>
      </c>
      <c r="BD48">
        <f>SUMIF(DeadRaw!$B:$B,$A48,DeadRaw!BG:BG)</f>
        <v>12</v>
      </c>
      <c r="BE48">
        <f>SUMIF(DeadRaw!$B:$B,$A48,DeadRaw!BH:BH)</f>
        <v>12</v>
      </c>
      <c r="BF48">
        <f>SUMIF(DeadRaw!$B:$B,$A48,DeadRaw!BI:BI)</f>
        <v>19</v>
      </c>
      <c r="BG48">
        <f>SUMIF(DeadRaw!$B:$B,$A48,DeadRaw!BJ:BJ)</f>
        <v>0</v>
      </c>
      <c r="BH48">
        <f>SUMIF(DeadRaw!$B:$B,$A48,DeadRaw!BK:BK)</f>
        <v>0</v>
      </c>
      <c r="BI48">
        <f>SUMIF(DeadRaw!$B:$B,$A48,DeadRaw!BL:BL)</f>
        <v>0</v>
      </c>
      <c r="BJ48">
        <f>SUMIF(DeadRaw!$B:$B,$A48,DeadRaw!BM:BM)</f>
        <v>0</v>
      </c>
      <c r="BK48">
        <f>SUMIF(DeadRaw!$B:$B,$A48,DeadRaw!BN:BN)</f>
        <v>0</v>
      </c>
      <c r="BL48">
        <f>SUMIF(DeadRaw!$B:$B,$A48,DeadRaw!BO:BO)</f>
        <v>0</v>
      </c>
      <c r="BM48">
        <f>SUMIF(DeadRaw!$B:$B,$A48,DeadRaw!BP:BP)</f>
        <v>0</v>
      </c>
      <c r="BN48">
        <f>SUMIF(DeadRaw!$B:$B,$A48,DeadRaw!BQ:BQ)</f>
        <v>0</v>
      </c>
      <c r="BO48">
        <f>SUMIF(DeadRaw!$B:$B,$A48,DeadRaw!BR:BR)</f>
        <v>0</v>
      </c>
      <c r="BP48">
        <f>SUMIF(DeadRaw!$B:$B,$A48,DeadRaw!BS:BS)</f>
        <v>0</v>
      </c>
      <c r="BQ48">
        <f>SUMIF(DeadRaw!$B:$B,$A48,DeadRaw!BT:BT)</f>
        <v>0</v>
      </c>
      <c r="BR48">
        <f>SUMIF(DeadRaw!$B:$B,$A48,DeadRaw!BU:BU)</f>
        <v>0</v>
      </c>
      <c r="BS48">
        <f>SUMIF(DeadRaw!$B:$B,$A48,DeadRaw!BV:BV)</f>
        <v>0</v>
      </c>
      <c r="BT48">
        <f>SUMIF(DeadRaw!$B:$B,$A48,DeadRaw!BW:BW)</f>
        <v>0</v>
      </c>
    </row>
    <row r="49" spans="1:72" ht="15" thickBot="1" x14ac:dyDescent="0.35">
      <c r="A49" s="3" t="s">
        <v>342</v>
      </c>
      <c r="B49">
        <f>SUMIF(DeadRaw!$B:$B,$A49,DeadRaw!E:E)</f>
        <v>0</v>
      </c>
      <c r="C49">
        <f>SUMIF(DeadRaw!$B:$B,$A49,DeadRaw!F:F)</f>
        <v>0</v>
      </c>
      <c r="D49">
        <f>SUMIF(DeadRaw!$B:$B,$A49,DeadRaw!G:G)</f>
        <v>0</v>
      </c>
      <c r="E49">
        <f>SUMIF(DeadRaw!$B:$B,$A49,DeadRaw!H:H)</f>
        <v>0</v>
      </c>
      <c r="F49">
        <f>SUMIF(DeadRaw!$B:$B,$A49,DeadRaw!I:I)</f>
        <v>0</v>
      </c>
      <c r="G49">
        <f>SUMIF(DeadRaw!$B:$B,$A49,DeadRaw!J:J)</f>
        <v>0</v>
      </c>
      <c r="H49">
        <f>SUMIF(DeadRaw!$B:$B,$A49,DeadRaw!K:K)</f>
        <v>0</v>
      </c>
      <c r="I49">
        <f>SUMIF(DeadRaw!$B:$B,$A49,DeadRaw!L:L)</f>
        <v>0</v>
      </c>
      <c r="J49">
        <f>SUMIF(DeadRaw!$B:$B,$A49,DeadRaw!M:M)</f>
        <v>0</v>
      </c>
      <c r="K49">
        <f>SUMIF(DeadRaw!$B:$B,$A49,DeadRaw!N:N)</f>
        <v>0</v>
      </c>
      <c r="L49">
        <f>SUMIF(DeadRaw!$B:$B,$A49,DeadRaw!O:O)</f>
        <v>0</v>
      </c>
      <c r="M49">
        <f>SUMIF(DeadRaw!$B:$B,$A49,DeadRaw!P:P)</f>
        <v>0</v>
      </c>
      <c r="N49">
        <f>SUMIF(DeadRaw!$B:$B,$A49,DeadRaw!Q:Q)</f>
        <v>0</v>
      </c>
      <c r="O49">
        <f>SUMIF(DeadRaw!$B:$B,$A49,DeadRaw!R:R)</f>
        <v>0</v>
      </c>
      <c r="P49">
        <f>SUMIF(DeadRaw!$B:$B,$A49,DeadRaw!S:S)</f>
        <v>0</v>
      </c>
      <c r="Q49">
        <f>SUMIF(DeadRaw!$B:$B,$A49,DeadRaw!T:T)</f>
        <v>0</v>
      </c>
      <c r="R49">
        <f>SUMIF(DeadRaw!$B:$B,$A49,DeadRaw!U:U)</f>
        <v>0</v>
      </c>
      <c r="S49">
        <f>SUMIF(DeadRaw!$B:$B,$A49,DeadRaw!V:V)</f>
        <v>0</v>
      </c>
      <c r="T49">
        <f>SUMIF(DeadRaw!$B:$B,$A49,DeadRaw!W:W)</f>
        <v>0</v>
      </c>
      <c r="U49">
        <f>SUMIF(DeadRaw!$B:$B,$A49,DeadRaw!X:X)</f>
        <v>0</v>
      </c>
      <c r="V49">
        <f>SUMIF(DeadRaw!$B:$B,$A49,DeadRaw!Y:Y)</f>
        <v>0</v>
      </c>
      <c r="W49">
        <f>SUMIF(DeadRaw!$B:$B,$A49,DeadRaw!Z:Z)</f>
        <v>0</v>
      </c>
      <c r="X49">
        <f>SUMIF(DeadRaw!$B:$B,$A49,DeadRaw!AA:AA)</f>
        <v>0</v>
      </c>
      <c r="Y49">
        <f>SUMIF(DeadRaw!$B:$B,$A49,DeadRaw!AB:AB)</f>
        <v>0</v>
      </c>
      <c r="Z49">
        <f>SUMIF(DeadRaw!$B:$B,$A49,DeadRaw!AC:AC)</f>
        <v>0</v>
      </c>
      <c r="AA49">
        <f>SUMIF(DeadRaw!$B:$B,$A49,DeadRaw!AD:AD)</f>
        <v>1</v>
      </c>
      <c r="AB49">
        <f>SUMIF(DeadRaw!$B:$B,$A49,DeadRaw!AE:AE)</f>
        <v>1</v>
      </c>
      <c r="AC49">
        <f>SUMIF(DeadRaw!$B:$B,$A49,DeadRaw!AF:AF)</f>
        <v>1</v>
      </c>
      <c r="AD49">
        <f>SUMIF(DeadRaw!$B:$B,$A49,DeadRaw!AG:AG)</f>
        <v>1</v>
      </c>
      <c r="AE49">
        <f>SUMIF(DeadRaw!$B:$B,$A49,DeadRaw!AH:AH)</f>
        <v>1</v>
      </c>
      <c r="AF49">
        <f>SUMIF(DeadRaw!$B:$B,$A49,DeadRaw!AI:AI)</f>
        <v>1</v>
      </c>
      <c r="AG49">
        <f>SUMIF(DeadRaw!$B:$B,$A49,DeadRaw!AJ:AJ)</f>
        <v>1</v>
      </c>
      <c r="AH49">
        <f>SUMIF(DeadRaw!$B:$B,$A49,DeadRaw!AK:AK)</f>
        <v>1</v>
      </c>
      <c r="AI49">
        <f>SUMIF(DeadRaw!$B:$B,$A49,DeadRaw!AL:AL)</f>
        <v>1</v>
      </c>
      <c r="AJ49">
        <f>SUMIF(DeadRaw!$B:$B,$A49,DeadRaw!AM:AM)</f>
        <v>1</v>
      </c>
      <c r="AK49">
        <f>SUMIF(DeadRaw!$B:$B,$A49,DeadRaw!AN:AN)</f>
        <v>1</v>
      </c>
      <c r="AL49">
        <f>SUMIF(DeadRaw!$B:$B,$A49,DeadRaw!AO:AO)</f>
        <v>1</v>
      </c>
      <c r="AM49">
        <f>SUMIF(DeadRaw!$B:$B,$A49,DeadRaw!AP:AP)</f>
        <v>1</v>
      </c>
      <c r="AN49">
        <f>SUMIF(DeadRaw!$B:$B,$A49,DeadRaw!AQ:AQ)</f>
        <v>1</v>
      </c>
      <c r="AO49">
        <f>SUMIF(DeadRaw!$B:$B,$A49,DeadRaw!AR:AR)</f>
        <v>1</v>
      </c>
      <c r="AP49">
        <f>SUMIF(DeadRaw!$B:$B,$A49,DeadRaw!AS:AS)</f>
        <v>1</v>
      </c>
      <c r="AQ49">
        <f>SUMIF(DeadRaw!$B:$B,$A49,DeadRaw!AT:AT)</f>
        <v>1</v>
      </c>
      <c r="AR49">
        <f>SUMIF(DeadRaw!$B:$B,$A49,DeadRaw!AU:AU)</f>
        <v>1</v>
      </c>
      <c r="AS49">
        <f>SUMIF(DeadRaw!$B:$B,$A49,DeadRaw!AV:AV)</f>
        <v>1</v>
      </c>
      <c r="AT49">
        <f>SUMIF(DeadRaw!$B:$B,$A49,DeadRaw!AW:AW)</f>
        <v>1</v>
      </c>
      <c r="AU49">
        <f>SUMIF(DeadRaw!$B:$B,$A49,DeadRaw!AX:AX)</f>
        <v>1</v>
      </c>
      <c r="AV49">
        <f>SUMIF(DeadRaw!$B:$B,$A49,DeadRaw!AY:AY)</f>
        <v>1</v>
      </c>
      <c r="AW49">
        <f>SUMIF(DeadRaw!$B:$B,$A49,DeadRaw!AZ:AZ)</f>
        <v>1</v>
      </c>
      <c r="AX49">
        <f>SUMIF(DeadRaw!$B:$B,$A49,DeadRaw!BA:BA)</f>
        <v>1</v>
      </c>
      <c r="AY49">
        <f>SUMIF(DeadRaw!$B:$B,$A49,DeadRaw!BB:BB)</f>
        <v>1</v>
      </c>
      <c r="AZ49">
        <f>SUMIF(DeadRaw!$B:$B,$A49,DeadRaw!BC:BC)</f>
        <v>1</v>
      </c>
      <c r="BA49">
        <f>SUMIF(DeadRaw!$B:$B,$A49,DeadRaw!BD:BD)</f>
        <v>1</v>
      </c>
      <c r="BB49">
        <f>SUMIF(DeadRaw!$B:$B,$A49,DeadRaw!BE:BE)</f>
        <v>1</v>
      </c>
      <c r="BC49">
        <f>SUMIF(DeadRaw!$B:$B,$A49,DeadRaw!BF:BF)</f>
        <v>1</v>
      </c>
      <c r="BD49">
        <f>SUMIF(DeadRaw!$B:$B,$A49,DeadRaw!BG:BG)</f>
        <v>1</v>
      </c>
      <c r="BE49">
        <f>SUMIF(DeadRaw!$B:$B,$A49,DeadRaw!BH:BH)</f>
        <v>1</v>
      </c>
      <c r="BF49">
        <f>SUMIF(DeadRaw!$B:$B,$A49,DeadRaw!BI:BI)</f>
        <v>1</v>
      </c>
      <c r="BG49">
        <f>SUMIF(DeadRaw!$B:$B,$A49,DeadRaw!BJ:BJ)</f>
        <v>0</v>
      </c>
      <c r="BH49">
        <f>SUMIF(DeadRaw!$B:$B,$A49,DeadRaw!BK:BK)</f>
        <v>0</v>
      </c>
      <c r="BI49">
        <f>SUMIF(DeadRaw!$B:$B,$A49,DeadRaw!BL:BL)</f>
        <v>0</v>
      </c>
      <c r="BJ49">
        <f>SUMIF(DeadRaw!$B:$B,$A49,DeadRaw!BM:BM)</f>
        <v>0</v>
      </c>
      <c r="BK49">
        <f>SUMIF(DeadRaw!$B:$B,$A49,DeadRaw!BN:BN)</f>
        <v>0</v>
      </c>
      <c r="BL49">
        <f>SUMIF(DeadRaw!$B:$B,$A49,DeadRaw!BO:BO)</f>
        <v>0</v>
      </c>
      <c r="BM49">
        <f>SUMIF(DeadRaw!$B:$B,$A49,DeadRaw!BP:BP)</f>
        <v>0</v>
      </c>
      <c r="BN49">
        <f>SUMIF(DeadRaw!$B:$B,$A49,DeadRaw!BQ:BQ)</f>
        <v>0</v>
      </c>
      <c r="BO49">
        <f>SUMIF(DeadRaw!$B:$B,$A49,DeadRaw!BR:BR)</f>
        <v>0</v>
      </c>
      <c r="BP49">
        <f>SUMIF(DeadRaw!$B:$B,$A49,DeadRaw!BS:BS)</f>
        <v>0</v>
      </c>
      <c r="BQ49">
        <f>SUMIF(DeadRaw!$B:$B,$A49,DeadRaw!BT:BT)</f>
        <v>0</v>
      </c>
      <c r="BR49">
        <f>SUMIF(DeadRaw!$B:$B,$A49,DeadRaw!BU:BU)</f>
        <v>0</v>
      </c>
      <c r="BS49">
        <f>SUMIF(DeadRaw!$B:$B,$A49,DeadRaw!BV:BV)</f>
        <v>0</v>
      </c>
      <c r="BT49">
        <f>SUMIF(DeadRaw!$B:$B,$A49,DeadRaw!BW:BW)</f>
        <v>0</v>
      </c>
    </row>
    <row r="50" spans="1:72" ht="15" thickBot="1" x14ac:dyDescent="0.35">
      <c r="A50" s="4" t="s">
        <v>343</v>
      </c>
      <c r="B50">
        <f>SUMIF(DeadRaw!$B:$B,$A50,DeadRaw!E:E)</f>
        <v>0</v>
      </c>
      <c r="C50">
        <f>SUMIF(DeadRaw!$B:$B,$A50,DeadRaw!F:F)</f>
        <v>0</v>
      </c>
      <c r="D50">
        <f>SUMIF(DeadRaw!$B:$B,$A50,DeadRaw!G:G)</f>
        <v>0</v>
      </c>
      <c r="E50">
        <f>SUMIF(DeadRaw!$B:$B,$A50,DeadRaw!H:H)</f>
        <v>0</v>
      </c>
      <c r="F50">
        <f>SUMIF(DeadRaw!$B:$B,$A50,DeadRaw!I:I)</f>
        <v>0</v>
      </c>
      <c r="G50">
        <f>SUMIF(DeadRaw!$B:$B,$A50,DeadRaw!J:J)</f>
        <v>0</v>
      </c>
      <c r="H50">
        <f>SUMIF(DeadRaw!$B:$B,$A50,DeadRaw!K:K)</f>
        <v>0</v>
      </c>
      <c r="I50">
        <f>SUMIF(DeadRaw!$B:$B,$A50,DeadRaw!L:L)</f>
        <v>0</v>
      </c>
      <c r="J50">
        <f>SUMIF(DeadRaw!$B:$B,$A50,DeadRaw!M:M)</f>
        <v>0</v>
      </c>
      <c r="K50">
        <f>SUMIF(DeadRaw!$B:$B,$A50,DeadRaw!N:N)</f>
        <v>0</v>
      </c>
      <c r="L50">
        <f>SUMIF(DeadRaw!$B:$B,$A50,DeadRaw!O:O)</f>
        <v>0</v>
      </c>
      <c r="M50">
        <f>SUMIF(DeadRaw!$B:$B,$A50,DeadRaw!P:P)</f>
        <v>0</v>
      </c>
      <c r="N50">
        <f>SUMIF(DeadRaw!$B:$B,$A50,DeadRaw!Q:Q)</f>
        <v>0</v>
      </c>
      <c r="O50">
        <f>SUMIF(DeadRaw!$B:$B,$A50,DeadRaw!R:R)</f>
        <v>0</v>
      </c>
      <c r="P50">
        <f>SUMIF(DeadRaw!$B:$B,$A50,DeadRaw!S:S)</f>
        <v>0</v>
      </c>
      <c r="Q50">
        <f>SUMIF(DeadRaw!$B:$B,$A50,DeadRaw!T:T)</f>
        <v>0</v>
      </c>
      <c r="R50">
        <f>SUMIF(DeadRaw!$B:$B,$A50,DeadRaw!U:U)</f>
        <v>0</v>
      </c>
      <c r="S50">
        <f>SUMIF(DeadRaw!$B:$B,$A50,DeadRaw!V:V)</f>
        <v>0</v>
      </c>
      <c r="T50">
        <f>SUMIF(DeadRaw!$B:$B,$A50,DeadRaw!W:W)</f>
        <v>0</v>
      </c>
      <c r="U50">
        <f>SUMIF(DeadRaw!$B:$B,$A50,DeadRaw!X:X)</f>
        <v>0</v>
      </c>
      <c r="V50">
        <f>SUMIF(DeadRaw!$B:$B,$A50,DeadRaw!Y:Y)</f>
        <v>0</v>
      </c>
      <c r="W50">
        <f>SUMIF(DeadRaw!$B:$B,$A50,DeadRaw!Z:Z)</f>
        <v>0</v>
      </c>
      <c r="X50">
        <f>SUMIF(DeadRaw!$B:$B,$A50,DeadRaw!AA:AA)</f>
        <v>0</v>
      </c>
      <c r="Y50">
        <f>SUMIF(DeadRaw!$B:$B,$A50,DeadRaw!AB:AB)</f>
        <v>0</v>
      </c>
      <c r="Z50">
        <f>SUMIF(DeadRaw!$B:$B,$A50,DeadRaw!AC:AC)</f>
        <v>0</v>
      </c>
      <c r="AA50">
        <f>SUMIF(DeadRaw!$B:$B,$A50,DeadRaw!AD:AD)</f>
        <v>0</v>
      </c>
      <c r="AB50">
        <f>SUMIF(DeadRaw!$B:$B,$A50,DeadRaw!AE:AE)</f>
        <v>0</v>
      </c>
      <c r="AC50">
        <f>SUMIF(DeadRaw!$B:$B,$A50,DeadRaw!AF:AF)</f>
        <v>0</v>
      </c>
      <c r="AD50">
        <f>SUMIF(DeadRaw!$B:$B,$A50,DeadRaw!AG:AG)</f>
        <v>0</v>
      </c>
      <c r="AE50">
        <f>SUMIF(DeadRaw!$B:$B,$A50,DeadRaw!AH:AH)</f>
        <v>0</v>
      </c>
      <c r="AF50">
        <f>SUMIF(DeadRaw!$B:$B,$A50,DeadRaw!AI:AI)</f>
        <v>0</v>
      </c>
      <c r="AG50">
        <f>SUMIF(DeadRaw!$B:$B,$A50,DeadRaw!AJ:AJ)</f>
        <v>0</v>
      </c>
      <c r="AH50">
        <f>SUMIF(DeadRaw!$B:$B,$A50,DeadRaw!AK:AK)</f>
        <v>0</v>
      </c>
      <c r="AI50">
        <f>SUMIF(DeadRaw!$B:$B,$A50,DeadRaw!AL:AL)</f>
        <v>0</v>
      </c>
      <c r="AJ50">
        <f>SUMIF(DeadRaw!$B:$B,$A50,DeadRaw!AM:AM)</f>
        <v>0</v>
      </c>
      <c r="AK50">
        <f>SUMIF(DeadRaw!$B:$B,$A50,DeadRaw!AN:AN)</f>
        <v>0</v>
      </c>
      <c r="AL50">
        <f>SUMIF(DeadRaw!$B:$B,$A50,DeadRaw!AO:AO)</f>
        <v>0</v>
      </c>
      <c r="AM50">
        <f>SUMIF(DeadRaw!$B:$B,$A50,DeadRaw!AP:AP)</f>
        <v>0</v>
      </c>
      <c r="AN50">
        <f>SUMIF(DeadRaw!$B:$B,$A50,DeadRaw!AQ:AQ)</f>
        <v>0</v>
      </c>
      <c r="AO50">
        <f>SUMIF(DeadRaw!$B:$B,$A50,DeadRaw!AR:AR)</f>
        <v>0</v>
      </c>
      <c r="AP50">
        <f>SUMIF(DeadRaw!$B:$B,$A50,DeadRaw!AS:AS)</f>
        <v>0</v>
      </c>
      <c r="AQ50">
        <f>SUMIF(DeadRaw!$B:$B,$A50,DeadRaw!AT:AT)</f>
        <v>0</v>
      </c>
      <c r="AR50">
        <f>SUMIF(DeadRaw!$B:$B,$A50,DeadRaw!AU:AU)</f>
        <v>0</v>
      </c>
      <c r="AS50">
        <f>SUMIF(DeadRaw!$B:$B,$A50,DeadRaw!AV:AV)</f>
        <v>0</v>
      </c>
      <c r="AT50">
        <f>SUMIF(DeadRaw!$B:$B,$A50,DeadRaw!AW:AW)</f>
        <v>0</v>
      </c>
      <c r="AU50">
        <f>SUMIF(DeadRaw!$B:$B,$A50,DeadRaw!AX:AX)</f>
        <v>0</v>
      </c>
      <c r="AV50">
        <f>SUMIF(DeadRaw!$B:$B,$A50,DeadRaw!AY:AY)</f>
        <v>0</v>
      </c>
      <c r="AW50">
        <f>SUMIF(DeadRaw!$B:$B,$A50,DeadRaw!AZ:AZ)</f>
        <v>0</v>
      </c>
      <c r="AX50">
        <f>SUMIF(DeadRaw!$B:$B,$A50,DeadRaw!BA:BA)</f>
        <v>0</v>
      </c>
      <c r="AY50">
        <f>SUMIF(DeadRaw!$B:$B,$A50,DeadRaw!BB:BB)</f>
        <v>0</v>
      </c>
      <c r="AZ50">
        <f>SUMIF(DeadRaw!$B:$B,$A50,DeadRaw!BC:BC)</f>
        <v>0</v>
      </c>
      <c r="BA50">
        <f>SUMIF(DeadRaw!$B:$B,$A50,DeadRaw!BD:BD)</f>
        <v>0</v>
      </c>
      <c r="BB50">
        <f>SUMIF(DeadRaw!$B:$B,$A50,DeadRaw!BE:BE)</f>
        <v>0</v>
      </c>
      <c r="BC50">
        <f>SUMIF(DeadRaw!$B:$B,$A50,DeadRaw!BF:BF)</f>
        <v>0</v>
      </c>
      <c r="BD50">
        <f>SUMIF(DeadRaw!$B:$B,$A50,DeadRaw!BG:BG)</f>
        <v>0</v>
      </c>
      <c r="BE50">
        <f>SUMIF(DeadRaw!$B:$B,$A50,DeadRaw!BH:BH)</f>
        <v>0</v>
      </c>
      <c r="BF50">
        <f>SUMIF(DeadRaw!$B:$B,$A50,DeadRaw!BI:BI)</f>
        <v>0</v>
      </c>
      <c r="BG50">
        <f>SUMIF(DeadRaw!$B:$B,$A50,DeadRaw!BJ:BJ)</f>
        <v>0</v>
      </c>
      <c r="BH50">
        <f>SUMIF(DeadRaw!$B:$B,$A50,DeadRaw!BK:BK)</f>
        <v>0</v>
      </c>
      <c r="BI50">
        <f>SUMIF(DeadRaw!$B:$B,$A50,DeadRaw!BL:BL)</f>
        <v>0</v>
      </c>
      <c r="BJ50">
        <f>SUMIF(DeadRaw!$B:$B,$A50,DeadRaw!BM:BM)</f>
        <v>0</v>
      </c>
      <c r="BK50">
        <f>SUMIF(DeadRaw!$B:$B,$A50,DeadRaw!BN:BN)</f>
        <v>0</v>
      </c>
      <c r="BL50">
        <f>SUMIF(DeadRaw!$B:$B,$A50,DeadRaw!BO:BO)</f>
        <v>0</v>
      </c>
      <c r="BM50">
        <f>SUMIF(DeadRaw!$B:$B,$A50,DeadRaw!BP:BP)</f>
        <v>0</v>
      </c>
      <c r="BN50">
        <f>SUMIF(DeadRaw!$B:$B,$A50,DeadRaw!BQ:BQ)</f>
        <v>0</v>
      </c>
      <c r="BO50">
        <f>SUMIF(DeadRaw!$B:$B,$A50,DeadRaw!BR:BR)</f>
        <v>0</v>
      </c>
      <c r="BP50">
        <f>SUMIF(DeadRaw!$B:$B,$A50,DeadRaw!BS:BS)</f>
        <v>0</v>
      </c>
      <c r="BQ50">
        <f>SUMIF(DeadRaw!$B:$B,$A50,DeadRaw!BT:BT)</f>
        <v>0</v>
      </c>
      <c r="BR50">
        <f>SUMIF(DeadRaw!$B:$B,$A50,DeadRaw!BU:BU)</f>
        <v>0</v>
      </c>
      <c r="BS50">
        <f>SUMIF(DeadRaw!$B:$B,$A50,DeadRaw!BV:BV)</f>
        <v>0</v>
      </c>
      <c r="BT50">
        <f>SUMIF(DeadRaw!$B:$B,$A50,DeadRaw!BW:BW)</f>
        <v>0</v>
      </c>
    </row>
    <row r="51" spans="1:72" ht="15" thickBot="1" x14ac:dyDescent="0.35">
      <c r="A51" s="3" t="s">
        <v>344</v>
      </c>
      <c r="B51">
        <f>SUMIF(DeadRaw!$B:$B,$A51,DeadRaw!E:E)</f>
        <v>0</v>
      </c>
      <c r="C51">
        <f>SUMIF(DeadRaw!$B:$B,$A51,DeadRaw!F:F)</f>
        <v>0</v>
      </c>
      <c r="D51">
        <f>SUMIF(DeadRaw!$B:$B,$A51,DeadRaw!G:G)</f>
        <v>0</v>
      </c>
      <c r="E51">
        <f>SUMIF(DeadRaw!$B:$B,$A51,DeadRaw!H:H)</f>
        <v>0</v>
      </c>
      <c r="F51">
        <f>SUMIF(DeadRaw!$B:$B,$A51,DeadRaw!I:I)</f>
        <v>0</v>
      </c>
      <c r="G51">
        <f>SUMIF(DeadRaw!$B:$B,$A51,DeadRaw!J:J)</f>
        <v>0</v>
      </c>
      <c r="H51">
        <f>SUMIF(DeadRaw!$B:$B,$A51,DeadRaw!K:K)</f>
        <v>0</v>
      </c>
      <c r="I51">
        <f>SUMIF(DeadRaw!$B:$B,$A51,DeadRaw!L:L)</f>
        <v>0</v>
      </c>
      <c r="J51">
        <f>SUMIF(DeadRaw!$B:$B,$A51,DeadRaw!M:M)</f>
        <v>0</v>
      </c>
      <c r="K51">
        <f>SUMIF(DeadRaw!$B:$B,$A51,DeadRaw!N:N)</f>
        <v>0</v>
      </c>
      <c r="L51">
        <f>SUMIF(DeadRaw!$B:$B,$A51,DeadRaw!O:O)</f>
        <v>0</v>
      </c>
      <c r="M51">
        <f>SUMIF(DeadRaw!$B:$B,$A51,DeadRaw!P:P)</f>
        <v>0</v>
      </c>
      <c r="N51">
        <f>SUMIF(DeadRaw!$B:$B,$A51,DeadRaw!Q:Q)</f>
        <v>0</v>
      </c>
      <c r="O51">
        <f>SUMIF(DeadRaw!$B:$B,$A51,DeadRaw!R:R)</f>
        <v>0</v>
      </c>
      <c r="P51">
        <f>SUMIF(DeadRaw!$B:$B,$A51,DeadRaw!S:S)</f>
        <v>0</v>
      </c>
      <c r="Q51">
        <f>SUMIF(DeadRaw!$B:$B,$A51,DeadRaw!T:T)</f>
        <v>0</v>
      </c>
      <c r="R51">
        <f>SUMIF(DeadRaw!$B:$B,$A51,DeadRaw!U:U)</f>
        <v>0</v>
      </c>
      <c r="S51">
        <f>SUMIF(DeadRaw!$B:$B,$A51,DeadRaw!V:V)</f>
        <v>0</v>
      </c>
      <c r="T51">
        <f>SUMIF(DeadRaw!$B:$B,$A51,DeadRaw!W:W)</f>
        <v>0</v>
      </c>
      <c r="U51">
        <f>SUMIF(DeadRaw!$B:$B,$A51,DeadRaw!X:X)</f>
        <v>0</v>
      </c>
      <c r="V51">
        <f>SUMIF(DeadRaw!$B:$B,$A51,DeadRaw!Y:Y)</f>
        <v>0</v>
      </c>
      <c r="W51">
        <f>SUMIF(DeadRaw!$B:$B,$A51,DeadRaw!Z:Z)</f>
        <v>0</v>
      </c>
      <c r="X51">
        <f>SUMIF(DeadRaw!$B:$B,$A51,DeadRaw!AA:AA)</f>
        <v>0</v>
      </c>
      <c r="Y51">
        <f>SUMIF(DeadRaw!$B:$B,$A51,DeadRaw!AB:AB)</f>
        <v>0</v>
      </c>
      <c r="Z51">
        <f>SUMIF(DeadRaw!$B:$B,$A51,DeadRaw!AC:AC)</f>
        <v>0</v>
      </c>
      <c r="AA51">
        <f>SUMIF(DeadRaw!$B:$B,$A51,DeadRaw!AD:AD)</f>
        <v>0</v>
      </c>
      <c r="AB51">
        <f>SUMIF(DeadRaw!$B:$B,$A51,DeadRaw!AE:AE)</f>
        <v>0</v>
      </c>
      <c r="AC51">
        <f>SUMIF(DeadRaw!$B:$B,$A51,DeadRaw!AF:AF)</f>
        <v>0</v>
      </c>
      <c r="AD51">
        <f>SUMIF(DeadRaw!$B:$B,$A51,DeadRaw!AG:AG)</f>
        <v>0</v>
      </c>
      <c r="AE51">
        <f>SUMIF(DeadRaw!$B:$B,$A51,DeadRaw!AH:AH)</f>
        <v>0</v>
      </c>
      <c r="AF51">
        <f>SUMIF(DeadRaw!$B:$B,$A51,DeadRaw!AI:AI)</f>
        <v>0</v>
      </c>
      <c r="AG51">
        <f>SUMIF(DeadRaw!$B:$B,$A51,DeadRaw!AJ:AJ)</f>
        <v>0</v>
      </c>
      <c r="AH51">
        <f>SUMIF(DeadRaw!$B:$B,$A51,DeadRaw!AK:AK)</f>
        <v>0</v>
      </c>
      <c r="AI51">
        <f>SUMIF(DeadRaw!$B:$B,$A51,DeadRaw!AL:AL)</f>
        <v>0</v>
      </c>
      <c r="AJ51">
        <f>SUMIF(DeadRaw!$B:$B,$A51,DeadRaw!AM:AM)</f>
        <v>0</v>
      </c>
      <c r="AK51">
        <f>SUMIF(DeadRaw!$B:$B,$A51,DeadRaw!AN:AN)</f>
        <v>0</v>
      </c>
      <c r="AL51">
        <f>SUMIF(DeadRaw!$B:$B,$A51,DeadRaw!AO:AO)</f>
        <v>0</v>
      </c>
      <c r="AM51">
        <f>SUMIF(DeadRaw!$B:$B,$A51,DeadRaw!AP:AP)</f>
        <v>0</v>
      </c>
      <c r="AN51">
        <f>SUMIF(DeadRaw!$B:$B,$A51,DeadRaw!AQ:AQ)</f>
        <v>0</v>
      </c>
      <c r="AO51">
        <f>SUMIF(DeadRaw!$B:$B,$A51,DeadRaw!AR:AR)</f>
        <v>0</v>
      </c>
      <c r="AP51">
        <f>SUMIF(DeadRaw!$B:$B,$A51,DeadRaw!AS:AS)</f>
        <v>0</v>
      </c>
      <c r="AQ51">
        <f>SUMIF(DeadRaw!$B:$B,$A51,DeadRaw!AT:AT)</f>
        <v>0</v>
      </c>
      <c r="AR51">
        <f>SUMIF(DeadRaw!$B:$B,$A51,DeadRaw!AU:AU)</f>
        <v>0</v>
      </c>
      <c r="AS51">
        <f>SUMIF(DeadRaw!$B:$B,$A51,DeadRaw!AV:AV)</f>
        <v>0</v>
      </c>
      <c r="AT51">
        <f>SUMIF(DeadRaw!$B:$B,$A51,DeadRaw!AW:AW)</f>
        <v>0</v>
      </c>
      <c r="AU51">
        <f>SUMIF(DeadRaw!$B:$B,$A51,DeadRaw!AX:AX)</f>
        <v>0</v>
      </c>
      <c r="AV51">
        <f>SUMIF(DeadRaw!$B:$B,$A51,DeadRaw!AY:AY)</f>
        <v>0</v>
      </c>
      <c r="AW51">
        <f>SUMIF(DeadRaw!$B:$B,$A51,DeadRaw!AZ:AZ)</f>
        <v>0</v>
      </c>
      <c r="AX51">
        <f>SUMIF(DeadRaw!$B:$B,$A51,DeadRaw!BA:BA)</f>
        <v>0</v>
      </c>
      <c r="AY51">
        <f>SUMIF(DeadRaw!$B:$B,$A51,DeadRaw!BB:BB)</f>
        <v>0</v>
      </c>
      <c r="AZ51">
        <f>SUMIF(DeadRaw!$B:$B,$A51,DeadRaw!BC:BC)</f>
        <v>0</v>
      </c>
      <c r="BA51">
        <f>SUMIF(DeadRaw!$B:$B,$A51,DeadRaw!BD:BD)</f>
        <v>0</v>
      </c>
      <c r="BB51">
        <f>SUMIF(DeadRaw!$B:$B,$A51,DeadRaw!BE:BE)</f>
        <v>0</v>
      </c>
      <c r="BC51">
        <f>SUMIF(DeadRaw!$B:$B,$A51,DeadRaw!BF:BF)</f>
        <v>0</v>
      </c>
      <c r="BD51">
        <f>SUMIF(DeadRaw!$B:$B,$A51,DeadRaw!BG:BG)</f>
        <v>0</v>
      </c>
      <c r="BE51">
        <f>SUMIF(DeadRaw!$B:$B,$A51,DeadRaw!BH:BH)</f>
        <v>0</v>
      </c>
      <c r="BF51">
        <f>SUMIF(DeadRaw!$B:$B,$A51,DeadRaw!BI:BI)</f>
        <v>0</v>
      </c>
      <c r="BG51">
        <f>SUMIF(DeadRaw!$B:$B,$A51,DeadRaw!BJ:BJ)</f>
        <v>0</v>
      </c>
      <c r="BH51">
        <f>SUMIF(DeadRaw!$B:$B,$A51,DeadRaw!BK:BK)</f>
        <v>0</v>
      </c>
      <c r="BI51">
        <f>SUMIF(DeadRaw!$B:$B,$A51,DeadRaw!BL:BL)</f>
        <v>0</v>
      </c>
      <c r="BJ51">
        <f>SUMIF(DeadRaw!$B:$B,$A51,DeadRaw!BM:BM)</f>
        <v>0</v>
      </c>
      <c r="BK51">
        <f>SUMIF(DeadRaw!$B:$B,$A51,DeadRaw!BN:BN)</f>
        <v>0</v>
      </c>
      <c r="BL51">
        <f>SUMIF(DeadRaw!$B:$B,$A51,DeadRaw!BO:BO)</f>
        <v>0</v>
      </c>
      <c r="BM51">
        <f>SUMIF(DeadRaw!$B:$B,$A51,DeadRaw!BP:BP)</f>
        <v>0</v>
      </c>
      <c r="BN51">
        <f>SUMIF(DeadRaw!$B:$B,$A51,DeadRaw!BQ:BQ)</f>
        <v>0</v>
      </c>
      <c r="BO51">
        <f>SUMIF(DeadRaw!$B:$B,$A51,DeadRaw!BR:BR)</f>
        <v>0</v>
      </c>
      <c r="BP51">
        <f>SUMIF(DeadRaw!$B:$B,$A51,DeadRaw!BS:BS)</f>
        <v>0</v>
      </c>
      <c r="BQ51">
        <f>SUMIF(DeadRaw!$B:$B,$A51,DeadRaw!BT:BT)</f>
        <v>0</v>
      </c>
      <c r="BR51">
        <f>SUMIF(DeadRaw!$B:$B,$A51,DeadRaw!BU:BU)</f>
        <v>0</v>
      </c>
      <c r="BS51">
        <f>SUMIF(DeadRaw!$B:$B,$A51,DeadRaw!BV:BV)</f>
        <v>0</v>
      </c>
      <c r="BT51">
        <f>SUMIF(DeadRaw!$B:$B,$A51,DeadRaw!BW:BW)</f>
        <v>0</v>
      </c>
    </row>
    <row r="52" spans="1:72" ht="15" thickBot="1" x14ac:dyDescent="0.35">
      <c r="A52" s="3" t="s">
        <v>124</v>
      </c>
      <c r="B52">
        <f>SUMIF(DeadRaw!$B:$B,$A52,DeadRaw!E:E)</f>
        <v>0</v>
      </c>
      <c r="C52">
        <f>SUMIF(DeadRaw!$B:$B,$A52,DeadRaw!F:F)</f>
        <v>0</v>
      </c>
      <c r="D52">
        <f>SUMIF(DeadRaw!$B:$B,$A52,DeadRaw!G:G)</f>
        <v>0</v>
      </c>
      <c r="E52">
        <f>SUMIF(DeadRaw!$B:$B,$A52,DeadRaw!H:H)</f>
        <v>0</v>
      </c>
      <c r="F52">
        <f>SUMIF(DeadRaw!$B:$B,$A52,DeadRaw!I:I)</f>
        <v>0</v>
      </c>
      <c r="G52">
        <f>SUMIF(DeadRaw!$B:$B,$A52,DeadRaw!J:J)</f>
        <v>0</v>
      </c>
      <c r="H52">
        <f>SUMIF(DeadRaw!$B:$B,$A52,DeadRaw!K:K)</f>
        <v>0</v>
      </c>
      <c r="I52">
        <f>SUMIF(DeadRaw!$B:$B,$A52,DeadRaw!L:L)</f>
        <v>0</v>
      </c>
      <c r="J52">
        <f>SUMIF(DeadRaw!$B:$B,$A52,DeadRaw!M:M)</f>
        <v>0</v>
      </c>
      <c r="K52">
        <f>SUMIF(DeadRaw!$B:$B,$A52,DeadRaw!N:N)</f>
        <v>0</v>
      </c>
      <c r="L52">
        <f>SUMIF(DeadRaw!$B:$B,$A52,DeadRaw!O:O)</f>
        <v>0</v>
      </c>
      <c r="M52">
        <f>SUMIF(DeadRaw!$B:$B,$A52,DeadRaw!P:P)</f>
        <v>0</v>
      </c>
      <c r="N52">
        <f>SUMIF(DeadRaw!$B:$B,$A52,DeadRaw!Q:Q)</f>
        <v>0</v>
      </c>
      <c r="O52">
        <f>SUMIF(DeadRaw!$B:$B,$A52,DeadRaw!R:R)</f>
        <v>0</v>
      </c>
      <c r="P52">
        <f>SUMIF(DeadRaw!$B:$B,$A52,DeadRaw!S:S)</f>
        <v>0</v>
      </c>
      <c r="Q52">
        <f>SUMIF(DeadRaw!$B:$B,$A52,DeadRaw!T:T)</f>
        <v>0</v>
      </c>
      <c r="R52">
        <f>SUMIF(DeadRaw!$B:$B,$A52,DeadRaw!U:U)</f>
        <v>0</v>
      </c>
      <c r="S52">
        <f>SUMIF(DeadRaw!$B:$B,$A52,DeadRaw!V:V)</f>
        <v>0</v>
      </c>
      <c r="T52">
        <f>SUMIF(DeadRaw!$B:$B,$A52,DeadRaw!W:W)</f>
        <v>0</v>
      </c>
      <c r="U52">
        <f>SUMIF(DeadRaw!$B:$B,$A52,DeadRaw!X:X)</f>
        <v>0</v>
      </c>
      <c r="V52">
        <f>SUMIF(DeadRaw!$B:$B,$A52,DeadRaw!Y:Y)</f>
        <v>0</v>
      </c>
      <c r="W52">
        <f>SUMIF(DeadRaw!$B:$B,$A52,DeadRaw!Z:Z)</f>
        <v>0</v>
      </c>
      <c r="X52">
        <f>SUMIF(DeadRaw!$B:$B,$A52,DeadRaw!AA:AA)</f>
        <v>0</v>
      </c>
      <c r="Y52">
        <f>SUMIF(DeadRaw!$B:$B,$A52,DeadRaw!AB:AB)</f>
        <v>0</v>
      </c>
      <c r="Z52">
        <f>SUMIF(DeadRaw!$B:$B,$A52,DeadRaw!AC:AC)</f>
        <v>0</v>
      </c>
      <c r="AA52">
        <f>SUMIF(DeadRaw!$B:$B,$A52,DeadRaw!AD:AD)</f>
        <v>0</v>
      </c>
      <c r="AB52">
        <f>SUMIF(DeadRaw!$B:$B,$A52,DeadRaw!AE:AE)</f>
        <v>0</v>
      </c>
      <c r="AC52">
        <f>SUMIF(DeadRaw!$B:$B,$A52,DeadRaw!AF:AF)</f>
        <v>0</v>
      </c>
      <c r="AD52">
        <f>SUMIF(DeadRaw!$B:$B,$A52,DeadRaw!AG:AG)</f>
        <v>0</v>
      </c>
      <c r="AE52">
        <f>SUMIF(DeadRaw!$B:$B,$A52,DeadRaw!AH:AH)</f>
        <v>0</v>
      </c>
      <c r="AF52">
        <f>SUMIF(DeadRaw!$B:$B,$A52,DeadRaw!AI:AI)</f>
        <v>0</v>
      </c>
      <c r="AG52">
        <f>SUMIF(DeadRaw!$B:$B,$A52,DeadRaw!AJ:AJ)</f>
        <v>0</v>
      </c>
      <c r="AH52">
        <f>SUMIF(DeadRaw!$B:$B,$A52,DeadRaw!AK:AK)</f>
        <v>0</v>
      </c>
      <c r="AI52">
        <f>SUMIF(DeadRaw!$B:$B,$A52,DeadRaw!AL:AL)</f>
        <v>0</v>
      </c>
      <c r="AJ52">
        <f>SUMIF(DeadRaw!$B:$B,$A52,DeadRaw!AM:AM)</f>
        <v>0</v>
      </c>
      <c r="AK52">
        <f>SUMIF(DeadRaw!$B:$B,$A52,DeadRaw!AN:AN)</f>
        <v>0</v>
      </c>
      <c r="AL52">
        <f>SUMIF(DeadRaw!$B:$B,$A52,DeadRaw!AO:AO)</f>
        <v>0</v>
      </c>
      <c r="AM52">
        <f>SUMIF(DeadRaw!$B:$B,$A52,DeadRaw!AP:AP)</f>
        <v>0</v>
      </c>
      <c r="AN52">
        <f>SUMIF(DeadRaw!$B:$B,$A52,DeadRaw!AQ:AQ)</f>
        <v>0</v>
      </c>
      <c r="AO52">
        <f>SUMIF(DeadRaw!$B:$B,$A52,DeadRaw!AR:AR)</f>
        <v>0</v>
      </c>
      <c r="AP52">
        <f>SUMIF(DeadRaw!$B:$B,$A52,DeadRaw!AS:AS)</f>
        <v>0</v>
      </c>
      <c r="AQ52">
        <f>SUMIF(DeadRaw!$B:$B,$A52,DeadRaw!AT:AT)</f>
        <v>0</v>
      </c>
      <c r="AR52">
        <f>SUMIF(DeadRaw!$B:$B,$A52,DeadRaw!AU:AU)</f>
        <v>0</v>
      </c>
      <c r="AS52">
        <f>SUMIF(DeadRaw!$B:$B,$A52,DeadRaw!AV:AV)</f>
        <v>0</v>
      </c>
      <c r="AT52">
        <f>SUMIF(DeadRaw!$B:$B,$A52,DeadRaw!AW:AW)</f>
        <v>0</v>
      </c>
      <c r="AU52">
        <f>SUMIF(DeadRaw!$B:$B,$A52,DeadRaw!AX:AX)</f>
        <v>0</v>
      </c>
      <c r="AV52">
        <f>SUMIF(DeadRaw!$B:$B,$A52,DeadRaw!AY:AY)</f>
        <v>0</v>
      </c>
      <c r="AW52">
        <f>SUMIF(DeadRaw!$B:$B,$A52,DeadRaw!AZ:AZ)</f>
        <v>0</v>
      </c>
      <c r="AX52">
        <f>SUMIF(DeadRaw!$B:$B,$A52,DeadRaw!BA:BA)</f>
        <v>0</v>
      </c>
      <c r="AY52">
        <f>SUMIF(DeadRaw!$B:$B,$A52,DeadRaw!BB:BB)</f>
        <v>0</v>
      </c>
      <c r="AZ52">
        <f>SUMIF(DeadRaw!$B:$B,$A52,DeadRaw!BC:BC)</f>
        <v>0</v>
      </c>
      <c r="BA52">
        <f>SUMIF(DeadRaw!$B:$B,$A52,DeadRaw!BD:BD)</f>
        <v>0</v>
      </c>
      <c r="BB52">
        <f>SUMIF(DeadRaw!$B:$B,$A52,DeadRaw!BE:BE)</f>
        <v>0</v>
      </c>
      <c r="BC52">
        <f>SUMIF(DeadRaw!$B:$B,$A52,DeadRaw!BF:BF)</f>
        <v>0</v>
      </c>
      <c r="BD52">
        <f>SUMIF(DeadRaw!$B:$B,$A52,DeadRaw!BG:BG)</f>
        <v>0</v>
      </c>
      <c r="BE52">
        <f>SUMIF(DeadRaw!$B:$B,$A52,DeadRaw!BH:BH)</f>
        <v>0</v>
      </c>
      <c r="BF52">
        <f>SUMIF(DeadRaw!$B:$B,$A52,DeadRaw!BI:BI)</f>
        <v>0</v>
      </c>
      <c r="BG52">
        <f>SUMIF(DeadRaw!$B:$B,$A52,DeadRaw!BJ:BJ)</f>
        <v>0</v>
      </c>
      <c r="BH52">
        <f>SUMIF(DeadRaw!$B:$B,$A52,DeadRaw!BK:BK)</f>
        <v>0</v>
      </c>
      <c r="BI52">
        <f>SUMIF(DeadRaw!$B:$B,$A52,DeadRaw!BL:BL)</f>
        <v>0</v>
      </c>
      <c r="BJ52">
        <f>SUMIF(DeadRaw!$B:$B,$A52,DeadRaw!BM:BM)</f>
        <v>0</v>
      </c>
      <c r="BK52">
        <f>SUMIF(DeadRaw!$B:$B,$A52,DeadRaw!BN:BN)</f>
        <v>0</v>
      </c>
      <c r="BL52">
        <f>SUMIF(DeadRaw!$B:$B,$A52,DeadRaw!BO:BO)</f>
        <v>0</v>
      </c>
      <c r="BM52">
        <f>SUMIF(DeadRaw!$B:$B,$A52,DeadRaw!BP:BP)</f>
        <v>0</v>
      </c>
      <c r="BN52">
        <f>SUMIF(DeadRaw!$B:$B,$A52,DeadRaw!BQ:BQ)</f>
        <v>0</v>
      </c>
      <c r="BO52">
        <f>SUMIF(DeadRaw!$B:$B,$A52,DeadRaw!BR:BR)</f>
        <v>0</v>
      </c>
      <c r="BP52">
        <f>SUMIF(DeadRaw!$B:$B,$A52,DeadRaw!BS:BS)</f>
        <v>0</v>
      </c>
      <c r="BQ52">
        <f>SUMIF(DeadRaw!$B:$B,$A52,DeadRaw!BT:BT)</f>
        <v>0</v>
      </c>
      <c r="BR52">
        <f>SUMIF(DeadRaw!$B:$B,$A52,DeadRaw!BU:BU)</f>
        <v>0</v>
      </c>
      <c r="BS52">
        <f>SUMIF(DeadRaw!$B:$B,$A52,DeadRaw!BV:BV)</f>
        <v>0</v>
      </c>
      <c r="BT52">
        <f>SUMIF(DeadRaw!$B:$B,$A52,DeadRaw!BW:BW)</f>
        <v>0</v>
      </c>
    </row>
    <row r="53" spans="1:72" ht="15" thickBot="1" x14ac:dyDescent="0.35">
      <c r="A53" s="4" t="s">
        <v>233</v>
      </c>
      <c r="B53">
        <f>SUMIF(DeadRaw!$B:$B,$A53,DeadRaw!E:E)</f>
        <v>0</v>
      </c>
      <c r="C53">
        <f>SUMIF(DeadRaw!$B:$B,$A53,DeadRaw!F:F)</f>
        <v>0</v>
      </c>
      <c r="D53">
        <f>SUMIF(DeadRaw!$B:$B,$A53,DeadRaw!G:G)</f>
        <v>0</v>
      </c>
      <c r="E53">
        <f>SUMIF(DeadRaw!$B:$B,$A53,DeadRaw!H:H)</f>
        <v>0</v>
      </c>
      <c r="F53">
        <f>SUMIF(DeadRaw!$B:$B,$A53,DeadRaw!I:I)</f>
        <v>0</v>
      </c>
      <c r="G53">
        <f>SUMIF(DeadRaw!$B:$B,$A53,DeadRaw!J:J)</f>
        <v>0</v>
      </c>
      <c r="H53">
        <f>SUMIF(DeadRaw!$B:$B,$A53,DeadRaw!K:K)</f>
        <v>0</v>
      </c>
      <c r="I53">
        <f>SUMIF(DeadRaw!$B:$B,$A53,DeadRaw!L:L)</f>
        <v>0</v>
      </c>
      <c r="J53">
        <f>SUMIF(DeadRaw!$B:$B,$A53,DeadRaw!M:M)</f>
        <v>0</v>
      </c>
      <c r="K53">
        <f>SUMIF(DeadRaw!$B:$B,$A53,DeadRaw!N:N)</f>
        <v>0</v>
      </c>
      <c r="L53">
        <f>SUMIF(DeadRaw!$B:$B,$A53,DeadRaw!O:O)</f>
        <v>0</v>
      </c>
      <c r="M53">
        <f>SUMIF(DeadRaw!$B:$B,$A53,DeadRaw!P:P)</f>
        <v>0</v>
      </c>
      <c r="N53">
        <f>SUMIF(DeadRaw!$B:$B,$A53,DeadRaw!Q:Q)</f>
        <v>0</v>
      </c>
      <c r="O53">
        <f>SUMIF(DeadRaw!$B:$B,$A53,DeadRaw!R:R)</f>
        <v>0</v>
      </c>
      <c r="P53">
        <f>SUMIF(DeadRaw!$B:$B,$A53,DeadRaw!S:S)</f>
        <v>0</v>
      </c>
      <c r="Q53">
        <f>SUMIF(DeadRaw!$B:$B,$A53,DeadRaw!T:T)</f>
        <v>0</v>
      </c>
      <c r="R53">
        <f>SUMIF(DeadRaw!$B:$B,$A53,DeadRaw!U:U)</f>
        <v>0</v>
      </c>
      <c r="S53">
        <f>SUMIF(DeadRaw!$B:$B,$A53,DeadRaw!V:V)</f>
        <v>0</v>
      </c>
      <c r="T53">
        <f>SUMIF(DeadRaw!$B:$B,$A53,DeadRaw!W:W)</f>
        <v>0</v>
      </c>
      <c r="U53">
        <f>SUMIF(DeadRaw!$B:$B,$A53,DeadRaw!X:X)</f>
        <v>0</v>
      </c>
      <c r="V53">
        <f>SUMIF(DeadRaw!$B:$B,$A53,DeadRaw!Y:Y)</f>
        <v>0</v>
      </c>
      <c r="W53">
        <f>SUMIF(DeadRaw!$B:$B,$A53,DeadRaw!Z:Z)</f>
        <v>0</v>
      </c>
      <c r="X53">
        <f>SUMIF(DeadRaw!$B:$B,$A53,DeadRaw!AA:AA)</f>
        <v>0</v>
      </c>
      <c r="Y53">
        <f>SUMIF(DeadRaw!$B:$B,$A53,DeadRaw!AB:AB)</f>
        <v>0</v>
      </c>
      <c r="Z53">
        <f>SUMIF(DeadRaw!$B:$B,$A53,DeadRaw!AC:AC)</f>
        <v>0</v>
      </c>
      <c r="AA53">
        <f>SUMIF(DeadRaw!$B:$B,$A53,DeadRaw!AD:AD)</f>
        <v>0</v>
      </c>
      <c r="AB53">
        <f>SUMIF(DeadRaw!$B:$B,$A53,DeadRaw!AE:AE)</f>
        <v>0</v>
      </c>
      <c r="AC53">
        <f>SUMIF(DeadRaw!$B:$B,$A53,DeadRaw!AF:AF)</f>
        <v>0</v>
      </c>
      <c r="AD53">
        <f>SUMIF(DeadRaw!$B:$B,$A53,DeadRaw!AG:AG)</f>
        <v>0</v>
      </c>
      <c r="AE53">
        <f>SUMIF(DeadRaw!$B:$B,$A53,DeadRaw!AH:AH)</f>
        <v>0</v>
      </c>
      <c r="AF53">
        <f>SUMIF(DeadRaw!$B:$B,$A53,DeadRaw!AI:AI)</f>
        <v>0</v>
      </c>
      <c r="AG53">
        <f>SUMIF(DeadRaw!$B:$B,$A53,DeadRaw!AJ:AJ)</f>
        <v>0</v>
      </c>
      <c r="AH53">
        <f>SUMIF(DeadRaw!$B:$B,$A53,DeadRaw!AK:AK)</f>
        <v>0</v>
      </c>
      <c r="AI53">
        <f>SUMIF(DeadRaw!$B:$B,$A53,DeadRaw!AL:AL)</f>
        <v>0</v>
      </c>
      <c r="AJ53">
        <f>SUMIF(DeadRaw!$B:$B,$A53,DeadRaw!AM:AM)</f>
        <v>0</v>
      </c>
      <c r="AK53">
        <f>SUMIF(DeadRaw!$B:$B,$A53,DeadRaw!AN:AN)</f>
        <v>0</v>
      </c>
      <c r="AL53">
        <f>SUMIF(DeadRaw!$B:$B,$A53,DeadRaw!AO:AO)</f>
        <v>0</v>
      </c>
      <c r="AM53">
        <f>SUMIF(DeadRaw!$B:$B,$A53,DeadRaw!AP:AP)</f>
        <v>0</v>
      </c>
      <c r="AN53">
        <f>SUMIF(DeadRaw!$B:$B,$A53,DeadRaw!AQ:AQ)</f>
        <v>0</v>
      </c>
      <c r="AO53">
        <f>SUMIF(DeadRaw!$B:$B,$A53,DeadRaw!AR:AR)</f>
        <v>0</v>
      </c>
      <c r="AP53">
        <f>SUMIF(DeadRaw!$B:$B,$A53,DeadRaw!AS:AS)</f>
        <v>0</v>
      </c>
      <c r="AQ53">
        <f>SUMIF(DeadRaw!$B:$B,$A53,DeadRaw!AT:AT)</f>
        <v>0</v>
      </c>
      <c r="AR53">
        <f>SUMIF(DeadRaw!$B:$B,$A53,DeadRaw!AU:AU)</f>
        <v>0</v>
      </c>
      <c r="AS53">
        <f>SUMIF(DeadRaw!$B:$B,$A53,DeadRaw!AV:AV)</f>
        <v>0</v>
      </c>
      <c r="AT53">
        <f>SUMIF(DeadRaw!$B:$B,$A53,DeadRaw!AW:AW)</f>
        <v>0</v>
      </c>
      <c r="AU53">
        <f>SUMIF(DeadRaw!$B:$B,$A53,DeadRaw!AX:AX)</f>
        <v>0</v>
      </c>
      <c r="AV53">
        <f>SUMIF(DeadRaw!$B:$B,$A53,DeadRaw!AY:AY)</f>
        <v>0</v>
      </c>
      <c r="AW53">
        <f>SUMIF(DeadRaw!$B:$B,$A53,DeadRaw!AZ:AZ)</f>
        <v>0</v>
      </c>
      <c r="AX53">
        <f>SUMIF(DeadRaw!$B:$B,$A53,DeadRaw!BA:BA)</f>
        <v>0</v>
      </c>
      <c r="AY53">
        <f>SUMIF(DeadRaw!$B:$B,$A53,DeadRaw!BB:BB)</f>
        <v>0</v>
      </c>
      <c r="AZ53">
        <f>SUMIF(DeadRaw!$B:$B,$A53,DeadRaw!BC:BC)</f>
        <v>0</v>
      </c>
      <c r="BA53">
        <f>SUMIF(DeadRaw!$B:$B,$A53,DeadRaw!BD:BD)</f>
        <v>0</v>
      </c>
      <c r="BB53">
        <f>SUMIF(DeadRaw!$B:$B,$A53,DeadRaw!BE:BE)</f>
        <v>0</v>
      </c>
      <c r="BC53">
        <f>SUMIF(DeadRaw!$B:$B,$A53,DeadRaw!BF:BF)</f>
        <v>0</v>
      </c>
      <c r="BD53">
        <f>SUMIF(DeadRaw!$B:$B,$A53,DeadRaw!BG:BG)</f>
        <v>0</v>
      </c>
      <c r="BE53">
        <f>SUMIF(DeadRaw!$B:$B,$A53,DeadRaw!BH:BH)</f>
        <v>0</v>
      </c>
      <c r="BF53">
        <f>SUMIF(DeadRaw!$B:$B,$A53,DeadRaw!BI:BI)</f>
        <v>0</v>
      </c>
      <c r="BG53">
        <f>SUMIF(DeadRaw!$B:$B,$A53,DeadRaw!BJ:BJ)</f>
        <v>0</v>
      </c>
      <c r="BH53">
        <f>SUMIF(DeadRaw!$B:$B,$A53,DeadRaw!BK:BK)</f>
        <v>0</v>
      </c>
      <c r="BI53">
        <f>SUMIF(DeadRaw!$B:$B,$A53,DeadRaw!BL:BL)</f>
        <v>0</v>
      </c>
      <c r="BJ53">
        <f>SUMIF(DeadRaw!$B:$B,$A53,DeadRaw!BM:BM)</f>
        <v>0</v>
      </c>
      <c r="BK53">
        <f>SUMIF(DeadRaw!$B:$B,$A53,DeadRaw!BN:BN)</f>
        <v>0</v>
      </c>
      <c r="BL53">
        <f>SUMIF(DeadRaw!$B:$B,$A53,DeadRaw!BO:BO)</f>
        <v>0</v>
      </c>
      <c r="BM53">
        <f>SUMIF(DeadRaw!$B:$B,$A53,DeadRaw!BP:BP)</f>
        <v>0</v>
      </c>
      <c r="BN53">
        <f>SUMIF(DeadRaw!$B:$B,$A53,DeadRaw!BQ:BQ)</f>
        <v>0</v>
      </c>
      <c r="BO53">
        <f>SUMIF(DeadRaw!$B:$B,$A53,DeadRaw!BR:BR)</f>
        <v>0</v>
      </c>
      <c r="BP53">
        <f>SUMIF(DeadRaw!$B:$B,$A53,DeadRaw!BS:BS)</f>
        <v>0</v>
      </c>
      <c r="BQ53">
        <f>SUMIF(DeadRaw!$B:$B,$A53,DeadRaw!BT:BT)</f>
        <v>0</v>
      </c>
      <c r="BR53">
        <f>SUMIF(DeadRaw!$B:$B,$A53,DeadRaw!BU:BU)</f>
        <v>0</v>
      </c>
      <c r="BS53">
        <f>SUMIF(DeadRaw!$B:$B,$A53,DeadRaw!BV:BV)</f>
        <v>0</v>
      </c>
      <c r="BT53">
        <f>SUMIF(DeadRaw!$B:$B,$A53,DeadRaw!BW:BW)</f>
        <v>0</v>
      </c>
    </row>
    <row r="54" spans="1:72" ht="15" thickBot="1" x14ac:dyDescent="0.35">
      <c r="A54" s="3" t="s">
        <v>161</v>
      </c>
      <c r="B54">
        <f>SUMIF(DeadRaw!$B:$B,$A54,DeadRaw!E:E)</f>
        <v>0</v>
      </c>
      <c r="C54">
        <f>SUMIF(DeadRaw!$B:$B,$A54,DeadRaw!F:F)</f>
        <v>0</v>
      </c>
      <c r="D54">
        <f>SUMIF(DeadRaw!$B:$B,$A54,DeadRaw!G:G)</f>
        <v>0</v>
      </c>
      <c r="E54">
        <f>SUMIF(DeadRaw!$B:$B,$A54,DeadRaw!H:H)</f>
        <v>0</v>
      </c>
      <c r="F54">
        <f>SUMIF(DeadRaw!$B:$B,$A54,DeadRaw!I:I)</f>
        <v>0</v>
      </c>
      <c r="G54">
        <f>SUMIF(DeadRaw!$B:$B,$A54,DeadRaw!J:J)</f>
        <v>0</v>
      </c>
      <c r="H54">
        <f>SUMIF(DeadRaw!$B:$B,$A54,DeadRaw!K:K)</f>
        <v>0</v>
      </c>
      <c r="I54">
        <f>SUMIF(DeadRaw!$B:$B,$A54,DeadRaw!L:L)</f>
        <v>0</v>
      </c>
      <c r="J54">
        <f>SUMIF(DeadRaw!$B:$B,$A54,DeadRaw!M:M)</f>
        <v>0</v>
      </c>
      <c r="K54">
        <f>SUMIF(DeadRaw!$B:$B,$A54,DeadRaw!N:N)</f>
        <v>0</v>
      </c>
      <c r="L54">
        <f>SUMIF(DeadRaw!$B:$B,$A54,DeadRaw!O:O)</f>
        <v>0</v>
      </c>
      <c r="M54">
        <f>SUMIF(DeadRaw!$B:$B,$A54,DeadRaw!P:P)</f>
        <v>0</v>
      </c>
      <c r="N54">
        <f>SUMIF(DeadRaw!$B:$B,$A54,DeadRaw!Q:Q)</f>
        <v>0</v>
      </c>
      <c r="O54">
        <f>SUMIF(DeadRaw!$B:$B,$A54,DeadRaw!R:R)</f>
        <v>0</v>
      </c>
      <c r="P54">
        <f>SUMIF(DeadRaw!$B:$B,$A54,DeadRaw!S:S)</f>
        <v>0</v>
      </c>
      <c r="Q54">
        <f>SUMIF(DeadRaw!$B:$B,$A54,DeadRaw!T:T)</f>
        <v>0</v>
      </c>
      <c r="R54">
        <f>SUMIF(DeadRaw!$B:$B,$A54,DeadRaw!U:U)</f>
        <v>0</v>
      </c>
      <c r="S54">
        <f>SUMIF(DeadRaw!$B:$B,$A54,DeadRaw!V:V)</f>
        <v>0</v>
      </c>
      <c r="T54">
        <f>SUMIF(DeadRaw!$B:$B,$A54,DeadRaw!W:W)</f>
        <v>0</v>
      </c>
      <c r="U54">
        <f>SUMIF(DeadRaw!$B:$B,$A54,DeadRaw!X:X)</f>
        <v>0</v>
      </c>
      <c r="V54">
        <f>SUMIF(DeadRaw!$B:$B,$A54,DeadRaw!Y:Y)</f>
        <v>0</v>
      </c>
      <c r="W54">
        <f>SUMIF(DeadRaw!$B:$B,$A54,DeadRaw!Z:Z)</f>
        <v>0</v>
      </c>
      <c r="X54">
        <f>SUMIF(DeadRaw!$B:$B,$A54,DeadRaw!AA:AA)</f>
        <v>0</v>
      </c>
      <c r="Y54">
        <f>SUMIF(DeadRaw!$B:$B,$A54,DeadRaw!AB:AB)</f>
        <v>0</v>
      </c>
      <c r="Z54">
        <f>SUMIF(DeadRaw!$B:$B,$A54,DeadRaw!AC:AC)</f>
        <v>0</v>
      </c>
      <c r="AA54">
        <f>SUMIF(DeadRaw!$B:$B,$A54,DeadRaw!AD:AD)</f>
        <v>0</v>
      </c>
      <c r="AB54">
        <f>SUMIF(DeadRaw!$B:$B,$A54,DeadRaw!AE:AE)</f>
        <v>0</v>
      </c>
      <c r="AC54">
        <f>SUMIF(DeadRaw!$B:$B,$A54,DeadRaw!AF:AF)</f>
        <v>0</v>
      </c>
      <c r="AD54">
        <f>SUMIF(DeadRaw!$B:$B,$A54,DeadRaw!AG:AG)</f>
        <v>0</v>
      </c>
      <c r="AE54">
        <f>SUMIF(DeadRaw!$B:$B,$A54,DeadRaw!AH:AH)</f>
        <v>0</v>
      </c>
      <c r="AF54">
        <f>SUMIF(DeadRaw!$B:$B,$A54,DeadRaw!AI:AI)</f>
        <v>0</v>
      </c>
      <c r="AG54">
        <f>SUMIF(DeadRaw!$B:$B,$A54,DeadRaw!AJ:AJ)</f>
        <v>0</v>
      </c>
      <c r="AH54">
        <f>SUMIF(DeadRaw!$B:$B,$A54,DeadRaw!AK:AK)</f>
        <v>0</v>
      </c>
      <c r="AI54">
        <f>SUMIF(DeadRaw!$B:$B,$A54,DeadRaw!AL:AL)</f>
        <v>0</v>
      </c>
      <c r="AJ54">
        <f>SUMIF(DeadRaw!$B:$B,$A54,DeadRaw!AM:AM)</f>
        <v>0</v>
      </c>
      <c r="AK54">
        <f>SUMIF(DeadRaw!$B:$B,$A54,DeadRaw!AN:AN)</f>
        <v>0</v>
      </c>
      <c r="AL54">
        <f>SUMIF(DeadRaw!$B:$B,$A54,DeadRaw!AO:AO)</f>
        <v>0</v>
      </c>
      <c r="AM54">
        <f>SUMIF(DeadRaw!$B:$B,$A54,DeadRaw!AP:AP)</f>
        <v>0</v>
      </c>
      <c r="AN54">
        <f>SUMIF(DeadRaw!$B:$B,$A54,DeadRaw!AQ:AQ)</f>
        <v>0</v>
      </c>
      <c r="AO54">
        <f>SUMIF(DeadRaw!$B:$B,$A54,DeadRaw!AR:AR)</f>
        <v>0</v>
      </c>
      <c r="AP54">
        <f>SUMIF(DeadRaw!$B:$B,$A54,DeadRaw!AS:AS)</f>
        <v>0</v>
      </c>
      <c r="AQ54">
        <f>SUMIF(DeadRaw!$B:$B,$A54,DeadRaw!AT:AT)</f>
        <v>0</v>
      </c>
      <c r="AR54">
        <f>SUMIF(DeadRaw!$B:$B,$A54,DeadRaw!AU:AU)</f>
        <v>0</v>
      </c>
      <c r="AS54">
        <f>SUMIF(DeadRaw!$B:$B,$A54,DeadRaw!AV:AV)</f>
        <v>0</v>
      </c>
      <c r="AT54">
        <f>SUMIF(DeadRaw!$B:$B,$A54,DeadRaw!AW:AW)</f>
        <v>0</v>
      </c>
      <c r="AU54">
        <f>SUMIF(DeadRaw!$B:$B,$A54,DeadRaw!AX:AX)</f>
        <v>0</v>
      </c>
      <c r="AV54">
        <f>SUMIF(DeadRaw!$B:$B,$A54,DeadRaw!AY:AY)</f>
        <v>0</v>
      </c>
      <c r="AW54">
        <f>SUMIF(DeadRaw!$B:$B,$A54,DeadRaw!AZ:AZ)</f>
        <v>0</v>
      </c>
      <c r="AX54">
        <f>SUMIF(DeadRaw!$B:$B,$A54,DeadRaw!BA:BA)</f>
        <v>0</v>
      </c>
      <c r="AY54">
        <f>SUMIF(DeadRaw!$B:$B,$A54,DeadRaw!BB:BB)</f>
        <v>0</v>
      </c>
      <c r="AZ54">
        <f>SUMIF(DeadRaw!$B:$B,$A54,DeadRaw!BC:BC)</f>
        <v>0</v>
      </c>
      <c r="BA54">
        <f>SUMIF(DeadRaw!$B:$B,$A54,DeadRaw!BD:BD)</f>
        <v>0</v>
      </c>
      <c r="BB54">
        <f>SUMIF(DeadRaw!$B:$B,$A54,DeadRaw!BE:BE)</f>
        <v>0</v>
      </c>
      <c r="BC54">
        <f>SUMIF(DeadRaw!$B:$B,$A54,DeadRaw!BF:BF)</f>
        <v>0</v>
      </c>
      <c r="BD54">
        <f>SUMIF(DeadRaw!$B:$B,$A54,DeadRaw!BG:BG)</f>
        <v>0</v>
      </c>
      <c r="BE54">
        <f>SUMIF(DeadRaw!$B:$B,$A54,DeadRaw!BH:BH)</f>
        <v>0</v>
      </c>
      <c r="BF54">
        <f>SUMIF(DeadRaw!$B:$B,$A54,DeadRaw!BI:BI)</f>
        <v>0</v>
      </c>
      <c r="BG54">
        <f>SUMIF(DeadRaw!$B:$B,$A54,DeadRaw!BJ:BJ)</f>
        <v>0</v>
      </c>
      <c r="BH54">
        <f>SUMIF(DeadRaw!$B:$B,$A54,DeadRaw!BK:BK)</f>
        <v>0</v>
      </c>
      <c r="BI54">
        <f>SUMIF(DeadRaw!$B:$B,$A54,DeadRaw!BL:BL)</f>
        <v>0</v>
      </c>
      <c r="BJ54">
        <f>SUMIF(DeadRaw!$B:$B,$A54,DeadRaw!BM:BM)</f>
        <v>0</v>
      </c>
      <c r="BK54">
        <f>SUMIF(DeadRaw!$B:$B,$A54,DeadRaw!BN:BN)</f>
        <v>0</v>
      </c>
      <c r="BL54">
        <f>SUMIF(DeadRaw!$B:$B,$A54,DeadRaw!BO:BO)</f>
        <v>0</v>
      </c>
      <c r="BM54">
        <f>SUMIF(DeadRaw!$B:$B,$A54,DeadRaw!BP:BP)</f>
        <v>0</v>
      </c>
      <c r="BN54">
        <f>SUMIF(DeadRaw!$B:$B,$A54,DeadRaw!BQ:BQ)</f>
        <v>0</v>
      </c>
      <c r="BO54">
        <f>SUMIF(DeadRaw!$B:$B,$A54,DeadRaw!BR:BR)</f>
        <v>0</v>
      </c>
      <c r="BP54">
        <f>SUMIF(DeadRaw!$B:$B,$A54,DeadRaw!BS:BS)</f>
        <v>0</v>
      </c>
      <c r="BQ54">
        <f>SUMIF(DeadRaw!$B:$B,$A54,DeadRaw!BT:BT)</f>
        <v>0</v>
      </c>
      <c r="BR54">
        <f>SUMIF(DeadRaw!$B:$B,$A54,DeadRaw!BU:BU)</f>
        <v>0</v>
      </c>
      <c r="BS54">
        <f>SUMIF(DeadRaw!$B:$B,$A54,DeadRaw!BV:BV)</f>
        <v>0</v>
      </c>
      <c r="BT54">
        <f>SUMIF(DeadRaw!$B:$B,$A54,DeadRaw!BW:BW)</f>
        <v>0</v>
      </c>
    </row>
    <row r="55" spans="1:72" ht="15" thickBot="1" x14ac:dyDescent="0.35">
      <c r="A55" s="3" t="s">
        <v>99</v>
      </c>
      <c r="B55">
        <f>SUMIF(DeadRaw!$B:$B,$A55,DeadRaw!E:E)</f>
        <v>0</v>
      </c>
      <c r="C55">
        <f>SUMIF(DeadRaw!$B:$B,$A55,DeadRaw!F:F)</f>
        <v>0</v>
      </c>
      <c r="D55">
        <f>SUMIF(DeadRaw!$B:$B,$A55,DeadRaw!G:G)</f>
        <v>0</v>
      </c>
      <c r="E55">
        <f>SUMIF(DeadRaw!$B:$B,$A55,DeadRaw!H:H)</f>
        <v>0</v>
      </c>
      <c r="F55">
        <f>SUMIF(DeadRaw!$B:$B,$A55,DeadRaw!I:I)</f>
        <v>0</v>
      </c>
      <c r="G55">
        <f>SUMIF(DeadRaw!$B:$B,$A55,DeadRaw!J:J)</f>
        <v>0</v>
      </c>
      <c r="H55">
        <f>SUMIF(DeadRaw!$B:$B,$A55,DeadRaw!K:K)</f>
        <v>0</v>
      </c>
      <c r="I55">
        <f>SUMIF(DeadRaw!$B:$B,$A55,DeadRaw!L:L)</f>
        <v>0</v>
      </c>
      <c r="J55">
        <f>SUMIF(DeadRaw!$B:$B,$A55,DeadRaw!M:M)</f>
        <v>0</v>
      </c>
      <c r="K55">
        <f>SUMIF(DeadRaw!$B:$B,$A55,DeadRaw!N:N)</f>
        <v>0</v>
      </c>
      <c r="L55">
        <f>SUMIF(DeadRaw!$B:$B,$A55,DeadRaw!O:O)</f>
        <v>0</v>
      </c>
      <c r="M55">
        <f>SUMIF(DeadRaw!$B:$B,$A55,DeadRaw!P:P)</f>
        <v>0</v>
      </c>
      <c r="N55">
        <f>SUMIF(DeadRaw!$B:$B,$A55,DeadRaw!Q:Q)</f>
        <v>0</v>
      </c>
      <c r="O55">
        <f>SUMIF(DeadRaw!$B:$B,$A55,DeadRaw!R:R)</f>
        <v>0</v>
      </c>
      <c r="P55">
        <f>SUMIF(DeadRaw!$B:$B,$A55,DeadRaw!S:S)</f>
        <v>0</v>
      </c>
      <c r="Q55">
        <f>SUMIF(DeadRaw!$B:$B,$A55,DeadRaw!T:T)</f>
        <v>0</v>
      </c>
      <c r="R55">
        <f>SUMIF(DeadRaw!$B:$B,$A55,DeadRaw!U:U)</f>
        <v>0</v>
      </c>
      <c r="S55">
        <f>SUMIF(DeadRaw!$B:$B,$A55,DeadRaw!V:V)</f>
        <v>0</v>
      </c>
      <c r="T55">
        <f>SUMIF(DeadRaw!$B:$B,$A55,DeadRaw!W:W)</f>
        <v>0</v>
      </c>
      <c r="U55">
        <f>SUMIF(DeadRaw!$B:$B,$A55,DeadRaw!X:X)</f>
        <v>0</v>
      </c>
      <c r="V55">
        <f>SUMIF(DeadRaw!$B:$B,$A55,DeadRaw!Y:Y)</f>
        <v>0</v>
      </c>
      <c r="W55">
        <f>SUMIF(DeadRaw!$B:$B,$A55,DeadRaw!Z:Z)</f>
        <v>0</v>
      </c>
      <c r="X55">
        <f>SUMIF(DeadRaw!$B:$B,$A55,DeadRaw!AA:AA)</f>
        <v>0</v>
      </c>
      <c r="Y55">
        <f>SUMIF(DeadRaw!$B:$B,$A55,DeadRaw!AB:AB)</f>
        <v>0</v>
      </c>
      <c r="Z55">
        <f>SUMIF(DeadRaw!$B:$B,$A55,DeadRaw!AC:AC)</f>
        <v>0</v>
      </c>
      <c r="AA55">
        <f>SUMIF(DeadRaw!$B:$B,$A55,DeadRaw!AD:AD)</f>
        <v>0</v>
      </c>
      <c r="AB55">
        <f>SUMIF(DeadRaw!$B:$B,$A55,DeadRaw!AE:AE)</f>
        <v>0</v>
      </c>
      <c r="AC55">
        <f>SUMIF(DeadRaw!$B:$B,$A55,DeadRaw!AF:AF)</f>
        <v>0</v>
      </c>
      <c r="AD55">
        <f>SUMIF(DeadRaw!$B:$B,$A55,DeadRaw!AG:AG)</f>
        <v>0</v>
      </c>
      <c r="AE55">
        <f>SUMIF(DeadRaw!$B:$B,$A55,DeadRaw!AH:AH)</f>
        <v>0</v>
      </c>
      <c r="AF55">
        <f>SUMIF(DeadRaw!$B:$B,$A55,DeadRaw!AI:AI)</f>
        <v>0</v>
      </c>
      <c r="AG55">
        <f>SUMIF(DeadRaw!$B:$B,$A55,DeadRaw!AJ:AJ)</f>
        <v>0</v>
      </c>
      <c r="AH55">
        <f>SUMIF(DeadRaw!$B:$B,$A55,DeadRaw!AK:AK)</f>
        <v>0</v>
      </c>
      <c r="AI55">
        <f>SUMIF(DeadRaw!$B:$B,$A55,DeadRaw!AL:AL)</f>
        <v>0</v>
      </c>
      <c r="AJ55">
        <f>SUMIF(DeadRaw!$B:$B,$A55,DeadRaw!AM:AM)</f>
        <v>0</v>
      </c>
      <c r="AK55">
        <f>SUMIF(DeadRaw!$B:$B,$A55,DeadRaw!AN:AN)</f>
        <v>0</v>
      </c>
      <c r="AL55">
        <f>SUMIF(DeadRaw!$B:$B,$A55,DeadRaw!AO:AO)</f>
        <v>0</v>
      </c>
      <c r="AM55">
        <f>SUMIF(DeadRaw!$B:$B,$A55,DeadRaw!AP:AP)</f>
        <v>0</v>
      </c>
      <c r="AN55">
        <f>SUMIF(DeadRaw!$B:$B,$A55,DeadRaw!AQ:AQ)</f>
        <v>0</v>
      </c>
      <c r="AO55">
        <f>SUMIF(DeadRaw!$B:$B,$A55,DeadRaw!AR:AR)</f>
        <v>0</v>
      </c>
      <c r="AP55">
        <f>SUMIF(DeadRaw!$B:$B,$A55,DeadRaw!AS:AS)</f>
        <v>0</v>
      </c>
      <c r="AQ55">
        <f>SUMIF(DeadRaw!$B:$B,$A55,DeadRaw!AT:AT)</f>
        <v>0</v>
      </c>
      <c r="AR55">
        <f>SUMIF(DeadRaw!$B:$B,$A55,DeadRaw!AU:AU)</f>
        <v>0</v>
      </c>
      <c r="AS55">
        <f>SUMIF(DeadRaw!$B:$B,$A55,DeadRaw!AV:AV)</f>
        <v>0</v>
      </c>
      <c r="AT55">
        <f>SUMIF(DeadRaw!$B:$B,$A55,DeadRaw!AW:AW)</f>
        <v>0</v>
      </c>
      <c r="AU55">
        <f>SUMIF(DeadRaw!$B:$B,$A55,DeadRaw!AX:AX)</f>
        <v>0</v>
      </c>
      <c r="AV55">
        <f>SUMIF(DeadRaw!$B:$B,$A55,DeadRaw!AY:AY)</f>
        <v>0</v>
      </c>
      <c r="AW55">
        <f>SUMIF(DeadRaw!$B:$B,$A55,DeadRaw!AZ:AZ)</f>
        <v>0</v>
      </c>
      <c r="AX55">
        <f>SUMIF(DeadRaw!$B:$B,$A55,DeadRaw!BA:BA)</f>
        <v>0</v>
      </c>
      <c r="AY55">
        <f>SUMIF(DeadRaw!$B:$B,$A55,DeadRaw!BB:BB)</f>
        <v>0</v>
      </c>
      <c r="AZ55">
        <f>SUMIF(DeadRaw!$B:$B,$A55,DeadRaw!BC:BC)</f>
        <v>0</v>
      </c>
      <c r="BA55">
        <f>SUMIF(DeadRaw!$B:$B,$A55,DeadRaw!BD:BD)</f>
        <v>0</v>
      </c>
      <c r="BB55">
        <f>SUMIF(DeadRaw!$B:$B,$A55,DeadRaw!BE:BE)</f>
        <v>1</v>
      </c>
      <c r="BC55">
        <f>SUMIF(DeadRaw!$B:$B,$A55,DeadRaw!BF:BF)</f>
        <v>1</v>
      </c>
      <c r="BD55">
        <f>SUMIF(DeadRaw!$B:$B,$A55,DeadRaw!BG:BG)</f>
        <v>1</v>
      </c>
      <c r="BE55">
        <f>SUMIF(DeadRaw!$B:$B,$A55,DeadRaw!BH:BH)</f>
        <v>1</v>
      </c>
      <c r="BF55">
        <f>SUMIF(DeadRaw!$B:$B,$A55,DeadRaw!BI:BI)</f>
        <v>2</v>
      </c>
      <c r="BG55">
        <f>SUMIF(DeadRaw!$B:$B,$A55,DeadRaw!BJ:BJ)</f>
        <v>0</v>
      </c>
      <c r="BH55">
        <f>SUMIF(DeadRaw!$B:$B,$A55,DeadRaw!BK:BK)</f>
        <v>0</v>
      </c>
      <c r="BI55">
        <f>SUMIF(DeadRaw!$B:$B,$A55,DeadRaw!BL:BL)</f>
        <v>0</v>
      </c>
      <c r="BJ55">
        <f>SUMIF(DeadRaw!$B:$B,$A55,DeadRaw!BM:BM)</f>
        <v>0</v>
      </c>
      <c r="BK55">
        <f>SUMIF(DeadRaw!$B:$B,$A55,DeadRaw!BN:BN)</f>
        <v>0</v>
      </c>
      <c r="BL55">
        <f>SUMIF(DeadRaw!$B:$B,$A55,DeadRaw!BO:BO)</f>
        <v>0</v>
      </c>
      <c r="BM55">
        <f>SUMIF(DeadRaw!$B:$B,$A55,DeadRaw!BP:BP)</f>
        <v>0</v>
      </c>
      <c r="BN55">
        <f>SUMIF(DeadRaw!$B:$B,$A55,DeadRaw!BQ:BQ)</f>
        <v>0</v>
      </c>
      <c r="BO55">
        <f>SUMIF(DeadRaw!$B:$B,$A55,DeadRaw!BR:BR)</f>
        <v>0</v>
      </c>
      <c r="BP55">
        <f>SUMIF(DeadRaw!$B:$B,$A55,DeadRaw!BS:BS)</f>
        <v>0</v>
      </c>
      <c r="BQ55">
        <f>SUMIF(DeadRaw!$B:$B,$A55,DeadRaw!BT:BT)</f>
        <v>0</v>
      </c>
      <c r="BR55">
        <f>SUMIF(DeadRaw!$B:$B,$A55,DeadRaw!BU:BU)</f>
        <v>0</v>
      </c>
      <c r="BS55">
        <f>SUMIF(DeadRaw!$B:$B,$A55,DeadRaw!BV:BV)</f>
        <v>0</v>
      </c>
      <c r="BT55">
        <f>SUMIF(DeadRaw!$B:$B,$A55,DeadRaw!BW:BW)</f>
        <v>0</v>
      </c>
    </row>
    <row r="56" spans="1:72" ht="15" thickBot="1" x14ac:dyDescent="0.35">
      <c r="A56" s="4" t="s">
        <v>230</v>
      </c>
      <c r="B56">
        <f>SUMIF(DeadRaw!$B:$B,$A56,DeadRaw!E:E)</f>
        <v>0</v>
      </c>
      <c r="C56">
        <f>SUMIF(DeadRaw!$B:$B,$A56,DeadRaw!F:F)</f>
        <v>0</v>
      </c>
      <c r="D56">
        <f>SUMIF(DeadRaw!$B:$B,$A56,DeadRaw!G:G)</f>
        <v>0</v>
      </c>
      <c r="E56">
        <f>SUMIF(DeadRaw!$B:$B,$A56,DeadRaw!H:H)</f>
        <v>0</v>
      </c>
      <c r="F56">
        <f>SUMIF(DeadRaw!$B:$B,$A56,DeadRaw!I:I)</f>
        <v>0</v>
      </c>
      <c r="G56">
        <f>SUMIF(DeadRaw!$B:$B,$A56,DeadRaw!J:J)</f>
        <v>0</v>
      </c>
      <c r="H56">
        <f>SUMIF(DeadRaw!$B:$B,$A56,DeadRaw!K:K)</f>
        <v>0</v>
      </c>
      <c r="I56">
        <f>SUMIF(DeadRaw!$B:$B,$A56,DeadRaw!L:L)</f>
        <v>0</v>
      </c>
      <c r="J56">
        <f>SUMIF(DeadRaw!$B:$B,$A56,DeadRaw!M:M)</f>
        <v>0</v>
      </c>
      <c r="K56">
        <f>SUMIF(DeadRaw!$B:$B,$A56,DeadRaw!N:N)</f>
        <v>0</v>
      </c>
      <c r="L56">
        <f>SUMIF(DeadRaw!$B:$B,$A56,DeadRaw!O:O)</f>
        <v>0</v>
      </c>
      <c r="M56">
        <f>SUMIF(DeadRaw!$B:$B,$A56,DeadRaw!P:P)</f>
        <v>0</v>
      </c>
      <c r="N56">
        <f>SUMIF(DeadRaw!$B:$B,$A56,DeadRaw!Q:Q)</f>
        <v>0</v>
      </c>
      <c r="O56">
        <f>SUMIF(DeadRaw!$B:$B,$A56,DeadRaw!R:R)</f>
        <v>0</v>
      </c>
      <c r="P56">
        <f>SUMIF(DeadRaw!$B:$B,$A56,DeadRaw!S:S)</f>
        <v>0</v>
      </c>
      <c r="Q56">
        <f>SUMIF(DeadRaw!$B:$B,$A56,DeadRaw!T:T)</f>
        <v>0</v>
      </c>
      <c r="R56">
        <f>SUMIF(DeadRaw!$B:$B,$A56,DeadRaw!U:U)</f>
        <v>0</v>
      </c>
      <c r="S56">
        <f>SUMIF(DeadRaw!$B:$B,$A56,DeadRaw!V:V)</f>
        <v>0</v>
      </c>
      <c r="T56">
        <f>SUMIF(DeadRaw!$B:$B,$A56,DeadRaw!W:W)</f>
        <v>0</v>
      </c>
      <c r="U56">
        <f>SUMIF(DeadRaw!$B:$B,$A56,DeadRaw!X:X)</f>
        <v>0</v>
      </c>
      <c r="V56">
        <f>SUMIF(DeadRaw!$B:$B,$A56,DeadRaw!Y:Y)</f>
        <v>0</v>
      </c>
      <c r="W56">
        <f>SUMIF(DeadRaw!$B:$B,$A56,DeadRaw!Z:Z)</f>
        <v>0</v>
      </c>
      <c r="X56">
        <f>SUMIF(DeadRaw!$B:$B,$A56,DeadRaw!AA:AA)</f>
        <v>0</v>
      </c>
      <c r="Y56">
        <f>SUMIF(DeadRaw!$B:$B,$A56,DeadRaw!AB:AB)</f>
        <v>0</v>
      </c>
      <c r="Z56">
        <f>SUMIF(DeadRaw!$B:$B,$A56,DeadRaw!AC:AC)</f>
        <v>0</v>
      </c>
      <c r="AA56">
        <f>SUMIF(DeadRaw!$B:$B,$A56,DeadRaw!AD:AD)</f>
        <v>0</v>
      </c>
      <c r="AB56">
        <f>SUMIF(DeadRaw!$B:$B,$A56,DeadRaw!AE:AE)</f>
        <v>0</v>
      </c>
      <c r="AC56">
        <f>SUMIF(DeadRaw!$B:$B,$A56,DeadRaw!AF:AF)</f>
        <v>0</v>
      </c>
      <c r="AD56">
        <f>SUMIF(DeadRaw!$B:$B,$A56,DeadRaw!AG:AG)</f>
        <v>0</v>
      </c>
      <c r="AE56">
        <f>SUMIF(DeadRaw!$B:$B,$A56,DeadRaw!AH:AH)</f>
        <v>0</v>
      </c>
      <c r="AF56">
        <f>SUMIF(DeadRaw!$B:$B,$A56,DeadRaw!AI:AI)</f>
        <v>0</v>
      </c>
      <c r="AG56">
        <f>SUMIF(DeadRaw!$B:$B,$A56,DeadRaw!AJ:AJ)</f>
        <v>0</v>
      </c>
      <c r="AH56">
        <f>SUMIF(DeadRaw!$B:$B,$A56,DeadRaw!AK:AK)</f>
        <v>0</v>
      </c>
      <c r="AI56">
        <f>SUMIF(DeadRaw!$B:$B,$A56,DeadRaw!AL:AL)</f>
        <v>0</v>
      </c>
      <c r="AJ56">
        <f>SUMIF(DeadRaw!$B:$B,$A56,DeadRaw!AM:AM)</f>
        <v>0</v>
      </c>
      <c r="AK56">
        <f>SUMIF(DeadRaw!$B:$B,$A56,DeadRaw!AN:AN)</f>
        <v>0</v>
      </c>
      <c r="AL56">
        <f>SUMIF(DeadRaw!$B:$B,$A56,DeadRaw!AO:AO)</f>
        <v>0</v>
      </c>
      <c r="AM56">
        <f>SUMIF(DeadRaw!$B:$B,$A56,DeadRaw!AP:AP)</f>
        <v>0</v>
      </c>
      <c r="AN56">
        <f>SUMIF(DeadRaw!$B:$B,$A56,DeadRaw!AQ:AQ)</f>
        <v>0</v>
      </c>
      <c r="AO56">
        <f>SUMIF(DeadRaw!$B:$B,$A56,DeadRaw!AR:AR)</f>
        <v>0</v>
      </c>
      <c r="AP56">
        <f>SUMIF(DeadRaw!$B:$B,$A56,DeadRaw!AS:AS)</f>
        <v>0</v>
      </c>
      <c r="AQ56">
        <f>SUMIF(DeadRaw!$B:$B,$A56,DeadRaw!AT:AT)</f>
        <v>0</v>
      </c>
      <c r="AR56">
        <f>SUMIF(DeadRaw!$B:$B,$A56,DeadRaw!AU:AU)</f>
        <v>0</v>
      </c>
      <c r="AS56">
        <f>SUMIF(DeadRaw!$B:$B,$A56,DeadRaw!AV:AV)</f>
        <v>0</v>
      </c>
      <c r="AT56">
        <f>SUMIF(DeadRaw!$B:$B,$A56,DeadRaw!AW:AW)</f>
        <v>0</v>
      </c>
      <c r="AU56">
        <f>SUMIF(DeadRaw!$B:$B,$A56,DeadRaw!AX:AX)</f>
        <v>0</v>
      </c>
      <c r="AV56">
        <f>SUMIF(DeadRaw!$B:$B,$A56,DeadRaw!AY:AY)</f>
        <v>0</v>
      </c>
      <c r="AW56">
        <f>SUMIF(DeadRaw!$B:$B,$A56,DeadRaw!AZ:AZ)</f>
        <v>0</v>
      </c>
      <c r="AX56">
        <f>SUMIF(DeadRaw!$B:$B,$A56,DeadRaw!BA:BA)</f>
        <v>0</v>
      </c>
      <c r="AY56">
        <f>SUMIF(DeadRaw!$B:$B,$A56,DeadRaw!BB:BB)</f>
        <v>1</v>
      </c>
      <c r="AZ56">
        <f>SUMIF(DeadRaw!$B:$B,$A56,DeadRaw!BC:BC)</f>
        <v>1</v>
      </c>
      <c r="BA56">
        <f>SUMIF(DeadRaw!$B:$B,$A56,DeadRaw!BD:BD)</f>
        <v>1</v>
      </c>
      <c r="BB56">
        <f>SUMIF(DeadRaw!$B:$B,$A56,DeadRaw!BE:BE)</f>
        <v>1</v>
      </c>
      <c r="BC56">
        <f>SUMIF(DeadRaw!$B:$B,$A56,DeadRaw!BF:BF)</f>
        <v>1</v>
      </c>
      <c r="BD56">
        <f>SUMIF(DeadRaw!$B:$B,$A56,DeadRaw!BG:BG)</f>
        <v>1</v>
      </c>
      <c r="BE56">
        <f>SUMIF(DeadRaw!$B:$B,$A56,DeadRaw!BH:BH)</f>
        <v>1</v>
      </c>
      <c r="BF56">
        <f>SUMIF(DeadRaw!$B:$B,$A56,DeadRaw!BI:BI)</f>
        <v>2</v>
      </c>
      <c r="BG56">
        <f>SUMIF(DeadRaw!$B:$B,$A56,DeadRaw!BJ:BJ)</f>
        <v>0</v>
      </c>
      <c r="BH56">
        <f>SUMIF(DeadRaw!$B:$B,$A56,DeadRaw!BK:BK)</f>
        <v>0</v>
      </c>
      <c r="BI56">
        <f>SUMIF(DeadRaw!$B:$B,$A56,DeadRaw!BL:BL)</f>
        <v>0</v>
      </c>
      <c r="BJ56">
        <f>SUMIF(DeadRaw!$B:$B,$A56,DeadRaw!BM:BM)</f>
        <v>0</v>
      </c>
      <c r="BK56">
        <f>SUMIF(DeadRaw!$B:$B,$A56,DeadRaw!BN:BN)</f>
        <v>0</v>
      </c>
      <c r="BL56">
        <f>SUMIF(DeadRaw!$B:$B,$A56,DeadRaw!BO:BO)</f>
        <v>0</v>
      </c>
      <c r="BM56">
        <f>SUMIF(DeadRaw!$B:$B,$A56,DeadRaw!BP:BP)</f>
        <v>0</v>
      </c>
      <c r="BN56">
        <f>SUMIF(DeadRaw!$B:$B,$A56,DeadRaw!BQ:BQ)</f>
        <v>0</v>
      </c>
      <c r="BO56">
        <f>SUMIF(DeadRaw!$B:$B,$A56,DeadRaw!BR:BR)</f>
        <v>0</v>
      </c>
      <c r="BP56">
        <f>SUMIF(DeadRaw!$B:$B,$A56,DeadRaw!BS:BS)</f>
        <v>0</v>
      </c>
      <c r="BQ56">
        <f>SUMIF(DeadRaw!$B:$B,$A56,DeadRaw!BT:BT)</f>
        <v>0</v>
      </c>
      <c r="BR56">
        <f>SUMIF(DeadRaw!$B:$B,$A56,DeadRaw!BU:BU)</f>
        <v>0</v>
      </c>
      <c r="BS56">
        <f>SUMIF(DeadRaw!$B:$B,$A56,DeadRaw!BV:BV)</f>
        <v>0</v>
      </c>
      <c r="BT56">
        <f>SUMIF(DeadRaw!$B:$B,$A56,DeadRaw!BW:BW)</f>
        <v>0</v>
      </c>
    </row>
    <row r="57" spans="1:72" ht="15" thickBot="1" x14ac:dyDescent="0.35">
      <c r="A57" s="3" t="s">
        <v>76</v>
      </c>
      <c r="B57">
        <f>SUMIF(DeadRaw!$B:$B,$A57,DeadRaw!E:E)</f>
        <v>0</v>
      </c>
      <c r="C57">
        <f>SUMIF(DeadRaw!$B:$B,$A57,DeadRaw!F:F)</f>
        <v>0</v>
      </c>
      <c r="D57">
        <f>SUMIF(DeadRaw!$B:$B,$A57,DeadRaw!G:G)</f>
        <v>0</v>
      </c>
      <c r="E57">
        <f>SUMIF(DeadRaw!$B:$B,$A57,DeadRaw!H:H)</f>
        <v>0</v>
      </c>
      <c r="F57">
        <f>SUMIF(DeadRaw!$B:$B,$A57,DeadRaw!I:I)</f>
        <v>0</v>
      </c>
      <c r="G57">
        <f>SUMIF(DeadRaw!$B:$B,$A57,DeadRaw!J:J)</f>
        <v>0</v>
      </c>
      <c r="H57">
        <f>SUMIF(DeadRaw!$B:$B,$A57,DeadRaw!K:K)</f>
        <v>0</v>
      </c>
      <c r="I57">
        <f>SUMIF(DeadRaw!$B:$B,$A57,DeadRaw!L:L)</f>
        <v>0</v>
      </c>
      <c r="J57">
        <f>SUMIF(DeadRaw!$B:$B,$A57,DeadRaw!M:M)</f>
        <v>0</v>
      </c>
      <c r="K57">
        <f>SUMIF(DeadRaw!$B:$B,$A57,DeadRaw!N:N)</f>
        <v>0</v>
      </c>
      <c r="L57">
        <f>SUMIF(DeadRaw!$B:$B,$A57,DeadRaw!O:O)</f>
        <v>0</v>
      </c>
      <c r="M57">
        <f>SUMIF(DeadRaw!$B:$B,$A57,DeadRaw!P:P)</f>
        <v>0</v>
      </c>
      <c r="N57">
        <f>SUMIF(DeadRaw!$B:$B,$A57,DeadRaw!Q:Q)</f>
        <v>0</v>
      </c>
      <c r="O57">
        <f>SUMIF(DeadRaw!$B:$B,$A57,DeadRaw!R:R)</f>
        <v>0</v>
      </c>
      <c r="P57">
        <f>SUMIF(DeadRaw!$B:$B,$A57,DeadRaw!S:S)</f>
        <v>0</v>
      </c>
      <c r="Q57">
        <f>SUMIF(DeadRaw!$B:$B,$A57,DeadRaw!T:T)</f>
        <v>0</v>
      </c>
      <c r="R57">
        <f>SUMIF(DeadRaw!$B:$B,$A57,DeadRaw!U:U)</f>
        <v>0</v>
      </c>
      <c r="S57">
        <f>SUMIF(DeadRaw!$B:$B,$A57,DeadRaw!V:V)</f>
        <v>0</v>
      </c>
      <c r="T57">
        <f>SUMIF(DeadRaw!$B:$B,$A57,DeadRaw!W:W)</f>
        <v>0</v>
      </c>
      <c r="U57">
        <f>SUMIF(DeadRaw!$B:$B,$A57,DeadRaw!X:X)</f>
        <v>0</v>
      </c>
      <c r="V57">
        <f>SUMIF(DeadRaw!$B:$B,$A57,DeadRaw!Y:Y)</f>
        <v>0</v>
      </c>
      <c r="W57">
        <f>SUMIF(DeadRaw!$B:$B,$A57,DeadRaw!Z:Z)</f>
        <v>0</v>
      </c>
      <c r="X57">
        <f>SUMIF(DeadRaw!$B:$B,$A57,DeadRaw!AA:AA)</f>
        <v>0</v>
      </c>
      <c r="Y57">
        <f>SUMIF(DeadRaw!$B:$B,$A57,DeadRaw!AB:AB)</f>
        <v>0</v>
      </c>
      <c r="Z57">
        <f>SUMIF(DeadRaw!$B:$B,$A57,DeadRaw!AC:AC)</f>
        <v>0</v>
      </c>
      <c r="AA57">
        <f>SUMIF(DeadRaw!$B:$B,$A57,DeadRaw!AD:AD)</f>
        <v>0</v>
      </c>
      <c r="AB57">
        <f>SUMIF(DeadRaw!$B:$B,$A57,DeadRaw!AE:AE)</f>
        <v>0</v>
      </c>
      <c r="AC57">
        <f>SUMIF(DeadRaw!$B:$B,$A57,DeadRaw!AF:AF)</f>
        <v>0</v>
      </c>
      <c r="AD57">
        <f>SUMIF(DeadRaw!$B:$B,$A57,DeadRaw!AG:AG)</f>
        <v>0</v>
      </c>
      <c r="AE57">
        <f>SUMIF(DeadRaw!$B:$B,$A57,DeadRaw!AH:AH)</f>
        <v>0</v>
      </c>
      <c r="AF57">
        <f>SUMIF(DeadRaw!$B:$B,$A57,DeadRaw!AI:AI)</f>
        <v>0</v>
      </c>
      <c r="AG57">
        <f>SUMIF(DeadRaw!$B:$B,$A57,DeadRaw!AJ:AJ)</f>
        <v>0</v>
      </c>
      <c r="AH57">
        <f>SUMIF(DeadRaw!$B:$B,$A57,DeadRaw!AK:AK)</f>
        <v>0</v>
      </c>
      <c r="AI57">
        <f>SUMIF(DeadRaw!$B:$B,$A57,DeadRaw!AL:AL)</f>
        <v>0</v>
      </c>
      <c r="AJ57">
        <f>SUMIF(DeadRaw!$B:$B,$A57,DeadRaw!AM:AM)</f>
        <v>0</v>
      </c>
      <c r="AK57">
        <f>SUMIF(DeadRaw!$B:$B,$A57,DeadRaw!AN:AN)</f>
        <v>0</v>
      </c>
      <c r="AL57">
        <f>SUMIF(DeadRaw!$B:$B,$A57,DeadRaw!AO:AO)</f>
        <v>0</v>
      </c>
      <c r="AM57">
        <f>SUMIF(DeadRaw!$B:$B,$A57,DeadRaw!AP:AP)</f>
        <v>0</v>
      </c>
      <c r="AN57">
        <f>SUMIF(DeadRaw!$B:$B,$A57,DeadRaw!AQ:AQ)</f>
        <v>0</v>
      </c>
      <c r="AO57">
        <f>SUMIF(DeadRaw!$B:$B,$A57,DeadRaw!AR:AR)</f>
        <v>0</v>
      </c>
      <c r="AP57">
        <f>SUMIF(DeadRaw!$B:$B,$A57,DeadRaw!AS:AS)</f>
        <v>0</v>
      </c>
      <c r="AQ57">
        <f>SUMIF(DeadRaw!$B:$B,$A57,DeadRaw!AT:AT)</f>
        <v>0</v>
      </c>
      <c r="AR57">
        <f>SUMIF(DeadRaw!$B:$B,$A57,DeadRaw!AU:AU)</f>
        <v>0</v>
      </c>
      <c r="AS57">
        <f>SUMIF(DeadRaw!$B:$B,$A57,DeadRaw!AV:AV)</f>
        <v>0</v>
      </c>
      <c r="AT57">
        <f>SUMIF(DeadRaw!$B:$B,$A57,DeadRaw!AW:AW)</f>
        <v>0</v>
      </c>
      <c r="AU57">
        <f>SUMIF(DeadRaw!$B:$B,$A57,DeadRaw!AX:AX)</f>
        <v>0</v>
      </c>
      <c r="AV57">
        <f>SUMIF(DeadRaw!$B:$B,$A57,DeadRaw!AY:AY)</f>
        <v>0</v>
      </c>
      <c r="AW57">
        <f>SUMIF(DeadRaw!$B:$B,$A57,DeadRaw!AZ:AZ)</f>
        <v>0</v>
      </c>
      <c r="AX57">
        <f>SUMIF(DeadRaw!$B:$B,$A57,DeadRaw!BA:BA)</f>
        <v>0</v>
      </c>
      <c r="AY57">
        <f>SUMIF(DeadRaw!$B:$B,$A57,DeadRaw!BB:BB)</f>
        <v>0</v>
      </c>
      <c r="AZ57">
        <f>SUMIF(DeadRaw!$B:$B,$A57,DeadRaw!BC:BC)</f>
        <v>0</v>
      </c>
      <c r="BA57">
        <f>SUMIF(DeadRaw!$B:$B,$A57,DeadRaw!BD:BD)</f>
        <v>0</v>
      </c>
      <c r="BB57">
        <f>SUMIF(DeadRaw!$B:$B,$A57,DeadRaw!BE:BE)</f>
        <v>0</v>
      </c>
      <c r="BC57">
        <f>SUMIF(DeadRaw!$B:$B,$A57,DeadRaw!BF:BF)</f>
        <v>0</v>
      </c>
      <c r="BD57">
        <f>SUMIF(DeadRaw!$B:$B,$A57,DeadRaw!BG:BG)</f>
        <v>0</v>
      </c>
      <c r="BE57">
        <f>SUMIF(DeadRaw!$B:$B,$A57,DeadRaw!BH:BH)</f>
        <v>0</v>
      </c>
      <c r="BF57">
        <f>SUMIF(DeadRaw!$B:$B,$A57,DeadRaw!BI:BI)</f>
        <v>0</v>
      </c>
      <c r="BG57">
        <f>SUMIF(DeadRaw!$B:$B,$A57,DeadRaw!BJ:BJ)</f>
        <v>0</v>
      </c>
      <c r="BH57">
        <f>SUMIF(DeadRaw!$B:$B,$A57,DeadRaw!BK:BK)</f>
        <v>0</v>
      </c>
      <c r="BI57">
        <f>SUMIF(DeadRaw!$B:$B,$A57,DeadRaw!BL:BL)</f>
        <v>0</v>
      </c>
      <c r="BJ57">
        <f>SUMIF(DeadRaw!$B:$B,$A57,DeadRaw!BM:BM)</f>
        <v>0</v>
      </c>
      <c r="BK57">
        <f>SUMIF(DeadRaw!$B:$B,$A57,DeadRaw!BN:BN)</f>
        <v>0</v>
      </c>
      <c r="BL57">
        <f>SUMIF(DeadRaw!$B:$B,$A57,DeadRaw!BO:BO)</f>
        <v>0</v>
      </c>
      <c r="BM57">
        <f>SUMIF(DeadRaw!$B:$B,$A57,DeadRaw!BP:BP)</f>
        <v>0</v>
      </c>
      <c r="BN57">
        <f>SUMIF(DeadRaw!$B:$B,$A57,DeadRaw!BQ:BQ)</f>
        <v>0</v>
      </c>
      <c r="BO57">
        <f>SUMIF(DeadRaw!$B:$B,$A57,DeadRaw!BR:BR)</f>
        <v>0</v>
      </c>
      <c r="BP57">
        <f>SUMIF(DeadRaw!$B:$B,$A57,DeadRaw!BS:BS)</f>
        <v>0</v>
      </c>
      <c r="BQ57">
        <f>SUMIF(DeadRaw!$B:$B,$A57,DeadRaw!BT:BT)</f>
        <v>0</v>
      </c>
      <c r="BR57">
        <f>SUMIF(DeadRaw!$B:$B,$A57,DeadRaw!BU:BU)</f>
        <v>0</v>
      </c>
      <c r="BS57">
        <f>SUMIF(DeadRaw!$B:$B,$A57,DeadRaw!BV:BV)</f>
        <v>0</v>
      </c>
      <c r="BT57">
        <f>SUMIF(DeadRaw!$B:$B,$A57,DeadRaw!BW:BW)</f>
        <v>0</v>
      </c>
    </row>
    <row r="58" spans="1:72" ht="15" thickBot="1" x14ac:dyDescent="0.35">
      <c r="A58" s="4" t="s">
        <v>162</v>
      </c>
      <c r="B58">
        <f>SUMIF(DeadRaw!$B:$B,$A58,DeadRaw!E:E)</f>
        <v>0</v>
      </c>
      <c r="C58">
        <f>SUMIF(DeadRaw!$B:$B,$A58,DeadRaw!F:F)</f>
        <v>0</v>
      </c>
      <c r="D58">
        <f>SUMIF(DeadRaw!$B:$B,$A58,DeadRaw!G:G)</f>
        <v>0</v>
      </c>
      <c r="E58">
        <f>SUMIF(DeadRaw!$B:$B,$A58,DeadRaw!H:H)</f>
        <v>0</v>
      </c>
      <c r="F58">
        <f>SUMIF(DeadRaw!$B:$B,$A58,DeadRaw!I:I)</f>
        <v>0</v>
      </c>
      <c r="G58">
        <f>SUMIF(DeadRaw!$B:$B,$A58,DeadRaw!J:J)</f>
        <v>0</v>
      </c>
      <c r="H58">
        <f>SUMIF(DeadRaw!$B:$B,$A58,DeadRaw!K:K)</f>
        <v>0</v>
      </c>
      <c r="I58">
        <f>SUMIF(DeadRaw!$B:$B,$A58,DeadRaw!L:L)</f>
        <v>0</v>
      </c>
      <c r="J58">
        <f>SUMIF(DeadRaw!$B:$B,$A58,DeadRaw!M:M)</f>
        <v>0</v>
      </c>
      <c r="K58">
        <f>SUMIF(DeadRaw!$B:$B,$A58,DeadRaw!N:N)</f>
        <v>0</v>
      </c>
      <c r="L58">
        <f>SUMIF(DeadRaw!$B:$B,$A58,DeadRaw!O:O)</f>
        <v>0</v>
      </c>
      <c r="M58">
        <f>SUMIF(DeadRaw!$B:$B,$A58,DeadRaw!P:P)</f>
        <v>0</v>
      </c>
      <c r="N58">
        <f>SUMIF(DeadRaw!$B:$B,$A58,DeadRaw!Q:Q)</f>
        <v>0</v>
      </c>
      <c r="O58">
        <f>SUMIF(DeadRaw!$B:$B,$A58,DeadRaw!R:R)</f>
        <v>0</v>
      </c>
      <c r="P58">
        <f>SUMIF(DeadRaw!$B:$B,$A58,DeadRaw!S:S)</f>
        <v>0</v>
      </c>
      <c r="Q58">
        <f>SUMIF(DeadRaw!$B:$B,$A58,DeadRaw!T:T)</f>
        <v>0</v>
      </c>
      <c r="R58">
        <f>SUMIF(DeadRaw!$B:$B,$A58,DeadRaw!U:U)</f>
        <v>0</v>
      </c>
      <c r="S58">
        <f>SUMIF(DeadRaw!$B:$B,$A58,DeadRaw!V:V)</f>
        <v>0</v>
      </c>
      <c r="T58">
        <f>SUMIF(DeadRaw!$B:$B,$A58,DeadRaw!W:W)</f>
        <v>0</v>
      </c>
      <c r="U58">
        <f>SUMIF(DeadRaw!$B:$B,$A58,DeadRaw!X:X)</f>
        <v>0</v>
      </c>
      <c r="V58">
        <f>SUMIF(DeadRaw!$B:$B,$A58,DeadRaw!Y:Y)</f>
        <v>0</v>
      </c>
      <c r="W58">
        <f>SUMIF(DeadRaw!$B:$B,$A58,DeadRaw!Z:Z)</f>
        <v>0</v>
      </c>
      <c r="X58">
        <f>SUMIF(DeadRaw!$B:$B,$A58,DeadRaw!AA:AA)</f>
        <v>0</v>
      </c>
      <c r="Y58">
        <f>SUMIF(DeadRaw!$B:$B,$A58,DeadRaw!AB:AB)</f>
        <v>0</v>
      </c>
      <c r="Z58">
        <f>SUMIF(DeadRaw!$B:$B,$A58,DeadRaw!AC:AC)</f>
        <v>0</v>
      </c>
      <c r="AA58">
        <f>SUMIF(DeadRaw!$B:$B,$A58,DeadRaw!AD:AD)</f>
        <v>0</v>
      </c>
      <c r="AB58">
        <f>SUMIF(DeadRaw!$B:$B,$A58,DeadRaw!AE:AE)</f>
        <v>0</v>
      </c>
      <c r="AC58">
        <f>SUMIF(DeadRaw!$B:$B,$A58,DeadRaw!AF:AF)</f>
        <v>0</v>
      </c>
      <c r="AD58">
        <f>SUMIF(DeadRaw!$B:$B,$A58,DeadRaw!AG:AG)</f>
        <v>0</v>
      </c>
      <c r="AE58">
        <f>SUMIF(DeadRaw!$B:$B,$A58,DeadRaw!AH:AH)</f>
        <v>0</v>
      </c>
      <c r="AF58">
        <f>SUMIF(DeadRaw!$B:$B,$A58,DeadRaw!AI:AI)</f>
        <v>0</v>
      </c>
      <c r="AG58">
        <f>SUMIF(DeadRaw!$B:$B,$A58,DeadRaw!AJ:AJ)</f>
        <v>0</v>
      </c>
      <c r="AH58">
        <f>SUMIF(DeadRaw!$B:$B,$A58,DeadRaw!AK:AK)</f>
        <v>0</v>
      </c>
      <c r="AI58">
        <f>SUMIF(DeadRaw!$B:$B,$A58,DeadRaw!AL:AL)</f>
        <v>0</v>
      </c>
      <c r="AJ58">
        <f>SUMIF(DeadRaw!$B:$B,$A58,DeadRaw!AM:AM)</f>
        <v>0</v>
      </c>
      <c r="AK58">
        <f>SUMIF(DeadRaw!$B:$B,$A58,DeadRaw!AN:AN)</f>
        <v>0</v>
      </c>
      <c r="AL58">
        <f>SUMIF(DeadRaw!$B:$B,$A58,DeadRaw!AO:AO)</f>
        <v>0</v>
      </c>
      <c r="AM58">
        <f>SUMIF(DeadRaw!$B:$B,$A58,DeadRaw!AP:AP)</f>
        <v>0</v>
      </c>
      <c r="AN58">
        <f>SUMIF(DeadRaw!$B:$B,$A58,DeadRaw!AQ:AQ)</f>
        <v>0</v>
      </c>
      <c r="AO58">
        <f>SUMIF(DeadRaw!$B:$B,$A58,DeadRaw!AR:AR)</f>
        <v>0</v>
      </c>
      <c r="AP58">
        <f>SUMIF(DeadRaw!$B:$B,$A58,DeadRaw!AS:AS)</f>
        <v>0</v>
      </c>
      <c r="AQ58">
        <f>SUMIF(DeadRaw!$B:$B,$A58,DeadRaw!AT:AT)</f>
        <v>0</v>
      </c>
      <c r="AR58">
        <f>SUMIF(DeadRaw!$B:$B,$A58,DeadRaw!AU:AU)</f>
        <v>0</v>
      </c>
      <c r="AS58">
        <f>SUMIF(DeadRaw!$B:$B,$A58,DeadRaw!AV:AV)</f>
        <v>0</v>
      </c>
      <c r="AT58">
        <f>SUMIF(DeadRaw!$B:$B,$A58,DeadRaw!AW:AW)</f>
        <v>0</v>
      </c>
      <c r="AU58">
        <f>SUMIF(DeadRaw!$B:$B,$A58,DeadRaw!AX:AX)</f>
        <v>0</v>
      </c>
      <c r="AV58">
        <f>SUMIF(DeadRaw!$B:$B,$A58,DeadRaw!AY:AY)</f>
        <v>0</v>
      </c>
      <c r="AW58">
        <f>SUMIF(DeadRaw!$B:$B,$A58,DeadRaw!AZ:AZ)</f>
        <v>0</v>
      </c>
      <c r="AX58">
        <f>SUMIF(DeadRaw!$B:$B,$A58,DeadRaw!BA:BA)</f>
        <v>0</v>
      </c>
      <c r="AY58">
        <f>SUMIF(DeadRaw!$B:$B,$A58,DeadRaw!BB:BB)</f>
        <v>0</v>
      </c>
      <c r="AZ58">
        <f>SUMIF(DeadRaw!$B:$B,$A58,DeadRaw!BC:BC)</f>
        <v>0</v>
      </c>
      <c r="BA58">
        <f>SUMIF(DeadRaw!$B:$B,$A58,DeadRaw!BD:BD)</f>
        <v>0</v>
      </c>
      <c r="BB58">
        <f>SUMIF(DeadRaw!$B:$B,$A58,DeadRaw!BE:BE)</f>
        <v>0</v>
      </c>
      <c r="BC58">
        <f>SUMIF(DeadRaw!$B:$B,$A58,DeadRaw!BF:BF)</f>
        <v>0</v>
      </c>
      <c r="BD58">
        <f>SUMIF(DeadRaw!$B:$B,$A58,DeadRaw!BG:BG)</f>
        <v>0</v>
      </c>
      <c r="BE58">
        <f>SUMIF(DeadRaw!$B:$B,$A58,DeadRaw!BH:BH)</f>
        <v>0</v>
      </c>
      <c r="BF58">
        <f>SUMIF(DeadRaw!$B:$B,$A58,DeadRaw!BI:BI)</f>
        <v>1</v>
      </c>
      <c r="BG58">
        <f>SUMIF(DeadRaw!$B:$B,$A58,DeadRaw!BJ:BJ)</f>
        <v>0</v>
      </c>
      <c r="BH58">
        <f>SUMIF(DeadRaw!$B:$B,$A58,DeadRaw!BK:BK)</f>
        <v>0</v>
      </c>
      <c r="BI58">
        <f>SUMIF(DeadRaw!$B:$B,$A58,DeadRaw!BL:BL)</f>
        <v>0</v>
      </c>
      <c r="BJ58">
        <f>SUMIF(DeadRaw!$B:$B,$A58,DeadRaw!BM:BM)</f>
        <v>0</v>
      </c>
      <c r="BK58">
        <f>SUMIF(DeadRaw!$B:$B,$A58,DeadRaw!BN:BN)</f>
        <v>0</v>
      </c>
      <c r="BL58">
        <f>SUMIF(DeadRaw!$B:$B,$A58,DeadRaw!BO:BO)</f>
        <v>0</v>
      </c>
      <c r="BM58">
        <f>SUMIF(DeadRaw!$B:$B,$A58,DeadRaw!BP:BP)</f>
        <v>0</v>
      </c>
      <c r="BN58">
        <f>SUMIF(DeadRaw!$B:$B,$A58,DeadRaw!BQ:BQ)</f>
        <v>0</v>
      </c>
      <c r="BO58">
        <f>SUMIF(DeadRaw!$B:$B,$A58,DeadRaw!BR:BR)</f>
        <v>0</v>
      </c>
      <c r="BP58">
        <f>SUMIF(DeadRaw!$B:$B,$A58,DeadRaw!BS:BS)</f>
        <v>0</v>
      </c>
      <c r="BQ58">
        <f>SUMIF(DeadRaw!$B:$B,$A58,DeadRaw!BT:BT)</f>
        <v>0</v>
      </c>
      <c r="BR58">
        <f>SUMIF(DeadRaw!$B:$B,$A58,DeadRaw!BU:BU)</f>
        <v>0</v>
      </c>
      <c r="BS58">
        <f>SUMIF(DeadRaw!$B:$B,$A58,DeadRaw!BV:BV)</f>
        <v>0</v>
      </c>
      <c r="BT58">
        <f>SUMIF(DeadRaw!$B:$B,$A58,DeadRaw!BW:BW)</f>
        <v>0</v>
      </c>
    </row>
    <row r="59" spans="1:72" ht="15" thickBot="1" x14ac:dyDescent="0.35">
      <c r="A59" s="4" t="s">
        <v>123</v>
      </c>
      <c r="B59">
        <f>SUMIF(DeadRaw!$B:$B,$A59,DeadRaw!E:E)</f>
        <v>0</v>
      </c>
      <c r="C59">
        <f>SUMIF(DeadRaw!$B:$B,$A59,DeadRaw!F:F)</f>
        <v>0</v>
      </c>
      <c r="D59">
        <f>SUMIF(DeadRaw!$B:$B,$A59,DeadRaw!G:G)</f>
        <v>0</v>
      </c>
      <c r="E59">
        <f>SUMIF(DeadRaw!$B:$B,$A59,DeadRaw!H:H)</f>
        <v>0</v>
      </c>
      <c r="F59">
        <f>SUMIF(DeadRaw!$B:$B,$A59,DeadRaw!I:I)</f>
        <v>0</v>
      </c>
      <c r="G59">
        <f>SUMIF(DeadRaw!$B:$B,$A59,DeadRaw!J:J)</f>
        <v>0</v>
      </c>
      <c r="H59">
        <f>SUMIF(DeadRaw!$B:$B,$A59,DeadRaw!K:K)</f>
        <v>0</v>
      </c>
      <c r="I59">
        <f>SUMIF(DeadRaw!$B:$B,$A59,DeadRaw!L:L)</f>
        <v>0</v>
      </c>
      <c r="J59">
        <f>SUMIF(DeadRaw!$B:$B,$A59,DeadRaw!M:M)</f>
        <v>0</v>
      </c>
      <c r="K59">
        <f>SUMIF(DeadRaw!$B:$B,$A59,DeadRaw!N:N)</f>
        <v>0</v>
      </c>
      <c r="L59">
        <f>SUMIF(DeadRaw!$B:$B,$A59,DeadRaw!O:O)</f>
        <v>0</v>
      </c>
      <c r="M59">
        <f>SUMIF(DeadRaw!$B:$B,$A59,DeadRaw!P:P)</f>
        <v>0</v>
      </c>
      <c r="N59">
        <f>SUMIF(DeadRaw!$B:$B,$A59,DeadRaw!Q:Q)</f>
        <v>0</v>
      </c>
      <c r="O59">
        <f>SUMIF(DeadRaw!$B:$B,$A59,DeadRaw!R:R)</f>
        <v>0</v>
      </c>
      <c r="P59">
        <f>SUMIF(DeadRaw!$B:$B,$A59,DeadRaw!S:S)</f>
        <v>0</v>
      </c>
      <c r="Q59">
        <f>SUMIF(DeadRaw!$B:$B,$A59,DeadRaw!T:T)</f>
        <v>0</v>
      </c>
      <c r="R59">
        <f>SUMIF(DeadRaw!$B:$B,$A59,DeadRaw!U:U)</f>
        <v>0</v>
      </c>
      <c r="S59">
        <f>SUMIF(DeadRaw!$B:$B,$A59,DeadRaw!V:V)</f>
        <v>0</v>
      </c>
      <c r="T59">
        <f>SUMIF(DeadRaw!$B:$B,$A59,DeadRaw!W:W)</f>
        <v>0</v>
      </c>
      <c r="U59">
        <f>SUMIF(DeadRaw!$B:$B,$A59,DeadRaw!X:X)</f>
        <v>0</v>
      </c>
      <c r="V59">
        <f>SUMIF(DeadRaw!$B:$B,$A59,DeadRaw!Y:Y)</f>
        <v>0</v>
      </c>
      <c r="W59">
        <f>SUMIF(DeadRaw!$B:$B,$A59,DeadRaw!Z:Z)</f>
        <v>0</v>
      </c>
      <c r="X59">
        <f>SUMIF(DeadRaw!$B:$B,$A59,DeadRaw!AA:AA)</f>
        <v>0</v>
      </c>
      <c r="Y59">
        <f>SUMIF(DeadRaw!$B:$B,$A59,DeadRaw!AB:AB)</f>
        <v>0</v>
      </c>
      <c r="Z59">
        <f>SUMIF(DeadRaw!$B:$B,$A59,DeadRaw!AC:AC)</f>
        <v>0</v>
      </c>
      <c r="AA59">
        <f>SUMIF(DeadRaw!$B:$B,$A59,DeadRaw!AD:AD)</f>
        <v>0</v>
      </c>
      <c r="AB59">
        <f>SUMIF(DeadRaw!$B:$B,$A59,DeadRaw!AE:AE)</f>
        <v>0</v>
      </c>
      <c r="AC59">
        <f>SUMIF(DeadRaw!$B:$B,$A59,DeadRaw!AF:AF)</f>
        <v>0</v>
      </c>
      <c r="AD59">
        <f>SUMIF(DeadRaw!$B:$B,$A59,DeadRaw!AG:AG)</f>
        <v>0</v>
      </c>
      <c r="AE59">
        <f>SUMIF(DeadRaw!$B:$B,$A59,DeadRaw!AH:AH)</f>
        <v>0</v>
      </c>
      <c r="AF59">
        <f>SUMIF(DeadRaw!$B:$B,$A59,DeadRaw!AI:AI)</f>
        <v>0</v>
      </c>
      <c r="AG59">
        <f>SUMIF(DeadRaw!$B:$B,$A59,DeadRaw!AJ:AJ)</f>
        <v>0</v>
      </c>
      <c r="AH59">
        <f>SUMIF(DeadRaw!$B:$B,$A59,DeadRaw!AK:AK)</f>
        <v>0</v>
      </c>
      <c r="AI59">
        <f>SUMIF(DeadRaw!$B:$B,$A59,DeadRaw!AL:AL)</f>
        <v>0</v>
      </c>
      <c r="AJ59">
        <f>SUMIF(DeadRaw!$B:$B,$A59,DeadRaw!AM:AM)</f>
        <v>0</v>
      </c>
      <c r="AK59">
        <f>SUMIF(DeadRaw!$B:$B,$A59,DeadRaw!AN:AN)</f>
        <v>0</v>
      </c>
      <c r="AL59">
        <f>SUMIF(DeadRaw!$B:$B,$A59,DeadRaw!AO:AO)</f>
        <v>0</v>
      </c>
      <c r="AM59">
        <f>SUMIF(DeadRaw!$B:$B,$A59,DeadRaw!AP:AP)</f>
        <v>0</v>
      </c>
      <c r="AN59">
        <f>SUMIF(DeadRaw!$B:$B,$A59,DeadRaw!AQ:AQ)</f>
        <v>0</v>
      </c>
      <c r="AO59">
        <f>SUMIF(DeadRaw!$B:$B,$A59,DeadRaw!AR:AR)</f>
        <v>0</v>
      </c>
      <c r="AP59">
        <f>SUMIF(DeadRaw!$B:$B,$A59,DeadRaw!AS:AS)</f>
        <v>0</v>
      </c>
      <c r="AQ59">
        <f>SUMIF(DeadRaw!$B:$B,$A59,DeadRaw!AT:AT)</f>
        <v>0</v>
      </c>
      <c r="AR59">
        <f>SUMIF(DeadRaw!$B:$B,$A59,DeadRaw!AU:AU)</f>
        <v>0</v>
      </c>
      <c r="AS59">
        <f>SUMIF(DeadRaw!$B:$B,$A59,DeadRaw!AV:AV)</f>
        <v>0</v>
      </c>
      <c r="AT59">
        <f>SUMIF(DeadRaw!$B:$B,$A59,DeadRaw!AW:AW)</f>
        <v>0</v>
      </c>
      <c r="AU59">
        <f>SUMIF(DeadRaw!$B:$B,$A59,DeadRaw!AX:AX)</f>
        <v>0</v>
      </c>
      <c r="AV59">
        <f>SUMIF(DeadRaw!$B:$B,$A59,DeadRaw!AY:AY)</f>
        <v>1</v>
      </c>
      <c r="AW59">
        <f>SUMIF(DeadRaw!$B:$B,$A59,DeadRaw!AZ:AZ)</f>
        <v>1</v>
      </c>
      <c r="AX59">
        <f>SUMIF(DeadRaw!$B:$B,$A59,DeadRaw!BA:BA)</f>
        <v>1</v>
      </c>
      <c r="AY59">
        <f>SUMIF(DeadRaw!$B:$B,$A59,DeadRaw!BB:BB)</f>
        <v>1</v>
      </c>
      <c r="AZ59">
        <f>SUMIF(DeadRaw!$B:$B,$A59,DeadRaw!BC:BC)</f>
        <v>1</v>
      </c>
      <c r="BA59">
        <f>SUMIF(DeadRaw!$B:$B,$A59,DeadRaw!BD:BD)</f>
        <v>2</v>
      </c>
      <c r="BB59">
        <f>SUMIF(DeadRaw!$B:$B,$A59,DeadRaw!BE:BE)</f>
        <v>2</v>
      </c>
      <c r="BC59">
        <f>SUMIF(DeadRaw!$B:$B,$A59,DeadRaw!BF:BF)</f>
        <v>2</v>
      </c>
      <c r="BD59">
        <f>SUMIF(DeadRaw!$B:$B,$A59,DeadRaw!BG:BG)</f>
        <v>2</v>
      </c>
      <c r="BE59">
        <f>SUMIF(DeadRaw!$B:$B,$A59,DeadRaw!BH:BH)</f>
        <v>2</v>
      </c>
      <c r="BF59">
        <f>SUMIF(DeadRaw!$B:$B,$A59,DeadRaw!BI:BI)</f>
        <v>2</v>
      </c>
      <c r="BG59">
        <f>SUMIF(DeadRaw!$B:$B,$A59,DeadRaw!BJ:BJ)</f>
        <v>0</v>
      </c>
      <c r="BH59">
        <f>SUMIF(DeadRaw!$B:$B,$A59,DeadRaw!BK:BK)</f>
        <v>0</v>
      </c>
      <c r="BI59">
        <f>SUMIF(DeadRaw!$B:$B,$A59,DeadRaw!BL:BL)</f>
        <v>0</v>
      </c>
      <c r="BJ59">
        <f>SUMIF(DeadRaw!$B:$B,$A59,DeadRaw!BM:BM)</f>
        <v>0</v>
      </c>
      <c r="BK59">
        <f>SUMIF(DeadRaw!$B:$B,$A59,DeadRaw!BN:BN)</f>
        <v>0</v>
      </c>
      <c r="BL59">
        <f>SUMIF(DeadRaw!$B:$B,$A59,DeadRaw!BO:BO)</f>
        <v>0</v>
      </c>
      <c r="BM59">
        <f>SUMIF(DeadRaw!$B:$B,$A59,DeadRaw!BP:BP)</f>
        <v>0</v>
      </c>
      <c r="BN59">
        <f>SUMIF(DeadRaw!$B:$B,$A59,DeadRaw!BQ:BQ)</f>
        <v>0</v>
      </c>
      <c r="BO59">
        <f>SUMIF(DeadRaw!$B:$B,$A59,DeadRaw!BR:BR)</f>
        <v>0</v>
      </c>
      <c r="BP59">
        <f>SUMIF(DeadRaw!$B:$B,$A59,DeadRaw!BS:BS)</f>
        <v>0</v>
      </c>
      <c r="BQ59">
        <f>SUMIF(DeadRaw!$B:$B,$A59,DeadRaw!BT:BT)</f>
        <v>0</v>
      </c>
      <c r="BR59">
        <f>SUMIF(DeadRaw!$B:$B,$A59,DeadRaw!BU:BU)</f>
        <v>0</v>
      </c>
      <c r="BS59">
        <f>SUMIF(DeadRaw!$B:$B,$A59,DeadRaw!BV:BV)</f>
        <v>0</v>
      </c>
      <c r="BT59">
        <f>SUMIF(DeadRaw!$B:$B,$A59,DeadRaw!BW:BW)</f>
        <v>0</v>
      </c>
    </row>
    <row r="60" spans="1:72" ht="15" thickBot="1" x14ac:dyDescent="0.35">
      <c r="A60" s="3" t="s">
        <v>80</v>
      </c>
      <c r="B60">
        <f>SUMIF(DeadRaw!$B:$B,$A60,DeadRaw!E:E)</f>
        <v>0</v>
      </c>
      <c r="C60">
        <f>SUMIF(DeadRaw!$B:$B,$A60,DeadRaw!F:F)</f>
        <v>0</v>
      </c>
      <c r="D60">
        <f>SUMIF(DeadRaw!$B:$B,$A60,DeadRaw!G:G)</f>
        <v>0</v>
      </c>
      <c r="E60">
        <f>SUMIF(DeadRaw!$B:$B,$A60,DeadRaw!H:H)</f>
        <v>0</v>
      </c>
      <c r="F60">
        <f>SUMIF(DeadRaw!$B:$B,$A60,DeadRaw!I:I)</f>
        <v>0</v>
      </c>
      <c r="G60">
        <f>SUMIF(DeadRaw!$B:$B,$A60,DeadRaw!J:J)</f>
        <v>0</v>
      </c>
      <c r="H60">
        <f>SUMIF(DeadRaw!$B:$B,$A60,DeadRaw!K:K)</f>
        <v>0</v>
      </c>
      <c r="I60">
        <f>SUMIF(DeadRaw!$B:$B,$A60,DeadRaw!L:L)</f>
        <v>0</v>
      </c>
      <c r="J60">
        <f>SUMIF(DeadRaw!$B:$B,$A60,DeadRaw!M:M)</f>
        <v>0</v>
      </c>
      <c r="K60">
        <f>SUMIF(DeadRaw!$B:$B,$A60,DeadRaw!N:N)</f>
        <v>0</v>
      </c>
      <c r="L60">
        <f>SUMIF(DeadRaw!$B:$B,$A60,DeadRaw!O:O)</f>
        <v>0</v>
      </c>
      <c r="M60">
        <f>SUMIF(DeadRaw!$B:$B,$A60,DeadRaw!P:P)</f>
        <v>0</v>
      </c>
      <c r="N60">
        <f>SUMIF(DeadRaw!$B:$B,$A60,DeadRaw!Q:Q)</f>
        <v>0</v>
      </c>
      <c r="O60">
        <f>SUMIF(DeadRaw!$B:$B,$A60,DeadRaw!R:R)</f>
        <v>0</v>
      </c>
      <c r="P60">
        <f>SUMIF(DeadRaw!$B:$B,$A60,DeadRaw!S:S)</f>
        <v>0</v>
      </c>
      <c r="Q60">
        <f>SUMIF(DeadRaw!$B:$B,$A60,DeadRaw!T:T)</f>
        <v>0</v>
      </c>
      <c r="R60">
        <f>SUMIF(DeadRaw!$B:$B,$A60,DeadRaw!U:U)</f>
        <v>0</v>
      </c>
      <c r="S60">
        <f>SUMIF(DeadRaw!$B:$B,$A60,DeadRaw!V:V)</f>
        <v>0</v>
      </c>
      <c r="T60">
        <f>SUMIF(DeadRaw!$B:$B,$A60,DeadRaw!W:W)</f>
        <v>0</v>
      </c>
      <c r="U60">
        <f>SUMIF(DeadRaw!$B:$B,$A60,DeadRaw!X:X)</f>
        <v>0</v>
      </c>
      <c r="V60">
        <f>SUMIF(DeadRaw!$B:$B,$A60,DeadRaw!Y:Y)</f>
        <v>0</v>
      </c>
      <c r="W60">
        <f>SUMIF(DeadRaw!$B:$B,$A60,DeadRaw!Z:Z)</f>
        <v>0</v>
      </c>
      <c r="X60">
        <f>SUMIF(DeadRaw!$B:$B,$A60,DeadRaw!AA:AA)</f>
        <v>0</v>
      </c>
      <c r="Y60">
        <f>SUMIF(DeadRaw!$B:$B,$A60,DeadRaw!AB:AB)</f>
        <v>0</v>
      </c>
      <c r="Z60">
        <f>SUMIF(DeadRaw!$B:$B,$A60,DeadRaw!AC:AC)</f>
        <v>0</v>
      </c>
      <c r="AA60">
        <f>SUMIF(DeadRaw!$B:$B,$A60,DeadRaw!AD:AD)</f>
        <v>0</v>
      </c>
      <c r="AB60">
        <f>SUMIF(DeadRaw!$B:$B,$A60,DeadRaw!AE:AE)</f>
        <v>0</v>
      </c>
      <c r="AC60">
        <f>SUMIF(DeadRaw!$B:$B,$A60,DeadRaw!AF:AF)</f>
        <v>0</v>
      </c>
      <c r="AD60">
        <f>SUMIF(DeadRaw!$B:$B,$A60,DeadRaw!AG:AG)</f>
        <v>0</v>
      </c>
      <c r="AE60">
        <f>SUMIF(DeadRaw!$B:$B,$A60,DeadRaw!AH:AH)</f>
        <v>0</v>
      </c>
      <c r="AF60">
        <f>SUMIF(DeadRaw!$B:$B,$A60,DeadRaw!AI:AI)</f>
        <v>0</v>
      </c>
      <c r="AG60">
        <f>SUMIF(DeadRaw!$B:$B,$A60,DeadRaw!AJ:AJ)</f>
        <v>0</v>
      </c>
      <c r="AH60">
        <f>SUMIF(DeadRaw!$B:$B,$A60,DeadRaw!AK:AK)</f>
        <v>0</v>
      </c>
      <c r="AI60">
        <f>SUMIF(DeadRaw!$B:$B,$A60,DeadRaw!AL:AL)</f>
        <v>0</v>
      </c>
      <c r="AJ60">
        <f>SUMIF(DeadRaw!$B:$B,$A60,DeadRaw!AM:AM)</f>
        <v>0</v>
      </c>
      <c r="AK60">
        <f>SUMIF(DeadRaw!$B:$B,$A60,DeadRaw!AN:AN)</f>
        <v>0</v>
      </c>
      <c r="AL60">
        <f>SUMIF(DeadRaw!$B:$B,$A60,DeadRaw!AO:AO)</f>
        <v>0</v>
      </c>
      <c r="AM60">
        <f>SUMIF(DeadRaw!$B:$B,$A60,DeadRaw!AP:AP)</f>
        <v>0</v>
      </c>
      <c r="AN60">
        <f>SUMIF(DeadRaw!$B:$B,$A60,DeadRaw!AQ:AQ)</f>
        <v>0</v>
      </c>
      <c r="AO60">
        <f>SUMIF(DeadRaw!$B:$B,$A60,DeadRaw!AR:AR)</f>
        <v>0</v>
      </c>
      <c r="AP60">
        <f>SUMIF(DeadRaw!$B:$B,$A60,DeadRaw!AS:AS)</f>
        <v>0</v>
      </c>
      <c r="AQ60">
        <f>SUMIF(DeadRaw!$B:$B,$A60,DeadRaw!AT:AT)</f>
        <v>0</v>
      </c>
      <c r="AR60">
        <f>SUMIF(DeadRaw!$B:$B,$A60,DeadRaw!AU:AU)</f>
        <v>0</v>
      </c>
      <c r="AS60">
        <f>SUMIF(DeadRaw!$B:$B,$A60,DeadRaw!AV:AV)</f>
        <v>0</v>
      </c>
      <c r="AT60">
        <f>SUMIF(DeadRaw!$B:$B,$A60,DeadRaw!AW:AW)</f>
        <v>0</v>
      </c>
      <c r="AU60">
        <f>SUMIF(DeadRaw!$B:$B,$A60,DeadRaw!AX:AX)</f>
        <v>0</v>
      </c>
      <c r="AV60">
        <f>SUMIF(DeadRaw!$B:$B,$A60,DeadRaw!AY:AY)</f>
        <v>0</v>
      </c>
      <c r="AW60">
        <f>SUMIF(DeadRaw!$B:$B,$A60,DeadRaw!AZ:AZ)</f>
        <v>0</v>
      </c>
      <c r="AX60">
        <f>SUMIF(DeadRaw!$B:$B,$A60,DeadRaw!BA:BA)</f>
        <v>0</v>
      </c>
      <c r="AY60">
        <f>SUMIF(DeadRaw!$B:$B,$A60,DeadRaw!BB:BB)</f>
        <v>0</v>
      </c>
      <c r="AZ60">
        <f>SUMIF(DeadRaw!$B:$B,$A60,DeadRaw!BC:BC)</f>
        <v>0</v>
      </c>
      <c r="BA60">
        <f>SUMIF(DeadRaw!$B:$B,$A60,DeadRaw!BD:BD)</f>
        <v>0</v>
      </c>
      <c r="BB60">
        <f>SUMIF(DeadRaw!$B:$B,$A60,DeadRaw!BE:BE)</f>
        <v>0</v>
      </c>
      <c r="BC60">
        <f>SUMIF(DeadRaw!$B:$B,$A60,DeadRaw!BF:BF)</f>
        <v>0</v>
      </c>
      <c r="BD60">
        <f>SUMIF(DeadRaw!$B:$B,$A60,DeadRaw!BG:BG)</f>
        <v>0</v>
      </c>
      <c r="BE60">
        <f>SUMIF(DeadRaw!$B:$B,$A60,DeadRaw!BH:BH)</f>
        <v>0</v>
      </c>
      <c r="BF60">
        <f>SUMIF(DeadRaw!$B:$B,$A60,DeadRaw!BI:BI)</f>
        <v>0</v>
      </c>
      <c r="BG60">
        <f>SUMIF(DeadRaw!$B:$B,$A60,DeadRaw!BJ:BJ)</f>
        <v>0</v>
      </c>
      <c r="BH60">
        <f>SUMIF(DeadRaw!$B:$B,$A60,DeadRaw!BK:BK)</f>
        <v>0</v>
      </c>
      <c r="BI60">
        <f>SUMIF(DeadRaw!$B:$B,$A60,DeadRaw!BL:BL)</f>
        <v>0</v>
      </c>
      <c r="BJ60">
        <f>SUMIF(DeadRaw!$B:$B,$A60,DeadRaw!BM:BM)</f>
        <v>0</v>
      </c>
      <c r="BK60">
        <f>SUMIF(DeadRaw!$B:$B,$A60,DeadRaw!BN:BN)</f>
        <v>0</v>
      </c>
      <c r="BL60">
        <f>SUMIF(DeadRaw!$B:$B,$A60,DeadRaw!BO:BO)</f>
        <v>0</v>
      </c>
      <c r="BM60">
        <f>SUMIF(DeadRaw!$B:$B,$A60,DeadRaw!BP:BP)</f>
        <v>0</v>
      </c>
      <c r="BN60">
        <f>SUMIF(DeadRaw!$B:$B,$A60,DeadRaw!BQ:BQ)</f>
        <v>0</v>
      </c>
      <c r="BO60">
        <f>SUMIF(DeadRaw!$B:$B,$A60,DeadRaw!BR:BR)</f>
        <v>0</v>
      </c>
      <c r="BP60">
        <f>SUMIF(DeadRaw!$B:$B,$A60,DeadRaw!BS:BS)</f>
        <v>0</v>
      </c>
      <c r="BQ60">
        <f>SUMIF(DeadRaw!$B:$B,$A60,DeadRaw!BT:BT)</f>
        <v>0</v>
      </c>
      <c r="BR60">
        <f>SUMIF(DeadRaw!$B:$B,$A60,DeadRaw!BU:BU)</f>
        <v>0</v>
      </c>
      <c r="BS60">
        <f>SUMIF(DeadRaw!$B:$B,$A60,DeadRaw!BV:BV)</f>
        <v>0</v>
      </c>
      <c r="BT60">
        <f>SUMIF(DeadRaw!$B:$B,$A60,DeadRaw!BW:BW)</f>
        <v>0</v>
      </c>
    </row>
    <row r="61" spans="1:72" ht="15" thickBot="1" x14ac:dyDescent="0.35">
      <c r="A61" s="4" t="s">
        <v>160</v>
      </c>
      <c r="B61">
        <f>SUMIF(DeadRaw!$B:$B,$A61,DeadRaw!E:E)</f>
        <v>0</v>
      </c>
      <c r="C61">
        <f>SUMIF(DeadRaw!$B:$B,$A61,DeadRaw!F:F)</f>
        <v>0</v>
      </c>
      <c r="D61">
        <f>SUMIF(DeadRaw!$B:$B,$A61,DeadRaw!G:G)</f>
        <v>0</v>
      </c>
      <c r="E61">
        <f>SUMIF(DeadRaw!$B:$B,$A61,DeadRaw!H:H)</f>
        <v>0</v>
      </c>
      <c r="F61">
        <f>SUMIF(DeadRaw!$B:$B,$A61,DeadRaw!I:I)</f>
        <v>0</v>
      </c>
      <c r="G61">
        <f>SUMIF(DeadRaw!$B:$B,$A61,DeadRaw!J:J)</f>
        <v>0</v>
      </c>
      <c r="H61">
        <f>SUMIF(DeadRaw!$B:$B,$A61,DeadRaw!K:K)</f>
        <v>0</v>
      </c>
      <c r="I61">
        <f>SUMIF(DeadRaw!$B:$B,$A61,DeadRaw!L:L)</f>
        <v>0</v>
      </c>
      <c r="J61">
        <f>SUMIF(DeadRaw!$B:$B,$A61,DeadRaw!M:M)</f>
        <v>0</v>
      </c>
      <c r="K61">
        <f>SUMIF(DeadRaw!$B:$B,$A61,DeadRaw!N:N)</f>
        <v>0</v>
      </c>
      <c r="L61">
        <f>SUMIF(DeadRaw!$B:$B,$A61,DeadRaw!O:O)</f>
        <v>0</v>
      </c>
      <c r="M61">
        <f>SUMIF(DeadRaw!$B:$B,$A61,DeadRaw!P:P)</f>
        <v>0</v>
      </c>
      <c r="N61">
        <f>SUMIF(DeadRaw!$B:$B,$A61,DeadRaw!Q:Q)</f>
        <v>0</v>
      </c>
      <c r="O61">
        <f>SUMIF(DeadRaw!$B:$B,$A61,DeadRaw!R:R)</f>
        <v>0</v>
      </c>
      <c r="P61">
        <f>SUMIF(DeadRaw!$B:$B,$A61,DeadRaw!S:S)</f>
        <v>0</v>
      </c>
      <c r="Q61">
        <f>SUMIF(DeadRaw!$B:$B,$A61,DeadRaw!T:T)</f>
        <v>0</v>
      </c>
      <c r="R61">
        <f>SUMIF(DeadRaw!$B:$B,$A61,DeadRaw!U:U)</f>
        <v>0</v>
      </c>
      <c r="S61">
        <f>SUMIF(DeadRaw!$B:$B,$A61,DeadRaw!V:V)</f>
        <v>0</v>
      </c>
      <c r="T61">
        <f>SUMIF(DeadRaw!$B:$B,$A61,DeadRaw!W:W)</f>
        <v>0</v>
      </c>
      <c r="U61">
        <f>SUMIF(DeadRaw!$B:$B,$A61,DeadRaw!X:X)</f>
        <v>0</v>
      </c>
      <c r="V61">
        <f>SUMIF(DeadRaw!$B:$B,$A61,DeadRaw!Y:Y)</f>
        <v>0</v>
      </c>
      <c r="W61">
        <f>SUMIF(DeadRaw!$B:$B,$A61,DeadRaw!Z:Z)</f>
        <v>0</v>
      </c>
      <c r="X61">
        <f>SUMIF(DeadRaw!$B:$B,$A61,DeadRaw!AA:AA)</f>
        <v>0</v>
      </c>
      <c r="Y61">
        <f>SUMIF(DeadRaw!$B:$B,$A61,DeadRaw!AB:AB)</f>
        <v>0</v>
      </c>
      <c r="Z61">
        <f>SUMIF(DeadRaw!$B:$B,$A61,DeadRaw!AC:AC)</f>
        <v>0</v>
      </c>
      <c r="AA61">
        <f>SUMIF(DeadRaw!$B:$B,$A61,DeadRaw!AD:AD)</f>
        <v>0</v>
      </c>
      <c r="AB61">
        <f>SUMIF(DeadRaw!$B:$B,$A61,DeadRaw!AE:AE)</f>
        <v>0</v>
      </c>
      <c r="AC61">
        <f>SUMIF(DeadRaw!$B:$B,$A61,DeadRaw!AF:AF)</f>
        <v>0</v>
      </c>
      <c r="AD61">
        <f>SUMIF(DeadRaw!$B:$B,$A61,DeadRaw!AG:AG)</f>
        <v>0</v>
      </c>
      <c r="AE61">
        <f>SUMIF(DeadRaw!$B:$B,$A61,DeadRaw!AH:AH)</f>
        <v>0</v>
      </c>
      <c r="AF61">
        <f>SUMIF(DeadRaw!$B:$B,$A61,DeadRaw!AI:AI)</f>
        <v>0</v>
      </c>
      <c r="AG61">
        <f>SUMIF(DeadRaw!$B:$B,$A61,DeadRaw!AJ:AJ)</f>
        <v>0</v>
      </c>
      <c r="AH61">
        <f>SUMIF(DeadRaw!$B:$B,$A61,DeadRaw!AK:AK)</f>
        <v>0</v>
      </c>
      <c r="AI61">
        <f>SUMIF(DeadRaw!$B:$B,$A61,DeadRaw!AL:AL)</f>
        <v>0</v>
      </c>
      <c r="AJ61">
        <f>SUMIF(DeadRaw!$B:$B,$A61,DeadRaw!AM:AM)</f>
        <v>0</v>
      </c>
      <c r="AK61">
        <f>SUMIF(DeadRaw!$B:$B,$A61,DeadRaw!AN:AN)</f>
        <v>0</v>
      </c>
      <c r="AL61">
        <f>SUMIF(DeadRaw!$B:$B,$A61,DeadRaw!AO:AO)</f>
        <v>0</v>
      </c>
      <c r="AM61">
        <f>SUMIF(DeadRaw!$B:$B,$A61,DeadRaw!AP:AP)</f>
        <v>0</v>
      </c>
      <c r="AN61">
        <f>SUMIF(DeadRaw!$B:$B,$A61,DeadRaw!AQ:AQ)</f>
        <v>0</v>
      </c>
      <c r="AO61">
        <f>SUMIF(DeadRaw!$B:$B,$A61,DeadRaw!AR:AR)</f>
        <v>0</v>
      </c>
      <c r="AP61">
        <f>SUMIF(DeadRaw!$B:$B,$A61,DeadRaw!AS:AS)</f>
        <v>0</v>
      </c>
      <c r="AQ61">
        <f>SUMIF(DeadRaw!$B:$B,$A61,DeadRaw!AT:AT)</f>
        <v>0</v>
      </c>
      <c r="AR61">
        <f>SUMIF(DeadRaw!$B:$B,$A61,DeadRaw!AU:AU)</f>
        <v>0</v>
      </c>
      <c r="AS61">
        <f>SUMIF(DeadRaw!$B:$B,$A61,DeadRaw!AV:AV)</f>
        <v>0</v>
      </c>
      <c r="AT61">
        <f>SUMIF(DeadRaw!$B:$B,$A61,DeadRaw!AW:AW)</f>
        <v>0</v>
      </c>
      <c r="AU61">
        <f>SUMIF(DeadRaw!$B:$B,$A61,DeadRaw!AX:AX)</f>
        <v>0</v>
      </c>
      <c r="AV61">
        <f>SUMIF(DeadRaw!$B:$B,$A61,DeadRaw!AY:AY)</f>
        <v>0</v>
      </c>
      <c r="AW61">
        <f>SUMIF(DeadRaw!$B:$B,$A61,DeadRaw!AZ:AZ)</f>
        <v>0</v>
      </c>
      <c r="AX61">
        <f>SUMIF(DeadRaw!$B:$B,$A61,DeadRaw!BA:BA)</f>
        <v>0</v>
      </c>
      <c r="AY61">
        <f>SUMIF(DeadRaw!$B:$B,$A61,DeadRaw!BB:BB)</f>
        <v>0</v>
      </c>
      <c r="AZ61">
        <f>SUMIF(DeadRaw!$B:$B,$A61,DeadRaw!BC:BC)</f>
        <v>0</v>
      </c>
      <c r="BA61">
        <f>SUMIF(DeadRaw!$B:$B,$A61,DeadRaw!BD:BD)</f>
        <v>0</v>
      </c>
      <c r="BB61">
        <f>SUMIF(DeadRaw!$B:$B,$A61,DeadRaw!BE:BE)</f>
        <v>0</v>
      </c>
      <c r="BC61">
        <f>SUMIF(DeadRaw!$B:$B,$A61,DeadRaw!BF:BF)</f>
        <v>0</v>
      </c>
      <c r="BD61">
        <f>SUMIF(DeadRaw!$B:$B,$A61,DeadRaw!BG:BG)</f>
        <v>0</v>
      </c>
      <c r="BE61">
        <f>SUMIF(DeadRaw!$B:$B,$A61,DeadRaw!BH:BH)</f>
        <v>0</v>
      </c>
      <c r="BF61">
        <f>SUMIF(DeadRaw!$B:$B,$A61,DeadRaw!BI:BI)</f>
        <v>0</v>
      </c>
      <c r="BG61">
        <f>SUMIF(DeadRaw!$B:$B,$A61,DeadRaw!BJ:BJ)</f>
        <v>0</v>
      </c>
      <c r="BH61">
        <f>SUMIF(DeadRaw!$B:$B,$A61,DeadRaw!BK:BK)</f>
        <v>0</v>
      </c>
      <c r="BI61">
        <f>SUMIF(DeadRaw!$B:$B,$A61,DeadRaw!BL:BL)</f>
        <v>0</v>
      </c>
      <c r="BJ61">
        <f>SUMIF(DeadRaw!$B:$B,$A61,DeadRaw!BM:BM)</f>
        <v>0</v>
      </c>
      <c r="BK61">
        <f>SUMIF(DeadRaw!$B:$B,$A61,DeadRaw!BN:BN)</f>
        <v>0</v>
      </c>
      <c r="BL61">
        <f>SUMIF(DeadRaw!$B:$B,$A61,DeadRaw!BO:BO)</f>
        <v>0</v>
      </c>
      <c r="BM61">
        <f>SUMIF(DeadRaw!$B:$B,$A61,DeadRaw!BP:BP)</f>
        <v>0</v>
      </c>
      <c r="BN61">
        <f>SUMIF(DeadRaw!$B:$B,$A61,DeadRaw!BQ:BQ)</f>
        <v>0</v>
      </c>
      <c r="BO61">
        <f>SUMIF(DeadRaw!$B:$B,$A61,DeadRaw!BR:BR)</f>
        <v>0</v>
      </c>
      <c r="BP61">
        <f>SUMIF(DeadRaw!$B:$B,$A61,DeadRaw!BS:BS)</f>
        <v>0</v>
      </c>
      <c r="BQ61">
        <f>SUMIF(DeadRaw!$B:$B,$A61,DeadRaw!BT:BT)</f>
        <v>0</v>
      </c>
      <c r="BR61">
        <f>SUMIF(DeadRaw!$B:$B,$A61,DeadRaw!BU:BU)</f>
        <v>0</v>
      </c>
      <c r="BS61">
        <f>SUMIF(DeadRaw!$B:$B,$A61,DeadRaw!BV:BV)</f>
        <v>0</v>
      </c>
      <c r="BT61">
        <f>SUMIF(DeadRaw!$B:$B,$A61,DeadRaw!BW:BW)</f>
        <v>0</v>
      </c>
    </row>
    <row r="62" spans="1:72" ht="15" thickBot="1" x14ac:dyDescent="0.35">
      <c r="A62" s="3" t="s">
        <v>91</v>
      </c>
      <c r="B62">
        <f>SUMIF(DeadRaw!$B:$B,$A62,DeadRaw!E:E)</f>
        <v>0</v>
      </c>
      <c r="C62">
        <f>SUMIF(DeadRaw!$B:$B,$A62,DeadRaw!F:F)</f>
        <v>0</v>
      </c>
      <c r="D62">
        <f>SUMIF(DeadRaw!$B:$B,$A62,DeadRaw!G:G)</f>
        <v>0</v>
      </c>
      <c r="E62">
        <f>SUMIF(DeadRaw!$B:$B,$A62,DeadRaw!H:H)</f>
        <v>0</v>
      </c>
      <c r="F62">
        <f>SUMIF(DeadRaw!$B:$B,$A62,DeadRaw!I:I)</f>
        <v>0</v>
      </c>
      <c r="G62">
        <f>SUMIF(DeadRaw!$B:$B,$A62,DeadRaw!J:J)</f>
        <v>0</v>
      </c>
      <c r="H62">
        <f>SUMIF(DeadRaw!$B:$B,$A62,DeadRaw!K:K)</f>
        <v>0</v>
      </c>
      <c r="I62">
        <f>SUMIF(DeadRaw!$B:$B,$A62,DeadRaw!L:L)</f>
        <v>0</v>
      </c>
      <c r="J62">
        <f>SUMIF(DeadRaw!$B:$B,$A62,DeadRaw!M:M)</f>
        <v>0</v>
      </c>
      <c r="K62">
        <f>SUMIF(DeadRaw!$B:$B,$A62,DeadRaw!N:N)</f>
        <v>0</v>
      </c>
      <c r="L62">
        <f>SUMIF(DeadRaw!$B:$B,$A62,DeadRaw!O:O)</f>
        <v>0</v>
      </c>
      <c r="M62">
        <f>SUMIF(DeadRaw!$B:$B,$A62,DeadRaw!P:P)</f>
        <v>0</v>
      </c>
      <c r="N62">
        <f>SUMIF(DeadRaw!$B:$B,$A62,DeadRaw!Q:Q)</f>
        <v>0</v>
      </c>
      <c r="O62">
        <f>SUMIF(DeadRaw!$B:$B,$A62,DeadRaw!R:R)</f>
        <v>0</v>
      </c>
      <c r="P62">
        <f>SUMIF(DeadRaw!$B:$B,$A62,DeadRaw!S:S)</f>
        <v>0</v>
      </c>
      <c r="Q62">
        <f>SUMIF(DeadRaw!$B:$B,$A62,DeadRaw!T:T)</f>
        <v>0</v>
      </c>
      <c r="R62">
        <f>SUMIF(DeadRaw!$B:$B,$A62,DeadRaw!U:U)</f>
        <v>0</v>
      </c>
      <c r="S62">
        <f>SUMIF(DeadRaw!$B:$B,$A62,DeadRaw!V:V)</f>
        <v>0</v>
      </c>
      <c r="T62">
        <f>SUMIF(DeadRaw!$B:$B,$A62,DeadRaw!W:W)</f>
        <v>0</v>
      </c>
      <c r="U62">
        <f>SUMIF(DeadRaw!$B:$B,$A62,DeadRaw!X:X)</f>
        <v>0</v>
      </c>
      <c r="V62">
        <f>SUMIF(DeadRaw!$B:$B,$A62,DeadRaw!Y:Y)</f>
        <v>0</v>
      </c>
      <c r="W62">
        <f>SUMIF(DeadRaw!$B:$B,$A62,DeadRaw!Z:Z)</f>
        <v>0</v>
      </c>
      <c r="X62">
        <f>SUMIF(DeadRaw!$B:$B,$A62,DeadRaw!AA:AA)</f>
        <v>0</v>
      </c>
      <c r="Y62">
        <f>SUMIF(DeadRaw!$B:$B,$A62,DeadRaw!AB:AB)</f>
        <v>0</v>
      </c>
      <c r="Z62">
        <f>SUMIF(DeadRaw!$B:$B,$A62,DeadRaw!AC:AC)</f>
        <v>0</v>
      </c>
      <c r="AA62">
        <f>SUMIF(DeadRaw!$B:$B,$A62,DeadRaw!AD:AD)</f>
        <v>0</v>
      </c>
      <c r="AB62">
        <f>SUMIF(DeadRaw!$B:$B,$A62,DeadRaw!AE:AE)</f>
        <v>0</v>
      </c>
      <c r="AC62">
        <f>SUMIF(DeadRaw!$B:$B,$A62,DeadRaw!AF:AF)</f>
        <v>0</v>
      </c>
      <c r="AD62">
        <f>SUMIF(DeadRaw!$B:$B,$A62,DeadRaw!AG:AG)</f>
        <v>0</v>
      </c>
      <c r="AE62">
        <f>SUMIF(DeadRaw!$B:$B,$A62,DeadRaw!AH:AH)</f>
        <v>0</v>
      </c>
      <c r="AF62">
        <f>SUMIF(DeadRaw!$B:$B,$A62,DeadRaw!AI:AI)</f>
        <v>0</v>
      </c>
      <c r="AG62">
        <f>SUMIF(DeadRaw!$B:$B,$A62,DeadRaw!AJ:AJ)</f>
        <v>0</v>
      </c>
      <c r="AH62">
        <f>SUMIF(DeadRaw!$B:$B,$A62,DeadRaw!AK:AK)</f>
        <v>0</v>
      </c>
      <c r="AI62">
        <f>SUMIF(DeadRaw!$B:$B,$A62,DeadRaw!AL:AL)</f>
        <v>0</v>
      </c>
      <c r="AJ62">
        <f>SUMIF(DeadRaw!$B:$B,$A62,DeadRaw!AM:AM)</f>
        <v>0</v>
      </c>
      <c r="AK62">
        <f>SUMIF(DeadRaw!$B:$B,$A62,DeadRaw!AN:AN)</f>
        <v>0</v>
      </c>
      <c r="AL62">
        <f>SUMIF(DeadRaw!$B:$B,$A62,DeadRaw!AO:AO)</f>
        <v>0</v>
      </c>
      <c r="AM62">
        <f>SUMIF(DeadRaw!$B:$B,$A62,DeadRaw!AP:AP)</f>
        <v>0</v>
      </c>
      <c r="AN62">
        <f>SUMIF(DeadRaw!$B:$B,$A62,DeadRaw!AQ:AQ)</f>
        <v>0</v>
      </c>
      <c r="AO62">
        <f>SUMIF(DeadRaw!$B:$B,$A62,DeadRaw!AR:AR)</f>
        <v>0</v>
      </c>
      <c r="AP62">
        <f>SUMIF(DeadRaw!$B:$B,$A62,DeadRaw!AS:AS)</f>
        <v>0</v>
      </c>
      <c r="AQ62">
        <f>SUMIF(DeadRaw!$B:$B,$A62,DeadRaw!AT:AT)</f>
        <v>0</v>
      </c>
      <c r="AR62">
        <f>SUMIF(DeadRaw!$B:$B,$A62,DeadRaw!AU:AU)</f>
        <v>0</v>
      </c>
      <c r="AS62">
        <f>SUMIF(DeadRaw!$B:$B,$A62,DeadRaw!AV:AV)</f>
        <v>0</v>
      </c>
      <c r="AT62">
        <f>SUMIF(DeadRaw!$B:$B,$A62,DeadRaw!AW:AW)</f>
        <v>0</v>
      </c>
      <c r="AU62">
        <f>SUMIF(DeadRaw!$B:$B,$A62,DeadRaw!AX:AX)</f>
        <v>0</v>
      </c>
      <c r="AV62">
        <f>SUMIF(DeadRaw!$B:$B,$A62,DeadRaw!AY:AY)</f>
        <v>0</v>
      </c>
      <c r="AW62">
        <f>SUMIF(DeadRaw!$B:$B,$A62,DeadRaw!AZ:AZ)</f>
        <v>0</v>
      </c>
      <c r="AX62">
        <f>SUMIF(DeadRaw!$B:$B,$A62,DeadRaw!BA:BA)</f>
        <v>0</v>
      </c>
      <c r="AY62">
        <f>SUMIF(DeadRaw!$B:$B,$A62,DeadRaw!BB:BB)</f>
        <v>0</v>
      </c>
      <c r="AZ62">
        <f>SUMIF(DeadRaw!$B:$B,$A62,DeadRaw!BC:BC)</f>
        <v>0</v>
      </c>
      <c r="BA62">
        <f>SUMIF(DeadRaw!$B:$B,$A62,DeadRaw!BD:BD)</f>
        <v>0</v>
      </c>
      <c r="BB62">
        <f>SUMIF(DeadRaw!$B:$B,$A62,DeadRaw!BE:BE)</f>
        <v>0</v>
      </c>
      <c r="BC62">
        <f>SUMIF(DeadRaw!$B:$B,$A62,DeadRaw!BF:BF)</f>
        <v>0</v>
      </c>
      <c r="BD62">
        <f>SUMIF(DeadRaw!$B:$B,$A62,DeadRaw!BG:BG)</f>
        <v>0</v>
      </c>
      <c r="BE62">
        <f>SUMIF(DeadRaw!$B:$B,$A62,DeadRaw!BH:BH)</f>
        <v>0</v>
      </c>
      <c r="BF62">
        <f>SUMIF(DeadRaw!$B:$B,$A62,DeadRaw!BI:BI)</f>
        <v>0</v>
      </c>
      <c r="BG62">
        <f>SUMIF(DeadRaw!$B:$B,$A62,DeadRaw!BJ:BJ)</f>
        <v>0</v>
      </c>
      <c r="BH62">
        <f>SUMIF(DeadRaw!$B:$B,$A62,DeadRaw!BK:BK)</f>
        <v>0</v>
      </c>
      <c r="BI62">
        <f>SUMIF(DeadRaw!$B:$B,$A62,DeadRaw!BL:BL)</f>
        <v>0</v>
      </c>
      <c r="BJ62">
        <f>SUMIF(DeadRaw!$B:$B,$A62,DeadRaw!BM:BM)</f>
        <v>0</v>
      </c>
      <c r="BK62">
        <f>SUMIF(DeadRaw!$B:$B,$A62,DeadRaw!BN:BN)</f>
        <v>0</v>
      </c>
      <c r="BL62">
        <f>SUMIF(DeadRaw!$B:$B,$A62,DeadRaw!BO:BO)</f>
        <v>0</v>
      </c>
      <c r="BM62">
        <f>SUMIF(DeadRaw!$B:$B,$A62,DeadRaw!BP:BP)</f>
        <v>0</v>
      </c>
      <c r="BN62">
        <f>SUMIF(DeadRaw!$B:$B,$A62,DeadRaw!BQ:BQ)</f>
        <v>0</v>
      </c>
      <c r="BO62">
        <f>SUMIF(DeadRaw!$B:$B,$A62,DeadRaw!BR:BR)</f>
        <v>0</v>
      </c>
      <c r="BP62">
        <f>SUMIF(DeadRaw!$B:$B,$A62,DeadRaw!BS:BS)</f>
        <v>0</v>
      </c>
      <c r="BQ62">
        <f>SUMIF(DeadRaw!$B:$B,$A62,DeadRaw!BT:BT)</f>
        <v>0</v>
      </c>
      <c r="BR62">
        <f>SUMIF(DeadRaw!$B:$B,$A62,DeadRaw!BU:BU)</f>
        <v>0</v>
      </c>
      <c r="BS62">
        <f>SUMIF(DeadRaw!$B:$B,$A62,DeadRaw!BV:BV)</f>
        <v>0</v>
      </c>
      <c r="BT62">
        <f>SUMIF(DeadRaw!$B:$B,$A62,DeadRaw!BW:BW)</f>
        <v>0</v>
      </c>
    </row>
    <row r="63" spans="1:72" ht="15" thickBot="1" x14ac:dyDescent="0.35">
      <c r="A63" s="3" t="s">
        <v>283</v>
      </c>
      <c r="B63">
        <f>SUMIF(DeadRaw!$B:$B,$A63,DeadRaw!E:E)</f>
        <v>0</v>
      </c>
      <c r="C63">
        <f>SUMIF(DeadRaw!$B:$B,$A63,DeadRaw!F:F)</f>
        <v>0</v>
      </c>
      <c r="D63">
        <f>SUMIF(DeadRaw!$B:$B,$A63,DeadRaw!G:G)</f>
        <v>0</v>
      </c>
      <c r="E63">
        <f>SUMIF(DeadRaw!$B:$B,$A63,DeadRaw!H:H)</f>
        <v>0</v>
      </c>
      <c r="F63">
        <f>SUMIF(DeadRaw!$B:$B,$A63,DeadRaw!I:I)</f>
        <v>0</v>
      </c>
      <c r="G63">
        <f>SUMIF(DeadRaw!$B:$B,$A63,DeadRaw!J:J)</f>
        <v>0</v>
      </c>
      <c r="H63">
        <f>SUMIF(DeadRaw!$B:$B,$A63,DeadRaw!K:K)</f>
        <v>0</v>
      </c>
      <c r="I63">
        <f>SUMIF(DeadRaw!$B:$B,$A63,DeadRaw!L:L)</f>
        <v>0</v>
      </c>
      <c r="J63">
        <f>SUMIF(DeadRaw!$B:$B,$A63,DeadRaw!M:M)</f>
        <v>0</v>
      </c>
      <c r="K63">
        <f>SUMIF(DeadRaw!$B:$B,$A63,DeadRaw!N:N)</f>
        <v>0</v>
      </c>
      <c r="L63">
        <f>SUMIF(DeadRaw!$B:$B,$A63,DeadRaw!O:O)</f>
        <v>0</v>
      </c>
      <c r="M63">
        <f>SUMIF(DeadRaw!$B:$B,$A63,DeadRaw!P:P)</f>
        <v>0</v>
      </c>
      <c r="N63">
        <f>SUMIF(DeadRaw!$B:$B,$A63,DeadRaw!Q:Q)</f>
        <v>0</v>
      </c>
      <c r="O63">
        <f>SUMIF(DeadRaw!$B:$B,$A63,DeadRaw!R:R)</f>
        <v>0</v>
      </c>
      <c r="P63">
        <f>SUMIF(DeadRaw!$B:$B,$A63,DeadRaw!S:S)</f>
        <v>0</v>
      </c>
      <c r="Q63">
        <f>SUMIF(DeadRaw!$B:$B,$A63,DeadRaw!T:T)</f>
        <v>0</v>
      </c>
      <c r="R63">
        <f>SUMIF(DeadRaw!$B:$B,$A63,DeadRaw!U:U)</f>
        <v>0</v>
      </c>
      <c r="S63">
        <f>SUMIF(DeadRaw!$B:$B,$A63,DeadRaw!V:V)</f>
        <v>0</v>
      </c>
      <c r="T63">
        <f>SUMIF(DeadRaw!$B:$B,$A63,DeadRaw!W:W)</f>
        <v>0</v>
      </c>
      <c r="U63">
        <f>SUMIF(DeadRaw!$B:$B,$A63,DeadRaw!X:X)</f>
        <v>0</v>
      </c>
      <c r="V63">
        <f>SUMIF(DeadRaw!$B:$B,$A63,DeadRaw!Y:Y)</f>
        <v>0</v>
      </c>
      <c r="W63">
        <f>SUMIF(DeadRaw!$B:$B,$A63,DeadRaw!Z:Z)</f>
        <v>0</v>
      </c>
      <c r="X63">
        <f>SUMIF(DeadRaw!$B:$B,$A63,DeadRaw!AA:AA)</f>
        <v>0</v>
      </c>
      <c r="Y63">
        <f>SUMIF(DeadRaw!$B:$B,$A63,DeadRaw!AB:AB)</f>
        <v>0</v>
      </c>
      <c r="Z63">
        <f>SUMIF(DeadRaw!$B:$B,$A63,DeadRaw!AC:AC)</f>
        <v>0</v>
      </c>
      <c r="AA63">
        <f>SUMIF(DeadRaw!$B:$B,$A63,DeadRaw!AD:AD)</f>
        <v>0</v>
      </c>
      <c r="AB63">
        <f>SUMIF(DeadRaw!$B:$B,$A63,DeadRaw!AE:AE)</f>
        <v>0</v>
      </c>
      <c r="AC63">
        <f>SUMIF(DeadRaw!$B:$B,$A63,DeadRaw!AF:AF)</f>
        <v>0</v>
      </c>
      <c r="AD63">
        <f>SUMIF(DeadRaw!$B:$B,$A63,DeadRaw!AG:AG)</f>
        <v>0</v>
      </c>
      <c r="AE63">
        <f>SUMIF(DeadRaw!$B:$B,$A63,DeadRaw!AH:AH)</f>
        <v>0</v>
      </c>
      <c r="AF63">
        <f>SUMIF(DeadRaw!$B:$B,$A63,DeadRaw!AI:AI)</f>
        <v>0</v>
      </c>
      <c r="AG63">
        <f>SUMIF(DeadRaw!$B:$B,$A63,DeadRaw!AJ:AJ)</f>
        <v>0</v>
      </c>
      <c r="AH63">
        <f>SUMIF(DeadRaw!$B:$B,$A63,DeadRaw!AK:AK)</f>
        <v>0</v>
      </c>
      <c r="AI63">
        <f>SUMIF(DeadRaw!$B:$B,$A63,DeadRaw!AL:AL)</f>
        <v>0</v>
      </c>
      <c r="AJ63">
        <f>SUMIF(DeadRaw!$B:$B,$A63,DeadRaw!AM:AM)</f>
        <v>0</v>
      </c>
      <c r="AK63">
        <f>SUMIF(DeadRaw!$B:$B,$A63,DeadRaw!AN:AN)</f>
        <v>0</v>
      </c>
      <c r="AL63">
        <f>SUMIF(DeadRaw!$B:$B,$A63,DeadRaw!AO:AO)</f>
        <v>0</v>
      </c>
      <c r="AM63">
        <f>SUMIF(DeadRaw!$B:$B,$A63,DeadRaw!AP:AP)</f>
        <v>0</v>
      </c>
      <c r="AN63">
        <f>SUMIF(DeadRaw!$B:$B,$A63,DeadRaw!AQ:AQ)</f>
        <v>0</v>
      </c>
      <c r="AO63">
        <f>SUMIF(DeadRaw!$B:$B,$A63,DeadRaw!AR:AR)</f>
        <v>0</v>
      </c>
      <c r="AP63">
        <f>SUMIF(DeadRaw!$B:$B,$A63,DeadRaw!AS:AS)</f>
        <v>0</v>
      </c>
      <c r="AQ63">
        <f>SUMIF(DeadRaw!$B:$B,$A63,DeadRaw!AT:AT)</f>
        <v>0</v>
      </c>
      <c r="AR63">
        <f>SUMIF(DeadRaw!$B:$B,$A63,DeadRaw!AU:AU)</f>
        <v>0</v>
      </c>
      <c r="AS63">
        <f>SUMIF(DeadRaw!$B:$B,$A63,DeadRaw!AV:AV)</f>
        <v>0</v>
      </c>
      <c r="AT63">
        <f>SUMIF(DeadRaw!$B:$B,$A63,DeadRaw!AW:AW)</f>
        <v>0</v>
      </c>
      <c r="AU63">
        <f>SUMIF(DeadRaw!$B:$B,$A63,DeadRaw!AX:AX)</f>
        <v>0</v>
      </c>
      <c r="AV63">
        <f>SUMIF(DeadRaw!$B:$B,$A63,DeadRaw!AY:AY)</f>
        <v>0</v>
      </c>
      <c r="AW63">
        <f>SUMIF(DeadRaw!$B:$B,$A63,DeadRaw!AZ:AZ)</f>
        <v>0</v>
      </c>
      <c r="AX63">
        <f>SUMIF(DeadRaw!$B:$B,$A63,DeadRaw!BA:BA)</f>
        <v>0</v>
      </c>
      <c r="AY63">
        <f>SUMIF(DeadRaw!$B:$B,$A63,DeadRaw!BB:BB)</f>
        <v>1</v>
      </c>
      <c r="AZ63">
        <f>SUMIF(DeadRaw!$B:$B,$A63,DeadRaw!BC:BC)</f>
        <v>1</v>
      </c>
      <c r="BA63">
        <f>SUMIF(DeadRaw!$B:$B,$A63,DeadRaw!BD:BD)</f>
        <v>1</v>
      </c>
      <c r="BB63">
        <f>SUMIF(DeadRaw!$B:$B,$A63,DeadRaw!BE:BE)</f>
        <v>1</v>
      </c>
      <c r="BC63">
        <f>SUMIF(DeadRaw!$B:$B,$A63,DeadRaw!BF:BF)</f>
        <v>1</v>
      </c>
      <c r="BD63">
        <f>SUMIF(DeadRaw!$B:$B,$A63,DeadRaw!BG:BG)</f>
        <v>1</v>
      </c>
      <c r="BE63">
        <f>SUMIF(DeadRaw!$B:$B,$A63,DeadRaw!BH:BH)</f>
        <v>1</v>
      </c>
      <c r="BF63">
        <f>SUMIF(DeadRaw!$B:$B,$A63,DeadRaw!BI:BI)</f>
        <v>1</v>
      </c>
      <c r="BG63">
        <f>SUMIF(DeadRaw!$B:$B,$A63,DeadRaw!BJ:BJ)</f>
        <v>0</v>
      </c>
      <c r="BH63">
        <f>SUMIF(DeadRaw!$B:$B,$A63,DeadRaw!BK:BK)</f>
        <v>0</v>
      </c>
      <c r="BI63">
        <f>SUMIF(DeadRaw!$B:$B,$A63,DeadRaw!BL:BL)</f>
        <v>0</v>
      </c>
      <c r="BJ63">
        <f>SUMIF(DeadRaw!$B:$B,$A63,DeadRaw!BM:BM)</f>
        <v>0</v>
      </c>
      <c r="BK63">
        <f>SUMIF(DeadRaw!$B:$B,$A63,DeadRaw!BN:BN)</f>
        <v>0</v>
      </c>
      <c r="BL63">
        <f>SUMIF(DeadRaw!$B:$B,$A63,DeadRaw!BO:BO)</f>
        <v>0</v>
      </c>
      <c r="BM63">
        <f>SUMIF(DeadRaw!$B:$B,$A63,DeadRaw!BP:BP)</f>
        <v>0</v>
      </c>
      <c r="BN63">
        <f>SUMIF(DeadRaw!$B:$B,$A63,DeadRaw!BQ:BQ)</f>
        <v>0</v>
      </c>
      <c r="BO63">
        <f>SUMIF(DeadRaw!$B:$B,$A63,DeadRaw!BR:BR)</f>
        <v>0</v>
      </c>
      <c r="BP63">
        <f>SUMIF(DeadRaw!$B:$B,$A63,DeadRaw!BS:BS)</f>
        <v>0</v>
      </c>
      <c r="BQ63">
        <f>SUMIF(DeadRaw!$B:$B,$A63,DeadRaw!BT:BT)</f>
        <v>0</v>
      </c>
      <c r="BR63">
        <f>SUMIF(DeadRaw!$B:$B,$A63,DeadRaw!BU:BU)</f>
        <v>0</v>
      </c>
      <c r="BS63">
        <f>SUMIF(DeadRaw!$B:$B,$A63,DeadRaw!BV:BV)</f>
        <v>0</v>
      </c>
      <c r="BT63">
        <f>SUMIF(DeadRaw!$B:$B,$A63,DeadRaw!BW:BW)</f>
        <v>0</v>
      </c>
    </row>
    <row r="64" spans="1:72" ht="15" thickBot="1" x14ac:dyDescent="0.35">
      <c r="A64" s="4" t="s">
        <v>75</v>
      </c>
      <c r="B64">
        <f>SUMIF(DeadRaw!$B:$B,$A64,DeadRaw!E:E)</f>
        <v>0</v>
      </c>
      <c r="C64">
        <f>SUMIF(DeadRaw!$B:$B,$A64,DeadRaw!F:F)</f>
        <v>0</v>
      </c>
      <c r="D64">
        <f>SUMIF(DeadRaw!$B:$B,$A64,DeadRaw!G:G)</f>
        <v>0</v>
      </c>
      <c r="E64">
        <f>SUMIF(DeadRaw!$B:$B,$A64,DeadRaw!H:H)</f>
        <v>0</v>
      </c>
      <c r="F64">
        <f>SUMIF(DeadRaw!$B:$B,$A64,DeadRaw!I:I)</f>
        <v>0</v>
      </c>
      <c r="G64">
        <f>SUMIF(DeadRaw!$B:$B,$A64,DeadRaw!J:J)</f>
        <v>0</v>
      </c>
      <c r="H64">
        <f>SUMIF(DeadRaw!$B:$B,$A64,DeadRaw!K:K)</f>
        <v>0</v>
      </c>
      <c r="I64">
        <f>SUMIF(DeadRaw!$B:$B,$A64,DeadRaw!L:L)</f>
        <v>0</v>
      </c>
      <c r="J64">
        <f>SUMIF(DeadRaw!$B:$B,$A64,DeadRaw!M:M)</f>
        <v>0</v>
      </c>
      <c r="K64">
        <f>SUMIF(DeadRaw!$B:$B,$A64,DeadRaw!N:N)</f>
        <v>0</v>
      </c>
      <c r="L64">
        <f>SUMIF(DeadRaw!$B:$B,$A64,DeadRaw!O:O)</f>
        <v>0</v>
      </c>
      <c r="M64">
        <f>SUMIF(DeadRaw!$B:$B,$A64,DeadRaw!P:P)</f>
        <v>0</v>
      </c>
      <c r="N64">
        <f>SUMIF(DeadRaw!$B:$B,$A64,DeadRaw!Q:Q)</f>
        <v>0</v>
      </c>
      <c r="O64">
        <f>SUMIF(DeadRaw!$B:$B,$A64,DeadRaw!R:R)</f>
        <v>0</v>
      </c>
      <c r="P64">
        <f>SUMIF(DeadRaw!$B:$B,$A64,DeadRaw!S:S)</f>
        <v>0</v>
      </c>
      <c r="Q64">
        <f>SUMIF(DeadRaw!$B:$B,$A64,DeadRaw!T:T)</f>
        <v>0</v>
      </c>
      <c r="R64">
        <f>SUMIF(DeadRaw!$B:$B,$A64,DeadRaw!U:U)</f>
        <v>0</v>
      </c>
      <c r="S64">
        <f>SUMIF(DeadRaw!$B:$B,$A64,DeadRaw!V:V)</f>
        <v>0</v>
      </c>
      <c r="T64">
        <f>SUMIF(DeadRaw!$B:$B,$A64,DeadRaw!W:W)</f>
        <v>0</v>
      </c>
      <c r="U64">
        <f>SUMIF(DeadRaw!$B:$B,$A64,DeadRaw!X:X)</f>
        <v>0</v>
      </c>
      <c r="V64">
        <f>SUMIF(DeadRaw!$B:$B,$A64,DeadRaw!Y:Y)</f>
        <v>0</v>
      </c>
      <c r="W64">
        <f>SUMIF(DeadRaw!$B:$B,$A64,DeadRaw!Z:Z)</f>
        <v>0</v>
      </c>
      <c r="X64">
        <f>SUMIF(DeadRaw!$B:$B,$A64,DeadRaw!AA:AA)</f>
        <v>0</v>
      </c>
      <c r="Y64">
        <f>SUMIF(DeadRaw!$B:$B,$A64,DeadRaw!AB:AB)</f>
        <v>0</v>
      </c>
      <c r="Z64">
        <f>SUMIF(DeadRaw!$B:$B,$A64,DeadRaw!AC:AC)</f>
        <v>0</v>
      </c>
      <c r="AA64">
        <f>SUMIF(DeadRaw!$B:$B,$A64,DeadRaw!AD:AD)</f>
        <v>0</v>
      </c>
      <c r="AB64">
        <f>SUMIF(DeadRaw!$B:$B,$A64,DeadRaw!AE:AE)</f>
        <v>0</v>
      </c>
      <c r="AC64">
        <f>SUMIF(DeadRaw!$B:$B,$A64,DeadRaw!AF:AF)</f>
        <v>0</v>
      </c>
      <c r="AD64">
        <f>SUMIF(DeadRaw!$B:$B,$A64,DeadRaw!AG:AG)</f>
        <v>0</v>
      </c>
      <c r="AE64">
        <f>SUMIF(DeadRaw!$B:$B,$A64,DeadRaw!AH:AH)</f>
        <v>0</v>
      </c>
      <c r="AF64">
        <f>SUMIF(DeadRaw!$B:$B,$A64,DeadRaw!AI:AI)</f>
        <v>0</v>
      </c>
      <c r="AG64">
        <f>SUMIF(DeadRaw!$B:$B,$A64,DeadRaw!AJ:AJ)</f>
        <v>0</v>
      </c>
      <c r="AH64">
        <f>SUMIF(DeadRaw!$B:$B,$A64,DeadRaw!AK:AK)</f>
        <v>0</v>
      </c>
      <c r="AI64">
        <f>SUMIF(DeadRaw!$B:$B,$A64,DeadRaw!AL:AL)</f>
        <v>0</v>
      </c>
      <c r="AJ64">
        <f>SUMIF(DeadRaw!$B:$B,$A64,DeadRaw!AM:AM)</f>
        <v>0</v>
      </c>
      <c r="AK64">
        <f>SUMIF(DeadRaw!$B:$B,$A64,DeadRaw!AN:AN)</f>
        <v>0</v>
      </c>
      <c r="AL64">
        <f>SUMIF(DeadRaw!$B:$B,$A64,DeadRaw!AO:AO)</f>
        <v>0</v>
      </c>
      <c r="AM64">
        <f>SUMIF(DeadRaw!$B:$B,$A64,DeadRaw!AP:AP)</f>
        <v>0</v>
      </c>
      <c r="AN64">
        <f>SUMIF(DeadRaw!$B:$B,$A64,DeadRaw!AQ:AQ)</f>
        <v>0</v>
      </c>
      <c r="AO64">
        <f>SUMIF(DeadRaw!$B:$B,$A64,DeadRaw!AR:AR)</f>
        <v>0</v>
      </c>
      <c r="AP64">
        <f>SUMIF(DeadRaw!$B:$B,$A64,DeadRaw!AS:AS)</f>
        <v>0</v>
      </c>
      <c r="AQ64">
        <f>SUMIF(DeadRaw!$B:$B,$A64,DeadRaw!AT:AT)</f>
        <v>0</v>
      </c>
      <c r="AR64">
        <f>SUMIF(DeadRaw!$B:$B,$A64,DeadRaw!AU:AU)</f>
        <v>0</v>
      </c>
      <c r="AS64">
        <f>SUMIF(DeadRaw!$B:$B,$A64,DeadRaw!AV:AV)</f>
        <v>0</v>
      </c>
      <c r="AT64">
        <f>SUMIF(DeadRaw!$B:$B,$A64,DeadRaw!AW:AW)</f>
        <v>0</v>
      </c>
      <c r="AU64">
        <f>SUMIF(DeadRaw!$B:$B,$A64,DeadRaw!AX:AX)</f>
        <v>0</v>
      </c>
      <c r="AV64">
        <f>SUMIF(DeadRaw!$B:$B,$A64,DeadRaw!AY:AY)</f>
        <v>0</v>
      </c>
      <c r="AW64">
        <f>SUMIF(DeadRaw!$B:$B,$A64,DeadRaw!AZ:AZ)</f>
        <v>0</v>
      </c>
      <c r="AX64">
        <f>SUMIF(DeadRaw!$B:$B,$A64,DeadRaw!BA:BA)</f>
        <v>0</v>
      </c>
      <c r="AY64">
        <f>SUMIF(DeadRaw!$B:$B,$A64,DeadRaw!BB:BB)</f>
        <v>0</v>
      </c>
      <c r="AZ64">
        <f>SUMIF(DeadRaw!$B:$B,$A64,DeadRaw!BC:BC)</f>
        <v>1</v>
      </c>
      <c r="BA64">
        <f>SUMIF(DeadRaw!$B:$B,$A64,DeadRaw!BD:BD)</f>
        <v>2</v>
      </c>
      <c r="BB64">
        <f>SUMIF(DeadRaw!$B:$B,$A64,DeadRaw!BE:BE)</f>
        <v>3</v>
      </c>
      <c r="BC64">
        <f>SUMIF(DeadRaw!$B:$B,$A64,DeadRaw!BF:BF)</f>
        <v>4</v>
      </c>
      <c r="BD64">
        <f>SUMIF(DeadRaw!$B:$B,$A64,DeadRaw!BG:BG)</f>
        <v>4</v>
      </c>
      <c r="BE64">
        <f>SUMIF(DeadRaw!$B:$B,$A64,DeadRaw!BH:BH)</f>
        <v>4</v>
      </c>
      <c r="BF64">
        <f>SUMIF(DeadRaw!$B:$B,$A64,DeadRaw!BI:BI)</f>
        <v>7</v>
      </c>
      <c r="BG64">
        <f>SUMIF(DeadRaw!$B:$B,$A64,DeadRaw!BJ:BJ)</f>
        <v>0</v>
      </c>
      <c r="BH64">
        <f>SUMIF(DeadRaw!$B:$B,$A64,DeadRaw!BK:BK)</f>
        <v>0</v>
      </c>
      <c r="BI64">
        <f>SUMIF(DeadRaw!$B:$B,$A64,DeadRaw!BL:BL)</f>
        <v>0</v>
      </c>
      <c r="BJ64">
        <f>SUMIF(DeadRaw!$B:$B,$A64,DeadRaw!BM:BM)</f>
        <v>0</v>
      </c>
      <c r="BK64">
        <f>SUMIF(DeadRaw!$B:$B,$A64,DeadRaw!BN:BN)</f>
        <v>0</v>
      </c>
      <c r="BL64">
        <f>SUMIF(DeadRaw!$B:$B,$A64,DeadRaw!BO:BO)</f>
        <v>0</v>
      </c>
      <c r="BM64">
        <f>SUMIF(DeadRaw!$B:$B,$A64,DeadRaw!BP:BP)</f>
        <v>0</v>
      </c>
      <c r="BN64">
        <f>SUMIF(DeadRaw!$B:$B,$A64,DeadRaw!BQ:BQ)</f>
        <v>0</v>
      </c>
      <c r="BO64">
        <f>SUMIF(DeadRaw!$B:$B,$A64,DeadRaw!BR:BR)</f>
        <v>0</v>
      </c>
      <c r="BP64">
        <f>SUMIF(DeadRaw!$B:$B,$A64,DeadRaw!BS:BS)</f>
        <v>0</v>
      </c>
      <c r="BQ64">
        <f>SUMIF(DeadRaw!$B:$B,$A64,DeadRaw!BT:BT)</f>
        <v>0</v>
      </c>
      <c r="BR64">
        <f>SUMIF(DeadRaw!$B:$B,$A64,DeadRaw!BU:BU)</f>
        <v>0</v>
      </c>
      <c r="BS64">
        <f>SUMIF(DeadRaw!$B:$B,$A64,DeadRaw!BV:BV)</f>
        <v>0</v>
      </c>
      <c r="BT64">
        <f>SUMIF(DeadRaw!$B:$B,$A64,DeadRaw!BW:BW)</f>
        <v>0</v>
      </c>
    </row>
    <row r="65" spans="1:72" ht="15" thickBot="1" x14ac:dyDescent="0.35">
      <c r="A65" s="3" t="s">
        <v>82</v>
      </c>
      <c r="B65">
        <f>SUMIF(DeadRaw!$B:$B,$A65,DeadRaw!E:E)</f>
        <v>0</v>
      </c>
      <c r="C65">
        <f>SUMIF(DeadRaw!$B:$B,$A65,DeadRaw!F:F)</f>
        <v>0</v>
      </c>
      <c r="D65">
        <f>SUMIF(DeadRaw!$B:$B,$A65,DeadRaw!G:G)</f>
        <v>0</v>
      </c>
      <c r="E65">
        <f>SUMIF(DeadRaw!$B:$B,$A65,DeadRaw!H:H)</f>
        <v>0</v>
      </c>
      <c r="F65">
        <f>SUMIF(DeadRaw!$B:$B,$A65,DeadRaw!I:I)</f>
        <v>0</v>
      </c>
      <c r="G65">
        <f>SUMIF(DeadRaw!$B:$B,$A65,DeadRaw!J:J)</f>
        <v>0</v>
      </c>
      <c r="H65">
        <f>SUMIF(DeadRaw!$B:$B,$A65,DeadRaw!K:K)</f>
        <v>0</v>
      </c>
      <c r="I65">
        <f>SUMIF(DeadRaw!$B:$B,$A65,DeadRaw!L:L)</f>
        <v>0</v>
      </c>
      <c r="J65">
        <f>SUMIF(DeadRaw!$B:$B,$A65,DeadRaw!M:M)</f>
        <v>0</v>
      </c>
      <c r="K65">
        <f>SUMIF(DeadRaw!$B:$B,$A65,DeadRaw!N:N)</f>
        <v>0</v>
      </c>
      <c r="L65">
        <f>SUMIF(DeadRaw!$B:$B,$A65,DeadRaw!O:O)</f>
        <v>0</v>
      </c>
      <c r="M65">
        <f>SUMIF(DeadRaw!$B:$B,$A65,DeadRaw!P:P)</f>
        <v>0</v>
      </c>
      <c r="N65">
        <f>SUMIF(DeadRaw!$B:$B,$A65,DeadRaw!Q:Q)</f>
        <v>0</v>
      </c>
      <c r="O65">
        <f>SUMIF(DeadRaw!$B:$B,$A65,DeadRaw!R:R)</f>
        <v>0</v>
      </c>
      <c r="P65">
        <f>SUMIF(DeadRaw!$B:$B,$A65,DeadRaw!S:S)</f>
        <v>0</v>
      </c>
      <c r="Q65">
        <f>SUMIF(DeadRaw!$B:$B,$A65,DeadRaw!T:T)</f>
        <v>0</v>
      </c>
      <c r="R65">
        <f>SUMIF(DeadRaw!$B:$B,$A65,DeadRaw!U:U)</f>
        <v>0</v>
      </c>
      <c r="S65">
        <f>SUMIF(DeadRaw!$B:$B,$A65,DeadRaw!V:V)</f>
        <v>0</v>
      </c>
      <c r="T65">
        <f>SUMIF(DeadRaw!$B:$B,$A65,DeadRaw!W:W)</f>
        <v>0</v>
      </c>
      <c r="U65">
        <f>SUMIF(DeadRaw!$B:$B,$A65,DeadRaw!X:X)</f>
        <v>0</v>
      </c>
      <c r="V65">
        <f>SUMIF(DeadRaw!$B:$B,$A65,DeadRaw!Y:Y)</f>
        <v>0</v>
      </c>
      <c r="W65">
        <f>SUMIF(DeadRaw!$B:$B,$A65,DeadRaw!Z:Z)</f>
        <v>0</v>
      </c>
      <c r="X65">
        <f>SUMIF(DeadRaw!$B:$B,$A65,DeadRaw!AA:AA)</f>
        <v>0</v>
      </c>
      <c r="Y65">
        <f>SUMIF(DeadRaw!$B:$B,$A65,DeadRaw!AB:AB)</f>
        <v>0</v>
      </c>
      <c r="Z65">
        <f>SUMIF(DeadRaw!$B:$B,$A65,DeadRaw!AC:AC)</f>
        <v>0</v>
      </c>
      <c r="AA65">
        <f>SUMIF(DeadRaw!$B:$B,$A65,DeadRaw!AD:AD)</f>
        <v>0</v>
      </c>
      <c r="AB65">
        <f>SUMIF(DeadRaw!$B:$B,$A65,DeadRaw!AE:AE)</f>
        <v>0</v>
      </c>
      <c r="AC65">
        <f>SUMIF(DeadRaw!$B:$B,$A65,DeadRaw!AF:AF)</f>
        <v>0</v>
      </c>
      <c r="AD65">
        <f>SUMIF(DeadRaw!$B:$B,$A65,DeadRaw!AG:AG)</f>
        <v>0</v>
      </c>
      <c r="AE65">
        <f>SUMIF(DeadRaw!$B:$B,$A65,DeadRaw!AH:AH)</f>
        <v>0</v>
      </c>
      <c r="AF65">
        <f>SUMIF(DeadRaw!$B:$B,$A65,DeadRaw!AI:AI)</f>
        <v>0</v>
      </c>
      <c r="AG65">
        <f>SUMIF(DeadRaw!$B:$B,$A65,DeadRaw!AJ:AJ)</f>
        <v>0</v>
      </c>
      <c r="AH65">
        <f>SUMIF(DeadRaw!$B:$B,$A65,DeadRaw!AK:AK)</f>
        <v>0</v>
      </c>
      <c r="AI65">
        <f>SUMIF(DeadRaw!$B:$B,$A65,DeadRaw!AL:AL)</f>
        <v>0</v>
      </c>
      <c r="AJ65">
        <f>SUMIF(DeadRaw!$B:$B,$A65,DeadRaw!AM:AM)</f>
        <v>0</v>
      </c>
      <c r="AK65">
        <f>SUMIF(DeadRaw!$B:$B,$A65,DeadRaw!AN:AN)</f>
        <v>0</v>
      </c>
      <c r="AL65">
        <f>SUMIF(DeadRaw!$B:$B,$A65,DeadRaw!AO:AO)</f>
        <v>0</v>
      </c>
      <c r="AM65">
        <f>SUMIF(DeadRaw!$B:$B,$A65,DeadRaw!AP:AP)</f>
        <v>0</v>
      </c>
      <c r="AN65">
        <f>SUMIF(DeadRaw!$B:$B,$A65,DeadRaw!AQ:AQ)</f>
        <v>0</v>
      </c>
      <c r="AO65">
        <f>SUMIF(DeadRaw!$B:$B,$A65,DeadRaw!AR:AR)</f>
        <v>0</v>
      </c>
      <c r="AP65">
        <f>SUMIF(DeadRaw!$B:$B,$A65,DeadRaw!AS:AS)</f>
        <v>0</v>
      </c>
      <c r="AQ65">
        <f>SUMIF(DeadRaw!$B:$B,$A65,DeadRaw!AT:AT)</f>
        <v>0</v>
      </c>
      <c r="AR65">
        <f>SUMIF(DeadRaw!$B:$B,$A65,DeadRaw!AU:AU)</f>
        <v>0</v>
      </c>
      <c r="AS65">
        <f>SUMIF(DeadRaw!$B:$B,$A65,DeadRaw!AV:AV)</f>
        <v>0</v>
      </c>
      <c r="AT65">
        <f>SUMIF(DeadRaw!$B:$B,$A65,DeadRaw!AW:AW)</f>
        <v>0</v>
      </c>
      <c r="AU65">
        <f>SUMIF(DeadRaw!$B:$B,$A65,DeadRaw!AX:AX)</f>
        <v>0</v>
      </c>
      <c r="AV65">
        <f>SUMIF(DeadRaw!$B:$B,$A65,DeadRaw!AY:AY)</f>
        <v>0</v>
      </c>
      <c r="AW65">
        <f>SUMIF(DeadRaw!$B:$B,$A65,DeadRaw!AZ:AZ)</f>
        <v>0</v>
      </c>
      <c r="AX65">
        <f>SUMIF(DeadRaw!$B:$B,$A65,DeadRaw!BA:BA)</f>
        <v>0</v>
      </c>
      <c r="AY65">
        <f>SUMIF(DeadRaw!$B:$B,$A65,DeadRaw!BB:BB)</f>
        <v>0</v>
      </c>
      <c r="AZ65">
        <f>SUMIF(DeadRaw!$B:$B,$A65,DeadRaw!BC:BC)</f>
        <v>0</v>
      </c>
      <c r="BA65">
        <f>SUMIF(DeadRaw!$B:$B,$A65,DeadRaw!BD:BD)</f>
        <v>0</v>
      </c>
      <c r="BB65">
        <f>SUMIF(DeadRaw!$B:$B,$A65,DeadRaw!BE:BE)</f>
        <v>0</v>
      </c>
      <c r="BC65">
        <f>SUMIF(DeadRaw!$B:$B,$A65,DeadRaw!BF:BF)</f>
        <v>0</v>
      </c>
      <c r="BD65">
        <f>SUMIF(DeadRaw!$B:$B,$A65,DeadRaw!BG:BG)</f>
        <v>0</v>
      </c>
      <c r="BE65">
        <f>SUMIF(DeadRaw!$B:$B,$A65,DeadRaw!BH:BH)</f>
        <v>0</v>
      </c>
      <c r="BF65">
        <f>SUMIF(DeadRaw!$B:$B,$A65,DeadRaw!BI:BI)</f>
        <v>0</v>
      </c>
      <c r="BG65">
        <f>SUMIF(DeadRaw!$B:$B,$A65,DeadRaw!BJ:BJ)</f>
        <v>0</v>
      </c>
      <c r="BH65">
        <f>SUMIF(DeadRaw!$B:$B,$A65,DeadRaw!BK:BK)</f>
        <v>0</v>
      </c>
      <c r="BI65">
        <f>SUMIF(DeadRaw!$B:$B,$A65,DeadRaw!BL:BL)</f>
        <v>0</v>
      </c>
      <c r="BJ65">
        <f>SUMIF(DeadRaw!$B:$B,$A65,DeadRaw!BM:BM)</f>
        <v>0</v>
      </c>
      <c r="BK65">
        <f>SUMIF(DeadRaw!$B:$B,$A65,DeadRaw!BN:BN)</f>
        <v>0</v>
      </c>
      <c r="BL65">
        <f>SUMIF(DeadRaw!$B:$B,$A65,DeadRaw!BO:BO)</f>
        <v>0</v>
      </c>
      <c r="BM65">
        <f>SUMIF(DeadRaw!$B:$B,$A65,DeadRaw!BP:BP)</f>
        <v>0</v>
      </c>
      <c r="BN65">
        <f>SUMIF(DeadRaw!$B:$B,$A65,DeadRaw!BQ:BQ)</f>
        <v>0</v>
      </c>
      <c r="BO65">
        <f>SUMIF(DeadRaw!$B:$B,$A65,DeadRaw!BR:BR)</f>
        <v>0</v>
      </c>
      <c r="BP65">
        <f>SUMIF(DeadRaw!$B:$B,$A65,DeadRaw!BS:BS)</f>
        <v>0</v>
      </c>
      <c r="BQ65">
        <f>SUMIF(DeadRaw!$B:$B,$A65,DeadRaw!BT:BT)</f>
        <v>0</v>
      </c>
      <c r="BR65">
        <f>SUMIF(DeadRaw!$B:$B,$A65,DeadRaw!BU:BU)</f>
        <v>0</v>
      </c>
      <c r="BS65">
        <f>SUMIF(DeadRaw!$B:$B,$A65,DeadRaw!BV:BV)</f>
        <v>0</v>
      </c>
      <c r="BT65">
        <f>SUMIF(DeadRaw!$B:$B,$A65,DeadRaw!BW:BW)</f>
        <v>0</v>
      </c>
    </row>
    <row r="66" spans="1:72" ht="15" thickBot="1" x14ac:dyDescent="0.35">
      <c r="A66" s="3" t="s">
        <v>145</v>
      </c>
      <c r="B66">
        <f>SUMIF(DeadRaw!$B:$B,$A66,DeadRaw!E:E)</f>
        <v>0</v>
      </c>
      <c r="C66">
        <f>SUMIF(DeadRaw!$B:$B,$A66,DeadRaw!F:F)</f>
        <v>0</v>
      </c>
      <c r="D66">
        <f>SUMIF(DeadRaw!$B:$B,$A66,DeadRaw!G:G)</f>
        <v>0</v>
      </c>
      <c r="E66">
        <f>SUMIF(DeadRaw!$B:$B,$A66,DeadRaw!H:H)</f>
        <v>0</v>
      </c>
      <c r="F66">
        <f>SUMIF(DeadRaw!$B:$B,$A66,DeadRaw!I:I)</f>
        <v>0</v>
      </c>
      <c r="G66">
        <f>SUMIF(DeadRaw!$B:$B,$A66,DeadRaw!J:J)</f>
        <v>0</v>
      </c>
      <c r="H66">
        <f>SUMIF(DeadRaw!$B:$B,$A66,DeadRaw!K:K)</f>
        <v>0</v>
      </c>
      <c r="I66">
        <f>SUMIF(DeadRaw!$B:$B,$A66,DeadRaw!L:L)</f>
        <v>0</v>
      </c>
      <c r="J66">
        <f>SUMIF(DeadRaw!$B:$B,$A66,DeadRaw!M:M)</f>
        <v>0</v>
      </c>
      <c r="K66">
        <f>SUMIF(DeadRaw!$B:$B,$A66,DeadRaw!N:N)</f>
        <v>0</v>
      </c>
      <c r="L66">
        <f>SUMIF(DeadRaw!$B:$B,$A66,DeadRaw!O:O)</f>
        <v>0</v>
      </c>
      <c r="M66">
        <f>SUMIF(DeadRaw!$B:$B,$A66,DeadRaw!P:P)</f>
        <v>0</v>
      </c>
      <c r="N66">
        <f>SUMIF(DeadRaw!$B:$B,$A66,DeadRaw!Q:Q)</f>
        <v>0</v>
      </c>
      <c r="O66">
        <f>SUMIF(DeadRaw!$B:$B,$A66,DeadRaw!R:R)</f>
        <v>0</v>
      </c>
      <c r="P66">
        <f>SUMIF(DeadRaw!$B:$B,$A66,DeadRaw!S:S)</f>
        <v>0</v>
      </c>
      <c r="Q66">
        <f>SUMIF(DeadRaw!$B:$B,$A66,DeadRaw!T:T)</f>
        <v>0</v>
      </c>
      <c r="R66">
        <f>SUMIF(DeadRaw!$B:$B,$A66,DeadRaw!U:U)</f>
        <v>0</v>
      </c>
      <c r="S66">
        <f>SUMIF(DeadRaw!$B:$B,$A66,DeadRaw!V:V)</f>
        <v>0</v>
      </c>
      <c r="T66">
        <f>SUMIF(DeadRaw!$B:$B,$A66,DeadRaw!W:W)</f>
        <v>0</v>
      </c>
      <c r="U66">
        <f>SUMIF(DeadRaw!$B:$B,$A66,DeadRaw!X:X)</f>
        <v>0</v>
      </c>
      <c r="V66">
        <f>SUMIF(DeadRaw!$B:$B,$A66,DeadRaw!Y:Y)</f>
        <v>0</v>
      </c>
      <c r="W66">
        <f>SUMIF(DeadRaw!$B:$B,$A66,DeadRaw!Z:Z)</f>
        <v>0</v>
      </c>
      <c r="X66">
        <f>SUMIF(DeadRaw!$B:$B,$A66,DeadRaw!AA:AA)</f>
        <v>0</v>
      </c>
      <c r="Y66">
        <f>SUMIF(DeadRaw!$B:$B,$A66,DeadRaw!AB:AB)</f>
        <v>0</v>
      </c>
      <c r="Z66">
        <f>SUMIF(DeadRaw!$B:$B,$A66,DeadRaw!AC:AC)</f>
        <v>0</v>
      </c>
      <c r="AA66">
        <f>SUMIF(DeadRaw!$B:$B,$A66,DeadRaw!AD:AD)</f>
        <v>0</v>
      </c>
      <c r="AB66">
        <f>SUMIF(DeadRaw!$B:$B,$A66,DeadRaw!AE:AE)</f>
        <v>0</v>
      </c>
      <c r="AC66">
        <f>SUMIF(DeadRaw!$B:$B,$A66,DeadRaw!AF:AF)</f>
        <v>0</v>
      </c>
      <c r="AD66">
        <f>SUMIF(DeadRaw!$B:$B,$A66,DeadRaw!AG:AG)</f>
        <v>0</v>
      </c>
      <c r="AE66">
        <f>SUMIF(DeadRaw!$B:$B,$A66,DeadRaw!AH:AH)</f>
        <v>0</v>
      </c>
      <c r="AF66">
        <f>SUMIF(DeadRaw!$B:$B,$A66,DeadRaw!AI:AI)</f>
        <v>0</v>
      </c>
      <c r="AG66">
        <f>SUMIF(DeadRaw!$B:$B,$A66,DeadRaw!AJ:AJ)</f>
        <v>0</v>
      </c>
      <c r="AH66">
        <f>SUMIF(DeadRaw!$B:$B,$A66,DeadRaw!AK:AK)</f>
        <v>0</v>
      </c>
      <c r="AI66">
        <f>SUMIF(DeadRaw!$B:$B,$A66,DeadRaw!AL:AL)</f>
        <v>0</v>
      </c>
      <c r="AJ66">
        <f>SUMIF(DeadRaw!$B:$B,$A66,DeadRaw!AM:AM)</f>
        <v>0</v>
      </c>
      <c r="AK66">
        <f>SUMIF(DeadRaw!$B:$B,$A66,DeadRaw!AN:AN)</f>
        <v>0</v>
      </c>
      <c r="AL66">
        <f>SUMIF(DeadRaw!$B:$B,$A66,DeadRaw!AO:AO)</f>
        <v>0</v>
      </c>
      <c r="AM66">
        <f>SUMIF(DeadRaw!$B:$B,$A66,DeadRaw!AP:AP)</f>
        <v>0</v>
      </c>
      <c r="AN66">
        <f>SUMIF(DeadRaw!$B:$B,$A66,DeadRaw!AQ:AQ)</f>
        <v>0</v>
      </c>
      <c r="AO66">
        <f>SUMIF(DeadRaw!$B:$B,$A66,DeadRaw!AR:AR)</f>
        <v>0</v>
      </c>
      <c r="AP66">
        <f>SUMIF(DeadRaw!$B:$B,$A66,DeadRaw!AS:AS)</f>
        <v>0</v>
      </c>
      <c r="AQ66">
        <f>SUMIF(DeadRaw!$B:$B,$A66,DeadRaw!AT:AT)</f>
        <v>0</v>
      </c>
      <c r="AR66">
        <f>SUMIF(DeadRaw!$B:$B,$A66,DeadRaw!AU:AU)</f>
        <v>0</v>
      </c>
      <c r="AS66">
        <f>SUMIF(DeadRaw!$B:$B,$A66,DeadRaw!AV:AV)</f>
        <v>0</v>
      </c>
      <c r="AT66">
        <f>SUMIF(DeadRaw!$B:$B,$A66,DeadRaw!AW:AW)</f>
        <v>0</v>
      </c>
      <c r="AU66">
        <f>SUMIF(DeadRaw!$B:$B,$A66,DeadRaw!AX:AX)</f>
        <v>0</v>
      </c>
      <c r="AV66">
        <f>SUMIF(DeadRaw!$B:$B,$A66,DeadRaw!AY:AY)</f>
        <v>0</v>
      </c>
      <c r="AW66">
        <f>SUMIF(DeadRaw!$B:$B,$A66,DeadRaw!AZ:AZ)</f>
        <v>0</v>
      </c>
      <c r="AX66">
        <f>SUMIF(DeadRaw!$B:$B,$A66,DeadRaw!BA:BA)</f>
        <v>0</v>
      </c>
      <c r="AY66">
        <f>SUMIF(DeadRaw!$B:$B,$A66,DeadRaw!BB:BB)</f>
        <v>0</v>
      </c>
      <c r="AZ66">
        <f>SUMIF(DeadRaw!$B:$B,$A66,DeadRaw!BC:BC)</f>
        <v>0</v>
      </c>
      <c r="BA66">
        <f>SUMIF(DeadRaw!$B:$B,$A66,DeadRaw!BD:BD)</f>
        <v>0</v>
      </c>
      <c r="BB66">
        <f>SUMIF(DeadRaw!$B:$B,$A66,DeadRaw!BE:BE)</f>
        <v>0</v>
      </c>
      <c r="BC66">
        <f>SUMIF(DeadRaw!$B:$B,$A66,DeadRaw!BF:BF)</f>
        <v>0</v>
      </c>
      <c r="BD66">
        <f>SUMIF(DeadRaw!$B:$B,$A66,DeadRaw!BG:BG)</f>
        <v>0</v>
      </c>
      <c r="BE66">
        <f>SUMIF(DeadRaw!$B:$B,$A66,DeadRaw!BH:BH)</f>
        <v>0</v>
      </c>
      <c r="BF66">
        <f>SUMIF(DeadRaw!$B:$B,$A66,DeadRaw!BI:BI)</f>
        <v>0</v>
      </c>
      <c r="BG66">
        <f>SUMIF(DeadRaw!$B:$B,$A66,DeadRaw!BJ:BJ)</f>
        <v>0</v>
      </c>
      <c r="BH66">
        <f>SUMIF(DeadRaw!$B:$B,$A66,DeadRaw!BK:BK)</f>
        <v>0</v>
      </c>
      <c r="BI66">
        <f>SUMIF(DeadRaw!$B:$B,$A66,DeadRaw!BL:BL)</f>
        <v>0</v>
      </c>
      <c r="BJ66">
        <f>SUMIF(DeadRaw!$B:$B,$A66,DeadRaw!BM:BM)</f>
        <v>0</v>
      </c>
      <c r="BK66">
        <f>SUMIF(DeadRaw!$B:$B,$A66,DeadRaw!BN:BN)</f>
        <v>0</v>
      </c>
      <c r="BL66">
        <f>SUMIF(DeadRaw!$B:$B,$A66,DeadRaw!BO:BO)</f>
        <v>0</v>
      </c>
      <c r="BM66">
        <f>SUMIF(DeadRaw!$B:$B,$A66,DeadRaw!BP:BP)</f>
        <v>0</v>
      </c>
      <c r="BN66">
        <f>SUMIF(DeadRaw!$B:$B,$A66,DeadRaw!BQ:BQ)</f>
        <v>0</v>
      </c>
      <c r="BO66">
        <f>SUMIF(DeadRaw!$B:$B,$A66,DeadRaw!BR:BR)</f>
        <v>0</v>
      </c>
      <c r="BP66">
        <f>SUMIF(DeadRaw!$B:$B,$A66,DeadRaw!BS:BS)</f>
        <v>0</v>
      </c>
      <c r="BQ66">
        <f>SUMIF(DeadRaw!$B:$B,$A66,DeadRaw!BT:BT)</f>
        <v>0</v>
      </c>
      <c r="BR66">
        <f>SUMIF(DeadRaw!$B:$B,$A66,DeadRaw!BU:BU)</f>
        <v>0</v>
      </c>
      <c r="BS66">
        <f>SUMIF(DeadRaw!$B:$B,$A66,DeadRaw!BV:BV)</f>
        <v>0</v>
      </c>
      <c r="BT66">
        <f>SUMIF(DeadRaw!$B:$B,$A66,DeadRaw!BW:BW)</f>
        <v>0</v>
      </c>
    </row>
    <row r="67" spans="1:72" ht="15" thickBot="1" x14ac:dyDescent="0.35">
      <c r="A67" s="3" t="s">
        <v>199</v>
      </c>
      <c r="B67">
        <f>SUMIF(DeadRaw!$B:$B,$A67,DeadRaw!E:E)</f>
        <v>0</v>
      </c>
      <c r="C67">
        <f>SUMIF(DeadRaw!$B:$B,$A67,DeadRaw!F:F)</f>
        <v>0</v>
      </c>
      <c r="D67">
        <f>SUMIF(DeadRaw!$B:$B,$A67,DeadRaw!G:G)</f>
        <v>0</v>
      </c>
      <c r="E67">
        <f>SUMIF(DeadRaw!$B:$B,$A67,DeadRaw!H:H)</f>
        <v>0</v>
      </c>
      <c r="F67">
        <f>SUMIF(DeadRaw!$B:$B,$A67,DeadRaw!I:I)</f>
        <v>0</v>
      </c>
      <c r="G67">
        <f>SUMIF(DeadRaw!$B:$B,$A67,DeadRaw!J:J)</f>
        <v>0</v>
      </c>
      <c r="H67">
        <f>SUMIF(DeadRaw!$B:$B,$A67,DeadRaw!K:K)</f>
        <v>0</v>
      </c>
      <c r="I67">
        <f>SUMIF(DeadRaw!$B:$B,$A67,DeadRaw!L:L)</f>
        <v>0</v>
      </c>
      <c r="J67">
        <f>SUMIF(DeadRaw!$B:$B,$A67,DeadRaw!M:M)</f>
        <v>0</v>
      </c>
      <c r="K67">
        <f>SUMIF(DeadRaw!$B:$B,$A67,DeadRaw!N:N)</f>
        <v>0</v>
      </c>
      <c r="L67">
        <f>SUMIF(DeadRaw!$B:$B,$A67,DeadRaw!O:O)</f>
        <v>0</v>
      </c>
      <c r="M67">
        <f>SUMIF(DeadRaw!$B:$B,$A67,DeadRaw!P:P)</f>
        <v>0</v>
      </c>
      <c r="N67">
        <f>SUMIF(DeadRaw!$B:$B,$A67,DeadRaw!Q:Q)</f>
        <v>0</v>
      </c>
      <c r="O67">
        <f>SUMIF(DeadRaw!$B:$B,$A67,DeadRaw!R:R)</f>
        <v>0</v>
      </c>
      <c r="P67">
        <f>SUMIF(DeadRaw!$B:$B,$A67,DeadRaw!S:S)</f>
        <v>0</v>
      </c>
      <c r="Q67">
        <f>SUMIF(DeadRaw!$B:$B,$A67,DeadRaw!T:T)</f>
        <v>0</v>
      </c>
      <c r="R67">
        <f>SUMIF(DeadRaw!$B:$B,$A67,DeadRaw!U:U)</f>
        <v>0</v>
      </c>
      <c r="S67">
        <f>SUMIF(DeadRaw!$B:$B,$A67,DeadRaw!V:V)</f>
        <v>0</v>
      </c>
      <c r="T67">
        <f>SUMIF(DeadRaw!$B:$B,$A67,DeadRaw!W:W)</f>
        <v>0</v>
      </c>
      <c r="U67">
        <f>SUMIF(DeadRaw!$B:$B,$A67,DeadRaw!X:X)</f>
        <v>0</v>
      </c>
      <c r="V67">
        <f>SUMIF(DeadRaw!$B:$B,$A67,DeadRaw!Y:Y)</f>
        <v>0</v>
      </c>
      <c r="W67">
        <f>SUMIF(DeadRaw!$B:$B,$A67,DeadRaw!Z:Z)</f>
        <v>0</v>
      </c>
      <c r="X67">
        <f>SUMIF(DeadRaw!$B:$B,$A67,DeadRaw!AA:AA)</f>
        <v>0</v>
      </c>
      <c r="Y67">
        <f>SUMIF(DeadRaw!$B:$B,$A67,DeadRaw!AB:AB)</f>
        <v>0</v>
      </c>
      <c r="Z67">
        <f>SUMIF(DeadRaw!$B:$B,$A67,DeadRaw!AC:AC)</f>
        <v>0</v>
      </c>
      <c r="AA67">
        <f>SUMIF(DeadRaw!$B:$B,$A67,DeadRaw!AD:AD)</f>
        <v>0</v>
      </c>
      <c r="AB67">
        <f>SUMIF(DeadRaw!$B:$B,$A67,DeadRaw!AE:AE)</f>
        <v>0</v>
      </c>
      <c r="AC67">
        <f>SUMIF(DeadRaw!$B:$B,$A67,DeadRaw!AF:AF)</f>
        <v>0</v>
      </c>
      <c r="AD67">
        <f>SUMIF(DeadRaw!$B:$B,$A67,DeadRaw!AG:AG)</f>
        <v>0</v>
      </c>
      <c r="AE67">
        <f>SUMIF(DeadRaw!$B:$B,$A67,DeadRaw!AH:AH)</f>
        <v>0</v>
      </c>
      <c r="AF67">
        <f>SUMIF(DeadRaw!$B:$B,$A67,DeadRaw!AI:AI)</f>
        <v>0</v>
      </c>
      <c r="AG67">
        <f>SUMIF(DeadRaw!$B:$B,$A67,DeadRaw!AJ:AJ)</f>
        <v>0</v>
      </c>
      <c r="AH67">
        <f>SUMIF(DeadRaw!$B:$B,$A67,DeadRaw!AK:AK)</f>
        <v>0</v>
      </c>
      <c r="AI67">
        <f>SUMIF(DeadRaw!$B:$B,$A67,DeadRaw!AL:AL)</f>
        <v>0</v>
      </c>
      <c r="AJ67">
        <f>SUMIF(DeadRaw!$B:$B,$A67,DeadRaw!AM:AM)</f>
        <v>0</v>
      </c>
      <c r="AK67">
        <f>SUMIF(DeadRaw!$B:$B,$A67,DeadRaw!AN:AN)</f>
        <v>0</v>
      </c>
      <c r="AL67">
        <f>SUMIF(DeadRaw!$B:$B,$A67,DeadRaw!AO:AO)</f>
        <v>0</v>
      </c>
      <c r="AM67">
        <f>SUMIF(DeadRaw!$B:$B,$A67,DeadRaw!AP:AP)</f>
        <v>0</v>
      </c>
      <c r="AN67">
        <f>SUMIF(DeadRaw!$B:$B,$A67,DeadRaw!AQ:AQ)</f>
        <v>0</v>
      </c>
      <c r="AO67">
        <f>SUMIF(DeadRaw!$B:$B,$A67,DeadRaw!AR:AR)</f>
        <v>0</v>
      </c>
      <c r="AP67">
        <f>SUMIF(DeadRaw!$B:$B,$A67,DeadRaw!AS:AS)</f>
        <v>0</v>
      </c>
      <c r="AQ67">
        <f>SUMIF(DeadRaw!$B:$B,$A67,DeadRaw!AT:AT)</f>
        <v>0</v>
      </c>
      <c r="AR67">
        <f>SUMIF(DeadRaw!$B:$B,$A67,DeadRaw!AU:AU)</f>
        <v>0</v>
      </c>
      <c r="AS67">
        <f>SUMIF(DeadRaw!$B:$B,$A67,DeadRaw!AV:AV)</f>
        <v>0</v>
      </c>
      <c r="AT67">
        <f>SUMIF(DeadRaw!$B:$B,$A67,DeadRaw!AW:AW)</f>
        <v>0</v>
      </c>
      <c r="AU67">
        <f>SUMIF(DeadRaw!$B:$B,$A67,DeadRaw!AX:AX)</f>
        <v>0</v>
      </c>
      <c r="AV67">
        <f>SUMIF(DeadRaw!$B:$B,$A67,DeadRaw!AY:AY)</f>
        <v>0</v>
      </c>
      <c r="AW67">
        <f>SUMIF(DeadRaw!$B:$B,$A67,DeadRaw!AZ:AZ)</f>
        <v>0</v>
      </c>
      <c r="AX67">
        <f>SUMIF(DeadRaw!$B:$B,$A67,DeadRaw!BA:BA)</f>
        <v>0</v>
      </c>
      <c r="AY67">
        <f>SUMIF(DeadRaw!$B:$B,$A67,DeadRaw!BB:BB)</f>
        <v>1</v>
      </c>
      <c r="AZ67">
        <f>SUMIF(DeadRaw!$B:$B,$A67,DeadRaw!BC:BC)</f>
        <v>1</v>
      </c>
      <c r="BA67">
        <f>SUMIF(DeadRaw!$B:$B,$A67,DeadRaw!BD:BD)</f>
        <v>1</v>
      </c>
      <c r="BB67">
        <f>SUMIF(DeadRaw!$B:$B,$A67,DeadRaw!BE:BE)</f>
        <v>2</v>
      </c>
      <c r="BC67">
        <f>SUMIF(DeadRaw!$B:$B,$A67,DeadRaw!BF:BF)</f>
        <v>2</v>
      </c>
      <c r="BD67">
        <f>SUMIF(DeadRaw!$B:$B,$A67,DeadRaw!BG:BG)</f>
        <v>2</v>
      </c>
      <c r="BE67">
        <f>SUMIF(DeadRaw!$B:$B,$A67,DeadRaw!BH:BH)</f>
        <v>2</v>
      </c>
      <c r="BF67">
        <f>SUMIF(DeadRaw!$B:$B,$A67,DeadRaw!BI:BI)</f>
        <v>2</v>
      </c>
      <c r="BG67">
        <f>SUMIF(DeadRaw!$B:$B,$A67,DeadRaw!BJ:BJ)</f>
        <v>0</v>
      </c>
      <c r="BH67">
        <f>SUMIF(DeadRaw!$B:$B,$A67,DeadRaw!BK:BK)</f>
        <v>0</v>
      </c>
      <c r="BI67">
        <f>SUMIF(DeadRaw!$B:$B,$A67,DeadRaw!BL:BL)</f>
        <v>0</v>
      </c>
      <c r="BJ67">
        <f>SUMIF(DeadRaw!$B:$B,$A67,DeadRaw!BM:BM)</f>
        <v>0</v>
      </c>
      <c r="BK67">
        <f>SUMIF(DeadRaw!$B:$B,$A67,DeadRaw!BN:BN)</f>
        <v>0</v>
      </c>
      <c r="BL67">
        <f>SUMIF(DeadRaw!$B:$B,$A67,DeadRaw!BO:BO)</f>
        <v>0</v>
      </c>
      <c r="BM67">
        <f>SUMIF(DeadRaw!$B:$B,$A67,DeadRaw!BP:BP)</f>
        <v>0</v>
      </c>
      <c r="BN67">
        <f>SUMIF(DeadRaw!$B:$B,$A67,DeadRaw!BQ:BQ)</f>
        <v>0</v>
      </c>
      <c r="BO67">
        <f>SUMIF(DeadRaw!$B:$B,$A67,DeadRaw!BR:BR)</f>
        <v>0</v>
      </c>
      <c r="BP67">
        <f>SUMIF(DeadRaw!$B:$B,$A67,DeadRaw!BS:BS)</f>
        <v>0</v>
      </c>
      <c r="BQ67">
        <f>SUMIF(DeadRaw!$B:$B,$A67,DeadRaw!BT:BT)</f>
        <v>0</v>
      </c>
      <c r="BR67">
        <f>SUMIF(DeadRaw!$B:$B,$A67,DeadRaw!BU:BU)</f>
        <v>0</v>
      </c>
      <c r="BS67">
        <f>SUMIF(DeadRaw!$B:$B,$A67,DeadRaw!BV:BV)</f>
        <v>0</v>
      </c>
      <c r="BT67">
        <f>SUMIF(DeadRaw!$B:$B,$A67,DeadRaw!BW:BW)</f>
        <v>0</v>
      </c>
    </row>
    <row r="68" spans="1:72" ht="15" thickBot="1" x14ac:dyDescent="0.35">
      <c r="A68" s="3" t="s">
        <v>159</v>
      </c>
      <c r="B68">
        <f>SUMIF(DeadRaw!$B:$B,$A68,DeadRaw!E:E)</f>
        <v>0</v>
      </c>
      <c r="C68">
        <f>SUMIF(DeadRaw!$B:$B,$A68,DeadRaw!F:F)</f>
        <v>0</v>
      </c>
      <c r="D68">
        <f>SUMIF(DeadRaw!$B:$B,$A68,DeadRaw!G:G)</f>
        <v>0</v>
      </c>
      <c r="E68">
        <f>SUMIF(DeadRaw!$B:$B,$A68,DeadRaw!H:H)</f>
        <v>0</v>
      </c>
      <c r="F68">
        <f>SUMIF(DeadRaw!$B:$B,$A68,DeadRaw!I:I)</f>
        <v>0</v>
      </c>
      <c r="G68">
        <f>SUMIF(DeadRaw!$B:$B,$A68,DeadRaw!J:J)</f>
        <v>0</v>
      </c>
      <c r="H68">
        <f>SUMIF(DeadRaw!$B:$B,$A68,DeadRaw!K:K)</f>
        <v>0</v>
      </c>
      <c r="I68">
        <f>SUMIF(DeadRaw!$B:$B,$A68,DeadRaw!L:L)</f>
        <v>0</v>
      </c>
      <c r="J68">
        <f>SUMIF(DeadRaw!$B:$B,$A68,DeadRaw!M:M)</f>
        <v>0</v>
      </c>
      <c r="K68">
        <f>SUMIF(DeadRaw!$B:$B,$A68,DeadRaw!N:N)</f>
        <v>0</v>
      </c>
      <c r="L68">
        <f>SUMIF(DeadRaw!$B:$B,$A68,DeadRaw!O:O)</f>
        <v>0</v>
      </c>
      <c r="M68">
        <f>SUMIF(DeadRaw!$B:$B,$A68,DeadRaw!P:P)</f>
        <v>0</v>
      </c>
      <c r="N68">
        <f>SUMIF(DeadRaw!$B:$B,$A68,DeadRaw!Q:Q)</f>
        <v>0</v>
      </c>
      <c r="O68">
        <f>SUMIF(DeadRaw!$B:$B,$A68,DeadRaw!R:R)</f>
        <v>0</v>
      </c>
      <c r="P68">
        <f>SUMIF(DeadRaw!$B:$B,$A68,DeadRaw!S:S)</f>
        <v>0</v>
      </c>
      <c r="Q68">
        <f>SUMIF(DeadRaw!$B:$B,$A68,DeadRaw!T:T)</f>
        <v>0</v>
      </c>
      <c r="R68">
        <f>SUMIF(DeadRaw!$B:$B,$A68,DeadRaw!U:U)</f>
        <v>0</v>
      </c>
      <c r="S68">
        <f>SUMIF(DeadRaw!$B:$B,$A68,DeadRaw!V:V)</f>
        <v>0</v>
      </c>
      <c r="T68">
        <f>SUMIF(DeadRaw!$B:$B,$A68,DeadRaw!W:W)</f>
        <v>0</v>
      </c>
      <c r="U68">
        <f>SUMIF(DeadRaw!$B:$B,$A68,DeadRaw!X:X)</f>
        <v>0</v>
      </c>
      <c r="V68">
        <f>SUMIF(DeadRaw!$B:$B,$A68,DeadRaw!Y:Y)</f>
        <v>0</v>
      </c>
      <c r="W68">
        <f>SUMIF(DeadRaw!$B:$B,$A68,DeadRaw!Z:Z)</f>
        <v>0</v>
      </c>
      <c r="X68">
        <f>SUMIF(DeadRaw!$B:$B,$A68,DeadRaw!AA:AA)</f>
        <v>0</v>
      </c>
      <c r="Y68">
        <f>SUMIF(DeadRaw!$B:$B,$A68,DeadRaw!AB:AB)</f>
        <v>0</v>
      </c>
      <c r="Z68">
        <f>SUMIF(DeadRaw!$B:$B,$A68,DeadRaw!AC:AC)</f>
        <v>0</v>
      </c>
      <c r="AA68">
        <f>SUMIF(DeadRaw!$B:$B,$A68,DeadRaw!AD:AD)</f>
        <v>0</v>
      </c>
      <c r="AB68">
        <f>SUMIF(DeadRaw!$B:$B,$A68,DeadRaw!AE:AE)</f>
        <v>0</v>
      </c>
      <c r="AC68">
        <f>SUMIF(DeadRaw!$B:$B,$A68,DeadRaw!AF:AF)</f>
        <v>0</v>
      </c>
      <c r="AD68">
        <f>SUMIF(DeadRaw!$B:$B,$A68,DeadRaw!AG:AG)</f>
        <v>0</v>
      </c>
      <c r="AE68">
        <f>SUMIF(DeadRaw!$B:$B,$A68,DeadRaw!AH:AH)</f>
        <v>0</v>
      </c>
      <c r="AF68">
        <f>SUMIF(DeadRaw!$B:$B,$A68,DeadRaw!AI:AI)</f>
        <v>0</v>
      </c>
      <c r="AG68">
        <f>SUMIF(DeadRaw!$B:$B,$A68,DeadRaw!AJ:AJ)</f>
        <v>0</v>
      </c>
      <c r="AH68">
        <f>SUMIF(DeadRaw!$B:$B,$A68,DeadRaw!AK:AK)</f>
        <v>0</v>
      </c>
      <c r="AI68">
        <f>SUMIF(DeadRaw!$B:$B,$A68,DeadRaw!AL:AL)</f>
        <v>0</v>
      </c>
      <c r="AJ68">
        <f>SUMIF(DeadRaw!$B:$B,$A68,DeadRaw!AM:AM)</f>
        <v>0</v>
      </c>
      <c r="AK68">
        <f>SUMIF(DeadRaw!$B:$B,$A68,DeadRaw!AN:AN)</f>
        <v>0</v>
      </c>
      <c r="AL68">
        <f>SUMIF(DeadRaw!$B:$B,$A68,DeadRaw!AO:AO)</f>
        <v>0</v>
      </c>
      <c r="AM68">
        <f>SUMIF(DeadRaw!$B:$B,$A68,DeadRaw!AP:AP)</f>
        <v>0</v>
      </c>
      <c r="AN68">
        <f>SUMIF(DeadRaw!$B:$B,$A68,DeadRaw!AQ:AQ)</f>
        <v>0</v>
      </c>
      <c r="AO68">
        <f>SUMIF(DeadRaw!$B:$B,$A68,DeadRaw!AR:AR)</f>
        <v>0</v>
      </c>
      <c r="AP68">
        <f>SUMIF(DeadRaw!$B:$B,$A68,DeadRaw!AS:AS)</f>
        <v>0</v>
      </c>
      <c r="AQ68">
        <f>SUMIF(DeadRaw!$B:$B,$A68,DeadRaw!AT:AT)</f>
        <v>0</v>
      </c>
      <c r="AR68">
        <f>SUMIF(DeadRaw!$B:$B,$A68,DeadRaw!AU:AU)</f>
        <v>0</v>
      </c>
      <c r="AS68">
        <f>SUMIF(DeadRaw!$B:$B,$A68,DeadRaw!AV:AV)</f>
        <v>0</v>
      </c>
      <c r="AT68">
        <f>SUMIF(DeadRaw!$B:$B,$A68,DeadRaw!AW:AW)</f>
        <v>0</v>
      </c>
      <c r="AU68">
        <f>SUMIF(DeadRaw!$B:$B,$A68,DeadRaw!AX:AX)</f>
        <v>0</v>
      </c>
      <c r="AV68">
        <f>SUMIF(DeadRaw!$B:$B,$A68,DeadRaw!AY:AY)</f>
        <v>0</v>
      </c>
      <c r="AW68">
        <f>SUMIF(DeadRaw!$B:$B,$A68,DeadRaw!AZ:AZ)</f>
        <v>0</v>
      </c>
      <c r="AX68">
        <f>SUMIF(DeadRaw!$B:$B,$A68,DeadRaw!BA:BA)</f>
        <v>0</v>
      </c>
      <c r="AY68">
        <f>SUMIF(DeadRaw!$B:$B,$A68,DeadRaw!BB:BB)</f>
        <v>0</v>
      </c>
      <c r="AZ68">
        <f>SUMIF(DeadRaw!$B:$B,$A68,DeadRaw!BC:BC)</f>
        <v>0</v>
      </c>
      <c r="BA68">
        <f>SUMIF(DeadRaw!$B:$B,$A68,DeadRaw!BD:BD)</f>
        <v>0</v>
      </c>
      <c r="BB68">
        <f>SUMIF(DeadRaw!$B:$B,$A68,DeadRaw!BE:BE)</f>
        <v>0</v>
      </c>
      <c r="BC68">
        <f>SUMIF(DeadRaw!$B:$B,$A68,DeadRaw!BF:BF)</f>
        <v>0</v>
      </c>
      <c r="BD68">
        <f>SUMIF(DeadRaw!$B:$B,$A68,DeadRaw!BG:BG)</f>
        <v>0</v>
      </c>
      <c r="BE68">
        <f>SUMIF(DeadRaw!$B:$B,$A68,DeadRaw!BH:BH)</f>
        <v>0</v>
      </c>
      <c r="BF68">
        <f>SUMIF(DeadRaw!$B:$B,$A68,DeadRaw!BI:BI)</f>
        <v>0</v>
      </c>
      <c r="BG68">
        <f>SUMIF(DeadRaw!$B:$B,$A68,DeadRaw!BJ:BJ)</f>
        <v>0</v>
      </c>
      <c r="BH68">
        <f>SUMIF(DeadRaw!$B:$B,$A68,DeadRaw!BK:BK)</f>
        <v>0</v>
      </c>
      <c r="BI68">
        <f>SUMIF(DeadRaw!$B:$B,$A68,DeadRaw!BL:BL)</f>
        <v>0</v>
      </c>
      <c r="BJ68">
        <f>SUMIF(DeadRaw!$B:$B,$A68,DeadRaw!BM:BM)</f>
        <v>0</v>
      </c>
      <c r="BK68">
        <f>SUMIF(DeadRaw!$B:$B,$A68,DeadRaw!BN:BN)</f>
        <v>0</v>
      </c>
      <c r="BL68">
        <f>SUMIF(DeadRaw!$B:$B,$A68,DeadRaw!BO:BO)</f>
        <v>0</v>
      </c>
      <c r="BM68">
        <f>SUMIF(DeadRaw!$B:$B,$A68,DeadRaw!BP:BP)</f>
        <v>0</v>
      </c>
      <c r="BN68">
        <f>SUMIF(DeadRaw!$B:$B,$A68,DeadRaw!BQ:BQ)</f>
        <v>0</v>
      </c>
      <c r="BO68">
        <f>SUMIF(DeadRaw!$B:$B,$A68,DeadRaw!BR:BR)</f>
        <v>0</v>
      </c>
      <c r="BP68">
        <f>SUMIF(DeadRaw!$B:$B,$A68,DeadRaw!BS:BS)</f>
        <v>0</v>
      </c>
      <c r="BQ68">
        <f>SUMIF(DeadRaw!$B:$B,$A68,DeadRaw!BT:BT)</f>
        <v>0</v>
      </c>
      <c r="BR68">
        <f>SUMIF(DeadRaw!$B:$B,$A68,DeadRaw!BU:BU)</f>
        <v>0</v>
      </c>
      <c r="BS68">
        <f>SUMIF(DeadRaw!$B:$B,$A68,DeadRaw!BV:BV)</f>
        <v>0</v>
      </c>
      <c r="BT68">
        <f>SUMIF(DeadRaw!$B:$B,$A68,DeadRaw!BW:BW)</f>
        <v>0</v>
      </c>
    </row>
    <row r="69" spans="1:72" ht="15" thickBot="1" x14ac:dyDescent="0.35">
      <c r="A69" s="4" t="s">
        <v>132</v>
      </c>
      <c r="B69">
        <f>SUMIF(DeadRaw!$B:$B,$A69,DeadRaw!E:E)</f>
        <v>0</v>
      </c>
      <c r="C69">
        <f>SUMIF(DeadRaw!$B:$B,$A69,DeadRaw!F:F)</f>
        <v>0</v>
      </c>
      <c r="D69">
        <f>SUMIF(DeadRaw!$B:$B,$A69,DeadRaw!G:G)</f>
        <v>0</v>
      </c>
      <c r="E69">
        <f>SUMIF(DeadRaw!$B:$B,$A69,DeadRaw!H:H)</f>
        <v>0</v>
      </c>
      <c r="F69">
        <f>SUMIF(DeadRaw!$B:$B,$A69,DeadRaw!I:I)</f>
        <v>0</v>
      </c>
      <c r="G69">
        <f>SUMIF(DeadRaw!$B:$B,$A69,DeadRaw!J:J)</f>
        <v>0</v>
      </c>
      <c r="H69">
        <f>SUMIF(DeadRaw!$B:$B,$A69,DeadRaw!K:K)</f>
        <v>0</v>
      </c>
      <c r="I69">
        <f>SUMIF(DeadRaw!$B:$B,$A69,DeadRaw!L:L)</f>
        <v>0</v>
      </c>
      <c r="J69">
        <f>SUMIF(DeadRaw!$B:$B,$A69,DeadRaw!M:M)</f>
        <v>0</v>
      </c>
      <c r="K69">
        <f>SUMIF(DeadRaw!$B:$B,$A69,DeadRaw!N:N)</f>
        <v>0</v>
      </c>
      <c r="L69">
        <f>SUMIF(DeadRaw!$B:$B,$A69,DeadRaw!O:O)</f>
        <v>0</v>
      </c>
      <c r="M69">
        <f>SUMIF(DeadRaw!$B:$B,$A69,DeadRaw!P:P)</f>
        <v>0</v>
      </c>
      <c r="N69">
        <f>SUMIF(DeadRaw!$B:$B,$A69,DeadRaw!Q:Q)</f>
        <v>0</v>
      </c>
      <c r="O69">
        <f>SUMIF(DeadRaw!$B:$B,$A69,DeadRaw!R:R)</f>
        <v>0</v>
      </c>
      <c r="P69">
        <f>SUMIF(DeadRaw!$B:$B,$A69,DeadRaw!S:S)</f>
        <v>0</v>
      </c>
      <c r="Q69">
        <f>SUMIF(DeadRaw!$B:$B,$A69,DeadRaw!T:T)</f>
        <v>0</v>
      </c>
      <c r="R69">
        <f>SUMIF(DeadRaw!$B:$B,$A69,DeadRaw!U:U)</f>
        <v>0</v>
      </c>
      <c r="S69">
        <f>SUMIF(DeadRaw!$B:$B,$A69,DeadRaw!V:V)</f>
        <v>0</v>
      </c>
      <c r="T69">
        <f>SUMIF(DeadRaw!$B:$B,$A69,DeadRaw!W:W)</f>
        <v>0</v>
      </c>
      <c r="U69">
        <f>SUMIF(DeadRaw!$B:$B,$A69,DeadRaw!X:X)</f>
        <v>0</v>
      </c>
      <c r="V69">
        <f>SUMIF(DeadRaw!$B:$B,$A69,DeadRaw!Y:Y)</f>
        <v>0</v>
      </c>
      <c r="W69">
        <f>SUMIF(DeadRaw!$B:$B,$A69,DeadRaw!Z:Z)</f>
        <v>0</v>
      </c>
      <c r="X69">
        <f>SUMIF(DeadRaw!$B:$B,$A69,DeadRaw!AA:AA)</f>
        <v>0</v>
      </c>
      <c r="Y69">
        <f>SUMIF(DeadRaw!$B:$B,$A69,DeadRaw!AB:AB)</f>
        <v>0</v>
      </c>
      <c r="Z69">
        <f>SUMIF(DeadRaw!$B:$B,$A69,DeadRaw!AC:AC)</f>
        <v>0</v>
      </c>
      <c r="AA69">
        <f>SUMIF(DeadRaw!$B:$B,$A69,DeadRaw!AD:AD)</f>
        <v>0</v>
      </c>
      <c r="AB69">
        <f>SUMIF(DeadRaw!$B:$B,$A69,DeadRaw!AE:AE)</f>
        <v>0</v>
      </c>
      <c r="AC69">
        <f>SUMIF(DeadRaw!$B:$B,$A69,DeadRaw!AF:AF)</f>
        <v>0</v>
      </c>
      <c r="AD69">
        <f>SUMIF(DeadRaw!$B:$B,$A69,DeadRaw!AG:AG)</f>
        <v>0</v>
      </c>
      <c r="AE69">
        <f>SUMIF(DeadRaw!$B:$B,$A69,DeadRaw!AH:AH)</f>
        <v>0</v>
      </c>
      <c r="AF69">
        <f>SUMIF(DeadRaw!$B:$B,$A69,DeadRaw!AI:AI)</f>
        <v>0</v>
      </c>
      <c r="AG69">
        <f>SUMIF(DeadRaw!$B:$B,$A69,DeadRaw!AJ:AJ)</f>
        <v>0</v>
      </c>
      <c r="AH69">
        <f>SUMIF(DeadRaw!$B:$B,$A69,DeadRaw!AK:AK)</f>
        <v>0</v>
      </c>
      <c r="AI69">
        <f>SUMIF(DeadRaw!$B:$B,$A69,DeadRaw!AL:AL)</f>
        <v>0</v>
      </c>
      <c r="AJ69">
        <f>SUMIF(DeadRaw!$B:$B,$A69,DeadRaw!AM:AM)</f>
        <v>0</v>
      </c>
      <c r="AK69">
        <f>SUMIF(DeadRaw!$B:$B,$A69,DeadRaw!AN:AN)</f>
        <v>0</v>
      </c>
      <c r="AL69">
        <f>SUMIF(DeadRaw!$B:$B,$A69,DeadRaw!AO:AO)</f>
        <v>0</v>
      </c>
      <c r="AM69">
        <f>SUMIF(DeadRaw!$B:$B,$A69,DeadRaw!AP:AP)</f>
        <v>0</v>
      </c>
      <c r="AN69">
        <f>SUMIF(DeadRaw!$B:$B,$A69,DeadRaw!AQ:AQ)</f>
        <v>0</v>
      </c>
      <c r="AO69">
        <f>SUMIF(DeadRaw!$B:$B,$A69,DeadRaw!AR:AR)</f>
        <v>0</v>
      </c>
      <c r="AP69">
        <f>SUMIF(DeadRaw!$B:$B,$A69,DeadRaw!AS:AS)</f>
        <v>0</v>
      </c>
      <c r="AQ69">
        <f>SUMIF(DeadRaw!$B:$B,$A69,DeadRaw!AT:AT)</f>
        <v>0</v>
      </c>
      <c r="AR69">
        <f>SUMIF(DeadRaw!$B:$B,$A69,DeadRaw!AU:AU)</f>
        <v>0</v>
      </c>
      <c r="AS69">
        <f>SUMIF(DeadRaw!$B:$B,$A69,DeadRaw!AV:AV)</f>
        <v>0</v>
      </c>
      <c r="AT69">
        <f>SUMIF(DeadRaw!$B:$B,$A69,DeadRaw!AW:AW)</f>
        <v>0</v>
      </c>
      <c r="AU69">
        <f>SUMIF(DeadRaw!$B:$B,$A69,DeadRaw!AX:AX)</f>
        <v>0</v>
      </c>
      <c r="AV69">
        <f>SUMIF(DeadRaw!$B:$B,$A69,DeadRaw!AY:AY)</f>
        <v>0</v>
      </c>
      <c r="AW69">
        <f>SUMIF(DeadRaw!$B:$B,$A69,DeadRaw!AZ:AZ)</f>
        <v>0</v>
      </c>
      <c r="AX69">
        <f>SUMIF(DeadRaw!$B:$B,$A69,DeadRaw!BA:BA)</f>
        <v>0</v>
      </c>
      <c r="AY69">
        <f>SUMIF(DeadRaw!$B:$B,$A69,DeadRaw!BB:BB)</f>
        <v>0</v>
      </c>
      <c r="AZ69">
        <f>SUMIF(DeadRaw!$B:$B,$A69,DeadRaw!BC:BC)</f>
        <v>0</v>
      </c>
      <c r="BA69">
        <f>SUMIF(DeadRaw!$B:$B,$A69,DeadRaw!BD:BD)</f>
        <v>0</v>
      </c>
      <c r="BB69">
        <f>SUMIF(DeadRaw!$B:$B,$A69,DeadRaw!BE:BE)</f>
        <v>0</v>
      </c>
      <c r="BC69">
        <f>SUMIF(DeadRaw!$B:$B,$A69,DeadRaw!BF:BF)</f>
        <v>1</v>
      </c>
      <c r="BD69">
        <f>SUMIF(DeadRaw!$B:$B,$A69,DeadRaw!BG:BG)</f>
        <v>1</v>
      </c>
      <c r="BE69">
        <f>SUMIF(DeadRaw!$B:$B,$A69,DeadRaw!BH:BH)</f>
        <v>1</v>
      </c>
      <c r="BF69">
        <f>SUMIF(DeadRaw!$B:$B,$A69,DeadRaw!BI:BI)</f>
        <v>1</v>
      </c>
      <c r="BG69">
        <f>SUMIF(DeadRaw!$B:$B,$A69,DeadRaw!BJ:BJ)</f>
        <v>0</v>
      </c>
      <c r="BH69">
        <f>SUMIF(DeadRaw!$B:$B,$A69,DeadRaw!BK:BK)</f>
        <v>0</v>
      </c>
      <c r="BI69">
        <f>SUMIF(DeadRaw!$B:$B,$A69,DeadRaw!BL:BL)</f>
        <v>0</v>
      </c>
      <c r="BJ69">
        <f>SUMIF(DeadRaw!$B:$B,$A69,DeadRaw!BM:BM)</f>
        <v>0</v>
      </c>
      <c r="BK69">
        <f>SUMIF(DeadRaw!$B:$B,$A69,DeadRaw!BN:BN)</f>
        <v>0</v>
      </c>
      <c r="BL69">
        <f>SUMIF(DeadRaw!$B:$B,$A69,DeadRaw!BO:BO)</f>
        <v>0</v>
      </c>
      <c r="BM69">
        <f>SUMIF(DeadRaw!$B:$B,$A69,DeadRaw!BP:BP)</f>
        <v>0</v>
      </c>
      <c r="BN69">
        <f>SUMIF(DeadRaw!$B:$B,$A69,DeadRaw!BQ:BQ)</f>
        <v>0</v>
      </c>
      <c r="BO69">
        <f>SUMIF(DeadRaw!$B:$B,$A69,DeadRaw!BR:BR)</f>
        <v>0</v>
      </c>
      <c r="BP69">
        <f>SUMIF(DeadRaw!$B:$B,$A69,DeadRaw!BS:BS)</f>
        <v>0</v>
      </c>
      <c r="BQ69">
        <f>SUMIF(DeadRaw!$B:$B,$A69,DeadRaw!BT:BT)</f>
        <v>0</v>
      </c>
      <c r="BR69">
        <f>SUMIF(DeadRaw!$B:$B,$A69,DeadRaw!BU:BU)</f>
        <v>0</v>
      </c>
      <c r="BS69">
        <f>SUMIF(DeadRaw!$B:$B,$A69,DeadRaw!BV:BV)</f>
        <v>0</v>
      </c>
      <c r="BT69">
        <f>SUMIF(DeadRaw!$B:$B,$A69,DeadRaw!BW:BW)</f>
        <v>0</v>
      </c>
    </row>
    <row r="70" spans="1:72" ht="15" thickBot="1" x14ac:dyDescent="0.35">
      <c r="A70" s="4" t="s">
        <v>71</v>
      </c>
      <c r="B70">
        <f>SUMIF(DeadRaw!$B:$B,$A70,DeadRaw!E:E)</f>
        <v>0</v>
      </c>
      <c r="C70">
        <f>SUMIF(DeadRaw!$B:$B,$A70,DeadRaw!F:F)</f>
        <v>0</v>
      </c>
      <c r="D70">
        <f>SUMIF(DeadRaw!$B:$B,$A70,DeadRaw!G:G)</f>
        <v>0</v>
      </c>
      <c r="E70">
        <f>SUMIF(DeadRaw!$B:$B,$A70,DeadRaw!H:H)</f>
        <v>0</v>
      </c>
      <c r="F70">
        <f>SUMIF(DeadRaw!$B:$B,$A70,DeadRaw!I:I)</f>
        <v>0</v>
      </c>
      <c r="G70">
        <f>SUMIF(DeadRaw!$B:$B,$A70,DeadRaw!J:J)</f>
        <v>0</v>
      </c>
      <c r="H70">
        <f>SUMIF(DeadRaw!$B:$B,$A70,DeadRaw!K:K)</f>
        <v>0</v>
      </c>
      <c r="I70">
        <f>SUMIF(DeadRaw!$B:$B,$A70,DeadRaw!L:L)</f>
        <v>0</v>
      </c>
      <c r="J70">
        <f>SUMIF(DeadRaw!$B:$B,$A70,DeadRaw!M:M)</f>
        <v>0</v>
      </c>
      <c r="K70">
        <f>SUMIF(DeadRaw!$B:$B,$A70,DeadRaw!N:N)</f>
        <v>0</v>
      </c>
      <c r="L70">
        <f>SUMIF(DeadRaw!$B:$B,$A70,DeadRaw!O:O)</f>
        <v>0</v>
      </c>
      <c r="M70">
        <f>SUMIF(DeadRaw!$B:$B,$A70,DeadRaw!P:P)</f>
        <v>0</v>
      </c>
      <c r="N70">
        <f>SUMIF(DeadRaw!$B:$B,$A70,DeadRaw!Q:Q)</f>
        <v>0</v>
      </c>
      <c r="O70">
        <f>SUMIF(DeadRaw!$B:$B,$A70,DeadRaw!R:R)</f>
        <v>0</v>
      </c>
      <c r="P70">
        <f>SUMIF(DeadRaw!$B:$B,$A70,DeadRaw!S:S)</f>
        <v>0</v>
      </c>
      <c r="Q70">
        <f>SUMIF(DeadRaw!$B:$B,$A70,DeadRaw!T:T)</f>
        <v>0</v>
      </c>
      <c r="R70">
        <f>SUMIF(DeadRaw!$B:$B,$A70,DeadRaw!U:U)</f>
        <v>0</v>
      </c>
      <c r="S70">
        <f>SUMIF(DeadRaw!$B:$B,$A70,DeadRaw!V:V)</f>
        <v>0</v>
      </c>
      <c r="T70">
        <f>SUMIF(DeadRaw!$B:$B,$A70,DeadRaw!W:W)</f>
        <v>0</v>
      </c>
      <c r="U70">
        <f>SUMIF(DeadRaw!$B:$B,$A70,DeadRaw!X:X)</f>
        <v>0</v>
      </c>
      <c r="V70">
        <f>SUMIF(DeadRaw!$B:$B,$A70,DeadRaw!Y:Y)</f>
        <v>0</v>
      </c>
      <c r="W70">
        <f>SUMIF(DeadRaw!$B:$B,$A70,DeadRaw!Z:Z)</f>
        <v>0</v>
      </c>
      <c r="X70">
        <f>SUMIF(DeadRaw!$B:$B,$A70,DeadRaw!AA:AA)</f>
        <v>0</v>
      </c>
      <c r="Y70">
        <f>SUMIF(DeadRaw!$B:$B,$A70,DeadRaw!AB:AB)</f>
        <v>0</v>
      </c>
      <c r="Z70">
        <f>SUMIF(DeadRaw!$B:$B,$A70,DeadRaw!AC:AC)</f>
        <v>0</v>
      </c>
      <c r="AA70">
        <f>SUMIF(DeadRaw!$B:$B,$A70,DeadRaw!AD:AD)</f>
        <v>0</v>
      </c>
      <c r="AB70">
        <f>SUMIF(DeadRaw!$B:$B,$A70,DeadRaw!AE:AE)</f>
        <v>0</v>
      </c>
      <c r="AC70">
        <f>SUMIF(DeadRaw!$B:$B,$A70,DeadRaw!AF:AF)</f>
        <v>0</v>
      </c>
      <c r="AD70">
        <f>SUMIF(DeadRaw!$B:$B,$A70,DeadRaw!AG:AG)</f>
        <v>0</v>
      </c>
      <c r="AE70">
        <f>SUMIF(DeadRaw!$B:$B,$A70,DeadRaw!AH:AH)</f>
        <v>0</v>
      </c>
      <c r="AF70">
        <f>SUMIF(DeadRaw!$B:$B,$A70,DeadRaw!AI:AI)</f>
        <v>0</v>
      </c>
      <c r="AG70">
        <f>SUMIF(DeadRaw!$B:$B,$A70,DeadRaw!AJ:AJ)</f>
        <v>0</v>
      </c>
      <c r="AH70">
        <f>SUMIF(DeadRaw!$B:$B,$A70,DeadRaw!AK:AK)</f>
        <v>0</v>
      </c>
      <c r="AI70">
        <f>SUMIF(DeadRaw!$B:$B,$A70,DeadRaw!AL:AL)</f>
        <v>0</v>
      </c>
      <c r="AJ70">
        <f>SUMIF(DeadRaw!$B:$B,$A70,DeadRaw!AM:AM)</f>
        <v>0</v>
      </c>
      <c r="AK70">
        <f>SUMIF(DeadRaw!$B:$B,$A70,DeadRaw!AN:AN)</f>
        <v>0</v>
      </c>
      <c r="AL70">
        <f>SUMIF(DeadRaw!$B:$B,$A70,DeadRaw!AO:AO)</f>
        <v>0</v>
      </c>
      <c r="AM70">
        <f>SUMIF(DeadRaw!$B:$B,$A70,DeadRaw!AP:AP)</f>
        <v>0</v>
      </c>
      <c r="AN70">
        <f>SUMIF(DeadRaw!$B:$B,$A70,DeadRaw!AQ:AQ)</f>
        <v>0</v>
      </c>
      <c r="AO70">
        <f>SUMIF(DeadRaw!$B:$B,$A70,DeadRaw!AR:AR)</f>
        <v>0</v>
      </c>
      <c r="AP70">
        <f>SUMIF(DeadRaw!$B:$B,$A70,DeadRaw!AS:AS)</f>
        <v>0</v>
      </c>
      <c r="AQ70">
        <f>SUMIF(DeadRaw!$B:$B,$A70,DeadRaw!AT:AT)</f>
        <v>0</v>
      </c>
      <c r="AR70">
        <f>SUMIF(DeadRaw!$B:$B,$A70,DeadRaw!AU:AU)</f>
        <v>0</v>
      </c>
      <c r="AS70">
        <f>SUMIF(DeadRaw!$B:$B,$A70,DeadRaw!AV:AV)</f>
        <v>0</v>
      </c>
      <c r="AT70">
        <f>SUMIF(DeadRaw!$B:$B,$A70,DeadRaw!AW:AW)</f>
        <v>0</v>
      </c>
      <c r="AU70">
        <f>SUMIF(DeadRaw!$B:$B,$A70,DeadRaw!AX:AX)</f>
        <v>0</v>
      </c>
      <c r="AV70">
        <f>SUMIF(DeadRaw!$B:$B,$A70,DeadRaw!AY:AY)</f>
        <v>0</v>
      </c>
      <c r="AW70">
        <f>SUMIF(DeadRaw!$B:$B,$A70,DeadRaw!AZ:AZ)</f>
        <v>0</v>
      </c>
      <c r="AX70">
        <f>SUMIF(DeadRaw!$B:$B,$A70,DeadRaw!BA:BA)</f>
        <v>0</v>
      </c>
      <c r="AY70">
        <f>SUMIF(DeadRaw!$B:$B,$A70,DeadRaw!BB:BB)</f>
        <v>0</v>
      </c>
      <c r="AZ70">
        <f>SUMIF(DeadRaw!$B:$B,$A70,DeadRaw!BC:BC)</f>
        <v>0</v>
      </c>
      <c r="BA70">
        <f>SUMIF(DeadRaw!$B:$B,$A70,DeadRaw!BD:BD)</f>
        <v>0</v>
      </c>
      <c r="BB70">
        <f>SUMIF(DeadRaw!$B:$B,$A70,DeadRaw!BE:BE)</f>
        <v>0</v>
      </c>
      <c r="BC70">
        <f>SUMIF(DeadRaw!$B:$B,$A70,DeadRaw!BF:BF)</f>
        <v>0</v>
      </c>
      <c r="BD70">
        <f>SUMIF(DeadRaw!$B:$B,$A70,DeadRaw!BG:BG)</f>
        <v>0</v>
      </c>
      <c r="BE70">
        <f>SUMIF(DeadRaw!$B:$B,$A70,DeadRaw!BH:BH)</f>
        <v>0</v>
      </c>
      <c r="BF70">
        <f>SUMIF(DeadRaw!$B:$B,$A70,DeadRaw!BI:BI)</f>
        <v>0</v>
      </c>
      <c r="BG70">
        <f>SUMIF(DeadRaw!$B:$B,$A70,DeadRaw!BJ:BJ)</f>
        <v>0</v>
      </c>
      <c r="BH70">
        <f>SUMIF(DeadRaw!$B:$B,$A70,DeadRaw!BK:BK)</f>
        <v>0</v>
      </c>
      <c r="BI70">
        <f>SUMIF(DeadRaw!$B:$B,$A70,DeadRaw!BL:BL)</f>
        <v>0</v>
      </c>
      <c r="BJ70">
        <f>SUMIF(DeadRaw!$B:$B,$A70,DeadRaw!BM:BM)</f>
        <v>0</v>
      </c>
      <c r="BK70">
        <f>SUMIF(DeadRaw!$B:$B,$A70,DeadRaw!BN:BN)</f>
        <v>0</v>
      </c>
      <c r="BL70">
        <f>SUMIF(DeadRaw!$B:$B,$A70,DeadRaw!BO:BO)</f>
        <v>0</v>
      </c>
      <c r="BM70">
        <f>SUMIF(DeadRaw!$B:$B,$A70,DeadRaw!BP:BP)</f>
        <v>0</v>
      </c>
      <c r="BN70">
        <f>SUMIF(DeadRaw!$B:$B,$A70,DeadRaw!BQ:BQ)</f>
        <v>0</v>
      </c>
      <c r="BO70">
        <f>SUMIF(DeadRaw!$B:$B,$A70,DeadRaw!BR:BR)</f>
        <v>0</v>
      </c>
      <c r="BP70">
        <f>SUMIF(DeadRaw!$B:$B,$A70,DeadRaw!BS:BS)</f>
        <v>0</v>
      </c>
      <c r="BQ70">
        <f>SUMIF(DeadRaw!$B:$B,$A70,DeadRaw!BT:BT)</f>
        <v>0</v>
      </c>
      <c r="BR70">
        <f>SUMIF(DeadRaw!$B:$B,$A70,DeadRaw!BU:BU)</f>
        <v>0</v>
      </c>
      <c r="BS70">
        <f>SUMIF(DeadRaw!$B:$B,$A70,DeadRaw!BV:BV)</f>
        <v>0</v>
      </c>
      <c r="BT70">
        <f>SUMIF(DeadRaw!$B:$B,$A70,DeadRaw!BW:BW)</f>
        <v>0</v>
      </c>
    </row>
    <row r="71" spans="1:72" ht="15" thickBot="1" x14ac:dyDescent="0.35">
      <c r="A71" s="4" t="s">
        <v>103</v>
      </c>
      <c r="B71">
        <f>SUMIF(DeadRaw!$B:$B,$A71,DeadRaw!E:E)</f>
        <v>0</v>
      </c>
      <c r="C71">
        <f>SUMIF(DeadRaw!$B:$B,$A71,DeadRaw!F:F)</f>
        <v>0</v>
      </c>
      <c r="D71">
        <f>SUMIF(DeadRaw!$B:$B,$A71,DeadRaw!G:G)</f>
        <v>0</v>
      </c>
      <c r="E71">
        <f>SUMIF(DeadRaw!$B:$B,$A71,DeadRaw!H:H)</f>
        <v>0</v>
      </c>
      <c r="F71">
        <f>SUMIF(DeadRaw!$B:$B,$A71,DeadRaw!I:I)</f>
        <v>0</v>
      </c>
      <c r="G71">
        <f>SUMIF(DeadRaw!$B:$B,$A71,DeadRaw!J:J)</f>
        <v>0</v>
      </c>
      <c r="H71">
        <f>SUMIF(DeadRaw!$B:$B,$A71,DeadRaw!K:K)</f>
        <v>0</v>
      </c>
      <c r="I71">
        <f>SUMIF(DeadRaw!$B:$B,$A71,DeadRaw!L:L)</f>
        <v>0</v>
      </c>
      <c r="J71">
        <f>SUMIF(DeadRaw!$B:$B,$A71,DeadRaw!M:M)</f>
        <v>0</v>
      </c>
      <c r="K71">
        <f>SUMIF(DeadRaw!$B:$B,$A71,DeadRaw!N:N)</f>
        <v>0</v>
      </c>
      <c r="L71">
        <f>SUMIF(DeadRaw!$B:$B,$A71,DeadRaw!O:O)</f>
        <v>0</v>
      </c>
      <c r="M71">
        <f>SUMIF(DeadRaw!$B:$B,$A71,DeadRaw!P:P)</f>
        <v>0</v>
      </c>
      <c r="N71">
        <f>SUMIF(DeadRaw!$B:$B,$A71,DeadRaw!Q:Q)</f>
        <v>0</v>
      </c>
      <c r="O71">
        <f>SUMIF(DeadRaw!$B:$B,$A71,DeadRaw!R:R)</f>
        <v>0</v>
      </c>
      <c r="P71">
        <f>SUMIF(DeadRaw!$B:$B,$A71,DeadRaw!S:S)</f>
        <v>0</v>
      </c>
      <c r="Q71">
        <f>SUMIF(DeadRaw!$B:$B,$A71,DeadRaw!T:T)</f>
        <v>0</v>
      </c>
      <c r="R71">
        <f>SUMIF(DeadRaw!$B:$B,$A71,DeadRaw!U:U)</f>
        <v>0</v>
      </c>
      <c r="S71">
        <f>SUMIF(DeadRaw!$B:$B,$A71,DeadRaw!V:V)</f>
        <v>0</v>
      </c>
      <c r="T71">
        <f>SUMIF(DeadRaw!$B:$B,$A71,DeadRaw!W:W)</f>
        <v>0</v>
      </c>
      <c r="U71">
        <f>SUMIF(DeadRaw!$B:$B,$A71,DeadRaw!X:X)</f>
        <v>0</v>
      </c>
      <c r="V71">
        <f>SUMIF(DeadRaw!$B:$B,$A71,DeadRaw!Y:Y)</f>
        <v>0</v>
      </c>
      <c r="W71">
        <f>SUMIF(DeadRaw!$B:$B,$A71,DeadRaw!Z:Z)</f>
        <v>0</v>
      </c>
      <c r="X71">
        <f>SUMIF(DeadRaw!$B:$B,$A71,DeadRaw!AA:AA)</f>
        <v>0</v>
      </c>
      <c r="Y71">
        <f>SUMIF(DeadRaw!$B:$B,$A71,DeadRaw!AB:AB)</f>
        <v>0</v>
      </c>
      <c r="Z71">
        <f>SUMIF(DeadRaw!$B:$B,$A71,DeadRaw!AC:AC)</f>
        <v>0</v>
      </c>
      <c r="AA71">
        <f>SUMIF(DeadRaw!$B:$B,$A71,DeadRaw!AD:AD)</f>
        <v>0</v>
      </c>
      <c r="AB71">
        <f>SUMIF(DeadRaw!$B:$B,$A71,DeadRaw!AE:AE)</f>
        <v>0</v>
      </c>
      <c r="AC71">
        <f>SUMIF(DeadRaw!$B:$B,$A71,DeadRaw!AF:AF)</f>
        <v>0</v>
      </c>
      <c r="AD71">
        <f>SUMIF(DeadRaw!$B:$B,$A71,DeadRaw!AG:AG)</f>
        <v>0</v>
      </c>
      <c r="AE71">
        <f>SUMIF(DeadRaw!$B:$B,$A71,DeadRaw!AH:AH)</f>
        <v>0</v>
      </c>
      <c r="AF71">
        <f>SUMIF(DeadRaw!$B:$B,$A71,DeadRaw!AI:AI)</f>
        <v>0</v>
      </c>
      <c r="AG71">
        <f>SUMIF(DeadRaw!$B:$B,$A71,DeadRaw!AJ:AJ)</f>
        <v>0</v>
      </c>
      <c r="AH71">
        <f>SUMIF(DeadRaw!$B:$B,$A71,DeadRaw!AK:AK)</f>
        <v>0</v>
      </c>
      <c r="AI71">
        <f>SUMIF(DeadRaw!$B:$B,$A71,DeadRaw!AL:AL)</f>
        <v>0</v>
      </c>
      <c r="AJ71">
        <f>SUMIF(DeadRaw!$B:$B,$A71,DeadRaw!AM:AM)</f>
        <v>0</v>
      </c>
      <c r="AK71">
        <f>SUMIF(DeadRaw!$B:$B,$A71,DeadRaw!AN:AN)</f>
        <v>0</v>
      </c>
      <c r="AL71">
        <f>SUMIF(DeadRaw!$B:$B,$A71,DeadRaw!AO:AO)</f>
        <v>0</v>
      </c>
      <c r="AM71">
        <f>SUMIF(DeadRaw!$B:$B,$A71,DeadRaw!AP:AP)</f>
        <v>0</v>
      </c>
      <c r="AN71">
        <f>SUMIF(DeadRaw!$B:$B,$A71,DeadRaw!AQ:AQ)</f>
        <v>0</v>
      </c>
      <c r="AO71">
        <f>SUMIF(DeadRaw!$B:$B,$A71,DeadRaw!AR:AR)</f>
        <v>0</v>
      </c>
      <c r="AP71">
        <f>SUMIF(DeadRaw!$B:$B,$A71,DeadRaw!AS:AS)</f>
        <v>0</v>
      </c>
      <c r="AQ71">
        <f>SUMIF(DeadRaw!$B:$B,$A71,DeadRaw!AT:AT)</f>
        <v>0</v>
      </c>
      <c r="AR71">
        <f>SUMIF(DeadRaw!$B:$B,$A71,DeadRaw!AU:AU)</f>
        <v>0</v>
      </c>
      <c r="AS71">
        <f>SUMIF(DeadRaw!$B:$B,$A71,DeadRaw!AV:AV)</f>
        <v>0</v>
      </c>
      <c r="AT71">
        <f>SUMIF(DeadRaw!$B:$B,$A71,DeadRaw!AW:AW)</f>
        <v>0</v>
      </c>
      <c r="AU71">
        <f>SUMIF(DeadRaw!$B:$B,$A71,DeadRaw!AX:AX)</f>
        <v>0</v>
      </c>
      <c r="AV71">
        <f>SUMIF(DeadRaw!$B:$B,$A71,DeadRaw!AY:AY)</f>
        <v>0</v>
      </c>
      <c r="AW71">
        <f>SUMIF(DeadRaw!$B:$B,$A71,DeadRaw!AZ:AZ)</f>
        <v>0</v>
      </c>
      <c r="AX71">
        <f>SUMIF(DeadRaw!$B:$B,$A71,DeadRaw!BA:BA)</f>
        <v>0</v>
      </c>
      <c r="AY71">
        <f>SUMIF(DeadRaw!$B:$B,$A71,DeadRaw!BB:BB)</f>
        <v>0</v>
      </c>
      <c r="AZ71">
        <f>SUMIF(DeadRaw!$B:$B,$A71,DeadRaw!BC:BC)</f>
        <v>0</v>
      </c>
      <c r="BA71">
        <f>SUMIF(DeadRaw!$B:$B,$A71,DeadRaw!BD:BD)</f>
        <v>0</v>
      </c>
      <c r="BB71">
        <f>SUMIF(DeadRaw!$B:$B,$A71,DeadRaw!BE:BE)</f>
        <v>2</v>
      </c>
      <c r="BC71">
        <f>SUMIF(DeadRaw!$B:$B,$A71,DeadRaw!BF:BF)</f>
        <v>2</v>
      </c>
      <c r="BD71">
        <f>SUMIF(DeadRaw!$B:$B,$A71,DeadRaw!BG:BG)</f>
        <v>2</v>
      </c>
      <c r="BE71">
        <f>SUMIF(DeadRaw!$B:$B,$A71,DeadRaw!BH:BH)</f>
        <v>2</v>
      </c>
      <c r="BF71">
        <f>SUMIF(DeadRaw!$B:$B,$A71,DeadRaw!BI:BI)</f>
        <v>2</v>
      </c>
      <c r="BG71">
        <f>SUMIF(DeadRaw!$B:$B,$A71,DeadRaw!BJ:BJ)</f>
        <v>0</v>
      </c>
      <c r="BH71">
        <f>SUMIF(DeadRaw!$B:$B,$A71,DeadRaw!BK:BK)</f>
        <v>0</v>
      </c>
      <c r="BI71">
        <f>SUMIF(DeadRaw!$B:$B,$A71,DeadRaw!BL:BL)</f>
        <v>0</v>
      </c>
      <c r="BJ71">
        <f>SUMIF(DeadRaw!$B:$B,$A71,DeadRaw!BM:BM)</f>
        <v>0</v>
      </c>
      <c r="BK71">
        <f>SUMIF(DeadRaw!$B:$B,$A71,DeadRaw!BN:BN)</f>
        <v>0</v>
      </c>
      <c r="BL71">
        <f>SUMIF(DeadRaw!$B:$B,$A71,DeadRaw!BO:BO)</f>
        <v>0</v>
      </c>
      <c r="BM71">
        <f>SUMIF(DeadRaw!$B:$B,$A71,DeadRaw!BP:BP)</f>
        <v>0</v>
      </c>
      <c r="BN71">
        <f>SUMIF(DeadRaw!$B:$B,$A71,DeadRaw!BQ:BQ)</f>
        <v>0</v>
      </c>
      <c r="BO71">
        <f>SUMIF(DeadRaw!$B:$B,$A71,DeadRaw!BR:BR)</f>
        <v>0</v>
      </c>
      <c r="BP71">
        <f>SUMIF(DeadRaw!$B:$B,$A71,DeadRaw!BS:BS)</f>
        <v>0</v>
      </c>
      <c r="BQ71">
        <f>SUMIF(DeadRaw!$B:$B,$A71,DeadRaw!BT:BT)</f>
        <v>0</v>
      </c>
      <c r="BR71">
        <f>SUMIF(DeadRaw!$B:$B,$A71,DeadRaw!BU:BU)</f>
        <v>0</v>
      </c>
      <c r="BS71">
        <f>SUMIF(DeadRaw!$B:$B,$A71,DeadRaw!BV:BV)</f>
        <v>0</v>
      </c>
      <c r="BT71">
        <f>SUMIF(DeadRaw!$B:$B,$A71,DeadRaw!BW:BW)</f>
        <v>0</v>
      </c>
    </row>
    <row r="72" spans="1:72" ht="15" thickBot="1" x14ac:dyDescent="0.35">
      <c r="A72" s="4" t="s">
        <v>111</v>
      </c>
      <c r="B72">
        <f>SUMIF(DeadRaw!$B:$B,$A72,DeadRaw!E:E)</f>
        <v>0</v>
      </c>
      <c r="C72">
        <f>SUMIF(DeadRaw!$B:$B,$A72,DeadRaw!F:F)</f>
        <v>0</v>
      </c>
      <c r="D72">
        <f>SUMIF(DeadRaw!$B:$B,$A72,DeadRaw!G:G)</f>
        <v>0</v>
      </c>
      <c r="E72">
        <f>SUMIF(DeadRaw!$B:$B,$A72,DeadRaw!H:H)</f>
        <v>0</v>
      </c>
      <c r="F72">
        <f>SUMIF(DeadRaw!$B:$B,$A72,DeadRaw!I:I)</f>
        <v>0</v>
      </c>
      <c r="G72">
        <f>SUMIF(DeadRaw!$B:$B,$A72,DeadRaw!J:J)</f>
        <v>0</v>
      </c>
      <c r="H72">
        <f>SUMIF(DeadRaw!$B:$B,$A72,DeadRaw!K:K)</f>
        <v>0</v>
      </c>
      <c r="I72">
        <f>SUMIF(DeadRaw!$B:$B,$A72,DeadRaw!L:L)</f>
        <v>0</v>
      </c>
      <c r="J72">
        <f>SUMIF(DeadRaw!$B:$B,$A72,DeadRaw!M:M)</f>
        <v>0</v>
      </c>
      <c r="K72">
        <f>SUMIF(DeadRaw!$B:$B,$A72,DeadRaw!N:N)</f>
        <v>0</v>
      </c>
      <c r="L72">
        <f>SUMIF(DeadRaw!$B:$B,$A72,DeadRaw!O:O)</f>
        <v>0</v>
      </c>
      <c r="M72">
        <f>SUMIF(DeadRaw!$B:$B,$A72,DeadRaw!P:P)</f>
        <v>0</v>
      </c>
      <c r="N72">
        <f>SUMIF(DeadRaw!$B:$B,$A72,DeadRaw!Q:Q)</f>
        <v>0</v>
      </c>
      <c r="O72">
        <f>SUMIF(DeadRaw!$B:$B,$A72,DeadRaw!R:R)</f>
        <v>0</v>
      </c>
      <c r="P72">
        <f>SUMIF(DeadRaw!$B:$B,$A72,DeadRaw!S:S)</f>
        <v>0</v>
      </c>
      <c r="Q72">
        <f>SUMIF(DeadRaw!$B:$B,$A72,DeadRaw!T:T)</f>
        <v>0</v>
      </c>
      <c r="R72">
        <f>SUMIF(DeadRaw!$B:$B,$A72,DeadRaw!U:U)</f>
        <v>0</v>
      </c>
      <c r="S72">
        <f>SUMIF(DeadRaw!$B:$B,$A72,DeadRaw!V:V)</f>
        <v>0</v>
      </c>
      <c r="T72">
        <f>SUMIF(DeadRaw!$B:$B,$A72,DeadRaw!W:W)</f>
        <v>0</v>
      </c>
      <c r="U72">
        <f>SUMIF(DeadRaw!$B:$B,$A72,DeadRaw!X:X)</f>
        <v>0</v>
      </c>
      <c r="V72">
        <f>SUMIF(DeadRaw!$B:$B,$A72,DeadRaw!Y:Y)</f>
        <v>0</v>
      </c>
      <c r="W72">
        <f>SUMIF(DeadRaw!$B:$B,$A72,DeadRaw!Z:Z)</f>
        <v>0</v>
      </c>
      <c r="X72">
        <f>SUMIF(DeadRaw!$B:$B,$A72,DeadRaw!AA:AA)</f>
        <v>0</v>
      </c>
      <c r="Y72">
        <f>SUMIF(DeadRaw!$B:$B,$A72,DeadRaw!AB:AB)</f>
        <v>0</v>
      </c>
      <c r="Z72">
        <f>SUMIF(DeadRaw!$B:$B,$A72,DeadRaw!AC:AC)</f>
        <v>0</v>
      </c>
      <c r="AA72">
        <f>SUMIF(DeadRaw!$B:$B,$A72,DeadRaw!AD:AD)</f>
        <v>0</v>
      </c>
      <c r="AB72">
        <f>SUMIF(DeadRaw!$B:$B,$A72,DeadRaw!AE:AE)</f>
        <v>0</v>
      </c>
      <c r="AC72">
        <f>SUMIF(DeadRaw!$B:$B,$A72,DeadRaw!AF:AF)</f>
        <v>0</v>
      </c>
      <c r="AD72">
        <f>SUMIF(DeadRaw!$B:$B,$A72,DeadRaw!AG:AG)</f>
        <v>0</v>
      </c>
      <c r="AE72">
        <f>SUMIF(DeadRaw!$B:$B,$A72,DeadRaw!AH:AH)</f>
        <v>0</v>
      </c>
      <c r="AF72">
        <f>SUMIF(DeadRaw!$B:$B,$A72,DeadRaw!AI:AI)</f>
        <v>0</v>
      </c>
      <c r="AG72">
        <f>SUMIF(DeadRaw!$B:$B,$A72,DeadRaw!AJ:AJ)</f>
        <v>0</v>
      </c>
      <c r="AH72">
        <f>SUMIF(DeadRaw!$B:$B,$A72,DeadRaw!AK:AK)</f>
        <v>0</v>
      </c>
      <c r="AI72">
        <f>SUMIF(DeadRaw!$B:$B,$A72,DeadRaw!AL:AL)</f>
        <v>0</v>
      </c>
      <c r="AJ72">
        <f>SUMIF(DeadRaw!$B:$B,$A72,DeadRaw!AM:AM)</f>
        <v>0</v>
      </c>
      <c r="AK72">
        <f>SUMIF(DeadRaw!$B:$B,$A72,DeadRaw!AN:AN)</f>
        <v>0</v>
      </c>
      <c r="AL72">
        <f>SUMIF(DeadRaw!$B:$B,$A72,DeadRaw!AO:AO)</f>
        <v>0</v>
      </c>
      <c r="AM72">
        <f>SUMIF(DeadRaw!$B:$B,$A72,DeadRaw!AP:AP)</f>
        <v>0</v>
      </c>
      <c r="AN72">
        <f>SUMIF(DeadRaw!$B:$B,$A72,DeadRaw!AQ:AQ)</f>
        <v>0</v>
      </c>
      <c r="AO72">
        <f>SUMIF(DeadRaw!$B:$B,$A72,DeadRaw!AR:AR)</f>
        <v>0</v>
      </c>
      <c r="AP72">
        <f>SUMIF(DeadRaw!$B:$B,$A72,DeadRaw!AS:AS)</f>
        <v>0</v>
      </c>
      <c r="AQ72">
        <f>SUMIF(DeadRaw!$B:$B,$A72,DeadRaw!AT:AT)</f>
        <v>0</v>
      </c>
      <c r="AR72">
        <f>SUMIF(DeadRaw!$B:$B,$A72,DeadRaw!AU:AU)</f>
        <v>0</v>
      </c>
      <c r="AS72">
        <f>SUMIF(DeadRaw!$B:$B,$A72,DeadRaw!AV:AV)</f>
        <v>0</v>
      </c>
      <c r="AT72">
        <f>SUMIF(DeadRaw!$B:$B,$A72,DeadRaw!AW:AW)</f>
        <v>0</v>
      </c>
      <c r="AU72">
        <f>SUMIF(DeadRaw!$B:$B,$A72,DeadRaw!AX:AX)</f>
        <v>0</v>
      </c>
      <c r="AV72">
        <f>SUMIF(DeadRaw!$B:$B,$A72,DeadRaw!AY:AY)</f>
        <v>0</v>
      </c>
      <c r="AW72">
        <f>SUMIF(DeadRaw!$B:$B,$A72,DeadRaw!AZ:AZ)</f>
        <v>0</v>
      </c>
      <c r="AX72">
        <f>SUMIF(DeadRaw!$B:$B,$A72,DeadRaw!BA:BA)</f>
        <v>0</v>
      </c>
      <c r="AY72">
        <f>SUMIF(DeadRaw!$B:$B,$A72,DeadRaw!BB:BB)</f>
        <v>0</v>
      </c>
      <c r="AZ72">
        <f>SUMIF(DeadRaw!$B:$B,$A72,DeadRaw!BC:BC)</f>
        <v>0</v>
      </c>
      <c r="BA72">
        <f>SUMIF(DeadRaw!$B:$B,$A72,DeadRaw!BD:BD)</f>
        <v>0</v>
      </c>
      <c r="BB72">
        <f>SUMIF(DeadRaw!$B:$B,$A72,DeadRaw!BE:BE)</f>
        <v>0</v>
      </c>
      <c r="BC72">
        <f>SUMIF(DeadRaw!$B:$B,$A72,DeadRaw!BF:BF)</f>
        <v>0</v>
      </c>
      <c r="BD72">
        <f>SUMIF(DeadRaw!$B:$B,$A72,DeadRaw!BG:BG)</f>
        <v>0</v>
      </c>
      <c r="BE72">
        <f>SUMIF(DeadRaw!$B:$B,$A72,DeadRaw!BH:BH)</f>
        <v>0</v>
      </c>
      <c r="BF72">
        <f>SUMIF(DeadRaw!$B:$B,$A72,DeadRaw!BI:BI)</f>
        <v>0</v>
      </c>
      <c r="BG72">
        <f>SUMIF(DeadRaw!$B:$B,$A72,DeadRaw!BJ:BJ)</f>
        <v>0</v>
      </c>
      <c r="BH72">
        <f>SUMIF(DeadRaw!$B:$B,$A72,DeadRaw!BK:BK)</f>
        <v>0</v>
      </c>
      <c r="BI72">
        <f>SUMIF(DeadRaw!$B:$B,$A72,DeadRaw!BL:BL)</f>
        <v>0</v>
      </c>
      <c r="BJ72">
        <f>SUMIF(DeadRaw!$B:$B,$A72,DeadRaw!BM:BM)</f>
        <v>0</v>
      </c>
      <c r="BK72">
        <f>SUMIF(DeadRaw!$B:$B,$A72,DeadRaw!BN:BN)</f>
        <v>0</v>
      </c>
      <c r="BL72">
        <f>SUMIF(DeadRaw!$B:$B,$A72,DeadRaw!BO:BO)</f>
        <v>0</v>
      </c>
      <c r="BM72">
        <f>SUMIF(DeadRaw!$B:$B,$A72,DeadRaw!BP:BP)</f>
        <v>0</v>
      </c>
      <c r="BN72">
        <f>SUMIF(DeadRaw!$B:$B,$A72,DeadRaw!BQ:BQ)</f>
        <v>0</v>
      </c>
      <c r="BO72">
        <f>SUMIF(DeadRaw!$B:$B,$A72,DeadRaw!BR:BR)</f>
        <v>0</v>
      </c>
      <c r="BP72">
        <f>SUMIF(DeadRaw!$B:$B,$A72,DeadRaw!BS:BS)</f>
        <v>0</v>
      </c>
      <c r="BQ72">
        <f>SUMIF(DeadRaw!$B:$B,$A72,DeadRaw!BT:BT)</f>
        <v>0</v>
      </c>
      <c r="BR72">
        <f>SUMIF(DeadRaw!$B:$B,$A72,DeadRaw!BU:BU)</f>
        <v>0</v>
      </c>
      <c r="BS72">
        <f>SUMIF(DeadRaw!$B:$B,$A72,DeadRaw!BV:BV)</f>
        <v>0</v>
      </c>
      <c r="BT72">
        <f>SUMIF(DeadRaw!$B:$B,$A72,DeadRaw!BW:BW)</f>
        <v>0</v>
      </c>
    </row>
    <row r="73" spans="1:72" ht="15" thickBot="1" x14ac:dyDescent="0.35">
      <c r="A73" s="4" t="s">
        <v>138</v>
      </c>
      <c r="B73">
        <f>SUMIF(DeadRaw!$B:$B,$A73,DeadRaw!E:E)</f>
        <v>0</v>
      </c>
      <c r="C73">
        <f>SUMIF(DeadRaw!$B:$B,$A73,DeadRaw!F:F)</f>
        <v>0</v>
      </c>
      <c r="D73">
        <f>SUMIF(DeadRaw!$B:$B,$A73,DeadRaw!G:G)</f>
        <v>0</v>
      </c>
      <c r="E73">
        <f>SUMIF(DeadRaw!$B:$B,$A73,DeadRaw!H:H)</f>
        <v>0</v>
      </c>
      <c r="F73">
        <f>SUMIF(DeadRaw!$B:$B,$A73,DeadRaw!I:I)</f>
        <v>0</v>
      </c>
      <c r="G73">
        <f>SUMIF(DeadRaw!$B:$B,$A73,DeadRaw!J:J)</f>
        <v>0</v>
      </c>
      <c r="H73">
        <f>SUMIF(DeadRaw!$B:$B,$A73,DeadRaw!K:K)</f>
        <v>0</v>
      </c>
      <c r="I73">
        <f>SUMIF(DeadRaw!$B:$B,$A73,DeadRaw!L:L)</f>
        <v>0</v>
      </c>
      <c r="J73">
        <f>SUMIF(DeadRaw!$B:$B,$A73,DeadRaw!M:M)</f>
        <v>0</v>
      </c>
      <c r="K73">
        <f>SUMIF(DeadRaw!$B:$B,$A73,DeadRaw!N:N)</f>
        <v>0</v>
      </c>
      <c r="L73">
        <f>SUMIF(DeadRaw!$B:$B,$A73,DeadRaw!O:O)</f>
        <v>0</v>
      </c>
      <c r="M73">
        <f>SUMIF(DeadRaw!$B:$B,$A73,DeadRaw!P:P)</f>
        <v>0</v>
      </c>
      <c r="N73">
        <f>SUMIF(DeadRaw!$B:$B,$A73,DeadRaw!Q:Q)</f>
        <v>0</v>
      </c>
      <c r="O73">
        <f>SUMIF(DeadRaw!$B:$B,$A73,DeadRaw!R:R)</f>
        <v>0</v>
      </c>
      <c r="P73">
        <f>SUMIF(DeadRaw!$B:$B,$A73,DeadRaw!S:S)</f>
        <v>0</v>
      </c>
      <c r="Q73">
        <f>SUMIF(DeadRaw!$B:$B,$A73,DeadRaw!T:T)</f>
        <v>0</v>
      </c>
      <c r="R73">
        <f>SUMIF(DeadRaw!$B:$B,$A73,DeadRaw!U:U)</f>
        <v>0</v>
      </c>
      <c r="S73">
        <f>SUMIF(DeadRaw!$B:$B,$A73,DeadRaw!V:V)</f>
        <v>0</v>
      </c>
      <c r="T73">
        <f>SUMIF(DeadRaw!$B:$B,$A73,DeadRaw!W:W)</f>
        <v>0</v>
      </c>
      <c r="U73">
        <f>SUMIF(DeadRaw!$B:$B,$A73,DeadRaw!X:X)</f>
        <v>0</v>
      </c>
      <c r="V73">
        <f>SUMIF(DeadRaw!$B:$B,$A73,DeadRaw!Y:Y)</f>
        <v>0</v>
      </c>
      <c r="W73">
        <f>SUMIF(DeadRaw!$B:$B,$A73,DeadRaw!Z:Z)</f>
        <v>0</v>
      </c>
      <c r="X73">
        <f>SUMIF(DeadRaw!$B:$B,$A73,DeadRaw!AA:AA)</f>
        <v>0</v>
      </c>
      <c r="Y73">
        <f>SUMIF(DeadRaw!$B:$B,$A73,DeadRaw!AB:AB)</f>
        <v>0</v>
      </c>
      <c r="Z73">
        <f>SUMIF(DeadRaw!$B:$B,$A73,DeadRaw!AC:AC)</f>
        <v>0</v>
      </c>
      <c r="AA73">
        <f>SUMIF(DeadRaw!$B:$B,$A73,DeadRaw!AD:AD)</f>
        <v>0</v>
      </c>
      <c r="AB73">
        <f>SUMIF(DeadRaw!$B:$B,$A73,DeadRaw!AE:AE)</f>
        <v>0</v>
      </c>
      <c r="AC73">
        <f>SUMIF(DeadRaw!$B:$B,$A73,DeadRaw!AF:AF)</f>
        <v>0</v>
      </c>
      <c r="AD73">
        <f>SUMIF(DeadRaw!$B:$B,$A73,DeadRaw!AG:AG)</f>
        <v>0</v>
      </c>
      <c r="AE73">
        <f>SUMIF(DeadRaw!$B:$B,$A73,DeadRaw!AH:AH)</f>
        <v>0</v>
      </c>
      <c r="AF73">
        <f>SUMIF(DeadRaw!$B:$B,$A73,DeadRaw!AI:AI)</f>
        <v>0</v>
      </c>
      <c r="AG73">
        <f>SUMIF(DeadRaw!$B:$B,$A73,DeadRaw!AJ:AJ)</f>
        <v>0</v>
      </c>
      <c r="AH73">
        <f>SUMIF(DeadRaw!$B:$B,$A73,DeadRaw!AK:AK)</f>
        <v>0</v>
      </c>
      <c r="AI73">
        <f>SUMIF(DeadRaw!$B:$B,$A73,DeadRaw!AL:AL)</f>
        <v>0</v>
      </c>
      <c r="AJ73">
        <f>SUMIF(DeadRaw!$B:$B,$A73,DeadRaw!AM:AM)</f>
        <v>0</v>
      </c>
      <c r="AK73">
        <f>SUMIF(DeadRaw!$B:$B,$A73,DeadRaw!AN:AN)</f>
        <v>0</v>
      </c>
      <c r="AL73">
        <f>SUMIF(DeadRaw!$B:$B,$A73,DeadRaw!AO:AO)</f>
        <v>0</v>
      </c>
      <c r="AM73">
        <f>SUMIF(DeadRaw!$B:$B,$A73,DeadRaw!AP:AP)</f>
        <v>0</v>
      </c>
      <c r="AN73">
        <f>SUMIF(DeadRaw!$B:$B,$A73,DeadRaw!AQ:AQ)</f>
        <v>0</v>
      </c>
      <c r="AO73">
        <f>SUMIF(DeadRaw!$B:$B,$A73,DeadRaw!AR:AR)</f>
        <v>0</v>
      </c>
      <c r="AP73">
        <f>SUMIF(DeadRaw!$B:$B,$A73,DeadRaw!AS:AS)</f>
        <v>0</v>
      </c>
      <c r="AQ73">
        <f>SUMIF(DeadRaw!$B:$B,$A73,DeadRaw!AT:AT)</f>
        <v>0</v>
      </c>
      <c r="AR73">
        <f>SUMIF(DeadRaw!$B:$B,$A73,DeadRaw!AU:AU)</f>
        <v>0</v>
      </c>
      <c r="AS73">
        <f>SUMIF(DeadRaw!$B:$B,$A73,DeadRaw!AV:AV)</f>
        <v>0</v>
      </c>
      <c r="AT73">
        <f>SUMIF(DeadRaw!$B:$B,$A73,DeadRaw!AW:AW)</f>
        <v>0</v>
      </c>
      <c r="AU73">
        <f>SUMIF(DeadRaw!$B:$B,$A73,DeadRaw!AX:AX)</f>
        <v>0</v>
      </c>
      <c r="AV73">
        <f>SUMIF(DeadRaw!$B:$B,$A73,DeadRaw!AY:AY)</f>
        <v>0</v>
      </c>
      <c r="AW73">
        <f>SUMIF(DeadRaw!$B:$B,$A73,DeadRaw!AZ:AZ)</f>
        <v>0</v>
      </c>
      <c r="AX73">
        <f>SUMIF(DeadRaw!$B:$B,$A73,DeadRaw!BA:BA)</f>
        <v>0</v>
      </c>
      <c r="AY73">
        <f>SUMIF(DeadRaw!$B:$B,$A73,DeadRaw!BB:BB)</f>
        <v>0</v>
      </c>
      <c r="AZ73">
        <f>SUMIF(DeadRaw!$B:$B,$A73,DeadRaw!BC:BC)</f>
        <v>0</v>
      </c>
      <c r="BA73">
        <f>SUMIF(DeadRaw!$B:$B,$A73,DeadRaw!BD:BD)</f>
        <v>0</v>
      </c>
      <c r="BB73">
        <f>SUMIF(DeadRaw!$B:$B,$A73,DeadRaw!BE:BE)</f>
        <v>0</v>
      </c>
      <c r="BC73">
        <f>SUMIF(DeadRaw!$B:$B,$A73,DeadRaw!BF:BF)</f>
        <v>0</v>
      </c>
      <c r="BD73">
        <f>SUMIF(DeadRaw!$B:$B,$A73,DeadRaw!BG:BG)</f>
        <v>0</v>
      </c>
      <c r="BE73">
        <f>SUMIF(DeadRaw!$B:$B,$A73,DeadRaw!BH:BH)</f>
        <v>0</v>
      </c>
      <c r="BF73">
        <f>SUMIF(DeadRaw!$B:$B,$A73,DeadRaw!BI:BI)</f>
        <v>0</v>
      </c>
      <c r="BG73">
        <f>SUMIF(DeadRaw!$B:$B,$A73,DeadRaw!BJ:BJ)</f>
        <v>0</v>
      </c>
      <c r="BH73">
        <f>SUMIF(DeadRaw!$B:$B,$A73,DeadRaw!BK:BK)</f>
        <v>0</v>
      </c>
      <c r="BI73">
        <f>SUMIF(DeadRaw!$B:$B,$A73,DeadRaw!BL:BL)</f>
        <v>0</v>
      </c>
      <c r="BJ73">
        <f>SUMIF(DeadRaw!$B:$B,$A73,DeadRaw!BM:BM)</f>
        <v>0</v>
      </c>
      <c r="BK73">
        <f>SUMIF(DeadRaw!$B:$B,$A73,DeadRaw!BN:BN)</f>
        <v>0</v>
      </c>
      <c r="BL73">
        <f>SUMIF(DeadRaw!$B:$B,$A73,DeadRaw!BO:BO)</f>
        <v>0</v>
      </c>
      <c r="BM73">
        <f>SUMIF(DeadRaw!$B:$B,$A73,DeadRaw!BP:BP)</f>
        <v>0</v>
      </c>
      <c r="BN73">
        <f>SUMIF(DeadRaw!$B:$B,$A73,DeadRaw!BQ:BQ)</f>
        <v>0</v>
      </c>
      <c r="BO73">
        <f>SUMIF(DeadRaw!$B:$B,$A73,DeadRaw!BR:BR)</f>
        <v>0</v>
      </c>
      <c r="BP73">
        <f>SUMIF(DeadRaw!$B:$B,$A73,DeadRaw!BS:BS)</f>
        <v>0</v>
      </c>
      <c r="BQ73">
        <f>SUMIF(DeadRaw!$B:$B,$A73,DeadRaw!BT:BT)</f>
        <v>0</v>
      </c>
      <c r="BR73">
        <f>SUMIF(DeadRaw!$B:$B,$A73,DeadRaw!BU:BU)</f>
        <v>0</v>
      </c>
      <c r="BS73">
        <f>SUMIF(DeadRaw!$B:$B,$A73,DeadRaw!BV:BV)</f>
        <v>0</v>
      </c>
      <c r="BT73">
        <f>SUMIF(DeadRaw!$B:$B,$A73,DeadRaw!BW:BW)</f>
        <v>0</v>
      </c>
    </row>
    <row r="74" spans="1:72" ht="15" thickBot="1" x14ac:dyDescent="0.35">
      <c r="A74" s="3" t="s">
        <v>104</v>
      </c>
      <c r="B74">
        <f>SUMIF(DeadRaw!$B:$B,$A74,DeadRaw!E:E)</f>
        <v>0</v>
      </c>
      <c r="C74">
        <f>SUMIF(DeadRaw!$B:$B,$A74,DeadRaw!F:F)</f>
        <v>0</v>
      </c>
      <c r="D74">
        <f>SUMIF(DeadRaw!$B:$B,$A74,DeadRaw!G:G)</f>
        <v>0</v>
      </c>
      <c r="E74">
        <f>SUMIF(DeadRaw!$B:$B,$A74,DeadRaw!H:H)</f>
        <v>0</v>
      </c>
      <c r="F74">
        <f>SUMIF(DeadRaw!$B:$B,$A74,DeadRaw!I:I)</f>
        <v>0</v>
      </c>
      <c r="G74">
        <f>SUMIF(DeadRaw!$B:$B,$A74,DeadRaw!J:J)</f>
        <v>0</v>
      </c>
      <c r="H74">
        <f>SUMIF(DeadRaw!$B:$B,$A74,DeadRaw!K:K)</f>
        <v>0</v>
      </c>
      <c r="I74">
        <f>SUMIF(DeadRaw!$B:$B,$A74,DeadRaw!L:L)</f>
        <v>0</v>
      </c>
      <c r="J74">
        <f>SUMIF(DeadRaw!$B:$B,$A74,DeadRaw!M:M)</f>
        <v>0</v>
      </c>
      <c r="K74">
        <f>SUMIF(DeadRaw!$B:$B,$A74,DeadRaw!N:N)</f>
        <v>0</v>
      </c>
      <c r="L74">
        <f>SUMIF(DeadRaw!$B:$B,$A74,DeadRaw!O:O)</f>
        <v>0</v>
      </c>
      <c r="M74">
        <f>SUMIF(DeadRaw!$B:$B,$A74,DeadRaw!P:P)</f>
        <v>0</v>
      </c>
      <c r="N74">
        <f>SUMIF(DeadRaw!$B:$B,$A74,DeadRaw!Q:Q)</f>
        <v>0</v>
      </c>
      <c r="O74">
        <f>SUMIF(DeadRaw!$B:$B,$A74,DeadRaw!R:R)</f>
        <v>0</v>
      </c>
      <c r="P74">
        <f>SUMIF(DeadRaw!$B:$B,$A74,DeadRaw!S:S)</f>
        <v>0</v>
      </c>
      <c r="Q74">
        <f>SUMIF(DeadRaw!$B:$B,$A74,DeadRaw!T:T)</f>
        <v>0</v>
      </c>
      <c r="R74">
        <f>SUMIF(DeadRaw!$B:$B,$A74,DeadRaw!U:U)</f>
        <v>0</v>
      </c>
      <c r="S74">
        <f>SUMIF(DeadRaw!$B:$B,$A74,DeadRaw!V:V)</f>
        <v>0</v>
      </c>
      <c r="T74">
        <f>SUMIF(DeadRaw!$B:$B,$A74,DeadRaw!W:W)</f>
        <v>0</v>
      </c>
      <c r="U74">
        <f>SUMIF(DeadRaw!$B:$B,$A74,DeadRaw!X:X)</f>
        <v>0</v>
      </c>
      <c r="V74">
        <f>SUMIF(DeadRaw!$B:$B,$A74,DeadRaw!Y:Y)</f>
        <v>0</v>
      </c>
      <c r="W74">
        <f>SUMIF(DeadRaw!$B:$B,$A74,DeadRaw!Z:Z)</f>
        <v>0</v>
      </c>
      <c r="X74">
        <f>SUMIF(DeadRaw!$B:$B,$A74,DeadRaw!AA:AA)</f>
        <v>0</v>
      </c>
      <c r="Y74">
        <f>SUMIF(DeadRaw!$B:$B,$A74,DeadRaw!AB:AB)</f>
        <v>0</v>
      </c>
      <c r="Z74">
        <f>SUMIF(DeadRaw!$B:$B,$A74,DeadRaw!AC:AC)</f>
        <v>0</v>
      </c>
      <c r="AA74">
        <f>SUMIF(DeadRaw!$B:$B,$A74,DeadRaw!AD:AD)</f>
        <v>0</v>
      </c>
      <c r="AB74">
        <f>SUMIF(DeadRaw!$B:$B,$A74,DeadRaw!AE:AE)</f>
        <v>0</v>
      </c>
      <c r="AC74">
        <f>SUMIF(DeadRaw!$B:$B,$A74,DeadRaw!AF:AF)</f>
        <v>0</v>
      </c>
      <c r="AD74">
        <f>SUMIF(DeadRaw!$B:$B,$A74,DeadRaw!AG:AG)</f>
        <v>0</v>
      </c>
      <c r="AE74">
        <f>SUMIF(DeadRaw!$B:$B,$A74,DeadRaw!AH:AH)</f>
        <v>0</v>
      </c>
      <c r="AF74">
        <f>SUMIF(DeadRaw!$B:$B,$A74,DeadRaw!AI:AI)</f>
        <v>0</v>
      </c>
      <c r="AG74">
        <f>SUMIF(DeadRaw!$B:$B,$A74,DeadRaw!AJ:AJ)</f>
        <v>0</v>
      </c>
      <c r="AH74">
        <f>SUMIF(DeadRaw!$B:$B,$A74,DeadRaw!AK:AK)</f>
        <v>0</v>
      </c>
      <c r="AI74">
        <f>SUMIF(DeadRaw!$B:$B,$A74,DeadRaw!AL:AL)</f>
        <v>0</v>
      </c>
      <c r="AJ74">
        <f>SUMIF(DeadRaw!$B:$B,$A74,DeadRaw!AM:AM)</f>
        <v>0</v>
      </c>
      <c r="AK74">
        <f>SUMIF(DeadRaw!$B:$B,$A74,DeadRaw!AN:AN)</f>
        <v>0</v>
      </c>
      <c r="AL74">
        <f>SUMIF(DeadRaw!$B:$B,$A74,DeadRaw!AO:AO)</f>
        <v>0</v>
      </c>
      <c r="AM74">
        <f>SUMIF(DeadRaw!$B:$B,$A74,DeadRaw!AP:AP)</f>
        <v>0</v>
      </c>
      <c r="AN74">
        <f>SUMIF(DeadRaw!$B:$B,$A74,DeadRaw!AQ:AQ)</f>
        <v>0</v>
      </c>
      <c r="AO74">
        <f>SUMIF(DeadRaw!$B:$B,$A74,DeadRaw!AR:AR)</f>
        <v>0</v>
      </c>
      <c r="AP74">
        <f>SUMIF(DeadRaw!$B:$B,$A74,DeadRaw!AS:AS)</f>
        <v>0</v>
      </c>
      <c r="AQ74">
        <f>SUMIF(DeadRaw!$B:$B,$A74,DeadRaw!AT:AT)</f>
        <v>0</v>
      </c>
      <c r="AR74">
        <f>SUMIF(DeadRaw!$B:$B,$A74,DeadRaw!AU:AU)</f>
        <v>0</v>
      </c>
      <c r="AS74">
        <f>SUMIF(DeadRaw!$B:$B,$A74,DeadRaw!AV:AV)</f>
        <v>0</v>
      </c>
      <c r="AT74">
        <f>SUMIF(DeadRaw!$B:$B,$A74,DeadRaw!AW:AW)</f>
        <v>0</v>
      </c>
      <c r="AU74">
        <f>SUMIF(DeadRaw!$B:$B,$A74,DeadRaw!AX:AX)</f>
        <v>0</v>
      </c>
      <c r="AV74">
        <f>SUMIF(DeadRaw!$B:$B,$A74,DeadRaw!AY:AY)</f>
        <v>0</v>
      </c>
      <c r="AW74">
        <f>SUMIF(DeadRaw!$B:$B,$A74,DeadRaw!AZ:AZ)</f>
        <v>0</v>
      </c>
      <c r="AX74">
        <f>SUMIF(DeadRaw!$B:$B,$A74,DeadRaw!BA:BA)</f>
        <v>0</v>
      </c>
      <c r="AY74">
        <f>SUMIF(DeadRaw!$B:$B,$A74,DeadRaw!BB:BB)</f>
        <v>0</v>
      </c>
      <c r="AZ74">
        <f>SUMIF(DeadRaw!$B:$B,$A74,DeadRaw!BC:BC)</f>
        <v>0</v>
      </c>
      <c r="BA74">
        <f>SUMIF(DeadRaw!$B:$B,$A74,DeadRaw!BD:BD)</f>
        <v>1</v>
      </c>
      <c r="BB74">
        <f>SUMIF(DeadRaw!$B:$B,$A74,DeadRaw!BE:BE)</f>
        <v>1</v>
      </c>
      <c r="BC74">
        <f>SUMIF(DeadRaw!$B:$B,$A74,DeadRaw!BF:BF)</f>
        <v>1</v>
      </c>
      <c r="BD74">
        <f>SUMIF(DeadRaw!$B:$B,$A74,DeadRaw!BG:BG)</f>
        <v>1</v>
      </c>
      <c r="BE74">
        <f>SUMIF(DeadRaw!$B:$B,$A74,DeadRaw!BH:BH)</f>
        <v>1</v>
      </c>
      <c r="BF74">
        <f>SUMIF(DeadRaw!$B:$B,$A74,DeadRaw!BI:BI)</f>
        <v>1</v>
      </c>
      <c r="BG74">
        <f>SUMIF(DeadRaw!$B:$B,$A74,DeadRaw!BJ:BJ)</f>
        <v>0</v>
      </c>
      <c r="BH74">
        <f>SUMIF(DeadRaw!$B:$B,$A74,DeadRaw!BK:BK)</f>
        <v>0</v>
      </c>
      <c r="BI74">
        <f>SUMIF(DeadRaw!$B:$B,$A74,DeadRaw!BL:BL)</f>
        <v>0</v>
      </c>
      <c r="BJ74">
        <f>SUMIF(DeadRaw!$B:$B,$A74,DeadRaw!BM:BM)</f>
        <v>0</v>
      </c>
      <c r="BK74">
        <f>SUMIF(DeadRaw!$B:$B,$A74,DeadRaw!BN:BN)</f>
        <v>0</v>
      </c>
      <c r="BL74">
        <f>SUMIF(DeadRaw!$B:$B,$A74,DeadRaw!BO:BO)</f>
        <v>0</v>
      </c>
      <c r="BM74">
        <f>SUMIF(DeadRaw!$B:$B,$A74,DeadRaw!BP:BP)</f>
        <v>0</v>
      </c>
      <c r="BN74">
        <f>SUMIF(DeadRaw!$B:$B,$A74,DeadRaw!BQ:BQ)</f>
        <v>0</v>
      </c>
      <c r="BO74">
        <f>SUMIF(DeadRaw!$B:$B,$A74,DeadRaw!BR:BR)</f>
        <v>0</v>
      </c>
      <c r="BP74">
        <f>SUMIF(DeadRaw!$B:$B,$A74,DeadRaw!BS:BS)</f>
        <v>0</v>
      </c>
      <c r="BQ74">
        <f>SUMIF(DeadRaw!$B:$B,$A74,DeadRaw!BT:BT)</f>
        <v>0</v>
      </c>
      <c r="BR74">
        <f>SUMIF(DeadRaw!$B:$B,$A74,DeadRaw!BU:BU)</f>
        <v>0</v>
      </c>
      <c r="BS74">
        <f>SUMIF(DeadRaw!$B:$B,$A74,DeadRaw!BV:BV)</f>
        <v>0</v>
      </c>
      <c r="BT74">
        <f>SUMIF(DeadRaw!$B:$B,$A74,DeadRaw!BW:BW)</f>
        <v>0</v>
      </c>
    </row>
    <row r="75" spans="1:72" ht="15" thickBot="1" x14ac:dyDescent="0.35">
      <c r="A75" s="3" t="s">
        <v>231</v>
      </c>
      <c r="B75">
        <f>SUMIF(DeadRaw!$B:$B,$A75,DeadRaw!E:E)</f>
        <v>0</v>
      </c>
      <c r="C75">
        <f>SUMIF(DeadRaw!$B:$B,$A75,DeadRaw!F:F)</f>
        <v>0</v>
      </c>
      <c r="D75">
        <f>SUMIF(DeadRaw!$B:$B,$A75,DeadRaw!G:G)</f>
        <v>0</v>
      </c>
      <c r="E75">
        <f>SUMIF(DeadRaw!$B:$B,$A75,DeadRaw!H:H)</f>
        <v>0</v>
      </c>
      <c r="F75">
        <f>SUMIF(DeadRaw!$B:$B,$A75,DeadRaw!I:I)</f>
        <v>0</v>
      </c>
      <c r="G75">
        <f>SUMIF(DeadRaw!$B:$B,$A75,DeadRaw!J:J)</f>
        <v>0</v>
      </c>
      <c r="H75">
        <f>SUMIF(DeadRaw!$B:$B,$A75,DeadRaw!K:K)</f>
        <v>0</v>
      </c>
      <c r="I75">
        <f>SUMIF(DeadRaw!$B:$B,$A75,DeadRaw!L:L)</f>
        <v>0</v>
      </c>
      <c r="J75">
        <f>SUMIF(DeadRaw!$B:$B,$A75,DeadRaw!M:M)</f>
        <v>0</v>
      </c>
      <c r="K75">
        <f>SUMIF(DeadRaw!$B:$B,$A75,DeadRaw!N:N)</f>
        <v>0</v>
      </c>
      <c r="L75">
        <f>SUMIF(DeadRaw!$B:$B,$A75,DeadRaw!O:O)</f>
        <v>0</v>
      </c>
      <c r="M75">
        <f>SUMIF(DeadRaw!$B:$B,$A75,DeadRaw!P:P)</f>
        <v>0</v>
      </c>
      <c r="N75">
        <f>SUMIF(DeadRaw!$B:$B,$A75,DeadRaw!Q:Q)</f>
        <v>0</v>
      </c>
      <c r="O75">
        <f>SUMIF(DeadRaw!$B:$B,$A75,DeadRaw!R:R)</f>
        <v>0</v>
      </c>
      <c r="P75">
        <f>SUMIF(DeadRaw!$B:$B,$A75,DeadRaw!S:S)</f>
        <v>0</v>
      </c>
      <c r="Q75">
        <f>SUMIF(DeadRaw!$B:$B,$A75,DeadRaw!T:T)</f>
        <v>0</v>
      </c>
      <c r="R75">
        <f>SUMIF(DeadRaw!$B:$B,$A75,DeadRaw!U:U)</f>
        <v>0</v>
      </c>
      <c r="S75">
        <f>SUMIF(DeadRaw!$B:$B,$A75,DeadRaw!V:V)</f>
        <v>0</v>
      </c>
      <c r="T75">
        <f>SUMIF(DeadRaw!$B:$B,$A75,DeadRaw!W:W)</f>
        <v>0</v>
      </c>
      <c r="U75">
        <f>SUMIF(DeadRaw!$B:$B,$A75,DeadRaw!X:X)</f>
        <v>0</v>
      </c>
      <c r="V75">
        <f>SUMIF(DeadRaw!$B:$B,$A75,DeadRaw!Y:Y)</f>
        <v>0</v>
      </c>
      <c r="W75">
        <f>SUMIF(DeadRaw!$B:$B,$A75,DeadRaw!Z:Z)</f>
        <v>0</v>
      </c>
      <c r="X75">
        <f>SUMIF(DeadRaw!$B:$B,$A75,DeadRaw!AA:AA)</f>
        <v>0</v>
      </c>
      <c r="Y75">
        <f>SUMIF(DeadRaw!$B:$B,$A75,DeadRaw!AB:AB)</f>
        <v>0</v>
      </c>
      <c r="Z75">
        <f>SUMIF(DeadRaw!$B:$B,$A75,DeadRaw!AC:AC)</f>
        <v>0</v>
      </c>
      <c r="AA75">
        <f>SUMIF(DeadRaw!$B:$B,$A75,DeadRaw!AD:AD)</f>
        <v>0</v>
      </c>
      <c r="AB75">
        <f>SUMIF(DeadRaw!$B:$B,$A75,DeadRaw!AE:AE)</f>
        <v>0</v>
      </c>
      <c r="AC75">
        <f>SUMIF(DeadRaw!$B:$B,$A75,DeadRaw!AF:AF)</f>
        <v>0</v>
      </c>
      <c r="AD75">
        <f>SUMIF(DeadRaw!$B:$B,$A75,DeadRaw!AG:AG)</f>
        <v>0</v>
      </c>
      <c r="AE75">
        <f>SUMIF(DeadRaw!$B:$B,$A75,DeadRaw!AH:AH)</f>
        <v>0</v>
      </c>
      <c r="AF75">
        <f>SUMIF(DeadRaw!$B:$B,$A75,DeadRaw!AI:AI)</f>
        <v>0</v>
      </c>
      <c r="AG75">
        <f>SUMIF(DeadRaw!$B:$B,$A75,DeadRaw!AJ:AJ)</f>
        <v>0</v>
      </c>
      <c r="AH75">
        <f>SUMIF(DeadRaw!$B:$B,$A75,DeadRaw!AK:AK)</f>
        <v>0</v>
      </c>
      <c r="AI75">
        <f>SUMIF(DeadRaw!$B:$B,$A75,DeadRaw!AL:AL)</f>
        <v>0</v>
      </c>
      <c r="AJ75">
        <f>SUMIF(DeadRaw!$B:$B,$A75,DeadRaw!AM:AM)</f>
        <v>0</v>
      </c>
      <c r="AK75">
        <f>SUMIF(DeadRaw!$B:$B,$A75,DeadRaw!AN:AN)</f>
        <v>0</v>
      </c>
      <c r="AL75">
        <f>SUMIF(DeadRaw!$B:$B,$A75,DeadRaw!AO:AO)</f>
        <v>0</v>
      </c>
      <c r="AM75">
        <f>SUMIF(DeadRaw!$B:$B,$A75,DeadRaw!AP:AP)</f>
        <v>0</v>
      </c>
      <c r="AN75">
        <f>SUMIF(DeadRaw!$B:$B,$A75,DeadRaw!AQ:AQ)</f>
        <v>0</v>
      </c>
      <c r="AO75">
        <f>SUMIF(DeadRaw!$B:$B,$A75,DeadRaw!AR:AR)</f>
        <v>0</v>
      </c>
      <c r="AP75">
        <f>SUMIF(DeadRaw!$B:$B,$A75,DeadRaw!AS:AS)</f>
        <v>0</v>
      </c>
      <c r="AQ75">
        <f>SUMIF(DeadRaw!$B:$B,$A75,DeadRaw!AT:AT)</f>
        <v>0</v>
      </c>
      <c r="AR75">
        <f>SUMIF(DeadRaw!$B:$B,$A75,DeadRaw!AU:AU)</f>
        <v>0</v>
      </c>
      <c r="AS75">
        <f>SUMIF(DeadRaw!$B:$B,$A75,DeadRaw!AV:AV)</f>
        <v>0</v>
      </c>
      <c r="AT75">
        <f>SUMIF(DeadRaw!$B:$B,$A75,DeadRaw!AW:AW)</f>
        <v>0</v>
      </c>
      <c r="AU75">
        <f>SUMIF(DeadRaw!$B:$B,$A75,DeadRaw!AX:AX)</f>
        <v>0</v>
      </c>
      <c r="AV75">
        <f>SUMIF(DeadRaw!$B:$B,$A75,DeadRaw!AY:AY)</f>
        <v>0</v>
      </c>
      <c r="AW75">
        <f>SUMIF(DeadRaw!$B:$B,$A75,DeadRaw!AZ:AZ)</f>
        <v>0</v>
      </c>
      <c r="AX75">
        <f>SUMIF(DeadRaw!$B:$B,$A75,DeadRaw!BA:BA)</f>
        <v>0</v>
      </c>
      <c r="AY75">
        <f>SUMIF(DeadRaw!$B:$B,$A75,DeadRaw!BB:BB)</f>
        <v>0</v>
      </c>
      <c r="AZ75">
        <f>SUMIF(DeadRaw!$B:$B,$A75,DeadRaw!BC:BC)</f>
        <v>0</v>
      </c>
      <c r="BA75">
        <f>SUMIF(DeadRaw!$B:$B,$A75,DeadRaw!BD:BD)</f>
        <v>0</v>
      </c>
      <c r="BB75">
        <f>SUMIF(DeadRaw!$B:$B,$A75,DeadRaw!BE:BE)</f>
        <v>0</v>
      </c>
      <c r="BC75">
        <f>SUMIF(DeadRaw!$B:$B,$A75,DeadRaw!BF:BF)</f>
        <v>0</v>
      </c>
      <c r="BD75">
        <f>SUMIF(DeadRaw!$B:$B,$A75,DeadRaw!BG:BG)</f>
        <v>0</v>
      </c>
      <c r="BE75">
        <f>SUMIF(DeadRaw!$B:$B,$A75,DeadRaw!BH:BH)</f>
        <v>0</v>
      </c>
      <c r="BF75">
        <f>SUMIF(DeadRaw!$B:$B,$A75,DeadRaw!BI:BI)</f>
        <v>0</v>
      </c>
      <c r="BG75">
        <f>SUMIF(DeadRaw!$B:$B,$A75,DeadRaw!BJ:BJ)</f>
        <v>0</v>
      </c>
      <c r="BH75">
        <f>SUMIF(DeadRaw!$B:$B,$A75,DeadRaw!BK:BK)</f>
        <v>0</v>
      </c>
      <c r="BI75">
        <f>SUMIF(DeadRaw!$B:$B,$A75,DeadRaw!BL:BL)</f>
        <v>0</v>
      </c>
      <c r="BJ75">
        <f>SUMIF(DeadRaw!$B:$B,$A75,DeadRaw!BM:BM)</f>
        <v>0</v>
      </c>
      <c r="BK75">
        <f>SUMIF(DeadRaw!$B:$B,$A75,DeadRaw!BN:BN)</f>
        <v>0</v>
      </c>
      <c r="BL75">
        <f>SUMIF(DeadRaw!$B:$B,$A75,DeadRaw!BO:BO)</f>
        <v>0</v>
      </c>
      <c r="BM75">
        <f>SUMIF(DeadRaw!$B:$B,$A75,DeadRaw!BP:BP)</f>
        <v>0</v>
      </c>
      <c r="BN75">
        <f>SUMIF(DeadRaw!$B:$B,$A75,DeadRaw!BQ:BQ)</f>
        <v>0</v>
      </c>
      <c r="BO75">
        <f>SUMIF(DeadRaw!$B:$B,$A75,DeadRaw!BR:BR)</f>
        <v>0</v>
      </c>
      <c r="BP75">
        <f>SUMIF(DeadRaw!$B:$B,$A75,DeadRaw!BS:BS)</f>
        <v>0</v>
      </c>
      <c r="BQ75">
        <f>SUMIF(DeadRaw!$B:$B,$A75,DeadRaw!BT:BT)</f>
        <v>0</v>
      </c>
      <c r="BR75">
        <f>SUMIF(DeadRaw!$B:$B,$A75,DeadRaw!BU:BU)</f>
        <v>0</v>
      </c>
      <c r="BS75">
        <f>SUMIF(DeadRaw!$B:$B,$A75,DeadRaw!BV:BV)</f>
        <v>0</v>
      </c>
      <c r="BT75">
        <f>SUMIF(DeadRaw!$B:$B,$A75,DeadRaw!BW:BW)</f>
        <v>0</v>
      </c>
    </row>
    <row r="76" spans="1:72" ht="15" thickBot="1" x14ac:dyDescent="0.35">
      <c r="A76" s="3" t="s">
        <v>84</v>
      </c>
      <c r="B76">
        <f>SUMIF(DeadRaw!$B:$B,$A76,DeadRaw!E:E)</f>
        <v>0</v>
      </c>
      <c r="C76">
        <f>SUMIF(DeadRaw!$B:$B,$A76,DeadRaw!F:F)</f>
        <v>0</v>
      </c>
      <c r="D76">
        <f>SUMIF(DeadRaw!$B:$B,$A76,DeadRaw!G:G)</f>
        <v>0</v>
      </c>
      <c r="E76">
        <f>SUMIF(DeadRaw!$B:$B,$A76,DeadRaw!H:H)</f>
        <v>0</v>
      </c>
      <c r="F76">
        <f>SUMIF(DeadRaw!$B:$B,$A76,DeadRaw!I:I)</f>
        <v>0</v>
      </c>
      <c r="G76">
        <f>SUMIF(DeadRaw!$B:$B,$A76,DeadRaw!J:J)</f>
        <v>0</v>
      </c>
      <c r="H76">
        <f>SUMIF(DeadRaw!$B:$B,$A76,DeadRaw!K:K)</f>
        <v>0</v>
      </c>
      <c r="I76">
        <f>SUMIF(DeadRaw!$B:$B,$A76,DeadRaw!L:L)</f>
        <v>0</v>
      </c>
      <c r="J76">
        <f>SUMIF(DeadRaw!$B:$B,$A76,DeadRaw!M:M)</f>
        <v>0</v>
      </c>
      <c r="K76">
        <f>SUMIF(DeadRaw!$B:$B,$A76,DeadRaw!N:N)</f>
        <v>0</v>
      </c>
      <c r="L76">
        <f>SUMIF(DeadRaw!$B:$B,$A76,DeadRaw!O:O)</f>
        <v>0</v>
      </c>
      <c r="M76">
        <f>SUMIF(DeadRaw!$B:$B,$A76,DeadRaw!P:P)</f>
        <v>0</v>
      </c>
      <c r="N76">
        <f>SUMIF(DeadRaw!$B:$B,$A76,DeadRaw!Q:Q)</f>
        <v>0</v>
      </c>
      <c r="O76">
        <f>SUMIF(DeadRaw!$B:$B,$A76,DeadRaw!R:R)</f>
        <v>0</v>
      </c>
      <c r="P76">
        <f>SUMIF(DeadRaw!$B:$B,$A76,DeadRaw!S:S)</f>
        <v>0</v>
      </c>
      <c r="Q76">
        <f>SUMIF(DeadRaw!$B:$B,$A76,DeadRaw!T:T)</f>
        <v>0</v>
      </c>
      <c r="R76">
        <f>SUMIF(DeadRaw!$B:$B,$A76,DeadRaw!U:U)</f>
        <v>0</v>
      </c>
      <c r="S76">
        <f>SUMIF(DeadRaw!$B:$B,$A76,DeadRaw!V:V)</f>
        <v>0</v>
      </c>
      <c r="T76">
        <f>SUMIF(DeadRaw!$B:$B,$A76,DeadRaw!W:W)</f>
        <v>0</v>
      </c>
      <c r="U76">
        <f>SUMIF(DeadRaw!$B:$B,$A76,DeadRaw!X:X)</f>
        <v>0</v>
      </c>
      <c r="V76">
        <f>SUMIF(DeadRaw!$B:$B,$A76,DeadRaw!Y:Y)</f>
        <v>0</v>
      </c>
      <c r="W76">
        <f>SUMIF(DeadRaw!$B:$B,$A76,DeadRaw!Z:Z)</f>
        <v>0</v>
      </c>
      <c r="X76">
        <f>SUMIF(DeadRaw!$B:$B,$A76,DeadRaw!AA:AA)</f>
        <v>0</v>
      </c>
      <c r="Y76">
        <f>SUMIF(DeadRaw!$B:$B,$A76,DeadRaw!AB:AB)</f>
        <v>0</v>
      </c>
      <c r="Z76">
        <f>SUMIF(DeadRaw!$B:$B,$A76,DeadRaw!AC:AC)</f>
        <v>0</v>
      </c>
      <c r="AA76">
        <f>SUMIF(DeadRaw!$B:$B,$A76,DeadRaw!AD:AD)</f>
        <v>0</v>
      </c>
      <c r="AB76">
        <f>SUMIF(DeadRaw!$B:$B,$A76,DeadRaw!AE:AE)</f>
        <v>0</v>
      </c>
      <c r="AC76">
        <f>SUMIF(DeadRaw!$B:$B,$A76,DeadRaw!AF:AF)</f>
        <v>0</v>
      </c>
      <c r="AD76">
        <f>SUMIF(DeadRaw!$B:$B,$A76,DeadRaw!AG:AG)</f>
        <v>0</v>
      </c>
      <c r="AE76">
        <f>SUMIF(DeadRaw!$B:$B,$A76,DeadRaw!AH:AH)</f>
        <v>0</v>
      </c>
      <c r="AF76">
        <f>SUMIF(DeadRaw!$B:$B,$A76,DeadRaw!AI:AI)</f>
        <v>0</v>
      </c>
      <c r="AG76">
        <f>SUMIF(DeadRaw!$B:$B,$A76,DeadRaw!AJ:AJ)</f>
        <v>0</v>
      </c>
      <c r="AH76">
        <f>SUMIF(DeadRaw!$B:$B,$A76,DeadRaw!AK:AK)</f>
        <v>0</v>
      </c>
      <c r="AI76">
        <f>SUMIF(DeadRaw!$B:$B,$A76,DeadRaw!AL:AL)</f>
        <v>0</v>
      </c>
      <c r="AJ76">
        <f>SUMIF(DeadRaw!$B:$B,$A76,DeadRaw!AM:AM)</f>
        <v>0</v>
      </c>
      <c r="AK76">
        <f>SUMIF(DeadRaw!$B:$B,$A76,DeadRaw!AN:AN)</f>
        <v>0</v>
      </c>
      <c r="AL76">
        <f>SUMIF(DeadRaw!$B:$B,$A76,DeadRaw!AO:AO)</f>
        <v>0</v>
      </c>
      <c r="AM76">
        <f>SUMIF(DeadRaw!$B:$B,$A76,DeadRaw!AP:AP)</f>
        <v>0</v>
      </c>
      <c r="AN76">
        <f>SUMIF(DeadRaw!$B:$B,$A76,DeadRaw!AQ:AQ)</f>
        <v>0</v>
      </c>
      <c r="AO76">
        <f>SUMIF(DeadRaw!$B:$B,$A76,DeadRaw!AR:AR)</f>
        <v>0</v>
      </c>
      <c r="AP76">
        <f>SUMIF(DeadRaw!$B:$B,$A76,DeadRaw!AS:AS)</f>
        <v>0</v>
      </c>
      <c r="AQ76">
        <f>SUMIF(DeadRaw!$B:$B,$A76,DeadRaw!AT:AT)</f>
        <v>0</v>
      </c>
      <c r="AR76">
        <f>SUMIF(DeadRaw!$B:$B,$A76,DeadRaw!AU:AU)</f>
        <v>0</v>
      </c>
      <c r="AS76">
        <f>SUMIF(DeadRaw!$B:$B,$A76,DeadRaw!AV:AV)</f>
        <v>0</v>
      </c>
      <c r="AT76">
        <f>SUMIF(DeadRaw!$B:$B,$A76,DeadRaw!AW:AW)</f>
        <v>0</v>
      </c>
      <c r="AU76">
        <f>SUMIF(DeadRaw!$B:$B,$A76,DeadRaw!AX:AX)</f>
        <v>0</v>
      </c>
      <c r="AV76">
        <f>SUMIF(DeadRaw!$B:$B,$A76,DeadRaw!AY:AY)</f>
        <v>0</v>
      </c>
      <c r="AW76">
        <f>SUMIF(DeadRaw!$B:$B,$A76,DeadRaw!AZ:AZ)</f>
        <v>0</v>
      </c>
      <c r="AX76">
        <f>SUMIF(DeadRaw!$B:$B,$A76,DeadRaw!BA:BA)</f>
        <v>0</v>
      </c>
      <c r="AY76">
        <f>SUMIF(DeadRaw!$B:$B,$A76,DeadRaw!BB:BB)</f>
        <v>0</v>
      </c>
      <c r="AZ76">
        <f>SUMIF(DeadRaw!$B:$B,$A76,DeadRaw!BC:BC)</f>
        <v>0</v>
      </c>
      <c r="BA76">
        <f>SUMIF(DeadRaw!$B:$B,$A76,DeadRaw!BD:BD)</f>
        <v>0</v>
      </c>
      <c r="BB76">
        <f>SUMIF(DeadRaw!$B:$B,$A76,DeadRaw!BE:BE)</f>
        <v>0</v>
      </c>
      <c r="BC76">
        <f>SUMIF(DeadRaw!$B:$B,$A76,DeadRaw!BF:BF)</f>
        <v>0</v>
      </c>
      <c r="BD76">
        <f>SUMIF(DeadRaw!$B:$B,$A76,DeadRaw!BG:BG)</f>
        <v>0</v>
      </c>
      <c r="BE76">
        <f>SUMIF(DeadRaw!$B:$B,$A76,DeadRaw!BH:BH)</f>
        <v>0</v>
      </c>
      <c r="BF76">
        <f>SUMIF(DeadRaw!$B:$B,$A76,DeadRaw!BI:BI)</f>
        <v>0</v>
      </c>
      <c r="BG76">
        <f>SUMIF(DeadRaw!$B:$B,$A76,DeadRaw!BJ:BJ)</f>
        <v>0</v>
      </c>
      <c r="BH76">
        <f>SUMIF(DeadRaw!$B:$B,$A76,DeadRaw!BK:BK)</f>
        <v>0</v>
      </c>
      <c r="BI76">
        <f>SUMIF(DeadRaw!$B:$B,$A76,DeadRaw!BL:BL)</f>
        <v>0</v>
      </c>
      <c r="BJ76">
        <f>SUMIF(DeadRaw!$B:$B,$A76,DeadRaw!BM:BM)</f>
        <v>0</v>
      </c>
      <c r="BK76">
        <f>SUMIF(DeadRaw!$B:$B,$A76,DeadRaw!BN:BN)</f>
        <v>0</v>
      </c>
      <c r="BL76">
        <f>SUMIF(DeadRaw!$B:$B,$A76,DeadRaw!BO:BO)</f>
        <v>0</v>
      </c>
      <c r="BM76">
        <f>SUMIF(DeadRaw!$B:$B,$A76,DeadRaw!BP:BP)</f>
        <v>0</v>
      </c>
      <c r="BN76">
        <f>SUMIF(DeadRaw!$B:$B,$A76,DeadRaw!BQ:BQ)</f>
        <v>0</v>
      </c>
      <c r="BO76">
        <f>SUMIF(DeadRaw!$B:$B,$A76,DeadRaw!BR:BR)</f>
        <v>0</v>
      </c>
      <c r="BP76">
        <f>SUMIF(DeadRaw!$B:$B,$A76,DeadRaw!BS:BS)</f>
        <v>0</v>
      </c>
      <c r="BQ76">
        <f>SUMIF(DeadRaw!$B:$B,$A76,DeadRaw!BT:BT)</f>
        <v>0</v>
      </c>
      <c r="BR76">
        <f>SUMIF(DeadRaw!$B:$B,$A76,DeadRaw!BU:BU)</f>
        <v>0</v>
      </c>
      <c r="BS76">
        <f>SUMIF(DeadRaw!$B:$B,$A76,DeadRaw!BV:BV)</f>
        <v>0</v>
      </c>
      <c r="BT76">
        <f>SUMIF(DeadRaw!$B:$B,$A76,DeadRaw!BW:BW)</f>
        <v>0</v>
      </c>
    </row>
    <row r="77" spans="1:72" ht="15" thickBot="1" x14ac:dyDescent="0.35">
      <c r="A77" s="3" t="s">
        <v>140</v>
      </c>
      <c r="B77">
        <f>SUMIF(DeadRaw!$B:$B,$A77,DeadRaw!E:E)</f>
        <v>0</v>
      </c>
      <c r="C77">
        <f>SUMIF(DeadRaw!$B:$B,$A77,DeadRaw!F:F)</f>
        <v>0</v>
      </c>
      <c r="D77">
        <f>SUMIF(DeadRaw!$B:$B,$A77,DeadRaw!G:G)</f>
        <v>0</v>
      </c>
      <c r="E77">
        <f>SUMIF(DeadRaw!$B:$B,$A77,DeadRaw!H:H)</f>
        <v>0</v>
      </c>
      <c r="F77">
        <f>SUMIF(DeadRaw!$B:$B,$A77,DeadRaw!I:I)</f>
        <v>0</v>
      </c>
      <c r="G77">
        <f>SUMIF(DeadRaw!$B:$B,$A77,DeadRaw!J:J)</f>
        <v>0</v>
      </c>
      <c r="H77">
        <f>SUMIF(DeadRaw!$B:$B,$A77,DeadRaw!K:K)</f>
        <v>0</v>
      </c>
      <c r="I77">
        <f>SUMIF(DeadRaw!$B:$B,$A77,DeadRaw!L:L)</f>
        <v>0</v>
      </c>
      <c r="J77">
        <f>SUMIF(DeadRaw!$B:$B,$A77,DeadRaw!M:M)</f>
        <v>0</v>
      </c>
      <c r="K77">
        <f>SUMIF(DeadRaw!$B:$B,$A77,DeadRaw!N:N)</f>
        <v>0</v>
      </c>
      <c r="L77">
        <f>SUMIF(DeadRaw!$B:$B,$A77,DeadRaw!O:O)</f>
        <v>0</v>
      </c>
      <c r="M77">
        <f>SUMIF(DeadRaw!$B:$B,$A77,DeadRaw!P:P)</f>
        <v>0</v>
      </c>
      <c r="N77">
        <f>SUMIF(DeadRaw!$B:$B,$A77,DeadRaw!Q:Q)</f>
        <v>0</v>
      </c>
      <c r="O77">
        <f>SUMIF(DeadRaw!$B:$B,$A77,DeadRaw!R:R)</f>
        <v>0</v>
      </c>
      <c r="P77">
        <f>SUMIF(DeadRaw!$B:$B,$A77,DeadRaw!S:S)</f>
        <v>0</v>
      </c>
      <c r="Q77">
        <f>SUMIF(DeadRaw!$B:$B,$A77,DeadRaw!T:T)</f>
        <v>0</v>
      </c>
      <c r="R77">
        <f>SUMIF(DeadRaw!$B:$B,$A77,DeadRaw!U:U)</f>
        <v>0</v>
      </c>
      <c r="S77">
        <f>SUMIF(DeadRaw!$B:$B,$A77,DeadRaw!V:V)</f>
        <v>0</v>
      </c>
      <c r="T77">
        <f>SUMIF(DeadRaw!$B:$B,$A77,DeadRaw!W:W)</f>
        <v>0</v>
      </c>
      <c r="U77">
        <f>SUMIF(DeadRaw!$B:$B,$A77,DeadRaw!X:X)</f>
        <v>0</v>
      </c>
      <c r="V77">
        <f>SUMIF(DeadRaw!$B:$B,$A77,DeadRaw!Y:Y)</f>
        <v>0</v>
      </c>
      <c r="W77">
        <f>SUMIF(DeadRaw!$B:$B,$A77,DeadRaw!Z:Z)</f>
        <v>0</v>
      </c>
      <c r="X77">
        <f>SUMIF(DeadRaw!$B:$B,$A77,DeadRaw!AA:AA)</f>
        <v>0</v>
      </c>
      <c r="Y77">
        <f>SUMIF(DeadRaw!$B:$B,$A77,DeadRaw!AB:AB)</f>
        <v>0</v>
      </c>
      <c r="Z77">
        <f>SUMIF(DeadRaw!$B:$B,$A77,DeadRaw!AC:AC)</f>
        <v>0</v>
      </c>
      <c r="AA77">
        <f>SUMIF(DeadRaw!$B:$B,$A77,DeadRaw!AD:AD)</f>
        <v>0</v>
      </c>
      <c r="AB77">
        <f>SUMIF(DeadRaw!$B:$B,$A77,DeadRaw!AE:AE)</f>
        <v>0</v>
      </c>
      <c r="AC77">
        <f>SUMIF(DeadRaw!$B:$B,$A77,DeadRaw!AF:AF)</f>
        <v>0</v>
      </c>
      <c r="AD77">
        <f>SUMIF(DeadRaw!$B:$B,$A77,DeadRaw!AG:AG)</f>
        <v>0</v>
      </c>
      <c r="AE77">
        <f>SUMIF(DeadRaw!$B:$B,$A77,DeadRaw!AH:AH)</f>
        <v>0</v>
      </c>
      <c r="AF77">
        <f>SUMIF(DeadRaw!$B:$B,$A77,DeadRaw!AI:AI)</f>
        <v>0</v>
      </c>
      <c r="AG77">
        <f>SUMIF(DeadRaw!$B:$B,$A77,DeadRaw!AJ:AJ)</f>
        <v>0</v>
      </c>
      <c r="AH77">
        <f>SUMIF(DeadRaw!$B:$B,$A77,DeadRaw!AK:AK)</f>
        <v>0</v>
      </c>
      <c r="AI77">
        <f>SUMIF(DeadRaw!$B:$B,$A77,DeadRaw!AL:AL)</f>
        <v>0</v>
      </c>
      <c r="AJ77">
        <f>SUMIF(DeadRaw!$B:$B,$A77,DeadRaw!AM:AM)</f>
        <v>0</v>
      </c>
      <c r="AK77">
        <f>SUMIF(DeadRaw!$B:$B,$A77,DeadRaw!AN:AN)</f>
        <v>0</v>
      </c>
      <c r="AL77">
        <f>SUMIF(DeadRaw!$B:$B,$A77,DeadRaw!AO:AO)</f>
        <v>0</v>
      </c>
      <c r="AM77">
        <f>SUMIF(DeadRaw!$B:$B,$A77,DeadRaw!AP:AP)</f>
        <v>0</v>
      </c>
      <c r="AN77">
        <f>SUMIF(DeadRaw!$B:$B,$A77,DeadRaw!AQ:AQ)</f>
        <v>0</v>
      </c>
      <c r="AO77">
        <f>SUMIF(DeadRaw!$B:$B,$A77,DeadRaw!AR:AR)</f>
        <v>0</v>
      </c>
      <c r="AP77">
        <f>SUMIF(DeadRaw!$B:$B,$A77,DeadRaw!AS:AS)</f>
        <v>0</v>
      </c>
      <c r="AQ77">
        <f>SUMIF(DeadRaw!$B:$B,$A77,DeadRaw!AT:AT)</f>
        <v>0</v>
      </c>
      <c r="AR77">
        <f>SUMIF(DeadRaw!$B:$B,$A77,DeadRaw!AU:AU)</f>
        <v>0</v>
      </c>
      <c r="AS77">
        <f>SUMIF(DeadRaw!$B:$B,$A77,DeadRaw!AV:AV)</f>
        <v>0</v>
      </c>
      <c r="AT77">
        <f>SUMIF(DeadRaw!$B:$B,$A77,DeadRaw!AW:AW)</f>
        <v>0</v>
      </c>
      <c r="AU77">
        <f>SUMIF(DeadRaw!$B:$B,$A77,DeadRaw!AX:AX)</f>
        <v>0</v>
      </c>
      <c r="AV77">
        <f>SUMIF(DeadRaw!$B:$B,$A77,DeadRaw!AY:AY)</f>
        <v>0</v>
      </c>
      <c r="AW77">
        <f>SUMIF(DeadRaw!$B:$B,$A77,DeadRaw!AZ:AZ)</f>
        <v>0</v>
      </c>
      <c r="AX77">
        <f>SUMIF(DeadRaw!$B:$B,$A77,DeadRaw!BA:BA)</f>
        <v>0</v>
      </c>
      <c r="AY77">
        <f>SUMIF(DeadRaw!$B:$B,$A77,DeadRaw!BB:BB)</f>
        <v>0</v>
      </c>
      <c r="AZ77">
        <f>SUMIF(DeadRaw!$B:$B,$A77,DeadRaw!BC:BC)</f>
        <v>0</v>
      </c>
      <c r="BA77">
        <f>SUMIF(DeadRaw!$B:$B,$A77,DeadRaw!BD:BD)</f>
        <v>0</v>
      </c>
      <c r="BB77">
        <f>SUMIF(DeadRaw!$B:$B,$A77,DeadRaw!BE:BE)</f>
        <v>0</v>
      </c>
      <c r="BC77">
        <f>SUMIF(DeadRaw!$B:$B,$A77,DeadRaw!BF:BF)</f>
        <v>0</v>
      </c>
      <c r="BD77">
        <f>SUMIF(DeadRaw!$B:$B,$A77,DeadRaw!BG:BG)</f>
        <v>0</v>
      </c>
      <c r="BE77">
        <f>SUMIF(DeadRaw!$B:$B,$A77,DeadRaw!BH:BH)</f>
        <v>0</v>
      </c>
      <c r="BF77">
        <f>SUMIF(DeadRaw!$B:$B,$A77,DeadRaw!BI:BI)</f>
        <v>0</v>
      </c>
      <c r="BG77">
        <f>SUMIF(DeadRaw!$B:$B,$A77,DeadRaw!BJ:BJ)</f>
        <v>0</v>
      </c>
      <c r="BH77">
        <f>SUMIF(DeadRaw!$B:$B,$A77,DeadRaw!BK:BK)</f>
        <v>0</v>
      </c>
      <c r="BI77">
        <f>SUMIF(DeadRaw!$B:$B,$A77,DeadRaw!BL:BL)</f>
        <v>0</v>
      </c>
      <c r="BJ77">
        <f>SUMIF(DeadRaw!$B:$B,$A77,DeadRaw!BM:BM)</f>
        <v>0</v>
      </c>
      <c r="BK77">
        <f>SUMIF(DeadRaw!$B:$B,$A77,DeadRaw!BN:BN)</f>
        <v>0</v>
      </c>
      <c r="BL77">
        <f>SUMIF(DeadRaw!$B:$B,$A77,DeadRaw!BO:BO)</f>
        <v>0</v>
      </c>
      <c r="BM77">
        <f>SUMIF(DeadRaw!$B:$B,$A77,DeadRaw!BP:BP)</f>
        <v>0</v>
      </c>
      <c r="BN77">
        <f>SUMIF(DeadRaw!$B:$B,$A77,DeadRaw!BQ:BQ)</f>
        <v>0</v>
      </c>
      <c r="BO77">
        <f>SUMIF(DeadRaw!$B:$B,$A77,DeadRaw!BR:BR)</f>
        <v>0</v>
      </c>
      <c r="BP77">
        <f>SUMIF(DeadRaw!$B:$B,$A77,DeadRaw!BS:BS)</f>
        <v>0</v>
      </c>
      <c r="BQ77">
        <f>SUMIF(DeadRaw!$B:$B,$A77,DeadRaw!BT:BT)</f>
        <v>0</v>
      </c>
      <c r="BR77">
        <f>SUMIF(DeadRaw!$B:$B,$A77,DeadRaw!BU:BU)</f>
        <v>0</v>
      </c>
      <c r="BS77">
        <f>SUMIF(DeadRaw!$B:$B,$A77,DeadRaw!BV:BV)</f>
        <v>0</v>
      </c>
      <c r="BT77">
        <f>SUMIF(DeadRaw!$B:$B,$A77,DeadRaw!BW:BW)</f>
        <v>0</v>
      </c>
    </row>
    <row r="78" spans="1:72" ht="15" thickBot="1" x14ac:dyDescent="0.35">
      <c r="A78" s="4" t="s">
        <v>158</v>
      </c>
      <c r="B78">
        <f>SUMIF(DeadRaw!$B:$B,$A78,DeadRaw!E:E)</f>
        <v>0</v>
      </c>
      <c r="C78">
        <f>SUMIF(DeadRaw!$B:$B,$A78,DeadRaw!F:F)</f>
        <v>0</v>
      </c>
      <c r="D78">
        <f>SUMIF(DeadRaw!$B:$B,$A78,DeadRaw!G:G)</f>
        <v>0</v>
      </c>
      <c r="E78">
        <f>SUMIF(DeadRaw!$B:$B,$A78,DeadRaw!H:H)</f>
        <v>0</v>
      </c>
      <c r="F78">
        <f>SUMIF(DeadRaw!$B:$B,$A78,DeadRaw!I:I)</f>
        <v>0</v>
      </c>
      <c r="G78">
        <f>SUMIF(DeadRaw!$B:$B,$A78,DeadRaw!J:J)</f>
        <v>0</v>
      </c>
      <c r="H78">
        <f>SUMIF(DeadRaw!$B:$B,$A78,DeadRaw!K:K)</f>
        <v>0</v>
      </c>
      <c r="I78">
        <f>SUMIF(DeadRaw!$B:$B,$A78,DeadRaw!L:L)</f>
        <v>0</v>
      </c>
      <c r="J78">
        <f>SUMIF(DeadRaw!$B:$B,$A78,DeadRaw!M:M)</f>
        <v>0</v>
      </c>
      <c r="K78">
        <f>SUMIF(DeadRaw!$B:$B,$A78,DeadRaw!N:N)</f>
        <v>0</v>
      </c>
      <c r="L78">
        <f>SUMIF(DeadRaw!$B:$B,$A78,DeadRaw!O:O)</f>
        <v>0</v>
      </c>
      <c r="M78">
        <f>SUMIF(DeadRaw!$B:$B,$A78,DeadRaw!P:P)</f>
        <v>0</v>
      </c>
      <c r="N78">
        <f>SUMIF(DeadRaw!$B:$B,$A78,DeadRaw!Q:Q)</f>
        <v>0</v>
      </c>
      <c r="O78">
        <f>SUMIF(DeadRaw!$B:$B,$A78,DeadRaw!R:R)</f>
        <v>0</v>
      </c>
      <c r="P78">
        <f>SUMIF(DeadRaw!$B:$B,$A78,DeadRaw!S:S)</f>
        <v>0</v>
      </c>
      <c r="Q78">
        <f>SUMIF(DeadRaw!$B:$B,$A78,DeadRaw!T:T)</f>
        <v>0</v>
      </c>
      <c r="R78">
        <f>SUMIF(DeadRaw!$B:$B,$A78,DeadRaw!U:U)</f>
        <v>0</v>
      </c>
      <c r="S78">
        <f>SUMIF(DeadRaw!$B:$B,$A78,DeadRaw!V:V)</f>
        <v>0</v>
      </c>
      <c r="T78">
        <f>SUMIF(DeadRaw!$B:$B,$A78,DeadRaw!W:W)</f>
        <v>0</v>
      </c>
      <c r="U78">
        <f>SUMIF(DeadRaw!$B:$B,$A78,DeadRaw!X:X)</f>
        <v>0</v>
      </c>
      <c r="V78">
        <f>SUMIF(DeadRaw!$B:$B,$A78,DeadRaw!Y:Y)</f>
        <v>0</v>
      </c>
      <c r="W78">
        <f>SUMIF(DeadRaw!$B:$B,$A78,DeadRaw!Z:Z)</f>
        <v>0</v>
      </c>
      <c r="X78">
        <f>SUMIF(DeadRaw!$B:$B,$A78,DeadRaw!AA:AA)</f>
        <v>0</v>
      </c>
      <c r="Y78">
        <f>SUMIF(DeadRaw!$B:$B,$A78,DeadRaw!AB:AB)</f>
        <v>0</v>
      </c>
      <c r="Z78">
        <f>SUMIF(DeadRaw!$B:$B,$A78,DeadRaw!AC:AC)</f>
        <v>0</v>
      </c>
      <c r="AA78">
        <f>SUMIF(DeadRaw!$B:$B,$A78,DeadRaw!AD:AD)</f>
        <v>0</v>
      </c>
      <c r="AB78">
        <f>SUMIF(DeadRaw!$B:$B,$A78,DeadRaw!AE:AE)</f>
        <v>0</v>
      </c>
      <c r="AC78">
        <f>SUMIF(DeadRaw!$B:$B,$A78,DeadRaw!AF:AF)</f>
        <v>0</v>
      </c>
      <c r="AD78">
        <f>SUMIF(DeadRaw!$B:$B,$A78,DeadRaw!AG:AG)</f>
        <v>0</v>
      </c>
      <c r="AE78">
        <f>SUMIF(DeadRaw!$B:$B,$A78,DeadRaw!AH:AH)</f>
        <v>0</v>
      </c>
      <c r="AF78">
        <f>SUMIF(DeadRaw!$B:$B,$A78,DeadRaw!AI:AI)</f>
        <v>0</v>
      </c>
      <c r="AG78">
        <f>SUMIF(DeadRaw!$B:$B,$A78,DeadRaw!AJ:AJ)</f>
        <v>0</v>
      </c>
      <c r="AH78">
        <f>SUMIF(DeadRaw!$B:$B,$A78,DeadRaw!AK:AK)</f>
        <v>0</v>
      </c>
      <c r="AI78">
        <f>SUMIF(DeadRaw!$B:$B,$A78,DeadRaw!AL:AL)</f>
        <v>0</v>
      </c>
      <c r="AJ78">
        <f>SUMIF(DeadRaw!$B:$B,$A78,DeadRaw!AM:AM)</f>
        <v>0</v>
      </c>
      <c r="AK78">
        <f>SUMIF(DeadRaw!$B:$B,$A78,DeadRaw!AN:AN)</f>
        <v>0</v>
      </c>
      <c r="AL78">
        <f>SUMIF(DeadRaw!$B:$B,$A78,DeadRaw!AO:AO)</f>
        <v>0</v>
      </c>
      <c r="AM78">
        <f>SUMIF(DeadRaw!$B:$B,$A78,DeadRaw!AP:AP)</f>
        <v>0</v>
      </c>
      <c r="AN78">
        <f>SUMIF(DeadRaw!$B:$B,$A78,DeadRaw!AQ:AQ)</f>
        <v>0</v>
      </c>
      <c r="AO78">
        <f>SUMIF(DeadRaw!$B:$B,$A78,DeadRaw!AR:AR)</f>
        <v>0</v>
      </c>
      <c r="AP78">
        <f>SUMIF(DeadRaw!$B:$B,$A78,DeadRaw!AS:AS)</f>
        <v>0</v>
      </c>
      <c r="AQ78">
        <f>SUMIF(DeadRaw!$B:$B,$A78,DeadRaw!AT:AT)</f>
        <v>0</v>
      </c>
      <c r="AR78">
        <f>SUMIF(DeadRaw!$B:$B,$A78,DeadRaw!AU:AU)</f>
        <v>0</v>
      </c>
      <c r="AS78">
        <f>SUMIF(DeadRaw!$B:$B,$A78,DeadRaw!AV:AV)</f>
        <v>0</v>
      </c>
      <c r="AT78">
        <f>SUMIF(DeadRaw!$B:$B,$A78,DeadRaw!AW:AW)</f>
        <v>0</v>
      </c>
      <c r="AU78">
        <f>SUMIF(DeadRaw!$B:$B,$A78,DeadRaw!AX:AX)</f>
        <v>0</v>
      </c>
      <c r="AV78">
        <f>SUMIF(DeadRaw!$B:$B,$A78,DeadRaw!AY:AY)</f>
        <v>0</v>
      </c>
      <c r="AW78">
        <f>SUMIF(DeadRaw!$B:$B,$A78,DeadRaw!AZ:AZ)</f>
        <v>0</v>
      </c>
      <c r="AX78">
        <f>SUMIF(DeadRaw!$B:$B,$A78,DeadRaw!BA:BA)</f>
        <v>0</v>
      </c>
      <c r="AY78">
        <f>SUMIF(DeadRaw!$B:$B,$A78,DeadRaw!BB:BB)</f>
        <v>0</v>
      </c>
      <c r="AZ78">
        <f>SUMIF(DeadRaw!$B:$B,$A78,DeadRaw!BC:BC)</f>
        <v>0</v>
      </c>
      <c r="BA78">
        <f>SUMIF(DeadRaw!$B:$B,$A78,DeadRaw!BD:BD)</f>
        <v>0</v>
      </c>
      <c r="BB78">
        <f>SUMIF(DeadRaw!$B:$B,$A78,DeadRaw!BE:BE)</f>
        <v>0</v>
      </c>
      <c r="BC78">
        <f>SUMIF(DeadRaw!$B:$B,$A78,DeadRaw!BF:BF)</f>
        <v>0</v>
      </c>
      <c r="BD78">
        <f>SUMIF(DeadRaw!$B:$B,$A78,DeadRaw!BG:BG)</f>
        <v>0</v>
      </c>
      <c r="BE78">
        <f>SUMIF(DeadRaw!$B:$B,$A78,DeadRaw!BH:BH)</f>
        <v>0</v>
      </c>
      <c r="BF78">
        <f>SUMIF(DeadRaw!$B:$B,$A78,DeadRaw!BI:BI)</f>
        <v>0</v>
      </c>
      <c r="BG78">
        <f>SUMIF(DeadRaw!$B:$B,$A78,DeadRaw!BJ:BJ)</f>
        <v>0</v>
      </c>
      <c r="BH78">
        <f>SUMIF(DeadRaw!$B:$B,$A78,DeadRaw!BK:BK)</f>
        <v>0</v>
      </c>
      <c r="BI78">
        <f>SUMIF(DeadRaw!$B:$B,$A78,DeadRaw!BL:BL)</f>
        <v>0</v>
      </c>
      <c r="BJ78">
        <f>SUMIF(DeadRaw!$B:$B,$A78,DeadRaw!BM:BM)</f>
        <v>0</v>
      </c>
      <c r="BK78">
        <f>SUMIF(DeadRaw!$B:$B,$A78,DeadRaw!BN:BN)</f>
        <v>0</v>
      </c>
      <c r="BL78">
        <f>SUMIF(DeadRaw!$B:$B,$A78,DeadRaw!BO:BO)</f>
        <v>0</v>
      </c>
      <c r="BM78">
        <f>SUMIF(DeadRaw!$B:$B,$A78,DeadRaw!BP:BP)</f>
        <v>0</v>
      </c>
      <c r="BN78">
        <f>SUMIF(DeadRaw!$B:$B,$A78,DeadRaw!BQ:BQ)</f>
        <v>0</v>
      </c>
      <c r="BO78">
        <f>SUMIF(DeadRaw!$B:$B,$A78,DeadRaw!BR:BR)</f>
        <v>0</v>
      </c>
      <c r="BP78">
        <f>SUMIF(DeadRaw!$B:$B,$A78,DeadRaw!BS:BS)</f>
        <v>0</v>
      </c>
      <c r="BQ78">
        <f>SUMIF(DeadRaw!$B:$B,$A78,DeadRaw!BT:BT)</f>
        <v>0</v>
      </c>
      <c r="BR78">
        <f>SUMIF(DeadRaw!$B:$B,$A78,DeadRaw!BU:BU)</f>
        <v>0</v>
      </c>
      <c r="BS78">
        <f>SUMIF(DeadRaw!$B:$B,$A78,DeadRaw!BV:BV)</f>
        <v>0</v>
      </c>
      <c r="BT78">
        <f>SUMIF(DeadRaw!$B:$B,$A78,DeadRaw!BW:BW)</f>
        <v>0</v>
      </c>
    </row>
    <row r="79" spans="1:72" ht="15" thickBot="1" x14ac:dyDescent="0.35">
      <c r="A79" s="3" t="s">
        <v>177</v>
      </c>
      <c r="B79">
        <f>SUMIF(DeadRaw!$B:$B,$A79,DeadRaw!E:E)</f>
        <v>0</v>
      </c>
      <c r="C79">
        <f>SUMIF(DeadRaw!$B:$B,$A79,DeadRaw!F:F)</f>
        <v>0</v>
      </c>
      <c r="D79">
        <f>SUMIF(DeadRaw!$B:$B,$A79,DeadRaw!G:G)</f>
        <v>0</v>
      </c>
      <c r="E79">
        <f>SUMIF(DeadRaw!$B:$B,$A79,DeadRaw!H:H)</f>
        <v>0</v>
      </c>
      <c r="F79">
        <f>SUMIF(DeadRaw!$B:$B,$A79,DeadRaw!I:I)</f>
        <v>0</v>
      </c>
      <c r="G79">
        <f>SUMIF(DeadRaw!$B:$B,$A79,DeadRaw!J:J)</f>
        <v>0</v>
      </c>
      <c r="H79">
        <f>SUMIF(DeadRaw!$B:$B,$A79,DeadRaw!K:K)</f>
        <v>0</v>
      </c>
      <c r="I79">
        <f>SUMIF(DeadRaw!$B:$B,$A79,DeadRaw!L:L)</f>
        <v>0</v>
      </c>
      <c r="J79">
        <f>SUMIF(DeadRaw!$B:$B,$A79,DeadRaw!M:M)</f>
        <v>0</v>
      </c>
      <c r="K79">
        <f>SUMIF(DeadRaw!$B:$B,$A79,DeadRaw!N:N)</f>
        <v>0</v>
      </c>
      <c r="L79">
        <f>SUMIF(DeadRaw!$B:$B,$A79,DeadRaw!O:O)</f>
        <v>0</v>
      </c>
      <c r="M79">
        <f>SUMIF(DeadRaw!$B:$B,$A79,DeadRaw!P:P)</f>
        <v>0</v>
      </c>
      <c r="N79">
        <f>SUMIF(DeadRaw!$B:$B,$A79,DeadRaw!Q:Q)</f>
        <v>0</v>
      </c>
      <c r="O79">
        <f>SUMIF(DeadRaw!$B:$B,$A79,DeadRaw!R:R)</f>
        <v>0</v>
      </c>
      <c r="P79">
        <f>SUMIF(DeadRaw!$B:$B,$A79,DeadRaw!S:S)</f>
        <v>0</v>
      </c>
      <c r="Q79">
        <f>SUMIF(DeadRaw!$B:$B,$A79,DeadRaw!T:T)</f>
        <v>0</v>
      </c>
      <c r="R79">
        <f>SUMIF(DeadRaw!$B:$B,$A79,DeadRaw!U:U)</f>
        <v>0</v>
      </c>
      <c r="S79">
        <f>SUMIF(DeadRaw!$B:$B,$A79,DeadRaw!V:V)</f>
        <v>0</v>
      </c>
      <c r="T79">
        <f>SUMIF(DeadRaw!$B:$B,$A79,DeadRaw!W:W)</f>
        <v>0</v>
      </c>
      <c r="U79">
        <f>SUMIF(DeadRaw!$B:$B,$A79,DeadRaw!X:X)</f>
        <v>0</v>
      </c>
      <c r="V79">
        <f>SUMIF(DeadRaw!$B:$B,$A79,DeadRaw!Y:Y)</f>
        <v>0</v>
      </c>
      <c r="W79">
        <f>SUMIF(DeadRaw!$B:$B,$A79,DeadRaw!Z:Z)</f>
        <v>0</v>
      </c>
      <c r="X79">
        <f>SUMIF(DeadRaw!$B:$B,$A79,DeadRaw!AA:AA)</f>
        <v>0</v>
      </c>
      <c r="Y79">
        <f>SUMIF(DeadRaw!$B:$B,$A79,DeadRaw!AB:AB)</f>
        <v>0</v>
      </c>
      <c r="Z79">
        <f>SUMIF(DeadRaw!$B:$B,$A79,DeadRaw!AC:AC)</f>
        <v>0</v>
      </c>
      <c r="AA79">
        <f>SUMIF(DeadRaw!$B:$B,$A79,DeadRaw!AD:AD)</f>
        <v>0</v>
      </c>
      <c r="AB79">
        <f>SUMIF(DeadRaw!$B:$B,$A79,DeadRaw!AE:AE)</f>
        <v>0</v>
      </c>
      <c r="AC79">
        <f>SUMIF(DeadRaw!$B:$B,$A79,DeadRaw!AF:AF)</f>
        <v>0</v>
      </c>
      <c r="AD79">
        <f>SUMIF(DeadRaw!$B:$B,$A79,DeadRaw!AG:AG)</f>
        <v>0</v>
      </c>
      <c r="AE79">
        <f>SUMIF(DeadRaw!$B:$B,$A79,DeadRaw!AH:AH)</f>
        <v>0</v>
      </c>
      <c r="AF79">
        <f>SUMIF(DeadRaw!$B:$B,$A79,DeadRaw!AI:AI)</f>
        <v>0</v>
      </c>
      <c r="AG79">
        <f>SUMIF(DeadRaw!$B:$B,$A79,DeadRaw!AJ:AJ)</f>
        <v>0</v>
      </c>
      <c r="AH79">
        <f>SUMIF(DeadRaw!$B:$B,$A79,DeadRaw!AK:AK)</f>
        <v>0</v>
      </c>
      <c r="AI79">
        <f>SUMIF(DeadRaw!$B:$B,$A79,DeadRaw!AL:AL)</f>
        <v>0</v>
      </c>
      <c r="AJ79">
        <f>SUMIF(DeadRaw!$B:$B,$A79,DeadRaw!AM:AM)</f>
        <v>0</v>
      </c>
      <c r="AK79">
        <f>SUMIF(DeadRaw!$B:$B,$A79,DeadRaw!AN:AN)</f>
        <v>0</v>
      </c>
      <c r="AL79">
        <f>SUMIF(DeadRaw!$B:$B,$A79,DeadRaw!AO:AO)</f>
        <v>0</v>
      </c>
      <c r="AM79">
        <f>SUMIF(DeadRaw!$B:$B,$A79,DeadRaw!AP:AP)</f>
        <v>0</v>
      </c>
      <c r="AN79">
        <f>SUMIF(DeadRaw!$B:$B,$A79,DeadRaw!AQ:AQ)</f>
        <v>0</v>
      </c>
      <c r="AO79">
        <f>SUMIF(DeadRaw!$B:$B,$A79,DeadRaw!AR:AR)</f>
        <v>0</v>
      </c>
      <c r="AP79">
        <f>SUMIF(DeadRaw!$B:$B,$A79,DeadRaw!AS:AS)</f>
        <v>0</v>
      </c>
      <c r="AQ79">
        <f>SUMIF(DeadRaw!$B:$B,$A79,DeadRaw!AT:AT)</f>
        <v>0</v>
      </c>
      <c r="AR79">
        <f>SUMIF(DeadRaw!$B:$B,$A79,DeadRaw!AU:AU)</f>
        <v>0</v>
      </c>
      <c r="AS79">
        <f>SUMIF(DeadRaw!$B:$B,$A79,DeadRaw!AV:AV)</f>
        <v>0</v>
      </c>
      <c r="AT79">
        <f>SUMIF(DeadRaw!$B:$B,$A79,DeadRaw!AW:AW)</f>
        <v>0</v>
      </c>
      <c r="AU79">
        <f>SUMIF(DeadRaw!$B:$B,$A79,DeadRaw!AX:AX)</f>
        <v>0</v>
      </c>
      <c r="AV79">
        <f>SUMIF(DeadRaw!$B:$B,$A79,DeadRaw!AY:AY)</f>
        <v>0</v>
      </c>
      <c r="AW79">
        <f>SUMIF(DeadRaw!$B:$B,$A79,DeadRaw!AZ:AZ)</f>
        <v>0</v>
      </c>
      <c r="AX79">
        <f>SUMIF(DeadRaw!$B:$B,$A79,DeadRaw!BA:BA)</f>
        <v>0</v>
      </c>
      <c r="AY79">
        <f>SUMIF(DeadRaw!$B:$B,$A79,DeadRaw!BB:BB)</f>
        <v>0</v>
      </c>
      <c r="AZ79">
        <f>SUMIF(DeadRaw!$B:$B,$A79,DeadRaw!BC:BC)</f>
        <v>0</v>
      </c>
      <c r="BA79">
        <f>SUMIF(DeadRaw!$B:$B,$A79,DeadRaw!BD:BD)</f>
        <v>0</v>
      </c>
      <c r="BB79">
        <f>SUMIF(DeadRaw!$B:$B,$A79,DeadRaw!BE:BE)</f>
        <v>0</v>
      </c>
      <c r="BC79">
        <f>SUMIF(DeadRaw!$B:$B,$A79,DeadRaw!BF:BF)</f>
        <v>0</v>
      </c>
      <c r="BD79">
        <f>SUMIF(DeadRaw!$B:$B,$A79,DeadRaw!BG:BG)</f>
        <v>0</v>
      </c>
      <c r="BE79">
        <f>SUMIF(DeadRaw!$B:$B,$A79,DeadRaw!BH:BH)</f>
        <v>0</v>
      </c>
      <c r="BF79">
        <f>SUMIF(DeadRaw!$B:$B,$A79,DeadRaw!BI:BI)</f>
        <v>0</v>
      </c>
      <c r="BG79">
        <f>SUMIF(DeadRaw!$B:$B,$A79,DeadRaw!BJ:BJ)</f>
        <v>0</v>
      </c>
      <c r="BH79">
        <f>SUMIF(DeadRaw!$B:$B,$A79,DeadRaw!BK:BK)</f>
        <v>0</v>
      </c>
      <c r="BI79">
        <f>SUMIF(DeadRaw!$B:$B,$A79,DeadRaw!BL:BL)</f>
        <v>0</v>
      </c>
      <c r="BJ79">
        <f>SUMIF(DeadRaw!$B:$B,$A79,DeadRaw!BM:BM)</f>
        <v>0</v>
      </c>
      <c r="BK79">
        <f>SUMIF(DeadRaw!$B:$B,$A79,DeadRaw!BN:BN)</f>
        <v>0</v>
      </c>
      <c r="BL79">
        <f>SUMIF(DeadRaw!$B:$B,$A79,DeadRaw!BO:BO)</f>
        <v>0</v>
      </c>
      <c r="BM79">
        <f>SUMIF(DeadRaw!$B:$B,$A79,DeadRaw!BP:BP)</f>
        <v>0</v>
      </c>
      <c r="BN79">
        <f>SUMIF(DeadRaw!$B:$B,$A79,DeadRaw!BQ:BQ)</f>
        <v>0</v>
      </c>
      <c r="BO79">
        <f>SUMIF(DeadRaw!$B:$B,$A79,DeadRaw!BR:BR)</f>
        <v>0</v>
      </c>
      <c r="BP79">
        <f>SUMIF(DeadRaw!$B:$B,$A79,DeadRaw!BS:BS)</f>
        <v>0</v>
      </c>
      <c r="BQ79">
        <f>SUMIF(DeadRaw!$B:$B,$A79,DeadRaw!BT:BT)</f>
        <v>0</v>
      </c>
      <c r="BR79">
        <f>SUMIF(DeadRaw!$B:$B,$A79,DeadRaw!BU:BU)</f>
        <v>0</v>
      </c>
      <c r="BS79">
        <f>SUMIF(DeadRaw!$B:$B,$A79,DeadRaw!BV:BV)</f>
        <v>0</v>
      </c>
      <c r="BT79">
        <f>SUMIF(DeadRaw!$B:$B,$A79,DeadRaw!BW:BW)</f>
        <v>0</v>
      </c>
    </row>
    <row r="80" spans="1:72" ht="15" thickBot="1" x14ac:dyDescent="0.35">
      <c r="A80" s="4" t="s">
        <v>94</v>
      </c>
      <c r="B80">
        <f>SUMIF(DeadRaw!$B:$B,$A80,DeadRaw!E:E)</f>
        <v>0</v>
      </c>
      <c r="C80">
        <f>SUMIF(DeadRaw!$B:$B,$A80,DeadRaw!F:F)</f>
        <v>0</v>
      </c>
      <c r="D80">
        <f>SUMIF(DeadRaw!$B:$B,$A80,DeadRaw!G:G)</f>
        <v>0</v>
      </c>
      <c r="E80">
        <f>SUMIF(DeadRaw!$B:$B,$A80,DeadRaw!H:H)</f>
        <v>0</v>
      </c>
      <c r="F80">
        <f>SUMIF(DeadRaw!$B:$B,$A80,DeadRaw!I:I)</f>
        <v>0</v>
      </c>
      <c r="G80">
        <f>SUMIF(DeadRaw!$B:$B,$A80,DeadRaw!J:J)</f>
        <v>0</v>
      </c>
      <c r="H80">
        <f>SUMIF(DeadRaw!$B:$B,$A80,DeadRaw!K:K)</f>
        <v>0</v>
      </c>
      <c r="I80">
        <f>SUMIF(DeadRaw!$B:$B,$A80,DeadRaw!L:L)</f>
        <v>0</v>
      </c>
      <c r="J80">
        <f>SUMIF(DeadRaw!$B:$B,$A80,DeadRaw!M:M)</f>
        <v>0</v>
      </c>
      <c r="K80">
        <f>SUMIF(DeadRaw!$B:$B,$A80,DeadRaw!N:N)</f>
        <v>0</v>
      </c>
      <c r="L80">
        <f>SUMIF(DeadRaw!$B:$B,$A80,DeadRaw!O:O)</f>
        <v>0</v>
      </c>
      <c r="M80">
        <f>SUMIF(DeadRaw!$B:$B,$A80,DeadRaw!P:P)</f>
        <v>0</v>
      </c>
      <c r="N80">
        <f>SUMIF(DeadRaw!$B:$B,$A80,DeadRaw!Q:Q)</f>
        <v>0</v>
      </c>
      <c r="O80">
        <f>SUMIF(DeadRaw!$B:$B,$A80,DeadRaw!R:R)</f>
        <v>0</v>
      </c>
      <c r="P80">
        <f>SUMIF(DeadRaw!$B:$B,$A80,DeadRaw!S:S)</f>
        <v>0</v>
      </c>
      <c r="Q80">
        <f>SUMIF(DeadRaw!$B:$B,$A80,DeadRaw!T:T)</f>
        <v>0</v>
      </c>
      <c r="R80">
        <f>SUMIF(DeadRaw!$B:$B,$A80,DeadRaw!U:U)</f>
        <v>0</v>
      </c>
      <c r="S80">
        <f>SUMIF(DeadRaw!$B:$B,$A80,DeadRaw!V:V)</f>
        <v>0</v>
      </c>
      <c r="T80">
        <f>SUMIF(DeadRaw!$B:$B,$A80,DeadRaw!W:W)</f>
        <v>0</v>
      </c>
      <c r="U80">
        <f>SUMIF(DeadRaw!$B:$B,$A80,DeadRaw!X:X)</f>
        <v>0</v>
      </c>
      <c r="V80">
        <f>SUMIF(DeadRaw!$B:$B,$A80,DeadRaw!Y:Y)</f>
        <v>0</v>
      </c>
      <c r="W80">
        <f>SUMIF(DeadRaw!$B:$B,$A80,DeadRaw!Z:Z)</f>
        <v>0</v>
      </c>
      <c r="X80">
        <f>SUMIF(DeadRaw!$B:$B,$A80,DeadRaw!AA:AA)</f>
        <v>0</v>
      </c>
      <c r="Y80">
        <f>SUMIF(DeadRaw!$B:$B,$A80,DeadRaw!AB:AB)</f>
        <v>0</v>
      </c>
      <c r="Z80">
        <f>SUMIF(DeadRaw!$B:$B,$A80,DeadRaw!AC:AC)</f>
        <v>0</v>
      </c>
      <c r="AA80">
        <f>SUMIF(DeadRaw!$B:$B,$A80,DeadRaw!AD:AD)</f>
        <v>0</v>
      </c>
      <c r="AB80">
        <f>SUMIF(DeadRaw!$B:$B,$A80,DeadRaw!AE:AE)</f>
        <v>0</v>
      </c>
      <c r="AC80">
        <f>SUMIF(DeadRaw!$B:$B,$A80,DeadRaw!AF:AF)</f>
        <v>0</v>
      </c>
      <c r="AD80">
        <f>SUMIF(DeadRaw!$B:$B,$A80,DeadRaw!AG:AG)</f>
        <v>0</v>
      </c>
      <c r="AE80">
        <f>SUMIF(DeadRaw!$B:$B,$A80,DeadRaw!AH:AH)</f>
        <v>0</v>
      </c>
      <c r="AF80">
        <f>SUMIF(DeadRaw!$B:$B,$A80,DeadRaw!AI:AI)</f>
        <v>0</v>
      </c>
      <c r="AG80">
        <f>SUMIF(DeadRaw!$B:$B,$A80,DeadRaw!AJ:AJ)</f>
        <v>0</v>
      </c>
      <c r="AH80">
        <f>SUMIF(DeadRaw!$B:$B,$A80,DeadRaw!AK:AK)</f>
        <v>0</v>
      </c>
      <c r="AI80">
        <f>SUMIF(DeadRaw!$B:$B,$A80,DeadRaw!AL:AL)</f>
        <v>0</v>
      </c>
      <c r="AJ80">
        <f>SUMIF(DeadRaw!$B:$B,$A80,DeadRaw!AM:AM)</f>
        <v>0</v>
      </c>
      <c r="AK80">
        <f>SUMIF(DeadRaw!$B:$B,$A80,DeadRaw!AN:AN)</f>
        <v>0</v>
      </c>
      <c r="AL80">
        <f>SUMIF(DeadRaw!$B:$B,$A80,DeadRaw!AO:AO)</f>
        <v>0</v>
      </c>
      <c r="AM80">
        <f>SUMIF(DeadRaw!$B:$B,$A80,DeadRaw!AP:AP)</f>
        <v>0</v>
      </c>
      <c r="AN80">
        <f>SUMIF(DeadRaw!$B:$B,$A80,DeadRaw!AQ:AQ)</f>
        <v>0</v>
      </c>
      <c r="AO80">
        <f>SUMIF(DeadRaw!$B:$B,$A80,DeadRaw!AR:AR)</f>
        <v>0</v>
      </c>
      <c r="AP80">
        <f>SUMIF(DeadRaw!$B:$B,$A80,DeadRaw!AS:AS)</f>
        <v>0</v>
      </c>
      <c r="AQ80">
        <f>SUMIF(DeadRaw!$B:$B,$A80,DeadRaw!AT:AT)</f>
        <v>0</v>
      </c>
      <c r="AR80">
        <f>SUMIF(DeadRaw!$B:$B,$A80,DeadRaw!AU:AU)</f>
        <v>0</v>
      </c>
      <c r="AS80">
        <f>SUMIF(DeadRaw!$B:$B,$A80,DeadRaw!AV:AV)</f>
        <v>0</v>
      </c>
      <c r="AT80">
        <f>SUMIF(DeadRaw!$B:$B,$A80,DeadRaw!AW:AW)</f>
        <v>0</v>
      </c>
      <c r="AU80">
        <f>SUMIF(DeadRaw!$B:$B,$A80,DeadRaw!AX:AX)</f>
        <v>0</v>
      </c>
      <c r="AV80">
        <f>SUMIF(DeadRaw!$B:$B,$A80,DeadRaw!AY:AY)</f>
        <v>0</v>
      </c>
      <c r="AW80">
        <f>SUMIF(DeadRaw!$B:$B,$A80,DeadRaw!AZ:AZ)</f>
        <v>0</v>
      </c>
      <c r="AX80">
        <f>SUMIF(DeadRaw!$B:$B,$A80,DeadRaw!BA:BA)</f>
        <v>0</v>
      </c>
      <c r="AY80">
        <f>SUMIF(DeadRaw!$B:$B,$A80,DeadRaw!BB:BB)</f>
        <v>0</v>
      </c>
      <c r="AZ80">
        <f>SUMIF(DeadRaw!$B:$B,$A80,DeadRaw!BC:BC)</f>
        <v>0</v>
      </c>
      <c r="BA80">
        <f>SUMIF(DeadRaw!$B:$B,$A80,DeadRaw!BD:BD)</f>
        <v>0</v>
      </c>
      <c r="BB80">
        <f>SUMIF(DeadRaw!$B:$B,$A80,DeadRaw!BE:BE)</f>
        <v>0</v>
      </c>
      <c r="BC80">
        <f>SUMIF(DeadRaw!$B:$B,$A80,DeadRaw!BF:BF)</f>
        <v>0</v>
      </c>
      <c r="BD80">
        <f>SUMIF(DeadRaw!$B:$B,$A80,DeadRaw!BG:BG)</f>
        <v>0</v>
      </c>
      <c r="BE80">
        <f>SUMIF(DeadRaw!$B:$B,$A80,DeadRaw!BH:BH)</f>
        <v>0</v>
      </c>
      <c r="BF80">
        <f>SUMIF(DeadRaw!$B:$B,$A80,DeadRaw!BI:BI)</f>
        <v>0</v>
      </c>
      <c r="BG80">
        <f>SUMIF(DeadRaw!$B:$B,$A80,DeadRaw!BJ:BJ)</f>
        <v>0</v>
      </c>
      <c r="BH80">
        <f>SUMIF(DeadRaw!$B:$B,$A80,DeadRaw!BK:BK)</f>
        <v>0</v>
      </c>
      <c r="BI80">
        <f>SUMIF(DeadRaw!$B:$B,$A80,DeadRaw!BL:BL)</f>
        <v>0</v>
      </c>
      <c r="BJ80">
        <f>SUMIF(DeadRaw!$B:$B,$A80,DeadRaw!BM:BM)</f>
        <v>0</v>
      </c>
      <c r="BK80">
        <f>SUMIF(DeadRaw!$B:$B,$A80,DeadRaw!BN:BN)</f>
        <v>0</v>
      </c>
      <c r="BL80">
        <f>SUMIF(DeadRaw!$B:$B,$A80,DeadRaw!BO:BO)</f>
        <v>0</v>
      </c>
      <c r="BM80">
        <f>SUMIF(DeadRaw!$B:$B,$A80,DeadRaw!BP:BP)</f>
        <v>0</v>
      </c>
      <c r="BN80">
        <f>SUMIF(DeadRaw!$B:$B,$A80,DeadRaw!BQ:BQ)</f>
        <v>0</v>
      </c>
      <c r="BO80">
        <f>SUMIF(DeadRaw!$B:$B,$A80,DeadRaw!BR:BR)</f>
        <v>0</v>
      </c>
      <c r="BP80">
        <f>SUMIF(DeadRaw!$B:$B,$A80,DeadRaw!BS:BS)</f>
        <v>0</v>
      </c>
      <c r="BQ80">
        <f>SUMIF(DeadRaw!$B:$B,$A80,DeadRaw!BT:BT)</f>
        <v>0</v>
      </c>
      <c r="BR80">
        <f>SUMIF(DeadRaw!$B:$B,$A80,DeadRaw!BU:BU)</f>
        <v>0</v>
      </c>
      <c r="BS80">
        <f>SUMIF(DeadRaw!$B:$B,$A80,DeadRaw!BV:BV)</f>
        <v>0</v>
      </c>
      <c r="BT80">
        <f>SUMIF(DeadRaw!$B:$B,$A80,DeadRaw!BW:BW)</f>
        <v>0</v>
      </c>
    </row>
    <row r="81" spans="1:72" ht="15" thickBot="1" x14ac:dyDescent="0.35">
      <c r="A81" s="3" t="s">
        <v>114</v>
      </c>
      <c r="B81">
        <f>SUMIF(DeadRaw!$B:$B,$A81,DeadRaw!E:E)</f>
        <v>0</v>
      </c>
      <c r="C81">
        <f>SUMIF(DeadRaw!$B:$B,$A81,DeadRaw!F:F)</f>
        <v>0</v>
      </c>
      <c r="D81">
        <f>SUMIF(DeadRaw!$B:$B,$A81,DeadRaw!G:G)</f>
        <v>0</v>
      </c>
      <c r="E81">
        <f>SUMIF(DeadRaw!$B:$B,$A81,DeadRaw!H:H)</f>
        <v>0</v>
      </c>
      <c r="F81">
        <f>SUMIF(DeadRaw!$B:$B,$A81,DeadRaw!I:I)</f>
        <v>0</v>
      </c>
      <c r="G81">
        <f>SUMIF(DeadRaw!$B:$B,$A81,DeadRaw!J:J)</f>
        <v>0</v>
      </c>
      <c r="H81">
        <f>SUMIF(DeadRaw!$B:$B,$A81,DeadRaw!K:K)</f>
        <v>0</v>
      </c>
      <c r="I81">
        <f>SUMIF(DeadRaw!$B:$B,$A81,DeadRaw!L:L)</f>
        <v>0</v>
      </c>
      <c r="J81">
        <f>SUMIF(DeadRaw!$B:$B,$A81,DeadRaw!M:M)</f>
        <v>0</v>
      </c>
      <c r="K81">
        <f>SUMIF(DeadRaw!$B:$B,$A81,DeadRaw!N:N)</f>
        <v>0</v>
      </c>
      <c r="L81">
        <f>SUMIF(DeadRaw!$B:$B,$A81,DeadRaw!O:O)</f>
        <v>0</v>
      </c>
      <c r="M81">
        <f>SUMIF(DeadRaw!$B:$B,$A81,DeadRaw!P:P)</f>
        <v>0</v>
      </c>
      <c r="N81">
        <f>SUMIF(DeadRaw!$B:$B,$A81,DeadRaw!Q:Q)</f>
        <v>0</v>
      </c>
      <c r="O81">
        <f>SUMIF(DeadRaw!$B:$B,$A81,DeadRaw!R:R)</f>
        <v>0</v>
      </c>
      <c r="P81">
        <f>SUMIF(DeadRaw!$B:$B,$A81,DeadRaw!S:S)</f>
        <v>0</v>
      </c>
      <c r="Q81">
        <f>SUMIF(DeadRaw!$B:$B,$A81,DeadRaw!T:T)</f>
        <v>0</v>
      </c>
      <c r="R81">
        <f>SUMIF(DeadRaw!$B:$B,$A81,DeadRaw!U:U)</f>
        <v>0</v>
      </c>
      <c r="S81">
        <f>SUMIF(DeadRaw!$B:$B,$A81,DeadRaw!V:V)</f>
        <v>0</v>
      </c>
      <c r="T81">
        <f>SUMIF(DeadRaw!$B:$B,$A81,DeadRaw!W:W)</f>
        <v>0</v>
      </c>
      <c r="U81">
        <f>SUMIF(DeadRaw!$B:$B,$A81,DeadRaw!X:X)</f>
        <v>0</v>
      </c>
      <c r="V81">
        <f>SUMIF(DeadRaw!$B:$B,$A81,DeadRaw!Y:Y)</f>
        <v>0</v>
      </c>
      <c r="W81">
        <f>SUMIF(DeadRaw!$B:$B,$A81,DeadRaw!Z:Z)</f>
        <v>0</v>
      </c>
      <c r="X81">
        <f>SUMIF(DeadRaw!$B:$B,$A81,DeadRaw!AA:AA)</f>
        <v>0</v>
      </c>
      <c r="Y81">
        <f>SUMIF(DeadRaw!$B:$B,$A81,DeadRaw!AB:AB)</f>
        <v>0</v>
      </c>
      <c r="Z81">
        <f>SUMIF(DeadRaw!$B:$B,$A81,DeadRaw!AC:AC)</f>
        <v>0</v>
      </c>
      <c r="AA81">
        <f>SUMIF(DeadRaw!$B:$B,$A81,DeadRaw!AD:AD)</f>
        <v>0</v>
      </c>
      <c r="AB81">
        <f>SUMIF(DeadRaw!$B:$B,$A81,DeadRaw!AE:AE)</f>
        <v>0</v>
      </c>
      <c r="AC81">
        <f>SUMIF(DeadRaw!$B:$B,$A81,DeadRaw!AF:AF)</f>
        <v>0</v>
      </c>
      <c r="AD81">
        <f>SUMIF(DeadRaw!$B:$B,$A81,DeadRaw!AG:AG)</f>
        <v>0</v>
      </c>
      <c r="AE81">
        <f>SUMIF(DeadRaw!$B:$B,$A81,DeadRaw!AH:AH)</f>
        <v>0</v>
      </c>
      <c r="AF81">
        <f>SUMIF(DeadRaw!$B:$B,$A81,DeadRaw!AI:AI)</f>
        <v>0</v>
      </c>
      <c r="AG81">
        <f>SUMIF(DeadRaw!$B:$B,$A81,DeadRaw!AJ:AJ)</f>
        <v>0</v>
      </c>
      <c r="AH81">
        <f>SUMIF(DeadRaw!$B:$B,$A81,DeadRaw!AK:AK)</f>
        <v>0</v>
      </c>
      <c r="AI81">
        <f>SUMIF(DeadRaw!$B:$B,$A81,DeadRaw!AL:AL)</f>
        <v>0</v>
      </c>
      <c r="AJ81">
        <f>SUMIF(DeadRaw!$B:$B,$A81,DeadRaw!AM:AM)</f>
        <v>0</v>
      </c>
      <c r="AK81">
        <f>SUMIF(DeadRaw!$B:$B,$A81,DeadRaw!AN:AN)</f>
        <v>0</v>
      </c>
      <c r="AL81">
        <f>SUMIF(DeadRaw!$B:$B,$A81,DeadRaw!AO:AO)</f>
        <v>0</v>
      </c>
      <c r="AM81">
        <f>SUMIF(DeadRaw!$B:$B,$A81,DeadRaw!AP:AP)</f>
        <v>0</v>
      </c>
      <c r="AN81">
        <f>SUMIF(DeadRaw!$B:$B,$A81,DeadRaw!AQ:AQ)</f>
        <v>0</v>
      </c>
      <c r="AO81">
        <f>SUMIF(DeadRaw!$B:$B,$A81,DeadRaw!AR:AR)</f>
        <v>0</v>
      </c>
      <c r="AP81">
        <f>SUMIF(DeadRaw!$B:$B,$A81,DeadRaw!AS:AS)</f>
        <v>0</v>
      </c>
      <c r="AQ81">
        <f>SUMIF(DeadRaw!$B:$B,$A81,DeadRaw!AT:AT)</f>
        <v>0</v>
      </c>
      <c r="AR81">
        <f>SUMIF(DeadRaw!$B:$B,$A81,DeadRaw!AU:AU)</f>
        <v>0</v>
      </c>
      <c r="AS81">
        <f>SUMIF(DeadRaw!$B:$B,$A81,DeadRaw!AV:AV)</f>
        <v>0</v>
      </c>
      <c r="AT81">
        <f>SUMIF(DeadRaw!$B:$B,$A81,DeadRaw!AW:AW)</f>
        <v>0</v>
      </c>
      <c r="AU81">
        <f>SUMIF(DeadRaw!$B:$B,$A81,DeadRaw!AX:AX)</f>
        <v>0</v>
      </c>
      <c r="AV81">
        <f>SUMIF(DeadRaw!$B:$B,$A81,DeadRaw!AY:AY)</f>
        <v>0</v>
      </c>
      <c r="AW81">
        <f>SUMIF(DeadRaw!$B:$B,$A81,DeadRaw!AZ:AZ)</f>
        <v>0</v>
      </c>
      <c r="AX81">
        <f>SUMIF(DeadRaw!$B:$B,$A81,DeadRaw!BA:BA)</f>
        <v>0</v>
      </c>
      <c r="AY81">
        <f>SUMIF(DeadRaw!$B:$B,$A81,DeadRaw!BB:BB)</f>
        <v>0</v>
      </c>
      <c r="AZ81">
        <f>SUMIF(DeadRaw!$B:$B,$A81,DeadRaw!BC:BC)</f>
        <v>0</v>
      </c>
      <c r="BA81">
        <f>SUMIF(DeadRaw!$B:$B,$A81,DeadRaw!BD:BD)</f>
        <v>0</v>
      </c>
      <c r="BB81">
        <f>SUMIF(DeadRaw!$B:$B,$A81,DeadRaw!BE:BE)</f>
        <v>0</v>
      </c>
      <c r="BC81">
        <f>SUMIF(DeadRaw!$B:$B,$A81,DeadRaw!BF:BF)</f>
        <v>0</v>
      </c>
      <c r="BD81">
        <f>SUMIF(DeadRaw!$B:$B,$A81,DeadRaw!BG:BG)</f>
        <v>0</v>
      </c>
      <c r="BE81">
        <f>SUMIF(DeadRaw!$B:$B,$A81,DeadRaw!BH:BH)</f>
        <v>0</v>
      </c>
      <c r="BF81">
        <f>SUMIF(DeadRaw!$B:$B,$A81,DeadRaw!BI:BI)</f>
        <v>0</v>
      </c>
      <c r="BG81">
        <f>SUMIF(DeadRaw!$B:$B,$A81,DeadRaw!BJ:BJ)</f>
        <v>0</v>
      </c>
      <c r="BH81">
        <f>SUMIF(DeadRaw!$B:$B,$A81,DeadRaw!BK:BK)</f>
        <v>0</v>
      </c>
      <c r="BI81">
        <f>SUMIF(DeadRaw!$B:$B,$A81,DeadRaw!BL:BL)</f>
        <v>0</v>
      </c>
      <c r="BJ81">
        <f>SUMIF(DeadRaw!$B:$B,$A81,DeadRaw!BM:BM)</f>
        <v>0</v>
      </c>
      <c r="BK81">
        <f>SUMIF(DeadRaw!$B:$B,$A81,DeadRaw!BN:BN)</f>
        <v>0</v>
      </c>
      <c r="BL81">
        <f>SUMIF(DeadRaw!$B:$B,$A81,DeadRaw!BO:BO)</f>
        <v>0</v>
      </c>
      <c r="BM81">
        <f>SUMIF(DeadRaw!$B:$B,$A81,DeadRaw!BP:BP)</f>
        <v>0</v>
      </c>
      <c r="BN81">
        <f>SUMIF(DeadRaw!$B:$B,$A81,DeadRaw!BQ:BQ)</f>
        <v>0</v>
      </c>
      <c r="BO81">
        <f>SUMIF(DeadRaw!$B:$B,$A81,DeadRaw!BR:BR)</f>
        <v>0</v>
      </c>
      <c r="BP81">
        <f>SUMIF(DeadRaw!$B:$B,$A81,DeadRaw!BS:BS)</f>
        <v>0</v>
      </c>
      <c r="BQ81">
        <f>SUMIF(DeadRaw!$B:$B,$A81,DeadRaw!BT:BT)</f>
        <v>0</v>
      </c>
      <c r="BR81">
        <f>SUMIF(DeadRaw!$B:$B,$A81,DeadRaw!BU:BU)</f>
        <v>0</v>
      </c>
      <c r="BS81">
        <f>SUMIF(DeadRaw!$B:$B,$A81,DeadRaw!BV:BV)</f>
        <v>0</v>
      </c>
      <c r="BT81">
        <f>SUMIF(DeadRaw!$B:$B,$A81,DeadRaw!BW:BW)</f>
        <v>0</v>
      </c>
    </row>
    <row r="82" spans="1:72" ht="15" thickBot="1" x14ac:dyDescent="0.35">
      <c r="A82" s="4" t="s">
        <v>200</v>
      </c>
      <c r="B82">
        <f>SUMIF(DeadRaw!$B:$B,$A82,DeadRaw!E:E)</f>
        <v>0</v>
      </c>
      <c r="C82">
        <f>SUMIF(DeadRaw!$B:$B,$A82,DeadRaw!F:F)</f>
        <v>0</v>
      </c>
      <c r="D82">
        <f>SUMIF(DeadRaw!$B:$B,$A82,DeadRaw!G:G)</f>
        <v>0</v>
      </c>
      <c r="E82">
        <f>SUMIF(DeadRaw!$B:$B,$A82,DeadRaw!H:H)</f>
        <v>0</v>
      </c>
      <c r="F82">
        <f>SUMIF(DeadRaw!$B:$B,$A82,DeadRaw!I:I)</f>
        <v>0</v>
      </c>
      <c r="G82">
        <f>SUMIF(DeadRaw!$B:$B,$A82,DeadRaw!J:J)</f>
        <v>0</v>
      </c>
      <c r="H82">
        <f>SUMIF(DeadRaw!$B:$B,$A82,DeadRaw!K:K)</f>
        <v>0</v>
      </c>
      <c r="I82">
        <f>SUMIF(DeadRaw!$B:$B,$A82,DeadRaw!L:L)</f>
        <v>0</v>
      </c>
      <c r="J82">
        <f>SUMIF(DeadRaw!$B:$B,$A82,DeadRaw!M:M)</f>
        <v>0</v>
      </c>
      <c r="K82">
        <f>SUMIF(DeadRaw!$B:$B,$A82,DeadRaw!N:N)</f>
        <v>0</v>
      </c>
      <c r="L82">
        <f>SUMIF(DeadRaw!$B:$B,$A82,DeadRaw!O:O)</f>
        <v>0</v>
      </c>
      <c r="M82">
        <f>SUMIF(DeadRaw!$B:$B,$A82,DeadRaw!P:P)</f>
        <v>0</v>
      </c>
      <c r="N82">
        <f>SUMIF(DeadRaw!$B:$B,$A82,DeadRaw!Q:Q)</f>
        <v>0</v>
      </c>
      <c r="O82">
        <f>SUMIF(DeadRaw!$B:$B,$A82,DeadRaw!R:R)</f>
        <v>0</v>
      </c>
      <c r="P82">
        <f>SUMIF(DeadRaw!$B:$B,$A82,DeadRaw!S:S)</f>
        <v>0</v>
      </c>
      <c r="Q82">
        <f>SUMIF(DeadRaw!$B:$B,$A82,DeadRaw!T:T)</f>
        <v>0</v>
      </c>
      <c r="R82">
        <f>SUMIF(DeadRaw!$B:$B,$A82,DeadRaw!U:U)</f>
        <v>0</v>
      </c>
      <c r="S82">
        <f>SUMIF(DeadRaw!$B:$B,$A82,DeadRaw!V:V)</f>
        <v>0</v>
      </c>
      <c r="T82">
        <f>SUMIF(DeadRaw!$B:$B,$A82,DeadRaw!W:W)</f>
        <v>0</v>
      </c>
      <c r="U82">
        <f>SUMIF(DeadRaw!$B:$B,$A82,DeadRaw!X:X)</f>
        <v>0</v>
      </c>
      <c r="V82">
        <f>SUMIF(DeadRaw!$B:$B,$A82,DeadRaw!Y:Y)</f>
        <v>0</v>
      </c>
      <c r="W82">
        <f>SUMIF(DeadRaw!$B:$B,$A82,DeadRaw!Z:Z)</f>
        <v>0</v>
      </c>
      <c r="X82">
        <f>SUMIF(DeadRaw!$B:$B,$A82,DeadRaw!AA:AA)</f>
        <v>0</v>
      </c>
      <c r="Y82">
        <f>SUMIF(DeadRaw!$B:$B,$A82,DeadRaw!AB:AB)</f>
        <v>0</v>
      </c>
      <c r="Z82">
        <f>SUMIF(DeadRaw!$B:$B,$A82,DeadRaw!AC:AC)</f>
        <v>0</v>
      </c>
      <c r="AA82">
        <f>SUMIF(DeadRaw!$B:$B,$A82,DeadRaw!AD:AD)</f>
        <v>0</v>
      </c>
      <c r="AB82">
        <f>SUMIF(DeadRaw!$B:$B,$A82,DeadRaw!AE:AE)</f>
        <v>0</v>
      </c>
      <c r="AC82">
        <f>SUMIF(DeadRaw!$B:$B,$A82,DeadRaw!AF:AF)</f>
        <v>0</v>
      </c>
      <c r="AD82">
        <f>SUMIF(DeadRaw!$B:$B,$A82,DeadRaw!AG:AG)</f>
        <v>0</v>
      </c>
      <c r="AE82">
        <f>SUMIF(DeadRaw!$B:$B,$A82,DeadRaw!AH:AH)</f>
        <v>0</v>
      </c>
      <c r="AF82">
        <f>SUMIF(DeadRaw!$B:$B,$A82,DeadRaw!AI:AI)</f>
        <v>0</v>
      </c>
      <c r="AG82">
        <f>SUMIF(DeadRaw!$B:$B,$A82,DeadRaw!AJ:AJ)</f>
        <v>0</v>
      </c>
      <c r="AH82">
        <f>SUMIF(DeadRaw!$B:$B,$A82,DeadRaw!AK:AK)</f>
        <v>0</v>
      </c>
      <c r="AI82">
        <f>SUMIF(DeadRaw!$B:$B,$A82,DeadRaw!AL:AL)</f>
        <v>0</v>
      </c>
      <c r="AJ82">
        <f>SUMIF(DeadRaw!$B:$B,$A82,DeadRaw!AM:AM)</f>
        <v>0</v>
      </c>
      <c r="AK82">
        <f>SUMIF(DeadRaw!$B:$B,$A82,DeadRaw!AN:AN)</f>
        <v>0</v>
      </c>
      <c r="AL82">
        <f>SUMIF(DeadRaw!$B:$B,$A82,DeadRaw!AO:AO)</f>
        <v>0</v>
      </c>
      <c r="AM82">
        <f>SUMIF(DeadRaw!$B:$B,$A82,DeadRaw!AP:AP)</f>
        <v>0</v>
      </c>
      <c r="AN82">
        <f>SUMIF(DeadRaw!$B:$B,$A82,DeadRaw!AQ:AQ)</f>
        <v>0</v>
      </c>
      <c r="AO82">
        <f>SUMIF(DeadRaw!$B:$B,$A82,DeadRaw!AR:AR)</f>
        <v>0</v>
      </c>
      <c r="AP82">
        <f>SUMIF(DeadRaw!$B:$B,$A82,DeadRaw!AS:AS)</f>
        <v>0</v>
      </c>
      <c r="AQ82">
        <f>SUMIF(DeadRaw!$B:$B,$A82,DeadRaw!AT:AT)</f>
        <v>0</v>
      </c>
      <c r="AR82">
        <f>SUMIF(DeadRaw!$B:$B,$A82,DeadRaw!AU:AU)</f>
        <v>0</v>
      </c>
      <c r="AS82">
        <f>SUMIF(DeadRaw!$B:$B,$A82,DeadRaw!AV:AV)</f>
        <v>0</v>
      </c>
      <c r="AT82">
        <f>SUMIF(DeadRaw!$B:$B,$A82,DeadRaw!AW:AW)</f>
        <v>0</v>
      </c>
      <c r="AU82">
        <f>SUMIF(DeadRaw!$B:$B,$A82,DeadRaw!AX:AX)</f>
        <v>0</v>
      </c>
      <c r="AV82">
        <f>SUMIF(DeadRaw!$B:$B,$A82,DeadRaw!AY:AY)</f>
        <v>0</v>
      </c>
      <c r="AW82">
        <f>SUMIF(DeadRaw!$B:$B,$A82,DeadRaw!AZ:AZ)</f>
        <v>0</v>
      </c>
      <c r="AX82">
        <f>SUMIF(DeadRaw!$B:$B,$A82,DeadRaw!BA:BA)</f>
        <v>0</v>
      </c>
      <c r="AY82">
        <f>SUMIF(DeadRaw!$B:$B,$A82,DeadRaw!BB:BB)</f>
        <v>0</v>
      </c>
      <c r="AZ82">
        <f>SUMIF(DeadRaw!$B:$B,$A82,DeadRaw!BC:BC)</f>
        <v>0</v>
      </c>
      <c r="BA82">
        <f>SUMIF(DeadRaw!$B:$B,$A82,DeadRaw!BD:BD)</f>
        <v>0</v>
      </c>
      <c r="BB82">
        <f>SUMIF(DeadRaw!$B:$B,$A82,DeadRaw!BE:BE)</f>
        <v>0</v>
      </c>
      <c r="BC82">
        <f>SUMIF(DeadRaw!$B:$B,$A82,DeadRaw!BF:BF)</f>
        <v>0</v>
      </c>
      <c r="BD82">
        <f>SUMIF(DeadRaw!$B:$B,$A82,DeadRaw!BG:BG)</f>
        <v>0</v>
      </c>
      <c r="BE82">
        <f>SUMIF(DeadRaw!$B:$B,$A82,DeadRaw!BH:BH)</f>
        <v>0</v>
      </c>
      <c r="BF82">
        <f>SUMIF(DeadRaw!$B:$B,$A82,DeadRaw!BI:BI)</f>
        <v>0</v>
      </c>
      <c r="BG82">
        <f>SUMIF(DeadRaw!$B:$B,$A82,DeadRaw!BJ:BJ)</f>
        <v>0</v>
      </c>
      <c r="BH82">
        <f>SUMIF(DeadRaw!$B:$B,$A82,DeadRaw!BK:BK)</f>
        <v>0</v>
      </c>
      <c r="BI82">
        <f>SUMIF(DeadRaw!$B:$B,$A82,DeadRaw!BL:BL)</f>
        <v>0</v>
      </c>
      <c r="BJ82">
        <f>SUMIF(DeadRaw!$B:$B,$A82,DeadRaw!BM:BM)</f>
        <v>0</v>
      </c>
      <c r="BK82">
        <f>SUMIF(DeadRaw!$B:$B,$A82,DeadRaw!BN:BN)</f>
        <v>0</v>
      </c>
      <c r="BL82">
        <f>SUMIF(DeadRaw!$B:$B,$A82,DeadRaw!BO:BO)</f>
        <v>0</v>
      </c>
      <c r="BM82">
        <f>SUMIF(DeadRaw!$B:$B,$A82,DeadRaw!BP:BP)</f>
        <v>0</v>
      </c>
      <c r="BN82">
        <f>SUMIF(DeadRaw!$B:$B,$A82,DeadRaw!BQ:BQ)</f>
        <v>0</v>
      </c>
      <c r="BO82">
        <f>SUMIF(DeadRaw!$B:$B,$A82,DeadRaw!BR:BR)</f>
        <v>0</v>
      </c>
      <c r="BP82">
        <f>SUMIF(DeadRaw!$B:$B,$A82,DeadRaw!BS:BS)</f>
        <v>0</v>
      </c>
      <c r="BQ82">
        <f>SUMIF(DeadRaw!$B:$B,$A82,DeadRaw!BT:BT)</f>
        <v>0</v>
      </c>
      <c r="BR82">
        <f>SUMIF(DeadRaw!$B:$B,$A82,DeadRaw!BU:BU)</f>
        <v>0</v>
      </c>
      <c r="BS82">
        <f>SUMIF(DeadRaw!$B:$B,$A82,DeadRaw!BV:BV)</f>
        <v>0</v>
      </c>
      <c r="BT82">
        <f>SUMIF(DeadRaw!$B:$B,$A82,DeadRaw!BW:BW)</f>
        <v>0</v>
      </c>
    </row>
    <row r="83" spans="1:72" ht="15" thickBot="1" x14ac:dyDescent="0.35">
      <c r="A83" s="4" t="s">
        <v>105</v>
      </c>
      <c r="B83">
        <f>SUMIF(DeadRaw!$B:$B,$A83,DeadRaw!E:E)</f>
        <v>0</v>
      </c>
      <c r="C83">
        <f>SUMIF(DeadRaw!$B:$B,$A83,DeadRaw!F:F)</f>
        <v>0</v>
      </c>
      <c r="D83">
        <f>SUMIF(DeadRaw!$B:$B,$A83,DeadRaw!G:G)</f>
        <v>0</v>
      </c>
      <c r="E83">
        <f>SUMIF(DeadRaw!$B:$B,$A83,DeadRaw!H:H)</f>
        <v>0</v>
      </c>
      <c r="F83">
        <f>SUMIF(DeadRaw!$B:$B,$A83,DeadRaw!I:I)</f>
        <v>0</v>
      </c>
      <c r="G83">
        <f>SUMIF(DeadRaw!$B:$B,$A83,DeadRaw!J:J)</f>
        <v>0</v>
      </c>
      <c r="H83">
        <f>SUMIF(DeadRaw!$B:$B,$A83,DeadRaw!K:K)</f>
        <v>0</v>
      </c>
      <c r="I83">
        <f>SUMIF(DeadRaw!$B:$B,$A83,DeadRaw!L:L)</f>
        <v>0</v>
      </c>
      <c r="J83">
        <f>SUMIF(DeadRaw!$B:$B,$A83,DeadRaw!M:M)</f>
        <v>0</v>
      </c>
      <c r="K83">
        <f>SUMIF(DeadRaw!$B:$B,$A83,DeadRaw!N:N)</f>
        <v>0</v>
      </c>
      <c r="L83">
        <f>SUMIF(DeadRaw!$B:$B,$A83,DeadRaw!O:O)</f>
        <v>0</v>
      </c>
      <c r="M83">
        <f>SUMIF(DeadRaw!$B:$B,$A83,DeadRaw!P:P)</f>
        <v>0</v>
      </c>
      <c r="N83">
        <f>SUMIF(DeadRaw!$B:$B,$A83,DeadRaw!Q:Q)</f>
        <v>0</v>
      </c>
      <c r="O83">
        <f>SUMIF(DeadRaw!$B:$B,$A83,DeadRaw!R:R)</f>
        <v>0</v>
      </c>
      <c r="P83">
        <f>SUMIF(DeadRaw!$B:$B,$A83,DeadRaw!S:S)</f>
        <v>0</v>
      </c>
      <c r="Q83">
        <f>SUMIF(DeadRaw!$B:$B,$A83,DeadRaw!T:T)</f>
        <v>0</v>
      </c>
      <c r="R83">
        <f>SUMIF(DeadRaw!$B:$B,$A83,DeadRaw!U:U)</f>
        <v>0</v>
      </c>
      <c r="S83">
        <f>SUMIF(DeadRaw!$B:$B,$A83,DeadRaw!V:V)</f>
        <v>0</v>
      </c>
      <c r="T83">
        <f>SUMIF(DeadRaw!$B:$B,$A83,DeadRaw!W:W)</f>
        <v>0</v>
      </c>
      <c r="U83">
        <f>SUMIF(DeadRaw!$B:$B,$A83,DeadRaw!X:X)</f>
        <v>0</v>
      </c>
      <c r="V83">
        <f>SUMIF(DeadRaw!$B:$B,$A83,DeadRaw!Y:Y)</f>
        <v>0</v>
      </c>
      <c r="W83">
        <f>SUMIF(DeadRaw!$B:$B,$A83,DeadRaw!Z:Z)</f>
        <v>0</v>
      </c>
      <c r="X83">
        <f>SUMIF(DeadRaw!$B:$B,$A83,DeadRaw!AA:AA)</f>
        <v>0</v>
      </c>
      <c r="Y83">
        <f>SUMIF(DeadRaw!$B:$B,$A83,DeadRaw!AB:AB)</f>
        <v>0</v>
      </c>
      <c r="Z83">
        <f>SUMIF(DeadRaw!$B:$B,$A83,DeadRaw!AC:AC)</f>
        <v>0</v>
      </c>
      <c r="AA83">
        <f>SUMIF(DeadRaw!$B:$B,$A83,DeadRaw!AD:AD)</f>
        <v>0</v>
      </c>
      <c r="AB83">
        <f>SUMIF(DeadRaw!$B:$B,$A83,DeadRaw!AE:AE)</f>
        <v>0</v>
      </c>
      <c r="AC83">
        <f>SUMIF(DeadRaw!$B:$B,$A83,DeadRaw!AF:AF)</f>
        <v>0</v>
      </c>
      <c r="AD83">
        <f>SUMIF(DeadRaw!$B:$B,$A83,DeadRaw!AG:AG)</f>
        <v>0</v>
      </c>
      <c r="AE83">
        <f>SUMIF(DeadRaw!$B:$B,$A83,DeadRaw!AH:AH)</f>
        <v>0</v>
      </c>
      <c r="AF83">
        <f>SUMIF(DeadRaw!$B:$B,$A83,DeadRaw!AI:AI)</f>
        <v>0</v>
      </c>
      <c r="AG83">
        <f>SUMIF(DeadRaw!$B:$B,$A83,DeadRaw!AJ:AJ)</f>
        <v>0</v>
      </c>
      <c r="AH83">
        <f>SUMIF(DeadRaw!$B:$B,$A83,DeadRaw!AK:AK)</f>
        <v>0</v>
      </c>
      <c r="AI83">
        <f>SUMIF(DeadRaw!$B:$B,$A83,DeadRaw!AL:AL)</f>
        <v>0</v>
      </c>
      <c r="AJ83">
        <f>SUMIF(DeadRaw!$B:$B,$A83,DeadRaw!AM:AM)</f>
        <v>0</v>
      </c>
      <c r="AK83">
        <f>SUMIF(DeadRaw!$B:$B,$A83,DeadRaw!AN:AN)</f>
        <v>0</v>
      </c>
      <c r="AL83">
        <f>SUMIF(DeadRaw!$B:$B,$A83,DeadRaw!AO:AO)</f>
        <v>0</v>
      </c>
      <c r="AM83">
        <f>SUMIF(DeadRaw!$B:$B,$A83,DeadRaw!AP:AP)</f>
        <v>0</v>
      </c>
      <c r="AN83">
        <f>SUMIF(DeadRaw!$B:$B,$A83,DeadRaw!AQ:AQ)</f>
        <v>0</v>
      </c>
      <c r="AO83">
        <f>SUMIF(DeadRaw!$B:$B,$A83,DeadRaw!AR:AR)</f>
        <v>0</v>
      </c>
      <c r="AP83">
        <f>SUMIF(DeadRaw!$B:$B,$A83,DeadRaw!AS:AS)</f>
        <v>0</v>
      </c>
      <c r="AQ83">
        <f>SUMIF(DeadRaw!$B:$B,$A83,DeadRaw!AT:AT)</f>
        <v>0</v>
      </c>
      <c r="AR83">
        <f>SUMIF(DeadRaw!$B:$B,$A83,DeadRaw!AU:AU)</f>
        <v>0</v>
      </c>
      <c r="AS83">
        <f>SUMIF(DeadRaw!$B:$B,$A83,DeadRaw!AV:AV)</f>
        <v>0</v>
      </c>
      <c r="AT83">
        <f>SUMIF(DeadRaw!$B:$B,$A83,DeadRaw!AW:AW)</f>
        <v>0</v>
      </c>
      <c r="AU83">
        <f>SUMIF(DeadRaw!$B:$B,$A83,DeadRaw!AX:AX)</f>
        <v>0</v>
      </c>
      <c r="AV83">
        <f>SUMIF(DeadRaw!$B:$B,$A83,DeadRaw!AY:AY)</f>
        <v>0</v>
      </c>
      <c r="AW83">
        <f>SUMIF(DeadRaw!$B:$B,$A83,DeadRaw!AZ:AZ)</f>
        <v>0</v>
      </c>
      <c r="AX83">
        <f>SUMIF(DeadRaw!$B:$B,$A83,DeadRaw!BA:BA)</f>
        <v>0</v>
      </c>
      <c r="AY83">
        <f>SUMIF(DeadRaw!$B:$B,$A83,DeadRaw!BB:BB)</f>
        <v>0</v>
      </c>
      <c r="AZ83">
        <f>SUMIF(DeadRaw!$B:$B,$A83,DeadRaw!BC:BC)</f>
        <v>0</v>
      </c>
      <c r="BA83">
        <f>SUMIF(DeadRaw!$B:$B,$A83,DeadRaw!BD:BD)</f>
        <v>0</v>
      </c>
      <c r="BB83">
        <f>SUMIF(DeadRaw!$B:$B,$A83,DeadRaw!BE:BE)</f>
        <v>0</v>
      </c>
      <c r="BC83">
        <f>SUMIF(DeadRaw!$B:$B,$A83,DeadRaw!BF:BF)</f>
        <v>0</v>
      </c>
      <c r="BD83">
        <f>SUMIF(DeadRaw!$B:$B,$A83,DeadRaw!BG:BG)</f>
        <v>0</v>
      </c>
      <c r="BE83">
        <f>SUMIF(DeadRaw!$B:$B,$A83,DeadRaw!BH:BH)</f>
        <v>0</v>
      </c>
      <c r="BF83">
        <f>SUMIF(DeadRaw!$B:$B,$A83,DeadRaw!BI:BI)</f>
        <v>0</v>
      </c>
      <c r="BG83">
        <f>SUMIF(DeadRaw!$B:$B,$A83,DeadRaw!BJ:BJ)</f>
        <v>0</v>
      </c>
      <c r="BH83">
        <f>SUMIF(DeadRaw!$B:$B,$A83,DeadRaw!BK:BK)</f>
        <v>0</v>
      </c>
      <c r="BI83">
        <f>SUMIF(DeadRaw!$B:$B,$A83,DeadRaw!BL:BL)</f>
        <v>0</v>
      </c>
      <c r="BJ83">
        <f>SUMIF(DeadRaw!$B:$B,$A83,DeadRaw!BM:BM)</f>
        <v>0</v>
      </c>
      <c r="BK83">
        <f>SUMIF(DeadRaw!$B:$B,$A83,DeadRaw!BN:BN)</f>
        <v>0</v>
      </c>
      <c r="BL83">
        <f>SUMIF(DeadRaw!$B:$B,$A83,DeadRaw!BO:BO)</f>
        <v>0</v>
      </c>
      <c r="BM83">
        <f>SUMIF(DeadRaw!$B:$B,$A83,DeadRaw!BP:BP)</f>
        <v>0</v>
      </c>
      <c r="BN83">
        <f>SUMIF(DeadRaw!$B:$B,$A83,DeadRaw!BQ:BQ)</f>
        <v>0</v>
      </c>
      <c r="BO83">
        <f>SUMIF(DeadRaw!$B:$B,$A83,DeadRaw!BR:BR)</f>
        <v>0</v>
      </c>
      <c r="BP83">
        <f>SUMIF(DeadRaw!$B:$B,$A83,DeadRaw!BS:BS)</f>
        <v>0</v>
      </c>
      <c r="BQ83">
        <f>SUMIF(DeadRaw!$B:$B,$A83,DeadRaw!BT:BT)</f>
        <v>0</v>
      </c>
      <c r="BR83">
        <f>SUMIF(DeadRaw!$B:$B,$A83,DeadRaw!BU:BU)</f>
        <v>0</v>
      </c>
      <c r="BS83">
        <f>SUMIF(DeadRaw!$B:$B,$A83,DeadRaw!BV:BV)</f>
        <v>0</v>
      </c>
      <c r="BT83">
        <f>SUMIF(DeadRaw!$B:$B,$A83,DeadRaw!BW:BW)</f>
        <v>0</v>
      </c>
    </row>
    <row r="84" spans="1:72" ht="15" thickBot="1" x14ac:dyDescent="0.35">
      <c r="A84" s="3" t="s">
        <v>353</v>
      </c>
      <c r="B84">
        <f>SUMIF(DeadRaw!$B:$B,$A84,DeadRaw!E:E)</f>
        <v>0</v>
      </c>
      <c r="C84">
        <f>SUMIF(DeadRaw!$B:$B,$A84,DeadRaw!F:F)</f>
        <v>0</v>
      </c>
      <c r="D84">
        <f>SUMIF(DeadRaw!$B:$B,$A84,DeadRaw!G:G)</f>
        <v>0</v>
      </c>
      <c r="E84">
        <f>SUMIF(DeadRaw!$B:$B,$A84,DeadRaw!H:H)</f>
        <v>0</v>
      </c>
      <c r="F84">
        <f>SUMIF(DeadRaw!$B:$B,$A84,DeadRaw!I:I)</f>
        <v>0</v>
      </c>
      <c r="G84">
        <f>SUMIF(DeadRaw!$B:$B,$A84,DeadRaw!J:J)</f>
        <v>0</v>
      </c>
      <c r="H84">
        <f>SUMIF(DeadRaw!$B:$B,$A84,DeadRaw!K:K)</f>
        <v>0</v>
      </c>
      <c r="I84">
        <f>SUMIF(DeadRaw!$B:$B,$A84,DeadRaw!L:L)</f>
        <v>0</v>
      </c>
      <c r="J84">
        <f>SUMIF(DeadRaw!$B:$B,$A84,DeadRaw!M:M)</f>
        <v>0</v>
      </c>
      <c r="K84">
        <f>SUMIF(DeadRaw!$B:$B,$A84,DeadRaw!N:N)</f>
        <v>0</v>
      </c>
      <c r="L84">
        <f>SUMIF(DeadRaw!$B:$B,$A84,DeadRaw!O:O)</f>
        <v>0</v>
      </c>
      <c r="M84">
        <f>SUMIF(DeadRaw!$B:$B,$A84,DeadRaw!P:P)</f>
        <v>0</v>
      </c>
      <c r="N84">
        <f>SUMIF(DeadRaw!$B:$B,$A84,DeadRaw!Q:Q)</f>
        <v>0</v>
      </c>
      <c r="O84">
        <f>SUMIF(DeadRaw!$B:$B,$A84,DeadRaw!R:R)</f>
        <v>0</v>
      </c>
      <c r="P84">
        <f>SUMIF(DeadRaw!$B:$B,$A84,DeadRaw!S:S)</f>
        <v>0</v>
      </c>
      <c r="Q84">
        <f>SUMIF(DeadRaw!$B:$B,$A84,DeadRaw!T:T)</f>
        <v>0</v>
      </c>
      <c r="R84">
        <f>SUMIF(DeadRaw!$B:$B,$A84,DeadRaw!U:U)</f>
        <v>0</v>
      </c>
      <c r="S84">
        <f>SUMIF(DeadRaw!$B:$B,$A84,DeadRaw!V:V)</f>
        <v>0</v>
      </c>
      <c r="T84">
        <f>SUMIF(DeadRaw!$B:$B,$A84,DeadRaw!W:W)</f>
        <v>0</v>
      </c>
      <c r="U84">
        <f>SUMIF(DeadRaw!$B:$B,$A84,DeadRaw!X:X)</f>
        <v>0</v>
      </c>
      <c r="V84">
        <f>SUMIF(DeadRaw!$B:$B,$A84,DeadRaw!Y:Y)</f>
        <v>0</v>
      </c>
      <c r="W84">
        <f>SUMIF(DeadRaw!$B:$B,$A84,DeadRaw!Z:Z)</f>
        <v>0</v>
      </c>
      <c r="X84">
        <f>SUMIF(DeadRaw!$B:$B,$A84,DeadRaw!AA:AA)</f>
        <v>0</v>
      </c>
      <c r="Y84">
        <f>SUMIF(DeadRaw!$B:$B,$A84,DeadRaw!AB:AB)</f>
        <v>0</v>
      </c>
      <c r="Z84">
        <f>SUMIF(DeadRaw!$B:$B,$A84,DeadRaw!AC:AC)</f>
        <v>0</v>
      </c>
      <c r="AA84">
        <f>SUMIF(DeadRaw!$B:$B,$A84,DeadRaw!AD:AD)</f>
        <v>0</v>
      </c>
      <c r="AB84">
        <f>SUMIF(DeadRaw!$B:$B,$A84,DeadRaw!AE:AE)</f>
        <v>0</v>
      </c>
      <c r="AC84">
        <f>SUMIF(DeadRaw!$B:$B,$A84,DeadRaw!AF:AF)</f>
        <v>0</v>
      </c>
      <c r="AD84">
        <f>SUMIF(DeadRaw!$B:$B,$A84,DeadRaw!AG:AG)</f>
        <v>0</v>
      </c>
      <c r="AE84">
        <f>SUMIF(DeadRaw!$B:$B,$A84,DeadRaw!AH:AH)</f>
        <v>0</v>
      </c>
      <c r="AF84">
        <f>SUMIF(DeadRaw!$B:$B,$A84,DeadRaw!AI:AI)</f>
        <v>0</v>
      </c>
      <c r="AG84">
        <f>SUMIF(DeadRaw!$B:$B,$A84,DeadRaw!AJ:AJ)</f>
        <v>0</v>
      </c>
      <c r="AH84">
        <f>SUMIF(DeadRaw!$B:$B,$A84,DeadRaw!AK:AK)</f>
        <v>0</v>
      </c>
      <c r="AI84">
        <f>SUMIF(DeadRaw!$B:$B,$A84,DeadRaw!AL:AL)</f>
        <v>0</v>
      </c>
      <c r="AJ84">
        <f>SUMIF(DeadRaw!$B:$B,$A84,DeadRaw!AM:AM)</f>
        <v>0</v>
      </c>
      <c r="AK84">
        <f>SUMIF(DeadRaw!$B:$B,$A84,DeadRaw!AN:AN)</f>
        <v>0</v>
      </c>
      <c r="AL84">
        <f>SUMIF(DeadRaw!$B:$B,$A84,DeadRaw!AO:AO)</f>
        <v>0</v>
      </c>
      <c r="AM84">
        <f>SUMIF(DeadRaw!$B:$B,$A84,DeadRaw!AP:AP)</f>
        <v>0</v>
      </c>
      <c r="AN84">
        <f>SUMIF(DeadRaw!$B:$B,$A84,DeadRaw!AQ:AQ)</f>
        <v>0</v>
      </c>
      <c r="AO84">
        <f>SUMIF(DeadRaw!$B:$B,$A84,DeadRaw!AR:AR)</f>
        <v>0</v>
      </c>
      <c r="AP84">
        <f>SUMIF(DeadRaw!$B:$B,$A84,DeadRaw!AS:AS)</f>
        <v>0</v>
      </c>
      <c r="AQ84">
        <f>SUMIF(DeadRaw!$B:$B,$A84,DeadRaw!AT:AT)</f>
        <v>0</v>
      </c>
      <c r="AR84">
        <f>SUMIF(DeadRaw!$B:$B,$A84,DeadRaw!AU:AU)</f>
        <v>0</v>
      </c>
      <c r="AS84">
        <f>SUMIF(DeadRaw!$B:$B,$A84,DeadRaw!AV:AV)</f>
        <v>0</v>
      </c>
      <c r="AT84">
        <f>SUMIF(DeadRaw!$B:$B,$A84,DeadRaw!AW:AW)</f>
        <v>0</v>
      </c>
      <c r="AU84">
        <f>SUMIF(DeadRaw!$B:$B,$A84,DeadRaw!AX:AX)</f>
        <v>0</v>
      </c>
      <c r="AV84">
        <f>SUMIF(DeadRaw!$B:$B,$A84,DeadRaw!AY:AY)</f>
        <v>0</v>
      </c>
      <c r="AW84">
        <f>SUMIF(DeadRaw!$B:$B,$A84,DeadRaw!AZ:AZ)</f>
        <v>0</v>
      </c>
      <c r="AX84">
        <f>SUMIF(DeadRaw!$B:$B,$A84,DeadRaw!BA:BA)</f>
        <v>0</v>
      </c>
      <c r="AY84">
        <f>SUMIF(DeadRaw!$B:$B,$A84,DeadRaw!BB:BB)</f>
        <v>0</v>
      </c>
      <c r="AZ84">
        <f>SUMIF(DeadRaw!$B:$B,$A84,DeadRaw!BC:BC)</f>
        <v>0</v>
      </c>
      <c r="BA84">
        <f>SUMIF(DeadRaw!$B:$B,$A84,DeadRaw!BD:BD)</f>
        <v>0</v>
      </c>
      <c r="BB84">
        <f>SUMIF(DeadRaw!$B:$B,$A84,DeadRaw!BE:BE)</f>
        <v>0</v>
      </c>
      <c r="BC84">
        <f>SUMIF(DeadRaw!$B:$B,$A84,DeadRaw!BF:BF)</f>
        <v>0</v>
      </c>
      <c r="BD84">
        <f>SUMIF(DeadRaw!$B:$B,$A84,DeadRaw!BG:BG)</f>
        <v>0</v>
      </c>
      <c r="BE84">
        <f>SUMIF(DeadRaw!$B:$B,$A84,DeadRaw!BH:BH)</f>
        <v>0</v>
      </c>
      <c r="BF84">
        <f>SUMIF(DeadRaw!$B:$B,$A84,DeadRaw!BI:BI)</f>
        <v>0</v>
      </c>
      <c r="BG84">
        <f>SUMIF(DeadRaw!$B:$B,$A84,DeadRaw!BJ:BJ)</f>
        <v>0</v>
      </c>
      <c r="BH84">
        <f>SUMIF(DeadRaw!$B:$B,$A84,DeadRaw!BK:BK)</f>
        <v>0</v>
      </c>
      <c r="BI84">
        <f>SUMIF(DeadRaw!$B:$B,$A84,DeadRaw!BL:BL)</f>
        <v>0</v>
      </c>
      <c r="BJ84">
        <f>SUMIF(DeadRaw!$B:$B,$A84,DeadRaw!BM:BM)</f>
        <v>0</v>
      </c>
      <c r="BK84">
        <f>SUMIF(DeadRaw!$B:$B,$A84,DeadRaw!BN:BN)</f>
        <v>0</v>
      </c>
      <c r="BL84">
        <f>SUMIF(DeadRaw!$B:$B,$A84,DeadRaw!BO:BO)</f>
        <v>0</v>
      </c>
      <c r="BM84">
        <f>SUMIF(DeadRaw!$B:$B,$A84,DeadRaw!BP:BP)</f>
        <v>0</v>
      </c>
      <c r="BN84">
        <f>SUMIF(DeadRaw!$B:$B,$A84,DeadRaw!BQ:BQ)</f>
        <v>0</v>
      </c>
      <c r="BO84">
        <f>SUMIF(DeadRaw!$B:$B,$A84,DeadRaw!BR:BR)</f>
        <v>0</v>
      </c>
      <c r="BP84">
        <f>SUMIF(DeadRaw!$B:$B,$A84,DeadRaw!BS:BS)</f>
        <v>0</v>
      </c>
      <c r="BQ84">
        <f>SUMIF(DeadRaw!$B:$B,$A84,DeadRaw!BT:BT)</f>
        <v>0</v>
      </c>
      <c r="BR84">
        <f>SUMIF(DeadRaw!$B:$B,$A84,DeadRaw!BU:BU)</f>
        <v>0</v>
      </c>
      <c r="BS84">
        <f>SUMIF(DeadRaw!$B:$B,$A84,DeadRaw!BV:BV)</f>
        <v>0</v>
      </c>
      <c r="BT84">
        <f>SUMIF(DeadRaw!$B:$B,$A84,DeadRaw!BW:BW)</f>
        <v>0</v>
      </c>
    </row>
    <row r="85" spans="1:72" ht="15" thickBot="1" x14ac:dyDescent="0.35">
      <c r="A85" s="3" t="s">
        <v>72</v>
      </c>
      <c r="B85">
        <f>SUMIF(DeadRaw!$B:$B,$A85,DeadRaw!E:E)</f>
        <v>0</v>
      </c>
      <c r="C85">
        <f>SUMIF(DeadRaw!$B:$B,$A85,DeadRaw!F:F)</f>
        <v>0</v>
      </c>
      <c r="D85">
        <f>SUMIF(DeadRaw!$B:$B,$A85,DeadRaw!G:G)</f>
        <v>0</v>
      </c>
      <c r="E85">
        <f>SUMIF(DeadRaw!$B:$B,$A85,DeadRaw!H:H)</f>
        <v>0</v>
      </c>
      <c r="F85">
        <f>SUMIF(DeadRaw!$B:$B,$A85,DeadRaw!I:I)</f>
        <v>0</v>
      </c>
      <c r="G85">
        <f>SUMIF(DeadRaw!$B:$B,$A85,DeadRaw!J:J)</f>
        <v>0</v>
      </c>
      <c r="H85">
        <f>SUMIF(DeadRaw!$B:$B,$A85,DeadRaw!K:K)</f>
        <v>0</v>
      </c>
      <c r="I85">
        <f>SUMIF(DeadRaw!$B:$B,$A85,DeadRaw!L:L)</f>
        <v>0</v>
      </c>
      <c r="J85">
        <f>SUMIF(DeadRaw!$B:$B,$A85,DeadRaw!M:M)</f>
        <v>0</v>
      </c>
      <c r="K85">
        <f>SUMIF(DeadRaw!$B:$B,$A85,DeadRaw!N:N)</f>
        <v>0</v>
      </c>
      <c r="L85">
        <f>SUMIF(DeadRaw!$B:$B,$A85,DeadRaw!O:O)</f>
        <v>0</v>
      </c>
      <c r="M85">
        <f>SUMIF(DeadRaw!$B:$B,$A85,DeadRaw!P:P)</f>
        <v>0</v>
      </c>
      <c r="N85">
        <f>SUMIF(DeadRaw!$B:$B,$A85,DeadRaw!Q:Q)</f>
        <v>0</v>
      </c>
      <c r="O85">
        <f>SUMIF(DeadRaw!$B:$B,$A85,DeadRaw!R:R)</f>
        <v>0</v>
      </c>
      <c r="P85">
        <f>SUMIF(DeadRaw!$B:$B,$A85,DeadRaw!S:S)</f>
        <v>0</v>
      </c>
      <c r="Q85">
        <f>SUMIF(DeadRaw!$B:$B,$A85,DeadRaw!T:T)</f>
        <v>0</v>
      </c>
      <c r="R85">
        <f>SUMIF(DeadRaw!$B:$B,$A85,DeadRaw!U:U)</f>
        <v>0</v>
      </c>
      <c r="S85">
        <f>SUMIF(DeadRaw!$B:$B,$A85,DeadRaw!V:V)</f>
        <v>0</v>
      </c>
      <c r="T85">
        <f>SUMIF(DeadRaw!$B:$B,$A85,DeadRaw!W:W)</f>
        <v>0</v>
      </c>
      <c r="U85">
        <f>SUMIF(DeadRaw!$B:$B,$A85,DeadRaw!X:X)</f>
        <v>0</v>
      </c>
      <c r="V85">
        <f>SUMIF(DeadRaw!$B:$B,$A85,DeadRaw!Y:Y)</f>
        <v>0</v>
      </c>
      <c r="W85">
        <f>SUMIF(DeadRaw!$B:$B,$A85,DeadRaw!Z:Z)</f>
        <v>0</v>
      </c>
      <c r="X85">
        <f>SUMIF(DeadRaw!$B:$B,$A85,DeadRaw!AA:AA)</f>
        <v>0</v>
      </c>
      <c r="Y85">
        <f>SUMIF(DeadRaw!$B:$B,$A85,DeadRaw!AB:AB)</f>
        <v>0</v>
      </c>
      <c r="Z85">
        <f>SUMIF(DeadRaw!$B:$B,$A85,DeadRaw!AC:AC)</f>
        <v>0</v>
      </c>
      <c r="AA85">
        <f>SUMIF(DeadRaw!$B:$B,$A85,DeadRaw!AD:AD)</f>
        <v>0</v>
      </c>
      <c r="AB85">
        <f>SUMIF(DeadRaw!$B:$B,$A85,DeadRaw!AE:AE)</f>
        <v>0</v>
      </c>
      <c r="AC85">
        <f>SUMIF(DeadRaw!$B:$B,$A85,DeadRaw!AF:AF)</f>
        <v>0</v>
      </c>
      <c r="AD85">
        <f>SUMIF(DeadRaw!$B:$B,$A85,DeadRaw!AG:AG)</f>
        <v>0</v>
      </c>
      <c r="AE85">
        <f>SUMIF(DeadRaw!$B:$B,$A85,DeadRaw!AH:AH)</f>
        <v>0</v>
      </c>
      <c r="AF85">
        <f>SUMIF(DeadRaw!$B:$B,$A85,DeadRaw!AI:AI)</f>
        <v>0</v>
      </c>
      <c r="AG85">
        <f>SUMIF(DeadRaw!$B:$B,$A85,DeadRaw!AJ:AJ)</f>
        <v>0</v>
      </c>
      <c r="AH85">
        <f>SUMIF(DeadRaw!$B:$B,$A85,DeadRaw!AK:AK)</f>
        <v>0</v>
      </c>
      <c r="AI85">
        <f>SUMIF(DeadRaw!$B:$B,$A85,DeadRaw!AL:AL)</f>
        <v>0</v>
      </c>
      <c r="AJ85">
        <f>SUMIF(DeadRaw!$B:$B,$A85,DeadRaw!AM:AM)</f>
        <v>0</v>
      </c>
      <c r="AK85">
        <f>SUMIF(DeadRaw!$B:$B,$A85,DeadRaw!AN:AN)</f>
        <v>0</v>
      </c>
      <c r="AL85">
        <f>SUMIF(DeadRaw!$B:$B,$A85,DeadRaw!AO:AO)</f>
        <v>0</v>
      </c>
      <c r="AM85">
        <f>SUMIF(DeadRaw!$B:$B,$A85,DeadRaw!AP:AP)</f>
        <v>0</v>
      </c>
      <c r="AN85">
        <f>SUMIF(DeadRaw!$B:$B,$A85,DeadRaw!AQ:AQ)</f>
        <v>0</v>
      </c>
      <c r="AO85">
        <f>SUMIF(DeadRaw!$B:$B,$A85,DeadRaw!AR:AR)</f>
        <v>0</v>
      </c>
      <c r="AP85">
        <f>SUMIF(DeadRaw!$B:$B,$A85,DeadRaw!AS:AS)</f>
        <v>0</v>
      </c>
      <c r="AQ85">
        <f>SUMIF(DeadRaw!$B:$B,$A85,DeadRaw!AT:AT)</f>
        <v>0</v>
      </c>
      <c r="AR85">
        <f>SUMIF(DeadRaw!$B:$B,$A85,DeadRaw!AU:AU)</f>
        <v>0</v>
      </c>
      <c r="AS85">
        <f>SUMIF(DeadRaw!$B:$B,$A85,DeadRaw!AV:AV)</f>
        <v>0</v>
      </c>
      <c r="AT85">
        <f>SUMIF(DeadRaw!$B:$B,$A85,DeadRaw!AW:AW)</f>
        <v>0</v>
      </c>
      <c r="AU85">
        <f>SUMIF(DeadRaw!$B:$B,$A85,DeadRaw!AX:AX)</f>
        <v>0</v>
      </c>
      <c r="AV85">
        <f>SUMIF(DeadRaw!$B:$B,$A85,DeadRaw!AY:AY)</f>
        <v>0</v>
      </c>
      <c r="AW85">
        <f>SUMIF(DeadRaw!$B:$B,$A85,DeadRaw!AZ:AZ)</f>
        <v>0</v>
      </c>
      <c r="AX85">
        <f>SUMIF(DeadRaw!$B:$B,$A85,DeadRaw!BA:BA)</f>
        <v>0</v>
      </c>
      <c r="AY85">
        <f>SUMIF(DeadRaw!$B:$B,$A85,DeadRaw!BB:BB)</f>
        <v>0</v>
      </c>
      <c r="AZ85">
        <f>SUMIF(DeadRaw!$B:$B,$A85,DeadRaw!BC:BC)</f>
        <v>0</v>
      </c>
      <c r="BA85">
        <f>SUMIF(DeadRaw!$B:$B,$A85,DeadRaw!BD:BD)</f>
        <v>0</v>
      </c>
      <c r="BB85">
        <f>SUMIF(DeadRaw!$B:$B,$A85,DeadRaw!BE:BE)</f>
        <v>0</v>
      </c>
      <c r="BC85">
        <f>SUMIF(DeadRaw!$B:$B,$A85,DeadRaw!BF:BF)</f>
        <v>0</v>
      </c>
      <c r="BD85">
        <f>SUMIF(DeadRaw!$B:$B,$A85,DeadRaw!BG:BG)</f>
        <v>0</v>
      </c>
      <c r="BE85">
        <f>SUMIF(DeadRaw!$B:$B,$A85,DeadRaw!BH:BH)</f>
        <v>0</v>
      </c>
      <c r="BF85">
        <f>SUMIF(DeadRaw!$B:$B,$A85,DeadRaw!BI:BI)</f>
        <v>0</v>
      </c>
      <c r="BG85">
        <f>SUMIF(DeadRaw!$B:$B,$A85,DeadRaw!BJ:BJ)</f>
        <v>0</v>
      </c>
      <c r="BH85">
        <f>SUMIF(DeadRaw!$B:$B,$A85,DeadRaw!BK:BK)</f>
        <v>0</v>
      </c>
      <c r="BI85">
        <f>SUMIF(DeadRaw!$B:$B,$A85,DeadRaw!BL:BL)</f>
        <v>0</v>
      </c>
      <c r="BJ85">
        <f>SUMIF(DeadRaw!$B:$B,$A85,DeadRaw!BM:BM)</f>
        <v>0</v>
      </c>
      <c r="BK85">
        <f>SUMIF(DeadRaw!$B:$B,$A85,DeadRaw!BN:BN)</f>
        <v>0</v>
      </c>
      <c r="BL85">
        <f>SUMIF(DeadRaw!$B:$B,$A85,DeadRaw!BO:BO)</f>
        <v>0</v>
      </c>
      <c r="BM85">
        <f>SUMIF(DeadRaw!$B:$B,$A85,DeadRaw!BP:BP)</f>
        <v>0</v>
      </c>
      <c r="BN85">
        <f>SUMIF(DeadRaw!$B:$B,$A85,DeadRaw!BQ:BQ)</f>
        <v>0</v>
      </c>
      <c r="BO85">
        <f>SUMIF(DeadRaw!$B:$B,$A85,DeadRaw!BR:BR)</f>
        <v>0</v>
      </c>
      <c r="BP85">
        <f>SUMIF(DeadRaw!$B:$B,$A85,DeadRaw!BS:BS)</f>
        <v>0</v>
      </c>
      <c r="BQ85">
        <f>SUMIF(DeadRaw!$B:$B,$A85,DeadRaw!BT:BT)</f>
        <v>0</v>
      </c>
      <c r="BR85">
        <f>SUMIF(DeadRaw!$B:$B,$A85,DeadRaw!BU:BU)</f>
        <v>0</v>
      </c>
      <c r="BS85">
        <f>SUMIF(DeadRaw!$B:$B,$A85,DeadRaw!BV:BV)</f>
        <v>0</v>
      </c>
      <c r="BT85">
        <f>SUMIF(DeadRaw!$B:$B,$A85,DeadRaw!BW:BW)</f>
        <v>0</v>
      </c>
    </row>
    <row r="86" spans="1:72" ht="15" thickBot="1" x14ac:dyDescent="0.35">
      <c r="A86" s="3" t="s">
        <v>112</v>
      </c>
      <c r="B86">
        <f>SUMIF(DeadRaw!$B:$B,$A86,DeadRaw!E:E)</f>
        <v>0</v>
      </c>
      <c r="C86">
        <f>SUMIF(DeadRaw!$B:$B,$A86,DeadRaw!F:F)</f>
        <v>0</v>
      </c>
      <c r="D86">
        <f>SUMIF(DeadRaw!$B:$B,$A86,DeadRaw!G:G)</f>
        <v>0</v>
      </c>
      <c r="E86">
        <f>SUMIF(DeadRaw!$B:$B,$A86,DeadRaw!H:H)</f>
        <v>0</v>
      </c>
      <c r="F86">
        <f>SUMIF(DeadRaw!$B:$B,$A86,DeadRaw!I:I)</f>
        <v>0</v>
      </c>
      <c r="G86">
        <f>SUMIF(DeadRaw!$B:$B,$A86,DeadRaw!J:J)</f>
        <v>0</v>
      </c>
      <c r="H86">
        <f>SUMIF(DeadRaw!$B:$B,$A86,DeadRaw!K:K)</f>
        <v>0</v>
      </c>
      <c r="I86">
        <f>SUMIF(DeadRaw!$B:$B,$A86,DeadRaw!L:L)</f>
        <v>0</v>
      </c>
      <c r="J86">
        <f>SUMIF(DeadRaw!$B:$B,$A86,DeadRaw!M:M)</f>
        <v>0</v>
      </c>
      <c r="K86">
        <f>SUMIF(DeadRaw!$B:$B,$A86,DeadRaw!N:N)</f>
        <v>0</v>
      </c>
      <c r="L86">
        <f>SUMIF(DeadRaw!$B:$B,$A86,DeadRaw!O:O)</f>
        <v>0</v>
      </c>
      <c r="M86">
        <f>SUMIF(DeadRaw!$B:$B,$A86,DeadRaw!P:P)</f>
        <v>0</v>
      </c>
      <c r="N86">
        <f>SUMIF(DeadRaw!$B:$B,$A86,DeadRaw!Q:Q)</f>
        <v>0</v>
      </c>
      <c r="O86">
        <f>SUMIF(DeadRaw!$B:$B,$A86,DeadRaw!R:R)</f>
        <v>0</v>
      </c>
      <c r="P86">
        <f>SUMIF(DeadRaw!$B:$B,$A86,DeadRaw!S:S)</f>
        <v>0</v>
      </c>
      <c r="Q86">
        <f>SUMIF(DeadRaw!$B:$B,$A86,DeadRaw!T:T)</f>
        <v>0</v>
      </c>
      <c r="R86">
        <f>SUMIF(DeadRaw!$B:$B,$A86,DeadRaw!U:U)</f>
        <v>0</v>
      </c>
      <c r="S86">
        <f>SUMIF(DeadRaw!$B:$B,$A86,DeadRaw!V:V)</f>
        <v>0</v>
      </c>
      <c r="T86">
        <f>SUMIF(DeadRaw!$B:$B,$A86,DeadRaw!W:W)</f>
        <v>0</v>
      </c>
      <c r="U86">
        <f>SUMIF(DeadRaw!$B:$B,$A86,DeadRaw!X:X)</f>
        <v>0</v>
      </c>
      <c r="V86">
        <f>SUMIF(DeadRaw!$B:$B,$A86,DeadRaw!Y:Y)</f>
        <v>0</v>
      </c>
      <c r="W86">
        <f>SUMIF(DeadRaw!$B:$B,$A86,DeadRaw!Z:Z)</f>
        <v>0</v>
      </c>
      <c r="X86">
        <f>SUMIF(DeadRaw!$B:$B,$A86,DeadRaw!AA:AA)</f>
        <v>0</v>
      </c>
      <c r="Y86">
        <f>SUMIF(DeadRaw!$B:$B,$A86,DeadRaw!AB:AB)</f>
        <v>0</v>
      </c>
      <c r="Z86">
        <f>SUMIF(DeadRaw!$B:$B,$A86,DeadRaw!AC:AC)</f>
        <v>0</v>
      </c>
      <c r="AA86">
        <f>SUMIF(DeadRaw!$B:$B,$A86,DeadRaw!AD:AD)</f>
        <v>0</v>
      </c>
      <c r="AB86">
        <f>SUMIF(DeadRaw!$B:$B,$A86,DeadRaw!AE:AE)</f>
        <v>0</v>
      </c>
      <c r="AC86">
        <f>SUMIF(DeadRaw!$B:$B,$A86,DeadRaw!AF:AF)</f>
        <v>0</v>
      </c>
      <c r="AD86">
        <f>SUMIF(DeadRaw!$B:$B,$A86,DeadRaw!AG:AG)</f>
        <v>0</v>
      </c>
      <c r="AE86">
        <f>SUMIF(DeadRaw!$B:$B,$A86,DeadRaw!AH:AH)</f>
        <v>0</v>
      </c>
      <c r="AF86">
        <f>SUMIF(DeadRaw!$B:$B,$A86,DeadRaw!AI:AI)</f>
        <v>0</v>
      </c>
      <c r="AG86">
        <f>SUMIF(DeadRaw!$B:$B,$A86,DeadRaw!AJ:AJ)</f>
        <v>0</v>
      </c>
      <c r="AH86">
        <f>SUMIF(DeadRaw!$B:$B,$A86,DeadRaw!AK:AK)</f>
        <v>0</v>
      </c>
      <c r="AI86">
        <f>SUMIF(DeadRaw!$B:$B,$A86,DeadRaw!AL:AL)</f>
        <v>0</v>
      </c>
      <c r="AJ86">
        <f>SUMIF(DeadRaw!$B:$B,$A86,DeadRaw!AM:AM)</f>
        <v>0</v>
      </c>
      <c r="AK86">
        <f>SUMIF(DeadRaw!$B:$B,$A86,DeadRaw!AN:AN)</f>
        <v>0</v>
      </c>
      <c r="AL86">
        <f>SUMIF(DeadRaw!$B:$B,$A86,DeadRaw!AO:AO)</f>
        <v>0</v>
      </c>
      <c r="AM86">
        <f>SUMIF(DeadRaw!$B:$B,$A86,DeadRaw!AP:AP)</f>
        <v>0</v>
      </c>
      <c r="AN86">
        <f>SUMIF(DeadRaw!$B:$B,$A86,DeadRaw!AQ:AQ)</f>
        <v>0</v>
      </c>
      <c r="AO86">
        <f>SUMIF(DeadRaw!$B:$B,$A86,DeadRaw!AR:AR)</f>
        <v>0</v>
      </c>
      <c r="AP86">
        <f>SUMIF(DeadRaw!$B:$B,$A86,DeadRaw!AS:AS)</f>
        <v>0</v>
      </c>
      <c r="AQ86">
        <f>SUMIF(DeadRaw!$B:$B,$A86,DeadRaw!AT:AT)</f>
        <v>0</v>
      </c>
      <c r="AR86">
        <f>SUMIF(DeadRaw!$B:$B,$A86,DeadRaw!AU:AU)</f>
        <v>0</v>
      </c>
      <c r="AS86">
        <f>SUMIF(DeadRaw!$B:$B,$A86,DeadRaw!AV:AV)</f>
        <v>0</v>
      </c>
      <c r="AT86">
        <f>SUMIF(DeadRaw!$B:$B,$A86,DeadRaw!AW:AW)</f>
        <v>0</v>
      </c>
      <c r="AU86">
        <f>SUMIF(DeadRaw!$B:$B,$A86,DeadRaw!AX:AX)</f>
        <v>0</v>
      </c>
      <c r="AV86">
        <f>SUMIF(DeadRaw!$B:$B,$A86,DeadRaw!AY:AY)</f>
        <v>0</v>
      </c>
      <c r="AW86">
        <f>SUMIF(DeadRaw!$B:$B,$A86,DeadRaw!AZ:AZ)</f>
        <v>0</v>
      </c>
      <c r="AX86">
        <f>SUMIF(DeadRaw!$B:$B,$A86,DeadRaw!BA:BA)</f>
        <v>1</v>
      </c>
      <c r="AY86">
        <f>SUMIF(DeadRaw!$B:$B,$A86,DeadRaw!BB:BB)</f>
        <v>1</v>
      </c>
      <c r="AZ86">
        <f>SUMIF(DeadRaw!$B:$B,$A86,DeadRaw!BC:BC)</f>
        <v>1</v>
      </c>
      <c r="BA86">
        <f>SUMIF(DeadRaw!$B:$B,$A86,DeadRaw!BD:BD)</f>
        <v>1</v>
      </c>
      <c r="BB86">
        <f>SUMIF(DeadRaw!$B:$B,$A86,DeadRaw!BE:BE)</f>
        <v>1</v>
      </c>
      <c r="BC86">
        <f>SUMIF(DeadRaw!$B:$B,$A86,DeadRaw!BF:BF)</f>
        <v>1</v>
      </c>
      <c r="BD86">
        <f>SUMIF(DeadRaw!$B:$B,$A86,DeadRaw!BG:BG)</f>
        <v>1</v>
      </c>
      <c r="BE86">
        <f>SUMIF(DeadRaw!$B:$B,$A86,DeadRaw!BH:BH)</f>
        <v>2</v>
      </c>
      <c r="BF86">
        <f>SUMIF(DeadRaw!$B:$B,$A86,DeadRaw!BI:BI)</f>
        <v>2</v>
      </c>
      <c r="BG86">
        <f>SUMIF(DeadRaw!$B:$B,$A86,DeadRaw!BJ:BJ)</f>
        <v>0</v>
      </c>
      <c r="BH86">
        <f>SUMIF(DeadRaw!$B:$B,$A86,DeadRaw!BK:BK)</f>
        <v>0</v>
      </c>
      <c r="BI86">
        <f>SUMIF(DeadRaw!$B:$B,$A86,DeadRaw!BL:BL)</f>
        <v>0</v>
      </c>
      <c r="BJ86">
        <f>SUMIF(DeadRaw!$B:$B,$A86,DeadRaw!BM:BM)</f>
        <v>0</v>
      </c>
      <c r="BK86">
        <f>SUMIF(DeadRaw!$B:$B,$A86,DeadRaw!BN:BN)</f>
        <v>0</v>
      </c>
      <c r="BL86">
        <f>SUMIF(DeadRaw!$B:$B,$A86,DeadRaw!BO:BO)</f>
        <v>0</v>
      </c>
      <c r="BM86">
        <f>SUMIF(DeadRaw!$B:$B,$A86,DeadRaw!BP:BP)</f>
        <v>0</v>
      </c>
      <c r="BN86">
        <f>SUMIF(DeadRaw!$B:$B,$A86,DeadRaw!BQ:BQ)</f>
        <v>0</v>
      </c>
      <c r="BO86">
        <f>SUMIF(DeadRaw!$B:$B,$A86,DeadRaw!BR:BR)</f>
        <v>0</v>
      </c>
      <c r="BP86">
        <f>SUMIF(DeadRaw!$B:$B,$A86,DeadRaw!BS:BS)</f>
        <v>0</v>
      </c>
      <c r="BQ86">
        <f>SUMIF(DeadRaw!$B:$B,$A86,DeadRaw!BT:BT)</f>
        <v>0</v>
      </c>
      <c r="BR86">
        <f>SUMIF(DeadRaw!$B:$B,$A86,DeadRaw!BU:BU)</f>
        <v>0</v>
      </c>
      <c r="BS86">
        <f>SUMIF(DeadRaw!$B:$B,$A86,DeadRaw!BV:BV)</f>
        <v>0</v>
      </c>
      <c r="BT86">
        <f>SUMIF(DeadRaw!$B:$B,$A86,DeadRaw!BW:BW)</f>
        <v>0</v>
      </c>
    </row>
    <row r="87" spans="1:72" ht="15" thickBot="1" x14ac:dyDescent="0.35">
      <c r="A87" s="3" t="s">
        <v>93</v>
      </c>
      <c r="B87">
        <f>SUMIF(DeadRaw!$B:$B,$A87,DeadRaw!E:E)</f>
        <v>0</v>
      </c>
      <c r="C87">
        <f>SUMIF(DeadRaw!$B:$B,$A87,DeadRaw!F:F)</f>
        <v>0</v>
      </c>
      <c r="D87">
        <f>SUMIF(DeadRaw!$B:$B,$A87,DeadRaw!G:G)</f>
        <v>0</v>
      </c>
      <c r="E87">
        <f>SUMIF(DeadRaw!$B:$B,$A87,DeadRaw!H:H)</f>
        <v>0</v>
      </c>
      <c r="F87">
        <f>SUMIF(DeadRaw!$B:$B,$A87,DeadRaw!I:I)</f>
        <v>0</v>
      </c>
      <c r="G87">
        <f>SUMIF(DeadRaw!$B:$B,$A87,DeadRaw!J:J)</f>
        <v>0</v>
      </c>
      <c r="H87">
        <f>SUMIF(DeadRaw!$B:$B,$A87,DeadRaw!K:K)</f>
        <v>0</v>
      </c>
      <c r="I87">
        <f>SUMIF(DeadRaw!$B:$B,$A87,DeadRaw!L:L)</f>
        <v>0</v>
      </c>
      <c r="J87">
        <f>SUMIF(DeadRaw!$B:$B,$A87,DeadRaw!M:M)</f>
        <v>0</v>
      </c>
      <c r="K87">
        <f>SUMIF(DeadRaw!$B:$B,$A87,DeadRaw!N:N)</f>
        <v>0</v>
      </c>
      <c r="L87">
        <f>SUMIF(DeadRaw!$B:$B,$A87,DeadRaw!O:O)</f>
        <v>0</v>
      </c>
      <c r="M87">
        <f>SUMIF(DeadRaw!$B:$B,$A87,DeadRaw!P:P)</f>
        <v>0</v>
      </c>
      <c r="N87">
        <f>SUMIF(DeadRaw!$B:$B,$A87,DeadRaw!Q:Q)</f>
        <v>0</v>
      </c>
      <c r="O87">
        <f>SUMIF(DeadRaw!$B:$B,$A87,DeadRaw!R:R)</f>
        <v>0</v>
      </c>
      <c r="P87">
        <f>SUMIF(DeadRaw!$B:$B,$A87,DeadRaw!S:S)</f>
        <v>0</v>
      </c>
      <c r="Q87">
        <f>SUMIF(DeadRaw!$B:$B,$A87,DeadRaw!T:T)</f>
        <v>0</v>
      </c>
      <c r="R87">
        <f>SUMIF(DeadRaw!$B:$B,$A87,DeadRaw!U:U)</f>
        <v>0</v>
      </c>
      <c r="S87">
        <f>SUMIF(DeadRaw!$B:$B,$A87,DeadRaw!V:V)</f>
        <v>0</v>
      </c>
      <c r="T87">
        <f>SUMIF(DeadRaw!$B:$B,$A87,DeadRaw!W:W)</f>
        <v>0</v>
      </c>
      <c r="U87">
        <f>SUMIF(DeadRaw!$B:$B,$A87,DeadRaw!X:X)</f>
        <v>0</v>
      </c>
      <c r="V87">
        <f>SUMIF(DeadRaw!$B:$B,$A87,DeadRaw!Y:Y)</f>
        <v>0</v>
      </c>
      <c r="W87">
        <f>SUMIF(DeadRaw!$B:$B,$A87,DeadRaw!Z:Z)</f>
        <v>0</v>
      </c>
      <c r="X87">
        <f>SUMIF(DeadRaw!$B:$B,$A87,DeadRaw!AA:AA)</f>
        <v>0</v>
      </c>
      <c r="Y87">
        <f>SUMIF(DeadRaw!$B:$B,$A87,DeadRaw!AB:AB)</f>
        <v>0</v>
      </c>
      <c r="Z87">
        <f>SUMIF(DeadRaw!$B:$B,$A87,DeadRaw!AC:AC)</f>
        <v>0</v>
      </c>
      <c r="AA87">
        <f>SUMIF(DeadRaw!$B:$B,$A87,DeadRaw!AD:AD)</f>
        <v>0</v>
      </c>
      <c r="AB87">
        <f>SUMIF(DeadRaw!$B:$B,$A87,DeadRaw!AE:AE)</f>
        <v>0</v>
      </c>
      <c r="AC87">
        <f>SUMIF(DeadRaw!$B:$B,$A87,DeadRaw!AF:AF)</f>
        <v>0</v>
      </c>
      <c r="AD87">
        <f>SUMIF(DeadRaw!$B:$B,$A87,DeadRaw!AG:AG)</f>
        <v>0</v>
      </c>
      <c r="AE87">
        <f>SUMIF(DeadRaw!$B:$B,$A87,DeadRaw!AH:AH)</f>
        <v>0</v>
      </c>
      <c r="AF87">
        <f>SUMIF(DeadRaw!$B:$B,$A87,DeadRaw!AI:AI)</f>
        <v>0</v>
      </c>
      <c r="AG87">
        <f>SUMIF(DeadRaw!$B:$B,$A87,DeadRaw!AJ:AJ)</f>
        <v>0</v>
      </c>
      <c r="AH87">
        <f>SUMIF(DeadRaw!$B:$B,$A87,DeadRaw!AK:AK)</f>
        <v>0</v>
      </c>
      <c r="AI87">
        <f>SUMIF(DeadRaw!$B:$B,$A87,DeadRaw!AL:AL)</f>
        <v>0</v>
      </c>
      <c r="AJ87">
        <f>SUMIF(DeadRaw!$B:$B,$A87,DeadRaw!AM:AM)</f>
        <v>0</v>
      </c>
      <c r="AK87">
        <f>SUMIF(DeadRaw!$B:$B,$A87,DeadRaw!AN:AN)</f>
        <v>0</v>
      </c>
      <c r="AL87">
        <f>SUMIF(DeadRaw!$B:$B,$A87,DeadRaw!AO:AO)</f>
        <v>0</v>
      </c>
      <c r="AM87">
        <f>SUMIF(DeadRaw!$B:$B,$A87,DeadRaw!AP:AP)</f>
        <v>0</v>
      </c>
      <c r="AN87">
        <f>SUMIF(DeadRaw!$B:$B,$A87,DeadRaw!AQ:AQ)</f>
        <v>0</v>
      </c>
      <c r="AO87">
        <f>SUMIF(DeadRaw!$B:$B,$A87,DeadRaw!AR:AR)</f>
        <v>0</v>
      </c>
      <c r="AP87">
        <f>SUMIF(DeadRaw!$B:$B,$A87,DeadRaw!AS:AS)</f>
        <v>0</v>
      </c>
      <c r="AQ87">
        <f>SUMIF(DeadRaw!$B:$B,$A87,DeadRaw!AT:AT)</f>
        <v>0</v>
      </c>
      <c r="AR87">
        <f>SUMIF(DeadRaw!$B:$B,$A87,DeadRaw!AU:AU)</f>
        <v>0</v>
      </c>
      <c r="AS87">
        <f>SUMIF(DeadRaw!$B:$B,$A87,DeadRaw!AV:AV)</f>
        <v>0</v>
      </c>
      <c r="AT87">
        <f>SUMIF(DeadRaw!$B:$B,$A87,DeadRaw!AW:AW)</f>
        <v>0</v>
      </c>
      <c r="AU87">
        <f>SUMIF(DeadRaw!$B:$B,$A87,DeadRaw!AX:AX)</f>
        <v>0</v>
      </c>
      <c r="AV87">
        <f>SUMIF(DeadRaw!$B:$B,$A87,DeadRaw!AY:AY)</f>
        <v>0</v>
      </c>
      <c r="AW87">
        <f>SUMIF(DeadRaw!$B:$B,$A87,DeadRaw!AZ:AZ)</f>
        <v>0</v>
      </c>
      <c r="AX87">
        <f>SUMIF(DeadRaw!$B:$B,$A87,DeadRaw!BA:BA)</f>
        <v>0</v>
      </c>
      <c r="AY87">
        <f>SUMIF(DeadRaw!$B:$B,$A87,DeadRaw!BB:BB)</f>
        <v>0</v>
      </c>
      <c r="AZ87">
        <f>SUMIF(DeadRaw!$B:$B,$A87,DeadRaw!BC:BC)</f>
        <v>0</v>
      </c>
      <c r="BA87">
        <f>SUMIF(DeadRaw!$B:$B,$A87,DeadRaw!BD:BD)</f>
        <v>0</v>
      </c>
      <c r="BB87">
        <f>SUMIF(DeadRaw!$B:$B,$A87,DeadRaw!BE:BE)</f>
        <v>0</v>
      </c>
      <c r="BC87">
        <f>SUMIF(DeadRaw!$B:$B,$A87,DeadRaw!BF:BF)</f>
        <v>0</v>
      </c>
      <c r="BD87">
        <f>SUMIF(DeadRaw!$B:$B,$A87,DeadRaw!BG:BG)</f>
        <v>0</v>
      </c>
      <c r="BE87">
        <f>SUMIF(DeadRaw!$B:$B,$A87,DeadRaw!BH:BH)</f>
        <v>0</v>
      </c>
      <c r="BF87">
        <f>SUMIF(DeadRaw!$B:$B,$A87,DeadRaw!BI:BI)</f>
        <v>0</v>
      </c>
      <c r="BG87">
        <f>SUMIF(DeadRaw!$B:$B,$A87,DeadRaw!BJ:BJ)</f>
        <v>0</v>
      </c>
      <c r="BH87">
        <f>SUMIF(DeadRaw!$B:$B,$A87,DeadRaw!BK:BK)</f>
        <v>0</v>
      </c>
      <c r="BI87">
        <f>SUMIF(DeadRaw!$B:$B,$A87,DeadRaw!BL:BL)</f>
        <v>0</v>
      </c>
      <c r="BJ87">
        <f>SUMIF(DeadRaw!$B:$B,$A87,DeadRaw!BM:BM)</f>
        <v>0</v>
      </c>
      <c r="BK87">
        <f>SUMIF(DeadRaw!$B:$B,$A87,DeadRaw!BN:BN)</f>
        <v>0</v>
      </c>
      <c r="BL87">
        <f>SUMIF(DeadRaw!$B:$B,$A87,DeadRaw!BO:BO)</f>
        <v>0</v>
      </c>
      <c r="BM87">
        <f>SUMIF(DeadRaw!$B:$B,$A87,DeadRaw!BP:BP)</f>
        <v>0</v>
      </c>
      <c r="BN87">
        <f>SUMIF(DeadRaw!$B:$B,$A87,DeadRaw!BQ:BQ)</f>
        <v>0</v>
      </c>
      <c r="BO87">
        <f>SUMIF(DeadRaw!$B:$B,$A87,DeadRaw!BR:BR)</f>
        <v>0</v>
      </c>
      <c r="BP87">
        <f>SUMIF(DeadRaw!$B:$B,$A87,DeadRaw!BS:BS)</f>
        <v>0</v>
      </c>
      <c r="BQ87">
        <f>SUMIF(DeadRaw!$B:$B,$A87,DeadRaw!BT:BT)</f>
        <v>0</v>
      </c>
      <c r="BR87">
        <f>SUMIF(DeadRaw!$B:$B,$A87,DeadRaw!BU:BU)</f>
        <v>0</v>
      </c>
      <c r="BS87">
        <f>SUMIF(DeadRaw!$B:$B,$A87,DeadRaw!BV:BV)</f>
        <v>0</v>
      </c>
      <c r="BT87">
        <f>SUMIF(DeadRaw!$B:$B,$A87,DeadRaw!BW:BW)</f>
        <v>0</v>
      </c>
    </row>
    <row r="88" spans="1:72" ht="15" thickBot="1" x14ac:dyDescent="0.35">
      <c r="A88" s="4" t="s">
        <v>345</v>
      </c>
      <c r="B88">
        <f>SUMIF(DeadRaw!$B:$B,$A88,DeadRaw!E:E)</f>
        <v>0</v>
      </c>
      <c r="C88">
        <f>SUMIF(DeadRaw!$B:$B,$A88,DeadRaw!F:F)</f>
        <v>0</v>
      </c>
      <c r="D88">
        <f>SUMIF(DeadRaw!$B:$B,$A88,DeadRaw!G:G)</f>
        <v>0</v>
      </c>
      <c r="E88">
        <f>SUMIF(DeadRaw!$B:$B,$A88,DeadRaw!H:H)</f>
        <v>0</v>
      </c>
      <c r="F88">
        <f>SUMIF(DeadRaw!$B:$B,$A88,DeadRaw!I:I)</f>
        <v>0</v>
      </c>
      <c r="G88">
        <f>SUMIF(DeadRaw!$B:$B,$A88,DeadRaw!J:J)</f>
        <v>0</v>
      </c>
      <c r="H88">
        <f>SUMIF(DeadRaw!$B:$B,$A88,DeadRaw!K:K)</f>
        <v>0</v>
      </c>
      <c r="I88">
        <f>SUMIF(DeadRaw!$B:$B,$A88,DeadRaw!L:L)</f>
        <v>0</v>
      </c>
      <c r="J88">
        <f>SUMIF(DeadRaw!$B:$B,$A88,DeadRaw!M:M)</f>
        <v>0</v>
      </c>
      <c r="K88">
        <f>SUMIF(DeadRaw!$B:$B,$A88,DeadRaw!N:N)</f>
        <v>0</v>
      </c>
      <c r="L88">
        <f>SUMIF(DeadRaw!$B:$B,$A88,DeadRaw!O:O)</f>
        <v>0</v>
      </c>
      <c r="M88">
        <f>SUMIF(DeadRaw!$B:$B,$A88,DeadRaw!P:P)</f>
        <v>0</v>
      </c>
      <c r="N88">
        <f>SUMIF(DeadRaw!$B:$B,$A88,DeadRaw!Q:Q)</f>
        <v>0</v>
      </c>
      <c r="O88">
        <f>SUMIF(DeadRaw!$B:$B,$A88,DeadRaw!R:R)</f>
        <v>0</v>
      </c>
      <c r="P88">
        <f>SUMIF(DeadRaw!$B:$B,$A88,DeadRaw!S:S)</f>
        <v>0</v>
      </c>
      <c r="Q88">
        <f>SUMIF(DeadRaw!$B:$B,$A88,DeadRaw!T:T)</f>
        <v>0</v>
      </c>
      <c r="R88">
        <f>SUMIF(DeadRaw!$B:$B,$A88,DeadRaw!U:U)</f>
        <v>0</v>
      </c>
      <c r="S88">
        <f>SUMIF(DeadRaw!$B:$B,$A88,DeadRaw!V:V)</f>
        <v>0</v>
      </c>
      <c r="T88">
        <f>SUMIF(DeadRaw!$B:$B,$A88,DeadRaw!W:W)</f>
        <v>0</v>
      </c>
      <c r="U88">
        <f>SUMIF(DeadRaw!$B:$B,$A88,DeadRaw!X:X)</f>
        <v>0</v>
      </c>
      <c r="V88">
        <f>SUMIF(DeadRaw!$B:$B,$A88,DeadRaw!Y:Y)</f>
        <v>0</v>
      </c>
      <c r="W88">
        <f>SUMIF(DeadRaw!$B:$B,$A88,DeadRaw!Z:Z)</f>
        <v>0</v>
      </c>
      <c r="X88">
        <f>SUMIF(DeadRaw!$B:$B,$A88,DeadRaw!AA:AA)</f>
        <v>0</v>
      </c>
      <c r="Y88">
        <f>SUMIF(DeadRaw!$B:$B,$A88,DeadRaw!AB:AB)</f>
        <v>0</v>
      </c>
      <c r="Z88">
        <f>SUMIF(DeadRaw!$B:$B,$A88,DeadRaw!AC:AC)</f>
        <v>0</v>
      </c>
      <c r="AA88">
        <f>SUMIF(DeadRaw!$B:$B,$A88,DeadRaw!AD:AD)</f>
        <v>0</v>
      </c>
      <c r="AB88">
        <f>SUMIF(DeadRaw!$B:$B,$A88,DeadRaw!AE:AE)</f>
        <v>0</v>
      </c>
      <c r="AC88">
        <f>SUMIF(DeadRaw!$B:$B,$A88,DeadRaw!AF:AF)</f>
        <v>0</v>
      </c>
      <c r="AD88">
        <f>SUMIF(DeadRaw!$B:$B,$A88,DeadRaw!AG:AG)</f>
        <v>0</v>
      </c>
      <c r="AE88">
        <f>SUMIF(DeadRaw!$B:$B,$A88,DeadRaw!AH:AH)</f>
        <v>0</v>
      </c>
      <c r="AF88">
        <f>SUMIF(DeadRaw!$B:$B,$A88,DeadRaw!AI:AI)</f>
        <v>0</v>
      </c>
      <c r="AG88">
        <f>SUMIF(DeadRaw!$B:$B,$A88,DeadRaw!AJ:AJ)</f>
        <v>0</v>
      </c>
      <c r="AH88">
        <f>SUMIF(DeadRaw!$B:$B,$A88,DeadRaw!AK:AK)</f>
        <v>0</v>
      </c>
      <c r="AI88">
        <f>SUMIF(DeadRaw!$B:$B,$A88,DeadRaw!AL:AL)</f>
        <v>0</v>
      </c>
      <c r="AJ88">
        <f>SUMIF(DeadRaw!$B:$B,$A88,DeadRaw!AM:AM)</f>
        <v>0</v>
      </c>
      <c r="AK88">
        <f>SUMIF(DeadRaw!$B:$B,$A88,DeadRaw!AN:AN)</f>
        <v>0</v>
      </c>
      <c r="AL88">
        <f>SUMIF(DeadRaw!$B:$B,$A88,DeadRaw!AO:AO)</f>
        <v>0</v>
      </c>
      <c r="AM88">
        <f>SUMIF(DeadRaw!$B:$B,$A88,DeadRaw!AP:AP)</f>
        <v>0</v>
      </c>
      <c r="AN88">
        <f>SUMIF(DeadRaw!$B:$B,$A88,DeadRaw!AQ:AQ)</f>
        <v>0</v>
      </c>
      <c r="AO88">
        <f>SUMIF(DeadRaw!$B:$B,$A88,DeadRaw!AR:AR)</f>
        <v>0</v>
      </c>
      <c r="AP88">
        <f>SUMIF(DeadRaw!$B:$B,$A88,DeadRaw!AS:AS)</f>
        <v>0</v>
      </c>
      <c r="AQ88">
        <f>SUMIF(DeadRaw!$B:$B,$A88,DeadRaw!AT:AT)</f>
        <v>0</v>
      </c>
      <c r="AR88">
        <f>SUMIF(DeadRaw!$B:$B,$A88,DeadRaw!AU:AU)</f>
        <v>0</v>
      </c>
      <c r="AS88">
        <f>SUMIF(DeadRaw!$B:$B,$A88,DeadRaw!AV:AV)</f>
        <v>0</v>
      </c>
      <c r="AT88">
        <f>SUMIF(DeadRaw!$B:$B,$A88,DeadRaw!AW:AW)</f>
        <v>0</v>
      </c>
      <c r="AU88">
        <f>SUMIF(DeadRaw!$B:$B,$A88,DeadRaw!AX:AX)</f>
        <v>0</v>
      </c>
      <c r="AV88">
        <f>SUMIF(DeadRaw!$B:$B,$A88,DeadRaw!AY:AY)</f>
        <v>0</v>
      </c>
      <c r="AW88">
        <f>SUMIF(DeadRaw!$B:$B,$A88,DeadRaw!AZ:AZ)</f>
        <v>0</v>
      </c>
      <c r="AX88">
        <f>SUMIF(DeadRaw!$B:$B,$A88,DeadRaw!BA:BA)</f>
        <v>0</v>
      </c>
      <c r="AY88">
        <f>SUMIF(DeadRaw!$B:$B,$A88,DeadRaw!BB:BB)</f>
        <v>0</v>
      </c>
      <c r="AZ88">
        <f>SUMIF(DeadRaw!$B:$B,$A88,DeadRaw!BC:BC)</f>
        <v>0</v>
      </c>
      <c r="BA88">
        <f>SUMIF(DeadRaw!$B:$B,$A88,DeadRaw!BD:BD)</f>
        <v>0</v>
      </c>
      <c r="BB88">
        <f>SUMIF(DeadRaw!$B:$B,$A88,DeadRaw!BE:BE)</f>
        <v>0</v>
      </c>
      <c r="BC88">
        <f>SUMIF(DeadRaw!$B:$B,$A88,DeadRaw!BF:BF)</f>
        <v>0</v>
      </c>
      <c r="BD88">
        <f>SUMIF(DeadRaw!$B:$B,$A88,DeadRaw!BG:BG)</f>
        <v>0</v>
      </c>
      <c r="BE88">
        <f>SUMIF(DeadRaw!$B:$B,$A88,DeadRaw!BH:BH)</f>
        <v>0</v>
      </c>
      <c r="BF88">
        <f>SUMIF(DeadRaw!$B:$B,$A88,DeadRaw!BI:BI)</f>
        <v>1</v>
      </c>
      <c r="BG88">
        <f>SUMIF(DeadRaw!$B:$B,$A88,DeadRaw!BJ:BJ)</f>
        <v>0</v>
      </c>
      <c r="BH88">
        <f>SUMIF(DeadRaw!$B:$B,$A88,DeadRaw!BK:BK)</f>
        <v>0</v>
      </c>
      <c r="BI88">
        <f>SUMIF(DeadRaw!$B:$B,$A88,DeadRaw!BL:BL)</f>
        <v>0</v>
      </c>
      <c r="BJ88">
        <f>SUMIF(DeadRaw!$B:$B,$A88,DeadRaw!BM:BM)</f>
        <v>0</v>
      </c>
      <c r="BK88">
        <f>SUMIF(DeadRaw!$B:$B,$A88,DeadRaw!BN:BN)</f>
        <v>0</v>
      </c>
      <c r="BL88">
        <f>SUMIF(DeadRaw!$B:$B,$A88,DeadRaw!BO:BO)</f>
        <v>0</v>
      </c>
      <c r="BM88">
        <f>SUMIF(DeadRaw!$B:$B,$A88,DeadRaw!BP:BP)</f>
        <v>0</v>
      </c>
      <c r="BN88">
        <f>SUMIF(DeadRaw!$B:$B,$A88,DeadRaw!BQ:BQ)</f>
        <v>0</v>
      </c>
      <c r="BO88">
        <f>SUMIF(DeadRaw!$B:$B,$A88,DeadRaw!BR:BR)</f>
        <v>0</v>
      </c>
      <c r="BP88">
        <f>SUMIF(DeadRaw!$B:$B,$A88,DeadRaw!BS:BS)</f>
        <v>0</v>
      </c>
      <c r="BQ88">
        <f>SUMIF(DeadRaw!$B:$B,$A88,DeadRaw!BT:BT)</f>
        <v>0</v>
      </c>
      <c r="BR88">
        <f>SUMIF(DeadRaw!$B:$B,$A88,DeadRaw!BU:BU)</f>
        <v>0</v>
      </c>
      <c r="BS88">
        <f>SUMIF(DeadRaw!$B:$B,$A88,DeadRaw!BV:BV)</f>
        <v>0</v>
      </c>
      <c r="BT88">
        <f>SUMIF(DeadRaw!$B:$B,$A88,DeadRaw!BW:BW)</f>
        <v>0</v>
      </c>
    </row>
    <row r="89" spans="1:72" ht="15" thickBot="1" x14ac:dyDescent="0.35">
      <c r="A89" s="4" t="s">
        <v>206</v>
      </c>
      <c r="B89">
        <f>SUMIF(DeadRaw!$B:$B,$A89,DeadRaw!E:E)</f>
        <v>0</v>
      </c>
      <c r="C89">
        <f>SUMIF(DeadRaw!$B:$B,$A89,DeadRaw!F:F)</f>
        <v>0</v>
      </c>
      <c r="D89">
        <f>SUMIF(DeadRaw!$B:$B,$A89,DeadRaw!G:G)</f>
        <v>0</v>
      </c>
      <c r="E89">
        <f>SUMIF(DeadRaw!$B:$B,$A89,DeadRaw!H:H)</f>
        <v>0</v>
      </c>
      <c r="F89">
        <f>SUMIF(DeadRaw!$B:$B,$A89,DeadRaw!I:I)</f>
        <v>0</v>
      </c>
      <c r="G89">
        <f>SUMIF(DeadRaw!$B:$B,$A89,DeadRaw!J:J)</f>
        <v>0</v>
      </c>
      <c r="H89">
        <f>SUMIF(DeadRaw!$B:$B,$A89,DeadRaw!K:K)</f>
        <v>0</v>
      </c>
      <c r="I89">
        <f>SUMIF(DeadRaw!$B:$B,$A89,DeadRaw!L:L)</f>
        <v>0</v>
      </c>
      <c r="J89">
        <f>SUMIF(DeadRaw!$B:$B,$A89,DeadRaw!M:M)</f>
        <v>0</v>
      </c>
      <c r="K89">
        <f>SUMIF(DeadRaw!$B:$B,$A89,DeadRaw!N:N)</f>
        <v>0</v>
      </c>
      <c r="L89">
        <f>SUMIF(DeadRaw!$B:$B,$A89,DeadRaw!O:O)</f>
        <v>0</v>
      </c>
      <c r="M89">
        <f>SUMIF(DeadRaw!$B:$B,$A89,DeadRaw!P:P)</f>
        <v>0</v>
      </c>
      <c r="N89">
        <f>SUMIF(DeadRaw!$B:$B,$A89,DeadRaw!Q:Q)</f>
        <v>0</v>
      </c>
      <c r="O89">
        <f>SUMIF(DeadRaw!$B:$B,$A89,DeadRaw!R:R)</f>
        <v>0</v>
      </c>
      <c r="P89">
        <f>SUMIF(DeadRaw!$B:$B,$A89,DeadRaw!S:S)</f>
        <v>0</v>
      </c>
      <c r="Q89">
        <f>SUMIF(DeadRaw!$B:$B,$A89,DeadRaw!T:T)</f>
        <v>0</v>
      </c>
      <c r="R89">
        <f>SUMIF(DeadRaw!$B:$B,$A89,DeadRaw!U:U)</f>
        <v>0</v>
      </c>
      <c r="S89">
        <f>SUMIF(DeadRaw!$B:$B,$A89,DeadRaw!V:V)</f>
        <v>0</v>
      </c>
      <c r="T89">
        <f>SUMIF(DeadRaw!$B:$B,$A89,DeadRaw!W:W)</f>
        <v>0</v>
      </c>
      <c r="U89">
        <f>SUMIF(DeadRaw!$B:$B,$A89,DeadRaw!X:X)</f>
        <v>0</v>
      </c>
      <c r="V89">
        <f>SUMIF(DeadRaw!$B:$B,$A89,DeadRaw!Y:Y)</f>
        <v>0</v>
      </c>
      <c r="W89">
        <f>SUMIF(DeadRaw!$B:$B,$A89,DeadRaw!Z:Z)</f>
        <v>0</v>
      </c>
      <c r="X89">
        <f>SUMIF(DeadRaw!$B:$B,$A89,DeadRaw!AA:AA)</f>
        <v>0</v>
      </c>
      <c r="Y89">
        <f>SUMIF(DeadRaw!$B:$B,$A89,DeadRaw!AB:AB)</f>
        <v>0</v>
      </c>
      <c r="Z89">
        <f>SUMIF(DeadRaw!$B:$B,$A89,DeadRaw!AC:AC)</f>
        <v>0</v>
      </c>
      <c r="AA89">
        <f>SUMIF(DeadRaw!$B:$B,$A89,DeadRaw!AD:AD)</f>
        <v>0</v>
      </c>
      <c r="AB89">
        <f>SUMIF(DeadRaw!$B:$B,$A89,DeadRaw!AE:AE)</f>
        <v>0</v>
      </c>
      <c r="AC89">
        <f>SUMIF(DeadRaw!$B:$B,$A89,DeadRaw!AF:AF)</f>
        <v>0</v>
      </c>
      <c r="AD89">
        <f>SUMIF(DeadRaw!$B:$B,$A89,DeadRaw!AG:AG)</f>
        <v>0</v>
      </c>
      <c r="AE89">
        <f>SUMIF(DeadRaw!$B:$B,$A89,DeadRaw!AH:AH)</f>
        <v>0</v>
      </c>
      <c r="AF89">
        <f>SUMIF(DeadRaw!$B:$B,$A89,DeadRaw!AI:AI)</f>
        <v>0</v>
      </c>
      <c r="AG89">
        <f>SUMIF(DeadRaw!$B:$B,$A89,DeadRaw!AJ:AJ)</f>
        <v>0</v>
      </c>
      <c r="AH89">
        <f>SUMIF(DeadRaw!$B:$B,$A89,DeadRaw!AK:AK)</f>
        <v>0</v>
      </c>
      <c r="AI89">
        <f>SUMIF(DeadRaw!$B:$B,$A89,DeadRaw!AL:AL)</f>
        <v>0</v>
      </c>
      <c r="AJ89">
        <f>SUMIF(DeadRaw!$B:$B,$A89,DeadRaw!AM:AM)</f>
        <v>0</v>
      </c>
      <c r="AK89">
        <f>SUMIF(DeadRaw!$B:$B,$A89,DeadRaw!AN:AN)</f>
        <v>0</v>
      </c>
      <c r="AL89">
        <f>SUMIF(DeadRaw!$B:$B,$A89,DeadRaw!AO:AO)</f>
        <v>0</v>
      </c>
      <c r="AM89">
        <f>SUMIF(DeadRaw!$B:$B,$A89,DeadRaw!AP:AP)</f>
        <v>0</v>
      </c>
      <c r="AN89">
        <f>SUMIF(DeadRaw!$B:$B,$A89,DeadRaw!AQ:AQ)</f>
        <v>0</v>
      </c>
      <c r="AO89">
        <f>SUMIF(DeadRaw!$B:$B,$A89,DeadRaw!AR:AR)</f>
        <v>0</v>
      </c>
      <c r="AP89">
        <f>SUMIF(DeadRaw!$B:$B,$A89,DeadRaw!AS:AS)</f>
        <v>0</v>
      </c>
      <c r="AQ89">
        <f>SUMIF(DeadRaw!$B:$B,$A89,DeadRaw!AT:AT)</f>
        <v>0</v>
      </c>
      <c r="AR89">
        <f>SUMIF(DeadRaw!$B:$B,$A89,DeadRaw!AU:AU)</f>
        <v>0</v>
      </c>
      <c r="AS89">
        <f>SUMIF(DeadRaw!$B:$B,$A89,DeadRaw!AV:AV)</f>
        <v>0</v>
      </c>
      <c r="AT89">
        <f>SUMIF(DeadRaw!$B:$B,$A89,DeadRaw!AW:AW)</f>
        <v>0</v>
      </c>
      <c r="AU89">
        <f>SUMIF(DeadRaw!$B:$B,$A89,DeadRaw!AX:AX)</f>
        <v>0</v>
      </c>
      <c r="AV89">
        <f>SUMIF(DeadRaw!$B:$B,$A89,DeadRaw!AY:AY)</f>
        <v>0</v>
      </c>
      <c r="AW89">
        <f>SUMIF(DeadRaw!$B:$B,$A89,DeadRaw!AZ:AZ)</f>
        <v>0</v>
      </c>
      <c r="AX89">
        <f>SUMIF(DeadRaw!$B:$B,$A89,DeadRaw!BA:BA)</f>
        <v>0</v>
      </c>
      <c r="AY89">
        <f>SUMIF(DeadRaw!$B:$B,$A89,DeadRaw!BB:BB)</f>
        <v>0</v>
      </c>
      <c r="AZ89">
        <f>SUMIF(DeadRaw!$B:$B,$A89,DeadRaw!BC:BC)</f>
        <v>0</v>
      </c>
      <c r="BA89">
        <f>SUMIF(DeadRaw!$B:$B,$A89,DeadRaw!BD:BD)</f>
        <v>0</v>
      </c>
      <c r="BB89">
        <f>SUMIF(DeadRaw!$B:$B,$A89,DeadRaw!BE:BE)</f>
        <v>0</v>
      </c>
      <c r="BC89">
        <f>SUMIF(DeadRaw!$B:$B,$A89,DeadRaw!BF:BF)</f>
        <v>0</v>
      </c>
      <c r="BD89">
        <f>SUMIF(DeadRaw!$B:$B,$A89,DeadRaw!BG:BG)</f>
        <v>0</v>
      </c>
      <c r="BE89">
        <f>SUMIF(DeadRaw!$B:$B,$A89,DeadRaw!BH:BH)</f>
        <v>0</v>
      </c>
      <c r="BF89">
        <f>SUMIF(DeadRaw!$B:$B,$A89,DeadRaw!BI:BI)</f>
        <v>0</v>
      </c>
      <c r="BG89">
        <f>SUMIF(DeadRaw!$B:$B,$A89,DeadRaw!BJ:BJ)</f>
        <v>0</v>
      </c>
      <c r="BH89">
        <f>SUMIF(DeadRaw!$B:$B,$A89,DeadRaw!BK:BK)</f>
        <v>0</v>
      </c>
      <c r="BI89">
        <f>SUMIF(DeadRaw!$B:$B,$A89,DeadRaw!BL:BL)</f>
        <v>0</v>
      </c>
      <c r="BJ89">
        <f>SUMIF(DeadRaw!$B:$B,$A89,DeadRaw!BM:BM)</f>
        <v>0</v>
      </c>
      <c r="BK89">
        <f>SUMIF(DeadRaw!$B:$B,$A89,DeadRaw!BN:BN)</f>
        <v>0</v>
      </c>
      <c r="BL89">
        <f>SUMIF(DeadRaw!$B:$B,$A89,DeadRaw!BO:BO)</f>
        <v>0</v>
      </c>
      <c r="BM89">
        <f>SUMIF(DeadRaw!$B:$B,$A89,DeadRaw!BP:BP)</f>
        <v>0</v>
      </c>
      <c r="BN89">
        <f>SUMIF(DeadRaw!$B:$B,$A89,DeadRaw!BQ:BQ)</f>
        <v>0</v>
      </c>
      <c r="BO89">
        <f>SUMIF(DeadRaw!$B:$B,$A89,DeadRaw!BR:BR)</f>
        <v>0</v>
      </c>
      <c r="BP89">
        <f>SUMIF(DeadRaw!$B:$B,$A89,DeadRaw!BS:BS)</f>
        <v>0</v>
      </c>
      <c r="BQ89">
        <f>SUMIF(DeadRaw!$B:$B,$A89,DeadRaw!BT:BT)</f>
        <v>0</v>
      </c>
      <c r="BR89">
        <f>SUMIF(DeadRaw!$B:$B,$A89,DeadRaw!BU:BU)</f>
        <v>0</v>
      </c>
      <c r="BS89">
        <f>SUMIF(DeadRaw!$B:$B,$A89,DeadRaw!BV:BV)</f>
        <v>0</v>
      </c>
      <c r="BT89">
        <f>SUMIF(DeadRaw!$B:$B,$A89,DeadRaw!BW:BW)</f>
        <v>0</v>
      </c>
    </row>
    <row r="90" spans="1:72" ht="15" thickBot="1" x14ac:dyDescent="0.35">
      <c r="A90" s="3" t="s">
        <v>52</v>
      </c>
      <c r="B90">
        <f>SUMIF(DeadRaw!$B:$B,$A90,DeadRaw!E:E)</f>
        <v>0</v>
      </c>
      <c r="C90">
        <f>SUMIF(DeadRaw!$B:$B,$A90,DeadRaw!F:F)</f>
        <v>0</v>
      </c>
      <c r="D90">
        <f>SUMIF(DeadRaw!$B:$B,$A90,DeadRaw!G:G)</f>
        <v>0</v>
      </c>
      <c r="E90">
        <f>SUMIF(DeadRaw!$B:$B,$A90,DeadRaw!H:H)</f>
        <v>0</v>
      </c>
      <c r="F90">
        <f>SUMIF(DeadRaw!$B:$B,$A90,DeadRaw!I:I)</f>
        <v>0</v>
      </c>
      <c r="G90">
        <f>SUMIF(DeadRaw!$B:$B,$A90,DeadRaw!J:J)</f>
        <v>0</v>
      </c>
      <c r="H90">
        <f>SUMIF(DeadRaw!$B:$B,$A90,DeadRaw!K:K)</f>
        <v>0</v>
      </c>
      <c r="I90">
        <f>SUMIF(DeadRaw!$B:$B,$A90,DeadRaw!L:L)</f>
        <v>0</v>
      </c>
      <c r="J90">
        <f>SUMIF(DeadRaw!$B:$B,$A90,DeadRaw!M:M)</f>
        <v>0</v>
      </c>
      <c r="K90">
        <f>SUMIF(DeadRaw!$B:$B,$A90,DeadRaw!N:N)</f>
        <v>0</v>
      </c>
      <c r="L90">
        <f>SUMIF(DeadRaw!$B:$B,$A90,DeadRaw!O:O)</f>
        <v>0</v>
      </c>
      <c r="M90">
        <f>SUMIF(DeadRaw!$B:$B,$A90,DeadRaw!P:P)</f>
        <v>0</v>
      </c>
      <c r="N90">
        <f>SUMIF(DeadRaw!$B:$B,$A90,DeadRaw!Q:Q)</f>
        <v>0</v>
      </c>
      <c r="O90">
        <f>SUMIF(DeadRaw!$B:$B,$A90,DeadRaw!R:R)</f>
        <v>0</v>
      </c>
      <c r="P90">
        <f>SUMIF(DeadRaw!$B:$B,$A90,DeadRaw!S:S)</f>
        <v>0</v>
      </c>
      <c r="Q90">
        <f>SUMIF(DeadRaw!$B:$B,$A90,DeadRaw!T:T)</f>
        <v>0</v>
      </c>
      <c r="R90">
        <f>SUMIF(DeadRaw!$B:$B,$A90,DeadRaw!U:U)</f>
        <v>0</v>
      </c>
      <c r="S90">
        <f>SUMIF(DeadRaw!$B:$B,$A90,DeadRaw!V:V)</f>
        <v>0</v>
      </c>
      <c r="T90">
        <f>SUMIF(DeadRaw!$B:$B,$A90,DeadRaw!W:W)</f>
        <v>0</v>
      </c>
      <c r="U90">
        <f>SUMIF(DeadRaw!$B:$B,$A90,DeadRaw!X:X)</f>
        <v>0</v>
      </c>
      <c r="V90">
        <f>SUMIF(DeadRaw!$B:$B,$A90,DeadRaw!Y:Y)</f>
        <v>0</v>
      </c>
      <c r="W90">
        <f>SUMIF(DeadRaw!$B:$B,$A90,DeadRaw!Z:Z)</f>
        <v>0</v>
      </c>
      <c r="X90">
        <f>SUMIF(DeadRaw!$B:$B,$A90,DeadRaw!AA:AA)</f>
        <v>0</v>
      </c>
      <c r="Y90">
        <f>SUMIF(DeadRaw!$B:$B,$A90,DeadRaw!AB:AB)</f>
        <v>0</v>
      </c>
      <c r="Z90">
        <f>SUMIF(DeadRaw!$B:$B,$A90,DeadRaw!AC:AC)</f>
        <v>0</v>
      </c>
      <c r="AA90">
        <f>SUMIF(DeadRaw!$B:$B,$A90,DeadRaw!AD:AD)</f>
        <v>0</v>
      </c>
      <c r="AB90">
        <f>SUMIF(DeadRaw!$B:$B,$A90,DeadRaw!AE:AE)</f>
        <v>0</v>
      </c>
      <c r="AC90">
        <f>SUMIF(DeadRaw!$B:$B,$A90,DeadRaw!AF:AF)</f>
        <v>0</v>
      </c>
      <c r="AD90">
        <f>SUMIF(DeadRaw!$B:$B,$A90,DeadRaw!AG:AG)</f>
        <v>0</v>
      </c>
      <c r="AE90">
        <f>SUMIF(DeadRaw!$B:$B,$A90,DeadRaw!AH:AH)</f>
        <v>0</v>
      </c>
      <c r="AF90">
        <f>SUMIF(DeadRaw!$B:$B,$A90,DeadRaw!AI:AI)</f>
        <v>0</v>
      </c>
      <c r="AG90">
        <f>SUMIF(DeadRaw!$B:$B,$A90,DeadRaw!AJ:AJ)</f>
        <v>0</v>
      </c>
      <c r="AH90">
        <f>SUMIF(DeadRaw!$B:$B,$A90,DeadRaw!AK:AK)</f>
        <v>0</v>
      </c>
      <c r="AI90">
        <f>SUMIF(DeadRaw!$B:$B,$A90,DeadRaw!AL:AL)</f>
        <v>0</v>
      </c>
      <c r="AJ90">
        <f>SUMIF(DeadRaw!$B:$B,$A90,DeadRaw!AM:AM)</f>
        <v>0</v>
      </c>
      <c r="AK90">
        <f>SUMIF(DeadRaw!$B:$B,$A90,DeadRaw!AN:AN)</f>
        <v>0</v>
      </c>
      <c r="AL90">
        <f>SUMIF(DeadRaw!$B:$B,$A90,DeadRaw!AO:AO)</f>
        <v>0</v>
      </c>
      <c r="AM90">
        <f>SUMIF(DeadRaw!$B:$B,$A90,DeadRaw!AP:AP)</f>
        <v>0</v>
      </c>
      <c r="AN90">
        <f>SUMIF(DeadRaw!$B:$B,$A90,DeadRaw!AQ:AQ)</f>
        <v>0</v>
      </c>
      <c r="AO90">
        <f>SUMIF(DeadRaw!$B:$B,$A90,DeadRaw!AR:AR)</f>
        <v>0</v>
      </c>
      <c r="AP90">
        <f>SUMIF(DeadRaw!$B:$B,$A90,DeadRaw!AS:AS)</f>
        <v>0</v>
      </c>
      <c r="AQ90">
        <f>SUMIF(DeadRaw!$B:$B,$A90,DeadRaw!AT:AT)</f>
        <v>0</v>
      </c>
      <c r="AR90">
        <f>SUMIF(DeadRaw!$B:$B,$A90,DeadRaw!AU:AU)</f>
        <v>0</v>
      </c>
      <c r="AS90">
        <f>SUMIF(DeadRaw!$B:$B,$A90,DeadRaw!AV:AV)</f>
        <v>0</v>
      </c>
      <c r="AT90">
        <f>SUMIF(DeadRaw!$B:$B,$A90,DeadRaw!AW:AW)</f>
        <v>0</v>
      </c>
      <c r="AU90">
        <f>SUMIF(DeadRaw!$B:$B,$A90,DeadRaw!AX:AX)</f>
        <v>0</v>
      </c>
      <c r="AV90">
        <f>SUMIF(DeadRaw!$B:$B,$A90,DeadRaw!AY:AY)</f>
        <v>0</v>
      </c>
      <c r="AW90">
        <f>SUMIF(DeadRaw!$B:$B,$A90,DeadRaw!AZ:AZ)</f>
        <v>0</v>
      </c>
      <c r="AX90">
        <f>SUMIF(DeadRaw!$B:$B,$A90,DeadRaw!BA:BA)</f>
        <v>0</v>
      </c>
      <c r="AY90">
        <f>SUMIF(DeadRaw!$B:$B,$A90,DeadRaw!BB:BB)</f>
        <v>0</v>
      </c>
      <c r="AZ90">
        <f>SUMIF(DeadRaw!$B:$B,$A90,DeadRaw!BC:BC)</f>
        <v>0</v>
      </c>
      <c r="BA90">
        <f>SUMIF(DeadRaw!$B:$B,$A90,DeadRaw!BD:BD)</f>
        <v>0</v>
      </c>
      <c r="BB90">
        <f>SUMIF(DeadRaw!$B:$B,$A90,DeadRaw!BE:BE)</f>
        <v>0</v>
      </c>
      <c r="BC90">
        <f>SUMIF(DeadRaw!$B:$B,$A90,DeadRaw!BF:BF)</f>
        <v>0</v>
      </c>
      <c r="BD90">
        <f>SUMIF(DeadRaw!$B:$B,$A90,DeadRaw!BG:BG)</f>
        <v>0</v>
      </c>
      <c r="BE90">
        <f>SUMIF(DeadRaw!$B:$B,$A90,DeadRaw!BH:BH)</f>
        <v>0</v>
      </c>
      <c r="BF90">
        <f>SUMIF(DeadRaw!$B:$B,$A90,DeadRaw!BI:BI)</f>
        <v>0</v>
      </c>
      <c r="BG90">
        <f>SUMIF(DeadRaw!$B:$B,$A90,DeadRaw!BJ:BJ)</f>
        <v>0</v>
      </c>
      <c r="BH90">
        <f>SUMIF(DeadRaw!$B:$B,$A90,DeadRaw!BK:BK)</f>
        <v>0</v>
      </c>
      <c r="BI90">
        <f>SUMIF(DeadRaw!$B:$B,$A90,DeadRaw!BL:BL)</f>
        <v>0</v>
      </c>
      <c r="BJ90">
        <f>SUMIF(DeadRaw!$B:$B,$A90,DeadRaw!BM:BM)</f>
        <v>0</v>
      </c>
      <c r="BK90">
        <f>SUMIF(DeadRaw!$B:$B,$A90,DeadRaw!BN:BN)</f>
        <v>0</v>
      </c>
      <c r="BL90">
        <f>SUMIF(DeadRaw!$B:$B,$A90,DeadRaw!BO:BO)</f>
        <v>0</v>
      </c>
      <c r="BM90">
        <f>SUMIF(DeadRaw!$B:$B,$A90,DeadRaw!BP:BP)</f>
        <v>0</v>
      </c>
      <c r="BN90">
        <f>SUMIF(DeadRaw!$B:$B,$A90,DeadRaw!BQ:BQ)</f>
        <v>0</v>
      </c>
      <c r="BO90">
        <f>SUMIF(DeadRaw!$B:$B,$A90,DeadRaw!BR:BR)</f>
        <v>0</v>
      </c>
      <c r="BP90">
        <f>SUMIF(DeadRaw!$B:$B,$A90,DeadRaw!BS:BS)</f>
        <v>0</v>
      </c>
      <c r="BQ90">
        <f>SUMIF(DeadRaw!$B:$B,$A90,DeadRaw!BT:BT)</f>
        <v>0</v>
      </c>
      <c r="BR90">
        <f>SUMIF(DeadRaw!$B:$B,$A90,DeadRaw!BU:BU)</f>
        <v>0</v>
      </c>
      <c r="BS90">
        <f>SUMIF(DeadRaw!$B:$B,$A90,DeadRaw!BV:BV)</f>
        <v>0</v>
      </c>
      <c r="BT90">
        <f>SUMIF(DeadRaw!$B:$B,$A90,DeadRaw!BW:BW)</f>
        <v>0</v>
      </c>
    </row>
    <row r="91" spans="1:72" ht="15" thickBot="1" x14ac:dyDescent="0.35">
      <c r="A91" s="4" t="s">
        <v>51</v>
      </c>
      <c r="B91">
        <f>SUMIF(DeadRaw!$B:$B,$A91,DeadRaw!E:E)</f>
        <v>0</v>
      </c>
      <c r="C91">
        <f>SUMIF(DeadRaw!$B:$B,$A91,DeadRaw!F:F)</f>
        <v>0</v>
      </c>
      <c r="D91">
        <f>SUMIF(DeadRaw!$B:$B,$A91,DeadRaw!G:G)</f>
        <v>0</v>
      </c>
      <c r="E91">
        <f>SUMIF(DeadRaw!$B:$B,$A91,DeadRaw!H:H)</f>
        <v>0</v>
      </c>
      <c r="F91">
        <f>SUMIF(DeadRaw!$B:$B,$A91,DeadRaw!I:I)</f>
        <v>0</v>
      </c>
      <c r="G91">
        <f>SUMIF(DeadRaw!$B:$B,$A91,DeadRaw!J:J)</f>
        <v>0</v>
      </c>
      <c r="H91">
        <f>SUMIF(DeadRaw!$B:$B,$A91,DeadRaw!K:K)</f>
        <v>0</v>
      </c>
      <c r="I91">
        <f>SUMIF(DeadRaw!$B:$B,$A91,DeadRaw!L:L)</f>
        <v>0</v>
      </c>
      <c r="J91">
        <f>SUMIF(DeadRaw!$B:$B,$A91,DeadRaw!M:M)</f>
        <v>0</v>
      </c>
      <c r="K91">
        <f>SUMIF(DeadRaw!$B:$B,$A91,DeadRaw!N:N)</f>
        <v>0</v>
      </c>
      <c r="L91">
        <f>SUMIF(DeadRaw!$B:$B,$A91,DeadRaw!O:O)</f>
        <v>0</v>
      </c>
      <c r="M91">
        <f>SUMIF(DeadRaw!$B:$B,$A91,DeadRaw!P:P)</f>
        <v>0</v>
      </c>
      <c r="N91">
        <f>SUMIF(DeadRaw!$B:$B,$A91,DeadRaw!Q:Q)</f>
        <v>0</v>
      </c>
      <c r="O91">
        <f>SUMIF(DeadRaw!$B:$B,$A91,DeadRaw!R:R)</f>
        <v>0</v>
      </c>
      <c r="P91">
        <f>SUMIF(DeadRaw!$B:$B,$A91,DeadRaw!S:S)</f>
        <v>0</v>
      </c>
      <c r="Q91">
        <f>SUMIF(DeadRaw!$B:$B,$A91,DeadRaw!T:T)</f>
        <v>0</v>
      </c>
      <c r="R91">
        <f>SUMIF(DeadRaw!$B:$B,$A91,DeadRaw!U:U)</f>
        <v>0</v>
      </c>
      <c r="S91">
        <f>SUMIF(DeadRaw!$B:$B,$A91,DeadRaw!V:V)</f>
        <v>0</v>
      </c>
      <c r="T91">
        <f>SUMIF(DeadRaw!$B:$B,$A91,DeadRaw!W:W)</f>
        <v>0</v>
      </c>
      <c r="U91">
        <f>SUMIF(DeadRaw!$B:$B,$A91,DeadRaw!X:X)</f>
        <v>0</v>
      </c>
      <c r="V91">
        <f>SUMIF(DeadRaw!$B:$B,$A91,DeadRaw!Y:Y)</f>
        <v>0</v>
      </c>
      <c r="W91">
        <f>SUMIF(DeadRaw!$B:$B,$A91,DeadRaw!Z:Z)</f>
        <v>0</v>
      </c>
      <c r="X91">
        <f>SUMIF(DeadRaw!$B:$B,$A91,DeadRaw!AA:AA)</f>
        <v>0</v>
      </c>
      <c r="Y91">
        <f>SUMIF(DeadRaw!$B:$B,$A91,DeadRaw!AB:AB)</f>
        <v>0</v>
      </c>
      <c r="Z91">
        <f>SUMIF(DeadRaw!$B:$B,$A91,DeadRaw!AC:AC)</f>
        <v>0</v>
      </c>
      <c r="AA91">
        <f>SUMIF(DeadRaw!$B:$B,$A91,DeadRaw!AD:AD)</f>
        <v>0</v>
      </c>
      <c r="AB91">
        <f>SUMIF(DeadRaw!$B:$B,$A91,DeadRaw!AE:AE)</f>
        <v>0</v>
      </c>
      <c r="AC91">
        <f>SUMIF(DeadRaw!$B:$B,$A91,DeadRaw!AF:AF)</f>
        <v>0</v>
      </c>
      <c r="AD91">
        <f>SUMIF(DeadRaw!$B:$B,$A91,DeadRaw!AG:AG)</f>
        <v>0</v>
      </c>
      <c r="AE91">
        <f>SUMIF(DeadRaw!$B:$B,$A91,DeadRaw!AH:AH)</f>
        <v>0</v>
      </c>
      <c r="AF91">
        <f>SUMIF(DeadRaw!$B:$B,$A91,DeadRaw!AI:AI)</f>
        <v>0</v>
      </c>
      <c r="AG91">
        <f>SUMIF(DeadRaw!$B:$B,$A91,DeadRaw!AJ:AJ)</f>
        <v>0</v>
      </c>
      <c r="AH91">
        <f>SUMIF(DeadRaw!$B:$B,$A91,DeadRaw!AK:AK)</f>
        <v>0</v>
      </c>
      <c r="AI91">
        <f>SUMIF(DeadRaw!$B:$B,$A91,DeadRaw!AL:AL)</f>
        <v>0</v>
      </c>
      <c r="AJ91">
        <f>SUMIF(DeadRaw!$B:$B,$A91,DeadRaw!AM:AM)</f>
        <v>0</v>
      </c>
      <c r="AK91">
        <f>SUMIF(DeadRaw!$B:$B,$A91,DeadRaw!AN:AN)</f>
        <v>0</v>
      </c>
      <c r="AL91">
        <f>SUMIF(DeadRaw!$B:$B,$A91,DeadRaw!AO:AO)</f>
        <v>0</v>
      </c>
      <c r="AM91">
        <f>SUMIF(DeadRaw!$B:$B,$A91,DeadRaw!AP:AP)</f>
        <v>0</v>
      </c>
      <c r="AN91">
        <f>SUMIF(DeadRaw!$B:$B,$A91,DeadRaw!AQ:AQ)</f>
        <v>0</v>
      </c>
      <c r="AO91">
        <f>SUMIF(DeadRaw!$B:$B,$A91,DeadRaw!AR:AR)</f>
        <v>0</v>
      </c>
      <c r="AP91">
        <f>SUMIF(DeadRaw!$B:$B,$A91,DeadRaw!AS:AS)</f>
        <v>0</v>
      </c>
      <c r="AQ91">
        <f>SUMIF(DeadRaw!$B:$B,$A91,DeadRaw!AT:AT)</f>
        <v>0</v>
      </c>
      <c r="AR91">
        <f>SUMIF(DeadRaw!$B:$B,$A91,DeadRaw!AU:AU)</f>
        <v>0</v>
      </c>
      <c r="AS91">
        <f>SUMIF(DeadRaw!$B:$B,$A91,DeadRaw!AV:AV)</f>
        <v>0</v>
      </c>
      <c r="AT91">
        <f>SUMIF(DeadRaw!$B:$B,$A91,DeadRaw!AW:AW)</f>
        <v>0</v>
      </c>
      <c r="AU91">
        <f>SUMIF(DeadRaw!$B:$B,$A91,DeadRaw!AX:AX)</f>
        <v>0</v>
      </c>
      <c r="AV91">
        <f>SUMIF(DeadRaw!$B:$B,$A91,DeadRaw!AY:AY)</f>
        <v>0</v>
      </c>
      <c r="AW91">
        <f>SUMIF(DeadRaw!$B:$B,$A91,DeadRaw!AZ:AZ)</f>
        <v>0</v>
      </c>
      <c r="AX91">
        <f>SUMIF(DeadRaw!$B:$B,$A91,DeadRaw!BA:BA)</f>
        <v>0</v>
      </c>
      <c r="AY91">
        <f>SUMIF(DeadRaw!$B:$B,$A91,DeadRaw!BB:BB)</f>
        <v>0</v>
      </c>
      <c r="AZ91">
        <f>SUMIF(DeadRaw!$B:$B,$A91,DeadRaw!BC:BC)</f>
        <v>0</v>
      </c>
      <c r="BA91">
        <f>SUMIF(DeadRaw!$B:$B,$A91,DeadRaw!BD:BD)</f>
        <v>0</v>
      </c>
      <c r="BB91">
        <f>SUMIF(DeadRaw!$B:$B,$A91,DeadRaw!BE:BE)</f>
        <v>0</v>
      </c>
      <c r="BC91">
        <f>SUMIF(DeadRaw!$B:$B,$A91,DeadRaw!BF:BF)</f>
        <v>0</v>
      </c>
      <c r="BD91">
        <f>SUMIF(DeadRaw!$B:$B,$A91,DeadRaw!BG:BG)</f>
        <v>0</v>
      </c>
      <c r="BE91">
        <f>SUMIF(DeadRaw!$B:$B,$A91,DeadRaw!BH:BH)</f>
        <v>0</v>
      </c>
      <c r="BF91">
        <f>SUMIF(DeadRaw!$B:$B,$A91,DeadRaw!BI:BI)</f>
        <v>0</v>
      </c>
      <c r="BG91">
        <f>SUMIF(DeadRaw!$B:$B,$A91,DeadRaw!BJ:BJ)</f>
        <v>0</v>
      </c>
      <c r="BH91">
        <f>SUMIF(DeadRaw!$B:$B,$A91,DeadRaw!BK:BK)</f>
        <v>0</v>
      </c>
      <c r="BI91">
        <f>SUMIF(DeadRaw!$B:$B,$A91,DeadRaw!BL:BL)</f>
        <v>0</v>
      </c>
      <c r="BJ91">
        <f>SUMIF(DeadRaw!$B:$B,$A91,DeadRaw!BM:BM)</f>
        <v>0</v>
      </c>
      <c r="BK91">
        <f>SUMIF(DeadRaw!$B:$B,$A91,DeadRaw!BN:BN)</f>
        <v>0</v>
      </c>
      <c r="BL91">
        <f>SUMIF(DeadRaw!$B:$B,$A91,DeadRaw!BO:BO)</f>
        <v>0</v>
      </c>
      <c r="BM91">
        <f>SUMIF(DeadRaw!$B:$B,$A91,DeadRaw!BP:BP)</f>
        <v>0</v>
      </c>
      <c r="BN91">
        <f>SUMIF(DeadRaw!$B:$B,$A91,DeadRaw!BQ:BQ)</f>
        <v>0</v>
      </c>
      <c r="BO91">
        <f>SUMIF(DeadRaw!$B:$B,$A91,DeadRaw!BR:BR)</f>
        <v>0</v>
      </c>
      <c r="BP91">
        <f>SUMIF(DeadRaw!$B:$B,$A91,DeadRaw!BS:BS)</f>
        <v>0</v>
      </c>
      <c r="BQ91">
        <f>SUMIF(DeadRaw!$B:$B,$A91,DeadRaw!BT:BT)</f>
        <v>0</v>
      </c>
      <c r="BR91">
        <f>SUMIF(DeadRaw!$B:$B,$A91,DeadRaw!BU:BU)</f>
        <v>0</v>
      </c>
      <c r="BS91">
        <f>SUMIF(DeadRaw!$B:$B,$A91,DeadRaw!BV:BV)</f>
        <v>0</v>
      </c>
      <c r="BT91">
        <f>SUMIF(DeadRaw!$B:$B,$A91,DeadRaw!BW:BW)</f>
        <v>0</v>
      </c>
    </row>
    <row r="92" spans="1:72" ht="15" thickBot="1" x14ac:dyDescent="0.35">
      <c r="A92" s="3" t="s">
        <v>106</v>
      </c>
      <c r="B92">
        <f>SUMIF(DeadRaw!$B:$B,$A92,DeadRaw!E:E)</f>
        <v>0</v>
      </c>
      <c r="C92">
        <f>SUMIF(DeadRaw!$B:$B,$A92,DeadRaw!F:F)</f>
        <v>0</v>
      </c>
      <c r="D92">
        <f>SUMIF(DeadRaw!$B:$B,$A92,DeadRaw!G:G)</f>
        <v>0</v>
      </c>
      <c r="E92">
        <f>SUMIF(DeadRaw!$B:$B,$A92,DeadRaw!H:H)</f>
        <v>0</v>
      </c>
      <c r="F92">
        <f>SUMIF(DeadRaw!$B:$B,$A92,DeadRaw!I:I)</f>
        <v>0</v>
      </c>
      <c r="G92">
        <f>SUMIF(DeadRaw!$B:$B,$A92,DeadRaw!J:J)</f>
        <v>0</v>
      </c>
      <c r="H92">
        <f>SUMIF(DeadRaw!$B:$B,$A92,DeadRaw!K:K)</f>
        <v>0</v>
      </c>
      <c r="I92">
        <f>SUMIF(DeadRaw!$B:$B,$A92,DeadRaw!L:L)</f>
        <v>0</v>
      </c>
      <c r="J92">
        <f>SUMIF(DeadRaw!$B:$B,$A92,DeadRaw!M:M)</f>
        <v>0</v>
      </c>
      <c r="K92">
        <f>SUMIF(DeadRaw!$B:$B,$A92,DeadRaw!N:N)</f>
        <v>0</v>
      </c>
      <c r="L92">
        <f>SUMIF(DeadRaw!$B:$B,$A92,DeadRaw!O:O)</f>
        <v>0</v>
      </c>
      <c r="M92">
        <f>SUMIF(DeadRaw!$B:$B,$A92,DeadRaw!P:P)</f>
        <v>0</v>
      </c>
      <c r="N92">
        <f>SUMIF(DeadRaw!$B:$B,$A92,DeadRaw!Q:Q)</f>
        <v>0</v>
      </c>
      <c r="O92">
        <f>SUMIF(DeadRaw!$B:$B,$A92,DeadRaw!R:R)</f>
        <v>0</v>
      </c>
      <c r="P92">
        <f>SUMIF(DeadRaw!$B:$B,$A92,DeadRaw!S:S)</f>
        <v>0</v>
      </c>
      <c r="Q92">
        <f>SUMIF(DeadRaw!$B:$B,$A92,DeadRaw!T:T)</f>
        <v>0</v>
      </c>
      <c r="R92">
        <f>SUMIF(DeadRaw!$B:$B,$A92,DeadRaw!U:U)</f>
        <v>0</v>
      </c>
      <c r="S92">
        <f>SUMIF(DeadRaw!$B:$B,$A92,DeadRaw!V:V)</f>
        <v>0</v>
      </c>
      <c r="T92">
        <f>SUMIF(DeadRaw!$B:$B,$A92,DeadRaw!W:W)</f>
        <v>0</v>
      </c>
      <c r="U92">
        <f>SUMIF(DeadRaw!$B:$B,$A92,DeadRaw!X:X)</f>
        <v>0</v>
      </c>
      <c r="V92">
        <f>SUMIF(DeadRaw!$B:$B,$A92,DeadRaw!Y:Y)</f>
        <v>0</v>
      </c>
      <c r="W92">
        <f>SUMIF(DeadRaw!$B:$B,$A92,DeadRaw!Z:Z)</f>
        <v>0</v>
      </c>
      <c r="X92">
        <f>SUMIF(DeadRaw!$B:$B,$A92,DeadRaw!AA:AA)</f>
        <v>0</v>
      </c>
      <c r="Y92">
        <f>SUMIF(DeadRaw!$B:$B,$A92,DeadRaw!AB:AB)</f>
        <v>0</v>
      </c>
      <c r="Z92">
        <f>SUMIF(DeadRaw!$B:$B,$A92,DeadRaw!AC:AC)</f>
        <v>0</v>
      </c>
      <c r="AA92">
        <f>SUMIF(DeadRaw!$B:$B,$A92,DeadRaw!AD:AD)</f>
        <v>0</v>
      </c>
      <c r="AB92">
        <f>SUMIF(DeadRaw!$B:$B,$A92,DeadRaw!AE:AE)</f>
        <v>0</v>
      </c>
      <c r="AC92">
        <f>SUMIF(DeadRaw!$B:$B,$A92,DeadRaw!AF:AF)</f>
        <v>0</v>
      </c>
      <c r="AD92">
        <f>SUMIF(DeadRaw!$B:$B,$A92,DeadRaw!AG:AG)</f>
        <v>0</v>
      </c>
      <c r="AE92">
        <f>SUMIF(DeadRaw!$B:$B,$A92,DeadRaw!AH:AH)</f>
        <v>0</v>
      </c>
      <c r="AF92">
        <f>SUMIF(DeadRaw!$B:$B,$A92,DeadRaw!AI:AI)</f>
        <v>0</v>
      </c>
      <c r="AG92">
        <f>SUMIF(DeadRaw!$B:$B,$A92,DeadRaw!AJ:AJ)</f>
        <v>0</v>
      </c>
      <c r="AH92">
        <f>SUMIF(DeadRaw!$B:$B,$A92,DeadRaw!AK:AK)</f>
        <v>0</v>
      </c>
      <c r="AI92">
        <f>SUMIF(DeadRaw!$B:$B,$A92,DeadRaw!AL:AL)</f>
        <v>0</v>
      </c>
      <c r="AJ92">
        <f>SUMIF(DeadRaw!$B:$B,$A92,DeadRaw!AM:AM)</f>
        <v>0</v>
      </c>
      <c r="AK92">
        <f>SUMIF(DeadRaw!$B:$B,$A92,DeadRaw!AN:AN)</f>
        <v>0</v>
      </c>
      <c r="AL92">
        <f>SUMIF(DeadRaw!$B:$B,$A92,DeadRaw!AO:AO)</f>
        <v>0</v>
      </c>
      <c r="AM92">
        <f>SUMIF(DeadRaw!$B:$B,$A92,DeadRaw!AP:AP)</f>
        <v>0</v>
      </c>
      <c r="AN92">
        <f>SUMIF(DeadRaw!$B:$B,$A92,DeadRaw!AQ:AQ)</f>
        <v>0</v>
      </c>
      <c r="AO92">
        <f>SUMIF(DeadRaw!$B:$B,$A92,DeadRaw!AR:AR)</f>
        <v>0</v>
      </c>
      <c r="AP92">
        <f>SUMIF(DeadRaw!$B:$B,$A92,DeadRaw!AS:AS)</f>
        <v>0</v>
      </c>
      <c r="AQ92">
        <f>SUMIF(DeadRaw!$B:$B,$A92,DeadRaw!AT:AT)</f>
        <v>0</v>
      </c>
      <c r="AR92">
        <f>SUMIF(DeadRaw!$B:$B,$A92,DeadRaw!AU:AU)</f>
        <v>0</v>
      </c>
      <c r="AS92">
        <f>SUMIF(DeadRaw!$B:$B,$A92,DeadRaw!AV:AV)</f>
        <v>0</v>
      </c>
      <c r="AT92">
        <f>SUMIF(DeadRaw!$B:$B,$A92,DeadRaw!AW:AW)</f>
        <v>0</v>
      </c>
      <c r="AU92">
        <f>SUMIF(DeadRaw!$B:$B,$A92,DeadRaw!AX:AX)</f>
        <v>0</v>
      </c>
      <c r="AV92">
        <f>SUMIF(DeadRaw!$B:$B,$A92,DeadRaw!AY:AY)</f>
        <v>0</v>
      </c>
      <c r="AW92">
        <f>SUMIF(DeadRaw!$B:$B,$A92,DeadRaw!AZ:AZ)</f>
        <v>0</v>
      </c>
      <c r="AX92">
        <f>SUMIF(DeadRaw!$B:$B,$A92,DeadRaw!BA:BA)</f>
        <v>0</v>
      </c>
      <c r="AY92">
        <f>SUMIF(DeadRaw!$B:$B,$A92,DeadRaw!BB:BB)</f>
        <v>0</v>
      </c>
      <c r="AZ92">
        <f>SUMIF(DeadRaw!$B:$B,$A92,DeadRaw!BC:BC)</f>
        <v>0</v>
      </c>
      <c r="BA92">
        <f>SUMIF(DeadRaw!$B:$B,$A92,DeadRaw!BD:BD)</f>
        <v>0</v>
      </c>
      <c r="BB92">
        <f>SUMIF(DeadRaw!$B:$B,$A92,DeadRaw!BE:BE)</f>
        <v>0</v>
      </c>
      <c r="BC92">
        <f>SUMIF(DeadRaw!$B:$B,$A92,DeadRaw!BF:BF)</f>
        <v>0</v>
      </c>
      <c r="BD92">
        <f>SUMIF(DeadRaw!$B:$B,$A92,DeadRaw!BG:BG)</f>
        <v>0</v>
      </c>
      <c r="BE92">
        <f>SUMIF(DeadRaw!$B:$B,$A92,DeadRaw!BH:BH)</f>
        <v>1</v>
      </c>
      <c r="BF92">
        <f>SUMIF(DeadRaw!$B:$B,$A92,DeadRaw!BI:BI)</f>
        <v>1</v>
      </c>
      <c r="BG92">
        <f>SUMIF(DeadRaw!$B:$B,$A92,DeadRaw!BJ:BJ)</f>
        <v>0</v>
      </c>
      <c r="BH92">
        <f>SUMIF(DeadRaw!$B:$B,$A92,DeadRaw!BK:BK)</f>
        <v>0</v>
      </c>
      <c r="BI92">
        <f>SUMIF(DeadRaw!$B:$B,$A92,DeadRaw!BL:BL)</f>
        <v>0</v>
      </c>
      <c r="BJ92">
        <f>SUMIF(DeadRaw!$B:$B,$A92,DeadRaw!BM:BM)</f>
        <v>0</v>
      </c>
      <c r="BK92">
        <f>SUMIF(DeadRaw!$B:$B,$A92,DeadRaw!BN:BN)</f>
        <v>0</v>
      </c>
      <c r="BL92">
        <f>SUMIF(DeadRaw!$B:$B,$A92,DeadRaw!BO:BO)</f>
        <v>0</v>
      </c>
      <c r="BM92">
        <f>SUMIF(DeadRaw!$B:$B,$A92,DeadRaw!BP:BP)</f>
        <v>0</v>
      </c>
      <c r="BN92">
        <f>SUMIF(DeadRaw!$B:$B,$A92,DeadRaw!BQ:BQ)</f>
        <v>0</v>
      </c>
      <c r="BO92">
        <f>SUMIF(DeadRaw!$B:$B,$A92,DeadRaw!BR:BR)</f>
        <v>0</v>
      </c>
      <c r="BP92">
        <f>SUMIF(DeadRaw!$B:$B,$A92,DeadRaw!BS:BS)</f>
        <v>0</v>
      </c>
      <c r="BQ92">
        <f>SUMIF(DeadRaw!$B:$B,$A92,DeadRaw!BT:BT)</f>
        <v>0</v>
      </c>
      <c r="BR92">
        <f>SUMIF(DeadRaw!$B:$B,$A92,DeadRaw!BU:BU)</f>
        <v>0</v>
      </c>
      <c r="BS92">
        <f>SUMIF(DeadRaw!$B:$B,$A92,DeadRaw!BV:BV)</f>
        <v>0</v>
      </c>
      <c r="BT92">
        <f>SUMIF(DeadRaw!$B:$B,$A92,DeadRaw!BW:BW)</f>
        <v>0</v>
      </c>
    </row>
    <row r="93" spans="1:72" ht="15" thickBot="1" x14ac:dyDescent="0.35">
      <c r="A93" s="4" t="s">
        <v>176</v>
      </c>
      <c r="B93">
        <f>SUMIF(DeadRaw!$B:$B,$A93,DeadRaw!E:E)</f>
        <v>0</v>
      </c>
      <c r="C93">
        <f>SUMIF(DeadRaw!$B:$B,$A93,DeadRaw!F:F)</f>
        <v>0</v>
      </c>
      <c r="D93">
        <f>SUMIF(DeadRaw!$B:$B,$A93,DeadRaw!G:G)</f>
        <v>0</v>
      </c>
      <c r="E93">
        <f>SUMIF(DeadRaw!$B:$B,$A93,DeadRaw!H:H)</f>
        <v>0</v>
      </c>
      <c r="F93">
        <f>SUMIF(DeadRaw!$B:$B,$A93,DeadRaw!I:I)</f>
        <v>0</v>
      </c>
      <c r="G93">
        <f>SUMIF(DeadRaw!$B:$B,$A93,DeadRaw!J:J)</f>
        <v>0</v>
      </c>
      <c r="H93">
        <f>SUMIF(DeadRaw!$B:$B,$A93,DeadRaw!K:K)</f>
        <v>0</v>
      </c>
      <c r="I93">
        <f>SUMIF(DeadRaw!$B:$B,$A93,DeadRaw!L:L)</f>
        <v>0</v>
      </c>
      <c r="J93">
        <f>SUMIF(DeadRaw!$B:$B,$A93,DeadRaw!M:M)</f>
        <v>0</v>
      </c>
      <c r="K93">
        <f>SUMIF(DeadRaw!$B:$B,$A93,DeadRaw!N:N)</f>
        <v>0</v>
      </c>
      <c r="L93">
        <f>SUMIF(DeadRaw!$B:$B,$A93,DeadRaw!O:O)</f>
        <v>0</v>
      </c>
      <c r="M93">
        <f>SUMIF(DeadRaw!$B:$B,$A93,DeadRaw!P:P)</f>
        <v>0</v>
      </c>
      <c r="N93">
        <f>SUMIF(DeadRaw!$B:$B,$A93,DeadRaw!Q:Q)</f>
        <v>0</v>
      </c>
      <c r="O93">
        <f>SUMIF(DeadRaw!$B:$B,$A93,DeadRaw!R:R)</f>
        <v>0</v>
      </c>
      <c r="P93">
        <f>SUMIF(DeadRaw!$B:$B,$A93,DeadRaw!S:S)</f>
        <v>0</v>
      </c>
      <c r="Q93">
        <f>SUMIF(DeadRaw!$B:$B,$A93,DeadRaw!T:T)</f>
        <v>0</v>
      </c>
      <c r="R93">
        <f>SUMIF(DeadRaw!$B:$B,$A93,DeadRaw!U:U)</f>
        <v>0</v>
      </c>
      <c r="S93">
        <f>SUMIF(DeadRaw!$B:$B,$A93,DeadRaw!V:V)</f>
        <v>0</v>
      </c>
      <c r="T93">
        <f>SUMIF(DeadRaw!$B:$B,$A93,DeadRaw!W:W)</f>
        <v>0</v>
      </c>
      <c r="U93">
        <f>SUMIF(DeadRaw!$B:$B,$A93,DeadRaw!X:X)</f>
        <v>0</v>
      </c>
      <c r="V93">
        <f>SUMIF(DeadRaw!$B:$B,$A93,DeadRaw!Y:Y)</f>
        <v>0</v>
      </c>
      <c r="W93">
        <f>SUMIF(DeadRaw!$B:$B,$A93,DeadRaw!Z:Z)</f>
        <v>0</v>
      </c>
      <c r="X93">
        <f>SUMIF(DeadRaw!$B:$B,$A93,DeadRaw!AA:AA)</f>
        <v>0</v>
      </c>
      <c r="Y93">
        <f>SUMIF(DeadRaw!$B:$B,$A93,DeadRaw!AB:AB)</f>
        <v>0</v>
      </c>
      <c r="Z93">
        <f>SUMIF(DeadRaw!$B:$B,$A93,DeadRaw!AC:AC)</f>
        <v>0</v>
      </c>
      <c r="AA93">
        <f>SUMIF(DeadRaw!$B:$B,$A93,DeadRaw!AD:AD)</f>
        <v>0</v>
      </c>
      <c r="AB93">
        <f>SUMIF(DeadRaw!$B:$B,$A93,DeadRaw!AE:AE)</f>
        <v>0</v>
      </c>
      <c r="AC93">
        <f>SUMIF(DeadRaw!$B:$B,$A93,DeadRaw!AF:AF)</f>
        <v>0</v>
      </c>
      <c r="AD93">
        <f>SUMIF(DeadRaw!$B:$B,$A93,DeadRaw!AG:AG)</f>
        <v>0</v>
      </c>
      <c r="AE93">
        <f>SUMIF(DeadRaw!$B:$B,$A93,DeadRaw!AH:AH)</f>
        <v>0</v>
      </c>
      <c r="AF93">
        <f>SUMIF(DeadRaw!$B:$B,$A93,DeadRaw!AI:AI)</f>
        <v>0</v>
      </c>
      <c r="AG93">
        <f>SUMIF(DeadRaw!$B:$B,$A93,DeadRaw!AJ:AJ)</f>
        <v>0</v>
      </c>
      <c r="AH93">
        <f>SUMIF(DeadRaw!$B:$B,$A93,DeadRaw!AK:AK)</f>
        <v>0</v>
      </c>
      <c r="AI93">
        <f>SUMIF(DeadRaw!$B:$B,$A93,DeadRaw!AL:AL)</f>
        <v>0</v>
      </c>
      <c r="AJ93">
        <f>SUMIF(DeadRaw!$B:$B,$A93,DeadRaw!AM:AM)</f>
        <v>0</v>
      </c>
      <c r="AK93">
        <f>SUMIF(DeadRaw!$B:$B,$A93,DeadRaw!AN:AN)</f>
        <v>0</v>
      </c>
      <c r="AL93">
        <f>SUMIF(DeadRaw!$B:$B,$A93,DeadRaw!AO:AO)</f>
        <v>0</v>
      </c>
      <c r="AM93">
        <f>SUMIF(DeadRaw!$B:$B,$A93,DeadRaw!AP:AP)</f>
        <v>0</v>
      </c>
      <c r="AN93">
        <f>SUMIF(DeadRaw!$B:$B,$A93,DeadRaw!AQ:AQ)</f>
        <v>0</v>
      </c>
      <c r="AO93">
        <f>SUMIF(DeadRaw!$B:$B,$A93,DeadRaw!AR:AR)</f>
        <v>0</v>
      </c>
      <c r="AP93">
        <f>SUMIF(DeadRaw!$B:$B,$A93,DeadRaw!AS:AS)</f>
        <v>0</v>
      </c>
      <c r="AQ93">
        <f>SUMIF(DeadRaw!$B:$B,$A93,DeadRaw!AT:AT)</f>
        <v>0</v>
      </c>
      <c r="AR93">
        <f>SUMIF(DeadRaw!$B:$B,$A93,DeadRaw!AU:AU)</f>
        <v>0</v>
      </c>
      <c r="AS93">
        <f>SUMIF(DeadRaw!$B:$B,$A93,DeadRaw!AV:AV)</f>
        <v>0</v>
      </c>
      <c r="AT93">
        <f>SUMIF(DeadRaw!$B:$B,$A93,DeadRaw!AW:AW)</f>
        <v>0</v>
      </c>
      <c r="AU93">
        <f>SUMIF(DeadRaw!$B:$B,$A93,DeadRaw!AX:AX)</f>
        <v>0</v>
      </c>
      <c r="AV93">
        <f>SUMIF(DeadRaw!$B:$B,$A93,DeadRaw!AY:AY)</f>
        <v>0</v>
      </c>
      <c r="AW93">
        <f>SUMIF(DeadRaw!$B:$B,$A93,DeadRaw!AZ:AZ)</f>
        <v>0</v>
      </c>
      <c r="AX93">
        <f>SUMIF(DeadRaw!$B:$B,$A93,DeadRaw!BA:BA)</f>
        <v>0</v>
      </c>
      <c r="AY93">
        <f>SUMIF(DeadRaw!$B:$B,$A93,DeadRaw!BB:BB)</f>
        <v>0</v>
      </c>
      <c r="AZ93">
        <f>SUMIF(DeadRaw!$B:$B,$A93,DeadRaw!BC:BC)</f>
        <v>0</v>
      </c>
      <c r="BA93">
        <f>SUMIF(DeadRaw!$B:$B,$A93,DeadRaw!BD:BD)</f>
        <v>0</v>
      </c>
      <c r="BB93">
        <f>SUMIF(DeadRaw!$B:$B,$A93,DeadRaw!BE:BE)</f>
        <v>0</v>
      </c>
      <c r="BC93">
        <f>SUMIF(DeadRaw!$B:$B,$A93,DeadRaw!BF:BF)</f>
        <v>0</v>
      </c>
      <c r="BD93">
        <f>SUMIF(DeadRaw!$B:$B,$A93,DeadRaw!BG:BG)</f>
        <v>0</v>
      </c>
      <c r="BE93">
        <f>SUMIF(DeadRaw!$B:$B,$A93,DeadRaw!BH:BH)</f>
        <v>0</v>
      </c>
      <c r="BF93">
        <f>SUMIF(DeadRaw!$B:$B,$A93,DeadRaw!BI:BI)</f>
        <v>0</v>
      </c>
      <c r="BG93">
        <f>SUMIF(DeadRaw!$B:$B,$A93,DeadRaw!BJ:BJ)</f>
        <v>0</v>
      </c>
      <c r="BH93">
        <f>SUMIF(DeadRaw!$B:$B,$A93,DeadRaw!BK:BK)</f>
        <v>0</v>
      </c>
      <c r="BI93">
        <f>SUMIF(DeadRaw!$B:$B,$A93,DeadRaw!BL:BL)</f>
        <v>0</v>
      </c>
      <c r="BJ93">
        <f>SUMIF(DeadRaw!$B:$B,$A93,DeadRaw!BM:BM)</f>
        <v>0</v>
      </c>
      <c r="BK93">
        <f>SUMIF(DeadRaw!$B:$B,$A93,DeadRaw!BN:BN)</f>
        <v>0</v>
      </c>
      <c r="BL93">
        <f>SUMIF(DeadRaw!$B:$B,$A93,DeadRaw!BO:BO)</f>
        <v>0</v>
      </c>
      <c r="BM93">
        <f>SUMIF(DeadRaw!$B:$B,$A93,DeadRaw!BP:BP)</f>
        <v>0</v>
      </c>
      <c r="BN93">
        <f>SUMIF(DeadRaw!$B:$B,$A93,DeadRaw!BQ:BQ)</f>
        <v>0</v>
      </c>
      <c r="BO93">
        <f>SUMIF(DeadRaw!$B:$B,$A93,DeadRaw!BR:BR)</f>
        <v>0</v>
      </c>
      <c r="BP93">
        <f>SUMIF(DeadRaw!$B:$B,$A93,DeadRaw!BS:BS)</f>
        <v>0</v>
      </c>
      <c r="BQ93">
        <f>SUMIF(DeadRaw!$B:$B,$A93,DeadRaw!BT:BT)</f>
        <v>0</v>
      </c>
      <c r="BR93">
        <f>SUMIF(DeadRaw!$B:$B,$A93,DeadRaw!BU:BU)</f>
        <v>0</v>
      </c>
      <c r="BS93">
        <f>SUMIF(DeadRaw!$B:$B,$A93,DeadRaw!BV:BV)</f>
        <v>0</v>
      </c>
      <c r="BT93">
        <f>SUMIF(DeadRaw!$B:$B,$A93,DeadRaw!BW:BW)</f>
        <v>0</v>
      </c>
    </row>
    <row r="94" spans="1:72" ht="15" thickBot="1" x14ac:dyDescent="0.35">
      <c r="A94" s="3" t="s">
        <v>95</v>
      </c>
      <c r="B94">
        <f>SUMIF(DeadRaw!$B:$B,$A94,DeadRaw!E:E)</f>
        <v>0</v>
      </c>
      <c r="C94">
        <f>SUMIF(DeadRaw!$B:$B,$A94,DeadRaw!F:F)</f>
        <v>0</v>
      </c>
      <c r="D94">
        <f>SUMIF(DeadRaw!$B:$B,$A94,DeadRaw!G:G)</f>
        <v>0</v>
      </c>
      <c r="E94">
        <f>SUMIF(DeadRaw!$B:$B,$A94,DeadRaw!H:H)</f>
        <v>0</v>
      </c>
      <c r="F94">
        <f>SUMIF(DeadRaw!$B:$B,$A94,DeadRaw!I:I)</f>
        <v>0</v>
      </c>
      <c r="G94">
        <f>SUMIF(DeadRaw!$B:$B,$A94,DeadRaw!J:J)</f>
        <v>0</v>
      </c>
      <c r="H94">
        <f>SUMIF(DeadRaw!$B:$B,$A94,DeadRaw!K:K)</f>
        <v>0</v>
      </c>
      <c r="I94">
        <f>SUMIF(DeadRaw!$B:$B,$A94,DeadRaw!L:L)</f>
        <v>0</v>
      </c>
      <c r="J94">
        <f>SUMIF(DeadRaw!$B:$B,$A94,DeadRaw!M:M)</f>
        <v>0</v>
      </c>
      <c r="K94">
        <f>SUMIF(DeadRaw!$B:$B,$A94,DeadRaw!N:N)</f>
        <v>0</v>
      </c>
      <c r="L94">
        <f>SUMIF(DeadRaw!$B:$B,$A94,DeadRaw!O:O)</f>
        <v>0</v>
      </c>
      <c r="M94">
        <f>SUMIF(DeadRaw!$B:$B,$A94,DeadRaw!P:P)</f>
        <v>0</v>
      </c>
      <c r="N94">
        <f>SUMIF(DeadRaw!$B:$B,$A94,DeadRaw!Q:Q)</f>
        <v>0</v>
      </c>
      <c r="O94">
        <f>SUMIF(DeadRaw!$B:$B,$A94,DeadRaw!R:R)</f>
        <v>0</v>
      </c>
      <c r="P94">
        <f>SUMIF(DeadRaw!$B:$B,$A94,DeadRaw!S:S)</f>
        <v>0</v>
      </c>
      <c r="Q94">
        <f>SUMIF(DeadRaw!$B:$B,$A94,DeadRaw!T:T)</f>
        <v>0</v>
      </c>
      <c r="R94">
        <f>SUMIF(DeadRaw!$B:$B,$A94,DeadRaw!U:U)</f>
        <v>0</v>
      </c>
      <c r="S94">
        <f>SUMIF(DeadRaw!$B:$B,$A94,DeadRaw!V:V)</f>
        <v>0</v>
      </c>
      <c r="T94">
        <f>SUMIF(DeadRaw!$B:$B,$A94,DeadRaw!W:W)</f>
        <v>0</v>
      </c>
      <c r="U94">
        <f>SUMIF(DeadRaw!$B:$B,$A94,DeadRaw!X:X)</f>
        <v>0</v>
      </c>
      <c r="V94">
        <f>SUMIF(DeadRaw!$B:$B,$A94,DeadRaw!Y:Y)</f>
        <v>0</v>
      </c>
      <c r="W94">
        <f>SUMIF(DeadRaw!$B:$B,$A94,DeadRaw!Z:Z)</f>
        <v>0</v>
      </c>
      <c r="X94">
        <f>SUMIF(DeadRaw!$B:$B,$A94,DeadRaw!AA:AA)</f>
        <v>0</v>
      </c>
      <c r="Y94">
        <f>SUMIF(DeadRaw!$B:$B,$A94,DeadRaw!AB:AB)</f>
        <v>0</v>
      </c>
      <c r="Z94">
        <f>SUMIF(DeadRaw!$B:$B,$A94,DeadRaw!AC:AC)</f>
        <v>0</v>
      </c>
      <c r="AA94">
        <f>SUMIF(DeadRaw!$B:$B,$A94,DeadRaw!AD:AD)</f>
        <v>0</v>
      </c>
      <c r="AB94">
        <f>SUMIF(DeadRaw!$B:$B,$A94,DeadRaw!AE:AE)</f>
        <v>0</v>
      </c>
      <c r="AC94">
        <f>SUMIF(DeadRaw!$B:$B,$A94,DeadRaw!AF:AF)</f>
        <v>0</v>
      </c>
      <c r="AD94">
        <f>SUMIF(DeadRaw!$B:$B,$A94,DeadRaw!AG:AG)</f>
        <v>0</v>
      </c>
      <c r="AE94">
        <f>SUMIF(DeadRaw!$B:$B,$A94,DeadRaw!AH:AH)</f>
        <v>0</v>
      </c>
      <c r="AF94">
        <f>SUMIF(DeadRaw!$B:$B,$A94,DeadRaw!AI:AI)</f>
        <v>0</v>
      </c>
      <c r="AG94">
        <f>SUMIF(DeadRaw!$B:$B,$A94,DeadRaw!AJ:AJ)</f>
        <v>0</v>
      </c>
      <c r="AH94">
        <f>SUMIF(DeadRaw!$B:$B,$A94,DeadRaw!AK:AK)</f>
        <v>0</v>
      </c>
      <c r="AI94">
        <f>SUMIF(DeadRaw!$B:$B,$A94,DeadRaw!AL:AL)</f>
        <v>0</v>
      </c>
      <c r="AJ94">
        <f>SUMIF(DeadRaw!$B:$B,$A94,DeadRaw!AM:AM)</f>
        <v>0</v>
      </c>
      <c r="AK94">
        <f>SUMIF(DeadRaw!$B:$B,$A94,DeadRaw!AN:AN)</f>
        <v>0</v>
      </c>
      <c r="AL94">
        <f>SUMIF(DeadRaw!$B:$B,$A94,DeadRaw!AO:AO)</f>
        <v>0</v>
      </c>
      <c r="AM94">
        <f>SUMIF(DeadRaw!$B:$B,$A94,DeadRaw!AP:AP)</f>
        <v>0</v>
      </c>
      <c r="AN94">
        <f>SUMIF(DeadRaw!$B:$B,$A94,DeadRaw!AQ:AQ)</f>
        <v>0</v>
      </c>
      <c r="AO94">
        <f>SUMIF(DeadRaw!$B:$B,$A94,DeadRaw!AR:AR)</f>
        <v>0</v>
      </c>
      <c r="AP94">
        <f>SUMIF(DeadRaw!$B:$B,$A94,DeadRaw!AS:AS)</f>
        <v>0</v>
      </c>
      <c r="AQ94">
        <f>SUMIF(DeadRaw!$B:$B,$A94,DeadRaw!AT:AT)</f>
        <v>0</v>
      </c>
      <c r="AR94">
        <f>SUMIF(DeadRaw!$B:$B,$A94,DeadRaw!AU:AU)</f>
        <v>0</v>
      </c>
      <c r="AS94">
        <f>SUMIF(DeadRaw!$B:$B,$A94,DeadRaw!AV:AV)</f>
        <v>0</v>
      </c>
      <c r="AT94">
        <f>SUMIF(DeadRaw!$B:$B,$A94,DeadRaw!AW:AW)</f>
        <v>0</v>
      </c>
      <c r="AU94">
        <f>SUMIF(DeadRaw!$B:$B,$A94,DeadRaw!AX:AX)</f>
        <v>0</v>
      </c>
      <c r="AV94">
        <f>SUMIF(DeadRaw!$B:$B,$A94,DeadRaw!AY:AY)</f>
        <v>0</v>
      </c>
      <c r="AW94">
        <f>SUMIF(DeadRaw!$B:$B,$A94,DeadRaw!AZ:AZ)</f>
        <v>0</v>
      </c>
      <c r="AX94">
        <f>SUMIF(DeadRaw!$B:$B,$A94,DeadRaw!BA:BA)</f>
        <v>0</v>
      </c>
      <c r="AY94">
        <f>SUMIF(DeadRaw!$B:$B,$A94,DeadRaw!BB:BB)</f>
        <v>0</v>
      </c>
      <c r="AZ94">
        <f>SUMIF(DeadRaw!$B:$B,$A94,DeadRaw!BC:BC)</f>
        <v>0</v>
      </c>
      <c r="BA94">
        <f>SUMIF(DeadRaw!$B:$B,$A94,DeadRaw!BD:BD)</f>
        <v>0</v>
      </c>
      <c r="BB94">
        <f>SUMIF(DeadRaw!$B:$B,$A94,DeadRaw!BE:BE)</f>
        <v>0</v>
      </c>
      <c r="BC94">
        <f>SUMIF(DeadRaw!$B:$B,$A94,DeadRaw!BF:BF)</f>
        <v>0</v>
      </c>
      <c r="BD94">
        <f>SUMIF(DeadRaw!$B:$B,$A94,DeadRaw!BG:BG)</f>
        <v>0</v>
      </c>
      <c r="BE94">
        <f>SUMIF(DeadRaw!$B:$B,$A94,DeadRaw!BH:BH)</f>
        <v>0</v>
      </c>
      <c r="BF94">
        <f>SUMIF(DeadRaw!$B:$B,$A94,DeadRaw!BI:BI)</f>
        <v>0</v>
      </c>
      <c r="BG94">
        <f>SUMIF(DeadRaw!$B:$B,$A94,DeadRaw!BJ:BJ)</f>
        <v>0</v>
      </c>
      <c r="BH94">
        <f>SUMIF(DeadRaw!$B:$B,$A94,DeadRaw!BK:BK)</f>
        <v>0</v>
      </c>
      <c r="BI94">
        <f>SUMIF(DeadRaw!$B:$B,$A94,DeadRaw!BL:BL)</f>
        <v>0</v>
      </c>
      <c r="BJ94">
        <f>SUMIF(DeadRaw!$B:$B,$A94,DeadRaw!BM:BM)</f>
        <v>0</v>
      </c>
      <c r="BK94">
        <f>SUMIF(DeadRaw!$B:$B,$A94,DeadRaw!BN:BN)</f>
        <v>0</v>
      </c>
      <c r="BL94">
        <f>SUMIF(DeadRaw!$B:$B,$A94,DeadRaw!BO:BO)</f>
        <v>0</v>
      </c>
      <c r="BM94">
        <f>SUMIF(DeadRaw!$B:$B,$A94,DeadRaw!BP:BP)</f>
        <v>0</v>
      </c>
      <c r="BN94">
        <f>SUMIF(DeadRaw!$B:$B,$A94,DeadRaw!BQ:BQ)</f>
        <v>0</v>
      </c>
      <c r="BO94">
        <f>SUMIF(DeadRaw!$B:$B,$A94,DeadRaw!BR:BR)</f>
        <v>0</v>
      </c>
      <c r="BP94">
        <f>SUMIF(DeadRaw!$B:$B,$A94,DeadRaw!BS:BS)</f>
        <v>0</v>
      </c>
      <c r="BQ94">
        <f>SUMIF(DeadRaw!$B:$B,$A94,DeadRaw!BT:BT)</f>
        <v>0</v>
      </c>
      <c r="BR94">
        <f>SUMIF(DeadRaw!$B:$B,$A94,DeadRaw!BU:BU)</f>
        <v>0</v>
      </c>
      <c r="BS94">
        <f>SUMIF(DeadRaw!$B:$B,$A94,DeadRaw!BV:BV)</f>
        <v>0</v>
      </c>
      <c r="BT94">
        <f>SUMIF(DeadRaw!$B:$B,$A94,DeadRaw!BW:BW)</f>
        <v>0</v>
      </c>
    </row>
    <row r="95" spans="1:72" ht="15" thickBot="1" x14ac:dyDescent="0.35">
      <c r="A95" s="4" t="s">
        <v>354</v>
      </c>
      <c r="B95">
        <f>SUMIF(DeadRaw!$B:$B,$A95,DeadRaw!E:E)</f>
        <v>0</v>
      </c>
      <c r="C95">
        <f>SUMIF(DeadRaw!$B:$B,$A95,DeadRaw!F:F)</f>
        <v>0</v>
      </c>
      <c r="D95">
        <f>SUMIF(DeadRaw!$B:$B,$A95,DeadRaw!G:G)</f>
        <v>0</v>
      </c>
      <c r="E95">
        <f>SUMIF(DeadRaw!$B:$B,$A95,DeadRaw!H:H)</f>
        <v>0</v>
      </c>
      <c r="F95">
        <f>SUMIF(DeadRaw!$B:$B,$A95,DeadRaw!I:I)</f>
        <v>0</v>
      </c>
      <c r="G95">
        <f>SUMIF(DeadRaw!$B:$B,$A95,DeadRaw!J:J)</f>
        <v>0</v>
      </c>
      <c r="H95">
        <f>SUMIF(DeadRaw!$B:$B,$A95,DeadRaw!K:K)</f>
        <v>0</v>
      </c>
      <c r="I95">
        <f>SUMIF(DeadRaw!$B:$B,$A95,DeadRaw!L:L)</f>
        <v>0</v>
      </c>
      <c r="J95">
        <f>SUMIF(DeadRaw!$B:$B,$A95,DeadRaw!M:M)</f>
        <v>0</v>
      </c>
      <c r="K95">
        <f>SUMIF(DeadRaw!$B:$B,$A95,DeadRaw!N:N)</f>
        <v>0</v>
      </c>
      <c r="L95">
        <f>SUMIF(DeadRaw!$B:$B,$A95,DeadRaw!O:O)</f>
        <v>0</v>
      </c>
      <c r="M95">
        <f>SUMIF(DeadRaw!$B:$B,$A95,DeadRaw!P:P)</f>
        <v>0</v>
      </c>
      <c r="N95">
        <f>SUMIF(DeadRaw!$B:$B,$A95,DeadRaw!Q:Q)</f>
        <v>0</v>
      </c>
      <c r="O95">
        <f>SUMIF(DeadRaw!$B:$B,$A95,DeadRaw!R:R)</f>
        <v>0</v>
      </c>
      <c r="P95">
        <f>SUMIF(DeadRaw!$B:$B,$A95,DeadRaw!S:S)</f>
        <v>0</v>
      </c>
      <c r="Q95">
        <f>SUMIF(DeadRaw!$B:$B,$A95,DeadRaw!T:T)</f>
        <v>0</v>
      </c>
      <c r="R95">
        <f>SUMIF(DeadRaw!$B:$B,$A95,DeadRaw!U:U)</f>
        <v>0</v>
      </c>
      <c r="S95">
        <f>SUMIF(DeadRaw!$B:$B,$A95,DeadRaw!V:V)</f>
        <v>0</v>
      </c>
      <c r="T95">
        <f>SUMIF(DeadRaw!$B:$B,$A95,DeadRaw!W:W)</f>
        <v>0</v>
      </c>
      <c r="U95">
        <f>SUMIF(DeadRaw!$B:$B,$A95,DeadRaw!X:X)</f>
        <v>0</v>
      </c>
      <c r="V95">
        <f>SUMIF(DeadRaw!$B:$B,$A95,DeadRaw!Y:Y)</f>
        <v>0</v>
      </c>
      <c r="W95">
        <f>SUMIF(DeadRaw!$B:$B,$A95,DeadRaw!Z:Z)</f>
        <v>0</v>
      </c>
      <c r="X95">
        <f>SUMIF(DeadRaw!$B:$B,$A95,DeadRaw!AA:AA)</f>
        <v>0</v>
      </c>
      <c r="Y95">
        <f>SUMIF(DeadRaw!$B:$B,$A95,DeadRaw!AB:AB)</f>
        <v>0</v>
      </c>
      <c r="Z95">
        <f>SUMIF(DeadRaw!$B:$B,$A95,DeadRaw!AC:AC)</f>
        <v>0</v>
      </c>
      <c r="AA95">
        <f>SUMIF(DeadRaw!$B:$B,$A95,DeadRaw!AD:AD)</f>
        <v>0</v>
      </c>
      <c r="AB95">
        <f>SUMIF(DeadRaw!$B:$B,$A95,DeadRaw!AE:AE)</f>
        <v>0</v>
      </c>
      <c r="AC95">
        <f>SUMIF(DeadRaw!$B:$B,$A95,DeadRaw!AF:AF)</f>
        <v>0</v>
      </c>
      <c r="AD95">
        <f>SUMIF(DeadRaw!$B:$B,$A95,DeadRaw!AG:AG)</f>
        <v>0</v>
      </c>
      <c r="AE95">
        <f>SUMIF(DeadRaw!$B:$B,$A95,DeadRaw!AH:AH)</f>
        <v>0</v>
      </c>
      <c r="AF95">
        <f>SUMIF(DeadRaw!$B:$B,$A95,DeadRaw!AI:AI)</f>
        <v>0</v>
      </c>
      <c r="AG95">
        <f>SUMIF(DeadRaw!$B:$B,$A95,DeadRaw!AJ:AJ)</f>
        <v>0</v>
      </c>
      <c r="AH95">
        <f>SUMIF(DeadRaw!$B:$B,$A95,DeadRaw!AK:AK)</f>
        <v>0</v>
      </c>
      <c r="AI95">
        <f>SUMIF(DeadRaw!$B:$B,$A95,DeadRaw!AL:AL)</f>
        <v>0</v>
      </c>
      <c r="AJ95">
        <f>SUMIF(DeadRaw!$B:$B,$A95,DeadRaw!AM:AM)</f>
        <v>0</v>
      </c>
      <c r="AK95">
        <f>SUMIF(DeadRaw!$B:$B,$A95,DeadRaw!AN:AN)</f>
        <v>0</v>
      </c>
      <c r="AL95">
        <f>SUMIF(DeadRaw!$B:$B,$A95,DeadRaw!AO:AO)</f>
        <v>0</v>
      </c>
      <c r="AM95">
        <f>SUMIF(DeadRaw!$B:$B,$A95,DeadRaw!AP:AP)</f>
        <v>0</v>
      </c>
      <c r="AN95">
        <f>SUMIF(DeadRaw!$B:$B,$A95,DeadRaw!AQ:AQ)</f>
        <v>0</v>
      </c>
      <c r="AO95">
        <f>SUMIF(DeadRaw!$B:$B,$A95,DeadRaw!AR:AR)</f>
        <v>0</v>
      </c>
      <c r="AP95">
        <f>SUMIF(DeadRaw!$B:$B,$A95,DeadRaw!AS:AS)</f>
        <v>0</v>
      </c>
      <c r="AQ95">
        <f>SUMIF(DeadRaw!$B:$B,$A95,DeadRaw!AT:AT)</f>
        <v>0</v>
      </c>
      <c r="AR95">
        <f>SUMIF(DeadRaw!$B:$B,$A95,DeadRaw!AU:AU)</f>
        <v>0</v>
      </c>
      <c r="AS95">
        <f>SUMIF(DeadRaw!$B:$B,$A95,DeadRaw!AV:AV)</f>
        <v>0</v>
      </c>
      <c r="AT95">
        <f>SUMIF(DeadRaw!$B:$B,$A95,DeadRaw!AW:AW)</f>
        <v>0</v>
      </c>
      <c r="AU95">
        <f>SUMIF(DeadRaw!$B:$B,$A95,DeadRaw!AX:AX)</f>
        <v>0</v>
      </c>
      <c r="AV95">
        <f>SUMIF(DeadRaw!$B:$B,$A95,DeadRaw!AY:AY)</f>
        <v>0</v>
      </c>
      <c r="AW95">
        <f>SUMIF(DeadRaw!$B:$B,$A95,DeadRaw!AZ:AZ)</f>
        <v>0</v>
      </c>
      <c r="AX95">
        <f>SUMIF(DeadRaw!$B:$B,$A95,DeadRaw!BA:BA)</f>
        <v>0</v>
      </c>
      <c r="AY95">
        <f>SUMIF(DeadRaw!$B:$B,$A95,DeadRaw!BB:BB)</f>
        <v>0</v>
      </c>
      <c r="AZ95">
        <f>SUMIF(DeadRaw!$B:$B,$A95,DeadRaw!BC:BC)</f>
        <v>0</v>
      </c>
      <c r="BA95">
        <f>SUMIF(DeadRaw!$B:$B,$A95,DeadRaw!BD:BD)</f>
        <v>0</v>
      </c>
      <c r="BB95">
        <f>SUMIF(DeadRaw!$B:$B,$A95,DeadRaw!BE:BE)</f>
        <v>0</v>
      </c>
      <c r="BC95">
        <f>SUMIF(DeadRaw!$B:$B,$A95,DeadRaw!BF:BF)</f>
        <v>0</v>
      </c>
      <c r="BD95">
        <f>SUMIF(DeadRaw!$B:$B,$A95,DeadRaw!BG:BG)</f>
        <v>0</v>
      </c>
      <c r="BE95">
        <f>SUMIF(DeadRaw!$B:$B,$A95,DeadRaw!BH:BH)</f>
        <v>0</v>
      </c>
      <c r="BF95">
        <f>SUMIF(DeadRaw!$B:$B,$A95,DeadRaw!BI:BI)</f>
        <v>0</v>
      </c>
      <c r="BG95">
        <f>SUMIF(DeadRaw!$B:$B,$A95,DeadRaw!BJ:BJ)</f>
        <v>0</v>
      </c>
      <c r="BH95">
        <f>SUMIF(DeadRaw!$B:$B,$A95,DeadRaw!BK:BK)</f>
        <v>0</v>
      </c>
      <c r="BI95">
        <f>SUMIF(DeadRaw!$B:$B,$A95,DeadRaw!BL:BL)</f>
        <v>0</v>
      </c>
      <c r="BJ95">
        <f>SUMIF(DeadRaw!$B:$B,$A95,DeadRaw!BM:BM)</f>
        <v>0</v>
      </c>
      <c r="BK95">
        <f>SUMIF(DeadRaw!$B:$B,$A95,DeadRaw!BN:BN)</f>
        <v>0</v>
      </c>
      <c r="BL95">
        <f>SUMIF(DeadRaw!$B:$B,$A95,DeadRaw!BO:BO)</f>
        <v>0</v>
      </c>
      <c r="BM95">
        <f>SUMIF(DeadRaw!$B:$B,$A95,DeadRaw!BP:BP)</f>
        <v>0</v>
      </c>
      <c r="BN95">
        <f>SUMIF(DeadRaw!$B:$B,$A95,DeadRaw!BQ:BQ)</f>
        <v>0</v>
      </c>
      <c r="BO95">
        <f>SUMIF(DeadRaw!$B:$B,$A95,DeadRaw!BR:BR)</f>
        <v>0</v>
      </c>
      <c r="BP95">
        <f>SUMIF(DeadRaw!$B:$B,$A95,DeadRaw!BS:BS)</f>
        <v>0</v>
      </c>
      <c r="BQ95">
        <f>SUMIF(DeadRaw!$B:$B,$A95,DeadRaw!BT:BT)</f>
        <v>0</v>
      </c>
      <c r="BR95">
        <f>SUMIF(DeadRaw!$B:$B,$A95,DeadRaw!BU:BU)</f>
        <v>0</v>
      </c>
      <c r="BS95">
        <f>SUMIF(DeadRaw!$B:$B,$A95,DeadRaw!BV:BV)</f>
        <v>0</v>
      </c>
      <c r="BT95">
        <f>SUMIF(DeadRaw!$B:$B,$A95,DeadRaw!BW:BW)</f>
        <v>0</v>
      </c>
    </row>
    <row r="96" spans="1:72" ht="15" thickBot="1" x14ac:dyDescent="0.35">
      <c r="A96" s="3" t="s">
        <v>355</v>
      </c>
      <c r="B96">
        <f>SUMIF(DeadRaw!$B:$B,$A96,DeadRaw!E:E)</f>
        <v>0</v>
      </c>
      <c r="C96">
        <f>SUMIF(DeadRaw!$B:$B,$A96,DeadRaw!F:F)</f>
        <v>0</v>
      </c>
      <c r="D96">
        <f>SUMIF(DeadRaw!$B:$B,$A96,DeadRaw!G:G)</f>
        <v>0</v>
      </c>
      <c r="E96">
        <f>SUMIF(DeadRaw!$B:$B,$A96,DeadRaw!H:H)</f>
        <v>0</v>
      </c>
      <c r="F96">
        <f>SUMIF(DeadRaw!$B:$B,$A96,DeadRaw!I:I)</f>
        <v>0</v>
      </c>
      <c r="G96">
        <f>SUMIF(DeadRaw!$B:$B,$A96,DeadRaw!J:J)</f>
        <v>0</v>
      </c>
      <c r="H96">
        <f>SUMIF(DeadRaw!$B:$B,$A96,DeadRaw!K:K)</f>
        <v>0</v>
      </c>
      <c r="I96">
        <f>SUMIF(DeadRaw!$B:$B,$A96,DeadRaw!L:L)</f>
        <v>0</v>
      </c>
      <c r="J96">
        <f>SUMIF(DeadRaw!$B:$B,$A96,DeadRaw!M:M)</f>
        <v>0</v>
      </c>
      <c r="K96">
        <f>SUMIF(DeadRaw!$B:$B,$A96,DeadRaw!N:N)</f>
        <v>0</v>
      </c>
      <c r="L96">
        <f>SUMIF(DeadRaw!$B:$B,$A96,DeadRaw!O:O)</f>
        <v>0</v>
      </c>
      <c r="M96">
        <f>SUMIF(DeadRaw!$B:$B,$A96,DeadRaw!P:P)</f>
        <v>0</v>
      </c>
      <c r="N96">
        <f>SUMIF(DeadRaw!$B:$B,$A96,DeadRaw!Q:Q)</f>
        <v>0</v>
      </c>
      <c r="O96">
        <f>SUMIF(DeadRaw!$B:$B,$A96,DeadRaw!R:R)</f>
        <v>0</v>
      </c>
      <c r="P96">
        <f>SUMIF(DeadRaw!$B:$B,$A96,DeadRaw!S:S)</f>
        <v>0</v>
      </c>
      <c r="Q96">
        <f>SUMIF(DeadRaw!$B:$B,$A96,DeadRaw!T:T)</f>
        <v>0</v>
      </c>
      <c r="R96">
        <f>SUMIF(DeadRaw!$B:$B,$A96,DeadRaw!U:U)</f>
        <v>0</v>
      </c>
      <c r="S96">
        <f>SUMIF(DeadRaw!$B:$B,$A96,DeadRaw!V:V)</f>
        <v>0</v>
      </c>
      <c r="T96">
        <f>SUMIF(DeadRaw!$B:$B,$A96,DeadRaw!W:W)</f>
        <v>0</v>
      </c>
      <c r="U96">
        <f>SUMIF(DeadRaw!$B:$B,$A96,DeadRaw!X:X)</f>
        <v>0</v>
      </c>
      <c r="V96">
        <f>SUMIF(DeadRaw!$B:$B,$A96,DeadRaw!Y:Y)</f>
        <v>0</v>
      </c>
      <c r="W96">
        <f>SUMIF(DeadRaw!$B:$B,$A96,DeadRaw!Z:Z)</f>
        <v>0</v>
      </c>
      <c r="X96">
        <f>SUMIF(DeadRaw!$B:$B,$A96,DeadRaw!AA:AA)</f>
        <v>0</v>
      </c>
      <c r="Y96">
        <f>SUMIF(DeadRaw!$B:$B,$A96,DeadRaw!AB:AB)</f>
        <v>0</v>
      </c>
      <c r="Z96">
        <f>SUMIF(DeadRaw!$B:$B,$A96,DeadRaw!AC:AC)</f>
        <v>0</v>
      </c>
      <c r="AA96">
        <f>SUMIF(DeadRaw!$B:$B,$A96,DeadRaw!AD:AD)</f>
        <v>0</v>
      </c>
      <c r="AB96">
        <f>SUMIF(DeadRaw!$B:$B,$A96,DeadRaw!AE:AE)</f>
        <v>0</v>
      </c>
      <c r="AC96">
        <f>SUMIF(DeadRaw!$B:$B,$A96,DeadRaw!AF:AF)</f>
        <v>0</v>
      </c>
      <c r="AD96">
        <f>SUMIF(DeadRaw!$B:$B,$A96,DeadRaw!AG:AG)</f>
        <v>0</v>
      </c>
      <c r="AE96">
        <f>SUMIF(DeadRaw!$B:$B,$A96,DeadRaw!AH:AH)</f>
        <v>0</v>
      </c>
      <c r="AF96">
        <f>SUMIF(DeadRaw!$B:$B,$A96,DeadRaw!AI:AI)</f>
        <v>0</v>
      </c>
      <c r="AG96">
        <f>SUMIF(DeadRaw!$B:$B,$A96,DeadRaw!AJ:AJ)</f>
        <v>0</v>
      </c>
      <c r="AH96">
        <f>SUMIF(DeadRaw!$B:$B,$A96,DeadRaw!AK:AK)</f>
        <v>0</v>
      </c>
      <c r="AI96">
        <f>SUMIF(DeadRaw!$B:$B,$A96,DeadRaw!AL:AL)</f>
        <v>0</v>
      </c>
      <c r="AJ96">
        <f>SUMIF(DeadRaw!$B:$B,$A96,DeadRaw!AM:AM)</f>
        <v>0</v>
      </c>
      <c r="AK96">
        <f>SUMIF(DeadRaw!$B:$B,$A96,DeadRaw!AN:AN)</f>
        <v>0</v>
      </c>
      <c r="AL96">
        <f>SUMIF(DeadRaw!$B:$B,$A96,DeadRaw!AO:AO)</f>
        <v>0</v>
      </c>
      <c r="AM96">
        <f>SUMIF(DeadRaw!$B:$B,$A96,DeadRaw!AP:AP)</f>
        <v>0</v>
      </c>
      <c r="AN96">
        <f>SUMIF(DeadRaw!$B:$B,$A96,DeadRaw!AQ:AQ)</f>
        <v>0</v>
      </c>
      <c r="AO96">
        <f>SUMIF(DeadRaw!$B:$B,$A96,DeadRaw!AR:AR)</f>
        <v>0</v>
      </c>
      <c r="AP96">
        <f>SUMIF(DeadRaw!$B:$B,$A96,DeadRaw!AS:AS)</f>
        <v>0</v>
      </c>
      <c r="AQ96">
        <f>SUMIF(DeadRaw!$B:$B,$A96,DeadRaw!AT:AT)</f>
        <v>0</v>
      </c>
      <c r="AR96">
        <f>SUMIF(DeadRaw!$B:$B,$A96,DeadRaw!AU:AU)</f>
        <v>0</v>
      </c>
      <c r="AS96">
        <f>SUMIF(DeadRaw!$B:$B,$A96,DeadRaw!AV:AV)</f>
        <v>0</v>
      </c>
      <c r="AT96">
        <f>SUMIF(DeadRaw!$B:$B,$A96,DeadRaw!AW:AW)</f>
        <v>0</v>
      </c>
      <c r="AU96">
        <f>SUMIF(DeadRaw!$B:$B,$A96,DeadRaw!AX:AX)</f>
        <v>0</v>
      </c>
      <c r="AV96">
        <f>SUMIF(DeadRaw!$B:$B,$A96,DeadRaw!AY:AY)</f>
        <v>0</v>
      </c>
      <c r="AW96">
        <f>SUMIF(DeadRaw!$B:$B,$A96,DeadRaw!AZ:AZ)</f>
        <v>0</v>
      </c>
      <c r="AX96">
        <f>SUMIF(DeadRaw!$B:$B,$A96,DeadRaw!BA:BA)</f>
        <v>0</v>
      </c>
      <c r="AY96">
        <f>SUMIF(DeadRaw!$B:$B,$A96,DeadRaw!BB:BB)</f>
        <v>0</v>
      </c>
      <c r="AZ96">
        <f>SUMIF(DeadRaw!$B:$B,$A96,DeadRaw!BC:BC)</f>
        <v>0</v>
      </c>
      <c r="BA96">
        <f>SUMIF(DeadRaw!$B:$B,$A96,DeadRaw!BD:BD)</f>
        <v>0</v>
      </c>
      <c r="BB96">
        <f>SUMIF(DeadRaw!$B:$B,$A96,DeadRaw!BE:BE)</f>
        <v>0</v>
      </c>
      <c r="BC96">
        <f>SUMIF(DeadRaw!$B:$B,$A96,DeadRaw!BF:BF)</f>
        <v>0</v>
      </c>
      <c r="BD96">
        <f>SUMIF(DeadRaw!$B:$B,$A96,DeadRaw!BG:BG)</f>
        <v>0</v>
      </c>
      <c r="BE96">
        <f>SUMIF(DeadRaw!$B:$B,$A96,DeadRaw!BH:BH)</f>
        <v>1</v>
      </c>
      <c r="BF96">
        <f>SUMIF(DeadRaw!$B:$B,$A96,DeadRaw!BI:BI)</f>
        <v>1</v>
      </c>
      <c r="BG96">
        <f>SUMIF(DeadRaw!$B:$B,$A96,DeadRaw!BJ:BJ)</f>
        <v>0</v>
      </c>
      <c r="BH96">
        <f>SUMIF(DeadRaw!$B:$B,$A96,DeadRaw!BK:BK)</f>
        <v>0</v>
      </c>
      <c r="BI96">
        <f>SUMIF(DeadRaw!$B:$B,$A96,DeadRaw!BL:BL)</f>
        <v>0</v>
      </c>
      <c r="BJ96">
        <f>SUMIF(DeadRaw!$B:$B,$A96,DeadRaw!BM:BM)</f>
        <v>0</v>
      </c>
      <c r="BK96">
        <f>SUMIF(DeadRaw!$B:$B,$A96,DeadRaw!BN:BN)</f>
        <v>0</v>
      </c>
      <c r="BL96">
        <f>SUMIF(DeadRaw!$B:$B,$A96,DeadRaw!BO:BO)</f>
        <v>0</v>
      </c>
      <c r="BM96">
        <f>SUMIF(DeadRaw!$B:$B,$A96,DeadRaw!BP:BP)</f>
        <v>0</v>
      </c>
      <c r="BN96">
        <f>SUMIF(DeadRaw!$B:$B,$A96,DeadRaw!BQ:BQ)</f>
        <v>0</v>
      </c>
      <c r="BO96">
        <f>SUMIF(DeadRaw!$B:$B,$A96,DeadRaw!BR:BR)</f>
        <v>0</v>
      </c>
      <c r="BP96">
        <f>SUMIF(DeadRaw!$B:$B,$A96,DeadRaw!BS:BS)</f>
        <v>0</v>
      </c>
      <c r="BQ96">
        <f>SUMIF(DeadRaw!$B:$B,$A96,DeadRaw!BT:BT)</f>
        <v>0</v>
      </c>
      <c r="BR96">
        <f>SUMIF(DeadRaw!$B:$B,$A96,DeadRaw!BU:BU)</f>
        <v>0</v>
      </c>
      <c r="BS96">
        <f>SUMIF(DeadRaw!$B:$B,$A96,DeadRaw!BV:BV)</f>
        <v>0</v>
      </c>
      <c r="BT96">
        <f>SUMIF(DeadRaw!$B:$B,$A96,DeadRaw!BW:BW)</f>
        <v>0</v>
      </c>
    </row>
    <row r="97" spans="1:72" ht="15" thickBot="1" x14ac:dyDescent="0.35">
      <c r="A97" s="4" t="s">
        <v>410</v>
      </c>
      <c r="B97">
        <f>SUMIF(DeadRaw!$B:$B,$A97,DeadRaw!E:E)</f>
        <v>0</v>
      </c>
      <c r="C97">
        <f>SUMIF(DeadRaw!$B:$B,$A97,DeadRaw!F:F)</f>
        <v>0</v>
      </c>
      <c r="D97">
        <f>SUMIF(DeadRaw!$B:$B,$A97,DeadRaw!G:G)</f>
        <v>0</v>
      </c>
      <c r="E97">
        <f>SUMIF(DeadRaw!$B:$B,$A97,DeadRaw!H:H)</f>
        <v>0</v>
      </c>
      <c r="F97">
        <f>SUMIF(DeadRaw!$B:$B,$A97,DeadRaw!I:I)</f>
        <v>0</v>
      </c>
      <c r="G97">
        <f>SUMIF(DeadRaw!$B:$B,$A97,DeadRaw!J:J)</f>
        <v>0</v>
      </c>
      <c r="H97">
        <f>SUMIF(DeadRaw!$B:$B,$A97,DeadRaw!K:K)</f>
        <v>0</v>
      </c>
      <c r="I97">
        <f>SUMIF(DeadRaw!$B:$B,$A97,DeadRaw!L:L)</f>
        <v>0</v>
      </c>
      <c r="J97">
        <f>SUMIF(DeadRaw!$B:$B,$A97,DeadRaw!M:M)</f>
        <v>0</v>
      </c>
      <c r="K97">
        <f>SUMIF(DeadRaw!$B:$B,$A97,DeadRaw!N:N)</f>
        <v>0</v>
      </c>
      <c r="L97">
        <f>SUMIF(DeadRaw!$B:$B,$A97,DeadRaw!O:O)</f>
        <v>0</v>
      </c>
      <c r="M97">
        <f>SUMIF(DeadRaw!$B:$B,$A97,DeadRaw!P:P)</f>
        <v>0</v>
      </c>
      <c r="N97">
        <f>SUMIF(DeadRaw!$B:$B,$A97,DeadRaw!Q:Q)</f>
        <v>0</v>
      </c>
      <c r="O97">
        <f>SUMIF(DeadRaw!$B:$B,$A97,DeadRaw!R:R)</f>
        <v>0</v>
      </c>
      <c r="P97">
        <f>SUMIF(DeadRaw!$B:$B,$A97,DeadRaw!S:S)</f>
        <v>0</v>
      </c>
      <c r="Q97">
        <f>SUMIF(DeadRaw!$B:$B,$A97,DeadRaw!T:T)</f>
        <v>0</v>
      </c>
      <c r="R97">
        <f>SUMIF(DeadRaw!$B:$B,$A97,DeadRaw!U:U)</f>
        <v>0</v>
      </c>
      <c r="S97">
        <f>SUMIF(DeadRaw!$B:$B,$A97,DeadRaw!V:V)</f>
        <v>0</v>
      </c>
      <c r="T97">
        <f>SUMIF(DeadRaw!$B:$B,$A97,DeadRaw!W:W)</f>
        <v>0</v>
      </c>
      <c r="U97">
        <f>SUMIF(DeadRaw!$B:$B,$A97,DeadRaw!X:X)</f>
        <v>0</v>
      </c>
      <c r="V97">
        <f>SUMIF(DeadRaw!$B:$B,$A97,DeadRaw!Y:Y)</f>
        <v>0</v>
      </c>
      <c r="W97">
        <f>SUMIF(DeadRaw!$B:$B,$A97,DeadRaw!Z:Z)</f>
        <v>0</v>
      </c>
      <c r="X97">
        <f>SUMIF(DeadRaw!$B:$B,$A97,DeadRaw!AA:AA)</f>
        <v>0</v>
      </c>
      <c r="Y97">
        <f>SUMIF(DeadRaw!$B:$B,$A97,DeadRaw!AB:AB)</f>
        <v>0</v>
      </c>
      <c r="Z97">
        <f>SUMIF(DeadRaw!$B:$B,$A97,DeadRaw!AC:AC)</f>
        <v>0</v>
      </c>
      <c r="AA97">
        <f>SUMIF(DeadRaw!$B:$B,$A97,DeadRaw!AD:AD)</f>
        <v>0</v>
      </c>
      <c r="AB97">
        <f>SUMIF(DeadRaw!$B:$B,$A97,DeadRaw!AE:AE)</f>
        <v>0</v>
      </c>
      <c r="AC97">
        <f>SUMIF(DeadRaw!$B:$B,$A97,DeadRaw!AF:AF)</f>
        <v>0</v>
      </c>
      <c r="AD97">
        <f>SUMIF(DeadRaw!$B:$B,$A97,DeadRaw!AG:AG)</f>
        <v>0</v>
      </c>
      <c r="AE97">
        <f>SUMIF(DeadRaw!$B:$B,$A97,DeadRaw!AH:AH)</f>
        <v>0</v>
      </c>
      <c r="AF97">
        <f>SUMIF(DeadRaw!$B:$B,$A97,DeadRaw!AI:AI)</f>
        <v>0</v>
      </c>
      <c r="AG97">
        <f>SUMIF(DeadRaw!$B:$B,$A97,DeadRaw!AJ:AJ)</f>
        <v>0</v>
      </c>
      <c r="AH97">
        <f>SUMIF(DeadRaw!$B:$B,$A97,DeadRaw!AK:AK)</f>
        <v>0</v>
      </c>
      <c r="AI97">
        <f>SUMIF(DeadRaw!$B:$B,$A97,DeadRaw!AL:AL)</f>
        <v>0</v>
      </c>
      <c r="AJ97">
        <f>SUMIF(DeadRaw!$B:$B,$A97,DeadRaw!AM:AM)</f>
        <v>0</v>
      </c>
      <c r="AK97">
        <f>SUMIF(DeadRaw!$B:$B,$A97,DeadRaw!AN:AN)</f>
        <v>0</v>
      </c>
      <c r="AL97">
        <f>SUMIF(DeadRaw!$B:$B,$A97,DeadRaw!AO:AO)</f>
        <v>0</v>
      </c>
      <c r="AM97">
        <f>SUMIF(DeadRaw!$B:$B,$A97,DeadRaw!AP:AP)</f>
        <v>0</v>
      </c>
      <c r="AN97">
        <f>SUMIF(DeadRaw!$B:$B,$A97,DeadRaw!AQ:AQ)</f>
        <v>0</v>
      </c>
      <c r="AO97">
        <f>SUMIF(DeadRaw!$B:$B,$A97,DeadRaw!AR:AR)</f>
        <v>0</v>
      </c>
      <c r="AP97">
        <f>SUMIF(DeadRaw!$B:$B,$A97,DeadRaw!AS:AS)</f>
        <v>0</v>
      </c>
      <c r="AQ97">
        <f>SUMIF(DeadRaw!$B:$B,$A97,DeadRaw!AT:AT)</f>
        <v>0</v>
      </c>
      <c r="AR97">
        <f>SUMIF(DeadRaw!$B:$B,$A97,DeadRaw!AU:AU)</f>
        <v>0</v>
      </c>
      <c r="AS97">
        <f>SUMIF(DeadRaw!$B:$B,$A97,DeadRaw!AV:AV)</f>
        <v>0</v>
      </c>
      <c r="AT97">
        <f>SUMIF(DeadRaw!$B:$B,$A97,DeadRaw!AW:AW)</f>
        <v>0</v>
      </c>
      <c r="AU97">
        <f>SUMIF(DeadRaw!$B:$B,$A97,DeadRaw!AX:AX)</f>
        <v>0</v>
      </c>
      <c r="AV97">
        <f>SUMIF(DeadRaw!$B:$B,$A97,DeadRaw!AY:AY)</f>
        <v>0</v>
      </c>
      <c r="AW97">
        <f>SUMIF(DeadRaw!$B:$B,$A97,DeadRaw!AZ:AZ)</f>
        <v>0</v>
      </c>
      <c r="AX97">
        <f>SUMIF(DeadRaw!$B:$B,$A97,DeadRaw!BA:BA)</f>
        <v>0</v>
      </c>
      <c r="AY97">
        <f>SUMIF(DeadRaw!$B:$B,$A97,DeadRaw!BB:BB)</f>
        <v>0</v>
      </c>
      <c r="AZ97">
        <f>SUMIF(DeadRaw!$B:$B,$A97,DeadRaw!BC:BC)</f>
        <v>0</v>
      </c>
      <c r="BA97">
        <f>SUMIF(DeadRaw!$B:$B,$A97,DeadRaw!BD:BD)</f>
        <v>0</v>
      </c>
      <c r="BB97">
        <f>SUMIF(DeadRaw!$B:$B,$A97,DeadRaw!BE:BE)</f>
        <v>0</v>
      </c>
      <c r="BC97">
        <f>SUMIF(DeadRaw!$B:$B,$A97,DeadRaw!BF:BF)</f>
        <v>0</v>
      </c>
      <c r="BD97">
        <f>SUMIF(DeadRaw!$B:$B,$A97,DeadRaw!BG:BG)</f>
        <v>0</v>
      </c>
      <c r="BE97">
        <f>SUMIF(DeadRaw!$B:$B,$A97,DeadRaw!BH:BH)</f>
        <v>0</v>
      </c>
      <c r="BF97">
        <f>SUMIF(DeadRaw!$B:$B,$A97,DeadRaw!BI:BI)</f>
        <v>1</v>
      </c>
      <c r="BG97">
        <f>SUMIF(DeadRaw!$B:$B,$A97,DeadRaw!BJ:BJ)</f>
        <v>0</v>
      </c>
      <c r="BH97">
        <f>SUMIF(DeadRaw!$B:$B,$A97,DeadRaw!BK:BK)</f>
        <v>0</v>
      </c>
      <c r="BI97">
        <f>SUMIF(DeadRaw!$B:$B,$A97,DeadRaw!BL:BL)</f>
        <v>0</v>
      </c>
      <c r="BJ97">
        <f>SUMIF(DeadRaw!$B:$B,$A97,DeadRaw!BM:BM)</f>
        <v>0</v>
      </c>
      <c r="BK97">
        <f>SUMIF(DeadRaw!$B:$B,$A97,DeadRaw!BN:BN)</f>
        <v>0</v>
      </c>
      <c r="BL97">
        <f>SUMIF(DeadRaw!$B:$B,$A97,DeadRaw!BO:BO)</f>
        <v>0</v>
      </c>
      <c r="BM97">
        <f>SUMIF(DeadRaw!$B:$B,$A97,DeadRaw!BP:BP)</f>
        <v>0</v>
      </c>
      <c r="BN97">
        <f>SUMIF(DeadRaw!$B:$B,$A97,DeadRaw!BQ:BQ)</f>
        <v>0</v>
      </c>
      <c r="BO97">
        <f>SUMIF(DeadRaw!$B:$B,$A97,DeadRaw!BR:BR)</f>
        <v>0</v>
      </c>
      <c r="BP97">
        <f>SUMIF(DeadRaw!$B:$B,$A97,DeadRaw!BS:BS)</f>
        <v>0</v>
      </c>
      <c r="BQ97">
        <f>SUMIF(DeadRaw!$B:$B,$A97,DeadRaw!BT:BT)</f>
        <v>0</v>
      </c>
      <c r="BR97">
        <f>SUMIF(DeadRaw!$B:$B,$A97,DeadRaw!BU:BU)</f>
        <v>0</v>
      </c>
      <c r="BS97">
        <f>SUMIF(DeadRaw!$B:$B,$A97,DeadRaw!BV:BV)</f>
        <v>0</v>
      </c>
      <c r="BT97">
        <f>SUMIF(DeadRaw!$B:$B,$A97,DeadRaw!BW:BW)</f>
        <v>0</v>
      </c>
    </row>
    <row r="98" spans="1:72" ht="15" thickBot="1" x14ac:dyDescent="0.35">
      <c r="A98" s="4" t="s">
        <v>413</v>
      </c>
      <c r="B98">
        <f>SUMIF(DeadRaw!$B:$B,$A98,DeadRaw!E:E)</f>
        <v>0</v>
      </c>
      <c r="C98">
        <f>SUMIF(DeadRaw!$B:$B,$A98,DeadRaw!F:F)</f>
        <v>0</v>
      </c>
      <c r="D98">
        <f>SUMIF(DeadRaw!$B:$B,$A98,DeadRaw!G:G)</f>
        <v>0</v>
      </c>
      <c r="E98">
        <f>SUMIF(DeadRaw!$B:$B,$A98,DeadRaw!H:H)</f>
        <v>0</v>
      </c>
      <c r="F98">
        <f>SUMIF(DeadRaw!$B:$B,$A98,DeadRaw!I:I)</f>
        <v>0</v>
      </c>
      <c r="G98">
        <f>SUMIF(DeadRaw!$B:$B,$A98,DeadRaw!J:J)</f>
        <v>0</v>
      </c>
      <c r="H98">
        <f>SUMIF(DeadRaw!$B:$B,$A98,DeadRaw!K:K)</f>
        <v>0</v>
      </c>
      <c r="I98">
        <f>SUMIF(DeadRaw!$B:$B,$A98,DeadRaw!L:L)</f>
        <v>0</v>
      </c>
      <c r="J98">
        <f>SUMIF(DeadRaw!$B:$B,$A98,DeadRaw!M:M)</f>
        <v>0</v>
      </c>
      <c r="K98">
        <f>SUMIF(DeadRaw!$B:$B,$A98,DeadRaw!N:N)</f>
        <v>0</v>
      </c>
      <c r="L98">
        <f>SUMIF(DeadRaw!$B:$B,$A98,DeadRaw!O:O)</f>
        <v>0</v>
      </c>
      <c r="M98">
        <f>SUMIF(DeadRaw!$B:$B,$A98,DeadRaw!P:P)</f>
        <v>0</v>
      </c>
      <c r="N98">
        <f>SUMIF(DeadRaw!$B:$B,$A98,DeadRaw!Q:Q)</f>
        <v>0</v>
      </c>
      <c r="O98">
        <f>SUMIF(DeadRaw!$B:$B,$A98,DeadRaw!R:R)</f>
        <v>0</v>
      </c>
      <c r="P98">
        <f>SUMIF(DeadRaw!$B:$B,$A98,DeadRaw!S:S)</f>
        <v>0</v>
      </c>
      <c r="Q98">
        <f>SUMIF(DeadRaw!$B:$B,$A98,DeadRaw!T:T)</f>
        <v>0</v>
      </c>
      <c r="R98">
        <f>SUMIF(DeadRaw!$B:$B,$A98,DeadRaw!U:U)</f>
        <v>0</v>
      </c>
      <c r="S98">
        <f>SUMIF(DeadRaw!$B:$B,$A98,DeadRaw!V:V)</f>
        <v>0</v>
      </c>
      <c r="T98">
        <f>SUMIF(DeadRaw!$B:$B,$A98,DeadRaw!W:W)</f>
        <v>0</v>
      </c>
      <c r="U98">
        <f>SUMIF(DeadRaw!$B:$B,$A98,DeadRaw!X:X)</f>
        <v>0</v>
      </c>
      <c r="V98">
        <f>SUMIF(DeadRaw!$B:$B,$A98,DeadRaw!Y:Y)</f>
        <v>0</v>
      </c>
      <c r="W98">
        <f>SUMIF(DeadRaw!$B:$B,$A98,DeadRaw!Z:Z)</f>
        <v>0</v>
      </c>
      <c r="X98">
        <f>SUMIF(DeadRaw!$B:$B,$A98,DeadRaw!AA:AA)</f>
        <v>0</v>
      </c>
      <c r="Y98">
        <f>SUMIF(DeadRaw!$B:$B,$A98,DeadRaw!AB:AB)</f>
        <v>0</v>
      </c>
      <c r="Z98">
        <f>SUMIF(DeadRaw!$B:$B,$A98,DeadRaw!AC:AC)</f>
        <v>0</v>
      </c>
      <c r="AA98">
        <f>SUMIF(DeadRaw!$B:$B,$A98,DeadRaw!AD:AD)</f>
        <v>0</v>
      </c>
      <c r="AB98">
        <f>SUMIF(DeadRaw!$B:$B,$A98,DeadRaw!AE:AE)</f>
        <v>0</v>
      </c>
      <c r="AC98">
        <f>SUMIF(DeadRaw!$B:$B,$A98,DeadRaw!AF:AF)</f>
        <v>0</v>
      </c>
      <c r="AD98">
        <f>SUMIF(DeadRaw!$B:$B,$A98,DeadRaw!AG:AG)</f>
        <v>0</v>
      </c>
      <c r="AE98">
        <f>SUMIF(DeadRaw!$B:$B,$A98,DeadRaw!AH:AH)</f>
        <v>0</v>
      </c>
      <c r="AF98">
        <f>SUMIF(DeadRaw!$B:$B,$A98,DeadRaw!AI:AI)</f>
        <v>0</v>
      </c>
      <c r="AG98">
        <f>SUMIF(DeadRaw!$B:$B,$A98,DeadRaw!AJ:AJ)</f>
        <v>0</v>
      </c>
      <c r="AH98">
        <f>SUMIF(DeadRaw!$B:$B,$A98,DeadRaw!AK:AK)</f>
        <v>0</v>
      </c>
      <c r="AI98">
        <f>SUMIF(DeadRaw!$B:$B,$A98,DeadRaw!AL:AL)</f>
        <v>0</v>
      </c>
      <c r="AJ98">
        <f>SUMIF(DeadRaw!$B:$B,$A98,DeadRaw!AM:AM)</f>
        <v>0</v>
      </c>
      <c r="AK98">
        <f>SUMIF(DeadRaw!$B:$B,$A98,DeadRaw!AN:AN)</f>
        <v>0</v>
      </c>
      <c r="AL98">
        <f>SUMIF(DeadRaw!$B:$B,$A98,DeadRaw!AO:AO)</f>
        <v>0</v>
      </c>
      <c r="AM98">
        <f>SUMIF(DeadRaw!$B:$B,$A98,DeadRaw!AP:AP)</f>
        <v>0</v>
      </c>
      <c r="AN98">
        <f>SUMIF(DeadRaw!$B:$B,$A98,DeadRaw!AQ:AQ)</f>
        <v>0</v>
      </c>
      <c r="AO98">
        <f>SUMIF(DeadRaw!$B:$B,$A98,DeadRaw!AR:AR)</f>
        <v>0</v>
      </c>
      <c r="AP98">
        <f>SUMIF(DeadRaw!$B:$B,$A98,DeadRaw!AS:AS)</f>
        <v>0</v>
      </c>
      <c r="AQ98">
        <f>SUMIF(DeadRaw!$B:$B,$A98,DeadRaw!AT:AT)</f>
        <v>0</v>
      </c>
      <c r="AR98">
        <f>SUMIF(DeadRaw!$B:$B,$A98,DeadRaw!AU:AU)</f>
        <v>0</v>
      </c>
      <c r="AS98">
        <f>SUMIF(DeadRaw!$B:$B,$A98,DeadRaw!AV:AV)</f>
        <v>0</v>
      </c>
      <c r="AT98">
        <f>SUMIF(DeadRaw!$B:$B,$A98,DeadRaw!AW:AW)</f>
        <v>0</v>
      </c>
      <c r="AU98">
        <f>SUMIF(DeadRaw!$B:$B,$A98,DeadRaw!AX:AX)</f>
        <v>0</v>
      </c>
      <c r="AV98">
        <f>SUMIF(DeadRaw!$B:$B,$A98,DeadRaw!AY:AY)</f>
        <v>0</v>
      </c>
      <c r="AW98">
        <f>SUMIF(DeadRaw!$B:$B,$A98,DeadRaw!AZ:AZ)</f>
        <v>0</v>
      </c>
      <c r="AX98">
        <f>SUMIF(DeadRaw!$B:$B,$A98,DeadRaw!BA:BA)</f>
        <v>0</v>
      </c>
      <c r="AY98">
        <f>SUMIF(DeadRaw!$B:$B,$A98,DeadRaw!BB:BB)</f>
        <v>0</v>
      </c>
      <c r="AZ98">
        <f>SUMIF(DeadRaw!$B:$B,$A98,DeadRaw!BC:BC)</f>
        <v>0</v>
      </c>
      <c r="BA98">
        <f>SUMIF(DeadRaw!$B:$B,$A98,DeadRaw!BD:BD)</f>
        <v>0</v>
      </c>
      <c r="BB98">
        <f>SUMIF(DeadRaw!$B:$B,$A98,DeadRaw!BE:BE)</f>
        <v>0</v>
      </c>
      <c r="BC98">
        <f>SUMIF(DeadRaw!$B:$B,$A98,DeadRaw!BF:BF)</f>
        <v>0</v>
      </c>
      <c r="BD98">
        <f>SUMIF(DeadRaw!$B:$B,$A98,DeadRaw!BG:BG)</f>
        <v>0</v>
      </c>
      <c r="BE98">
        <f>SUMIF(DeadRaw!$B:$B,$A98,DeadRaw!BH:BH)</f>
        <v>0</v>
      </c>
      <c r="BF98">
        <f>SUMIF(DeadRaw!$B:$B,$A98,DeadRaw!BI:BI)</f>
        <v>0</v>
      </c>
      <c r="BG98">
        <f>SUMIF(DeadRaw!$B:$B,$A98,DeadRaw!BJ:BJ)</f>
        <v>0</v>
      </c>
      <c r="BH98">
        <f>SUMIF(DeadRaw!$B:$B,$A98,DeadRaw!BK:BK)</f>
        <v>0</v>
      </c>
      <c r="BI98">
        <f>SUMIF(DeadRaw!$B:$B,$A98,DeadRaw!BL:BL)</f>
        <v>0</v>
      </c>
      <c r="BJ98">
        <f>SUMIF(DeadRaw!$B:$B,$A98,DeadRaw!BM:BM)</f>
        <v>0</v>
      </c>
      <c r="BK98">
        <f>SUMIF(DeadRaw!$B:$B,$A98,DeadRaw!BN:BN)</f>
        <v>0</v>
      </c>
      <c r="BL98">
        <f>SUMIF(DeadRaw!$B:$B,$A98,DeadRaw!BO:BO)</f>
        <v>0</v>
      </c>
      <c r="BM98">
        <f>SUMIF(DeadRaw!$B:$B,$A98,DeadRaw!BP:BP)</f>
        <v>0</v>
      </c>
      <c r="BN98">
        <f>SUMIF(DeadRaw!$B:$B,$A98,DeadRaw!BQ:BQ)</f>
        <v>0</v>
      </c>
      <c r="BO98">
        <f>SUMIF(DeadRaw!$B:$B,$A98,DeadRaw!BR:BR)</f>
        <v>0</v>
      </c>
      <c r="BP98">
        <f>SUMIF(DeadRaw!$B:$B,$A98,DeadRaw!BS:BS)</f>
        <v>0</v>
      </c>
      <c r="BQ98">
        <f>SUMIF(DeadRaw!$B:$B,$A98,DeadRaw!BT:BT)</f>
        <v>0</v>
      </c>
      <c r="BR98">
        <f>SUMIF(DeadRaw!$B:$B,$A98,DeadRaw!BU:BU)</f>
        <v>0</v>
      </c>
      <c r="BS98">
        <f>SUMIF(DeadRaw!$B:$B,$A98,DeadRaw!BV:BV)</f>
        <v>0</v>
      </c>
      <c r="BT98">
        <f>SUMIF(DeadRaw!$B:$B,$A98,DeadRaw!BW:BW)</f>
        <v>0</v>
      </c>
    </row>
    <row r="99" spans="1:72" ht="15" thickBot="1" x14ac:dyDescent="0.35">
      <c r="A99" s="3" t="s">
        <v>202</v>
      </c>
      <c r="B99">
        <f>SUMIF(DeadRaw!$B:$B,$A99,DeadRaw!E:E)</f>
        <v>0</v>
      </c>
      <c r="C99">
        <f>SUMIF(DeadRaw!$B:$B,$A99,DeadRaw!F:F)</f>
        <v>0</v>
      </c>
      <c r="D99">
        <f>SUMIF(DeadRaw!$B:$B,$A99,DeadRaw!G:G)</f>
        <v>0</v>
      </c>
      <c r="E99">
        <f>SUMIF(DeadRaw!$B:$B,$A99,DeadRaw!H:H)</f>
        <v>0</v>
      </c>
      <c r="F99">
        <f>SUMIF(DeadRaw!$B:$B,$A99,DeadRaw!I:I)</f>
        <v>0</v>
      </c>
      <c r="G99">
        <f>SUMIF(DeadRaw!$B:$B,$A99,DeadRaw!J:J)</f>
        <v>0</v>
      </c>
      <c r="H99">
        <f>SUMIF(DeadRaw!$B:$B,$A99,DeadRaw!K:K)</f>
        <v>0</v>
      </c>
      <c r="I99">
        <f>SUMIF(DeadRaw!$B:$B,$A99,DeadRaw!L:L)</f>
        <v>0</v>
      </c>
      <c r="J99">
        <f>SUMIF(DeadRaw!$B:$B,$A99,DeadRaw!M:M)</f>
        <v>0</v>
      </c>
      <c r="K99">
        <f>SUMIF(DeadRaw!$B:$B,$A99,DeadRaw!N:N)</f>
        <v>0</v>
      </c>
      <c r="L99">
        <f>SUMIF(DeadRaw!$B:$B,$A99,DeadRaw!O:O)</f>
        <v>0</v>
      </c>
      <c r="M99">
        <f>SUMIF(DeadRaw!$B:$B,$A99,DeadRaw!P:P)</f>
        <v>0</v>
      </c>
      <c r="N99">
        <f>SUMIF(DeadRaw!$B:$B,$A99,DeadRaw!Q:Q)</f>
        <v>0</v>
      </c>
      <c r="O99">
        <f>SUMIF(DeadRaw!$B:$B,$A99,DeadRaw!R:R)</f>
        <v>0</v>
      </c>
      <c r="P99">
        <f>SUMIF(DeadRaw!$B:$B,$A99,DeadRaw!S:S)</f>
        <v>0</v>
      </c>
      <c r="Q99">
        <f>SUMIF(DeadRaw!$B:$B,$A99,DeadRaw!T:T)</f>
        <v>0</v>
      </c>
      <c r="R99">
        <f>SUMIF(DeadRaw!$B:$B,$A99,DeadRaw!U:U)</f>
        <v>0</v>
      </c>
      <c r="S99">
        <f>SUMIF(DeadRaw!$B:$B,$A99,DeadRaw!V:V)</f>
        <v>0</v>
      </c>
      <c r="T99">
        <f>SUMIF(DeadRaw!$B:$B,$A99,DeadRaw!W:W)</f>
        <v>0</v>
      </c>
      <c r="U99">
        <f>SUMIF(DeadRaw!$B:$B,$A99,DeadRaw!X:X)</f>
        <v>0</v>
      </c>
      <c r="V99">
        <f>SUMIF(DeadRaw!$B:$B,$A99,DeadRaw!Y:Y)</f>
        <v>0</v>
      </c>
      <c r="W99">
        <f>SUMIF(DeadRaw!$B:$B,$A99,DeadRaw!Z:Z)</f>
        <v>0</v>
      </c>
      <c r="X99">
        <f>SUMIF(DeadRaw!$B:$B,$A99,DeadRaw!AA:AA)</f>
        <v>0</v>
      </c>
      <c r="Y99">
        <f>SUMIF(DeadRaw!$B:$B,$A99,DeadRaw!AB:AB)</f>
        <v>0</v>
      </c>
      <c r="Z99">
        <f>SUMIF(DeadRaw!$B:$B,$A99,DeadRaw!AC:AC)</f>
        <v>0</v>
      </c>
      <c r="AA99">
        <f>SUMIF(DeadRaw!$B:$B,$A99,DeadRaw!AD:AD)</f>
        <v>0</v>
      </c>
      <c r="AB99">
        <f>SUMIF(DeadRaw!$B:$B,$A99,DeadRaw!AE:AE)</f>
        <v>0</v>
      </c>
      <c r="AC99">
        <f>SUMIF(DeadRaw!$B:$B,$A99,DeadRaw!AF:AF)</f>
        <v>0</v>
      </c>
      <c r="AD99">
        <f>SUMIF(DeadRaw!$B:$B,$A99,DeadRaw!AG:AG)</f>
        <v>0</v>
      </c>
      <c r="AE99">
        <f>SUMIF(DeadRaw!$B:$B,$A99,DeadRaw!AH:AH)</f>
        <v>0</v>
      </c>
      <c r="AF99">
        <f>SUMIF(DeadRaw!$B:$B,$A99,DeadRaw!AI:AI)</f>
        <v>0</v>
      </c>
      <c r="AG99">
        <f>SUMIF(DeadRaw!$B:$B,$A99,DeadRaw!AJ:AJ)</f>
        <v>0</v>
      </c>
      <c r="AH99">
        <f>SUMIF(DeadRaw!$B:$B,$A99,DeadRaw!AK:AK)</f>
        <v>0</v>
      </c>
      <c r="AI99">
        <f>SUMIF(DeadRaw!$B:$B,$A99,DeadRaw!AL:AL)</f>
        <v>0</v>
      </c>
      <c r="AJ99">
        <f>SUMIF(DeadRaw!$B:$B,$A99,DeadRaw!AM:AM)</f>
        <v>0</v>
      </c>
      <c r="AK99">
        <f>SUMIF(DeadRaw!$B:$B,$A99,DeadRaw!AN:AN)</f>
        <v>0</v>
      </c>
      <c r="AL99">
        <f>SUMIF(DeadRaw!$B:$B,$A99,DeadRaw!AO:AO)</f>
        <v>0</v>
      </c>
      <c r="AM99">
        <f>SUMIF(DeadRaw!$B:$B,$A99,DeadRaw!AP:AP)</f>
        <v>0</v>
      </c>
      <c r="AN99">
        <f>SUMIF(DeadRaw!$B:$B,$A99,DeadRaw!AQ:AQ)</f>
        <v>0</v>
      </c>
      <c r="AO99">
        <f>SUMIF(DeadRaw!$B:$B,$A99,DeadRaw!AR:AR)</f>
        <v>0</v>
      </c>
      <c r="AP99">
        <f>SUMIF(DeadRaw!$B:$B,$A99,DeadRaw!AS:AS)</f>
        <v>0</v>
      </c>
      <c r="AQ99">
        <f>SUMIF(DeadRaw!$B:$B,$A99,DeadRaw!AT:AT)</f>
        <v>0</v>
      </c>
      <c r="AR99">
        <f>SUMIF(DeadRaw!$B:$B,$A99,DeadRaw!AU:AU)</f>
        <v>0</v>
      </c>
      <c r="AS99">
        <f>SUMIF(DeadRaw!$B:$B,$A99,DeadRaw!AV:AV)</f>
        <v>0</v>
      </c>
      <c r="AT99">
        <f>SUMIF(DeadRaw!$B:$B,$A99,DeadRaw!AW:AW)</f>
        <v>0</v>
      </c>
      <c r="AU99">
        <f>SUMIF(DeadRaw!$B:$B,$A99,DeadRaw!AX:AX)</f>
        <v>0</v>
      </c>
      <c r="AV99">
        <f>SUMIF(DeadRaw!$B:$B,$A99,DeadRaw!AY:AY)</f>
        <v>0</v>
      </c>
      <c r="AW99">
        <f>SUMIF(DeadRaw!$B:$B,$A99,DeadRaw!AZ:AZ)</f>
        <v>0</v>
      </c>
      <c r="AX99">
        <f>SUMIF(DeadRaw!$B:$B,$A99,DeadRaw!BA:BA)</f>
        <v>0</v>
      </c>
      <c r="AY99">
        <f>SUMIF(DeadRaw!$B:$B,$A99,DeadRaw!BB:BB)</f>
        <v>0</v>
      </c>
      <c r="AZ99">
        <f>SUMIF(DeadRaw!$B:$B,$A99,DeadRaw!BC:BC)</f>
        <v>0</v>
      </c>
      <c r="BA99">
        <f>SUMIF(DeadRaw!$B:$B,$A99,DeadRaw!BD:BD)</f>
        <v>0</v>
      </c>
      <c r="BB99">
        <f>SUMIF(DeadRaw!$B:$B,$A99,DeadRaw!BE:BE)</f>
        <v>0</v>
      </c>
      <c r="BC99">
        <f>SUMIF(DeadRaw!$B:$B,$A99,DeadRaw!BF:BF)</f>
        <v>0</v>
      </c>
      <c r="BD99">
        <f>SUMIF(DeadRaw!$B:$B,$A99,DeadRaw!BG:BG)</f>
        <v>0</v>
      </c>
      <c r="BE99">
        <f>SUMIF(DeadRaw!$B:$B,$A99,DeadRaw!BH:BH)</f>
        <v>0</v>
      </c>
      <c r="BF99">
        <f>SUMIF(DeadRaw!$B:$B,$A99,DeadRaw!BI:BI)</f>
        <v>1</v>
      </c>
      <c r="BG99">
        <f>SUMIF(DeadRaw!$B:$B,$A99,DeadRaw!BJ:BJ)</f>
        <v>0</v>
      </c>
      <c r="BH99">
        <f>SUMIF(DeadRaw!$B:$B,$A99,DeadRaw!BK:BK)</f>
        <v>0</v>
      </c>
      <c r="BI99">
        <f>SUMIF(DeadRaw!$B:$B,$A99,DeadRaw!BL:BL)</f>
        <v>0</v>
      </c>
      <c r="BJ99">
        <f>SUMIF(DeadRaw!$B:$B,$A99,DeadRaw!BM:BM)</f>
        <v>0</v>
      </c>
      <c r="BK99">
        <f>SUMIF(DeadRaw!$B:$B,$A99,DeadRaw!BN:BN)</f>
        <v>0</v>
      </c>
      <c r="BL99">
        <f>SUMIF(DeadRaw!$B:$B,$A99,DeadRaw!BO:BO)</f>
        <v>0</v>
      </c>
      <c r="BM99">
        <f>SUMIF(DeadRaw!$B:$B,$A99,DeadRaw!BP:BP)</f>
        <v>0</v>
      </c>
      <c r="BN99">
        <f>SUMIF(DeadRaw!$B:$B,$A99,DeadRaw!BQ:BQ)</f>
        <v>0</v>
      </c>
      <c r="BO99">
        <f>SUMIF(DeadRaw!$B:$B,$A99,DeadRaw!BR:BR)</f>
        <v>0</v>
      </c>
      <c r="BP99">
        <f>SUMIF(DeadRaw!$B:$B,$A99,DeadRaw!BS:BS)</f>
        <v>0</v>
      </c>
      <c r="BQ99">
        <f>SUMIF(DeadRaw!$B:$B,$A99,DeadRaw!BT:BT)</f>
        <v>0</v>
      </c>
      <c r="BR99">
        <f>SUMIF(DeadRaw!$B:$B,$A99,DeadRaw!BU:BU)</f>
        <v>0</v>
      </c>
      <c r="BS99">
        <f>SUMIF(DeadRaw!$B:$B,$A99,DeadRaw!BV:BV)</f>
        <v>0</v>
      </c>
      <c r="BT99">
        <f>SUMIF(DeadRaw!$B:$B,$A99,DeadRaw!BW:BW)</f>
        <v>0</v>
      </c>
    </row>
    <row r="100" spans="1:72" ht="15" thickBot="1" x14ac:dyDescent="0.35">
      <c r="A100" s="3" t="s">
        <v>346</v>
      </c>
      <c r="B100">
        <f>SUMIF(DeadRaw!$B:$B,$A100,DeadRaw!E:E)</f>
        <v>0</v>
      </c>
      <c r="C100">
        <f>SUMIF(DeadRaw!$B:$B,$A100,DeadRaw!F:F)</f>
        <v>0</v>
      </c>
      <c r="D100">
        <f>SUMIF(DeadRaw!$B:$B,$A100,DeadRaw!G:G)</f>
        <v>0</v>
      </c>
      <c r="E100">
        <f>SUMIF(DeadRaw!$B:$B,$A100,DeadRaw!H:H)</f>
        <v>0</v>
      </c>
      <c r="F100">
        <f>SUMIF(DeadRaw!$B:$B,$A100,DeadRaw!I:I)</f>
        <v>0</v>
      </c>
      <c r="G100">
        <f>SUMIF(DeadRaw!$B:$B,$A100,DeadRaw!J:J)</f>
        <v>0</v>
      </c>
      <c r="H100">
        <f>SUMIF(DeadRaw!$B:$B,$A100,DeadRaw!K:K)</f>
        <v>0</v>
      </c>
      <c r="I100">
        <f>SUMIF(DeadRaw!$B:$B,$A100,DeadRaw!L:L)</f>
        <v>0</v>
      </c>
      <c r="J100">
        <f>SUMIF(DeadRaw!$B:$B,$A100,DeadRaw!M:M)</f>
        <v>0</v>
      </c>
      <c r="K100">
        <f>SUMIF(DeadRaw!$B:$B,$A100,DeadRaw!N:N)</f>
        <v>0</v>
      </c>
      <c r="L100">
        <f>SUMIF(DeadRaw!$B:$B,$A100,DeadRaw!O:O)</f>
        <v>0</v>
      </c>
      <c r="M100">
        <f>SUMIF(DeadRaw!$B:$B,$A100,DeadRaw!P:P)</f>
        <v>0</v>
      </c>
      <c r="N100">
        <f>SUMIF(DeadRaw!$B:$B,$A100,DeadRaw!Q:Q)</f>
        <v>0</v>
      </c>
      <c r="O100">
        <f>SUMIF(DeadRaw!$B:$B,$A100,DeadRaw!R:R)</f>
        <v>0</v>
      </c>
      <c r="P100">
        <f>SUMIF(DeadRaw!$B:$B,$A100,DeadRaw!S:S)</f>
        <v>0</v>
      </c>
      <c r="Q100">
        <f>SUMIF(DeadRaw!$B:$B,$A100,DeadRaw!T:T)</f>
        <v>0</v>
      </c>
      <c r="R100">
        <f>SUMIF(DeadRaw!$B:$B,$A100,DeadRaw!U:U)</f>
        <v>0</v>
      </c>
      <c r="S100">
        <f>SUMIF(DeadRaw!$B:$B,$A100,DeadRaw!V:V)</f>
        <v>0</v>
      </c>
      <c r="T100">
        <f>SUMIF(DeadRaw!$B:$B,$A100,DeadRaw!W:W)</f>
        <v>0</v>
      </c>
      <c r="U100">
        <f>SUMIF(DeadRaw!$B:$B,$A100,DeadRaw!X:X)</f>
        <v>0</v>
      </c>
      <c r="V100">
        <f>SUMIF(DeadRaw!$B:$B,$A100,DeadRaw!Y:Y)</f>
        <v>0</v>
      </c>
      <c r="W100">
        <f>SUMIF(DeadRaw!$B:$B,$A100,DeadRaw!Z:Z)</f>
        <v>0</v>
      </c>
      <c r="X100">
        <f>SUMIF(DeadRaw!$B:$B,$A100,DeadRaw!AA:AA)</f>
        <v>0</v>
      </c>
      <c r="Y100">
        <f>SUMIF(DeadRaw!$B:$B,$A100,DeadRaw!AB:AB)</f>
        <v>0</v>
      </c>
      <c r="Z100">
        <f>SUMIF(DeadRaw!$B:$B,$A100,DeadRaw!AC:AC)</f>
        <v>0</v>
      </c>
      <c r="AA100">
        <f>SUMIF(DeadRaw!$B:$B,$A100,DeadRaw!AD:AD)</f>
        <v>0</v>
      </c>
      <c r="AB100">
        <f>SUMIF(DeadRaw!$B:$B,$A100,DeadRaw!AE:AE)</f>
        <v>0</v>
      </c>
      <c r="AC100">
        <f>SUMIF(DeadRaw!$B:$B,$A100,DeadRaw!AF:AF)</f>
        <v>0</v>
      </c>
      <c r="AD100">
        <f>SUMIF(DeadRaw!$B:$B,$A100,DeadRaw!AG:AG)</f>
        <v>0</v>
      </c>
      <c r="AE100">
        <f>SUMIF(DeadRaw!$B:$B,$A100,DeadRaw!AH:AH)</f>
        <v>0</v>
      </c>
      <c r="AF100">
        <f>SUMIF(DeadRaw!$B:$B,$A100,DeadRaw!AI:AI)</f>
        <v>0</v>
      </c>
      <c r="AG100">
        <f>SUMIF(DeadRaw!$B:$B,$A100,DeadRaw!AJ:AJ)</f>
        <v>0</v>
      </c>
      <c r="AH100">
        <f>SUMIF(DeadRaw!$B:$B,$A100,DeadRaw!AK:AK)</f>
        <v>0</v>
      </c>
      <c r="AI100">
        <f>SUMIF(DeadRaw!$B:$B,$A100,DeadRaw!AL:AL)</f>
        <v>0</v>
      </c>
      <c r="AJ100">
        <f>SUMIF(DeadRaw!$B:$B,$A100,DeadRaw!AM:AM)</f>
        <v>0</v>
      </c>
      <c r="AK100">
        <f>SUMIF(DeadRaw!$B:$B,$A100,DeadRaw!AN:AN)</f>
        <v>0</v>
      </c>
      <c r="AL100">
        <f>SUMIF(DeadRaw!$B:$B,$A100,DeadRaw!AO:AO)</f>
        <v>0</v>
      </c>
      <c r="AM100">
        <f>SUMIF(DeadRaw!$B:$B,$A100,DeadRaw!AP:AP)</f>
        <v>0</v>
      </c>
      <c r="AN100">
        <f>SUMIF(DeadRaw!$B:$B,$A100,DeadRaw!AQ:AQ)</f>
        <v>0</v>
      </c>
      <c r="AO100">
        <f>SUMIF(DeadRaw!$B:$B,$A100,DeadRaw!AR:AR)</f>
        <v>0</v>
      </c>
      <c r="AP100">
        <f>SUMIF(DeadRaw!$B:$B,$A100,DeadRaw!AS:AS)</f>
        <v>0</v>
      </c>
      <c r="AQ100">
        <f>SUMIF(DeadRaw!$B:$B,$A100,DeadRaw!AT:AT)</f>
        <v>0</v>
      </c>
      <c r="AR100">
        <f>SUMIF(DeadRaw!$B:$B,$A100,DeadRaw!AU:AU)</f>
        <v>0</v>
      </c>
      <c r="AS100">
        <f>SUMIF(DeadRaw!$B:$B,$A100,DeadRaw!AV:AV)</f>
        <v>0</v>
      </c>
      <c r="AT100">
        <f>SUMIF(DeadRaw!$B:$B,$A100,DeadRaw!AW:AW)</f>
        <v>0</v>
      </c>
      <c r="AU100">
        <f>SUMIF(DeadRaw!$B:$B,$A100,DeadRaw!AX:AX)</f>
        <v>0</v>
      </c>
      <c r="AV100">
        <f>SUMIF(DeadRaw!$B:$B,$A100,DeadRaw!AY:AY)</f>
        <v>0</v>
      </c>
      <c r="AW100">
        <f>SUMIF(DeadRaw!$B:$B,$A100,DeadRaw!AZ:AZ)</f>
        <v>0</v>
      </c>
      <c r="AX100">
        <f>SUMIF(DeadRaw!$B:$B,$A100,DeadRaw!BA:BA)</f>
        <v>0</v>
      </c>
      <c r="AY100">
        <f>SUMIF(DeadRaw!$B:$B,$A100,DeadRaw!BB:BB)</f>
        <v>0</v>
      </c>
      <c r="AZ100">
        <f>SUMIF(DeadRaw!$B:$B,$A100,DeadRaw!BC:BC)</f>
        <v>0</v>
      </c>
      <c r="BA100">
        <f>SUMIF(DeadRaw!$B:$B,$A100,DeadRaw!BD:BD)</f>
        <v>0</v>
      </c>
      <c r="BB100">
        <f>SUMIF(DeadRaw!$B:$B,$A100,DeadRaw!BE:BE)</f>
        <v>0</v>
      </c>
      <c r="BC100">
        <f>SUMIF(DeadRaw!$B:$B,$A100,DeadRaw!BF:BF)</f>
        <v>0</v>
      </c>
      <c r="BD100">
        <f>SUMIF(DeadRaw!$B:$B,$A100,DeadRaw!BG:BG)</f>
        <v>0</v>
      </c>
      <c r="BE100">
        <f>SUMIF(DeadRaw!$B:$B,$A100,DeadRaw!BH:BH)</f>
        <v>0</v>
      </c>
      <c r="BF100">
        <f>SUMIF(DeadRaw!$B:$B,$A100,DeadRaw!BI:BI)</f>
        <v>0</v>
      </c>
      <c r="BG100">
        <f>SUMIF(DeadRaw!$B:$B,$A100,DeadRaw!BJ:BJ)</f>
        <v>0</v>
      </c>
      <c r="BH100">
        <f>SUMIF(DeadRaw!$B:$B,$A100,DeadRaw!BK:BK)</f>
        <v>0</v>
      </c>
      <c r="BI100">
        <f>SUMIF(DeadRaw!$B:$B,$A100,DeadRaw!BL:BL)</f>
        <v>0</v>
      </c>
      <c r="BJ100">
        <f>SUMIF(DeadRaw!$B:$B,$A100,DeadRaw!BM:BM)</f>
        <v>0</v>
      </c>
      <c r="BK100">
        <f>SUMIF(DeadRaw!$B:$B,$A100,DeadRaw!BN:BN)</f>
        <v>0</v>
      </c>
      <c r="BL100">
        <f>SUMIF(DeadRaw!$B:$B,$A100,DeadRaw!BO:BO)</f>
        <v>0</v>
      </c>
      <c r="BM100">
        <f>SUMIF(DeadRaw!$B:$B,$A100,DeadRaw!BP:BP)</f>
        <v>0</v>
      </c>
      <c r="BN100">
        <f>SUMIF(DeadRaw!$B:$B,$A100,DeadRaw!BQ:BQ)</f>
        <v>0</v>
      </c>
      <c r="BO100">
        <f>SUMIF(DeadRaw!$B:$B,$A100,DeadRaw!BR:BR)</f>
        <v>0</v>
      </c>
      <c r="BP100">
        <f>SUMIF(DeadRaw!$B:$B,$A100,DeadRaw!BS:BS)</f>
        <v>0</v>
      </c>
      <c r="BQ100">
        <f>SUMIF(DeadRaw!$B:$B,$A100,DeadRaw!BT:BT)</f>
        <v>0</v>
      </c>
      <c r="BR100">
        <f>SUMIF(DeadRaw!$B:$B,$A100,DeadRaw!BU:BU)</f>
        <v>0</v>
      </c>
      <c r="BS100">
        <f>SUMIF(DeadRaw!$B:$B,$A100,DeadRaw!BV:BV)</f>
        <v>0</v>
      </c>
      <c r="BT100">
        <f>SUMIF(DeadRaw!$B:$B,$A100,DeadRaw!BW:BW)</f>
        <v>0</v>
      </c>
    </row>
    <row r="101" spans="1:72" ht="15" thickBot="1" x14ac:dyDescent="0.35">
      <c r="A101" s="4" t="s">
        <v>180</v>
      </c>
      <c r="B101">
        <f>SUMIF(DeadRaw!$B:$B,$A101,DeadRaw!E:E)</f>
        <v>0</v>
      </c>
      <c r="C101">
        <f>SUMIF(DeadRaw!$B:$B,$A101,DeadRaw!F:F)</f>
        <v>0</v>
      </c>
      <c r="D101">
        <f>SUMIF(DeadRaw!$B:$B,$A101,DeadRaw!G:G)</f>
        <v>0</v>
      </c>
      <c r="E101">
        <f>SUMIF(DeadRaw!$B:$B,$A101,DeadRaw!H:H)</f>
        <v>0</v>
      </c>
      <c r="F101">
        <f>SUMIF(DeadRaw!$B:$B,$A101,DeadRaw!I:I)</f>
        <v>0</v>
      </c>
      <c r="G101">
        <f>SUMIF(DeadRaw!$B:$B,$A101,DeadRaw!J:J)</f>
        <v>0</v>
      </c>
      <c r="H101">
        <f>SUMIF(DeadRaw!$B:$B,$A101,DeadRaw!K:K)</f>
        <v>0</v>
      </c>
      <c r="I101">
        <f>SUMIF(DeadRaw!$B:$B,$A101,DeadRaw!L:L)</f>
        <v>0</v>
      </c>
      <c r="J101">
        <f>SUMIF(DeadRaw!$B:$B,$A101,DeadRaw!M:M)</f>
        <v>0</v>
      </c>
      <c r="K101">
        <f>SUMIF(DeadRaw!$B:$B,$A101,DeadRaw!N:N)</f>
        <v>0</v>
      </c>
      <c r="L101">
        <f>SUMIF(DeadRaw!$B:$B,$A101,DeadRaw!O:O)</f>
        <v>0</v>
      </c>
      <c r="M101">
        <f>SUMIF(DeadRaw!$B:$B,$A101,DeadRaw!P:P)</f>
        <v>0</v>
      </c>
      <c r="N101">
        <f>SUMIF(DeadRaw!$B:$B,$A101,DeadRaw!Q:Q)</f>
        <v>0</v>
      </c>
      <c r="O101">
        <f>SUMIF(DeadRaw!$B:$B,$A101,DeadRaw!R:R)</f>
        <v>0</v>
      </c>
      <c r="P101">
        <f>SUMIF(DeadRaw!$B:$B,$A101,DeadRaw!S:S)</f>
        <v>0</v>
      </c>
      <c r="Q101">
        <f>SUMIF(DeadRaw!$B:$B,$A101,DeadRaw!T:T)</f>
        <v>0</v>
      </c>
      <c r="R101">
        <f>SUMIF(DeadRaw!$B:$B,$A101,DeadRaw!U:U)</f>
        <v>0</v>
      </c>
      <c r="S101">
        <f>SUMIF(DeadRaw!$B:$B,$A101,DeadRaw!V:V)</f>
        <v>0</v>
      </c>
      <c r="T101">
        <f>SUMIF(DeadRaw!$B:$B,$A101,DeadRaw!W:W)</f>
        <v>0</v>
      </c>
      <c r="U101">
        <f>SUMIF(DeadRaw!$B:$B,$A101,DeadRaw!X:X)</f>
        <v>0</v>
      </c>
      <c r="V101">
        <f>SUMIF(DeadRaw!$B:$B,$A101,DeadRaw!Y:Y)</f>
        <v>0</v>
      </c>
      <c r="W101">
        <f>SUMIF(DeadRaw!$B:$B,$A101,DeadRaw!Z:Z)</f>
        <v>0</v>
      </c>
      <c r="X101">
        <f>SUMIF(DeadRaw!$B:$B,$A101,DeadRaw!AA:AA)</f>
        <v>0</v>
      </c>
      <c r="Y101">
        <f>SUMIF(DeadRaw!$B:$B,$A101,DeadRaw!AB:AB)</f>
        <v>0</v>
      </c>
      <c r="Z101">
        <f>SUMIF(DeadRaw!$B:$B,$A101,DeadRaw!AC:AC)</f>
        <v>0</v>
      </c>
      <c r="AA101">
        <f>SUMIF(DeadRaw!$B:$B,$A101,DeadRaw!AD:AD)</f>
        <v>0</v>
      </c>
      <c r="AB101">
        <f>SUMIF(DeadRaw!$B:$B,$A101,DeadRaw!AE:AE)</f>
        <v>0</v>
      </c>
      <c r="AC101">
        <f>SUMIF(DeadRaw!$B:$B,$A101,DeadRaw!AF:AF)</f>
        <v>0</v>
      </c>
      <c r="AD101">
        <f>SUMIF(DeadRaw!$B:$B,$A101,DeadRaw!AG:AG)</f>
        <v>0</v>
      </c>
      <c r="AE101">
        <f>SUMIF(DeadRaw!$B:$B,$A101,DeadRaw!AH:AH)</f>
        <v>0</v>
      </c>
      <c r="AF101">
        <f>SUMIF(DeadRaw!$B:$B,$A101,DeadRaw!AI:AI)</f>
        <v>0</v>
      </c>
      <c r="AG101">
        <f>SUMIF(DeadRaw!$B:$B,$A101,DeadRaw!AJ:AJ)</f>
        <v>0</v>
      </c>
      <c r="AH101">
        <f>SUMIF(DeadRaw!$B:$B,$A101,DeadRaw!AK:AK)</f>
        <v>0</v>
      </c>
      <c r="AI101">
        <f>SUMIF(DeadRaw!$B:$B,$A101,DeadRaw!AL:AL)</f>
        <v>0</v>
      </c>
      <c r="AJ101">
        <f>SUMIF(DeadRaw!$B:$B,$A101,DeadRaw!AM:AM)</f>
        <v>0</v>
      </c>
      <c r="AK101">
        <f>SUMIF(DeadRaw!$B:$B,$A101,DeadRaw!AN:AN)</f>
        <v>0</v>
      </c>
      <c r="AL101">
        <f>SUMIF(DeadRaw!$B:$B,$A101,DeadRaw!AO:AO)</f>
        <v>0</v>
      </c>
      <c r="AM101">
        <f>SUMIF(DeadRaw!$B:$B,$A101,DeadRaw!AP:AP)</f>
        <v>0</v>
      </c>
      <c r="AN101">
        <f>SUMIF(DeadRaw!$B:$B,$A101,DeadRaw!AQ:AQ)</f>
        <v>0</v>
      </c>
      <c r="AO101">
        <f>SUMIF(DeadRaw!$B:$B,$A101,DeadRaw!AR:AR)</f>
        <v>0</v>
      </c>
      <c r="AP101">
        <f>SUMIF(DeadRaw!$B:$B,$A101,DeadRaw!AS:AS)</f>
        <v>0</v>
      </c>
      <c r="AQ101">
        <f>SUMIF(DeadRaw!$B:$B,$A101,DeadRaw!AT:AT)</f>
        <v>0</v>
      </c>
      <c r="AR101">
        <f>SUMIF(DeadRaw!$B:$B,$A101,DeadRaw!AU:AU)</f>
        <v>0</v>
      </c>
      <c r="AS101">
        <f>SUMIF(DeadRaw!$B:$B,$A101,DeadRaw!AV:AV)</f>
        <v>0</v>
      </c>
      <c r="AT101">
        <f>SUMIF(DeadRaw!$B:$B,$A101,DeadRaw!AW:AW)</f>
        <v>0</v>
      </c>
      <c r="AU101">
        <f>SUMIF(DeadRaw!$B:$B,$A101,DeadRaw!AX:AX)</f>
        <v>0</v>
      </c>
      <c r="AV101">
        <f>SUMIF(DeadRaw!$B:$B,$A101,DeadRaw!AY:AY)</f>
        <v>0</v>
      </c>
      <c r="AW101">
        <f>SUMIF(DeadRaw!$B:$B,$A101,DeadRaw!AZ:AZ)</f>
        <v>0</v>
      </c>
      <c r="AX101">
        <f>SUMIF(DeadRaw!$B:$B,$A101,DeadRaw!BA:BA)</f>
        <v>0</v>
      </c>
      <c r="AY101">
        <f>SUMIF(DeadRaw!$B:$B,$A101,DeadRaw!BB:BB)</f>
        <v>0</v>
      </c>
      <c r="AZ101">
        <f>SUMIF(DeadRaw!$B:$B,$A101,DeadRaw!BC:BC)</f>
        <v>0</v>
      </c>
      <c r="BA101">
        <f>SUMIF(DeadRaw!$B:$B,$A101,DeadRaw!BD:BD)</f>
        <v>0</v>
      </c>
      <c r="BB101">
        <f>SUMIF(DeadRaw!$B:$B,$A101,DeadRaw!BE:BE)</f>
        <v>0</v>
      </c>
      <c r="BC101">
        <f>SUMIF(DeadRaw!$B:$B,$A101,DeadRaw!BF:BF)</f>
        <v>0</v>
      </c>
      <c r="BD101">
        <f>SUMIF(DeadRaw!$B:$B,$A101,DeadRaw!BG:BG)</f>
        <v>1</v>
      </c>
      <c r="BE101">
        <f>SUMIF(DeadRaw!$B:$B,$A101,DeadRaw!BH:BH)</f>
        <v>1</v>
      </c>
      <c r="BF101">
        <f>SUMIF(DeadRaw!$B:$B,$A101,DeadRaw!BI:BI)</f>
        <v>1</v>
      </c>
      <c r="BG101">
        <f>SUMIF(DeadRaw!$B:$B,$A101,DeadRaw!BJ:BJ)</f>
        <v>0</v>
      </c>
      <c r="BH101">
        <f>SUMIF(DeadRaw!$B:$B,$A101,DeadRaw!BK:BK)</f>
        <v>0</v>
      </c>
      <c r="BI101">
        <f>SUMIF(DeadRaw!$B:$B,$A101,DeadRaw!BL:BL)</f>
        <v>0</v>
      </c>
      <c r="BJ101">
        <f>SUMIF(DeadRaw!$B:$B,$A101,DeadRaw!BM:BM)</f>
        <v>0</v>
      </c>
      <c r="BK101">
        <f>SUMIF(DeadRaw!$B:$B,$A101,DeadRaw!BN:BN)</f>
        <v>0</v>
      </c>
      <c r="BL101">
        <f>SUMIF(DeadRaw!$B:$B,$A101,DeadRaw!BO:BO)</f>
        <v>0</v>
      </c>
      <c r="BM101">
        <f>SUMIF(DeadRaw!$B:$B,$A101,DeadRaw!BP:BP)</f>
        <v>0</v>
      </c>
      <c r="BN101">
        <f>SUMIF(DeadRaw!$B:$B,$A101,DeadRaw!BQ:BQ)</f>
        <v>0</v>
      </c>
      <c r="BO101">
        <f>SUMIF(DeadRaw!$B:$B,$A101,DeadRaw!BR:BR)</f>
        <v>0</v>
      </c>
      <c r="BP101">
        <f>SUMIF(DeadRaw!$B:$B,$A101,DeadRaw!BS:BS)</f>
        <v>0</v>
      </c>
      <c r="BQ101">
        <f>SUMIF(DeadRaw!$B:$B,$A101,DeadRaw!BT:BT)</f>
        <v>0</v>
      </c>
      <c r="BR101">
        <f>SUMIF(DeadRaw!$B:$B,$A101,DeadRaw!BU:BU)</f>
        <v>0</v>
      </c>
      <c r="BS101">
        <f>SUMIF(DeadRaw!$B:$B,$A101,DeadRaw!BV:BV)</f>
        <v>0</v>
      </c>
      <c r="BT101">
        <f>SUMIF(DeadRaw!$B:$B,$A101,DeadRaw!BW:BW)</f>
        <v>0</v>
      </c>
    </row>
    <row r="102" spans="1:72" ht="15" thickBot="1" x14ac:dyDescent="0.35">
      <c r="A102" s="3" t="s">
        <v>129</v>
      </c>
      <c r="B102">
        <f>SUMIF(DeadRaw!$B:$B,$A102,DeadRaw!E:E)</f>
        <v>0</v>
      </c>
      <c r="C102">
        <f>SUMIF(DeadRaw!$B:$B,$A102,DeadRaw!F:F)</f>
        <v>0</v>
      </c>
      <c r="D102">
        <f>SUMIF(DeadRaw!$B:$B,$A102,DeadRaw!G:G)</f>
        <v>0</v>
      </c>
      <c r="E102">
        <f>SUMIF(DeadRaw!$B:$B,$A102,DeadRaw!H:H)</f>
        <v>0</v>
      </c>
      <c r="F102">
        <f>SUMIF(DeadRaw!$B:$B,$A102,DeadRaw!I:I)</f>
        <v>0</v>
      </c>
      <c r="G102">
        <f>SUMIF(DeadRaw!$B:$B,$A102,DeadRaw!J:J)</f>
        <v>0</v>
      </c>
      <c r="H102">
        <f>SUMIF(DeadRaw!$B:$B,$A102,DeadRaw!K:K)</f>
        <v>0</v>
      </c>
      <c r="I102">
        <f>SUMIF(DeadRaw!$B:$B,$A102,DeadRaw!L:L)</f>
        <v>0</v>
      </c>
      <c r="J102">
        <f>SUMIF(DeadRaw!$B:$B,$A102,DeadRaw!M:M)</f>
        <v>0</v>
      </c>
      <c r="K102">
        <f>SUMIF(DeadRaw!$B:$B,$A102,DeadRaw!N:N)</f>
        <v>0</v>
      </c>
      <c r="L102">
        <f>SUMIF(DeadRaw!$B:$B,$A102,DeadRaw!O:O)</f>
        <v>0</v>
      </c>
      <c r="M102">
        <f>SUMIF(DeadRaw!$B:$B,$A102,DeadRaw!P:P)</f>
        <v>0</v>
      </c>
      <c r="N102">
        <f>SUMIF(DeadRaw!$B:$B,$A102,DeadRaw!Q:Q)</f>
        <v>0</v>
      </c>
      <c r="O102">
        <f>SUMIF(DeadRaw!$B:$B,$A102,DeadRaw!R:R)</f>
        <v>0</v>
      </c>
      <c r="P102">
        <f>SUMIF(DeadRaw!$B:$B,$A102,DeadRaw!S:S)</f>
        <v>0</v>
      </c>
      <c r="Q102">
        <f>SUMIF(DeadRaw!$B:$B,$A102,DeadRaw!T:T)</f>
        <v>0</v>
      </c>
      <c r="R102">
        <f>SUMIF(DeadRaw!$B:$B,$A102,DeadRaw!U:U)</f>
        <v>0</v>
      </c>
      <c r="S102">
        <f>SUMIF(DeadRaw!$B:$B,$A102,DeadRaw!V:V)</f>
        <v>0</v>
      </c>
      <c r="T102">
        <f>SUMIF(DeadRaw!$B:$B,$A102,DeadRaw!W:W)</f>
        <v>0</v>
      </c>
      <c r="U102">
        <f>SUMIF(DeadRaw!$B:$B,$A102,DeadRaw!X:X)</f>
        <v>0</v>
      </c>
      <c r="V102">
        <f>SUMIF(DeadRaw!$B:$B,$A102,DeadRaw!Y:Y)</f>
        <v>0</v>
      </c>
      <c r="W102">
        <f>SUMIF(DeadRaw!$B:$B,$A102,DeadRaw!Z:Z)</f>
        <v>0</v>
      </c>
      <c r="X102">
        <f>SUMIF(DeadRaw!$B:$B,$A102,DeadRaw!AA:AA)</f>
        <v>0</v>
      </c>
      <c r="Y102">
        <f>SUMIF(DeadRaw!$B:$B,$A102,DeadRaw!AB:AB)</f>
        <v>0</v>
      </c>
      <c r="Z102">
        <f>SUMIF(DeadRaw!$B:$B,$A102,DeadRaw!AC:AC)</f>
        <v>0</v>
      </c>
      <c r="AA102">
        <f>SUMIF(DeadRaw!$B:$B,$A102,DeadRaw!AD:AD)</f>
        <v>0</v>
      </c>
      <c r="AB102">
        <f>SUMIF(DeadRaw!$B:$B,$A102,DeadRaw!AE:AE)</f>
        <v>0</v>
      </c>
      <c r="AC102">
        <f>SUMIF(DeadRaw!$B:$B,$A102,DeadRaw!AF:AF)</f>
        <v>0</v>
      </c>
      <c r="AD102">
        <f>SUMIF(DeadRaw!$B:$B,$A102,DeadRaw!AG:AG)</f>
        <v>0</v>
      </c>
      <c r="AE102">
        <f>SUMIF(DeadRaw!$B:$B,$A102,DeadRaw!AH:AH)</f>
        <v>0</v>
      </c>
      <c r="AF102">
        <f>SUMIF(DeadRaw!$B:$B,$A102,DeadRaw!AI:AI)</f>
        <v>0</v>
      </c>
      <c r="AG102">
        <f>SUMIF(DeadRaw!$B:$B,$A102,DeadRaw!AJ:AJ)</f>
        <v>0</v>
      </c>
      <c r="AH102">
        <f>SUMIF(DeadRaw!$B:$B,$A102,DeadRaw!AK:AK)</f>
        <v>0</v>
      </c>
      <c r="AI102">
        <f>SUMIF(DeadRaw!$B:$B,$A102,DeadRaw!AL:AL)</f>
        <v>0</v>
      </c>
      <c r="AJ102">
        <f>SUMIF(DeadRaw!$B:$B,$A102,DeadRaw!AM:AM)</f>
        <v>0</v>
      </c>
      <c r="AK102">
        <f>SUMIF(DeadRaw!$B:$B,$A102,DeadRaw!AN:AN)</f>
        <v>0</v>
      </c>
      <c r="AL102">
        <f>SUMIF(DeadRaw!$B:$B,$A102,DeadRaw!AO:AO)</f>
        <v>0</v>
      </c>
      <c r="AM102">
        <f>SUMIF(DeadRaw!$B:$B,$A102,DeadRaw!AP:AP)</f>
        <v>0</v>
      </c>
      <c r="AN102">
        <f>SUMIF(DeadRaw!$B:$B,$A102,DeadRaw!AQ:AQ)</f>
        <v>0</v>
      </c>
      <c r="AO102">
        <f>SUMIF(DeadRaw!$B:$B,$A102,DeadRaw!AR:AR)</f>
        <v>0</v>
      </c>
      <c r="AP102">
        <f>SUMIF(DeadRaw!$B:$B,$A102,DeadRaw!AS:AS)</f>
        <v>0</v>
      </c>
      <c r="AQ102">
        <f>SUMIF(DeadRaw!$B:$B,$A102,DeadRaw!AT:AT)</f>
        <v>0</v>
      </c>
      <c r="AR102">
        <f>SUMIF(DeadRaw!$B:$B,$A102,DeadRaw!AU:AU)</f>
        <v>0</v>
      </c>
      <c r="AS102">
        <f>SUMIF(DeadRaw!$B:$B,$A102,DeadRaw!AV:AV)</f>
        <v>0</v>
      </c>
      <c r="AT102">
        <f>SUMIF(DeadRaw!$B:$B,$A102,DeadRaw!AW:AW)</f>
        <v>0</v>
      </c>
      <c r="AU102">
        <f>SUMIF(DeadRaw!$B:$B,$A102,DeadRaw!AX:AX)</f>
        <v>0</v>
      </c>
      <c r="AV102">
        <f>SUMIF(DeadRaw!$B:$B,$A102,DeadRaw!AY:AY)</f>
        <v>0</v>
      </c>
      <c r="AW102">
        <f>SUMIF(DeadRaw!$B:$B,$A102,DeadRaw!AZ:AZ)</f>
        <v>0</v>
      </c>
      <c r="AX102">
        <f>SUMIF(DeadRaw!$B:$B,$A102,DeadRaw!BA:BA)</f>
        <v>0</v>
      </c>
      <c r="AY102">
        <f>SUMIF(DeadRaw!$B:$B,$A102,DeadRaw!BB:BB)</f>
        <v>0</v>
      </c>
      <c r="AZ102">
        <f>SUMIF(DeadRaw!$B:$B,$A102,DeadRaw!BC:BC)</f>
        <v>0</v>
      </c>
      <c r="BA102">
        <f>SUMIF(DeadRaw!$B:$B,$A102,DeadRaw!BD:BD)</f>
        <v>1</v>
      </c>
      <c r="BB102">
        <f>SUMIF(DeadRaw!$B:$B,$A102,DeadRaw!BE:BE)</f>
        <v>1</v>
      </c>
      <c r="BC102">
        <f>SUMIF(DeadRaw!$B:$B,$A102,DeadRaw!BF:BF)</f>
        <v>1</v>
      </c>
      <c r="BD102">
        <f>SUMIF(DeadRaw!$B:$B,$A102,DeadRaw!BG:BG)</f>
        <v>1</v>
      </c>
      <c r="BE102">
        <f>SUMIF(DeadRaw!$B:$B,$A102,DeadRaw!BH:BH)</f>
        <v>2</v>
      </c>
      <c r="BF102">
        <f>SUMIF(DeadRaw!$B:$B,$A102,DeadRaw!BI:BI)</f>
        <v>2</v>
      </c>
      <c r="BG102">
        <f>SUMIF(DeadRaw!$B:$B,$A102,DeadRaw!BJ:BJ)</f>
        <v>0</v>
      </c>
      <c r="BH102">
        <f>SUMIF(DeadRaw!$B:$B,$A102,DeadRaw!BK:BK)</f>
        <v>0</v>
      </c>
      <c r="BI102">
        <f>SUMIF(DeadRaw!$B:$B,$A102,DeadRaw!BL:BL)</f>
        <v>0</v>
      </c>
      <c r="BJ102">
        <f>SUMIF(DeadRaw!$B:$B,$A102,DeadRaw!BM:BM)</f>
        <v>0</v>
      </c>
      <c r="BK102">
        <f>SUMIF(DeadRaw!$B:$B,$A102,DeadRaw!BN:BN)</f>
        <v>0</v>
      </c>
      <c r="BL102">
        <f>SUMIF(DeadRaw!$B:$B,$A102,DeadRaw!BO:BO)</f>
        <v>0</v>
      </c>
      <c r="BM102">
        <f>SUMIF(DeadRaw!$B:$B,$A102,DeadRaw!BP:BP)</f>
        <v>0</v>
      </c>
      <c r="BN102">
        <f>SUMIF(DeadRaw!$B:$B,$A102,DeadRaw!BQ:BQ)</f>
        <v>0</v>
      </c>
      <c r="BO102">
        <f>SUMIF(DeadRaw!$B:$B,$A102,DeadRaw!BR:BR)</f>
        <v>0</v>
      </c>
      <c r="BP102">
        <f>SUMIF(DeadRaw!$B:$B,$A102,DeadRaw!BS:BS)</f>
        <v>0</v>
      </c>
      <c r="BQ102">
        <f>SUMIF(DeadRaw!$B:$B,$A102,DeadRaw!BT:BT)</f>
        <v>0</v>
      </c>
      <c r="BR102">
        <f>SUMIF(DeadRaw!$B:$B,$A102,DeadRaw!BU:BU)</f>
        <v>0</v>
      </c>
      <c r="BS102">
        <f>SUMIF(DeadRaw!$B:$B,$A102,DeadRaw!BV:BV)</f>
        <v>0</v>
      </c>
      <c r="BT102">
        <f>SUMIF(DeadRaw!$B:$B,$A102,DeadRaw!BW:BW)</f>
        <v>0</v>
      </c>
    </row>
    <row r="103" spans="1:72" ht="15" thickBot="1" x14ac:dyDescent="0.35">
      <c r="A103" s="3" t="s">
        <v>422</v>
      </c>
      <c r="B103">
        <f>SUMIF(DeadRaw!$B:$B,$A103,DeadRaw!E:E)</f>
        <v>0</v>
      </c>
      <c r="C103">
        <f>SUMIF(DeadRaw!$B:$B,$A103,DeadRaw!F:F)</f>
        <v>0</v>
      </c>
      <c r="D103">
        <f>SUMIF(DeadRaw!$B:$B,$A103,DeadRaw!G:G)</f>
        <v>0</v>
      </c>
      <c r="E103">
        <f>SUMIF(DeadRaw!$B:$B,$A103,DeadRaw!H:H)</f>
        <v>0</v>
      </c>
      <c r="F103">
        <f>SUMIF(DeadRaw!$B:$B,$A103,DeadRaw!I:I)</f>
        <v>0</v>
      </c>
      <c r="G103">
        <f>SUMIF(DeadRaw!$B:$B,$A103,DeadRaw!J:J)</f>
        <v>0</v>
      </c>
      <c r="H103">
        <f>SUMIF(DeadRaw!$B:$B,$A103,DeadRaw!K:K)</f>
        <v>0</v>
      </c>
      <c r="I103">
        <f>SUMIF(DeadRaw!$B:$B,$A103,DeadRaw!L:L)</f>
        <v>0</v>
      </c>
      <c r="J103">
        <f>SUMIF(DeadRaw!$B:$B,$A103,DeadRaw!M:M)</f>
        <v>0</v>
      </c>
      <c r="K103">
        <f>SUMIF(DeadRaw!$B:$B,$A103,DeadRaw!N:N)</f>
        <v>0</v>
      </c>
      <c r="L103">
        <f>SUMIF(DeadRaw!$B:$B,$A103,DeadRaw!O:O)</f>
        <v>0</v>
      </c>
      <c r="M103">
        <f>SUMIF(DeadRaw!$B:$B,$A103,DeadRaw!P:P)</f>
        <v>0</v>
      </c>
      <c r="N103">
        <f>SUMIF(DeadRaw!$B:$B,$A103,DeadRaw!Q:Q)</f>
        <v>0</v>
      </c>
      <c r="O103">
        <f>SUMIF(DeadRaw!$B:$B,$A103,DeadRaw!R:R)</f>
        <v>0</v>
      </c>
      <c r="P103">
        <f>SUMIF(DeadRaw!$B:$B,$A103,DeadRaw!S:S)</f>
        <v>0</v>
      </c>
      <c r="Q103">
        <f>SUMIF(DeadRaw!$B:$B,$A103,DeadRaw!T:T)</f>
        <v>0</v>
      </c>
      <c r="R103">
        <f>SUMIF(DeadRaw!$B:$B,$A103,DeadRaw!U:U)</f>
        <v>0</v>
      </c>
      <c r="S103">
        <f>SUMIF(DeadRaw!$B:$B,$A103,DeadRaw!V:V)</f>
        <v>0</v>
      </c>
      <c r="T103">
        <f>SUMIF(DeadRaw!$B:$B,$A103,DeadRaw!W:W)</f>
        <v>0</v>
      </c>
      <c r="U103">
        <f>SUMIF(DeadRaw!$B:$B,$A103,DeadRaw!X:X)</f>
        <v>0</v>
      </c>
      <c r="V103">
        <f>SUMIF(DeadRaw!$B:$B,$A103,DeadRaw!Y:Y)</f>
        <v>0</v>
      </c>
      <c r="W103">
        <f>SUMIF(DeadRaw!$B:$B,$A103,DeadRaw!Z:Z)</f>
        <v>0</v>
      </c>
      <c r="X103">
        <f>SUMIF(DeadRaw!$B:$B,$A103,DeadRaw!AA:AA)</f>
        <v>0</v>
      </c>
      <c r="Y103">
        <f>SUMIF(DeadRaw!$B:$B,$A103,DeadRaw!AB:AB)</f>
        <v>0</v>
      </c>
      <c r="Z103">
        <f>SUMIF(DeadRaw!$B:$B,$A103,DeadRaw!AC:AC)</f>
        <v>0</v>
      </c>
      <c r="AA103">
        <f>SUMIF(DeadRaw!$B:$B,$A103,DeadRaw!AD:AD)</f>
        <v>0</v>
      </c>
      <c r="AB103">
        <f>SUMIF(DeadRaw!$B:$B,$A103,DeadRaw!AE:AE)</f>
        <v>0</v>
      </c>
      <c r="AC103">
        <f>SUMIF(DeadRaw!$B:$B,$A103,DeadRaw!AF:AF)</f>
        <v>0</v>
      </c>
      <c r="AD103">
        <f>SUMIF(DeadRaw!$B:$B,$A103,DeadRaw!AG:AG)</f>
        <v>0</v>
      </c>
      <c r="AE103">
        <f>SUMIF(DeadRaw!$B:$B,$A103,DeadRaw!AH:AH)</f>
        <v>0</v>
      </c>
      <c r="AF103">
        <f>SUMIF(DeadRaw!$B:$B,$A103,DeadRaw!AI:AI)</f>
        <v>0</v>
      </c>
      <c r="AG103">
        <f>SUMIF(DeadRaw!$B:$B,$A103,DeadRaw!AJ:AJ)</f>
        <v>0</v>
      </c>
      <c r="AH103">
        <f>SUMIF(DeadRaw!$B:$B,$A103,DeadRaw!AK:AK)</f>
        <v>0</v>
      </c>
      <c r="AI103">
        <f>SUMIF(DeadRaw!$B:$B,$A103,DeadRaw!AL:AL)</f>
        <v>0</v>
      </c>
      <c r="AJ103">
        <f>SUMIF(DeadRaw!$B:$B,$A103,DeadRaw!AM:AM)</f>
        <v>0</v>
      </c>
      <c r="AK103">
        <f>SUMIF(DeadRaw!$B:$B,$A103,DeadRaw!AN:AN)</f>
        <v>0</v>
      </c>
      <c r="AL103">
        <f>SUMIF(DeadRaw!$B:$B,$A103,DeadRaw!AO:AO)</f>
        <v>0</v>
      </c>
      <c r="AM103">
        <f>SUMIF(DeadRaw!$B:$B,$A103,DeadRaw!AP:AP)</f>
        <v>0</v>
      </c>
      <c r="AN103">
        <f>SUMIF(DeadRaw!$B:$B,$A103,DeadRaw!AQ:AQ)</f>
        <v>0</v>
      </c>
      <c r="AO103">
        <f>SUMIF(DeadRaw!$B:$B,$A103,DeadRaw!AR:AR)</f>
        <v>0</v>
      </c>
      <c r="AP103">
        <f>SUMIF(DeadRaw!$B:$B,$A103,DeadRaw!AS:AS)</f>
        <v>0</v>
      </c>
      <c r="AQ103">
        <f>SUMIF(DeadRaw!$B:$B,$A103,DeadRaw!AT:AT)</f>
        <v>0</v>
      </c>
      <c r="AR103">
        <f>SUMIF(DeadRaw!$B:$B,$A103,DeadRaw!AU:AU)</f>
        <v>0</v>
      </c>
      <c r="AS103">
        <f>SUMIF(DeadRaw!$B:$B,$A103,DeadRaw!AV:AV)</f>
        <v>0</v>
      </c>
      <c r="AT103">
        <f>SUMIF(DeadRaw!$B:$B,$A103,DeadRaw!AW:AW)</f>
        <v>0</v>
      </c>
      <c r="AU103">
        <f>SUMIF(DeadRaw!$B:$B,$A103,DeadRaw!AX:AX)</f>
        <v>0</v>
      </c>
      <c r="AV103">
        <f>SUMIF(DeadRaw!$B:$B,$A103,DeadRaw!AY:AY)</f>
        <v>0</v>
      </c>
      <c r="AW103">
        <f>SUMIF(DeadRaw!$B:$B,$A103,DeadRaw!AZ:AZ)</f>
        <v>0</v>
      </c>
      <c r="AX103">
        <f>SUMIF(DeadRaw!$B:$B,$A103,DeadRaw!BA:BA)</f>
        <v>0</v>
      </c>
      <c r="AY103">
        <f>SUMIF(DeadRaw!$B:$B,$A103,DeadRaw!BB:BB)</f>
        <v>0</v>
      </c>
      <c r="AZ103">
        <f>SUMIF(DeadRaw!$B:$B,$A103,DeadRaw!BC:BC)</f>
        <v>0</v>
      </c>
      <c r="BA103">
        <f>SUMIF(DeadRaw!$B:$B,$A103,DeadRaw!BD:BD)</f>
        <v>0</v>
      </c>
      <c r="BB103">
        <f>SUMIF(DeadRaw!$B:$B,$A103,DeadRaw!BE:BE)</f>
        <v>0</v>
      </c>
      <c r="BC103">
        <f>SUMIF(DeadRaw!$B:$B,$A103,DeadRaw!BF:BF)</f>
        <v>0</v>
      </c>
      <c r="BD103">
        <f>SUMIF(DeadRaw!$B:$B,$A103,DeadRaw!BG:BG)</f>
        <v>0</v>
      </c>
      <c r="BE103">
        <f>SUMIF(DeadRaw!$B:$B,$A103,DeadRaw!BH:BH)</f>
        <v>0</v>
      </c>
      <c r="BF103">
        <f>SUMIF(DeadRaw!$B:$B,$A103,DeadRaw!BI:BI)</f>
        <v>0</v>
      </c>
      <c r="BG103">
        <f>SUMIF(DeadRaw!$B:$B,$A103,DeadRaw!BJ:BJ)</f>
        <v>0</v>
      </c>
      <c r="BH103">
        <f>SUMIF(DeadRaw!$B:$B,$A103,DeadRaw!BK:BK)</f>
        <v>0</v>
      </c>
      <c r="BI103">
        <f>SUMIF(DeadRaw!$B:$B,$A103,DeadRaw!BL:BL)</f>
        <v>0</v>
      </c>
      <c r="BJ103">
        <f>SUMIF(DeadRaw!$B:$B,$A103,DeadRaw!BM:BM)</f>
        <v>0</v>
      </c>
      <c r="BK103">
        <f>SUMIF(DeadRaw!$B:$B,$A103,DeadRaw!BN:BN)</f>
        <v>0</v>
      </c>
      <c r="BL103">
        <f>SUMIF(DeadRaw!$B:$B,$A103,DeadRaw!BO:BO)</f>
        <v>0</v>
      </c>
      <c r="BM103">
        <f>SUMIF(DeadRaw!$B:$B,$A103,DeadRaw!BP:BP)</f>
        <v>0</v>
      </c>
      <c r="BN103">
        <f>SUMIF(DeadRaw!$B:$B,$A103,DeadRaw!BQ:BQ)</f>
        <v>0</v>
      </c>
      <c r="BO103">
        <f>SUMIF(DeadRaw!$B:$B,$A103,DeadRaw!BR:BR)</f>
        <v>0</v>
      </c>
      <c r="BP103">
        <f>SUMIF(DeadRaw!$B:$B,$A103,DeadRaw!BS:BS)</f>
        <v>0</v>
      </c>
      <c r="BQ103">
        <f>SUMIF(DeadRaw!$B:$B,$A103,DeadRaw!BT:BT)</f>
        <v>0</v>
      </c>
      <c r="BR103">
        <f>SUMIF(DeadRaw!$B:$B,$A103,DeadRaw!BU:BU)</f>
        <v>0</v>
      </c>
      <c r="BS103">
        <f>SUMIF(DeadRaw!$B:$B,$A103,DeadRaw!BV:BV)</f>
        <v>0</v>
      </c>
      <c r="BT103">
        <f>SUMIF(DeadRaw!$B:$B,$A103,DeadRaw!BW:BW)</f>
        <v>0</v>
      </c>
    </row>
    <row r="104" spans="1:72" ht="15" thickBot="1" x14ac:dyDescent="0.35">
      <c r="A104" s="4" t="s">
        <v>279</v>
      </c>
      <c r="B104">
        <f>SUMIF(DeadRaw!$B:$B,$A104,DeadRaw!E:E)</f>
        <v>0</v>
      </c>
      <c r="C104">
        <f>SUMIF(DeadRaw!$B:$B,$A104,DeadRaw!F:F)</f>
        <v>0</v>
      </c>
      <c r="D104">
        <f>SUMIF(DeadRaw!$B:$B,$A104,DeadRaw!G:G)</f>
        <v>0</v>
      </c>
      <c r="E104">
        <f>SUMIF(DeadRaw!$B:$B,$A104,DeadRaw!H:H)</f>
        <v>0</v>
      </c>
      <c r="F104">
        <f>SUMIF(DeadRaw!$B:$B,$A104,DeadRaw!I:I)</f>
        <v>0</v>
      </c>
      <c r="G104">
        <f>SUMIF(DeadRaw!$B:$B,$A104,DeadRaw!J:J)</f>
        <v>0</v>
      </c>
      <c r="H104">
        <f>SUMIF(DeadRaw!$B:$B,$A104,DeadRaw!K:K)</f>
        <v>0</v>
      </c>
      <c r="I104">
        <f>SUMIF(DeadRaw!$B:$B,$A104,DeadRaw!L:L)</f>
        <v>0</v>
      </c>
      <c r="J104">
        <f>SUMIF(DeadRaw!$B:$B,$A104,DeadRaw!M:M)</f>
        <v>0</v>
      </c>
      <c r="K104">
        <f>SUMIF(DeadRaw!$B:$B,$A104,DeadRaw!N:N)</f>
        <v>0</v>
      </c>
      <c r="L104">
        <f>SUMIF(DeadRaw!$B:$B,$A104,DeadRaw!O:O)</f>
        <v>0</v>
      </c>
      <c r="M104">
        <f>SUMIF(DeadRaw!$B:$B,$A104,DeadRaw!P:P)</f>
        <v>0</v>
      </c>
      <c r="N104">
        <f>SUMIF(DeadRaw!$B:$B,$A104,DeadRaw!Q:Q)</f>
        <v>0</v>
      </c>
      <c r="O104">
        <f>SUMIF(DeadRaw!$B:$B,$A104,DeadRaw!R:R)</f>
        <v>0</v>
      </c>
      <c r="P104">
        <f>SUMIF(DeadRaw!$B:$B,$A104,DeadRaw!S:S)</f>
        <v>0</v>
      </c>
      <c r="Q104">
        <f>SUMIF(DeadRaw!$B:$B,$A104,DeadRaw!T:T)</f>
        <v>0</v>
      </c>
      <c r="R104">
        <f>SUMIF(DeadRaw!$B:$B,$A104,DeadRaw!U:U)</f>
        <v>0</v>
      </c>
      <c r="S104">
        <f>SUMIF(DeadRaw!$B:$B,$A104,DeadRaw!V:V)</f>
        <v>0</v>
      </c>
      <c r="T104">
        <f>SUMIF(DeadRaw!$B:$B,$A104,DeadRaw!W:W)</f>
        <v>0</v>
      </c>
      <c r="U104">
        <f>SUMIF(DeadRaw!$B:$B,$A104,DeadRaw!X:X)</f>
        <v>0</v>
      </c>
      <c r="V104">
        <f>SUMIF(DeadRaw!$B:$B,$A104,DeadRaw!Y:Y)</f>
        <v>0</v>
      </c>
      <c r="W104">
        <f>SUMIF(DeadRaw!$B:$B,$A104,DeadRaw!Z:Z)</f>
        <v>0</v>
      </c>
      <c r="X104">
        <f>SUMIF(DeadRaw!$B:$B,$A104,DeadRaw!AA:AA)</f>
        <v>0</v>
      </c>
      <c r="Y104">
        <f>SUMIF(DeadRaw!$B:$B,$A104,DeadRaw!AB:AB)</f>
        <v>0</v>
      </c>
      <c r="Z104">
        <f>SUMIF(DeadRaw!$B:$B,$A104,DeadRaw!AC:AC)</f>
        <v>0</v>
      </c>
      <c r="AA104">
        <f>SUMIF(DeadRaw!$B:$B,$A104,DeadRaw!AD:AD)</f>
        <v>0</v>
      </c>
      <c r="AB104">
        <f>SUMIF(DeadRaw!$B:$B,$A104,DeadRaw!AE:AE)</f>
        <v>0</v>
      </c>
      <c r="AC104">
        <f>SUMIF(DeadRaw!$B:$B,$A104,DeadRaw!AF:AF)</f>
        <v>0</v>
      </c>
      <c r="AD104">
        <f>SUMIF(DeadRaw!$B:$B,$A104,DeadRaw!AG:AG)</f>
        <v>0</v>
      </c>
      <c r="AE104">
        <f>SUMIF(DeadRaw!$B:$B,$A104,DeadRaw!AH:AH)</f>
        <v>0</v>
      </c>
      <c r="AF104">
        <f>SUMIF(DeadRaw!$B:$B,$A104,DeadRaw!AI:AI)</f>
        <v>0</v>
      </c>
      <c r="AG104">
        <f>SUMIF(DeadRaw!$B:$B,$A104,DeadRaw!AJ:AJ)</f>
        <v>0</v>
      </c>
      <c r="AH104">
        <f>SUMIF(DeadRaw!$B:$B,$A104,DeadRaw!AK:AK)</f>
        <v>0</v>
      </c>
      <c r="AI104">
        <f>SUMIF(DeadRaw!$B:$B,$A104,DeadRaw!AL:AL)</f>
        <v>0</v>
      </c>
      <c r="AJ104">
        <f>SUMIF(DeadRaw!$B:$B,$A104,DeadRaw!AM:AM)</f>
        <v>0</v>
      </c>
      <c r="AK104">
        <f>SUMIF(DeadRaw!$B:$B,$A104,DeadRaw!AN:AN)</f>
        <v>0</v>
      </c>
      <c r="AL104">
        <f>SUMIF(DeadRaw!$B:$B,$A104,DeadRaw!AO:AO)</f>
        <v>0</v>
      </c>
      <c r="AM104">
        <f>SUMIF(DeadRaw!$B:$B,$A104,DeadRaw!AP:AP)</f>
        <v>0</v>
      </c>
      <c r="AN104">
        <f>SUMIF(DeadRaw!$B:$B,$A104,DeadRaw!AQ:AQ)</f>
        <v>0</v>
      </c>
      <c r="AO104">
        <f>SUMIF(DeadRaw!$B:$B,$A104,DeadRaw!AR:AR)</f>
        <v>0</v>
      </c>
      <c r="AP104">
        <f>SUMIF(DeadRaw!$B:$B,$A104,DeadRaw!AS:AS)</f>
        <v>0</v>
      </c>
      <c r="AQ104">
        <f>SUMIF(DeadRaw!$B:$B,$A104,DeadRaw!AT:AT)</f>
        <v>0</v>
      </c>
      <c r="AR104">
        <f>SUMIF(DeadRaw!$B:$B,$A104,DeadRaw!AU:AU)</f>
        <v>0</v>
      </c>
      <c r="AS104">
        <f>SUMIF(DeadRaw!$B:$B,$A104,DeadRaw!AV:AV)</f>
        <v>0</v>
      </c>
      <c r="AT104">
        <f>SUMIF(DeadRaw!$B:$B,$A104,DeadRaw!AW:AW)</f>
        <v>0</v>
      </c>
      <c r="AU104">
        <f>SUMIF(DeadRaw!$B:$B,$A104,DeadRaw!AX:AX)</f>
        <v>0</v>
      </c>
      <c r="AV104">
        <f>SUMIF(DeadRaw!$B:$B,$A104,DeadRaw!AY:AY)</f>
        <v>0</v>
      </c>
      <c r="AW104">
        <f>SUMIF(DeadRaw!$B:$B,$A104,DeadRaw!AZ:AZ)</f>
        <v>0</v>
      </c>
      <c r="AX104">
        <f>SUMIF(DeadRaw!$B:$B,$A104,DeadRaw!BA:BA)</f>
        <v>0</v>
      </c>
      <c r="AY104">
        <f>SUMIF(DeadRaw!$B:$B,$A104,DeadRaw!BB:BB)</f>
        <v>0</v>
      </c>
      <c r="AZ104">
        <f>SUMIF(DeadRaw!$B:$B,$A104,DeadRaw!BC:BC)</f>
        <v>0</v>
      </c>
      <c r="BA104">
        <f>SUMIF(DeadRaw!$B:$B,$A104,DeadRaw!BD:BD)</f>
        <v>0</v>
      </c>
      <c r="BB104">
        <f>SUMIF(DeadRaw!$B:$B,$A104,DeadRaw!BE:BE)</f>
        <v>0</v>
      </c>
      <c r="BC104">
        <f>SUMIF(DeadRaw!$B:$B,$A104,DeadRaw!BF:BF)</f>
        <v>0</v>
      </c>
      <c r="BD104">
        <f>SUMIF(DeadRaw!$B:$B,$A104,DeadRaw!BG:BG)</f>
        <v>0</v>
      </c>
      <c r="BE104">
        <f>SUMIF(DeadRaw!$B:$B,$A104,DeadRaw!BH:BH)</f>
        <v>0</v>
      </c>
      <c r="BF104">
        <f>SUMIF(DeadRaw!$B:$B,$A104,DeadRaw!BI:BI)</f>
        <v>1</v>
      </c>
      <c r="BG104">
        <f>SUMIF(DeadRaw!$B:$B,$A104,DeadRaw!BJ:BJ)</f>
        <v>0</v>
      </c>
      <c r="BH104">
        <f>SUMIF(DeadRaw!$B:$B,$A104,DeadRaw!BK:BK)</f>
        <v>0</v>
      </c>
      <c r="BI104">
        <f>SUMIF(DeadRaw!$B:$B,$A104,DeadRaw!BL:BL)</f>
        <v>0</v>
      </c>
      <c r="BJ104">
        <f>SUMIF(DeadRaw!$B:$B,$A104,DeadRaw!BM:BM)</f>
        <v>0</v>
      </c>
      <c r="BK104">
        <f>SUMIF(DeadRaw!$B:$B,$A104,DeadRaw!BN:BN)</f>
        <v>0</v>
      </c>
      <c r="BL104">
        <f>SUMIF(DeadRaw!$B:$B,$A104,DeadRaw!BO:BO)</f>
        <v>0</v>
      </c>
      <c r="BM104">
        <f>SUMIF(DeadRaw!$B:$B,$A104,DeadRaw!BP:BP)</f>
        <v>0</v>
      </c>
      <c r="BN104">
        <f>SUMIF(DeadRaw!$B:$B,$A104,DeadRaw!BQ:BQ)</f>
        <v>0</v>
      </c>
      <c r="BO104">
        <f>SUMIF(DeadRaw!$B:$B,$A104,DeadRaw!BR:BR)</f>
        <v>0</v>
      </c>
      <c r="BP104">
        <f>SUMIF(DeadRaw!$B:$B,$A104,DeadRaw!BS:BS)</f>
        <v>0</v>
      </c>
      <c r="BQ104">
        <f>SUMIF(DeadRaw!$B:$B,$A104,DeadRaw!BT:BT)</f>
        <v>0</v>
      </c>
      <c r="BR104">
        <f>SUMIF(DeadRaw!$B:$B,$A104,DeadRaw!BU:BU)</f>
        <v>0</v>
      </c>
      <c r="BS104">
        <f>SUMIF(DeadRaw!$B:$B,$A104,DeadRaw!BV:BV)</f>
        <v>0</v>
      </c>
      <c r="BT104">
        <f>SUMIF(DeadRaw!$B:$B,$A104,DeadRaw!BW:BW)</f>
        <v>0</v>
      </c>
    </row>
    <row r="105" spans="1:72" ht="15" thickBot="1" x14ac:dyDescent="0.35">
      <c r="A105" s="3" t="s">
        <v>157</v>
      </c>
      <c r="B105">
        <f>SUMIF(DeadRaw!$B:$B,$A105,DeadRaw!E:E)</f>
        <v>0</v>
      </c>
      <c r="C105">
        <f>SUMIF(DeadRaw!$B:$B,$A105,DeadRaw!F:F)</f>
        <v>0</v>
      </c>
      <c r="D105">
        <f>SUMIF(DeadRaw!$B:$B,$A105,DeadRaw!G:G)</f>
        <v>0</v>
      </c>
      <c r="E105">
        <f>SUMIF(DeadRaw!$B:$B,$A105,DeadRaw!H:H)</f>
        <v>0</v>
      </c>
      <c r="F105">
        <f>SUMIF(DeadRaw!$B:$B,$A105,DeadRaw!I:I)</f>
        <v>0</v>
      </c>
      <c r="G105">
        <f>SUMIF(DeadRaw!$B:$B,$A105,DeadRaw!J:J)</f>
        <v>0</v>
      </c>
      <c r="H105">
        <f>SUMIF(DeadRaw!$B:$B,$A105,DeadRaw!K:K)</f>
        <v>0</v>
      </c>
      <c r="I105">
        <f>SUMIF(DeadRaw!$B:$B,$A105,DeadRaw!L:L)</f>
        <v>0</v>
      </c>
      <c r="J105">
        <f>SUMIF(DeadRaw!$B:$B,$A105,DeadRaw!M:M)</f>
        <v>0</v>
      </c>
      <c r="K105">
        <f>SUMIF(DeadRaw!$B:$B,$A105,DeadRaw!N:N)</f>
        <v>0</v>
      </c>
      <c r="L105">
        <f>SUMIF(DeadRaw!$B:$B,$A105,DeadRaw!O:O)</f>
        <v>0</v>
      </c>
      <c r="M105">
        <f>SUMIF(DeadRaw!$B:$B,$A105,DeadRaw!P:P)</f>
        <v>0</v>
      </c>
      <c r="N105">
        <f>SUMIF(DeadRaw!$B:$B,$A105,DeadRaw!Q:Q)</f>
        <v>0</v>
      </c>
      <c r="O105">
        <f>SUMIF(DeadRaw!$B:$B,$A105,DeadRaw!R:R)</f>
        <v>0</v>
      </c>
      <c r="P105">
        <f>SUMIF(DeadRaw!$B:$B,$A105,DeadRaw!S:S)</f>
        <v>0</v>
      </c>
      <c r="Q105">
        <f>SUMIF(DeadRaw!$B:$B,$A105,DeadRaw!T:T)</f>
        <v>0</v>
      </c>
      <c r="R105">
        <f>SUMIF(DeadRaw!$B:$B,$A105,DeadRaw!U:U)</f>
        <v>0</v>
      </c>
      <c r="S105">
        <f>SUMIF(DeadRaw!$B:$B,$A105,DeadRaw!V:V)</f>
        <v>0</v>
      </c>
      <c r="T105">
        <f>SUMIF(DeadRaw!$B:$B,$A105,DeadRaw!W:W)</f>
        <v>0</v>
      </c>
      <c r="U105">
        <f>SUMIF(DeadRaw!$B:$B,$A105,DeadRaw!X:X)</f>
        <v>0</v>
      </c>
      <c r="V105">
        <f>SUMIF(DeadRaw!$B:$B,$A105,DeadRaw!Y:Y)</f>
        <v>0</v>
      </c>
      <c r="W105">
        <f>SUMIF(DeadRaw!$B:$B,$A105,DeadRaw!Z:Z)</f>
        <v>0</v>
      </c>
      <c r="X105">
        <f>SUMIF(DeadRaw!$B:$B,$A105,DeadRaw!AA:AA)</f>
        <v>0</v>
      </c>
      <c r="Y105">
        <f>SUMIF(DeadRaw!$B:$B,$A105,DeadRaw!AB:AB)</f>
        <v>0</v>
      </c>
      <c r="Z105">
        <f>SUMIF(DeadRaw!$B:$B,$A105,DeadRaw!AC:AC)</f>
        <v>0</v>
      </c>
      <c r="AA105">
        <f>SUMIF(DeadRaw!$B:$B,$A105,DeadRaw!AD:AD)</f>
        <v>0</v>
      </c>
      <c r="AB105">
        <f>SUMIF(DeadRaw!$B:$B,$A105,DeadRaw!AE:AE)</f>
        <v>0</v>
      </c>
      <c r="AC105">
        <f>SUMIF(DeadRaw!$B:$B,$A105,DeadRaw!AF:AF)</f>
        <v>0</v>
      </c>
      <c r="AD105">
        <f>SUMIF(DeadRaw!$B:$B,$A105,DeadRaw!AG:AG)</f>
        <v>0</v>
      </c>
      <c r="AE105">
        <f>SUMIF(DeadRaw!$B:$B,$A105,DeadRaw!AH:AH)</f>
        <v>0</v>
      </c>
      <c r="AF105">
        <f>SUMIF(DeadRaw!$B:$B,$A105,DeadRaw!AI:AI)</f>
        <v>0</v>
      </c>
      <c r="AG105">
        <f>SUMIF(DeadRaw!$B:$B,$A105,DeadRaw!AJ:AJ)</f>
        <v>0</v>
      </c>
      <c r="AH105">
        <f>SUMIF(DeadRaw!$B:$B,$A105,DeadRaw!AK:AK)</f>
        <v>0</v>
      </c>
      <c r="AI105">
        <f>SUMIF(DeadRaw!$B:$B,$A105,DeadRaw!AL:AL)</f>
        <v>0</v>
      </c>
      <c r="AJ105">
        <f>SUMIF(DeadRaw!$B:$B,$A105,DeadRaw!AM:AM)</f>
        <v>0</v>
      </c>
      <c r="AK105">
        <f>SUMIF(DeadRaw!$B:$B,$A105,DeadRaw!AN:AN)</f>
        <v>0</v>
      </c>
      <c r="AL105">
        <f>SUMIF(DeadRaw!$B:$B,$A105,DeadRaw!AO:AO)</f>
        <v>0</v>
      </c>
      <c r="AM105">
        <f>SUMIF(DeadRaw!$B:$B,$A105,DeadRaw!AP:AP)</f>
        <v>0</v>
      </c>
      <c r="AN105">
        <f>SUMIF(DeadRaw!$B:$B,$A105,DeadRaw!AQ:AQ)</f>
        <v>0</v>
      </c>
      <c r="AO105">
        <f>SUMIF(DeadRaw!$B:$B,$A105,DeadRaw!AR:AR)</f>
        <v>0</v>
      </c>
      <c r="AP105">
        <f>SUMIF(DeadRaw!$B:$B,$A105,DeadRaw!AS:AS)</f>
        <v>0</v>
      </c>
      <c r="AQ105">
        <f>SUMIF(DeadRaw!$B:$B,$A105,DeadRaw!AT:AT)</f>
        <v>0</v>
      </c>
      <c r="AR105">
        <f>SUMIF(DeadRaw!$B:$B,$A105,DeadRaw!AU:AU)</f>
        <v>0</v>
      </c>
      <c r="AS105">
        <f>SUMIF(DeadRaw!$B:$B,$A105,DeadRaw!AV:AV)</f>
        <v>0</v>
      </c>
      <c r="AT105">
        <f>SUMIF(DeadRaw!$B:$B,$A105,DeadRaw!AW:AW)</f>
        <v>0</v>
      </c>
      <c r="AU105">
        <f>SUMIF(DeadRaw!$B:$B,$A105,DeadRaw!AX:AX)</f>
        <v>0</v>
      </c>
      <c r="AV105">
        <f>SUMIF(DeadRaw!$B:$B,$A105,DeadRaw!AY:AY)</f>
        <v>0</v>
      </c>
      <c r="AW105">
        <f>SUMIF(DeadRaw!$B:$B,$A105,DeadRaw!AZ:AZ)</f>
        <v>0</v>
      </c>
      <c r="AX105">
        <f>SUMIF(DeadRaw!$B:$B,$A105,DeadRaw!BA:BA)</f>
        <v>0</v>
      </c>
      <c r="AY105">
        <f>SUMIF(DeadRaw!$B:$B,$A105,DeadRaw!BB:BB)</f>
        <v>0</v>
      </c>
      <c r="AZ105">
        <f>SUMIF(DeadRaw!$B:$B,$A105,DeadRaw!BC:BC)</f>
        <v>0</v>
      </c>
      <c r="BA105">
        <f>SUMIF(DeadRaw!$B:$B,$A105,DeadRaw!BD:BD)</f>
        <v>0</v>
      </c>
      <c r="BB105">
        <f>SUMIF(DeadRaw!$B:$B,$A105,DeadRaw!BE:BE)</f>
        <v>0</v>
      </c>
      <c r="BC105">
        <f>SUMIF(DeadRaw!$B:$B,$A105,DeadRaw!BF:BF)</f>
        <v>0</v>
      </c>
      <c r="BD105">
        <f>SUMIF(DeadRaw!$B:$B,$A105,DeadRaw!BG:BG)</f>
        <v>0</v>
      </c>
      <c r="BE105">
        <f>SUMIF(DeadRaw!$B:$B,$A105,DeadRaw!BH:BH)</f>
        <v>0</v>
      </c>
      <c r="BF105">
        <f>SUMIF(DeadRaw!$B:$B,$A105,DeadRaw!BI:BI)</f>
        <v>0</v>
      </c>
      <c r="BG105">
        <f>SUMIF(DeadRaw!$B:$B,$A105,DeadRaw!BJ:BJ)</f>
        <v>0</v>
      </c>
      <c r="BH105">
        <f>SUMIF(DeadRaw!$B:$B,$A105,DeadRaw!BK:BK)</f>
        <v>0</v>
      </c>
      <c r="BI105">
        <f>SUMIF(DeadRaw!$B:$B,$A105,DeadRaw!BL:BL)</f>
        <v>0</v>
      </c>
      <c r="BJ105">
        <f>SUMIF(DeadRaw!$B:$B,$A105,DeadRaw!BM:BM)</f>
        <v>0</v>
      </c>
      <c r="BK105">
        <f>SUMIF(DeadRaw!$B:$B,$A105,DeadRaw!BN:BN)</f>
        <v>0</v>
      </c>
      <c r="BL105">
        <f>SUMIF(DeadRaw!$B:$B,$A105,DeadRaw!BO:BO)</f>
        <v>0</v>
      </c>
      <c r="BM105">
        <f>SUMIF(DeadRaw!$B:$B,$A105,DeadRaw!BP:BP)</f>
        <v>0</v>
      </c>
      <c r="BN105">
        <f>SUMIF(DeadRaw!$B:$B,$A105,DeadRaw!BQ:BQ)</f>
        <v>0</v>
      </c>
      <c r="BO105">
        <f>SUMIF(DeadRaw!$B:$B,$A105,DeadRaw!BR:BR)</f>
        <v>0</v>
      </c>
      <c r="BP105">
        <f>SUMIF(DeadRaw!$B:$B,$A105,DeadRaw!BS:BS)</f>
        <v>0</v>
      </c>
      <c r="BQ105">
        <f>SUMIF(DeadRaw!$B:$B,$A105,DeadRaw!BT:BT)</f>
        <v>0</v>
      </c>
      <c r="BR105">
        <f>SUMIF(DeadRaw!$B:$B,$A105,DeadRaw!BU:BU)</f>
        <v>0</v>
      </c>
      <c r="BS105">
        <f>SUMIF(DeadRaw!$B:$B,$A105,DeadRaw!BV:BV)</f>
        <v>0</v>
      </c>
      <c r="BT105">
        <f>SUMIF(DeadRaw!$B:$B,$A105,DeadRaw!BW:BW)</f>
        <v>0</v>
      </c>
    </row>
    <row r="106" spans="1:72" ht="15" thickBot="1" x14ac:dyDescent="0.35">
      <c r="A106" s="4" t="s">
        <v>351</v>
      </c>
      <c r="B106">
        <f>SUMIF(DeadRaw!$B:$B,$A106,DeadRaw!E:E)</f>
        <v>0</v>
      </c>
      <c r="C106">
        <f>SUMIF(DeadRaw!$B:$B,$A106,DeadRaw!F:F)</f>
        <v>0</v>
      </c>
      <c r="D106">
        <f>SUMIF(DeadRaw!$B:$B,$A106,DeadRaw!G:G)</f>
        <v>0</v>
      </c>
      <c r="E106">
        <f>SUMIF(DeadRaw!$B:$B,$A106,DeadRaw!H:H)</f>
        <v>0</v>
      </c>
      <c r="F106">
        <f>SUMIF(DeadRaw!$B:$B,$A106,DeadRaw!I:I)</f>
        <v>0</v>
      </c>
      <c r="G106">
        <f>SUMIF(DeadRaw!$B:$B,$A106,DeadRaw!J:J)</f>
        <v>0</v>
      </c>
      <c r="H106">
        <f>SUMIF(DeadRaw!$B:$B,$A106,DeadRaw!K:K)</f>
        <v>0</v>
      </c>
      <c r="I106">
        <f>SUMIF(DeadRaw!$B:$B,$A106,DeadRaw!L:L)</f>
        <v>0</v>
      </c>
      <c r="J106">
        <f>SUMIF(DeadRaw!$B:$B,$A106,DeadRaw!M:M)</f>
        <v>0</v>
      </c>
      <c r="K106">
        <f>SUMIF(DeadRaw!$B:$B,$A106,DeadRaw!N:N)</f>
        <v>0</v>
      </c>
      <c r="L106">
        <f>SUMIF(DeadRaw!$B:$B,$A106,DeadRaw!O:O)</f>
        <v>0</v>
      </c>
      <c r="M106">
        <f>SUMIF(DeadRaw!$B:$B,$A106,DeadRaw!P:P)</f>
        <v>0</v>
      </c>
      <c r="N106">
        <f>SUMIF(DeadRaw!$B:$B,$A106,DeadRaw!Q:Q)</f>
        <v>0</v>
      </c>
      <c r="O106">
        <f>SUMIF(DeadRaw!$B:$B,$A106,DeadRaw!R:R)</f>
        <v>0</v>
      </c>
      <c r="P106">
        <f>SUMIF(DeadRaw!$B:$B,$A106,DeadRaw!S:S)</f>
        <v>0</v>
      </c>
      <c r="Q106">
        <f>SUMIF(DeadRaw!$B:$B,$A106,DeadRaw!T:T)</f>
        <v>0</v>
      </c>
      <c r="R106">
        <f>SUMIF(DeadRaw!$B:$B,$A106,DeadRaw!U:U)</f>
        <v>0</v>
      </c>
      <c r="S106">
        <f>SUMIF(DeadRaw!$B:$B,$A106,DeadRaw!V:V)</f>
        <v>0</v>
      </c>
      <c r="T106">
        <f>SUMIF(DeadRaw!$B:$B,$A106,DeadRaw!W:W)</f>
        <v>0</v>
      </c>
      <c r="U106">
        <f>SUMIF(DeadRaw!$B:$B,$A106,DeadRaw!X:X)</f>
        <v>0</v>
      </c>
      <c r="V106">
        <f>SUMIF(DeadRaw!$B:$B,$A106,DeadRaw!Y:Y)</f>
        <v>0</v>
      </c>
      <c r="W106">
        <f>SUMIF(DeadRaw!$B:$B,$A106,DeadRaw!Z:Z)</f>
        <v>0</v>
      </c>
      <c r="X106">
        <f>SUMIF(DeadRaw!$B:$B,$A106,DeadRaw!AA:AA)</f>
        <v>0</v>
      </c>
      <c r="Y106">
        <f>SUMIF(DeadRaw!$B:$B,$A106,DeadRaw!AB:AB)</f>
        <v>0</v>
      </c>
      <c r="Z106">
        <f>SUMIF(DeadRaw!$B:$B,$A106,DeadRaw!AC:AC)</f>
        <v>0</v>
      </c>
      <c r="AA106">
        <f>SUMIF(DeadRaw!$B:$B,$A106,DeadRaw!AD:AD)</f>
        <v>0</v>
      </c>
      <c r="AB106">
        <f>SUMIF(DeadRaw!$B:$B,$A106,DeadRaw!AE:AE)</f>
        <v>0</v>
      </c>
      <c r="AC106">
        <f>SUMIF(DeadRaw!$B:$B,$A106,DeadRaw!AF:AF)</f>
        <v>0</v>
      </c>
      <c r="AD106">
        <f>SUMIF(DeadRaw!$B:$B,$A106,DeadRaw!AG:AG)</f>
        <v>0</v>
      </c>
      <c r="AE106">
        <f>SUMIF(DeadRaw!$B:$B,$A106,DeadRaw!AH:AH)</f>
        <v>0</v>
      </c>
      <c r="AF106">
        <f>SUMIF(DeadRaw!$B:$B,$A106,DeadRaw!AI:AI)</f>
        <v>0</v>
      </c>
      <c r="AG106">
        <f>SUMIF(DeadRaw!$B:$B,$A106,DeadRaw!AJ:AJ)</f>
        <v>0</v>
      </c>
      <c r="AH106">
        <f>SUMIF(DeadRaw!$B:$B,$A106,DeadRaw!AK:AK)</f>
        <v>0</v>
      </c>
      <c r="AI106">
        <f>SUMIF(DeadRaw!$B:$B,$A106,DeadRaw!AL:AL)</f>
        <v>0</v>
      </c>
      <c r="AJ106">
        <f>SUMIF(DeadRaw!$B:$B,$A106,DeadRaw!AM:AM)</f>
        <v>0</v>
      </c>
      <c r="AK106">
        <f>SUMIF(DeadRaw!$B:$B,$A106,DeadRaw!AN:AN)</f>
        <v>0</v>
      </c>
      <c r="AL106">
        <f>SUMIF(DeadRaw!$B:$B,$A106,DeadRaw!AO:AO)</f>
        <v>0</v>
      </c>
      <c r="AM106">
        <f>SUMIF(DeadRaw!$B:$B,$A106,DeadRaw!AP:AP)</f>
        <v>0</v>
      </c>
      <c r="AN106">
        <f>SUMIF(DeadRaw!$B:$B,$A106,DeadRaw!AQ:AQ)</f>
        <v>0</v>
      </c>
      <c r="AO106">
        <f>SUMIF(DeadRaw!$B:$B,$A106,DeadRaw!AR:AR)</f>
        <v>0</v>
      </c>
      <c r="AP106">
        <f>SUMIF(DeadRaw!$B:$B,$A106,DeadRaw!AS:AS)</f>
        <v>0</v>
      </c>
      <c r="AQ106">
        <f>SUMIF(DeadRaw!$B:$B,$A106,DeadRaw!AT:AT)</f>
        <v>0</v>
      </c>
      <c r="AR106">
        <f>SUMIF(DeadRaw!$B:$B,$A106,DeadRaw!AU:AU)</f>
        <v>0</v>
      </c>
      <c r="AS106">
        <f>SUMIF(DeadRaw!$B:$B,$A106,DeadRaw!AV:AV)</f>
        <v>0</v>
      </c>
      <c r="AT106">
        <f>SUMIF(DeadRaw!$B:$B,$A106,DeadRaw!AW:AW)</f>
        <v>0</v>
      </c>
      <c r="AU106">
        <f>SUMIF(DeadRaw!$B:$B,$A106,DeadRaw!AX:AX)</f>
        <v>0</v>
      </c>
      <c r="AV106">
        <f>SUMIF(DeadRaw!$B:$B,$A106,DeadRaw!AY:AY)</f>
        <v>0</v>
      </c>
      <c r="AW106">
        <f>SUMIF(DeadRaw!$B:$B,$A106,DeadRaw!AZ:AZ)</f>
        <v>0</v>
      </c>
      <c r="AX106">
        <f>SUMIF(DeadRaw!$B:$B,$A106,DeadRaw!BA:BA)</f>
        <v>0</v>
      </c>
      <c r="AY106">
        <f>SUMIF(DeadRaw!$B:$B,$A106,DeadRaw!BB:BB)</f>
        <v>0</v>
      </c>
      <c r="AZ106">
        <f>SUMIF(DeadRaw!$B:$B,$A106,DeadRaw!BC:BC)</f>
        <v>0</v>
      </c>
      <c r="BA106">
        <f>SUMIF(DeadRaw!$B:$B,$A106,DeadRaw!BD:BD)</f>
        <v>0</v>
      </c>
      <c r="BB106">
        <f>SUMIF(DeadRaw!$B:$B,$A106,DeadRaw!BE:BE)</f>
        <v>0</v>
      </c>
      <c r="BC106">
        <f>SUMIF(DeadRaw!$B:$B,$A106,DeadRaw!BF:BF)</f>
        <v>0</v>
      </c>
      <c r="BD106">
        <f>SUMIF(DeadRaw!$B:$B,$A106,DeadRaw!BG:BG)</f>
        <v>0</v>
      </c>
      <c r="BE106">
        <f>SUMIF(DeadRaw!$B:$B,$A106,DeadRaw!BH:BH)</f>
        <v>0</v>
      </c>
      <c r="BF106">
        <f>SUMIF(DeadRaw!$B:$B,$A106,DeadRaw!BI:BI)</f>
        <v>0</v>
      </c>
      <c r="BG106">
        <f>SUMIF(DeadRaw!$B:$B,$A106,DeadRaw!BJ:BJ)</f>
        <v>0</v>
      </c>
      <c r="BH106">
        <f>SUMIF(DeadRaw!$B:$B,$A106,DeadRaw!BK:BK)</f>
        <v>0</v>
      </c>
      <c r="BI106">
        <f>SUMIF(DeadRaw!$B:$B,$A106,DeadRaw!BL:BL)</f>
        <v>0</v>
      </c>
      <c r="BJ106">
        <f>SUMIF(DeadRaw!$B:$B,$A106,DeadRaw!BM:BM)</f>
        <v>0</v>
      </c>
      <c r="BK106">
        <f>SUMIF(DeadRaw!$B:$B,$A106,DeadRaw!BN:BN)</f>
        <v>0</v>
      </c>
      <c r="BL106">
        <f>SUMIF(DeadRaw!$B:$B,$A106,DeadRaw!BO:BO)</f>
        <v>0</v>
      </c>
      <c r="BM106">
        <f>SUMIF(DeadRaw!$B:$B,$A106,DeadRaw!BP:BP)</f>
        <v>0</v>
      </c>
      <c r="BN106">
        <f>SUMIF(DeadRaw!$B:$B,$A106,DeadRaw!BQ:BQ)</f>
        <v>0</v>
      </c>
      <c r="BO106">
        <f>SUMIF(DeadRaw!$B:$B,$A106,DeadRaw!BR:BR)</f>
        <v>0</v>
      </c>
      <c r="BP106">
        <f>SUMIF(DeadRaw!$B:$B,$A106,DeadRaw!BS:BS)</f>
        <v>0</v>
      </c>
      <c r="BQ106">
        <f>SUMIF(DeadRaw!$B:$B,$A106,DeadRaw!BT:BT)</f>
        <v>0</v>
      </c>
      <c r="BR106">
        <f>SUMIF(DeadRaw!$B:$B,$A106,DeadRaw!BU:BU)</f>
        <v>0</v>
      </c>
      <c r="BS106">
        <f>SUMIF(DeadRaw!$B:$B,$A106,DeadRaw!BV:BV)</f>
        <v>0</v>
      </c>
      <c r="BT106">
        <f>SUMIF(DeadRaw!$B:$B,$A106,DeadRaw!BW:BW)</f>
        <v>0</v>
      </c>
    </row>
    <row r="107" spans="1:72" ht="15" thickBot="1" x14ac:dyDescent="0.35">
      <c r="A107" s="4" t="s">
        <v>348</v>
      </c>
      <c r="B107">
        <f>SUMIF(DeadRaw!$B:$B,$A107,DeadRaw!E:E)</f>
        <v>0</v>
      </c>
      <c r="C107">
        <f>SUMIF(DeadRaw!$B:$B,$A107,DeadRaw!F:F)</f>
        <v>0</v>
      </c>
      <c r="D107">
        <f>SUMIF(DeadRaw!$B:$B,$A107,DeadRaw!G:G)</f>
        <v>0</v>
      </c>
      <c r="E107">
        <f>SUMIF(DeadRaw!$B:$B,$A107,DeadRaw!H:H)</f>
        <v>0</v>
      </c>
      <c r="F107">
        <f>SUMIF(DeadRaw!$B:$B,$A107,DeadRaw!I:I)</f>
        <v>0</v>
      </c>
      <c r="G107">
        <f>SUMIF(DeadRaw!$B:$B,$A107,DeadRaw!J:J)</f>
        <v>0</v>
      </c>
      <c r="H107">
        <f>SUMIF(DeadRaw!$B:$B,$A107,DeadRaw!K:K)</f>
        <v>0</v>
      </c>
      <c r="I107">
        <f>SUMIF(DeadRaw!$B:$B,$A107,DeadRaw!L:L)</f>
        <v>0</v>
      </c>
      <c r="J107">
        <f>SUMIF(DeadRaw!$B:$B,$A107,DeadRaw!M:M)</f>
        <v>0</v>
      </c>
      <c r="K107">
        <f>SUMIF(DeadRaw!$B:$B,$A107,DeadRaw!N:N)</f>
        <v>0</v>
      </c>
      <c r="L107">
        <f>SUMIF(DeadRaw!$B:$B,$A107,DeadRaw!O:O)</f>
        <v>0</v>
      </c>
      <c r="M107">
        <f>SUMIF(DeadRaw!$B:$B,$A107,DeadRaw!P:P)</f>
        <v>0</v>
      </c>
      <c r="N107">
        <f>SUMIF(DeadRaw!$B:$B,$A107,DeadRaw!Q:Q)</f>
        <v>0</v>
      </c>
      <c r="O107">
        <f>SUMIF(DeadRaw!$B:$B,$A107,DeadRaw!R:R)</f>
        <v>0</v>
      </c>
      <c r="P107">
        <f>SUMIF(DeadRaw!$B:$B,$A107,DeadRaw!S:S)</f>
        <v>0</v>
      </c>
      <c r="Q107">
        <f>SUMIF(DeadRaw!$B:$B,$A107,DeadRaw!T:T)</f>
        <v>0</v>
      </c>
      <c r="R107">
        <f>SUMIF(DeadRaw!$B:$B,$A107,DeadRaw!U:U)</f>
        <v>0</v>
      </c>
      <c r="S107">
        <f>SUMIF(DeadRaw!$B:$B,$A107,DeadRaw!V:V)</f>
        <v>0</v>
      </c>
      <c r="T107">
        <f>SUMIF(DeadRaw!$B:$B,$A107,DeadRaw!W:W)</f>
        <v>0</v>
      </c>
      <c r="U107">
        <f>SUMIF(DeadRaw!$B:$B,$A107,DeadRaw!X:X)</f>
        <v>0</v>
      </c>
      <c r="V107">
        <f>SUMIF(DeadRaw!$B:$B,$A107,DeadRaw!Y:Y)</f>
        <v>0</v>
      </c>
      <c r="W107">
        <f>SUMIF(DeadRaw!$B:$B,$A107,DeadRaw!Z:Z)</f>
        <v>0</v>
      </c>
      <c r="X107">
        <f>SUMIF(DeadRaw!$B:$B,$A107,DeadRaw!AA:AA)</f>
        <v>0</v>
      </c>
      <c r="Y107">
        <f>SUMIF(DeadRaw!$B:$B,$A107,DeadRaw!AB:AB)</f>
        <v>0</v>
      </c>
      <c r="Z107">
        <f>SUMIF(DeadRaw!$B:$B,$A107,DeadRaw!AC:AC)</f>
        <v>0</v>
      </c>
      <c r="AA107">
        <f>SUMIF(DeadRaw!$B:$B,$A107,DeadRaw!AD:AD)</f>
        <v>0</v>
      </c>
      <c r="AB107">
        <f>SUMIF(DeadRaw!$B:$B,$A107,DeadRaw!AE:AE)</f>
        <v>0</v>
      </c>
      <c r="AC107">
        <f>SUMIF(DeadRaw!$B:$B,$A107,DeadRaw!AF:AF)</f>
        <v>0</v>
      </c>
      <c r="AD107">
        <f>SUMIF(DeadRaw!$B:$B,$A107,DeadRaw!AG:AG)</f>
        <v>0</v>
      </c>
      <c r="AE107">
        <f>SUMIF(DeadRaw!$B:$B,$A107,DeadRaw!AH:AH)</f>
        <v>0</v>
      </c>
      <c r="AF107">
        <f>SUMIF(DeadRaw!$B:$B,$A107,DeadRaw!AI:AI)</f>
        <v>0</v>
      </c>
      <c r="AG107">
        <f>SUMIF(DeadRaw!$B:$B,$A107,DeadRaw!AJ:AJ)</f>
        <v>0</v>
      </c>
      <c r="AH107">
        <f>SUMIF(DeadRaw!$B:$B,$A107,DeadRaw!AK:AK)</f>
        <v>0</v>
      </c>
      <c r="AI107">
        <f>SUMIF(DeadRaw!$B:$B,$A107,DeadRaw!AL:AL)</f>
        <v>0</v>
      </c>
      <c r="AJ107">
        <f>SUMIF(DeadRaw!$B:$B,$A107,DeadRaw!AM:AM)</f>
        <v>0</v>
      </c>
      <c r="AK107">
        <f>SUMIF(DeadRaw!$B:$B,$A107,DeadRaw!AN:AN)</f>
        <v>0</v>
      </c>
      <c r="AL107">
        <f>SUMIF(DeadRaw!$B:$B,$A107,DeadRaw!AO:AO)</f>
        <v>0</v>
      </c>
      <c r="AM107">
        <f>SUMIF(DeadRaw!$B:$B,$A107,DeadRaw!AP:AP)</f>
        <v>0</v>
      </c>
      <c r="AN107">
        <f>SUMIF(DeadRaw!$B:$B,$A107,DeadRaw!AQ:AQ)</f>
        <v>0</v>
      </c>
      <c r="AO107">
        <f>SUMIF(DeadRaw!$B:$B,$A107,DeadRaw!AR:AR)</f>
        <v>0</v>
      </c>
      <c r="AP107">
        <f>SUMIF(DeadRaw!$B:$B,$A107,DeadRaw!AS:AS)</f>
        <v>0</v>
      </c>
      <c r="AQ107">
        <f>SUMIF(DeadRaw!$B:$B,$A107,DeadRaw!AT:AT)</f>
        <v>0</v>
      </c>
      <c r="AR107">
        <f>SUMIF(DeadRaw!$B:$B,$A107,DeadRaw!AU:AU)</f>
        <v>0</v>
      </c>
      <c r="AS107">
        <f>SUMIF(DeadRaw!$B:$B,$A107,DeadRaw!AV:AV)</f>
        <v>0</v>
      </c>
      <c r="AT107">
        <f>SUMIF(DeadRaw!$B:$B,$A107,DeadRaw!AW:AW)</f>
        <v>0</v>
      </c>
      <c r="AU107">
        <f>SUMIF(DeadRaw!$B:$B,$A107,DeadRaw!AX:AX)</f>
        <v>0</v>
      </c>
      <c r="AV107">
        <f>SUMIF(DeadRaw!$B:$B,$A107,DeadRaw!AY:AY)</f>
        <v>0</v>
      </c>
      <c r="AW107">
        <f>SUMIF(DeadRaw!$B:$B,$A107,DeadRaw!AZ:AZ)</f>
        <v>0</v>
      </c>
      <c r="AX107">
        <f>SUMIF(DeadRaw!$B:$B,$A107,DeadRaw!BA:BA)</f>
        <v>0</v>
      </c>
      <c r="AY107">
        <f>SUMIF(DeadRaw!$B:$B,$A107,DeadRaw!BB:BB)</f>
        <v>0</v>
      </c>
      <c r="AZ107">
        <f>SUMIF(DeadRaw!$B:$B,$A107,DeadRaw!BC:BC)</f>
        <v>0</v>
      </c>
      <c r="BA107">
        <f>SUMIF(DeadRaw!$B:$B,$A107,DeadRaw!BD:BD)</f>
        <v>0</v>
      </c>
      <c r="BB107">
        <f>SUMIF(DeadRaw!$B:$B,$A107,DeadRaw!BE:BE)</f>
        <v>0</v>
      </c>
      <c r="BC107">
        <f>SUMIF(DeadRaw!$B:$B,$A107,DeadRaw!BF:BF)</f>
        <v>0</v>
      </c>
      <c r="BD107">
        <f>SUMIF(DeadRaw!$B:$B,$A107,DeadRaw!BG:BG)</f>
        <v>0</v>
      </c>
      <c r="BE107">
        <f>SUMIF(DeadRaw!$B:$B,$A107,DeadRaw!BH:BH)</f>
        <v>0</v>
      </c>
      <c r="BF107">
        <f>SUMIF(DeadRaw!$B:$B,$A107,DeadRaw!BI:BI)</f>
        <v>0</v>
      </c>
      <c r="BG107">
        <f>SUMIF(DeadRaw!$B:$B,$A107,DeadRaw!BJ:BJ)</f>
        <v>0</v>
      </c>
      <c r="BH107">
        <f>SUMIF(DeadRaw!$B:$B,$A107,DeadRaw!BK:BK)</f>
        <v>0</v>
      </c>
      <c r="BI107">
        <f>SUMIF(DeadRaw!$B:$B,$A107,DeadRaw!BL:BL)</f>
        <v>0</v>
      </c>
      <c r="BJ107">
        <f>SUMIF(DeadRaw!$B:$B,$A107,DeadRaw!BM:BM)</f>
        <v>0</v>
      </c>
      <c r="BK107">
        <f>SUMIF(DeadRaw!$B:$B,$A107,DeadRaw!BN:BN)</f>
        <v>0</v>
      </c>
      <c r="BL107">
        <f>SUMIF(DeadRaw!$B:$B,$A107,DeadRaw!BO:BO)</f>
        <v>0</v>
      </c>
      <c r="BM107">
        <f>SUMIF(DeadRaw!$B:$B,$A107,DeadRaw!BP:BP)</f>
        <v>0</v>
      </c>
      <c r="BN107">
        <f>SUMIF(DeadRaw!$B:$B,$A107,DeadRaw!BQ:BQ)</f>
        <v>0</v>
      </c>
      <c r="BO107">
        <f>SUMIF(DeadRaw!$B:$B,$A107,DeadRaw!BR:BR)</f>
        <v>0</v>
      </c>
      <c r="BP107">
        <f>SUMIF(DeadRaw!$B:$B,$A107,DeadRaw!BS:BS)</f>
        <v>0</v>
      </c>
      <c r="BQ107">
        <f>SUMIF(DeadRaw!$B:$B,$A107,DeadRaw!BT:BT)</f>
        <v>0</v>
      </c>
      <c r="BR107">
        <f>SUMIF(DeadRaw!$B:$B,$A107,DeadRaw!BU:BU)</f>
        <v>0</v>
      </c>
      <c r="BS107">
        <f>SUMIF(DeadRaw!$B:$B,$A107,DeadRaw!BV:BV)</f>
        <v>0</v>
      </c>
      <c r="BT107">
        <f>SUMIF(DeadRaw!$B:$B,$A107,DeadRaw!BW:BW)</f>
        <v>0</v>
      </c>
    </row>
    <row r="108" spans="1:72" ht="15" thickBot="1" x14ac:dyDescent="0.35">
      <c r="A108" s="4" t="s">
        <v>100</v>
      </c>
      <c r="B108">
        <f>SUMIF(DeadRaw!$B:$B,$A108,DeadRaw!E:E)</f>
        <v>0</v>
      </c>
      <c r="C108">
        <f>SUMIF(DeadRaw!$B:$B,$A108,DeadRaw!F:F)</f>
        <v>0</v>
      </c>
      <c r="D108">
        <f>SUMIF(DeadRaw!$B:$B,$A108,DeadRaw!G:G)</f>
        <v>0</v>
      </c>
      <c r="E108">
        <f>SUMIF(DeadRaw!$B:$B,$A108,DeadRaw!H:H)</f>
        <v>0</v>
      </c>
      <c r="F108">
        <f>SUMIF(DeadRaw!$B:$B,$A108,DeadRaw!I:I)</f>
        <v>0</v>
      </c>
      <c r="G108">
        <f>SUMIF(DeadRaw!$B:$B,$A108,DeadRaw!J:J)</f>
        <v>0</v>
      </c>
      <c r="H108">
        <f>SUMIF(DeadRaw!$B:$B,$A108,DeadRaw!K:K)</f>
        <v>0</v>
      </c>
      <c r="I108">
        <f>SUMIF(DeadRaw!$B:$B,$A108,DeadRaw!L:L)</f>
        <v>0</v>
      </c>
      <c r="J108">
        <f>SUMIF(DeadRaw!$B:$B,$A108,DeadRaw!M:M)</f>
        <v>0</v>
      </c>
      <c r="K108">
        <f>SUMIF(DeadRaw!$B:$B,$A108,DeadRaw!N:N)</f>
        <v>0</v>
      </c>
      <c r="L108">
        <f>SUMIF(DeadRaw!$B:$B,$A108,DeadRaw!O:O)</f>
        <v>0</v>
      </c>
      <c r="M108">
        <f>SUMIF(DeadRaw!$B:$B,$A108,DeadRaw!P:P)</f>
        <v>0</v>
      </c>
      <c r="N108">
        <f>SUMIF(DeadRaw!$B:$B,$A108,DeadRaw!Q:Q)</f>
        <v>0</v>
      </c>
      <c r="O108">
        <f>SUMIF(DeadRaw!$B:$B,$A108,DeadRaw!R:R)</f>
        <v>0</v>
      </c>
      <c r="P108">
        <f>SUMIF(DeadRaw!$B:$B,$A108,DeadRaw!S:S)</f>
        <v>0</v>
      </c>
      <c r="Q108">
        <f>SUMIF(DeadRaw!$B:$B,$A108,DeadRaw!T:T)</f>
        <v>0</v>
      </c>
      <c r="R108">
        <f>SUMIF(DeadRaw!$B:$B,$A108,DeadRaw!U:U)</f>
        <v>0</v>
      </c>
      <c r="S108">
        <f>SUMIF(DeadRaw!$B:$B,$A108,DeadRaw!V:V)</f>
        <v>0</v>
      </c>
      <c r="T108">
        <f>SUMIF(DeadRaw!$B:$B,$A108,DeadRaw!W:W)</f>
        <v>0</v>
      </c>
      <c r="U108">
        <f>SUMIF(DeadRaw!$B:$B,$A108,DeadRaw!X:X)</f>
        <v>0</v>
      </c>
      <c r="V108">
        <f>SUMIF(DeadRaw!$B:$B,$A108,DeadRaw!Y:Y)</f>
        <v>0</v>
      </c>
      <c r="W108">
        <f>SUMIF(DeadRaw!$B:$B,$A108,DeadRaw!Z:Z)</f>
        <v>0</v>
      </c>
      <c r="X108">
        <f>SUMIF(DeadRaw!$B:$B,$A108,DeadRaw!AA:AA)</f>
        <v>0</v>
      </c>
      <c r="Y108">
        <f>SUMIF(DeadRaw!$B:$B,$A108,DeadRaw!AB:AB)</f>
        <v>0</v>
      </c>
      <c r="Z108">
        <f>SUMIF(DeadRaw!$B:$B,$A108,DeadRaw!AC:AC)</f>
        <v>0</v>
      </c>
      <c r="AA108">
        <f>SUMIF(DeadRaw!$B:$B,$A108,DeadRaw!AD:AD)</f>
        <v>0</v>
      </c>
      <c r="AB108">
        <f>SUMIF(DeadRaw!$B:$B,$A108,DeadRaw!AE:AE)</f>
        <v>0</v>
      </c>
      <c r="AC108">
        <f>SUMIF(DeadRaw!$B:$B,$A108,DeadRaw!AF:AF)</f>
        <v>0</v>
      </c>
      <c r="AD108">
        <f>SUMIF(DeadRaw!$B:$B,$A108,DeadRaw!AG:AG)</f>
        <v>0</v>
      </c>
      <c r="AE108">
        <f>SUMIF(DeadRaw!$B:$B,$A108,DeadRaw!AH:AH)</f>
        <v>0</v>
      </c>
      <c r="AF108">
        <f>SUMIF(DeadRaw!$B:$B,$A108,DeadRaw!AI:AI)</f>
        <v>0</v>
      </c>
      <c r="AG108">
        <f>SUMIF(DeadRaw!$B:$B,$A108,DeadRaw!AJ:AJ)</f>
        <v>0</v>
      </c>
      <c r="AH108">
        <f>SUMIF(DeadRaw!$B:$B,$A108,DeadRaw!AK:AK)</f>
        <v>0</v>
      </c>
      <c r="AI108">
        <f>SUMIF(DeadRaw!$B:$B,$A108,DeadRaw!AL:AL)</f>
        <v>0</v>
      </c>
      <c r="AJ108">
        <f>SUMIF(DeadRaw!$B:$B,$A108,DeadRaw!AM:AM)</f>
        <v>0</v>
      </c>
      <c r="AK108">
        <f>SUMIF(DeadRaw!$B:$B,$A108,DeadRaw!AN:AN)</f>
        <v>0</v>
      </c>
      <c r="AL108">
        <f>SUMIF(DeadRaw!$B:$B,$A108,DeadRaw!AO:AO)</f>
        <v>0</v>
      </c>
      <c r="AM108">
        <f>SUMIF(DeadRaw!$B:$B,$A108,DeadRaw!AP:AP)</f>
        <v>0</v>
      </c>
      <c r="AN108">
        <f>SUMIF(DeadRaw!$B:$B,$A108,DeadRaw!AQ:AQ)</f>
        <v>0</v>
      </c>
      <c r="AO108">
        <f>SUMIF(DeadRaw!$B:$B,$A108,DeadRaw!AR:AR)</f>
        <v>0</v>
      </c>
      <c r="AP108">
        <f>SUMIF(DeadRaw!$B:$B,$A108,DeadRaw!AS:AS)</f>
        <v>0</v>
      </c>
      <c r="AQ108">
        <f>SUMIF(DeadRaw!$B:$B,$A108,DeadRaw!AT:AT)</f>
        <v>0</v>
      </c>
      <c r="AR108">
        <f>SUMIF(DeadRaw!$B:$B,$A108,DeadRaw!AU:AU)</f>
        <v>0</v>
      </c>
      <c r="AS108">
        <f>SUMIF(DeadRaw!$B:$B,$A108,DeadRaw!AV:AV)</f>
        <v>0</v>
      </c>
      <c r="AT108">
        <f>SUMIF(DeadRaw!$B:$B,$A108,DeadRaw!AW:AW)</f>
        <v>0</v>
      </c>
      <c r="AU108">
        <f>SUMIF(DeadRaw!$B:$B,$A108,DeadRaw!AX:AX)</f>
        <v>0</v>
      </c>
      <c r="AV108">
        <f>SUMIF(DeadRaw!$B:$B,$A108,DeadRaw!AY:AY)</f>
        <v>0</v>
      </c>
      <c r="AW108">
        <f>SUMIF(DeadRaw!$B:$B,$A108,DeadRaw!AZ:AZ)</f>
        <v>0</v>
      </c>
      <c r="AX108">
        <f>SUMIF(DeadRaw!$B:$B,$A108,DeadRaw!BA:BA)</f>
        <v>0</v>
      </c>
      <c r="AY108">
        <f>SUMIF(DeadRaw!$B:$B,$A108,DeadRaw!BB:BB)</f>
        <v>0</v>
      </c>
      <c r="AZ108">
        <f>SUMIF(DeadRaw!$B:$B,$A108,DeadRaw!BC:BC)</f>
        <v>0</v>
      </c>
      <c r="BA108">
        <f>SUMIF(DeadRaw!$B:$B,$A108,DeadRaw!BD:BD)</f>
        <v>0</v>
      </c>
      <c r="BB108">
        <f>SUMIF(DeadRaw!$B:$B,$A108,DeadRaw!BE:BE)</f>
        <v>0</v>
      </c>
      <c r="BC108">
        <f>SUMIF(DeadRaw!$B:$B,$A108,DeadRaw!BF:BF)</f>
        <v>0</v>
      </c>
      <c r="BD108">
        <f>SUMIF(DeadRaw!$B:$B,$A108,DeadRaw!BG:BG)</f>
        <v>0</v>
      </c>
      <c r="BE108">
        <f>SUMIF(DeadRaw!$B:$B,$A108,DeadRaw!BH:BH)</f>
        <v>0</v>
      </c>
      <c r="BF108">
        <f>SUMIF(DeadRaw!$B:$B,$A108,DeadRaw!BI:BI)</f>
        <v>0</v>
      </c>
      <c r="BG108">
        <f>SUMIF(DeadRaw!$B:$B,$A108,DeadRaw!BJ:BJ)</f>
        <v>0</v>
      </c>
      <c r="BH108">
        <f>SUMIF(DeadRaw!$B:$B,$A108,DeadRaw!BK:BK)</f>
        <v>0</v>
      </c>
      <c r="BI108">
        <f>SUMIF(DeadRaw!$B:$B,$A108,DeadRaw!BL:BL)</f>
        <v>0</v>
      </c>
      <c r="BJ108">
        <f>SUMIF(DeadRaw!$B:$B,$A108,DeadRaw!BM:BM)</f>
        <v>0</v>
      </c>
      <c r="BK108">
        <f>SUMIF(DeadRaw!$B:$B,$A108,DeadRaw!BN:BN)</f>
        <v>0</v>
      </c>
      <c r="BL108">
        <f>SUMIF(DeadRaw!$B:$B,$A108,DeadRaw!BO:BO)</f>
        <v>0</v>
      </c>
      <c r="BM108">
        <f>SUMIF(DeadRaw!$B:$B,$A108,DeadRaw!BP:BP)</f>
        <v>0</v>
      </c>
      <c r="BN108">
        <f>SUMIF(DeadRaw!$B:$B,$A108,DeadRaw!BQ:BQ)</f>
        <v>0</v>
      </c>
      <c r="BO108">
        <f>SUMIF(DeadRaw!$B:$B,$A108,DeadRaw!BR:BR)</f>
        <v>0</v>
      </c>
      <c r="BP108">
        <f>SUMIF(DeadRaw!$B:$B,$A108,DeadRaw!BS:BS)</f>
        <v>0</v>
      </c>
      <c r="BQ108">
        <f>SUMIF(DeadRaw!$B:$B,$A108,DeadRaw!BT:BT)</f>
        <v>0</v>
      </c>
      <c r="BR108">
        <f>SUMIF(DeadRaw!$B:$B,$A108,DeadRaw!BU:BU)</f>
        <v>0</v>
      </c>
      <c r="BS108">
        <f>SUMIF(DeadRaw!$B:$B,$A108,DeadRaw!BV:BV)</f>
        <v>0</v>
      </c>
      <c r="BT108">
        <f>SUMIF(DeadRaw!$B:$B,$A108,DeadRaw!BW:BW)</f>
        <v>0</v>
      </c>
    </row>
    <row r="109" spans="1:72" ht="15" thickBot="1" x14ac:dyDescent="0.35">
      <c r="A109" s="4" t="s">
        <v>96</v>
      </c>
      <c r="B109">
        <f>SUMIF(DeadRaw!$B:$B,$A109,DeadRaw!E:E)</f>
        <v>0</v>
      </c>
      <c r="C109">
        <f>SUMIF(DeadRaw!$B:$B,$A109,DeadRaw!F:F)</f>
        <v>0</v>
      </c>
      <c r="D109">
        <f>SUMIF(DeadRaw!$B:$B,$A109,DeadRaw!G:G)</f>
        <v>0</v>
      </c>
      <c r="E109">
        <f>SUMIF(DeadRaw!$B:$B,$A109,DeadRaw!H:H)</f>
        <v>0</v>
      </c>
      <c r="F109">
        <f>SUMIF(DeadRaw!$B:$B,$A109,DeadRaw!I:I)</f>
        <v>0</v>
      </c>
      <c r="G109">
        <f>SUMIF(DeadRaw!$B:$B,$A109,DeadRaw!J:J)</f>
        <v>0</v>
      </c>
      <c r="H109">
        <f>SUMIF(DeadRaw!$B:$B,$A109,DeadRaw!K:K)</f>
        <v>0</v>
      </c>
      <c r="I109">
        <f>SUMIF(DeadRaw!$B:$B,$A109,DeadRaw!L:L)</f>
        <v>0</v>
      </c>
      <c r="J109">
        <f>SUMIF(DeadRaw!$B:$B,$A109,DeadRaw!M:M)</f>
        <v>0</v>
      </c>
      <c r="K109">
        <f>SUMIF(DeadRaw!$B:$B,$A109,DeadRaw!N:N)</f>
        <v>0</v>
      </c>
      <c r="L109">
        <f>SUMIF(DeadRaw!$B:$B,$A109,DeadRaw!O:O)</f>
        <v>0</v>
      </c>
      <c r="M109">
        <f>SUMIF(DeadRaw!$B:$B,$A109,DeadRaw!P:P)</f>
        <v>0</v>
      </c>
      <c r="N109">
        <f>SUMIF(DeadRaw!$B:$B,$A109,DeadRaw!Q:Q)</f>
        <v>0</v>
      </c>
      <c r="O109">
        <f>SUMIF(DeadRaw!$B:$B,$A109,DeadRaw!R:R)</f>
        <v>0</v>
      </c>
      <c r="P109">
        <f>SUMIF(DeadRaw!$B:$B,$A109,DeadRaw!S:S)</f>
        <v>0</v>
      </c>
      <c r="Q109">
        <f>SUMIF(DeadRaw!$B:$B,$A109,DeadRaw!T:T)</f>
        <v>0</v>
      </c>
      <c r="R109">
        <f>SUMIF(DeadRaw!$B:$B,$A109,DeadRaw!U:U)</f>
        <v>0</v>
      </c>
      <c r="S109">
        <f>SUMIF(DeadRaw!$B:$B,$A109,DeadRaw!V:V)</f>
        <v>0</v>
      </c>
      <c r="T109">
        <f>SUMIF(DeadRaw!$B:$B,$A109,DeadRaw!W:W)</f>
        <v>0</v>
      </c>
      <c r="U109">
        <f>SUMIF(DeadRaw!$B:$B,$A109,DeadRaw!X:X)</f>
        <v>0</v>
      </c>
      <c r="V109">
        <f>SUMIF(DeadRaw!$B:$B,$A109,DeadRaw!Y:Y)</f>
        <v>0</v>
      </c>
      <c r="W109">
        <f>SUMIF(DeadRaw!$B:$B,$A109,DeadRaw!Z:Z)</f>
        <v>0</v>
      </c>
      <c r="X109">
        <f>SUMIF(DeadRaw!$B:$B,$A109,DeadRaw!AA:AA)</f>
        <v>0</v>
      </c>
      <c r="Y109">
        <f>SUMIF(DeadRaw!$B:$B,$A109,DeadRaw!AB:AB)</f>
        <v>0</v>
      </c>
      <c r="Z109">
        <f>SUMIF(DeadRaw!$B:$B,$A109,DeadRaw!AC:AC)</f>
        <v>0</v>
      </c>
      <c r="AA109">
        <f>SUMIF(DeadRaw!$B:$B,$A109,DeadRaw!AD:AD)</f>
        <v>0</v>
      </c>
      <c r="AB109">
        <f>SUMIF(DeadRaw!$B:$B,$A109,DeadRaw!AE:AE)</f>
        <v>0</v>
      </c>
      <c r="AC109">
        <f>SUMIF(DeadRaw!$B:$B,$A109,DeadRaw!AF:AF)</f>
        <v>0</v>
      </c>
      <c r="AD109">
        <f>SUMIF(DeadRaw!$B:$B,$A109,DeadRaw!AG:AG)</f>
        <v>0</v>
      </c>
      <c r="AE109">
        <f>SUMIF(DeadRaw!$B:$B,$A109,DeadRaw!AH:AH)</f>
        <v>0</v>
      </c>
      <c r="AF109">
        <f>SUMIF(DeadRaw!$B:$B,$A109,DeadRaw!AI:AI)</f>
        <v>0</v>
      </c>
      <c r="AG109">
        <f>SUMIF(DeadRaw!$B:$B,$A109,DeadRaw!AJ:AJ)</f>
        <v>0</v>
      </c>
      <c r="AH109">
        <f>SUMIF(DeadRaw!$B:$B,$A109,DeadRaw!AK:AK)</f>
        <v>0</v>
      </c>
      <c r="AI109">
        <f>SUMIF(DeadRaw!$B:$B,$A109,DeadRaw!AL:AL)</f>
        <v>0</v>
      </c>
      <c r="AJ109">
        <f>SUMIF(DeadRaw!$B:$B,$A109,DeadRaw!AM:AM)</f>
        <v>0</v>
      </c>
      <c r="AK109">
        <f>SUMIF(DeadRaw!$B:$B,$A109,DeadRaw!AN:AN)</f>
        <v>0</v>
      </c>
      <c r="AL109">
        <f>SUMIF(DeadRaw!$B:$B,$A109,DeadRaw!AO:AO)</f>
        <v>0</v>
      </c>
      <c r="AM109">
        <f>SUMIF(DeadRaw!$B:$B,$A109,DeadRaw!AP:AP)</f>
        <v>0</v>
      </c>
      <c r="AN109">
        <f>SUMIF(DeadRaw!$B:$B,$A109,DeadRaw!AQ:AQ)</f>
        <v>0</v>
      </c>
      <c r="AO109">
        <f>SUMIF(DeadRaw!$B:$B,$A109,DeadRaw!AR:AR)</f>
        <v>0</v>
      </c>
      <c r="AP109">
        <f>SUMIF(DeadRaw!$B:$B,$A109,DeadRaw!AS:AS)</f>
        <v>0</v>
      </c>
      <c r="AQ109">
        <f>SUMIF(DeadRaw!$B:$B,$A109,DeadRaw!AT:AT)</f>
        <v>0</v>
      </c>
      <c r="AR109">
        <f>SUMIF(DeadRaw!$B:$B,$A109,DeadRaw!AU:AU)</f>
        <v>0</v>
      </c>
      <c r="AS109">
        <f>SUMIF(DeadRaw!$B:$B,$A109,DeadRaw!AV:AV)</f>
        <v>0</v>
      </c>
      <c r="AT109">
        <f>SUMIF(DeadRaw!$B:$B,$A109,DeadRaw!AW:AW)</f>
        <v>0</v>
      </c>
      <c r="AU109">
        <f>SUMIF(DeadRaw!$B:$B,$A109,DeadRaw!AX:AX)</f>
        <v>0</v>
      </c>
      <c r="AV109">
        <f>SUMIF(DeadRaw!$B:$B,$A109,DeadRaw!AY:AY)</f>
        <v>0</v>
      </c>
      <c r="AW109">
        <f>SUMIF(DeadRaw!$B:$B,$A109,DeadRaw!AZ:AZ)</f>
        <v>0</v>
      </c>
      <c r="AX109">
        <f>SUMIF(DeadRaw!$B:$B,$A109,DeadRaw!BA:BA)</f>
        <v>0</v>
      </c>
      <c r="AY109">
        <f>SUMIF(DeadRaw!$B:$B,$A109,DeadRaw!BB:BB)</f>
        <v>0</v>
      </c>
      <c r="AZ109">
        <f>SUMIF(DeadRaw!$B:$B,$A109,DeadRaw!BC:BC)</f>
        <v>0</v>
      </c>
      <c r="BA109">
        <f>SUMIF(DeadRaw!$B:$B,$A109,DeadRaw!BD:BD)</f>
        <v>0</v>
      </c>
      <c r="BB109">
        <f>SUMIF(DeadRaw!$B:$B,$A109,DeadRaw!BE:BE)</f>
        <v>0</v>
      </c>
      <c r="BC109">
        <f>SUMIF(DeadRaw!$B:$B,$A109,DeadRaw!BF:BF)</f>
        <v>0</v>
      </c>
      <c r="BD109">
        <f>SUMIF(DeadRaw!$B:$B,$A109,DeadRaw!BG:BG)</f>
        <v>0</v>
      </c>
      <c r="BE109">
        <f>SUMIF(DeadRaw!$B:$B,$A109,DeadRaw!BH:BH)</f>
        <v>0</v>
      </c>
      <c r="BF109">
        <f>SUMIF(DeadRaw!$B:$B,$A109,DeadRaw!BI:BI)</f>
        <v>0</v>
      </c>
      <c r="BG109">
        <f>SUMIF(DeadRaw!$B:$B,$A109,DeadRaw!BJ:BJ)</f>
        <v>0</v>
      </c>
      <c r="BH109">
        <f>SUMIF(DeadRaw!$B:$B,$A109,DeadRaw!BK:BK)</f>
        <v>0</v>
      </c>
      <c r="BI109">
        <f>SUMIF(DeadRaw!$B:$B,$A109,DeadRaw!BL:BL)</f>
        <v>0</v>
      </c>
      <c r="BJ109">
        <f>SUMIF(DeadRaw!$B:$B,$A109,DeadRaw!BM:BM)</f>
        <v>0</v>
      </c>
      <c r="BK109">
        <f>SUMIF(DeadRaw!$B:$B,$A109,DeadRaw!BN:BN)</f>
        <v>0</v>
      </c>
      <c r="BL109">
        <f>SUMIF(DeadRaw!$B:$B,$A109,DeadRaw!BO:BO)</f>
        <v>0</v>
      </c>
      <c r="BM109">
        <f>SUMIF(DeadRaw!$B:$B,$A109,DeadRaw!BP:BP)</f>
        <v>0</v>
      </c>
      <c r="BN109">
        <f>SUMIF(DeadRaw!$B:$B,$A109,DeadRaw!BQ:BQ)</f>
        <v>0</v>
      </c>
      <c r="BO109">
        <f>SUMIF(DeadRaw!$B:$B,$A109,DeadRaw!BR:BR)</f>
        <v>0</v>
      </c>
      <c r="BP109">
        <f>SUMIF(DeadRaw!$B:$B,$A109,DeadRaw!BS:BS)</f>
        <v>0</v>
      </c>
      <c r="BQ109">
        <f>SUMIF(DeadRaw!$B:$B,$A109,DeadRaw!BT:BT)</f>
        <v>0</v>
      </c>
      <c r="BR109">
        <f>SUMIF(DeadRaw!$B:$B,$A109,DeadRaw!BU:BU)</f>
        <v>0</v>
      </c>
      <c r="BS109">
        <f>SUMIF(DeadRaw!$B:$B,$A109,DeadRaw!BV:BV)</f>
        <v>0</v>
      </c>
      <c r="BT109">
        <f>SUMIF(DeadRaw!$B:$B,$A109,DeadRaw!BW:BW)</f>
        <v>0</v>
      </c>
    </row>
    <row r="110" spans="1:72" ht="15" thickBot="1" x14ac:dyDescent="0.35">
      <c r="A110" s="4" t="s">
        <v>109</v>
      </c>
      <c r="B110">
        <f>SUMIF(DeadRaw!$B:$B,$A110,DeadRaw!E:E)</f>
        <v>0</v>
      </c>
      <c r="C110">
        <f>SUMIF(DeadRaw!$B:$B,$A110,DeadRaw!F:F)</f>
        <v>0</v>
      </c>
      <c r="D110">
        <f>SUMIF(DeadRaw!$B:$B,$A110,DeadRaw!G:G)</f>
        <v>0</v>
      </c>
      <c r="E110">
        <f>SUMIF(DeadRaw!$B:$B,$A110,DeadRaw!H:H)</f>
        <v>0</v>
      </c>
      <c r="F110">
        <f>SUMIF(DeadRaw!$B:$B,$A110,DeadRaw!I:I)</f>
        <v>0</v>
      </c>
      <c r="G110">
        <f>SUMIF(DeadRaw!$B:$B,$A110,DeadRaw!J:J)</f>
        <v>0</v>
      </c>
      <c r="H110">
        <f>SUMIF(DeadRaw!$B:$B,$A110,DeadRaw!K:K)</f>
        <v>0</v>
      </c>
      <c r="I110">
        <f>SUMIF(DeadRaw!$B:$B,$A110,DeadRaw!L:L)</f>
        <v>0</v>
      </c>
      <c r="J110">
        <f>SUMIF(DeadRaw!$B:$B,$A110,DeadRaw!M:M)</f>
        <v>0</v>
      </c>
      <c r="K110">
        <f>SUMIF(DeadRaw!$B:$B,$A110,DeadRaw!N:N)</f>
        <v>0</v>
      </c>
      <c r="L110">
        <f>SUMIF(DeadRaw!$B:$B,$A110,DeadRaw!O:O)</f>
        <v>0</v>
      </c>
      <c r="M110">
        <f>SUMIF(DeadRaw!$B:$B,$A110,DeadRaw!P:P)</f>
        <v>0</v>
      </c>
      <c r="N110">
        <f>SUMIF(DeadRaw!$B:$B,$A110,DeadRaw!Q:Q)</f>
        <v>0</v>
      </c>
      <c r="O110">
        <f>SUMIF(DeadRaw!$B:$B,$A110,DeadRaw!R:R)</f>
        <v>0</v>
      </c>
      <c r="P110">
        <f>SUMIF(DeadRaw!$B:$B,$A110,DeadRaw!S:S)</f>
        <v>0</v>
      </c>
      <c r="Q110">
        <f>SUMIF(DeadRaw!$B:$B,$A110,DeadRaw!T:T)</f>
        <v>0</v>
      </c>
      <c r="R110">
        <f>SUMIF(DeadRaw!$B:$B,$A110,DeadRaw!U:U)</f>
        <v>0</v>
      </c>
      <c r="S110">
        <f>SUMIF(DeadRaw!$B:$B,$A110,DeadRaw!V:V)</f>
        <v>0</v>
      </c>
      <c r="T110">
        <f>SUMIF(DeadRaw!$B:$B,$A110,DeadRaw!W:W)</f>
        <v>0</v>
      </c>
      <c r="U110">
        <f>SUMIF(DeadRaw!$B:$B,$A110,DeadRaw!X:X)</f>
        <v>0</v>
      </c>
      <c r="V110">
        <f>SUMIF(DeadRaw!$B:$B,$A110,DeadRaw!Y:Y)</f>
        <v>0</v>
      </c>
      <c r="W110">
        <f>SUMIF(DeadRaw!$B:$B,$A110,DeadRaw!Z:Z)</f>
        <v>0</v>
      </c>
      <c r="X110">
        <f>SUMIF(DeadRaw!$B:$B,$A110,DeadRaw!AA:AA)</f>
        <v>0</v>
      </c>
      <c r="Y110">
        <f>SUMIF(DeadRaw!$B:$B,$A110,DeadRaw!AB:AB)</f>
        <v>0</v>
      </c>
      <c r="Z110">
        <f>SUMIF(DeadRaw!$B:$B,$A110,DeadRaw!AC:AC)</f>
        <v>0</v>
      </c>
      <c r="AA110">
        <f>SUMIF(DeadRaw!$B:$B,$A110,DeadRaw!AD:AD)</f>
        <v>0</v>
      </c>
      <c r="AB110">
        <f>SUMIF(DeadRaw!$B:$B,$A110,DeadRaw!AE:AE)</f>
        <v>0</v>
      </c>
      <c r="AC110">
        <f>SUMIF(DeadRaw!$B:$B,$A110,DeadRaw!AF:AF)</f>
        <v>0</v>
      </c>
      <c r="AD110">
        <f>SUMIF(DeadRaw!$B:$B,$A110,DeadRaw!AG:AG)</f>
        <v>0</v>
      </c>
      <c r="AE110">
        <f>SUMIF(DeadRaw!$B:$B,$A110,DeadRaw!AH:AH)</f>
        <v>0</v>
      </c>
      <c r="AF110">
        <f>SUMIF(DeadRaw!$B:$B,$A110,DeadRaw!AI:AI)</f>
        <v>0</v>
      </c>
      <c r="AG110">
        <f>SUMIF(DeadRaw!$B:$B,$A110,DeadRaw!AJ:AJ)</f>
        <v>0</v>
      </c>
      <c r="AH110">
        <f>SUMIF(DeadRaw!$B:$B,$A110,DeadRaw!AK:AK)</f>
        <v>0</v>
      </c>
      <c r="AI110">
        <f>SUMIF(DeadRaw!$B:$B,$A110,DeadRaw!AL:AL)</f>
        <v>0</v>
      </c>
      <c r="AJ110">
        <f>SUMIF(DeadRaw!$B:$B,$A110,DeadRaw!AM:AM)</f>
        <v>0</v>
      </c>
      <c r="AK110">
        <f>SUMIF(DeadRaw!$B:$B,$A110,DeadRaw!AN:AN)</f>
        <v>0</v>
      </c>
      <c r="AL110">
        <f>SUMIF(DeadRaw!$B:$B,$A110,DeadRaw!AO:AO)</f>
        <v>0</v>
      </c>
      <c r="AM110">
        <f>SUMIF(DeadRaw!$B:$B,$A110,DeadRaw!AP:AP)</f>
        <v>0</v>
      </c>
      <c r="AN110">
        <f>SUMIF(DeadRaw!$B:$B,$A110,DeadRaw!AQ:AQ)</f>
        <v>0</v>
      </c>
      <c r="AO110">
        <f>SUMIF(DeadRaw!$B:$B,$A110,DeadRaw!AR:AR)</f>
        <v>0</v>
      </c>
      <c r="AP110">
        <f>SUMIF(DeadRaw!$B:$B,$A110,DeadRaw!AS:AS)</f>
        <v>0</v>
      </c>
      <c r="AQ110">
        <f>SUMIF(DeadRaw!$B:$B,$A110,DeadRaw!AT:AT)</f>
        <v>0</v>
      </c>
      <c r="AR110">
        <f>SUMIF(DeadRaw!$B:$B,$A110,DeadRaw!AU:AU)</f>
        <v>0</v>
      </c>
      <c r="AS110">
        <f>SUMIF(DeadRaw!$B:$B,$A110,DeadRaw!AV:AV)</f>
        <v>0</v>
      </c>
      <c r="AT110">
        <f>SUMIF(DeadRaw!$B:$B,$A110,DeadRaw!AW:AW)</f>
        <v>0</v>
      </c>
      <c r="AU110">
        <f>SUMIF(DeadRaw!$B:$B,$A110,DeadRaw!AX:AX)</f>
        <v>0</v>
      </c>
      <c r="AV110">
        <f>SUMIF(DeadRaw!$B:$B,$A110,DeadRaw!AY:AY)</f>
        <v>0</v>
      </c>
      <c r="AW110">
        <f>SUMIF(DeadRaw!$B:$B,$A110,DeadRaw!AZ:AZ)</f>
        <v>0</v>
      </c>
      <c r="AX110">
        <f>SUMIF(DeadRaw!$B:$B,$A110,DeadRaw!BA:BA)</f>
        <v>0</v>
      </c>
      <c r="AY110">
        <f>SUMIF(DeadRaw!$B:$B,$A110,DeadRaw!BB:BB)</f>
        <v>0</v>
      </c>
      <c r="AZ110">
        <f>SUMIF(DeadRaw!$B:$B,$A110,DeadRaw!BC:BC)</f>
        <v>0</v>
      </c>
      <c r="BA110">
        <f>SUMIF(DeadRaw!$B:$B,$A110,DeadRaw!BD:BD)</f>
        <v>0</v>
      </c>
      <c r="BB110">
        <f>SUMIF(DeadRaw!$B:$B,$A110,DeadRaw!BE:BE)</f>
        <v>0</v>
      </c>
      <c r="BC110">
        <f>SUMIF(DeadRaw!$B:$B,$A110,DeadRaw!BF:BF)</f>
        <v>0</v>
      </c>
      <c r="BD110">
        <f>SUMIF(DeadRaw!$B:$B,$A110,DeadRaw!BG:BG)</f>
        <v>0</v>
      </c>
      <c r="BE110">
        <f>SUMIF(DeadRaw!$B:$B,$A110,DeadRaw!BH:BH)</f>
        <v>0</v>
      </c>
      <c r="BF110">
        <f>SUMIF(DeadRaw!$B:$B,$A110,DeadRaw!BI:BI)</f>
        <v>0</v>
      </c>
      <c r="BG110">
        <f>SUMIF(DeadRaw!$B:$B,$A110,DeadRaw!BJ:BJ)</f>
        <v>0</v>
      </c>
      <c r="BH110">
        <f>SUMIF(DeadRaw!$B:$B,$A110,DeadRaw!BK:BK)</f>
        <v>0</v>
      </c>
      <c r="BI110">
        <f>SUMIF(DeadRaw!$B:$B,$A110,DeadRaw!BL:BL)</f>
        <v>0</v>
      </c>
      <c r="BJ110">
        <f>SUMIF(DeadRaw!$B:$B,$A110,DeadRaw!BM:BM)</f>
        <v>0</v>
      </c>
      <c r="BK110">
        <f>SUMIF(DeadRaw!$B:$B,$A110,DeadRaw!BN:BN)</f>
        <v>0</v>
      </c>
      <c r="BL110">
        <f>SUMIF(DeadRaw!$B:$B,$A110,DeadRaw!BO:BO)</f>
        <v>0</v>
      </c>
      <c r="BM110">
        <f>SUMIF(DeadRaw!$B:$B,$A110,DeadRaw!BP:BP)</f>
        <v>0</v>
      </c>
      <c r="BN110">
        <f>SUMIF(DeadRaw!$B:$B,$A110,DeadRaw!BQ:BQ)</f>
        <v>0</v>
      </c>
      <c r="BO110">
        <f>SUMIF(DeadRaw!$B:$B,$A110,DeadRaw!BR:BR)</f>
        <v>0</v>
      </c>
      <c r="BP110">
        <f>SUMIF(DeadRaw!$B:$B,$A110,DeadRaw!BS:BS)</f>
        <v>0</v>
      </c>
      <c r="BQ110">
        <f>SUMIF(DeadRaw!$B:$B,$A110,DeadRaw!BT:BT)</f>
        <v>0</v>
      </c>
      <c r="BR110">
        <f>SUMIF(DeadRaw!$B:$B,$A110,DeadRaw!BU:BU)</f>
        <v>0</v>
      </c>
      <c r="BS110">
        <f>SUMIF(DeadRaw!$B:$B,$A110,DeadRaw!BV:BV)</f>
        <v>0</v>
      </c>
      <c r="BT110">
        <f>SUMIF(DeadRaw!$B:$B,$A110,DeadRaw!BW:BW)</f>
        <v>0</v>
      </c>
    </row>
    <row r="111" spans="1:72" ht="15" thickBot="1" x14ac:dyDescent="0.35">
      <c r="A111" s="4" t="s">
        <v>424</v>
      </c>
      <c r="B111">
        <f>SUMIF(DeadRaw!$B:$B,$A111,DeadRaw!E:E)</f>
        <v>0</v>
      </c>
      <c r="C111">
        <f>SUMIF(DeadRaw!$B:$B,$A111,DeadRaw!F:F)</f>
        <v>0</v>
      </c>
      <c r="D111">
        <f>SUMIF(DeadRaw!$B:$B,$A111,DeadRaw!G:G)</f>
        <v>0</v>
      </c>
      <c r="E111">
        <f>SUMIF(DeadRaw!$B:$B,$A111,DeadRaw!H:H)</f>
        <v>0</v>
      </c>
      <c r="F111">
        <f>SUMIF(DeadRaw!$B:$B,$A111,DeadRaw!I:I)</f>
        <v>0</v>
      </c>
      <c r="G111">
        <f>SUMIF(DeadRaw!$B:$B,$A111,DeadRaw!J:J)</f>
        <v>0</v>
      </c>
      <c r="H111">
        <f>SUMIF(DeadRaw!$B:$B,$A111,DeadRaw!K:K)</f>
        <v>0</v>
      </c>
      <c r="I111">
        <f>SUMIF(DeadRaw!$B:$B,$A111,DeadRaw!L:L)</f>
        <v>0</v>
      </c>
      <c r="J111">
        <f>SUMIF(DeadRaw!$B:$B,$A111,DeadRaw!M:M)</f>
        <v>0</v>
      </c>
      <c r="K111">
        <f>SUMIF(DeadRaw!$B:$B,$A111,DeadRaw!N:N)</f>
        <v>0</v>
      </c>
      <c r="L111">
        <f>SUMIF(DeadRaw!$B:$B,$A111,DeadRaw!O:O)</f>
        <v>0</v>
      </c>
      <c r="M111">
        <f>SUMIF(DeadRaw!$B:$B,$A111,DeadRaw!P:P)</f>
        <v>0</v>
      </c>
      <c r="N111">
        <f>SUMIF(DeadRaw!$B:$B,$A111,DeadRaw!Q:Q)</f>
        <v>0</v>
      </c>
      <c r="O111">
        <f>SUMIF(DeadRaw!$B:$B,$A111,DeadRaw!R:R)</f>
        <v>0</v>
      </c>
      <c r="P111">
        <f>SUMIF(DeadRaw!$B:$B,$A111,DeadRaw!S:S)</f>
        <v>0</v>
      </c>
      <c r="Q111">
        <f>SUMIF(DeadRaw!$B:$B,$A111,DeadRaw!T:T)</f>
        <v>0</v>
      </c>
      <c r="R111">
        <f>SUMIF(DeadRaw!$B:$B,$A111,DeadRaw!U:U)</f>
        <v>0</v>
      </c>
      <c r="S111">
        <f>SUMIF(DeadRaw!$B:$B,$A111,DeadRaw!V:V)</f>
        <v>0</v>
      </c>
      <c r="T111">
        <f>SUMIF(DeadRaw!$B:$B,$A111,DeadRaw!W:W)</f>
        <v>0</v>
      </c>
      <c r="U111">
        <f>SUMIF(DeadRaw!$B:$B,$A111,DeadRaw!X:X)</f>
        <v>0</v>
      </c>
      <c r="V111">
        <f>SUMIF(DeadRaw!$B:$B,$A111,DeadRaw!Y:Y)</f>
        <v>0</v>
      </c>
      <c r="W111">
        <f>SUMIF(DeadRaw!$B:$B,$A111,DeadRaw!Z:Z)</f>
        <v>0</v>
      </c>
      <c r="X111">
        <f>SUMIF(DeadRaw!$B:$B,$A111,DeadRaw!AA:AA)</f>
        <v>0</v>
      </c>
      <c r="Y111">
        <f>SUMIF(DeadRaw!$B:$B,$A111,DeadRaw!AB:AB)</f>
        <v>0</v>
      </c>
      <c r="Z111">
        <f>SUMIF(DeadRaw!$B:$B,$A111,DeadRaw!AC:AC)</f>
        <v>0</v>
      </c>
      <c r="AA111">
        <f>SUMIF(DeadRaw!$B:$B,$A111,DeadRaw!AD:AD)</f>
        <v>0</v>
      </c>
      <c r="AB111">
        <f>SUMIF(DeadRaw!$B:$B,$A111,DeadRaw!AE:AE)</f>
        <v>0</v>
      </c>
      <c r="AC111">
        <f>SUMIF(DeadRaw!$B:$B,$A111,DeadRaw!AF:AF)</f>
        <v>0</v>
      </c>
      <c r="AD111">
        <f>SUMIF(DeadRaw!$B:$B,$A111,DeadRaw!AG:AG)</f>
        <v>0</v>
      </c>
      <c r="AE111">
        <f>SUMIF(DeadRaw!$B:$B,$A111,DeadRaw!AH:AH)</f>
        <v>0</v>
      </c>
      <c r="AF111">
        <f>SUMIF(DeadRaw!$B:$B,$A111,DeadRaw!AI:AI)</f>
        <v>0</v>
      </c>
      <c r="AG111">
        <f>SUMIF(DeadRaw!$B:$B,$A111,DeadRaw!AJ:AJ)</f>
        <v>0</v>
      </c>
      <c r="AH111">
        <f>SUMIF(DeadRaw!$B:$B,$A111,DeadRaw!AK:AK)</f>
        <v>0</v>
      </c>
      <c r="AI111">
        <f>SUMIF(DeadRaw!$B:$B,$A111,DeadRaw!AL:AL)</f>
        <v>0</v>
      </c>
      <c r="AJ111">
        <f>SUMIF(DeadRaw!$B:$B,$A111,DeadRaw!AM:AM)</f>
        <v>0</v>
      </c>
      <c r="AK111">
        <f>SUMIF(DeadRaw!$B:$B,$A111,DeadRaw!AN:AN)</f>
        <v>0</v>
      </c>
      <c r="AL111">
        <f>SUMIF(DeadRaw!$B:$B,$A111,DeadRaw!AO:AO)</f>
        <v>0</v>
      </c>
      <c r="AM111">
        <f>SUMIF(DeadRaw!$B:$B,$A111,DeadRaw!AP:AP)</f>
        <v>0</v>
      </c>
      <c r="AN111">
        <f>SUMIF(DeadRaw!$B:$B,$A111,DeadRaw!AQ:AQ)</f>
        <v>0</v>
      </c>
      <c r="AO111">
        <f>SUMIF(DeadRaw!$B:$B,$A111,DeadRaw!AR:AR)</f>
        <v>0</v>
      </c>
      <c r="AP111">
        <f>SUMIF(DeadRaw!$B:$B,$A111,DeadRaw!AS:AS)</f>
        <v>0</v>
      </c>
      <c r="AQ111">
        <f>SUMIF(DeadRaw!$B:$B,$A111,DeadRaw!AT:AT)</f>
        <v>0</v>
      </c>
      <c r="AR111">
        <f>SUMIF(DeadRaw!$B:$B,$A111,DeadRaw!AU:AU)</f>
        <v>0</v>
      </c>
      <c r="AS111">
        <f>SUMIF(DeadRaw!$B:$B,$A111,DeadRaw!AV:AV)</f>
        <v>0</v>
      </c>
      <c r="AT111">
        <f>SUMIF(DeadRaw!$B:$B,$A111,DeadRaw!AW:AW)</f>
        <v>0</v>
      </c>
      <c r="AU111">
        <f>SUMIF(DeadRaw!$B:$B,$A111,DeadRaw!AX:AX)</f>
        <v>0</v>
      </c>
      <c r="AV111">
        <f>SUMIF(DeadRaw!$B:$B,$A111,DeadRaw!AY:AY)</f>
        <v>0</v>
      </c>
      <c r="AW111">
        <f>SUMIF(DeadRaw!$B:$B,$A111,DeadRaw!AZ:AZ)</f>
        <v>0</v>
      </c>
      <c r="AX111">
        <f>SUMIF(DeadRaw!$B:$B,$A111,DeadRaw!BA:BA)</f>
        <v>0</v>
      </c>
      <c r="AY111">
        <f>SUMIF(DeadRaw!$B:$B,$A111,DeadRaw!BB:BB)</f>
        <v>0</v>
      </c>
      <c r="AZ111">
        <f>SUMIF(DeadRaw!$B:$B,$A111,DeadRaw!BC:BC)</f>
        <v>0</v>
      </c>
      <c r="BA111">
        <f>SUMIF(DeadRaw!$B:$B,$A111,DeadRaw!BD:BD)</f>
        <v>0</v>
      </c>
      <c r="BB111">
        <f>SUMIF(DeadRaw!$B:$B,$A111,DeadRaw!BE:BE)</f>
        <v>0</v>
      </c>
      <c r="BC111">
        <f>SUMIF(DeadRaw!$B:$B,$A111,DeadRaw!BF:BF)</f>
        <v>0</v>
      </c>
      <c r="BD111">
        <f>SUMIF(DeadRaw!$B:$B,$A111,DeadRaw!BG:BG)</f>
        <v>0</v>
      </c>
      <c r="BE111">
        <f>SUMIF(DeadRaw!$B:$B,$A111,DeadRaw!BH:BH)</f>
        <v>0</v>
      </c>
      <c r="BF111">
        <f>SUMIF(DeadRaw!$B:$B,$A111,DeadRaw!BI:BI)</f>
        <v>0</v>
      </c>
      <c r="BG111">
        <f>SUMIF(DeadRaw!$B:$B,$A111,DeadRaw!BJ:BJ)</f>
        <v>0</v>
      </c>
      <c r="BH111">
        <f>SUMIF(DeadRaw!$B:$B,$A111,DeadRaw!BK:BK)</f>
        <v>0</v>
      </c>
      <c r="BI111">
        <f>SUMIF(DeadRaw!$B:$B,$A111,DeadRaw!BL:BL)</f>
        <v>0</v>
      </c>
      <c r="BJ111">
        <f>SUMIF(DeadRaw!$B:$B,$A111,DeadRaw!BM:BM)</f>
        <v>0</v>
      </c>
      <c r="BK111">
        <f>SUMIF(DeadRaw!$B:$B,$A111,DeadRaw!BN:BN)</f>
        <v>0</v>
      </c>
      <c r="BL111">
        <f>SUMIF(DeadRaw!$B:$B,$A111,DeadRaw!BO:BO)</f>
        <v>0</v>
      </c>
      <c r="BM111">
        <f>SUMIF(DeadRaw!$B:$B,$A111,DeadRaw!BP:BP)</f>
        <v>0</v>
      </c>
      <c r="BN111">
        <f>SUMIF(DeadRaw!$B:$B,$A111,DeadRaw!BQ:BQ)</f>
        <v>0</v>
      </c>
      <c r="BO111">
        <f>SUMIF(DeadRaw!$B:$B,$A111,DeadRaw!BR:BR)</f>
        <v>0</v>
      </c>
      <c r="BP111">
        <f>SUMIF(DeadRaw!$B:$B,$A111,DeadRaw!BS:BS)</f>
        <v>0</v>
      </c>
      <c r="BQ111">
        <f>SUMIF(DeadRaw!$B:$B,$A111,DeadRaw!BT:BT)</f>
        <v>0</v>
      </c>
      <c r="BR111">
        <f>SUMIF(DeadRaw!$B:$B,$A111,DeadRaw!BU:BU)</f>
        <v>0</v>
      </c>
      <c r="BS111">
        <f>SUMIF(DeadRaw!$B:$B,$A111,DeadRaw!BV:BV)</f>
        <v>0</v>
      </c>
      <c r="BT111">
        <f>SUMIF(DeadRaw!$B:$B,$A111,DeadRaw!BW:BW)</f>
        <v>0</v>
      </c>
    </row>
    <row r="112" spans="1:72" ht="15" thickBot="1" x14ac:dyDescent="0.35">
      <c r="A112" s="4" t="s">
        <v>156</v>
      </c>
      <c r="B112">
        <f>SUMIF(DeadRaw!$B:$B,$A112,DeadRaw!E:E)</f>
        <v>0</v>
      </c>
      <c r="C112">
        <f>SUMIF(DeadRaw!$B:$B,$A112,DeadRaw!F:F)</f>
        <v>0</v>
      </c>
      <c r="D112">
        <f>SUMIF(DeadRaw!$B:$B,$A112,DeadRaw!G:G)</f>
        <v>0</v>
      </c>
      <c r="E112">
        <f>SUMIF(DeadRaw!$B:$B,$A112,DeadRaw!H:H)</f>
        <v>0</v>
      </c>
      <c r="F112">
        <f>SUMIF(DeadRaw!$B:$B,$A112,DeadRaw!I:I)</f>
        <v>0</v>
      </c>
      <c r="G112">
        <f>SUMIF(DeadRaw!$B:$B,$A112,DeadRaw!J:J)</f>
        <v>0</v>
      </c>
      <c r="H112">
        <f>SUMIF(DeadRaw!$B:$B,$A112,DeadRaw!K:K)</f>
        <v>0</v>
      </c>
      <c r="I112">
        <f>SUMIF(DeadRaw!$B:$B,$A112,DeadRaw!L:L)</f>
        <v>0</v>
      </c>
      <c r="J112">
        <f>SUMIF(DeadRaw!$B:$B,$A112,DeadRaw!M:M)</f>
        <v>0</v>
      </c>
      <c r="K112">
        <f>SUMIF(DeadRaw!$B:$B,$A112,DeadRaw!N:N)</f>
        <v>0</v>
      </c>
      <c r="L112">
        <f>SUMIF(DeadRaw!$B:$B,$A112,DeadRaw!O:O)</f>
        <v>0</v>
      </c>
      <c r="M112">
        <f>SUMIF(DeadRaw!$B:$B,$A112,DeadRaw!P:P)</f>
        <v>0</v>
      </c>
      <c r="N112">
        <f>SUMIF(DeadRaw!$B:$B,$A112,DeadRaw!Q:Q)</f>
        <v>0</v>
      </c>
      <c r="O112">
        <f>SUMIF(DeadRaw!$B:$B,$A112,DeadRaw!R:R)</f>
        <v>0</v>
      </c>
      <c r="P112">
        <f>SUMIF(DeadRaw!$B:$B,$A112,DeadRaw!S:S)</f>
        <v>0</v>
      </c>
      <c r="Q112">
        <f>SUMIF(DeadRaw!$B:$B,$A112,DeadRaw!T:T)</f>
        <v>0</v>
      </c>
      <c r="R112">
        <f>SUMIF(DeadRaw!$B:$B,$A112,DeadRaw!U:U)</f>
        <v>0</v>
      </c>
      <c r="S112">
        <f>SUMIF(DeadRaw!$B:$B,$A112,DeadRaw!V:V)</f>
        <v>0</v>
      </c>
      <c r="T112">
        <f>SUMIF(DeadRaw!$B:$B,$A112,DeadRaw!W:W)</f>
        <v>0</v>
      </c>
      <c r="U112">
        <f>SUMIF(DeadRaw!$B:$B,$A112,DeadRaw!X:X)</f>
        <v>0</v>
      </c>
      <c r="V112">
        <f>SUMIF(DeadRaw!$B:$B,$A112,DeadRaw!Y:Y)</f>
        <v>0</v>
      </c>
      <c r="W112">
        <f>SUMIF(DeadRaw!$B:$B,$A112,DeadRaw!Z:Z)</f>
        <v>0</v>
      </c>
      <c r="X112">
        <f>SUMIF(DeadRaw!$B:$B,$A112,DeadRaw!AA:AA)</f>
        <v>0</v>
      </c>
      <c r="Y112">
        <f>SUMIF(DeadRaw!$B:$B,$A112,DeadRaw!AB:AB)</f>
        <v>0</v>
      </c>
      <c r="Z112">
        <f>SUMIF(DeadRaw!$B:$B,$A112,DeadRaw!AC:AC)</f>
        <v>0</v>
      </c>
      <c r="AA112">
        <f>SUMIF(DeadRaw!$B:$B,$A112,DeadRaw!AD:AD)</f>
        <v>0</v>
      </c>
      <c r="AB112">
        <f>SUMIF(DeadRaw!$B:$B,$A112,DeadRaw!AE:AE)</f>
        <v>0</v>
      </c>
      <c r="AC112">
        <f>SUMIF(DeadRaw!$B:$B,$A112,DeadRaw!AF:AF)</f>
        <v>0</v>
      </c>
      <c r="AD112">
        <f>SUMIF(DeadRaw!$B:$B,$A112,DeadRaw!AG:AG)</f>
        <v>0</v>
      </c>
      <c r="AE112">
        <f>SUMIF(DeadRaw!$B:$B,$A112,DeadRaw!AH:AH)</f>
        <v>0</v>
      </c>
      <c r="AF112">
        <f>SUMIF(DeadRaw!$B:$B,$A112,DeadRaw!AI:AI)</f>
        <v>0</v>
      </c>
      <c r="AG112">
        <f>SUMIF(DeadRaw!$B:$B,$A112,DeadRaw!AJ:AJ)</f>
        <v>0</v>
      </c>
      <c r="AH112">
        <f>SUMIF(DeadRaw!$B:$B,$A112,DeadRaw!AK:AK)</f>
        <v>0</v>
      </c>
      <c r="AI112">
        <f>SUMIF(DeadRaw!$B:$B,$A112,DeadRaw!AL:AL)</f>
        <v>0</v>
      </c>
      <c r="AJ112">
        <f>SUMIF(DeadRaw!$B:$B,$A112,DeadRaw!AM:AM)</f>
        <v>0</v>
      </c>
      <c r="AK112">
        <f>SUMIF(DeadRaw!$B:$B,$A112,DeadRaw!AN:AN)</f>
        <v>0</v>
      </c>
      <c r="AL112">
        <f>SUMIF(DeadRaw!$B:$B,$A112,DeadRaw!AO:AO)</f>
        <v>0</v>
      </c>
      <c r="AM112">
        <f>SUMIF(DeadRaw!$B:$B,$A112,DeadRaw!AP:AP)</f>
        <v>0</v>
      </c>
      <c r="AN112">
        <f>SUMIF(DeadRaw!$B:$B,$A112,DeadRaw!AQ:AQ)</f>
        <v>0</v>
      </c>
      <c r="AO112">
        <f>SUMIF(DeadRaw!$B:$B,$A112,DeadRaw!AR:AR)</f>
        <v>0</v>
      </c>
      <c r="AP112">
        <f>SUMIF(DeadRaw!$B:$B,$A112,DeadRaw!AS:AS)</f>
        <v>0</v>
      </c>
      <c r="AQ112">
        <f>SUMIF(DeadRaw!$B:$B,$A112,DeadRaw!AT:AT)</f>
        <v>0</v>
      </c>
      <c r="AR112">
        <f>SUMIF(DeadRaw!$B:$B,$A112,DeadRaw!AU:AU)</f>
        <v>0</v>
      </c>
      <c r="AS112">
        <f>SUMIF(DeadRaw!$B:$B,$A112,DeadRaw!AV:AV)</f>
        <v>0</v>
      </c>
      <c r="AT112">
        <f>SUMIF(DeadRaw!$B:$B,$A112,DeadRaw!AW:AW)</f>
        <v>0</v>
      </c>
      <c r="AU112">
        <f>SUMIF(DeadRaw!$B:$B,$A112,DeadRaw!AX:AX)</f>
        <v>0</v>
      </c>
      <c r="AV112">
        <f>SUMIF(DeadRaw!$B:$B,$A112,DeadRaw!AY:AY)</f>
        <v>0</v>
      </c>
      <c r="AW112">
        <f>SUMIF(DeadRaw!$B:$B,$A112,DeadRaw!AZ:AZ)</f>
        <v>0</v>
      </c>
      <c r="AX112">
        <f>SUMIF(DeadRaw!$B:$B,$A112,DeadRaw!BA:BA)</f>
        <v>0</v>
      </c>
      <c r="AY112">
        <f>SUMIF(DeadRaw!$B:$B,$A112,DeadRaw!BB:BB)</f>
        <v>0</v>
      </c>
      <c r="AZ112">
        <f>SUMIF(DeadRaw!$B:$B,$A112,DeadRaw!BC:BC)</f>
        <v>0</v>
      </c>
      <c r="BA112">
        <f>SUMIF(DeadRaw!$B:$B,$A112,DeadRaw!BD:BD)</f>
        <v>0</v>
      </c>
      <c r="BB112">
        <f>SUMIF(DeadRaw!$B:$B,$A112,DeadRaw!BE:BE)</f>
        <v>0</v>
      </c>
      <c r="BC112">
        <f>SUMIF(DeadRaw!$B:$B,$A112,DeadRaw!BF:BF)</f>
        <v>0</v>
      </c>
      <c r="BD112">
        <f>SUMIF(DeadRaw!$B:$B,$A112,DeadRaw!BG:BG)</f>
        <v>0</v>
      </c>
      <c r="BE112">
        <f>SUMIF(DeadRaw!$B:$B,$A112,DeadRaw!BH:BH)</f>
        <v>0</v>
      </c>
      <c r="BF112">
        <f>SUMIF(DeadRaw!$B:$B,$A112,DeadRaw!BI:BI)</f>
        <v>0</v>
      </c>
      <c r="BG112">
        <f>SUMIF(DeadRaw!$B:$B,$A112,DeadRaw!BJ:BJ)</f>
        <v>0</v>
      </c>
      <c r="BH112">
        <f>SUMIF(DeadRaw!$B:$B,$A112,DeadRaw!BK:BK)</f>
        <v>0</v>
      </c>
      <c r="BI112">
        <f>SUMIF(DeadRaw!$B:$B,$A112,DeadRaw!BL:BL)</f>
        <v>0</v>
      </c>
      <c r="BJ112">
        <f>SUMIF(DeadRaw!$B:$B,$A112,DeadRaw!BM:BM)</f>
        <v>0</v>
      </c>
      <c r="BK112">
        <f>SUMIF(DeadRaw!$B:$B,$A112,DeadRaw!BN:BN)</f>
        <v>0</v>
      </c>
      <c r="BL112">
        <f>SUMIF(DeadRaw!$B:$B,$A112,DeadRaw!BO:BO)</f>
        <v>0</v>
      </c>
      <c r="BM112">
        <f>SUMIF(DeadRaw!$B:$B,$A112,DeadRaw!BP:BP)</f>
        <v>0</v>
      </c>
      <c r="BN112">
        <f>SUMIF(DeadRaw!$B:$B,$A112,DeadRaw!BQ:BQ)</f>
        <v>0</v>
      </c>
      <c r="BO112">
        <f>SUMIF(DeadRaw!$B:$B,$A112,DeadRaw!BR:BR)</f>
        <v>0</v>
      </c>
      <c r="BP112">
        <f>SUMIF(DeadRaw!$B:$B,$A112,DeadRaw!BS:BS)</f>
        <v>0</v>
      </c>
      <c r="BQ112">
        <f>SUMIF(DeadRaw!$B:$B,$A112,DeadRaw!BT:BT)</f>
        <v>0</v>
      </c>
      <c r="BR112">
        <f>SUMIF(DeadRaw!$B:$B,$A112,DeadRaw!BU:BU)</f>
        <v>0</v>
      </c>
      <c r="BS112">
        <f>SUMIF(DeadRaw!$B:$B,$A112,DeadRaw!BV:BV)</f>
        <v>0</v>
      </c>
      <c r="BT112">
        <f>SUMIF(DeadRaw!$B:$B,$A112,DeadRaw!BW:BW)</f>
        <v>0</v>
      </c>
    </row>
    <row r="113" spans="1:72" ht="15" thickBot="1" x14ac:dyDescent="0.35">
      <c r="A113" s="4" t="s">
        <v>415</v>
      </c>
      <c r="B113">
        <f>SUMIF(DeadRaw!$B:$B,$A113,DeadRaw!E:E)</f>
        <v>0</v>
      </c>
      <c r="C113">
        <f>SUMIF(DeadRaw!$B:$B,$A113,DeadRaw!F:F)</f>
        <v>0</v>
      </c>
      <c r="D113">
        <f>SUMIF(DeadRaw!$B:$B,$A113,DeadRaw!G:G)</f>
        <v>0</v>
      </c>
      <c r="E113">
        <f>SUMIF(DeadRaw!$B:$B,$A113,DeadRaw!H:H)</f>
        <v>0</v>
      </c>
      <c r="F113">
        <f>SUMIF(DeadRaw!$B:$B,$A113,DeadRaw!I:I)</f>
        <v>0</v>
      </c>
      <c r="G113">
        <f>SUMIF(DeadRaw!$B:$B,$A113,DeadRaw!J:J)</f>
        <v>0</v>
      </c>
      <c r="H113">
        <f>SUMIF(DeadRaw!$B:$B,$A113,DeadRaw!K:K)</f>
        <v>0</v>
      </c>
      <c r="I113">
        <f>SUMIF(DeadRaw!$B:$B,$A113,DeadRaw!L:L)</f>
        <v>0</v>
      </c>
      <c r="J113">
        <f>SUMIF(DeadRaw!$B:$B,$A113,DeadRaw!M:M)</f>
        <v>0</v>
      </c>
      <c r="K113">
        <f>SUMIF(DeadRaw!$B:$B,$A113,DeadRaw!N:N)</f>
        <v>0</v>
      </c>
      <c r="L113">
        <f>SUMIF(DeadRaw!$B:$B,$A113,DeadRaw!O:O)</f>
        <v>0</v>
      </c>
      <c r="M113">
        <f>SUMIF(DeadRaw!$B:$B,$A113,DeadRaw!P:P)</f>
        <v>0</v>
      </c>
      <c r="N113">
        <f>SUMIF(DeadRaw!$B:$B,$A113,DeadRaw!Q:Q)</f>
        <v>0</v>
      </c>
      <c r="O113">
        <f>SUMIF(DeadRaw!$B:$B,$A113,DeadRaw!R:R)</f>
        <v>0</v>
      </c>
      <c r="P113">
        <f>SUMIF(DeadRaw!$B:$B,$A113,DeadRaw!S:S)</f>
        <v>0</v>
      </c>
      <c r="Q113">
        <f>SUMIF(DeadRaw!$B:$B,$A113,DeadRaw!T:T)</f>
        <v>0</v>
      </c>
      <c r="R113">
        <f>SUMIF(DeadRaw!$B:$B,$A113,DeadRaw!U:U)</f>
        <v>0</v>
      </c>
      <c r="S113">
        <f>SUMIF(DeadRaw!$B:$B,$A113,DeadRaw!V:V)</f>
        <v>0</v>
      </c>
      <c r="T113">
        <f>SUMIF(DeadRaw!$B:$B,$A113,DeadRaw!W:W)</f>
        <v>0</v>
      </c>
      <c r="U113">
        <f>SUMIF(DeadRaw!$B:$B,$A113,DeadRaw!X:X)</f>
        <v>0</v>
      </c>
      <c r="V113">
        <f>SUMIF(DeadRaw!$B:$B,$A113,DeadRaw!Y:Y)</f>
        <v>0</v>
      </c>
      <c r="W113">
        <f>SUMIF(DeadRaw!$B:$B,$A113,DeadRaw!Z:Z)</f>
        <v>0</v>
      </c>
      <c r="X113">
        <f>SUMIF(DeadRaw!$B:$B,$A113,DeadRaw!AA:AA)</f>
        <v>0</v>
      </c>
      <c r="Y113">
        <f>SUMIF(DeadRaw!$B:$B,$A113,DeadRaw!AB:AB)</f>
        <v>0</v>
      </c>
      <c r="Z113">
        <f>SUMIF(DeadRaw!$B:$B,$A113,DeadRaw!AC:AC)</f>
        <v>0</v>
      </c>
      <c r="AA113">
        <f>SUMIF(DeadRaw!$B:$B,$A113,DeadRaw!AD:AD)</f>
        <v>0</v>
      </c>
      <c r="AB113">
        <f>SUMIF(DeadRaw!$B:$B,$A113,DeadRaw!AE:AE)</f>
        <v>0</v>
      </c>
      <c r="AC113">
        <f>SUMIF(DeadRaw!$B:$B,$A113,DeadRaw!AF:AF)</f>
        <v>0</v>
      </c>
      <c r="AD113">
        <f>SUMIF(DeadRaw!$B:$B,$A113,DeadRaw!AG:AG)</f>
        <v>0</v>
      </c>
      <c r="AE113">
        <f>SUMIF(DeadRaw!$B:$B,$A113,DeadRaw!AH:AH)</f>
        <v>0</v>
      </c>
      <c r="AF113">
        <f>SUMIF(DeadRaw!$B:$B,$A113,DeadRaw!AI:AI)</f>
        <v>0</v>
      </c>
      <c r="AG113">
        <f>SUMIF(DeadRaw!$B:$B,$A113,DeadRaw!AJ:AJ)</f>
        <v>0</v>
      </c>
      <c r="AH113">
        <f>SUMIF(DeadRaw!$B:$B,$A113,DeadRaw!AK:AK)</f>
        <v>0</v>
      </c>
      <c r="AI113">
        <f>SUMIF(DeadRaw!$B:$B,$A113,DeadRaw!AL:AL)</f>
        <v>0</v>
      </c>
      <c r="AJ113">
        <f>SUMIF(DeadRaw!$B:$B,$A113,DeadRaw!AM:AM)</f>
        <v>0</v>
      </c>
      <c r="AK113">
        <f>SUMIF(DeadRaw!$B:$B,$A113,DeadRaw!AN:AN)</f>
        <v>0</v>
      </c>
      <c r="AL113">
        <f>SUMIF(DeadRaw!$B:$B,$A113,DeadRaw!AO:AO)</f>
        <v>0</v>
      </c>
      <c r="AM113">
        <f>SUMIF(DeadRaw!$B:$B,$A113,DeadRaw!AP:AP)</f>
        <v>0</v>
      </c>
      <c r="AN113">
        <f>SUMIF(DeadRaw!$B:$B,$A113,DeadRaw!AQ:AQ)</f>
        <v>0</v>
      </c>
      <c r="AO113">
        <f>SUMIF(DeadRaw!$B:$B,$A113,DeadRaw!AR:AR)</f>
        <v>0</v>
      </c>
      <c r="AP113">
        <f>SUMIF(DeadRaw!$B:$B,$A113,DeadRaw!AS:AS)</f>
        <v>0</v>
      </c>
      <c r="AQ113">
        <f>SUMIF(DeadRaw!$B:$B,$A113,DeadRaw!AT:AT)</f>
        <v>0</v>
      </c>
      <c r="AR113">
        <f>SUMIF(DeadRaw!$B:$B,$A113,DeadRaw!AU:AU)</f>
        <v>0</v>
      </c>
      <c r="AS113">
        <f>SUMIF(DeadRaw!$B:$B,$A113,DeadRaw!AV:AV)</f>
        <v>0</v>
      </c>
      <c r="AT113">
        <f>SUMIF(DeadRaw!$B:$B,$A113,DeadRaw!AW:AW)</f>
        <v>0</v>
      </c>
      <c r="AU113">
        <f>SUMIF(DeadRaw!$B:$B,$A113,DeadRaw!AX:AX)</f>
        <v>0</v>
      </c>
      <c r="AV113">
        <f>SUMIF(DeadRaw!$B:$B,$A113,DeadRaw!AY:AY)</f>
        <v>0</v>
      </c>
      <c r="AW113">
        <f>SUMIF(DeadRaw!$B:$B,$A113,DeadRaw!AZ:AZ)</f>
        <v>0</v>
      </c>
      <c r="AX113">
        <f>SUMIF(DeadRaw!$B:$B,$A113,DeadRaw!BA:BA)</f>
        <v>0</v>
      </c>
      <c r="AY113">
        <f>SUMIF(DeadRaw!$B:$B,$A113,DeadRaw!BB:BB)</f>
        <v>0</v>
      </c>
      <c r="AZ113">
        <f>SUMIF(DeadRaw!$B:$B,$A113,DeadRaw!BC:BC)</f>
        <v>0</v>
      </c>
      <c r="BA113">
        <f>SUMIF(DeadRaw!$B:$B,$A113,DeadRaw!BD:BD)</f>
        <v>0</v>
      </c>
      <c r="BB113">
        <f>SUMIF(DeadRaw!$B:$B,$A113,DeadRaw!BE:BE)</f>
        <v>0</v>
      </c>
      <c r="BC113">
        <f>SUMIF(DeadRaw!$B:$B,$A113,DeadRaw!BF:BF)</f>
        <v>0</v>
      </c>
      <c r="BD113">
        <f>SUMIF(DeadRaw!$B:$B,$A113,DeadRaw!BG:BG)</f>
        <v>0</v>
      </c>
      <c r="BE113">
        <f>SUMIF(DeadRaw!$B:$B,$A113,DeadRaw!BH:BH)</f>
        <v>0</v>
      </c>
      <c r="BF113">
        <f>SUMIF(DeadRaw!$B:$B,$A113,DeadRaw!BI:BI)</f>
        <v>0</v>
      </c>
      <c r="BG113">
        <f>SUMIF(DeadRaw!$B:$B,$A113,DeadRaw!BJ:BJ)</f>
        <v>0</v>
      </c>
      <c r="BH113">
        <f>SUMIF(DeadRaw!$B:$B,$A113,DeadRaw!BK:BK)</f>
        <v>0</v>
      </c>
      <c r="BI113">
        <f>SUMIF(DeadRaw!$B:$B,$A113,DeadRaw!BL:BL)</f>
        <v>0</v>
      </c>
      <c r="BJ113">
        <f>SUMIF(DeadRaw!$B:$B,$A113,DeadRaw!BM:BM)</f>
        <v>0</v>
      </c>
      <c r="BK113">
        <f>SUMIF(DeadRaw!$B:$B,$A113,DeadRaw!BN:BN)</f>
        <v>0</v>
      </c>
      <c r="BL113">
        <f>SUMIF(DeadRaw!$B:$B,$A113,DeadRaw!BO:BO)</f>
        <v>0</v>
      </c>
      <c r="BM113">
        <f>SUMIF(DeadRaw!$B:$B,$A113,DeadRaw!BP:BP)</f>
        <v>0</v>
      </c>
      <c r="BN113">
        <f>SUMIF(DeadRaw!$B:$B,$A113,DeadRaw!BQ:BQ)</f>
        <v>0</v>
      </c>
      <c r="BO113">
        <f>SUMIF(DeadRaw!$B:$B,$A113,DeadRaw!BR:BR)</f>
        <v>0</v>
      </c>
      <c r="BP113">
        <f>SUMIF(DeadRaw!$B:$B,$A113,DeadRaw!BS:BS)</f>
        <v>0</v>
      </c>
      <c r="BQ113">
        <f>SUMIF(DeadRaw!$B:$B,$A113,DeadRaw!BT:BT)</f>
        <v>0</v>
      </c>
      <c r="BR113">
        <f>SUMIF(DeadRaw!$B:$B,$A113,DeadRaw!BU:BU)</f>
        <v>0</v>
      </c>
      <c r="BS113">
        <f>SUMIF(DeadRaw!$B:$B,$A113,DeadRaw!BV:BV)</f>
        <v>0</v>
      </c>
      <c r="BT113">
        <f>SUMIF(DeadRaw!$B:$B,$A113,DeadRaw!BW:BW)</f>
        <v>0</v>
      </c>
    </row>
    <row r="114" spans="1:72" ht="15" thickBot="1" x14ac:dyDescent="0.35">
      <c r="A114" s="3" t="s">
        <v>352</v>
      </c>
      <c r="B114">
        <f>SUMIF(DeadRaw!$B:$B,$A114,DeadRaw!E:E)</f>
        <v>0</v>
      </c>
      <c r="C114">
        <f>SUMIF(DeadRaw!$B:$B,$A114,DeadRaw!F:F)</f>
        <v>0</v>
      </c>
      <c r="D114">
        <f>SUMIF(DeadRaw!$B:$B,$A114,DeadRaw!G:G)</f>
        <v>0</v>
      </c>
      <c r="E114">
        <f>SUMIF(DeadRaw!$B:$B,$A114,DeadRaw!H:H)</f>
        <v>0</v>
      </c>
      <c r="F114">
        <f>SUMIF(DeadRaw!$B:$B,$A114,DeadRaw!I:I)</f>
        <v>0</v>
      </c>
      <c r="G114">
        <f>SUMIF(DeadRaw!$B:$B,$A114,DeadRaw!J:J)</f>
        <v>0</v>
      </c>
      <c r="H114">
        <f>SUMIF(DeadRaw!$B:$B,$A114,DeadRaw!K:K)</f>
        <v>0</v>
      </c>
      <c r="I114">
        <f>SUMIF(DeadRaw!$B:$B,$A114,DeadRaw!L:L)</f>
        <v>0</v>
      </c>
      <c r="J114">
        <f>SUMIF(DeadRaw!$B:$B,$A114,DeadRaw!M:M)</f>
        <v>0</v>
      </c>
      <c r="K114">
        <f>SUMIF(DeadRaw!$B:$B,$A114,DeadRaw!N:N)</f>
        <v>0</v>
      </c>
      <c r="L114">
        <f>SUMIF(DeadRaw!$B:$B,$A114,DeadRaw!O:O)</f>
        <v>0</v>
      </c>
      <c r="M114">
        <f>SUMIF(DeadRaw!$B:$B,$A114,DeadRaw!P:P)</f>
        <v>0</v>
      </c>
      <c r="N114">
        <f>SUMIF(DeadRaw!$B:$B,$A114,DeadRaw!Q:Q)</f>
        <v>0</v>
      </c>
      <c r="O114">
        <f>SUMIF(DeadRaw!$B:$B,$A114,DeadRaw!R:R)</f>
        <v>0</v>
      </c>
      <c r="P114">
        <f>SUMIF(DeadRaw!$B:$B,$A114,DeadRaw!S:S)</f>
        <v>0</v>
      </c>
      <c r="Q114">
        <f>SUMIF(DeadRaw!$B:$B,$A114,DeadRaw!T:T)</f>
        <v>0</v>
      </c>
      <c r="R114">
        <f>SUMIF(DeadRaw!$B:$B,$A114,DeadRaw!U:U)</f>
        <v>0</v>
      </c>
      <c r="S114">
        <f>SUMIF(DeadRaw!$B:$B,$A114,DeadRaw!V:V)</f>
        <v>0</v>
      </c>
      <c r="T114">
        <f>SUMIF(DeadRaw!$B:$B,$A114,DeadRaw!W:W)</f>
        <v>0</v>
      </c>
      <c r="U114">
        <f>SUMIF(DeadRaw!$B:$B,$A114,DeadRaw!X:X)</f>
        <v>0</v>
      </c>
      <c r="V114">
        <f>SUMIF(DeadRaw!$B:$B,$A114,DeadRaw!Y:Y)</f>
        <v>0</v>
      </c>
      <c r="W114">
        <f>SUMIF(DeadRaw!$B:$B,$A114,DeadRaw!Z:Z)</f>
        <v>0</v>
      </c>
      <c r="X114">
        <f>SUMIF(DeadRaw!$B:$B,$A114,DeadRaw!AA:AA)</f>
        <v>0</v>
      </c>
      <c r="Y114">
        <f>SUMIF(DeadRaw!$B:$B,$A114,DeadRaw!AB:AB)</f>
        <v>0</v>
      </c>
      <c r="Z114">
        <f>SUMIF(DeadRaw!$B:$B,$A114,DeadRaw!AC:AC)</f>
        <v>0</v>
      </c>
      <c r="AA114">
        <f>SUMIF(DeadRaw!$B:$B,$A114,DeadRaw!AD:AD)</f>
        <v>0</v>
      </c>
      <c r="AB114">
        <f>SUMIF(DeadRaw!$B:$B,$A114,DeadRaw!AE:AE)</f>
        <v>0</v>
      </c>
      <c r="AC114">
        <f>SUMIF(DeadRaw!$B:$B,$A114,DeadRaw!AF:AF)</f>
        <v>0</v>
      </c>
      <c r="AD114">
        <f>SUMIF(DeadRaw!$B:$B,$A114,DeadRaw!AG:AG)</f>
        <v>0</v>
      </c>
      <c r="AE114">
        <f>SUMIF(DeadRaw!$B:$B,$A114,DeadRaw!AH:AH)</f>
        <v>0</v>
      </c>
      <c r="AF114">
        <f>SUMIF(DeadRaw!$B:$B,$A114,DeadRaw!AI:AI)</f>
        <v>0</v>
      </c>
      <c r="AG114">
        <f>SUMIF(DeadRaw!$B:$B,$A114,DeadRaw!AJ:AJ)</f>
        <v>0</v>
      </c>
      <c r="AH114">
        <f>SUMIF(DeadRaw!$B:$B,$A114,DeadRaw!AK:AK)</f>
        <v>0</v>
      </c>
      <c r="AI114">
        <f>SUMIF(DeadRaw!$B:$B,$A114,DeadRaw!AL:AL)</f>
        <v>0</v>
      </c>
      <c r="AJ114">
        <f>SUMIF(DeadRaw!$B:$B,$A114,DeadRaw!AM:AM)</f>
        <v>0</v>
      </c>
      <c r="AK114">
        <f>SUMIF(DeadRaw!$B:$B,$A114,DeadRaw!AN:AN)</f>
        <v>0</v>
      </c>
      <c r="AL114">
        <f>SUMIF(DeadRaw!$B:$B,$A114,DeadRaw!AO:AO)</f>
        <v>0</v>
      </c>
      <c r="AM114">
        <f>SUMIF(DeadRaw!$B:$B,$A114,DeadRaw!AP:AP)</f>
        <v>0</v>
      </c>
      <c r="AN114">
        <f>SUMIF(DeadRaw!$B:$B,$A114,DeadRaw!AQ:AQ)</f>
        <v>0</v>
      </c>
      <c r="AO114">
        <f>SUMIF(DeadRaw!$B:$B,$A114,DeadRaw!AR:AR)</f>
        <v>0</v>
      </c>
      <c r="AP114">
        <f>SUMIF(DeadRaw!$B:$B,$A114,DeadRaw!AS:AS)</f>
        <v>0</v>
      </c>
      <c r="AQ114">
        <f>SUMIF(DeadRaw!$B:$B,$A114,DeadRaw!AT:AT)</f>
        <v>0</v>
      </c>
      <c r="AR114">
        <f>SUMIF(DeadRaw!$B:$B,$A114,DeadRaw!AU:AU)</f>
        <v>0</v>
      </c>
      <c r="AS114">
        <f>SUMIF(DeadRaw!$B:$B,$A114,DeadRaw!AV:AV)</f>
        <v>0</v>
      </c>
      <c r="AT114">
        <f>SUMIF(DeadRaw!$B:$B,$A114,DeadRaw!AW:AW)</f>
        <v>0</v>
      </c>
      <c r="AU114">
        <f>SUMIF(DeadRaw!$B:$B,$A114,DeadRaw!AX:AX)</f>
        <v>0</v>
      </c>
      <c r="AV114">
        <f>SUMIF(DeadRaw!$B:$B,$A114,DeadRaw!AY:AY)</f>
        <v>0</v>
      </c>
      <c r="AW114">
        <f>SUMIF(DeadRaw!$B:$B,$A114,DeadRaw!AZ:AZ)</f>
        <v>0</v>
      </c>
      <c r="AX114">
        <f>SUMIF(DeadRaw!$B:$B,$A114,DeadRaw!BA:BA)</f>
        <v>0</v>
      </c>
      <c r="AY114">
        <f>SUMIF(DeadRaw!$B:$B,$A114,DeadRaw!BB:BB)</f>
        <v>0</v>
      </c>
      <c r="AZ114">
        <f>SUMIF(DeadRaw!$B:$B,$A114,DeadRaw!BC:BC)</f>
        <v>0</v>
      </c>
      <c r="BA114">
        <f>SUMIF(DeadRaw!$B:$B,$A114,DeadRaw!BD:BD)</f>
        <v>0</v>
      </c>
      <c r="BB114">
        <f>SUMIF(DeadRaw!$B:$B,$A114,DeadRaw!BE:BE)</f>
        <v>0</v>
      </c>
      <c r="BC114">
        <f>SUMIF(DeadRaw!$B:$B,$A114,DeadRaw!BF:BF)</f>
        <v>0</v>
      </c>
      <c r="BD114">
        <f>SUMIF(DeadRaw!$B:$B,$A114,DeadRaw!BG:BG)</f>
        <v>0</v>
      </c>
      <c r="BE114">
        <f>SUMIF(DeadRaw!$B:$B,$A114,DeadRaw!BH:BH)</f>
        <v>0</v>
      </c>
      <c r="BF114">
        <f>SUMIF(DeadRaw!$B:$B,$A114,DeadRaw!BI:BI)</f>
        <v>0</v>
      </c>
      <c r="BG114">
        <f>SUMIF(DeadRaw!$B:$B,$A114,DeadRaw!BJ:BJ)</f>
        <v>0</v>
      </c>
      <c r="BH114">
        <f>SUMIF(DeadRaw!$B:$B,$A114,DeadRaw!BK:BK)</f>
        <v>0</v>
      </c>
      <c r="BI114">
        <f>SUMIF(DeadRaw!$B:$B,$A114,DeadRaw!BL:BL)</f>
        <v>0</v>
      </c>
      <c r="BJ114">
        <f>SUMIF(DeadRaw!$B:$B,$A114,DeadRaw!BM:BM)</f>
        <v>0</v>
      </c>
      <c r="BK114">
        <f>SUMIF(DeadRaw!$B:$B,$A114,DeadRaw!BN:BN)</f>
        <v>0</v>
      </c>
      <c r="BL114">
        <f>SUMIF(DeadRaw!$B:$B,$A114,DeadRaw!BO:BO)</f>
        <v>0</v>
      </c>
      <c r="BM114">
        <f>SUMIF(DeadRaw!$B:$B,$A114,DeadRaw!BP:BP)</f>
        <v>0</v>
      </c>
      <c r="BN114">
        <f>SUMIF(DeadRaw!$B:$B,$A114,DeadRaw!BQ:BQ)</f>
        <v>0</v>
      </c>
      <c r="BO114">
        <f>SUMIF(DeadRaw!$B:$B,$A114,DeadRaw!BR:BR)</f>
        <v>0</v>
      </c>
      <c r="BP114">
        <f>SUMIF(DeadRaw!$B:$B,$A114,DeadRaw!BS:BS)</f>
        <v>0</v>
      </c>
      <c r="BQ114">
        <f>SUMIF(DeadRaw!$B:$B,$A114,DeadRaw!BT:BT)</f>
        <v>0</v>
      </c>
      <c r="BR114">
        <f>SUMIF(DeadRaw!$B:$B,$A114,DeadRaw!BU:BU)</f>
        <v>0</v>
      </c>
      <c r="BS114">
        <f>SUMIF(DeadRaw!$B:$B,$A114,DeadRaw!BV:BV)</f>
        <v>0</v>
      </c>
      <c r="BT114">
        <f>SUMIF(DeadRaw!$B:$B,$A114,DeadRaw!BW:BW)</f>
        <v>0</v>
      </c>
    </row>
    <row r="115" spans="1:72" ht="15" thickBot="1" x14ac:dyDescent="0.35">
      <c r="A115" s="4" t="s">
        <v>419</v>
      </c>
      <c r="B115">
        <f>SUMIF(DeadRaw!$B:$B,$A115,DeadRaw!E:E)</f>
        <v>0</v>
      </c>
      <c r="C115">
        <f>SUMIF(DeadRaw!$B:$B,$A115,DeadRaw!F:F)</f>
        <v>0</v>
      </c>
      <c r="D115">
        <f>SUMIF(DeadRaw!$B:$B,$A115,DeadRaw!G:G)</f>
        <v>0</v>
      </c>
      <c r="E115">
        <f>SUMIF(DeadRaw!$B:$B,$A115,DeadRaw!H:H)</f>
        <v>0</v>
      </c>
      <c r="F115">
        <f>SUMIF(DeadRaw!$B:$B,$A115,DeadRaw!I:I)</f>
        <v>0</v>
      </c>
      <c r="G115">
        <f>SUMIF(DeadRaw!$B:$B,$A115,DeadRaw!J:J)</f>
        <v>0</v>
      </c>
      <c r="H115">
        <f>SUMIF(DeadRaw!$B:$B,$A115,DeadRaw!K:K)</f>
        <v>0</v>
      </c>
      <c r="I115">
        <f>SUMIF(DeadRaw!$B:$B,$A115,DeadRaw!L:L)</f>
        <v>0</v>
      </c>
      <c r="J115">
        <f>SUMIF(DeadRaw!$B:$B,$A115,DeadRaw!M:M)</f>
        <v>0</v>
      </c>
      <c r="K115">
        <f>SUMIF(DeadRaw!$B:$B,$A115,DeadRaw!N:N)</f>
        <v>0</v>
      </c>
      <c r="L115">
        <f>SUMIF(DeadRaw!$B:$B,$A115,DeadRaw!O:O)</f>
        <v>0</v>
      </c>
      <c r="M115">
        <f>SUMIF(DeadRaw!$B:$B,$A115,DeadRaw!P:P)</f>
        <v>0</v>
      </c>
      <c r="N115">
        <f>SUMIF(DeadRaw!$B:$B,$A115,DeadRaw!Q:Q)</f>
        <v>0</v>
      </c>
      <c r="O115">
        <f>SUMIF(DeadRaw!$B:$B,$A115,DeadRaw!R:R)</f>
        <v>0</v>
      </c>
      <c r="P115">
        <f>SUMIF(DeadRaw!$B:$B,$A115,DeadRaw!S:S)</f>
        <v>0</v>
      </c>
      <c r="Q115">
        <f>SUMIF(DeadRaw!$B:$B,$A115,DeadRaw!T:T)</f>
        <v>0</v>
      </c>
      <c r="R115">
        <f>SUMIF(DeadRaw!$B:$B,$A115,DeadRaw!U:U)</f>
        <v>0</v>
      </c>
      <c r="S115">
        <f>SUMIF(DeadRaw!$B:$B,$A115,DeadRaw!V:V)</f>
        <v>0</v>
      </c>
      <c r="T115">
        <f>SUMIF(DeadRaw!$B:$B,$A115,DeadRaw!W:W)</f>
        <v>0</v>
      </c>
      <c r="U115">
        <f>SUMIF(DeadRaw!$B:$B,$A115,DeadRaw!X:X)</f>
        <v>0</v>
      </c>
      <c r="V115">
        <f>SUMIF(DeadRaw!$B:$B,$A115,DeadRaw!Y:Y)</f>
        <v>0</v>
      </c>
      <c r="W115">
        <f>SUMIF(DeadRaw!$B:$B,$A115,DeadRaw!Z:Z)</f>
        <v>0</v>
      </c>
      <c r="X115">
        <f>SUMIF(DeadRaw!$B:$B,$A115,DeadRaw!AA:AA)</f>
        <v>0</v>
      </c>
      <c r="Y115">
        <f>SUMIF(DeadRaw!$B:$B,$A115,DeadRaw!AB:AB)</f>
        <v>0</v>
      </c>
      <c r="Z115">
        <f>SUMIF(DeadRaw!$B:$B,$A115,DeadRaw!AC:AC)</f>
        <v>0</v>
      </c>
      <c r="AA115">
        <f>SUMIF(DeadRaw!$B:$B,$A115,DeadRaw!AD:AD)</f>
        <v>0</v>
      </c>
      <c r="AB115">
        <f>SUMIF(DeadRaw!$B:$B,$A115,DeadRaw!AE:AE)</f>
        <v>0</v>
      </c>
      <c r="AC115">
        <f>SUMIF(DeadRaw!$B:$B,$A115,DeadRaw!AF:AF)</f>
        <v>0</v>
      </c>
      <c r="AD115">
        <f>SUMIF(DeadRaw!$B:$B,$A115,DeadRaw!AG:AG)</f>
        <v>0</v>
      </c>
      <c r="AE115">
        <f>SUMIF(DeadRaw!$B:$B,$A115,DeadRaw!AH:AH)</f>
        <v>0</v>
      </c>
      <c r="AF115">
        <f>SUMIF(DeadRaw!$B:$B,$A115,DeadRaw!AI:AI)</f>
        <v>0</v>
      </c>
      <c r="AG115">
        <f>SUMIF(DeadRaw!$B:$B,$A115,DeadRaw!AJ:AJ)</f>
        <v>0</v>
      </c>
      <c r="AH115">
        <f>SUMIF(DeadRaw!$B:$B,$A115,DeadRaw!AK:AK)</f>
        <v>0</v>
      </c>
      <c r="AI115">
        <f>SUMIF(DeadRaw!$B:$B,$A115,DeadRaw!AL:AL)</f>
        <v>0</v>
      </c>
      <c r="AJ115">
        <f>SUMIF(DeadRaw!$B:$B,$A115,DeadRaw!AM:AM)</f>
        <v>0</v>
      </c>
      <c r="AK115">
        <f>SUMIF(DeadRaw!$B:$B,$A115,DeadRaw!AN:AN)</f>
        <v>0</v>
      </c>
      <c r="AL115">
        <f>SUMIF(DeadRaw!$B:$B,$A115,DeadRaw!AO:AO)</f>
        <v>0</v>
      </c>
      <c r="AM115">
        <f>SUMIF(DeadRaw!$B:$B,$A115,DeadRaw!AP:AP)</f>
        <v>0</v>
      </c>
      <c r="AN115">
        <f>SUMIF(DeadRaw!$B:$B,$A115,DeadRaw!AQ:AQ)</f>
        <v>0</v>
      </c>
      <c r="AO115">
        <f>SUMIF(DeadRaw!$B:$B,$A115,DeadRaw!AR:AR)</f>
        <v>0</v>
      </c>
      <c r="AP115">
        <f>SUMIF(DeadRaw!$B:$B,$A115,DeadRaw!AS:AS)</f>
        <v>0</v>
      </c>
      <c r="AQ115">
        <f>SUMIF(DeadRaw!$B:$B,$A115,DeadRaw!AT:AT)</f>
        <v>0</v>
      </c>
      <c r="AR115">
        <f>SUMIF(DeadRaw!$B:$B,$A115,DeadRaw!AU:AU)</f>
        <v>0</v>
      </c>
      <c r="AS115">
        <f>SUMIF(DeadRaw!$B:$B,$A115,DeadRaw!AV:AV)</f>
        <v>0</v>
      </c>
      <c r="AT115">
        <f>SUMIF(DeadRaw!$B:$B,$A115,DeadRaw!AW:AW)</f>
        <v>0</v>
      </c>
      <c r="AU115">
        <f>SUMIF(DeadRaw!$B:$B,$A115,DeadRaw!AX:AX)</f>
        <v>0</v>
      </c>
      <c r="AV115">
        <f>SUMIF(DeadRaw!$B:$B,$A115,DeadRaw!AY:AY)</f>
        <v>0</v>
      </c>
      <c r="AW115">
        <f>SUMIF(DeadRaw!$B:$B,$A115,DeadRaw!AZ:AZ)</f>
        <v>0</v>
      </c>
      <c r="AX115">
        <f>SUMIF(DeadRaw!$B:$B,$A115,DeadRaw!BA:BA)</f>
        <v>0</v>
      </c>
      <c r="AY115">
        <f>SUMIF(DeadRaw!$B:$B,$A115,DeadRaw!BB:BB)</f>
        <v>0</v>
      </c>
      <c r="AZ115">
        <f>SUMIF(DeadRaw!$B:$B,$A115,DeadRaw!BC:BC)</f>
        <v>0</v>
      </c>
      <c r="BA115">
        <f>SUMIF(DeadRaw!$B:$B,$A115,DeadRaw!BD:BD)</f>
        <v>0</v>
      </c>
      <c r="BB115">
        <f>SUMIF(DeadRaw!$B:$B,$A115,DeadRaw!BE:BE)</f>
        <v>0</v>
      </c>
      <c r="BC115">
        <f>SUMIF(DeadRaw!$B:$B,$A115,DeadRaw!BF:BF)</f>
        <v>0</v>
      </c>
      <c r="BD115">
        <f>SUMIF(DeadRaw!$B:$B,$A115,DeadRaw!BG:BG)</f>
        <v>0</v>
      </c>
      <c r="BE115">
        <f>SUMIF(DeadRaw!$B:$B,$A115,DeadRaw!BH:BH)</f>
        <v>0</v>
      </c>
      <c r="BF115">
        <f>SUMIF(DeadRaw!$B:$B,$A115,DeadRaw!BI:BI)</f>
        <v>0</v>
      </c>
      <c r="BG115">
        <f>SUMIF(DeadRaw!$B:$B,$A115,DeadRaw!BJ:BJ)</f>
        <v>0</v>
      </c>
      <c r="BH115">
        <f>SUMIF(DeadRaw!$B:$B,$A115,DeadRaw!BK:BK)</f>
        <v>0</v>
      </c>
      <c r="BI115">
        <f>SUMIF(DeadRaw!$B:$B,$A115,DeadRaw!BL:BL)</f>
        <v>0</v>
      </c>
      <c r="BJ115">
        <f>SUMIF(DeadRaw!$B:$B,$A115,DeadRaw!BM:BM)</f>
        <v>0</v>
      </c>
      <c r="BK115">
        <f>SUMIF(DeadRaw!$B:$B,$A115,DeadRaw!BN:BN)</f>
        <v>0</v>
      </c>
      <c r="BL115">
        <f>SUMIF(DeadRaw!$B:$B,$A115,DeadRaw!BO:BO)</f>
        <v>0</v>
      </c>
      <c r="BM115">
        <f>SUMIF(DeadRaw!$B:$B,$A115,DeadRaw!BP:BP)</f>
        <v>0</v>
      </c>
      <c r="BN115">
        <f>SUMIF(DeadRaw!$B:$B,$A115,DeadRaw!BQ:BQ)</f>
        <v>0</v>
      </c>
      <c r="BO115">
        <f>SUMIF(DeadRaw!$B:$B,$A115,DeadRaw!BR:BR)</f>
        <v>0</v>
      </c>
      <c r="BP115">
        <f>SUMIF(DeadRaw!$B:$B,$A115,DeadRaw!BS:BS)</f>
        <v>0</v>
      </c>
      <c r="BQ115">
        <f>SUMIF(DeadRaw!$B:$B,$A115,DeadRaw!BT:BT)</f>
        <v>0</v>
      </c>
      <c r="BR115">
        <f>SUMIF(DeadRaw!$B:$B,$A115,DeadRaw!BU:BU)</f>
        <v>0</v>
      </c>
      <c r="BS115">
        <f>SUMIF(DeadRaw!$B:$B,$A115,DeadRaw!BV:BV)</f>
        <v>0</v>
      </c>
      <c r="BT115">
        <f>SUMIF(DeadRaw!$B:$B,$A115,DeadRaw!BW:BW)</f>
        <v>0</v>
      </c>
    </row>
    <row r="116" spans="1:72" ht="15" thickBot="1" x14ac:dyDescent="0.35">
      <c r="A116" s="3" t="s">
        <v>416</v>
      </c>
      <c r="B116">
        <f>SUMIF(DeadRaw!$B:$B,$A116,DeadRaw!E:E)</f>
        <v>0</v>
      </c>
      <c r="C116">
        <f>SUMIF(DeadRaw!$B:$B,$A116,DeadRaw!F:F)</f>
        <v>0</v>
      </c>
      <c r="D116">
        <f>SUMIF(DeadRaw!$B:$B,$A116,DeadRaw!G:G)</f>
        <v>0</v>
      </c>
      <c r="E116">
        <f>SUMIF(DeadRaw!$B:$B,$A116,DeadRaw!H:H)</f>
        <v>0</v>
      </c>
      <c r="F116">
        <f>SUMIF(DeadRaw!$B:$B,$A116,DeadRaw!I:I)</f>
        <v>0</v>
      </c>
      <c r="G116">
        <f>SUMIF(DeadRaw!$B:$B,$A116,DeadRaw!J:J)</f>
        <v>0</v>
      </c>
      <c r="H116">
        <f>SUMIF(DeadRaw!$B:$B,$A116,DeadRaw!K:K)</f>
        <v>0</v>
      </c>
      <c r="I116">
        <f>SUMIF(DeadRaw!$B:$B,$A116,DeadRaw!L:L)</f>
        <v>0</v>
      </c>
      <c r="J116">
        <f>SUMIF(DeadRaw!$B:$B,$A116,DeadRaw!M:M)</f>
        <v>0</v>
      </c>
      <c r="K116">
        <f>SUMIF(DeadRaw!$B:$B,$A116,DeadRaw!N:N)</f>
        <v>0</v>
      </c>
      <c r="L116">
        <f>SUMIF(DeadRaw!$B:$B,$A116,DeadRaw!O:O)</f>
        <v>0</v>
      </c>
      <c r="M116">
        <f>SUMIF(DeadRaw!$B:$B,$A116,DeadRaw!P:P)</f>
        <v>0</v>
      </c>
      <c r="N116">
        <f>SUMIF(DeadRaw!$B:$B,$A116,DeadRaw!Q:Q)</f>
        <v>0</v>
      </c>
      <c r="O116">
        <f>SUMIF(DeadRaw!$B:$B,$A116,DeadRaw!R:R)</f>
        <v>0</v>
      </c>
      <c r="P116">
        <f>SUMIF(DeadRaw!$B:$B,$A116,DeadRaw!S:S)</f>
        <v>0</v>
      </c>
      <c r="Q116">
        <f>SUMIF(DeadRaw!$B:$B,$A116,DeadRaw!T:T)</f>
        <v>0</v>
      </c>
      <c r="R116">
        <f>SUMIF(DeadRaw!$B:$B,$A116,DeadRaw!U:U)</f>
        <v>0</v>
      </c>
      <c r="S116">
        <f>SUMIF(DeadRaw!$B:$B,$A116,DeadRaw!V:V)</f>
        <v>0</v>
      </c>
      <c r="T116">
        <f>SUMIF(DeadRaw!$B:$B,$A116,DeadRaw!W:W)</f>
        <v>0</v>
      </c>
      <c r="U116">
        <f>SUMIF(DeadRaw!$B:$B,$A116,DeadRaw!X:X)</f>
        <v>0</v>
      </c>
      <c r="V116">
        <f>SUMIF(DeadRaw!$B:$B,$A116,DeadRaw!Y:Y)</f>
        <v>0</v>
      </c>
      <c r="W116">
        <f>SUMIF(DeadRaw!$B:$B,$A116,DeadRaw!Z:Z)</f>
        <v>0</v>
      </c>
      <c r="X116">
        <f>SUMIF(DeadRaw!$B:$B,$A116,DeadRaw!AA:AA)</f>
        <v>0</v>
      </c>
      <c r="Y116">
        <f>SUMIF(DeadRaw!$B:$B,$A116,DeadRaw!AB:AB)</f>
        <v>0</v>
      </c>
      <c r="Z116">
        <f>SUMIF(DeadRaw!$B:$B,$A116,DeadRaw!AC:AC)</f>
        <v>0</v>
      </c>
      <c r="AA116">
        <f>SUMIF(DeadRaw!$B:$B,$A116,DeadRaw!AD:AD)</f>
        <v>0</v>
      </c>
      <c r="AB116">
        <f>SUMIF(DeadRaw!$B:$B,$A116,DeadRaw!AE:AE)</f>
        <v>0</v>
      </c>
      <c r="AC116">
        <f>SUMIF(DeadRaw!$B:$B,$A116,DeadRaw!AF:AF)</f>
        <v>0</v>
      </c>
      <c r="AD116">
        <f>SUMIF(DeadRaw!$B:$B,$A116,DeadRaw!AG:AG)</f>
        <v>0</v>
      </c>
      <c r="AE116">
        <f>SUMIF(DeadRaw!$B:$B,$A116,DeadRaw!AH:AH)</f>
        <v>0</v>
      </c>
      <c r="AF116">
        <f>SUMIF(DeadRaw!$B:$B,$A116,DeadRaw!AI:AI)</f>
        <v>0</v>
      </c>
      <c r="AG116">
        <f>SUMIF(DeadRaw!$B:$B,$A116,DeadRaw!AJ:AJ)</f>
        <v>0</v>
      </c>
      <c r="AH116">
        <f>SUMIF(DeadRaw!$B:$B,$A116,DeadRaw!AK:AK)</f>
        <v>0</v>
      </c>
      <c r="AI116">
        <f>SUMIF(DeadRaw!$B:$B,$A116,DeadRaw!AL:AL)</f>
        <v>0</v>
      </c>
      <c r="AJ116">
        <f>SUMIF(DeadRaw!$B:$B,$A116,DeadRaw!AM:AM)</f>
        <v>0</v>
      </c>
      <c r="AK116">
        <f>SUMIF(DeadRaw!$B:$B,$A116,DeadRaw!AN:AN)</f>
        <v>0</v>
      </c>
      <c r="AL116">
        <f>SUMIF(DeadRaw!$B:$B,$A116,DeadRaw!AO:AO)</f>
        <v>0</v>
      </c>
      <c r="AM116">
        <f>SUMIF(DeadRaw!$B:$B,$A116,DeadRaw!AP:AP)</f>
        <v>0</v>
      </c>
      <c r="AN116">
        <f>SUMIF(DeadRaw!$B:$B,$A116,DeadRaw!AQ:AQ)</f>
        <v>0</v>
      </c>
      <c r="AO116">
        <f>SUMIF(DeadRaw!$B:$B,$A116,DeadRaw!AR:AR)</f>
        <v>0</v>
      </c>
      <c r="AP116">
        <f>SUMIF(DeadRaw!$B:$B,$A116,DeadRaw!AS:AS)</f>
        <v>0</v>
      </c>
      <c r="AQ116">
        <f>SUMIF(DeadRaw!$B:$B,$A116,DeadRaw!AT:AT)</f>
        <v>0</v>
      </c>
      <c r="AR116">
        <f>SUMIF(DeadRaw!$B:$B,$A116,DeadRaw!AU:AU)</f>
        <v>0</v>
      </c>
      <c r="AS116">
        <f>SUMIF(DeadRaw!$B:$B,$A116,DeadRaw!AV:AV)</f>
        <v>0</v>
      </c>
      <c r="AT116">
        <f>SUMIF(DeadRaw!$B:$B,$A116,DeadRaw!AW:AW)</f>
        <v>0</v>
      </c>
      <c r="AU116">
        <f>SUMIF(DeadRaw!$B:$B,$A116,DeadRaw!AX:AX)</f>
        <v>0</v>
      </c>
      <c r="AV116">
        <f>SUMIF(DeadRaw!$B:$B,$A116,DeadRaw!AY:AY)</f>
        <v>0</v>
      </c>
      <c r="AW116">
        <f>SUMIF(DeadRaw!$B:$B,$A116,DeadRaw!AZ:AZ)</f>
        <v>0</v>
      </c>
      <c r="AX116">
        <f>SUMIF(DeadRaw!$B:$B,$A116,DeadRaw!BA:BA)</f>
        <v>0</v>
      </c>
      <c r="AY116">
        <f>SUMIF(DeadRaw!$B:$B,$A116,DeadRaw!BB:BB)</f>
        <v>0</v>
      </c>
      <c r="AZ116">
        <f>SUMIF(DeadRaw!$B:$B,$A116,DeadRaw!BC:BC)</f>
        <v>0</v>
      </c>
      <c r="BA116">
        <f>SUMIF(DeadRaw!$B:$B,$A116,DeadRaw!BD:BD)</f>
        <v>0</v>
      </c>
      <c r="BB116">
        <f>SUMIF(DeadRaw!$B:$B,$A116,DeadRaw!BE:BE)</f>
        <v>0</v>
      </c>
      <c r="BC116">
        <f>SUMIF(DeadRaw!$B:$B,$A116,DeadRaw!BF:BF)</f>
        <v>0</v>
      </c>
      <c r="BD116">
        <f>SUMIF(DeadRaw!$B:$B,$A116,DeadRaw!BG:BG)</f>
        <v>0</v>
      </c>
      <c r="BE116">
        <f>SUMIF(DeadRaw!$B:$B,$A116,DeadRaw!BH:BH)</f>
        <v>0</v>
      </c>
      <c r="BF116">
        <f>SUMIF(DeadRaw!$B:$B,$A116,DeadRaw!BI:BI)</f>
        <v>0</v>
      </c>
      <c r="BG116">
        <f>SUMIF(DeadRaw!$B:$B,$A116,DeadRaw!BJ:BJ)</f>
        <v>0</v>
      </c>
      <c r="BH116">
        <f>SUMIF(DeadRaw!$B:$B,$A116,DeadRaw!BK:BK)</f>
        <v>0</v>
      </c>
      <c r="BI116">
        <f>SUMIF(DeadRaw!$B:$B,$A116,DeadRaw!BL:BL)</f>
        <v>0</v>
      </c>
      <c r="BJ116">
        <f>SUMIF(DeadRaw!$B:$B,$A116,DeadRaw!BM:BM)</f>
        <v>0</v>
      </c>
      <c r="BK116">
        <f>SUMIF(DeadRaw!$B:$B,$A116,DeadRaw!BN:BN)</f>
        <v>0</v>
      </c>
      <c r="BL116">
        <f>SUMIF(DeadRaw!$B:$B,$A116,DeadRaw!BO:BO)</f>
        <v>0</v>
      </c>
      <c r="BM116">
        <f>SUMIF(DeadRaw!$B:$B,$A116,DeadRaw!BP:BP)</f>
        <v>0</v>
      </c>
      <c r="BN116">
        <f>SUMIF(DeadRaw!$B:$B,$A116,DeadRaw!BQ:BQ)</f>
        <v>0</v>
      </c>
      <c r="BO116">
        <f>SUMIF(DeadRaw!$B:$B,$A116,DeadRaw!BR:BR)</f>
        <v>0</v>
      </c>
      <c r="BP116">
        <f>SUMIF(DeadRaw!$B:$B,$A116,DeadRaw!BS:BS)</f>
        <v>0</v>
      </c>
      <c r="BQ116">
        <f>SUMIF(DeadRaw!$B:$B,$A116,DeadRaw!BT:BT)</f>
        <v>0</v>
      </c>
      <c r="BR116">
        <f>SUMIF(DeadRaw!$B:$B,$A116,DeadRaw!BU:BU)</f>
        <v>0</v>
      </c>
      <c r="BS116">
        <f>SUMIF(DeadRaw!$B:$B,$A116,DeadRaw!BV:BV)</f>
        <v>0</v>
      </c>
      <c r="BT116">
        <f>SUMIF(DeadRaw!$B:$B,$A116,DeadRaw!BW:BW)</f>
        <v>0</v>
      </c>
    </row>
    <row r="117" spans="1:72" ht="15" thickBot="1" x14ac:dyDescent="0.35">
      <c r="A117" s="4" t="s">
        <v>421</v>
      </c>
      <c r="B117">
        <f>SUMIF(DeadRaw!$B:$B,$A117,DeadRaw!E:E)</f>
        <v>0</v>
      </c>
      <c r="C117">
        <f>SUMIF(DeadRaw!$B:$B,$A117,DeadRaw!F:F)</f>
        <v>0</v>
      </c>
      <c r="D117">
        <f>SUMIF(DeadRaw!$B:$B,$A117,DeadRaw!G:G)</f>
        <v>0</v>
      </c>
      <c r="E117">
        <f>SUMIF(DeadRaw!$B:$B,$A117,DeadRaw!H:H)</f>
        <v>0</v>
      </c>
      <c r="F117">
        <f>SUMIF(DeadRaw!$B:$B,$A117,DeadRaw!I:I)</f>
        <v>0</v>
      </c>
      <c r="G117">
        <f>SUMIF(DeadRaw!$B:$B,$A117,DeadRaw!J:J)</f>
        <v>0</v>
      </c>
      <c r="H117">
        <f>SUMIF(DeadRaw!$B:$B,$A117,DeadRaw!K:K)</f>
        <v>0</v>
      </c>
      <c r="I117">
        <f>SUMIF(DeadRaw!$B:$B,$A117,DeadRaw!L:L)</f>
        <v>0</v>
      </c>
      <c r="J117">
        <f>SUMIF(DeadRaw!$B:$B,$A117,DeadRaw!M:M)</f>
        <v>0</v>
      </c>
      <c r="K117">
        <f>SUMIF(DeadRaw!$B:$B,$A117,DeadRaw!N:N)</f>
        <v>0</v>
      </c>
      <c r="L117">
        <f>SUMIF(DeadRaw!$B:$B,$A117,DeadRaw!O:O)</f>
        <v>0</v>
      </c>
      <c r="M117">
        <f>SUMIF(DeadRaw!$B:$B,$A117,DeadRaw!P:P)</f>
        <v>0</v>
      </c>
      <c r="N117">
        <f>SUMIF(DeadRaw!$B:$B,$A117,DeadRaw!Q:Q)</f>
        <v>0</v>
      </c>
      <c r="O117">
        <f>SUMIF(DeadRaw!$B:$B,$A117,DeadRaw!R:R)</f>
        <v>0</v>
      </c>
      <c r="P117">
        <f>SUMIF(DeadRaw!$B:$B,$A117,DeadRaw!S:S)</f>
        <v>0</v>
      </c>
      <c r="Q117">
        <f>SUMIF(DeadRaw!$B:$B,$A117,DeadRaw!T:T)</f>
        <v>0</v>
      </c>
      <c r="R117">
        <f>SUMIF(DeadRaw!$B:$B,$A117,DeadRaw!U:U)</f>
        <v>0</v>
      </c>
      <c r="S117">
        <f>SUMIF(DeadRaw!$B:$B,$A117,DeadRaw!V:V)</f>
        <v>0</v>
      </c>
      <c r="T117">
        <f>SUMIF(DeadRaw!$B:$B,$A117,DeadRaw!W:W)</f>
        <v>0</v>
      </c>
      <c r="U117">
        <f>SUMIF(DeadRaw!$B:$B,$A117,DeadRaw!X:X)</f>
        <v>0</v>
      </c>
      <c r="V117">
        <f>SUMIF(DeadRaw!$B:$B,$A117,DeadRaw!Y:Y)</f>
        <v>0</v>
      </c>
      <c r="W117">
        <f>SUMIF(DeadRaw!$B:$B,$A117,DeadRaw!Z:Z)</f>
        <v>0</v>
      </c>
      <c r="X117">
        <f>SUMIF(DeadRaw!$B:$B,$A117,DeadRaw!AA:AA)</f>
        <v>0</v>
      </c>
      <c r="Y117">
        <f>SUMIF(DeadRaw!$B:$B,$A117,DeadRaw!AB:AB)</f>
        <v>0</v>
      </c>
      <c r="Z117">
        <f>SUMIF(DeadRaw!$B:$B,$A117,DeadRaw!AC:AC)</f>
        <v>0</v>
      </c>
      <c r="AA117">
        <f>SUMIF(DeadRaw!$B:$B,$A117,DeadRaw!AD:AD)</f>
        <v>0</v>
      </c>
      <c r="AB117">
        <f>SUMIF(DeadRaw!$B:$B,$A117,DeadRaw!AE:AE)</f>
        <v>0</v>
      </c>
      <c r="AC117">
        <f>SUMIF(DeadRaw!$B:$B,$A117,DeadRaw!AF:AF)</f>
        <v>0</v>
      </c>
      <c r="AD117">
        <f>SUMIF(DeadRaw!$B:$B,$A117,DeadRaw!AG:AG)</f>
        <v>0</v>
      </c>
      <c r="AE117">
        <f>SUMIF(DeadRaw!$B:$B,$A117,DeadRaw!AH:AH)</f>
        <v>0</v>
      </c>
      <c r="AF117">
        <f>SUMIF(DeadRaw!$B:$B,$A117,DeadRaw!AI:AI)</f>
        <v>0</v>
      </c>
      <c r="AG117">
        <f>SUMIF(DeadRaw!$B:$B,$A117,DeadRaw!AJ:AJ)</f>
        <v>0</v>
      </c>
      <c r="AH117">
        <f>SUMIF(DeadRaw!$B:$B,$A117,DeadRaw!AK:AK)</f>
        <v>0</v>
      </c>
      <c r="AI117">
        <f>SUMIF(DeadRaw!$B:$B,$A117,DeadRaw!AL:AL)</f>
        <v>0</v>
      </c>
      <c r="AJ117">
        <f>SUMIF(DeadRaw!$B:$B,$A117,DeadRaw!AM:AM)</f>
        <v>0</v>
      </c>
      <c r="AK117">
        <f>SUMIF(DeadRaw!$B:$B,$A117,DeadRaw!AN:AN)</f>
        <v>0</v>
      </c>
      <c r="AL117">
        <f>SUMIF(DeadRaw!$B:$B,$A117,DeadRaw!AO:AO)</f>
        <v>0</v>
      </c>
      <c r="AM117">
        <f>SUMIF(DeadRaw!$B:$B,$A117,DeadRaw!AP:AP)</f>
        <v>0</v>
      </c>
      <c r="AN117">
        <f>SUMIF(DeadRaw!$B:$B,$A117,DeadRaw!AQ:AQ)</f>
        <v>0</v>
      </c>
      <c r="AO117">
        <f>SUMIF(DeadRaw!$B:$B,$A117,DeadRaw!AR:AR)</f>
        <v>0</v>
      </c>
      <c r="AP117">
        <f>SUMIF(DeadRaw!$B:$B,$A117,DeadRaw!AS:AS)</f>
        <v>0</v>
      </c>
      <c r="AQ117">
        <f>SUMIF(DeadRaw!$B:$B,$A117,DeadRaw!AT:AT)</f>
        <v>0</v>
      </c>
      <c r="AR117">
        <f>SUMIF(DeadRaw!$B:$B,$A117,DeadRaw!AU:AU)</f>
        <v>0</v>
      </c>
      <c r="AS117">
        <f>SUMIF(DeadRaw!$B:$B,$A117,DeadRaw!AV:AV)</f>
        <v>0</v>
      </c>
      <c r="AT117">
        <f>SUMIF(DeadRaw!$B:$B,$A117,DeadRaw!AW:AW)</f>
        <v>0</v>
      </c>
      <c r="AU117">
        <f>SUMIF(DeadRaw!$B:$B,$A117,DeadRaw!AX:AX)</f>
        <v>0</v>
      </c>
      <c r="AV117">
        <f>SUMIF(DeadRaw!$B:$B,$A117,DeadRaw!AY:AY)</f>
        <v>0</v>
      </c>
      <c r="AW117">
        <f>SUMIF(DeadRaw!$B:$B,$A117,DeadRaw!AZ:AZ)</f>
        <v>0</v>
      </c>
      <c r="AX117">
        <f>SUMIF(DeadRaw!$B:$B,$A117,DeadRaw!BA:BA)</f>
        <v>0</v>
      </c>
      <c r="AY117">
        <f>SUMIF(DeadRaw!$B:$B,$A117,DeadRaw!BB:BB)</f>
        <v>0</v>
      </c>
      <c r="AZ117">
        <f>SUMIF(DeadRaw!$B:$B,$A117,DeadRaw!BC:BC)</f>
        <v>0</v>
      </c>
      <c r="BA117">
        <f>SUMIF(DeadRaw!$B:$B,$A117,DeadRaw!BD:BD)</f>
        <v>0</v>
      </c>
      <c r="BB117">
        <f>SUMIF(DeadRaw!$B:$B,$A117,DeadRaw!BE:BE)</f>
        <v>0</v>
      </c>
      <c r="BC117">
        <f>SUMIF(DeadRaw!$B:$B,$A117,DeadRaw!BF:BF)</f>
        <v>0</v>
      </c>
      <c r="BD117">
        <f>SUMIF(DeadRaw!$B:$B,$A117,DeadRaw!BG:BG)</f>
        <v>0</v>
      </c>
      <c r="BE117">
        <f>SUMIF(DeadRaw!$B:$B,$A117,DeadRaw!BH:BH)</f>
        <v>0</v>
      </c>
      <c r="BF117">
        <f>SUMIF(DeadRaw!$B:$B,$A117,DeadRaw!BI:BI)</f>
        <v>0</v>
      </c>
      <c r="BG117">
        <f>SUMIF(DeadRaw!$B:$B,$A117,DeadRaw!BJ:BJ)</f>
        <v>0</v>
      </c>
      <c r="BH117">
        <f>SUMIF(DeadRaw!$B:$B,$A117,DeadRaw!BK:BK)</f>
        <v>0</v>
      </c>
      <c r="BI117">
        <f>SUMIF(DeadRaw!$B:$B,$A117,DeadRaw!BL:BL)</f>
        <v>0</v>
      </c>
      <c r="BJ117">
        <f>SUMIF(DeadRaw!$B:$B,$A117,DeadRaw!BM:BM)</f>
        <v>0</v>
      </c>
      <c r="BK117">
        <f>SUMIF(DeadRaw!$B:$B,$A117,DeadRaw!BN:BN)</f>
        <v>0</v>
      </c>
      <c r="BL117">
        <f>SUMIF(DeadRaw!$B:$B,$A117,DeadRaw!BO:BO)</f>
        <v>0</v>
      </c>
      <c r="BM117">
        <f>SUMIF(DeadRaw!$B:$B,$A117,DeadRaw!BP:BP)</f>
        <v>0</v>
      </c>
      <c r="BN117">
        <f>SUMIF(DeadRaw!$B:$B,$A117,DeadRaw!BQ:BQ)</f>
        <v>0</v>
      </c>
      <c r="BO117">
        <f>SUMIF(DeadRaw!$B:$B,$A117,DeadRaw!BR:BR)</f>
        <v>0</v>
      </c>
      <c r="BP117">
        <f>SUMIF(DeadRaw!$B:$B,$A117,DeadRaw!BS:BS)</f>
        <v>0</v>
      </c>
      <c r="BQ117">
        <f>SUMIF(DeadRaw!$B:$B,$A117,DeadRaw!BT:BT)</f>
        <v>0</v>
      </c>
      <c r="BR117">
        <f>SUMIF(DeadRaw!$B:$B,$A117,DeadRaw!BU:BU)</f>
        <v>0</v>
      </c>
      <c r="BS117">
        <f>SUMIF(DeadRaw!$B:$B,$A117,DeadRaw!BV:BV)</f>
        <v>0</v>
      </c>
      <c r="BT117">
        <f>SUMIF(DeadRaw!$B:$B,$A117,DeadRaw!BW:BW)</f>
        <v>0</v>
      </c>
    </row>
    <row r="118" spans="1:72" ht="15" thickBot="1" x14ac:dyDescent="0.35">
      <c r="A118" s="3" t="s">
        <v>411</v>
      </c>
      <c r="B118">
        <f>SUMIF(DeadRaw!$B:$B,$A118,DeadRaw!E:E)</f>
        <v>0</v>
      </c>
      <c r="C118">
        <f>SUMIF(DeadRaw!$B:$B,$A118,DeadRaw!F:F)</f>
        <v>0</v>
      </c>
      <c r="D118">
        <f>SUMIF(DeadRaw!$B:$B,$A118,DeadRaw!G:G)</f>
        <v>0</v>
      </c>
      <c r="E118">
        <f>SUMIF(DeadRaw!$B:$B,$A118,DeadRaw!H:H)</f>
        <v>0</v>
      </c>
      <c r="F118">
        <f>SUMIF(DeadRaw!$B:$B,$A118,DeadRaw!I:I)</f>
        <v>0</v>
      </c>
      <c r="G118">
        <f>SUMIF(DeadRaw!$B:$B,$A118,DeadRaw!J:J)</f>
        <v>0</v>
      </c>
      <c r="H118">
        <f>SUMIF(DeadRaw!$B:$B,$A118,DeadRaw!K:K)</f>
        <v>0</v>
      </c>
      <c r="I118">
        <f>SUMIF(DeadRaw!$B:$B,$A118,DeadRaw!L:L)</f>
        <v>0</v>
      </c>
      <c r="J118">
        <f>SUMIF(DeadRaw!$B:$B,$A118,DeadRaw!M:M)</f>
        <v>0</v>
      </c>
      <c r="K118">
        <f>SUMIF(DeadRaw!$B:$B,$A118,DeadRaw!N:N)</f>
        <v>0</v>
      </c>
      <c r="L118">
        <f>SUMIF(DeadRaw!$B:$B,$A118,DeadRaw!O:O)</f>
        <v>0</v>
      </c>
      <c r="M118">
        <f>SUMIF(DeadRaw!$B:$B,$A118,DeadRaw!P:P)</f>
        <v>0</v>
      </c>
      <c r="N118">
        <f>SUMIF(DeadRaw!$B:$B,$A118,DeadRaw!Q:Q)</f>
        <v>0</v>
      </c>
      <c r="O118">
        <f>SUMIF(DeadRaw!$B:$B,$A118,DeadRaw!R:R)</f>
        <v>0</v>
      </c>
      <c r="P118">
        <f>SUMIF(DeadRaw!$B:$B,$A118,DeadRaw!S:S)</f>
        <v>0</v>
      </c>
      <c r="Q118">
        <f>SUMIF(DeadRaw!$B:$B,$A118,DeadRaw!T:T)</f>
        <v>0</v>
      </c>
      <c r="R118">
        <f>SUMIF(DeadRaw!$B:$B,$A118,DeadRaw!U:U)</f>
        <v>0</v>
      </c>
      <c r="S118">
        <f>SUMIF(DeadRaw!$B:$B,$A118,DeadRaw!V:V)</f>
        <v>0</v>
      </c>
      <c r="T118">
        <f>SUMIF(DeadRaw!$B:$B,$A118,DeadRaw!W:W)</f>
        <v>0</v>
      </c>
      <c r="U118">
        <f>SUMIF(DeadRaw!$B:$B,$A118,DeadRaw!X:X)</f>
        <v>0</v>
      </c>
      <c r="V118">
        <f>SUMIF(DeadRaw!$B:$B,$A118,DeadRaw!Y:Y)</f>
        <v>0</v>
      </c>
      <c r="W118">
        <f>SUMIF(DeadRaw!$B:$B,$A118,DeadRaw!Z:Z)</f>
        <v>0</v>
      </c>
      <c r="X118">
        <f>SUMIF(DeadRaw!$B:$B,$A118,DeadRaw!AA:AA)</f>
        <v>0</v>
      </c>
      <c r="Y118">
        <f>SUMIF(DeadRaw!$B:$B,$A118,DeadRaw!AB:AB)</f>
        <v>0</v>
      </c>
      <c r="Z118">
        <f>SUMIF(DeadRaw!$B:$B,$A118,DeadRaw!AC:AC)</f>
        <v>0</v>
      </c>
      <c r="AA118">
        <f>SUMIF(DeadRaw!$B:$B,$A118,DeadRaw!AD:AD)</f>
        <v>0</v>
      </c>
      <c r="AB118">
        <f>SUMIF(DeadRaw!$B:$B,$A118,DeadRaw!AE:AE)</f>
        <v>0</v>
      </c>
      <c r="AC118">
        <f>SUMIF(DeadRaw!$B:$B,$A118,DeadRaw!AF:AF)</f>
        <v>0</v>
      </c>
      <c r="AD118">
        <f>SUMIF(DeadRaw!$B:$B,$A118,DeadRaw!AG:AG)</f>
        <v>0</v>
      </c>
      <c r="AE118">
        <f>SUMIF(DeadRaw!$B:$B,$A118,DeadRaw!AH:AH)</f>
        <v>0</v>
      </c>
      <c r="AF118">
        <f>SUMIF(DeadRaw!$B:$B,$A118,DeadRaw!AI:AI)</f>
        <v>0</v>
      </c>
      <c r="AG118">
        <f>SUMIF(DeadRaw!$B:$B,$A118,DeadRaw!AJ:AJ)</f>
        <v>0</v>
      </c>
      <c r="AH118">
        <f>SUMIF(DeadRaw!$B:$B,$A118,DeadRaw!AK:AK)</f>
        <v>0</v>
      </c>
      <c r="AI118">
        <f>SUMIF(DeadRaw!$B:$B,$A118,DeadRaw!AL:AL)</f>
        <v>0</v>
      </c>
      <c r="AJ118">
        <f>SUMIF(DeadRaw!$B:$B,$A118,DeadRaw!AM:AM)</f>
        <v>0</v>
      </c>
      <c r="AK118">
        <f>SUMIF(DeadRaw!$B:$B,$A118,DeadRaw!AN:AN)</f>
        <v>0</v>
      </c>
      <c r="AL118">
        <f>SUMIF(DeadRaw!$B:$B,$A118,DeadRaw!AO:AO)</f>
        <v>0</v>
      </c>
      <c r="AM118">
        <f>SUMIF(DeadRaw!$B:$B,$A118,DeadRaw!AP:AP)</f>
        <v>0</v>
      </c>
      <c r="AN118">
        <f>SUMIF(DeadRaw!$B:$B,$A118,DeadRaw!AQ:AQ)</f>
        <v>0</v>
      </c>
      <c r="AO118">
        <f>SUMIF(DeadRaw!$B:$B,$A118,DeadRaw!AR:AR)</f>
        <v>0</v>
      </c>
      <c r="AP118">
        <f>SUMIF(DeadRaw!$B:$B,$A118,DeadRaw!AS:AS)</f>
        <v>0</v>
      </c>
      <c r="AQ118">
        <f>SUMIF(DeadRaw!$B:$B,$A118,DeadRaw!AT:AT)</f>
        <v>0</v>
      </c>
      <c r="AR118">
        <f>SUMIF(DeadRaw!$B:$B,$A118,DeadRaw!AU:AU)</f>
        <v>0</v>
      </c>
      <c r="AS118">
        <f>SUMIF(DeadRaw!$B:$B,$A118,DeadRaw!AV:AV)</f>
        <v>0</v>
      </c>
      <c r="AT118">
        <f>SUMIF(DeadRaw!$B:$B,$A118,DeadRaw!AW:AW)</f>
        <v>0</v>
      </c>
      <c r="AU118">
        <f>SUMIF(DeadRaw!$B:$B,$A118,DeadRaw!AX:AX)</f>
        <v>0</v>
      </c>
      <c r="AV118">
        <f>SUMIF(DeadRaw!$B:$B,$A118,DeadRaw!AY:AY)</f>
        <v>0</v>
      </c>
      <c r="AW118">
        <f>SUMIF(DeadRaw!$B:$B,$A118,DeadRaw!AZ:AZ)</f>
        <v>0</v>
      </c>
      <c r="AX118">
        <f>SUMIF(DeadRaw!$B:$B,$A118,DeadRaw!BA:BA)</f>
        <v>0</v>
      </c>
      <c r="AY118">
        <f>SUMIF(DeadRaw!$B:$B,$A118,DeadRaw!BB:BB)</f>
        <v>0</v>
      </c>
      <c r="AZ118">
        <f>SUMIF(DeadRaw!$B:$B,$A118,DeadRaw!BC:BC)</f>
        <v>1</v>
      </c>
      <c r="BA118">
        <f>SUMIF(DeadRaw!$B:$B,$A118,DeadRaw!BD:BD)</f>
        <v>1</v>
      </c>
      <c r="BB118">
        <f>SUMIF(DeadRaw!$B:$B,$A118,DeadRaw!BE:BE)</f>
        <v>1</v>
      </c>
      <c r="BC118">
        <f>SUMIF(DeadRaw!$B:$B,$A118,DeadRaw!BF:BF)</f>
        <v>1</v>
      </c>
      <c r="BD118">
        <f>SUMIF(DeadRaw!$B:$B,$A118,DeadRaw!BG:BG)</f>
        <v>1</v>
      </c>
      <c r="BE118">
        <f>SUMIF(DeadRaw!$B:$B,$A118,DeadRaw!BH:BH)</f>
        <v>1</v>
      </c>
      <c r="BF118">
        <f>SUMIF(DeadRaw!$B:$B,$A118,DeadRaw!BI:BI)</f>
        <v>1</v>
      </c>
      <c r="BG118">
        <f>SUMIF(DeadRaw!$B:$B,$A118,DeadRaw!BJ:BJ)</f>
        <v>0</v>
      </c>
      <c r="BH118">
        <f>SUMIF(DeadRaw!$B:$B,$A118,DeadRaw!BK:BK)</f>
        <v>0</v>
      </c>
      <c r="BI118">
        <f>SUMIF(DeadRaw!$B:$B,$A118,DeadRaw!BL:BL)</f>
        <v>0</v>
      </c>
      <c r="BJ118">
        <f>SUMIF(DeadRaw!$B:$B,$A118,DeadRaw!BM:BM)</f>
        <v>0</v>
      </c>
      <c r="BK118">
        <f>SUMIF(DeadRaw!$B:$B,$A118,DeadRaw!BN:BN)</f>
        <v>0</v>
      </c>
      <c r="BL118">
        <f>SUMIF(DeadRaw!$B:$B,$A118,DeadRaw!BO:BO)</f>
        <v>0</v>
      </c>
      <c r="BM118">
        <f>SUMIF(DeadRaw!$B:$B,$A118,DeadRaw!BP:BP)</f>
        <v>0</v>
      </c>
      <c r="BN118">
        <f>SUMIF(DeadRaw!$B:$B,$A118,DeadRaw!BQ:BQ)</f>
        <v>0</v>
      </c>
      <c r="BO118">
        <f>SUMIF(DeadRaw!$B:$B,$A118,DeadRaw!BR:BR)</f>
        <v>0</v>
      </c>
      <c r="BP118">
        <f>SUMIF(DeadRaw!$B:$B,$A118,DeadRaw!BS:BS)</f>
        <v>0</v>
      </c>
      <c r="BQ118">
        <f>SUMIF(DeadRaw!$B:$B,$A118,DeadRaw!BT:BT)</f>
        <v>0</v>
      </c>
      <c r="BR118">
        <f>SUMIF(DeadRaw!$B:$B,$A118,DeadRaw!BU:BU)</f>
        <v>0</v>
      </c>
      <c r="BS118">
        <f>SUMIF(DeadRaw!$B:$B,$A118,DeadRaw!BV:BV)</f>
        <v>0</v>
      </c>
      <c r="BT118">
        <f>SUMIF(DeadRaw!$B:$B,$A118,DeadRaw!BW:BW)</f>
        <v>0</v>
      </c>
    </row>
    <row r="119" spans="1:72" ht="15" thickBot="1" x14ac:dyDescent="0.35">
      <c r="A119" s="3" t="s">
        <v>281</v>
      </c>
      <c r="B119">
        <f>SUMIF(DeadRaw!$B:$B,$A119,DeadRaw!E:E)</f>
        <v>0</v>
      </c>
      <c r="C119">
        <f>SUMIF(DeadRaw!$B:$B,$A119,DeadRaw!F:F)</f>
        <v>0</v>
      </c>
      <c r="D119">
        <f>SUMIF(DeadRaw!$B:$B,$A119,DeadRaw!G:G)</f>
        <v>0</v>
      </c>
      <c r="E119">
        <f>SUMIF(DeadRaw!$B:$B,$A119,DeadRaw!H:H)</f>
        <v>0</v>
      </c>
      <c r="F119">
        <f>SUMIF(DeadRaw!$B:$B,$A119,DeadRaw!I:I)</f>
        <v>0</v>
      </c>
      <c r="G119">
        <f>SUMIF(DeadRaw!$B:$B,$A119,DeadRaw!J:J)</f>
        <v>0</v>
      </c>
      <c r="H119">
        <f>SUMIF(DeadRaw!$B:$B,$A119,DeadRaw!K:K)</f>
        <v>0</v>
      </c>
      <c r="I119">
        <f>SUMIF(DeadRaw!$B:$B,$A119,DeadRaw!L:L)</f>
        <v>0</v>
      </c>
      <c r="J119">
        <f>SUMIF(DeadRaw!$B:$B,$A119,DeadRaw!M:M)</f>
        <v>0</v>
      </c>
      <c r="K119">
        <f>SUMIF(DeadRaw!$B:$B,$A119,DeadRaw!N:N)</f>
        <v>0</v>
      </c>
      <c r="L119">
        <f>SUMIF(DeadRaw!$B:$B,$A119,DeadRaw!O:O)</f>
        <v>0</v>
      </c>
      <c r="M119">
        <f>SUMIF(DeadRaw!$B:$B,$A119,DeadRaw!P:P)</f>
        <v>0</v>
      </c>
      <c r="N119">
        <f>SUMIF(DeadRaw!$B:$B,$A119,DeadRaw!Q:Q)</f>
        <v>0</v>
      </c>
      <c r="O119">
        <f>SUMIF(DeadRaw!$B:$B,$A119,DeadRaw!R:R)</f>
        <v>0</v>
      </c>
      <c r="P119">
        <f>SUMIF(DeadRaw!$B:$B,$A119,DeadRaw!S:S)</f>
        <v>0</v>
      </c>
      <c r="Q119">
        <f>SUMIF(DeadRaw!$B:$B,$A119,DeadRaw!T:T)</f>
        <v>0</v>
      </c>
      <c r="R119">
        <f>SUMIF(DeadRaw!$B:$B,$A119,DeadRaw!U:U)</f>
        <v>0</v>
      </c>
      <c r="S119">
        <f>SUMIF(DeadRaw!$B:$B,$A119,DeadRaw!V:V)</f>
        <v>0</v>
      </c>
      <c r="T119">
        <f>SUMIF(DeadRaw!$B:$B,$A119,DeadRaw!W:W)</f>
        <v>0</v>
      </c>
      <c r="U119">
        <f>SUMIF(DeadRaw!$B:$B,$A119,DeadRaw!X:X)</f>
        <v>0</v>
      </c>
      <c r="V119">
        <f>SUMIF(DeadRaw!$B:$B,$A119,DeadRaw!Y:Y)</f>
        <v>0</v>
      </c>
      <c r="W119">
        <f>SUMIF(DeadRaw!$B:$B,$A119,DeadRaw!Z:Z)</f>
        <v>0</v>
      </c>
      <c r="X119">
        <f>SUMIF(DeadRaw!$B:$B,$A119,DeadRaw!AA:AA)</f>
        <v>0</v>
      </c>
      <c r="Y119">
        <f>SUMIF(DeadRaw!$B:$B,$A119,DeadRaw!AB:AB)</f>
        <v>0</v>
      </c>
      <c r="Z119">
        <f>SUMIF(DeadRaw!$B:$B,$A119,DeadRaw!AC:AC)</f>
        <v>0</v>
      </c>
      <c r="AA119">
        <f>SUMIF(DeadRaw!$B:$B,$A119,DeadRaw!AD:AD)</f>
        <v>0</v>
      </c>
      <c r="AB119">
        <f>SUMIF(DeadRaw!$B:$B,$A119,DeadRaw!AE:AE)</f>
        <v>0</v>
      </c>
      <c r="AC119">
        <f>SUMIF(DeadRaw!$B:$B,$A119,DeadRaw!AF:AF)</f>
        <v>0</v>
      </c>
      <c r="AD119">
        <f>SUMIF(DeadRaw!$B:$B,$A119,DeadRaw!AG:AG)</f>
        <v>0</v>
      </c>
      <c r="AE119">
        <f>SUMIF(DeadRaw!$B:$B,$A119,DeadRaw!AH:AH)</f>
        <v>0</v>
      </c>
      <c r="AF119">
        <f>SUMIF(DeadRaw!$B:$B,$A119,DeadRaw!AI:AI)</f>
        <v>0</v>
      </c>
      <c r="AG119">
        <f>SUMIF(DeadRaw!$B:$B,$A119,DeadRaw!AJ:AJ)</f>
        <v>0</v>
      </c>
      <c r="AH119">
        <f>SUMIF(DeadRaw!$B:$B,$A119,DeadRaw!AK:AK)</f>
        <v>0</v>
      </c>
      <c r="AI119">
        <f>SUMIF(DeadRaw!$B:$B,$A119,DeadRaw!AL:AL)</f>
        <v>0</v>
      </c>
      <c r="AJ119">
        <f>SUMIF(DeadRaw!$B:$B,$A119,DeadRaw!AM:AM)</f>
        <v>0</v>
      </c>
      <c r="AK119">
        <f>SUMIF(DeadRaw!$B:$B,$A119,DeadRaw!AN:AN)</f>
        <v>0</v>
      </c>
      <c r="AL119">
        <f>SUMIF(DeadRaw!$B:$B,$A119,DeadRaw!AO:AO)</f>
        <v>0</v>
      </c>
      <c r="AM119">
        <f>SUMIF(DeadRaw!$B:$B,$A119,DeadRaw!AP:AP)</f>
        <v>0</v>
      </c>
      <c r="AN119">
        <f>SUMIF(DeadRaw!$B:$B,$A119,DeadRaw!AQ:AQ)</f>
        <v>0</v>
      </c>
      <c r="AO119">
        <f>SUMIF(DeadRaw!$B:$B,$A119,DeadRaw!AR:AR)</f>
        <v>0</v>
      </c>
      <c r="AP119">
        <f>SUMIF(DeadRaw!$B:$B,$A119,DeadRaw!AS:AS)</f>
        <v>0</v>
      </c>
      <c r="AQ119">
        <f>SUMIF(DeadRaw!$B:$B,$A119,DeadRaw!AT:AT)</f>
        <v>0</v>
      </c>
      <c r="AR119">
        <f>SUMIF(DeadRaw!$B:$B,$A119,DeadRaw!AU:AU)</f>
        <v>0</v>
      </c>
      <c r="AS119">
        <f>SUMIF(DeadRaw!$B:$B,$A119,DeadRaw!AV:AV)</f>
        <v>0</v>
      </c>
      <c r="AT119">
        <f>SUMIF(DeadRaw!$B:$B,$A119,DeadRaw!AW:AW)</f>
        <v>0</v>
      </c>
      <c r="AU119">
        <f>SUMIF(DeadRaw!$B:$B,$A119,DeadRaw!AX:AX)</f>
        <v>0</v>
      </c>
      <c r="AV119">
        <f>SUMIF(DeadRaw!$B:$B,$A119,DeadRaw!AY:AY)</f>
        <v>0</v>
      </c>
      <c r="AW119">
        <f>SUMIF(DeadRaw!$B:$B,$A119,DeadRaw!AZ:AZ)</f>
        <v>0</v>
      </c>
      <c r="AX119">
        <f>SUMIF(DeadRaw!$B:$B,$A119,DeadRaw!BA:BA)</f>
        <v>0</v>
      </c>
      <c r="AY119">
        <f>SUMIF(DeadRaw!$B:$B,$A119,DeadRaw!BB:BB)</f>
        <v>0</v>
      </c>
      <c r="AZ119">
        <f>SUMIF(DeadRaw!$B:$B,$A119,DeadRaw!BC:BC)</f>
        <v>0</v>
      </c>
      <c r="BA119">
        <f>SUMIF(DeadRaw!$B:$B,$A119,DeadRaw!BD:BD)</f>
        <v>0</v>
      </c>
      <c r="BB119">
        <f>SUMIF(DeadRaw!$B:$B,$A119,DeadRaw!BE:BE)</f>
        <v>0</v>
      </c>
      <c r="BC119">
        <f>SUMIF(DeadRaw!$B:$B,$A119,DeadRaw!BF:BF)</f>
        <v>0</v>
      </c>
      <c r="BD119">
        <f>SUMIF(DeadRaw!$B:$B,$A119,DeadRaw!BG:BG)</f>
        <v>0</v>
      </c>
      <c r="BE119">
        <f>SUMIF(DeadRaw!$B:$B,$A119,DeadRaw!BH:BH)</f>
        <v>0</v>
      </c>
      <c r="BF119">
        <f>SUMIF(DeadRaw!$B:$B,$A119,DeadRaw!BI:BI)</f>
        <v>0</v>
      </c>
      <c r="BG119">
        <f>SUMIF(DeadRaw!$B:$B,$A119,DeadRaw!BJ:BJ)</f>
        <v>0</v>
      </c>
      <c r="BH119">
        <f>SUMIF(DeadRaw!$B:$B,$A119,DeadRaw!BK:BK)</f>
        <v>0</v>
      </c>
      <c r="BI119">
        <f>SUMIF(DeadRaw!$B:$B,$A119,DeadRaw!BL:BL)</f>
        <v>0</v>
      </c>
      <c r="BJ119">
        <f>SUMIF(DeadRaw!$B:$B,$A119,DeadRaw!BM:BM)</f>
        <v>0</v>
      </c>
      <c r="BK119">
        <f>SUMIF(DeadRaw!$B:$B,$A119,DeadRaw!BN:BN)</f>
        <v>0</v>
      </c>
      <c r="BL119">
        <f>SUMIF(DeadRaw!$B:$B,$A119,DeadRaw!BO:BO)</f>
        <v>0</v>
      </c>
      <c r="BM119">
        <f>SUMIF(DeadRaw!$B:$B,$A119,DeadRaw!BP:BP)</f>
        <v>0</v>
      </c>
      <c r="BN119">
        <f>SUMIF(DeadRaw!$B:$B,$A119,DeadRaw!BQ:BQ)</f>
        <v>0</v>
      </c>
      <c r="BO119">
        <f>SUMIF(DeadRaw!$B:$B,$A119,DeadRaw!BR:BR)</f>
        <v>0</v>
      </c>
      <c r="BP119">
        <f>SUMIF(DeadRaw!$B:$B,$A119,DeadRaw!BS:BS)</f>
        <v>0</v>
      </c>
      <c r="BQ119">
        <f>SUMIF(DeadRaw!$B:$B,$A119,DeadRaw!BT:BT)</f>
        <v>0</v>
      </c>
      <c r="BR119">
        <f>SUMIF(DeadRaw!$B:$B,$A119,DeadRaw!BU:BU)</f>
        <v>0</v>
      </c>
      <c r="BS119">
        <f>SUMIF(DeadRaw!$B:$B,$A119,DeadRaw!BV:BV)</f>
        <v>0</v>
      </c>
      <c r="BT119">
        <f>SUMIF(DeadRaw!$B:$B,$A119,DeadRaw!BW:BW)</f>
        <v>0</v>
      </c>
    </row>
    <row r="120" spans="1:72" ht="15" thickBot="1" x14ac:dyDescent="0.35">
      <c r="A120" s="4" t="s">
        <v>125</v>
      </c>
      <c r="B120">
        <f>SUMIF(DeadRaw!$B:$B,$A120,DeadRaw!E:E)</f>
        <v>0</v>
      </c>
      <c r="C120">
        <f>SUMIF(DeadRaw!$B:$B,$A120,DeadRaw!F:F)</f>
        <v>0</v>
      </c>
      <c r="D120">
        <f>SUMIF(DeadRaw!$B:$B,$A120,DeadRaw!G:G)</f>
        <v>0</v>
      </c>
      <c r="E120">
        <f>SUMIF(DeadRaw!$B:$B,$A120,DeadRaw!H:H)</f>
        <v>0</v>
      </c>
      <c r="F120">
        <f>SUMIF(DeadRaw!$B:$B,$A120,DeadRaw!I:I)</f>
        <v>0</v>
      </c>
      <c r="G120">
        <f>SUMIF(DeadRaw!$B:$B,$A120,DeadRaw!J:J)</f>
        <v>0</v>
      </c>
      <c r="H120">
        <f>SUMIF(DeadRaw!$B:$B,$A120,DeadRaw!K:K)</f>
        <v>0</v>
      </c>
      <c r="I120">
        <f>SUMIF(DeadRaw!$B:$B,$A120,DeadRaw!L:L)</f>
        <v>0</v>
      </c>
      <c r="J120">
        <f>SUMIF(DeadRaw!$B:$B,$A120,DeadRaw!M:M)</f>
        <v>0</v>
      </c>
      <c r="K120">
        <f>SUMIF(DeadRaw!$B:$B,$A120,DeadRaw!N:N)</f>
        <v>0</v>
      </c>
      <c r="L120">
        <f>SUMIF(DeadRaw!$B:$B,$A120,DeadRaw!O:O)</f>
        <v>0</v>
      </c>
      <c r="M120">
        <f>SUMIF(DeadRaw!$B:$B,$A120,DeadRaw!P:P)</f>
        <v>0</v>
      </c>
      <c r="N120">
        <f>SUMIF(DeadRaw!$B:$B,$A120,DeadRaw!Q:Q)</f>
        <v>0</v>
      </c>
      <c r="O120">
        <f>SUMIF(DeadRaw!$B:$B,$A120,DeadRaw!R:R)</f>
        <v>0</v>
      </c>
      <c r="P120">
        <f>SUMIF(DeadRaw!$B:$B,$A120,DeadRaw!S:S)</f>
        <v>0</v>
      </c>
      <c r="Q120">
        <f>SUMIF(DeadRaw!$B:$B,$A120,DeadRaw!T:T)</f>
        <v>0</v>
      </c>
      <c r="R120">
        <f>SUMIF(DeadRaw!$B:$B,$A120,DeadRaw!U:U)</f>
        <v>0</v>
      </c>
      <c r="S120">
        <f>SUMIF(DeadRaw!$B:$B,$A120,DeadRaw!V:V)</f>
        <v>0</v>
      </c>
      <c r="T120">
        <f>SUMIF(DeadRaw!$B:$B,$A120,DeadRaw!W:W)</f>
        <v>0</v>
      </c>
      <c r="U120">
        <f>SUMIF(DeadRaw!$B:$B,$A120,DeadRaw!X:X)</f>
        <v>0</v>
      </c>
      <c r="V120">
        <f>SUMIF(DeadRaw!$B:$B,$A120,DeadRaw!Y:Y)</f>
        <v>0</v>
      </c>
      <c r="W120">
        <f>SUMIF(DeadRaw!$B:$B,$A120,DeadRaw!Z:Z)</f>
        <v>0</v>
      </c>
      <c r="X120">
        <f>SUMIF(DeadRaw!$B:$B,$A120,DeadRaw!AA:AA)</f>
        <v>0</v>
      </c>
      <c r="Y120">
        <f>SUMIF(DeadRaw!$B:$B,$A120,DeadRaw!AB:AB)</f>
        <v>0</v>
      </c>
      <c r="Z120">
        <f>SUMIF(DeadRaw!$B:$B,$A120,DeadRaw!AC:AC)</f>
        <v>0</v>
      </c>
      <c r="AA120">
        <f>SUMIF(DeadRaw!$B:$B,$A120,DeadRaw!AD:AD)</f>
        <v>0</v>
      </c>
      <c r="AB120">
        <f>SUMIF(DeadRaw!$B:$B,$A120,DeadRaw!AE:AE)</f>
        <v>0</v>
      </c>
      <c r="AC120">
        <f>SUMIF(DeadRaw!$B:$B,$A120,DeadRaw!AF:AF)</f>
        <v>0</v>
      </c>
      <c r="AD120">
        <f>SUMIF(DeadRaw!$B:$B,$A120,DeadRaw!AG:AG)</f>
        <v>0</v>
      </c>
      <c r="AE120">
        <f>SUMIF(DeadRaw!$B:$B,$A120,DeadRaw!AH:AH)</f>
        <v>0</v>
      </c>
      <c r="AF120">
        <f>SUMIF(DeadRaw!$B:$B,$A120,DeadRaw!AI:AI)</f>
        <v>0</v>
      </c>
      <c r="AG120">
        <f>SUMIF(DeadRaw!$B:$B,$A120,DeadRaw!AJ:AJ)</f>
        <v>0</v>
      </c>
      <c r="AH120">
        <f>SUMIF(DeadRaw!$B:$B,$A120,DeadRaw!AK:AK)</f>
        <v>0</v>
      </c>
      <c r="AI120">
        <f>SUMIF(DeadRaw!$B:$B,$A120,DeadRaw!AL:AL)</f>
        <v>0</v>
      </c>
      <c r="AJ120">
        <f>SUMIF(DeadRaw!$B:$B,$A120,DeadRaw!AM:AM)</f>
        <v>0</v>
      </c>
      <c r="AK120">
        <f>SUMIF(DeadRaw!$B:$B,$A120,DeadRaw!AN:AN)</f>
        <v>0</v>
      </c>
      <c r="AL120">
        <f>SUMIF(DeadRaw!$B:$B,$A120,DeadRaw!AO:AO)</f>
        <v>0</v>
      </c>
      <c r="AM120">
        <f>SUMIF(DeadRaw!$B:$B,$A120,DeadRaw!AP:AP)</f>
        <v>0</v>
      </c>
      <c r="AN120">
        <f>SUMIF(DeadRaw!$B:$B,$A120,DeadRaw!AQ:AQ)</f>
        <v>0</v>
      </c>
      <c r="AO120">
        <f>SUMIF(DeadRaw!$B:$B,$A120,DeadRaw!AR:AR)</f>
        <v>0</v>
      </c>
      <c r="AP120">
        <f>SUMIF(DeadRaw!$B:$B,$A120,DeadRaw!AS:AS)</f>
        <v>0</v>
      </c>
      <c r="AQ120">
        <f>SUMIF(DeadRaw!$B:$B,$A120,DeadRaw!AT:AT)</f>
        <v>0</v>
      </c>
      <c r="AR120">
        <f>SUMIF(DeadRaw!$B:$B,$A120,DeadRaw!AU:AU)</f>
        <v>0</v>
      </c>
      <c r="AS120">
        <f>SUMIF(DeadRaw!$B:$B,$A120,DeadRaw!AV:AV)</f>
        <v>0</v>
      </c>
      <c r="AT120">
        <f>SUMIF(DeadRaw!$B:$B,$A120,DeadRaw!AW:AW)</f>
        <v>0</v>
      </c>
      <c r="AU120">
        <f>SUMIF(DeadRaw!$B:$B,$A120,DeadRaw!AX:AX)</f>
        <v>0</v>
      </c>
      <c r="AV120">
        <f>SUMIF(DeadRaw!$B:$B,$A120,DeadRaw!AY:AY)</f>
        <v>0</v>
      </c>
      <c r="AW120">
        <f>SUMIF(DeadRaw!$B:$B,$A120,DeadRaw!AZ:AZ)</f>
        <v>0</v>
      </c>
      <c r="AX120">
        <f>SUMIF(DeadRaw!$B:$B,$A120,DeadRaw!BA:BA)</f>
        <v>0</v>
      </c>
      <c r="AY120">
        <f>SUMIF(DeadRaw!$B:$B,$A120,DeadRaw!BB:BB)</f>
        <v>0</v>
      </c>
      <c r="AZ120">
        <f>SUMIF(DeadRaw!$B:$B,$A120,DeadRaw!BC:BC)</f>
        <v>0</v>
      </c>
      <c r="BA120">
        <f>SUMIF(DeadRaw!$B:$B,$A120,DeadRaw!BD:BD)</f>
        <v>0</v>
      </c>
      <c r="BB120">
        <f>SUMIF(DeadRaw!$B:$B,$A120,DeadRaw!BE:BE)</f>
        <v>0</v>
      </c>
      <c r="BC120">
        <f>SUMIF(DeadRaw!$B:$B,$A120,DeadRaw!BF:BF)</f>
        <v>0</v>
      </c>
      <c r="BD120">
        <f>SUMIF(DeadRaw!$B:$B,$A120,DeadRaw!BG:BG)</f>
        <v>0</v>
      </c>
      <c r="BE120">
        <f>SUMIF(DeadRaw!$B:$B,$A120,DeadRaw!BH:BH)</f>
        <v>0</v>
      </c>
      <c r="BF120">
        <f>SUMIF(DeadRaw!$B:$B,$A120,DeadRaw!BI:BI)</f>
        <v>0</v>
      </c>
      <c r="BG120">
        <f>SUMIF(DeadRaw!$B:$B,$A120,DeadRaw!BJ:BJ)</f>
        <v>0</v>
      </c>
      <c r="BH120">
        <f>SUMIF(DeadRaw!$B:$B,$A120,DeadRaw!BK:BK)</f>
        <v>0</v>
      </c>
      <c r="BI120">
        <f>SUMIF(DeadRaw!$B:$B,$A120,DeadRaw!BL:BL)</f>
        <v>0</v>
      </c>
      <c r="BJ120">
        <f>SUMIF(DeadRaw!$B:$B,$A120,DeadRaw!BM:BM)</f>
        <v>0</v>
      </c>
      <c r="BK120">
        <f>SUMIF(DeadRaw!$B:$B,$A120,DeadRaw!BN:BN)</f>
        <v>0</v>
      </c>
      <c r="BL120">
        <f>SUMIF(DeadRaw!$B:$B,$A120,DeadRaw!BO:BO)</f>
        <v>0</v>
      </c>
      <c r="BM120">
        <f>SUMIF(DeadRaw!$B:$B,$A120,DeadRaw!BP:BP)</f>
        <v>0</v>
      </c>
      <c r="BN120">
        <f>SUMIF(DeadRaw!$B:$B,$A120,DeadRaw!BQ:BQ)</f>
        <v>0</v>
      </c>
      <c r="BO120">
        <f>SUMIF(DeadRaw!$B:$B,$A120,DeadRaw!BR:BR)</f>
        <v>0</v>
      </c>
      <c r="BP120">
        <f>SUMIF(DeadRaw!$B:$B,$A120,DeadRaw!BS:BS)</f>
        <v>0</v>
      </c>
      <c r="BQ120">
        <f>SUMIF(DeadRaw!$B:$B,$A120,DeadRaw!BT:BT)</f>
        <v>0</v>
      </c>
      <c r="BR120">
        <f>SUMIF(DeadRaw!$B:$B,$A120,DeadRaw!BU:BU)</f>
        <v>0</v>
      </c>
      <c r="BS120">
        <f>SUMIF(DeadRaw!$B:$B,$A120,DeadRaw!BV:BV)</f>
        <v>0</v>
      </c>
      <c r="BT120">
        <f>SUMIF(DeadRaw!$B:$B,$A120,DeadRaw!BW:BW)</f>
        <v>0</v>
      </c>
    </row>
    <row r="121" spans="1:72" ht="15" thickBot="1" x14ac:dyDescent="0.35">
      <c r="A121" s="3" t="s">
        <v>423</v>
      </c>
      <c r="B121">
        <f>SUMIF(DeadRaw!$B:$B,$A121,DeadRaw!E:E)</f>
        <v>0</v>
      </c>
      <c r="C121">
        <f>SUMIF(DeadRaw!$B:$B,$A121,DeadRaw!F:F)</f>
        <v>0</v>
      </c>
      <c r="D121">
        <f>SUMIF(DeadRaw!$B:$B,$A121,DeadRaw!G:G)</f>
        <v>0</v>
      </c>
      <c r="E121">
        <f>SUMIF(DeadRaw!$B:$B,$A121,DeadRaw!H:H)</f>
        <v>0</v>
      </c>
      <c r="F121">
        <f>SUMIF(DeadRaw!$B:$B,$A121,DeadRaw!I:I)</f>
        <v>0</v>
      </c>
      <c r="G121">
        <f>SUMIF(DeadRaw!$B:$B,$A121,DeadRaw!J:J)</f>
        <v>0</v>
      </c>
      <c r="H121">
        <f>SUMIF(DeadRaw!$B:$B,$A121,DeadRaw!K:K)</f>
        <v>0</v>
      </c>
      <c r="I121">
        <f>SUMIF(DeadRaw!$B:$B,$A121,DeadRaw!L:L)</f>
        <v>0</v>
      </c>
      <c r="J121">
        <f>SUMIF(DeadRaw!$B:$B,$A121,DeadRaw!M:M)</f>
        <v>0</v>
      </c>
      <c r="K121">
        <f>SUMIF(DeadRaw!$B:$B,$A121,DeadRaw!N:N)</f>
        <v>0</v>
      </c>
      <c r="L121">
        <f>SUMIF(DeadRaw!$B:$B,$A121,DeadRaw!O:O)</f>
        <v>0</v>
      </c>
      <c r="M121">
        <f>SUMIF(DeadRaw!$B:$B,$A121,DeadRaw!P:P)</f>
        <v>0</v>
      </c>
      <c r="N121">
        <f>SUMIF(DeadRaw!$B:$B,$A121,DeadRaw!Q:Q)</f>
        <v>0</v>
      </c>
      <c r="O121">
        <f>SUMIF(DeadRaw!$B:$B,$A121,DeadRaw!R:R)</f>
        <v>0</v>
      </c>
      <c r="P121">
        <f>SUMIF(DeadRaw!$B:$B,$A121,DeadRaw!S:S)</f>
        <v>0</v>
      </c>
      <c r="Q121">
        <f>SUMIF(DeadRaw!$B:$B,$A121,DeadRaw!T:T)</f>
        <v>0</v>
      </c>
      <c r="R121">
        <f>SUMIF(DeadRaw!$B:$B,$A121,DeadRaw!U:U)</f>
        <v>0</v>
      </c>
      <c r="S121">
        <f>SUMIF(DeadRaw!$B:$B,$A121,DeadRaw!V:V)</f>
        <v>0</v>
      </c>
      <c r="T121">
        <f>SUMIF(DeadRaw!$B:$B,$A121,DeadRaw!W:W)</f>
        <v>0</v>
      </c>
      <c r="U121">
        <f>SUMIF(DeadRaw!$B:$B,$A121,DeadRaw!X:X)</f>
        <v>0</v>
      </c>
      <c r="V121">
        <f>SUMIF(DeadRaw!$B:$B,$A121,DeadRaw!Y:Y)</f>
        <v>0</v>
      </c>
      <c r="W121">
        <f>SUMIF(DeadRaw!$B:$B,$A121,DeadRaw!Z:Z)</f>
        <v>0</v>
      </c>
      <c r="X121">
        <f>SUMIF(DeadRaw!$B:$B,$A121,DeadRaw!AA:AA)</f>
        <v>0</v>
      </c>
      <c r="Y121">
        <f>SUMIF(DeadRaw!$B:$B,$A121,DeadRaw!AB:AB)</f>
        <v>0</v>
      </c>
      <c r="Z121">
        <f>SUMIF(DeadRaw!$B:$B,$A121,DeadRaw!AC:AC)</f>
        <v>0</v>
      </c>
      <c r="AA121">
        <f>SUMIF(DeadRaw!$B:$B,$A121,DeadRaw!AD:AD)</f>
        <v>0</v>
      </c>
      <c r="AB121">
        <f>SUMIF(DeadRaw!$B:$B,$A121,DeadRaw!AE:AE)</f>
        <v>0</v>
      </c>
      <c r="AC121">
        <f>SUMIF(DeadRaw!$B:$B,$A121,DeadRaw!AF:AF)</f>
        <v>0</v>
      </c>
      <c r="AD121">
        <f>SUMIF(DeadRaw!$B:$B,$A121,DeadRaw!AG:AG)</f>
        <v>0</v>
      </c>
      <c r="AE121">
        <f>SUMIF(DeadRaw!$B:$B,$A121,DeadRaw!AH:AH)</f>
        <v>0</v>
      </c>
      <c r="AF121">
        <f>SUMIF(DeadRaw!$B:$B,$A121,DeadRaw!AI:AI)</f>
        <v>0</v>
      </c>
      <c r="AG121">
        <f>SUMIF(DeadRaw!$B:$B,$A121,DeadRaw!AJ:AJ)</f>
        <v>0</v>
      </c>
      <c r="AH121">
        <f>SUMIF(DeadRaw!$B:$B,$A121,DeadRaw!AK:AK)</f>
        <v>0</v>
      </c>
      <c r="AI121">
        <f>SUMIF(DeadRaw!$B:$B,$A121,DeadRaw!AL:AL)</f>
        <v>0</v>
      </c>
      <c r="AJ121">
        <f>SUMIF(DeadRaw!$B:$B,$A121,DeadRaw!AM:AM)</f>
        <v>0</v>
      </c>
      <c r="AK121">
        <f>SUMIF(DeadRaw!$B:$B,$A121,DeadRaw!AN:AN)</f>
        <v>0</v>
      </c>
      <c r="AL121">
        <f>SUMIF(DeadRaw!$B:$B,$A121,DeadRaw!AO:AO)</f>
        <v>0</v>
      </c>
      <c r="AM121">
        <f>SUMIF(DeadRaw!$B:$B,$A121,DeadRaw!AP:AP)</f>
        <v>0</v>
      </c>
      <c r="AN121">
        <f>SUMIF(DeadRaw!$B:$B,$A121,DeadRaw!AQ:AQ)</f>
        <v>0</v>
      </c>
      <c r="AO121">
        <f>SUMIF(DeadRaw!$B:$B,$A121,DeadRaw!AR:AR)</f>
        <v>0</v>
      </c>
      <c r="AP121">
        <f>SUMIF(DeadRaw!$B:$B,$A121,DeadRaw!AS:AS)</f>
        <v>0</v>
      </c>
      <c r="AQ121">
        <f>SUMIF(DeadRaw!$B:$B,$A121,DeadRaw!AT:AT)</f>
        <v>0</v>
      </c>
      <c r="AR121">
        <f>SUMIF(DeadRaw!$B:$B,$A121,DeadRaw!AU:AU)</f>
        <v>0</v>
      </c>
      <c r="AS121">
        <f>SUMIF(DeadRaw!$B:$B,$A121,DeadRaw!AV:AV)</f>
        <v>0</v>
      </c>
      <c r="AT121">
        <f>SUMIF(DeadRaw!$B:$B,$A121,DeadRaw!AW:AW)</f>
        <v>0</v>
      </c>
      <c r="AU121">
        <f>SUMIF(DeadRaw!$B:$B,$A121,DeadRaw!AX:AX)</f>
        <v>0</v>
      </c>
      <c r="AV121">
        <f>SUMIF(DeadRaw!$B:$B,$A121,DeadRaw!AY:AY)</f>
        <v>0</v>
      </c>
      <c r="AW121">
        <f>SUMIF(DeadRaw!$B:$B,$A121,DeadRaw!AZ:AZ)</f>
        <v>0</v>
      </c>
      <c r="AX121">
        <f>SUMIF(DeadRaw!$B:$B,$A121,DeadRaw!BA:BA)</f>
        <v>0</v>
      </c>
      <c r="AY121">
        <f>SUMIF(DeadRaw!$B:$B,$A121,DeadRaw!BB:BB)</f>
        <v>0</v>
      </c>
      <c r="AZ121">
        <f>SUMIF(DeadRaw!$B:$B,$A121,DeadRaw!BC:BC)</f>
        <v>0</v>
      </c>
      <c r="BA121">
        <f>SUMIF(DeadRaw!$B:$B,$A121,DeadRaw!BD:BD)</f>
        <v>0</v>
      </c>
      <c r="BB121">
        <f>SUMIF(DeadRaw!$B:$B,$A121,DeadRaw!BE:BE)</f>
        <v>0</v>
      </c>
      <c r="BC121">
        <f>SUMIF(DeadRaw!$B:$B,$A121,DeadRaw!BF:BF)</f>
        <v>0</v>
      </c>
      <c r="BD121">
        <f>SUMIF(DeadRaw!$B:$B,$A121,DeadRaw!BG:BG)</f>
        <v>0</v>
      </c>
      <c r="BE121">
        <f>SUMIF(DeadRaw!$B:$B,$A121,DeadRaw!BH:BH)</f>
        <v>0</v>
      </c>
      <c r="BF121">
        <f>SUMIF(DeadRaw!$B:$B,$A121,DeadRaw!BI:BI)</f>
        <v>0</v>
      </c>
      <c r="BG121">
        <f>SUMIF(DeadRaw!$B:$B,$A121,DeadRaw!BJ:BJ)</f>
        <v>0</v>
      </c>
      <c r="BH121">
        <f>SUMIF(DeadRaw!$B:$B,$A121,DeadRaw!BK:BK)</f>
        <v>0</v>
      </c>
      <c r="BI121">
        <f>SUMIF(DeadRaw!$B:$B,$A121,DeadRaw!BL:BL)</f>
        <v>0</v>
      </c>
      <c r="BJ121">
        <f>SUMIF(DeadRaw!$B:$B,$A121,DeadRaw!BM:BM)</f>
        <v>0</v>
      </c>
      <c r="BK121">
        <f>SUMIF(DeadRaw!$B:$B,$A121,DeadRaw!BN:BN)</f>
        <v>0</v>
      </c>
      <c r="BL121">
        <f>SUMIF(DeadRaw!$B:$B,$A121,DeadRaw!BO:BO)</f>
        <v>0</v>
      </c>
      <c r="BM121">
        <f>SUMIF(DeadRaw!$B:$B,$A121,DeadRaw!BP:BP)</f>
        <v>0</v>
      </c>
      <c r="BN121">
        <f>SUMIF(DeadRaw!$B:$B,$A121,DeadRaw!BQ:BQ)</f>
        <v>0</v>
      </c>
      <c r="BO121">
        <f>SUMIF(DeadRaw!$B:$B,$A121,DeadRaw!BR:BR)</f>
        <v>0</v>
      </c>
      <c r="BP121">
        <f>SUMIF(DeadRaw!$B:$B,$A121,DeadRaw!BS:BS)</f>
        <v>0</v>
      </c>
      <c r="BQ121">
        <f>SUMIF(DeadRaw!$B:$B,$A121,DeadRaw!BT:BT)</f>
        <v>0</v>
      </c>
      <c r="BR121">
        <f>SUMIF(DeadRaw!$B:$B,$A121,DeadRaw!BU:BU)</f>
        <v>0</v>
      </c>
      <c r="BS121">
        <f>SUMIF(DeadRaw!$B:$B,$A121,DeadRaw!BV:BV)</f>
        <v>0</v>
      </c>
      <c r="BT121">
        <f>SUMIF(DeadRaw!$B:$B,$A121,DeadRaw!BW:BW)</f>
        <v>0</v>
      </c>
    </row>
    <row r="122" spans="1:72" ht="15" thickBot="1" x14ac:dyDescent="0.35">
      <c r="A122" s="4" t="s">
        <v>136</v>
      </c>
      <c r="B122">
        <f>SUMIF(DeadRaw!$B:$B,$A122,DeadRaw!E:E)</f>
        <v>0</v>
      </c>
      <c r="C122">
        <f>SUMIF(DeadRaw!$B:$B,$A122,DeadRaw!F:F)</f>
        <v>0</v>
      </c>
      <c r="D122">
        <f>SUMIF(DeadRaw!$B:$B,$A122,DeadRaw!G:G)</f>
        <v>0</v>
      </c>
      <c r="E122">
        <f>SUMIF(DeadRaw!$B:$B,$A122,DeadRaw!H:H)</f>
        <v>0</v>
      </c>
      <c r="F122">
        <f>SUMIF(DeadRaw!$B:$B,$A122,DeadRaw!I:I)</f>
        <v>0</v>
      </c>
      <c r="G122">
        <f>SUMIF(DeadRaw!$B:$B,$A122,DeadRaw!J:J)</f>
        <v>0</v>
      </c>
      <c r="H122">
        <f>SUMIF(DeadRaw!$B:$B,$A122,DeadRaw!K:K)</f>
        <v>0</v>
      </c>
      <c r="I122">
        <f>SUMIF(DeadRaw!$B:$B,$A122,DeadRaw!L:L)</f>
        <v>0</v>
      </c>
      <c r="J122">
        <f>SUMIF(DeadRaw!$B:$B,$A122,DeadRaw!M:M)</f>
        <v>0</v>
      </c>
      <c r="K122">
        <f>SUMIF(DeadRaw!$B:$B,$A122,DeadRaw!N:N)</f>
        <v>0</v>
      </c>
      <c r="L122">
        <f>SUMIF(DeadRaw!$B:$B,$A122,DeadRaw!O:O)</f>
        <v>0</v>
      </c>
      <c r="M122">
        <f>SUMIF(DeadRaw!$B:$B,$A122,DeadRaw!P:P)</f>
        <v>0</v>
      </c>
      <c r="N122">
        <f>SUMIF(DeadRaw!$B:$B,$A122,DeadRaw!Q:Q)</f>
        <v>0</v>
      </c>
      <c r="O122">
        <f>SUMIF(DeadRaw!$B:$B,$A122,DeadRaw!R:R)</f>
        <v>0</v>
      </c>
      <c r="P122">
        <f>SUMIF(DeadRaw!$B:$B,$A122,DeadRaw!S:S)</f>
        <v>0</v>
      </c>
      <c r="Q122">
        <f>SUMIF(DeadRaw!$B:$B,$A122,DeadRaw!T:T)</f>
        <v>0</v>
      </c>
      <c r="R122">
        <f>SUMIF(DeadRaw!$B:$B,$A122,DeadRaw!U:U)</f>
        <v>0</v>
      </c>
      <c r="S122">
        <f>SUMIF(DeadRaw!$B:$B,$A122,DeadRaw!V:V)</f>
        <v>0</v>
      </c>
      <c r="T122">
        <f>SUMIF(DeadRaw!$B:$B,$A122,DeadRaw!W:W)</f>
        <v>0</v>
      </c>
      <c r="U122">
        <f>SUMIF(DeadRaw!$B:$B,$A122,DeadRaw!X:X)</f>
        <v>0</v>
      </c>
      <c r="V122">
        <f>SUMIF(DeadRaw!$B:$B,$A122,DeadRaw!Y:Y)</f>
        <v>0</v>
      </c>
      <c r="W122">
        <f>SUMIF(DeadRaw!$B:$B,$A122,DeadRaw!Z:Z)</f>
        <v>0</v>
      </c>
      <c r="X122">
        <f>SUMIF(DeadRaw!$B:$B,$A122,DeadRaw!AA:AA)</f>
        <v>0</v>
      </c>
      <c r="Y122">
        <f>SUMIF(DeadRaw!$B:$B,$A122,DeadRaw!AB:AB)</f>
        <v>0</v>
      </c>
      <c r="Z122">
        <f>SUMIF(DeadRaw!$B:$B,$A122,DeadRaw!AC:AC)</f>
        <v>0</v>
      </c>
      <c r="AA122">
        <f>SUMIF(DeadRaw!$B:$B,$A122,DeadRaw!AD:AD)</f>
        <v>0</v>
      </c>
      <c r="AB122">
        <f>SUMIF(DeadRaw!$B:$B,$A122,DeadRaw!AE:AE)</f>
        <v>0</v>
      </c>
      <c r="AC122">
        <f>SUMIF(DeadRaw!$B:$B,$A122,DeadRaw!AF:AF)</f>
        <v>0</v>
      </c>
      <c r="AD122">
        <f>SUMIF(DeadRaw!$B:$B,$A122,DeadRaw!AG:AG)</f>
        <v>0</v>
      </c>
      <c r="AE122">
        <f>SUMIF(DeadRaw!$B:$B,$A122,DeadRaw!AH:AH)</f>
        <v>0</v>
      </c>
      <c r="AF122">
        <f>SUMIF(DeadRaw!$B:$B,$A122,DeadRaw!AI:AI)</f>
        <v>0</v>
      </c>
      <c r="AG122">
        <f>SUMIF(DeadRaw!$B:$B,$A122,DeadRaw!AJ:AJ)</f>
        <v>0</v>
      </c>
      <c r="AH122">
        <f>SUMIF(DeadRaw!$B:$B,$A122,DeadRaw!AK:AK)</f>
        <v>0</v>
      </c>
      <c r="AI122">
        <f>SUMIF(DeadRaw!$B:$B,$A122,DeadRaw!AL:AL)</f>
        <v>0</v>
      </c>
      <c r="AJ122">
        <f>SUMIF(DeadRaw!$B:$B,$A122,DeadRaw!AM:AM)</f>
        <v>0</v>
      </c>
      <c r="AK122">
        <f>SUMIF(DeadRaw!$B:$B,$A122,DeadRaw!AN:AN)</f>
        <v>0</v>
      </c>
      <c r="AL122">
        <f>SUMIF(DeadRaw!$B:$B,$A122,DeadRaw!AO:AO)</f>
        <v>0</v>
      </c>
      <c r="AM122">
        <f>SUMIF(DeadRaw!$B:$B,$A122,DeadRaw!AP:AP)</f>
        <v>0</v>
      </c>
      <c r="AN122">
        <f>SUMIF(DeadRaw!$B:$B,$A122,DeadRaw!AQ:AQ)</f>
        <v>0</v>
      </c>
      <c r="AO122">
        <f>SUMIF(DeadRaw!$B:$B,$A122,DeadRaw!AR:AR)</f>
        <v>0</v>
      </c>
      <c r="AP122">
        <f>SUMIF(DeadRaw!$B:$B,$A122,DeadRaw!AS:AS)</f>
        <v>0</v>
      </c>
      <c r="AQ122">
        <f>SUMIF(DeadRaw!$B:$B,$A122,DeadRaw!AT:AT)</f>
        <v>0</v>
      </c>
      <c r="AR122">
        <f>SUMIF(DeadRaw!$B:$B,$A122,DeadRaw!AU:AU)</f>
        <v>0</v>
      </c>
      <c r="AS122">
        <f>SUMIF(DeadRaw!$B:$B,$A122,DeadRaw!AV:AV)</f>
        <v>0</v>
      </c>
      <c r="AT122">
        <f>SUMIF(DeadRaw!$B:$B,$A122,DeadRaw!AW:AW)</f>
        <v>0</v>
      </c>
      <c r="AU122">
        <f>SUMIF(DeadRaw!$B:$B,$A122,DeadRaw!AX:AX)</f>
        <v>0</v>
      </c>
      <c r="AV122">
        <f>SUMIF(DeadRaw!$B:$B,$A122,DeadRaw!AY:AY)</f>
        <v>0</v>
      </c>
      <c r="AW122">
        <f>SUMIF(DeadRaw!$B:$B,$A122,DeadRaw!AZ:AZ)</f>
        <v>0</v>
      </c>
      <c r="AX122">
        <f>SUMIF(DeadRaw!$B:$B,$A122,DeadRaw!BA:BA)</f>
        <v>0</v>
      </c>
      <c r="AY122">
        <f>SUMIF(DeadRaw!$B:$B,$A122,DeadRaw!BB:BB)</f>
        <v>0</v>
      </c>
      <c r="AZ122">
        <f>SUMIF(DeadRaw!$B:$B,$A122,DeadRaw!BC:BC)</f>
        <v>0</v>
      </c>
      <c r="BA122">
        <f>SUMIF(DeadRaw!$B:$B,$A122,DeadRaw!BD:BD)</f>
        <v>0</v>
      </c>
      <c r="BB122">
        <f>SUMIF(DeadRaw!$B:$B,$A122,DeadRaw!BE:BE)</f>
        <v>0</v>
      </c>
      <c r="BC122">
        <f>SUMIF(DeadRaw!$B:$B,$A122,DeadRaw!BF:BF)</f>
        <v>0</v>
      </c>
      <c r="BD122">
        <f>SUMIF(DeadRaw!$B:$B,$A122,DeadRaw!BG:BG)</f>
        <v>0</v>
      </c>
      <c r="BE122">
        <f>SUMIF(DeadRaw!$B:$B,$A122,DeadRaw!BH:BH)</f>
        <v>0</v>
      </c>
      <c r="BF122">
        <f>SUMIF(DeadRaw!$B:$B,$A122,DeadRaw!BI:BI)</f>
        <v>0</v>
      </c>
      <c r="BG122">
        <f>SUMIF(DeadRaw!$B:$B,$A122,DeadRaw!BJ:BJ)</f>
        <v>0</v>
      </c>
      <c r="BH122">
        <f>SUMIF(DeadRaw!$B:$B,$A122,DeadRaw!BK:BK)</f>
        <v>0</v>
      </c>
      <c r="BI122">
        <f>SUMIF(DeadRaw!$B:$B,$A122,DeadRaw!BL:BL)</f>
        <v>0</v>
      </c>
      <c r="BJ122">
        <f>SUMIF(DeadRaw!$B:$B,$A122,DeadRaw!BM:BM)</f>
        <v>0</v>
      </c>
      <c r="BK122">
        <f>SUMIF(DeadRaw!$B:$B,$A122,DeadRaw!BN:BN)</f>
        <v>0</v>
      </c>
      <c r="BL122">
        <f>SUMIF(DeadRaw!$B:$B,$A122,DeadRaw!BO:BO)</f>
        <v>0</v>
      </c>
      <c r="BM122">
        <f>SUMIF(DeadRaw!$B:$B,$A122,DeadRaw!BP:BP)</f>
        <v>0</v>
      </c>
      <c r="BN122">
        <f>SUMIF(DeadRaw!$B:$B,$A122,DeadRaw!BQ:BQ)</f>
        <v>0</v>
      </c>
      <c r="BO122">
        <f>SUMIF(DeadRaw!$B:$B,$A122,DeadRaw!BR:BR)</f>
        <v>0</v>
      </c>
      <c r="BP122">
        <f>SUMIF(DeadRaw!$B:$B,$A122,DeadRaw!BS:BS)</f>
        <v>0</v>
      </c>
      <c r="BQ122">
        <f>SUMIF(DeadRaw!$B:$B,$A122,DeadRaw!BT:BT)</f>
        <v>0</v>
      </c>
      <c r="BR122">
        <f>SUMIF(DeadRaw!$B:$B,$A122,DeadRaw!BU:BU)</f>
        <v>0</v>
      </c>
      <c r="BS122">
        <f>SUMIF(DeadRaw!$B:$B,$A122,DeadRaw!BV:BV)</f>
        <v>0</v>
      </c>
      <c r="BT122">
        <f>SUMIF(DeadRaw!$B:$B,$A122,DeadRaw!BW:BW)</f>
        <v>0</v>
      </c>
    </row>
    <row r="123" spans="1:72" ht="15" thickBot="1" x14ac:dyDescent="0.35">
      <c r="A123" s="4" t="s">
        <v>282</v>
      </c>
      <c r="B123">
        <f>SUMIF(DeadRaw!$B:$B,$A123,DeadRaw!E:E)</f>
        <v>0</v>
      </c>
      <c r="C123">
        <f>SUMIF(DeadRaw!$B:$B,$A123,DeadRaw!F:F)</f>
        <v>0</v>
      </c>
      <c r="D123">
        <f>SUMIF(DeadRaw!$B:$B,$A123,DeadRaw!G:G)</f>
        <v>0</v>
      </c>
      <c r="E123">
        <f>SUMIF(DeadRaw!$B:$B,$A123,DeadRaw!H:H)</f>
        <v>0</v>
      </c>
      <c r="F123">
        <f>SUMIF(DeadRaw!$B:$B,$A123,DeadRaw!I:I)</f>
        <v>0</v>
      </c>
      <c r="G123">
        <f>SUMIF(DeadRaw!$B:$B,$A123,DeadRaw!J:J)</f>
        <v>0</v>
      </c>
      <c r="H123">
        <f>SUMIF(DeadRaw!$B:$B,$A123,DeadRaw!K:K)</f>
        <v>0</v>
      </c>
      <c r="I123">
        <f>SUMIF(DeadRaw!$B:$B,$A123,DeadRaw!L:L)</f>
        <v>0</v>
      </c>
      <c r="J123">
        <f>SUMIF(DeadRaw!$B:$B,$A123,DeadRaw!M:M)</f>
        <v>0</v>
      </c>
      <c r="K123">
        <f>SUMIF(DeadRaw!$B:$B,$A123,DeadRaw!N:N)</f>
        <v>0</v>
      </c>
      <c r="L123">
        <f>SUMIF(DeadRaw!$B:$B,$A123,DeadRaw!O:O)</f>
        <v>0</v>
      </c>
      <c r="M123">
        <f>SUMIF(DeadRaw!$B:$B,$A123,DeadRaw!P:P)</f>
        <v>0</v>
      </c>
      <c r="N123">
        <f>SUMIF(DeadRaw!$B:$B,$A123,DeadRaw!Q:Q)</f>
        <v>0</v>
      </c>
      <c r="O123">
        <f>SUMIF(DeadRaw!$B:$B,$A123,DeadRaw!R:R)</f>
        <v>0</v>
      </c>
      <c r="P123">
        <f>SUMIF(DeadRaw!$B:$B,$A123,DeadRaw!S:S)</f>
        <v>0</v>
      </c>
      <c r="Q123">
        <f>SUMIF(DeadRaw!$B:$B,$A123,DeadRaw!T:T)</f>
        <v>0</v>
      </c>
      <c r="R123">
        <f>SUMIF(DeadRaw!$B:$B,$A123,DeadRaw!U:U)</f>
        <v>0</v>
      </c>
      <c r="S123">
        <f>SUMIF(DeadRaw!$B:$B,$A123,DeadRaw!V:V)</f>
        <v>0</v>
      </c>
      <c r="T123">
        <f>SUMIF(DeadRaw!$B:$B,$A123,DeadRaw!W:W)</f>
        <v>0</v>
      </c>
      <c r="U123">
        <f>SUMIF(DeadRaw!$B:$B,$A123,DeadRaw!X:X)</f>
        <v>0</v>
      </c>
      <c r="V123">
        <f>SUMIF(DeadRaw!$B:$B,$A123,DeadRaw!Y:Y)</f>
        <v>0</v>
      </c>
      <c r="W123">
        <f>SUMIF(DeadRaw!$B:$B,$A123,DeadRaw!Z:Z)</f>
        <v>0</v>
      </c>
      <c r="X123">
        <f>SUMIF(DeadRaw!$B:$B,$A123,DeadRaw!AA:AA)</f>
        <v>0</v>
      </c>
      <c r="Y123">
        <f>SUMIF(DeadRaw!$B:$B,$A123,DeadRaw!AB:AB)</f>
        <v>0</v>
      </c>
      <c r="Z123">
        <f>SUMIF(DeadRaw!$B:$B,$A123,DeadRaw!AC:AC)</f>
        <v>0</v>
      </c>
      <c r="AA123">
        <f>SUMIF(DeadRaw!$B:$B,$A123,DeadRaw!AD:AD)</f>
        <v>0</v>
      </c>
      <c r="AB123">
        <f>SUMIF(DeadRaw!$B:$B,$A123,DeadRaw!AE:AE)</f>
        <v>0</v>
      </c>
      <c r="AC123">
        <f>SUMIF(DeadRaw!$B:$B,$A123,DeadRaw!AF:AF)</f>
        <v>0</v>
      </c>
      <c r="AD123">
        <f>SUMIF(DeadRaw!$B:$B,$A123,DeadRaw!AG:AG)</f>
        <v>0</v>
      </c>
      <c r="AE123">
        <f>SUMIF(DeadRaw!$B:$B,$A123,DeadRaw!AH:AH)</f>
        <v>0</v>
      </c>
      <c r="AF123">
        <f>SUMIF(DeadRaw!$B:$B,$A123,DeadRaw!AI:AI)</f>
        <v>0</v>
      </c>
      <c r="AG123">
        <f>SUMIF(DeadRaw!$B:$B,$A123,DeadRaw!AJ:AJ)</f>
        <v>0</v>
      </c>
      <c r="AH123">
        <f>SUMIF(DeadRaw!$B:$B,$A123,DeadRaw!AK:AK)</f>
        <v>0</v>
      </c>
      <c r="AI123">
        <f>SUMIF(DeadRaw!$B:$B,$A123,DeadRaw!AL:AL)</f>
        <v>0</v>
      </c>
      <c r="AJ123">
        <f>SUMIF(DeadRaw!$B:$B,$A123,DeadRaw!AM:AM)</f>
        <v>0</v>
      </c>
      <c r="AK123">
        <f>SUMIF(DeadRaw!$B:$B,$A123,DeadRaw!AN:AN)</f>
        <v>0</v>
      </c>
      <c r="AL123">
        <f>SUMIF(DeadRaw!$B:$B,$A123,DeadRaw!AO:AO)</f>
        <v>0</v>
      </c>
      <c r="AM123">
        <f>SUMIF(DeadRaw!$B:$B,$A123,DeadRaw!AP:AP)</f>
        <v>0</v>
      </c>
      <c r="AN123">
        <f>SUMIF(DeadRaw!$B:$B,$A123,DeadRaw!AQ:AQ)</f>
        <v>0</v>
      </c>
      <c r="AO123">
        <f>SUMIF(DeadRaw!$B:$B,$A123,DeadRaw!AR:AR)</f>
        <v>0</v>
      </c>
      <c r="AP123">
        <f>SUMIF(DeadRaw!$B:$B,$A123,DeadRaw!AS:AS)</f>
        <v>0</v>
      </c>
      <c r="AQ123">
        <f>SUMIF(DeadRaw!$B:$B,$A123,DeadRaw!AT:AT)</f>
        <v>0</v>
      </c>
      <c r="AR123">
        <f>SUMIF(DeadRaw!$B:$B,$A123,DeadRaw!AU:AU)</f>
        <v>0</v>
      </c>
      <c r="AS123">
        <f>SUMIF(DeadRaw!$B:$B,$A123,DeadRaw!AV:AV)</f>
        <v>0</v>
      </c>
      <c r="AT123">
        <f>SUMIF(DeadRaw!$B:$B,$A123,DeadRaw!AW:AW)</f>
        <v>0</v>
      </c>
      <c r="AU123">
        <f>SUMIF(DeadRaw!$B:$B,$A123,DeadRaw!AX:AX)</f>
        <v>0</v>
      </c>
      <c r="AV123">
        <f>SUMIF(DeadRaw!$B:$B,$A123,DeadRaw!AY:AY)</f>
        <v>0</v>
      </c>
      <c r="AW123">
        <f>SUMIF(DeadRaw!$B:$B,$A123,DeadRaw!AZ:AZ)</f>
        <v>0</v>
      </c>
      <c r="AX123">
        <f>SUMIF(DeadRaw!$B:$B,$A123,DeadRaw!BA:BA)</f>
        <v>0</v>
      </c>
      <c r="AY123">
        <f>SUMIF(DeadRaw!$B:$B,$A123,DeadRaw!BB:BB)</f>
        <v>0</v>
      </c>
      <c r="AZ123">
        <f>SUMIF(DeadRaw!$B:$B,$A123,DeadRaw!BC:BC)</f>
        <v>0</v>
      </c>
      <c r="BA123">
        <f>SUMIF(DeadRaw!$B:$B,$A123,DeadRaw!BD:BD)</f>
        <v>0</v>
      </c>
      <c r="BB123">
        <f>SUMIF(DeadRaw!$B:$B,$A123,DeadRaw!BE:BE)</f>
        <v>0</v>
      </c>
      <c r="BC123">
        <f>SUMIF(DeadRaw!$B:$B,$A123,DeadRaw!BF:BF)</f>
        <v>0</v>
      </c>
      <c r="BD123">
        <f>SUMIF(DeadRaw!$B:$B,$A123,DeadRaw!BG:BG)</f>
        <v>0</v>
      </c>
      <c r="BE123">
        <f>SUMIF(DeadRaw!$B:$B,$A123,DeadRaw!BH:BH)</f>
        <v>0</v>
      </c>
      <c r="BF123">
        <f>SUMIF(DeadRaw!$B:$B,$A123,DeadRaw!BI:BI)</f>
        <v>0</v>
      </c>
      <c r="BG123">
        <f>SUMIF(DeadRaw!$B:$B,$A123,DeadRaw!BJ:BJ)</f>
        <v>0</v>
      </c>
      <c r="BH123">
        <f>SUMIF(DeadRaw!$B:$B,$A123,DeadRaw!BK:BK)</f>
        <v>0</v>
      </c>
      <c r="BI123">
        <f>SUMIF(DeadRaw!$B:$B,$A123,DeadRaw!BL:BL)</f>
        <v>0</v>
      </c>
      <c r="BJ123">
        <f>SUMIF(DeadRaw!$B:$B,$A123,DeadRaw!BM:BM)</f>
        <v>0</v>
      </c>
      <c r="BK123">
        <f>SUMIF(DeadRaw!$B:$B,$A123,DeadRaw!BN:BN)</f>
        <v>0</v>
      </c>
      <c r="BL123">
        <f>SUMIF(DeadRaw!$B:$B,$A123,DeadRaw!BO:BO)</f>
        <v>0</v>
      </c>
      <c r="BM123">
        <f>SUMIF(DeadRaw!$B:$B,$A123,DeadRaw!BP:BP)</f>
        <v>0</v>
      </c>
      <c r="BN123">
        <f>SUMIF(DeadRaw!$B:$B,$A123,DeadRaw!BQ:BQ)</f>
        <v>0</v>
      </c>
      <c r="BO123">
        <f>SUMIF(DeadRaw!$B:$B,$A123,DeadRaw!BR:BR)</f>
        <v>0</v>
      </c>
      <c r="BP123">
        <f>SUMIF(DeadRaw!$B:$B,$A123,DeadRaw!BS:BS)</f>
        <v>0</v>
      </c>
      <c r="BQ123">
        <f>SUMIF(DeadRaw!$B:$B,$A123,DeadRaw!BT:BT)</f>
        <v>0</v>
      </c>
      <c r="BR123">
        <f>SUMIF(DeadRaw!$B:$B,$A123,DeadRaw!BU:BU)</f>
        <v>0</v>
      </c>
      <c r="BS123">
        <f>SUMIF(DeadRaw!$B:$B,$A123,DeadRaw!BV:BV)</f>
        <v>0</v>
      </c>
      <c r="BT123">
        <f>SUMIF(DeadRaw!$B:$B,$A123,DeadRaw!BW:BW)</f>
        <v>0</v>
      </c>
    </row>
    <row r="124" spans="1:72" ht="15" thickBot="1" x14ac:dyDescent="0.35">
      <c r="A124" s="4" t="s">
        <v>42</v>
      </c>
      <c r="B124">
        <f>SUMIF(DeadRaw!$B:$B,$A124,DeadRaw!E:E)</f>
        <v>0</v>
      </c>
      <c r="C124">
        <f>SUMIF(DeadRaw!$B:$B,$A124,DeadRaw!F:F)</f>
        <v>0</v>
      </c>
      <c r="D124">
        <f>SUMIF(DeadRaw!$B:$B,$A124,DeadRaw!G:G)</f>
        <v>0</v>
      </c>
      <c r="E124">
        <f>SUMIF(DeadRaw!$B:$B,$A124,DeadRaw!H:H)</f>
        <v>0</v>
      </c>
      <c r="F124">
        <f>SUMIF(DeadRaw!$B:$B,$A124,DeadRaw!I:I)</f>
        <v>0</v>
      </c>
      <c r="G124">
        <f>SUMIF(DeadRaw!$B:$B,$A124,DeadRaw!J:J)</f>
        <v>0</v>
      </c>
      <c r="H124">
        <f>SUMIF(DeadRaw!$B:$B,$A124,DeadRaw!K:K)</f>
        <v>0</v>
      </c>
      <c r="I124">
        <f>SUMIF(DeadRaw!$B:$B,$A124,DeadRaw!L:L)</f>
        <v>0</v>
      </c>
      <c r="J124">
        <f>SUMIF(DeadRaw!$B:$B,$A124,DeadRaw!M:M)</f>
        <v>0</v>
      </c>
      <c r="K124">
        <f>SUMIF(DeadRaw!$B:$B,$A124,DeadRaw!N:N)</f>
        <v>0</v>
      </c>
      <c r="L124">
        <f>SUMIF(DeadRaw!$B:$B,$A124,DeadRaw!O:O)</f>
        <v>0</v>
      </c>
      <c r="M124">
        <f>SUMIF(DeadRaw!$B:$B,$A124,DeadRaw!P:P)</f>
        <v>0</v>
      </c>
      <c r="N124">
        <f>SUMIF(DeadRaw!$B:$B,$A124,DeadRaw!Q:Q)</f>
        <v>0</v>
      </c>
      <c r="O124">
        <f>SUMIF(DeadRaw!$B:$B,$A124,DeadRaw!R:R)</f>
        <v>0</v>
      </c>
      <c r="P124">
        <f>SUMIF(DeadRaw!$B:$B,$A124,DeadRaw!S:S)</f>
        <v>0</v>
      </c>
      <c r="Q124">
        <f>SUMIF(DeadRaw!$B:$B,$A124,DeadRaw!T:T)</f>
        <v>0</v>
      </c>
      <c r="R124">
        <f>SUMIF(DeadRaw!$B:$B,$A124,DeadRaw!U:U)</f>
        <v>0</v>
      </c>
      <c r="S124">
        <f>SUMIF(DeadRaw!$B:$B,$A124,DeadRaw!V:V)</f>
        <v>0</v>
      </c>
      <c r="T124">
        <f>SUMIF(DeadRaw!$B:$B,$A124,DeadRaw!W:W)</f>
        <v>0</v>
      </c>
      <c r="U124">
        <f>SUMIF(DeadRaw!$B:$B,$A124,DeadRaw!X:X)</f>
        <v>0</v>
      </c>
      <c r="V124">
        <f>SUMIF(DeadRaw!$B:$B,$A124,DeadRaw!Y:Y)</f>
        <v>0</v>
      </c>
      <c r="W124">
        <f>SUMIF(DeadRaw!$B:$B,$A124,DeadRaw!Z:Z)</f>
        <v>0</v>
      </c>
      <c r="X124">
        <f>SUMIF(DeadRaw!$B:$B,$A124,DeadRaw!AA:AA)</f>
        <v>0</v>
      </c>
      <c r="Y124">
        <f>SUMIF(DeadRaw!$B:$B,$A124,DeadRaw!AB:AB)</f>
        <v>0</v>
      </c>
      <c r="Z124">
        <f>SUMIF(DeadRaw!$B:$B,$A124,DeadRaw!AC:AC)</f>
        <v>0</v>
      </c>
      <c r="AA124">
        <f>SUMIF(DeadRaw!$B:$B,$A124,DeadRaw!AD:AD)</f>
        <v>0</v>
      </c>
      <c r="AB124">
        <f>SUMIF(DeadRaw!$B:$B,$A124,DeadRaw!AE:AE)</f>
        <v>0</v>
      </c>
      <c r="AC124">
        <f>SUMIF(DeadRaw!$B:$B,$A124,DeadRaw!AF:AF)</f>
        <v>0</v>
      </c>
      <c r="AD124">
        <f>SUMIF(DeadRaw!$B:$B,$A124,DeadRaw!AG:AG)</f>
        <v>0</v>
      </c>
      <c r="AE124">
        <f>SUMIF(DeadRaw!$B:$B,$A124,DeadRaw!AH:AH)</f>
        <v>0</v>
      </c>
      <c r="AF124">
        <f>SUMIF(DeadRaw!$B:$B,$A124,DeadRaw!AI:AI)</f>
        <v>0</v>
      </c>
      <c r="AG124">
        <f>SUMIF(DeadRaw!$B:$B,$A124,DeadRaw!AJ:AJ)</f>
        <v>0</v>
      </c>
      <c r="AH124">
        <f>SUMIF(DeadRaw!$B:$B,$A124,DeadRaw!AK:AK)</f>
        <v>0</v>
      </c>
      <c r="AI124">
        <f>SUMIF(DeadRaw!$B:$B,$A124,DeadRaw!AL:AL)</f>
        <v>0</v>
      </c>
      <c r="AJ124">
        <f>SUMIF(DeadRaw!$B:$B,$A124,DeadRaw!AM:AM)</f>
        <v>0</v>
      </c>
      <c r="AK124">
        <f>SUMIF(DeadRaw!$B:$B,$A124,DeadRaw!AN:AN)</f>
        <v>0</v>
      </c>
      <c r="AL124">
        <f>SUMIF(DeadRaw!$B:$B,$A124,DeadRaw!AO:AO)</f>
        <v>0</v>
      </c>
      <c r="AM124">
        <f>SUMIF(DeadRaw!$B:$B,$A124,DeadRaw!AP:AP)</f>
        <v>0</v>
      </c>
      <c r="AN124">
        <f>SUMIF(DeadRaw!$B:$B,$A124,DeadRaw!AQ:AQ)</f>
        <v>0</v>
      </c>
      <c r="AO124">
        <f>SUMIF(DeadRaw!$B:$B,$A124,DeadRaw!AR:AR)</f>
        <v>0</v>
      </c>
      <c r="AP124">
        <f>SUMIF(DeadRaw!$B:$B,$A124,DeadRaw!AS:AS)</f>
        <v>0</v>
      </c>
      <c r="AQ124">
        <f>SUMIF(DeadRaw!$B:$B,$A124,DeadRaw!AT:AT)</f>
        <v>0</v>
      </c>
      <c r="AR124">
        <f>SUMIF(DeadRaw!$B:$B,$A124,DeadRaw!AU:AU)</f>
        <v>0</v>
      </c>
      <c r="AS124">
        <f>SUMIF(DeadRaw!$B:$B,$A124,DeadRaw!AV:AV)</f>
        <v>0</v>
      </c>
      <c r="AT124">
        <f>SUMIF(DeadRaw!$B:$B,$A124,DeadRaw!AW:AW)</f>
        <v>0</v>
      </c>
      <c r="AU124">
        <f>SUMIF(DeadRaw!$B:$B,$A124,DeadRaw!AX:AX)</f>
        <v>0</v>
      </c>
      <c r="AV124">
        <f>SUMIF(DeadRaw!$B:$B,$A124,DeadRaw!AY:AY)</f>
        <v>0</v>
      </c>
      <c r="AW124">
        <f>SUMIF(DeadRaw!$B:$B,$A124,DeadRaw!AZ:AZ)</f>
        <v>0</v>
      </c>
      <c r="AX124">
        <f>SUMIF(DeadRaw!$B:$B,$A124,DeadRaw!BA:BA)</f>
        <v>0</v>
      </c>
      <c r="AY124">
        <f>SUMIF(DeadRaw!$B:$B,$A124,DeadRaw!BB:BB)</f>
        <v>0</v>
      </c>
      <c r="AZ124">
        <f>SUMIF(DeadRaw!$B:$B,$A124,DeadRaw!BC:BC)</f>
        <v>0</v>
      </c>
      <c r="BA124">
        <f>SUMIF(DeadRaw!$B:$B,$A124,DeadRaw!BD:BD)</f>
        <v>0</v>
      </c>
      <c r="BB124">
        <f>SUMIF(DeadRaw!$B:$B,$A124,DeadRaw!BE:BE)</f>
        <v>0</v>
      </c>
      <c r="BC124">
        <f>SUMIF(DeadRaw!$B:$B,$A124,DeadRaw!BF:BF)</f>
        <v>0</v>
      </c>
      <c r="BD124">
        <f>SUMIF(DeadRaw!$B:$B,$A124,DeadRaw!BG:BG)</f>
        <v>0</v>
      </c>
      <c r="BE124">
        <f>SUMIF(DeadRaw!$B:$B,$A124,DeadRaw!BH:BH)</f>
        <v>0</v>
      </c>
      <c r="BF124">
        <f>SUMIF(DeadRaw!$B:$B,$A124,DeadRaw!BI:BI)</f>
        <v>0</v>
      </c>
      <c r="BG124">
        <f>SUMIF(DeadRaw!$B:$B,$A124,DeadRaw!BJ:BJ)</f>
        <v>0</v>
      </c>
      <c r="BH124">
        <f>SUMIF(DeadRaw!$B:$B,$A124,DeadRaw!BK:BK)</f>
        <v>0</v>
      </c>
      <c r="BI124">
        <f>SUMIF(DeadRaw!$B:$B,$A124,DeadRaw!BL:BL)</f>
        <v>0</v>
      </c>
      <c r="BJ124">
        <f>SUMIF(DeadRaw!$B:$B,$A124,DeadRaw!BM:BM)</f>
        <v>0</v>
      </c>
      <c r="BK124">
        <f>SUMIF(DeadRaw!$B:$B,$A124,DeadRaw!BN:BN)</f>
        <v>0</v>
      </c>
      <c r="BL124">
        <f>SUMIF(DeadRaw!$B:$B,$A124,DeadRaw!BO:BO)</f>
        <v>0</v>
      </c>
      <c r="BM124">
        <f>SUMIF(DeadRaw!$B:$B,$A124,DeadRaw!BP:BP)</f>
        <v>0</v>
      </c>
      <c r="BN124">
        <f>SUMIF(DeadRaw!$B:$B,$A124,DeadRaw!BQ:BQ)</f>
        <v>0</v>
      </c>
      <c r="BO124">
        <f>SUMIF(DeadRaw!$B:$B,$A124,DeadRaw!BR:BR)</f>
        <v>0</v>
      </c>
      <c r="BP124">
        <f>SUMIF(DeadRaw!$B:$B,$A124,DeadRaw!BS:BS)</f>
        <v>0</v>
      </c>
      <c r="BQ124">
        <f>SUMIF(DeadRaw!$B:$B,$A124,DeadRaw!BT:BT)</f>
        <v>0</v>
      </c>
      <c r="BR124">
        <f>SUMIF(DeadRaw!$B:$B,$A124,DeadRaw!BU:BU)</f>
        <v>0</v>
      </c>
      <c r="BS124">
        <f>SUMIF(DeadRaw!$B:$B,$A124,DeadRaw!BV:BV)</f>
        <v>0</v>
      </c>
      <c r="BT124">
        <f>SUMIF(DeadRaw!$B:$B,$A124,DeadRaw!BW:BW)</f>
        <v>0</v>
      </c>
    </row>
    <row r="125" spans="1:72" ht="15" thickBot="1" x14ac:dyDescent="0.35">
      <c r="A125" s="3" t="s">
        <v>420</v>
      </c>
      <c r="B125">
        <f>SUMIF(DeadRaw!$B:$B,$A125,DeadRaw!E:E)</f>
        <v>0</v>
      </c>
      <c r="C125">
        <f>SUMIF(DeadRaw!$B:$B,$A125,DeadRaw!F:F)</f>
        <v>0</v>
      </c>
      <c r="D125">
        <f>SUMIF(DeadRaw!$B:$B,$A125,DeadRaw!G:G)</f>
        <v>0</v>
      </c>
      <c r="E125">
        <f>SUMIF(DeadRaw!$B:$B,$A125,DeadRaw!H:H)</f>
        <v>0</v>
      </c>
      <c r="F125">
        <f>SUMIF(DeadRaw!$B:$B,$A125,DeadRaw!I:I)</f>
        <v>0</v>
      </c>
      <c r="G125">
        <f>SUMIF(DeadRaw!$B:$B,$A125,DeadRaw!J:J)</f>
        <v>0</v>
      </c>
      <c r="H125">
        <f>SUMIF(DeadRaw!$B:$B,$A125,DeadRaw!K:K)</f>
        <v>0</v>
      </c>
      <c r="I125">
        <f>SUMIF(DeadRaw!$B:$B,$A125,DeadRaw!L:L)</f>
        <v>0</v>
      </c>
      <c r="J125">
        <f>SUMIF(DeadRaw!$B:$B,$A125,DeadRaw!M:M)</f>
        <v>0</v>
      </c>
      <c r="K125">
        <f>SUMIF(DeadRaw!$B:$B,$A125,DeadRaw!N:N)</f>
        <v>0</v>
      </c>
      <c r="L125">
        <f>SUMIF(DeadRaw!$B:$B,$A125,DeadRaw!O:O)</f>
        <v>0</v>
      </c>
      <c r="M125">
        <f>SUMIF(DeadRaw!$B:$B,$A125,DeadRaw!P:P)</f>
        <v>0</v>
      </c>
      <c r="N125">
        <f>SUMIF(DeadRaw!$B:$B,$A125,DeadRaw!Q:Q)</f>
        <v>0</v>
      </c>
      <c r="O125">
        <f>SUMIF(DeadRaw!$B:$B,$A125,DeadRaw!R:R)</f>
        <v>0</v>
      </c>
      <c r="P125">
        <f>SUMIF(DeadRaw!$B:$B,$A125,DeadRaw!S:S)</f>
        <v>0</v>
      </c>
      <c r="Q125">
        <f>SUMIF(DeadRaw!$B:$B,$A125,DeadRaw!T:T)</f>
        <v>0</v>
      </c>
      <c r="R125">
        <f>SUMIF(DeadRaw!$B:$B,$A125,DeadRaw!U:U)</f>
        <v>0</v>
      </c>
      <c r="S125">
        <f>SUMIF(DeadRaw!$B:$B,$A125,DeadRaw!V:V)</f>
        <v>0</v>
      </c>
      <c r="T125">
        <f>SUMIF(DeadRaw!$B:$B,$A125,DeadRaw!W:W)</f>
        <v>0</v>
      </c>
      <c r="U125">
        <f>SUMIF(DeadRaw!$B:$B,$A125,DeadRaw!X:X)</f>
        <v>0</v>
      </c>
      <c r="V125">
        <f>SUMIF(DeadRaw!$B:$B,$A125,DeadRaw!Y:Y)</f>
        <v>0</v>
      </c>
      <c r="W125">
        <f>SUMIF(DeadRaw!$B:$B,$A125,DeadRaw!Z:Z)</f>
        <v>0</v>
      </c>
      <c r="X125">
        <f>SUMIF(DeadRaw!$B:$B,$A125,DeadRaw!AA:AA)</f>
        <v>0</v>
      </c>
      <c r="Y125">
        <f>SUMIF(DeadRaw!$B:$B,$A125,DeadRaw!AB:AB)</f>
        <v>0</v>
      </c>
      <c r="Z125">
        <f>SUMIF(DeadRaw!$B:$B,$A125,DeadRaw!AC:AC)</f>
        <v>0</v>
      </c>
      <c r="AA125">
        <f>SUMIF(DeadRaw!$B:$B,$A125,DeadRaw!AD:AD)</f>
        <v>0</v>
      </c>
      <c r="AB125">
        <f>SUMIF(DeadRaw!$B:$B,$A125,DeadRaw!AE:AE)</f>
        <v>0</v>
      </c>
      <c r="AC125">
        <f>SUMIF(DeadRaw!$B:$B,$A125,DeadRaw!AF:AF)</f>
        <v>0</v>
      </c>
      <c r="AD125">
        <f>SUMIF(DeadRaw!$B:$B,$A125,DeadRaw!AG:AG)</f>
        <v>0</v>
      </c>
      <c r="AE125">
        <f>SUMIF(DeadRaw!$B:$B,$A125,DeadRaw!AH:AH)</f>
        <v>0</v>
      </c>
      <c r="AF125">
        <f>SUMIF(DeadRaw!$B:$B,$A125,DeadRaw!AI:AI)</f>
        <v>0</v>
      </c>
      <c r="AG125">
        <f>SUMIF(DeadRaw!$B:$B,$A125,DeadRaw!AJ:AJ)</f>
        <v>0</v>
      </c>
      <c r="AH125">
        <f>SUMIF(DeadRaw!$B:$B,$A125,DeadRaw!AK:AK)</f>
        <v>0</v>
      </c>
      <c r="AI125">
        <f>SUMIF(DeadRaw!$B:$B,$A125,DeadRaw!AL:AL)</f>
        <v>0</v>
      </c>
      <c r="AJ125">
        <f>SUMIF(DeadRaw!$B:$B,$A125,DeadRaw!AM:AM)</f>
        <v>0</v>
      </c>
      <c r="AK125">
        <f>SUMIF(DeadRaw!$B:$B,$A125,DeadRaw!AN:AN)</f>
        <v>0</v>
      </c>
      <c r="AL125">
        <f>SUMIF(DeadRaw!$B:$B,$A125,DeadRaw!AO:AO)</f>
        <v>0</v>
      </c>
      <c r="AM125">
        <f>SUMIF(DeadRaw!$B:$B,$A125,DeadRaw!AP:AP)</f>
        <v>0</v>
      </c>
      <c r="AN125">
        <f>SUMIF(DeadRaw!$B:$B,$A125,DeadRaw!AQ:AQ)</f>
        <v>0</v>
      </c>
      <c r="AO125">
        <f>SUMIF(DeadRaw!$B:$B,$A125,DeadRaw!AR:AR)</f>
        <v>0</v>
      </c>
      <c r="AP125">
        <f>SUMIF(DeadRaw!$B:$B,$A125,DeadRaw!AS:AS)</f>
        <v>0</v>
      </c>
      <c r="AQ125">
        <f>SUMIF(DeadRaw!$B:$B,$A125,DeadRaw!AT:AT)</f>
        <v>0</v>
      </c>
      <c r="AR125">
        <f>SUMIF(DeadRaw!$B:$B,$A125,DeadRaw!AU:AU)</f>
        <v>0</v>
      </c>
      <c r="AS125">
        <f>SUMIF(DeadRaw!$B:$B,$A125,DeadRaw!AV:AV)</f>
        <v>0</v>
      </c>
      <c r="AT125">
        <f>SUMIF(DeadRaw!$B:$B,$A125,DeadRaw!AW:AW)</f>
        <v>0</v>
      </c>
      <c r="AU125">
        <f>SUMIF(DeadRaw!$B:$B,$A125,DeadRaw!AX:AX)</f>
        <v>0</v>
      </c>
      <c r="AV125">
        <f>SUMIF(DeadRaw!$B:$B,$A125,DeadRaw!AY:AY)</f>
        <v>0</v>
      </c>
      <c r="AW125">
        <f>SUMIF(DeadRaw!$B:$B,$A125,DeadRaw!AZ:AZ)</f>
        <v>0</v>
      </c>
      <c r="AX125">
        <f>SUMIF(DeadRaw!$B:$B,$A125,DeadRaw!BA:BA)</f>
        <v>0</v>
      </c>
      <c r="AY125">
        <f>SUMIF(DeadRaw!$B:$B,$A125,DeadRaw!BB:BB)</f>
        <v>0</v>
      </c>
      <c r="AZ125">
        <f>SUMIF(DeadRaw!$B:$B,$A125,DeadRaw!BC:BC)</f>
        <v>0</v>
      </c>
      <c r="BA125">
        <f>SUMIF(DeadRaw!$B:$B,$A125,DeadRaw!BD:BD)</f>
        <v>1</v>
      </c>
      <c r="BB125">
        <f>SUMIF(DeadRaw!$B:$B,$A125,DeadRaw!BE:BE)</f>
        <v>1</v>
      </c>
      <c r="BC125">
        <f>SUMIF(DeadRaw!$B:$B,$A125,DeadRaw!BF:BF)</f>
        <v>1</v>
      </c>
      <c r="BD125">
        <f>SUMIF(DeadRaw!$B:$B,$A125,DeadRaw!BG:BG)</f>
        <v>1</v>
      </c>
      <c r="BE125">
        <f>SUMIF(DeadRaw!$B:$B,$A125,DeadRaw!BH:BH)</f>
        <v>1</v>
      </c>
      <c r="BF125">
        <f>SUMIF(DeadRaw!$B:$B,$A125,DeadRaw!BI:BI)</f>
        <v>1</v>
      </c>
      <c r="BG125">
        <f>SUMIF(DeadRaw!$B:$B,$A125,DeadRaw!BJ:BJ)</f>
        <v>0</v>
      </c>
      <c r="BH125">
        <f>SUMIF(DeadRaw!$B:$B,$A125,DeadRaw!BK:BK)</f>
        <v>0</v>
      </c>
      <c r="BI125">
        <f>SUMIF(DeadRaw!$B:$B,$A125,DeadRaw!BL:BL)</f>
        <v>0</v>
      </c>
      <c r="BJ125">
        <f>SUMIF(DeadRaw!$B:$B,$A125,DeadRaw!BM:BM)</f>
        <v>0</v>
      </c>
      <c r="BK125">
        <f>SUMIF(DeadRaw!$B:$B,$A125,DeadRaw!BN:BN)</f>
        <v>0</v>
      </c>
      <c r="BL125">
        <f>SUMIF(DeadRaw!$B:$B,$A125,DeadRaw!BO:BO)</f>
        <v>0</v>
      </c>
      <c r="BM125">
        <f>SUMIF(DeadRaw!$B:$B,$A125,DeadRaw!BP:BP)</f>
        <v>0</v>
      </c>
      <c r="BN125">
        <f>SUMIF(DeadRaw!$B:$B,$A125,DeadRaw!BQ:BQ)</f>
        <v>0</v>
      </c>
      <c r="BO125">
        <f>SUMIF(DeadRaw!$B:$B,$A125,DeadRaw!BR:BR)</f>
        <v>0</v>
      </c>
      <c r="BP125">
        <f>SUMIF(DeadRaw!$B:$B,$A125,DeadRaw!BS:BS)</f>
        <v>0</v>
      </c>
      <c r="BQ125">
        <f>SUMIF(DeadRaw!$B:$B,$A125,DeadRaw!BT:BT)</f>
        <v>0</v>
      </c>
      <c r="BR125">
        <f>SUMIF(DeadRaw!$B:$B,$A125,DeadRaw!BU:BU)</f>
        <v>0</v>
      </c>
      <c r="BS125">
        <f>SUMIF(DeadRaw!$B:$B,$A125,DeadRaw!BV:BV)</f>
        <v>0</v>
      </c>
      <c r="BT125">
        <f>SUMIF(DeadRaw!$B:$B,$A125,DeadRaw!BW:BW)</f>
        <v>0</v>
      </c>
    </row>
    <row r="126" spans="1:72" ht="15" thickBot="1" x14ac:dyDescent="0.35">
      <c r="A126" s="3" t="s">
        <v>163</v>
      </c>
      <c r="B126">
        <f>SUMIF(DeadRaw!$B:$B,$A126,DeadRaw!E:E)</f>
        <v>0</v>
      </c>
      <c r="C126">
        <f>SUMIF(DeadRaw!$B:$B,$A126,DeadRaw!F:F)</f>
        <v>0</v>
      </c>
      <c r="D126">
        <f>SUMIF(DeadRaw!$B:$B,$A126,DeadRaw!G:G)</f>
        <v>0</v>
      </c>
      <c r="E126">
        <f>SUMIF(DeadRaw!$B:$B,$A126,DeadRaw!H:H)</f>
        <v>0</v>
      </c>
      <c r="F126">
        <f>SUMIF(DeadRaw!$B:$B,$A126,DeadRaw!I:I)</f>
        <v>0</v>
      </c>
      <c r="G126">
        <f>SUMIF(DeadRaw!$B:$B,$A126,DeadRaw!J:J)</f>
        <v>0</v>
      </c>
      <c r="H126">
        <f>SUMIF(DeadRaw!$B:$B,$A126,DeadRaw!K:K)</f>
        <v>0</v>
      </c>
      <c r="I126">
        <f>SUMIF(DeadRaw!$B:$B,$A126,DeadRaw!L:L)</f>
        <v>0</v>
      </c>
      <c r="J126">
        <f>SUMIF(DeadRaw!$B:$B,$A126,DeadRaw!M:M)</f>
        <v>0</v>
      </c>
      <c r="K126">
        <f>SUMIF(DeadRaw!$B:$B,$A126,DeadRaw!N:N)</f>
        <v>0</v>
      </c>
      <c r="L126">
        <f>SUMIF(DeadRaw!$B:$B,$A126,DeadRaw!O:O)</f>
        <v>0</v>
      </c>
      <c r="M126">
        <f>SUMIF(DeadRaw!$B:$B,$A126,DeadRaw!P:P)</f>
        <v>0</v>
      </c>
      <c r="N126">
        <f>SUMIF(DeadRaw!$B:$B,$A126,DeadRaw!Q:Q)</f>
        <v>0</v>
      </c>
      <c r="O126">
        <f>SUMIF(DeadRaw!$B:$B,$A126,DeadRaw!R:R)</f>
        <v>0</v>
      </c>
      <c r="P126">
        <f>SUMIF(DeadRaw!$B:$B,$A126,DeadRaw!S:S)</f>
        <v>0</v>
      </c>
      <c r="Q126">
        <f>SUMIF(DeadRaw!$B:$B,$A126,DeadRaw!T:T)</f>
        <v>0</v>
      </c>
      <c r="R126">
        <f>SUMIF(DeadRaw!$B:$B,$A126,DeadRaw!U:U)</f>
        <v>0</v>
      </c>
      <c r="S126">
        <f>SUMIF(DeadRaw!$B:$B,$A126,DeadRaw!V:V)</f>
        <v>0</v>
      </c>
      <c r="T126">
        <f>SUMIF(DeadRaw!$B:$B,$A126,DeadRaw!W:W)</f>
        <v>0</v>
      </c>
      <c r="U126">
        <f>SUMIF(DeadRaw!$B:$B,$A126,DeadRaw!X:X)</f>
        <v>0</v>
      </c>
      <c r="V126">
        <f>SUMIF(DeadRaw!$B:$B,$A126,DeadRaw!Y:Y)</f>
        <v>0</v>
      </c>
      <c r="W126">
        <f>SUMIF(DeadRaw!$B:$B,$A126,DeadRaw!Z:Z)</f>
        <v>0</v>
      </c>
      <c r="X126">
        <f>SUMIF(DeadRaw!$B:$B,$A126,DeadRaw!AA:AA)</f>
        <v>0</v>
      </c>
      <c r="Y126">
        <f>SUMIF(DeadRaw!$B:$B,$A126,DeadRaw!AB:AB)</f>
        <v>0</v>
      </c>
      <c r="Z126">
        <f>SUMIF(DeadRaw!$B:$B,$A126,DeadRaw!AC:AC)</f>
        <v>0</v>
      </c>
      <c r="AA126">
        <f>SUMIF(DeadRaw!$B:$B,$A126,DeadRaw!AD:AD)</f>
        <v>0</v>
      </c>
      <c r="AB126">
        <f>SUMIF(DeadRaw!$B:$B,$A126,DeadRaw!AE:AE)</f>
        <v>0</v>
      </c>
      <c r="AC126">
        <f>SUMIF(DeadRaw!$B:$B,$A126,DeadRaw!AF:AF)</f>
        <v>0</v>
      </c>
      <c r="AD126">
        <f>SUMIF(DeadRaw!$B:$B,$A126,DeadRaw!AG:AG)</f>
        <v>0</v>
      </c>
      <c r="AE126">
        <f>SUMIF(DeadRaw!$B:$B,$A126,DeadRaw!AH:AH)</f>
        <v>0</v>
      </c>
      <c r="AF126">
        <f>SUMIF(DeadRaw!$B:$B,$A126,DeadRaw!AI:AI)</f>
        <v>0</v>
      </c>
      <c r="AG126">
        <f>SUMIF(DeadRaw!$B:$B,$A126,DeadRaw!AJ:AJ)</f>
        <v>0</v>
      </c>
      <c r="AH126">
        <f>SUMIF(DeadRaw!$B:$B,$A126,DeadRaw!AK:AK)</f>
        <v>0</v>
      </c>
      <c r="AI126">
        <f>SUMIF(DeadRaw!$B:$B,$A126,DeadRaw!AL:AL)</f>
        <v>0</v>
      </c>
      <c r="AJ126">
        <f>SUMIF(DeadRaw!$B:$B,$A126,DeadRaw!AM:AM)</f>
        <v>0</v>
      </c>
      <c r="AK126">
        <f>SUMIF(DeadRaw!$B:$B,$A126,DeadRaw!AN:AN)</f>
        <v>0</v>
      </c>
      <c r="AL126">
        <f>SUMIF(DeadRaw!$B:$B,$A126,DeadRaw!AO:AO)</f>
        <v>0</v>
      </c>
      <c r="AM126">
        <f>SUMIF(DeadRaw!$B:$B,$A126,DeadRaw!AP:AP)</f>
        <v>0</v>
      </c>
      <c r="AN126">
        <f>SUMIF(DeadRaw!$B:$B,$A126,DeadRaw!AQ:AQ)</f>
        <v>0</v>
      </c>
      <c r="AO126">
        <f>SUMIF(DeadRaw!$B:$B,$A126,DeadRaw!AR:AR)</f>
        <v>0</v>
      </c>
      <c r="AP126">
        <f>SUMIF(DeadRaw!$B:$B,$A126,DeadRaw!AS:AS)</f>
        <v>0</v>
      </c>
      <c r="AQ126">
        <f>SUMIF(DeadRaw!$B:$B,$A126,DeadRaw!AT:AT)</f>
        <v>0</v>
      </c>
      <c r="AR126">
        <f>SUMIF(DeadRaw!$B:$B,$A126,DeadRaw!AU:AU)</f>
        <v>0</v>
      </c>
      <c r="AS126">
        <f>SUMIF(DeadRaw!$B:$B,$A126,DeadRaw!AV:AV)</f>
        <v>0</v>
      </c>
      <c r="AT126">
        <f>SUMIF(DeadRaw!$B:$B,$A126,DeadRaw!AW:AW)</f>
        <v>0</v>
      </c>
      <c r="AU126">
        <f>SUMIF(DeadRaw!$B:$B,$A126,DeadRaw!AX:AX)</f>
        <v>0</v>
      </c>
      <c r="AV126">
        <f>SUMIF(DeadRaw!$B:$B,$A126,DeadRaw!AY:AY)</f>
        <v>0</v>
      </c>
      <c r="AW126">
        <f>SUMIF(DeadRaw!$B:$B,$A126,DeadRaw!AZ:AZ)</f>
        <v>0</v>
      </c>
      <c r="AX126">
        <f>SUMIF(DeadRaw!$B:$B,$A126,DeadRaw!BA:BA)</f>
        <v>0</v>
      </c>
      <c r="AY126">
        <f>SUMIF(DeadRaw!$B:$B,$A126,DeadRaw!BB:BB)</f>
        <v>0</v>
      </c>
      <c r="AZ126">
        <f>SUMIF(DeadRaw!$B:$B,$A126,DeadRaw!BC:BC)</f>
        <v>0</v>
      </c>
      <c r="BA126">
        <f>SUMIF(DeadRaw!$B:$B,$A126,DeadRaw!BD:BD)</f>
        <v>0</v>
      </c>
      <c r="BB126">
        <f>SUMIF(DeadRaw!$B:$B,$A126,DeadRaw!BE:BE)</f>
        <v>0</v>
      </c>
      <c r="BC126">
        <f>SUMIF(DeadRaw!$B:$B,$A126,DeadRaw!BF:BF)</f>
        <v>0</v>
      </c>
      <c r="BD126">
        <f>SUMIF(DeadRaw!$B:$B,$A126,DeadRaw!BG:BG)</f>
        <v>0</v>
      </c>
      <c r="BE126">
        <f>SUMIF(DeadRaw!$B:$B,$A126,DeadRaw!BH:BH)</f>
        <v>0</v>
      </c>
      <c r="BF126">
        <f>SUMIF(DeadRaw!$B:$B,$A126,DeadRaw!BI:BI)</f>
        <v>0</v>
      </c>
      <c r="BG126">
        <f>SUMIF(DeadRaw!$B:$B,$A126,DeadRaw!BJ:BJ)</f>
        <v>0</v>
      </c>
      <c r="BH126">
        <f>SUMIF(DeadRaw!$B:$B,$A126,DeadRaw!BK:BK)</f>
        <v>0</v>
      </c>
      <c r="BI126">
        <f>SUMIF(DeadRaw!$B:$B,$A126,DeadRaw!BL:BL)</f>
        <v>0</v>
      </c>
      <c r="BJ126">
        <f>SUMIF(DeadRaw!$B:$B,$A126,DeadRaw!BM:BM)</f>
        <v>0</v>
      </c>
      <c r="BK126">
        <f>SUMIF(DeadRaw!$B:$B,$A126,DeadRaw!BN:BN)</f>
        <v>0</v>
      </c>
      <c r="BL126">
        <f>SUMIF(DeadRaw!$B:$B,$A126,DeadRaw!BO:BO)</f>
        <v>0</v>
      </c>
      <c r="BM126">
        <f>SUMIF(DeadRaw!$B:$B,$A126,DeadRaw!BP:BP)</f>
        <v>0</v>
      </c>
      <c r="BN126">
        <f>SUMIF(DeadRaw!$B:$B,$A126,DeadRaw!BQ:BQ)</f>
        <v>0</v>
      </c>
      <c r="BO126">
        <f>SUMIF(DeadRaw!$B:$B,$A126,DeadRaw!BR:BR)</f>
        <v>0</v>
      </c>
      <c r="BP126">
        <f>SUMIF(DeadRaw!$B:$B,$A126,DeadRaw!BS:BS)</f>
        <v>0</v>
      </c>
      <c r="BQ126">
        <f>SUMIF(DeadRaw!$B:$B,$A126,DeadRaw!BT:BT)</f>
        <v>0</v>
      </c>
      <c r="BR126">
        <f>SUMIF(DeadRaw!$B:$B,$A126,DeadRaw!BU:BU)</f>
        <v>0</v>
      </c>
      <c r="BS126">
        <f>SUMIF(DeadRaw!$B:$B,$A126,DeadRaw!BV:BV)</f>
        <v>0</v>
      </c>
      <c r="BT126">
        <f>SUMIF(DeadRaw!$B:$B,$A126,DeadRaw!BW:BW)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I463"/>
  <sheetViews>
    <sheetView topLeftCell="AM31" workbookViewId="0">
      <selection sqref="A1:CA1000"/>
    </sheetView>
  </sheetViews>
  <sheetFormatPr defaultRowHeight="14.4" x14ac:dyDescent="0.3"/>
  <sheetData>
    <row r="1" spans="1:61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</row>
    <row r="2" spans="1:61" x14ac:dyDescent="0.3">
      <c r="B2" t="s">
        <v>35</v>
      </c>
      <c r="C2">
        <v>15</v>
      </c>
      <c r="D2">
        <v>101</v>
      </c>
      <c r="E2">
        <v>2</v>
      </c>
      <c r="F2">
        <v>3</v>
      </c>
      <c r="G2">
        <v>5</v>
      </c>
      <c r="H2">
        <v>7</v>
      </c>
      <c r="I2">
        <v>8</v>
      </c>
      <c r="J2">
        <v>8</v>
      </c>
      <c r="K2">
        <v>14</v>
      </c>
      <c r="L2">
        <v>14</v>
      </c>
      <c r="M2">
        <v>14</v>
      </c>
      <c r="N2">
        <v>19</v>
      </c>
      <c r="O2">
        <v>19</v>
      </c>
      <c r="P2">
        <v>19</v>
      </c>
      <c r="Q2">
        <v>19</v>
      </c>
      <c r="R2">
        <v>25</v>
      </c>
      <c r="S2">
        <v>25</v>
      </c>
      <c r="T2">
        <v>25</v>
      </c>
      <c r="U2">
        <v>25</v>
      </c>
      <c r="V2">
        <v>32</v>
      </c>
      <c r="W2">
        <v>32</v>
      </c>
      <c r="X2">
        <v>32</v>
      </c>
      <c r="Y2">
        <v>33</v>
      </c>
      <c r="Z2">
        <v>33</v>
      </c>
      <c r="AA2">
        <v>33</v>
      </c>
      <c r="AB2">
        <v>33</v>
      </c>
      <c r="AC2">
        <v>33</v>
      </c>
      <c r="AD2">
        <v>34</v>
      </c>
      <c r="AE2">
        <v>35</v>
      </c>
      <c r="AF2">
        <v>35</v>
      </c>
      <c r="AG2">
        <v>35</v>
      </c>
      <c r="AH2">
        <v>35</v>
      </c>
      <c r="AI2">
        <v>35</v>
      </c>
      <c r="AJ2">
        <v>35</v>
      </c>
      <c r="AK2">
        <v>35</v>
      </c>
      <c r="AL2">
        <v>35</v>
      </c>
      <c r="AM2">
        <v>37</v>
      </c>
      <c r="AN2">
        <v>40</v>
      </c>
      <c r="AO2">
        <v>40</v>
      </c>
      <c r="AP2">
        <v>41</v>
      </c>
      <c r="AQ2">
        <v>42</v>
      </c>
      <c r="AR2">
        <v>42</v>
      </c>
      <c r="AS2">
        <v>43</v>
      </c>
      <c r="AT2">
        <v>43</v>
      </c>
      <c r="AU2">
        <v>43</v>
      </c>
      <c r="AV2">
        <v>47</v>
      </c>
      <c r="AW2">
        <v>48</v>
      </c>
      <c r="AX2">
        <v>50</v>
      </c>
      <c r="AY2">
        <v>50</v>
      </c>
      <c r="AZ2">
        <v>50</v>
      </c>
      <c r="BA2">
        <v>53</v>
      </c>
      <c r="BB2">
        <v>59</v>
      </c>
      <c r="BC2">
        <v>70</v>
      </c>
      <c r="BD2">
        <v>75</v>
      </c>
      <c r="BE2">
        <v>82</v>
      </c>
      <c r="BF2">
        <v>114</v>
      </c>
      <c r="BG2">
        <v>147</v>
      </c>
      <c r="BH2">
        <v>177</v>
      </c>
      <c r="BI2">
        <v>212</v>
      </c>
    </row>
    <row r="3" spans="1:61" x14ac:dyDescent="0.3">
      <c r="B3" t="s">
        <v>36</v>
      </c>
      <c r="C3">
        <v>36</v>
      </c>
      <c r="D3">
        <v>138</v>
      </c>
      <c r="E3">
        <v>2</v>
      </c>
      <c r="F3">
        <v>1</v>
      </c>
      <c r="G3">
        <v>2</v>
      </c>
      <c r="H3">
        <v>2</v>
      </c>
      <c r="I3">
        <v>4</v>
      </c>
      <c r="J3">
        <v>4</v>
      </c>
      <c r="K3">
        <v>7</v>
      </c>
      <c r="L3">
        <v>7</v>
      </c>
      <c r="M3">
        <v>11</v>
      </c>
      <c r="N3">
        <v>15</v>
      </c>
      <c r="O3">
        <v>20</v>
      </c>
      <c r="P3">
        <v>20</v>
      </c>
      <c r="Q3">
        <v>20</v>
      </c>
      <c r="R3">
        <v>22</v>
      </c>
      <c r="S3">
        <v>22</v>
      </c>
      <c r="T3">
        <v>45</v>
      </c>
      <c r="U3">
        <v>25</v>
      </c>
      <c r="V3">
        <v>25</v>
      </c>
      <c r="W3">
        <v>26</v>
      </c>
      <c r="X3">
        <v>26</v>
      </c>
      <c r="Y3">
        <v>26</v>
      </c>
      <c r="Z3">
        <v>28</v>
      </c>
      <c r="AA3">
        <v>28</v>
      </c>
      <c r="AB3">
        <v>29</v>
      </c>
      <c r="AC3">
        <v>43</v>
      </c>
      <c r="AD3">
        <v>59</v>
      </c>
      <c r="AE3">
        <v>66</v>
      </c>
      <c r="AF3">
        <v>74</v>
      </c>
      <c r="AG3">
        <v>84</v>
      </c>
      <c r="AH3">
        <v>94</v>
      </c>
      <c r="AI3">
        <v>105</v>
      </c>
      <c r="AJ3">
        <v>122</v>
      </c>
      <c r="AK3">
        <v>147</v>
      </c>
      <c r="AL3">
        <v>159</v>
      </c>
      <c r="AM3">
        <v>170</v>
      </c>
      <c r="AN3">
        <v>189</v>
      </c>
      <c r="AO3">
        <v>214</v>
      </c>
      <c r="AP3">
        <v>228</v>
      </c>
      <c r="AQ3">
        <v>241</v>
      </c>
      <c r="AR3">
        <v>256</v>
      </c>
      <c r="AS3">
        <v>274</v>
      </c>
      <c r="AT3">
        <v>293</v>
      </c>
      <c r="AU3">
        <v>331</v>
      </c>
      <c r="AV3">
        <v>360</v>
      </c>
      <c r="AW3">
        <v>420</v>
      </c>
      <c r="AX3">
        <v>461</v>
      </c>
      <c r="AY3">
        <v>502</v>
      </c>
      <c r="AZ3">
        <v>511</v>
      </c>
      <c r="BA3">
        <v>581</v>
      </c>
      <c r="BB3">
        <v>639</v>
      </c>
      <c r="BC3">
        <v>639</v>
      </c>
      <c r="BD3">
        <v>701</v>
      </c>
      <c r="BE3">
        <v>773</v>
      </c>
      <c r="BF3">
        <v>839</v>
      </c>
      <c r="BG3">
        <v>825</v>
      </c>
      <c r="BH3">
        <v>878</v>
      </c>
      <c r="BI3">
        <v>889</v>
      </c>
    </row>
    <row r="4" spans="1:61" x14ac:dyDescent="0.3">
      <c r="B4" t="s">
        <v>40</v>
      </c>
      <c r="C4">
        <v>1.2833000000000001</v>
      </c>
      <c r="D4">
        <v>103.83329999999999</v>
      </c>
      <c r="E4">
        <v>0</v>
      </c>
      <c r="F4">
        <v>1</v>
      </c>
      <c r="G4">
        <v>3</v>
      </c>
      <c r="H4">
        <v>3</v>
      </c>
      <c r="I4">
        <v>4</v>
      </c>
      <c r="J4">
        <v>5</v>
      </c>
      <c r="K4">
        <v>7</v>
      </c>
      <c r="L4">
        <v>7</v>
      </c>
      <c r="M4">
        <v>10</v>
      </c>
      <c r="N4">
        <v>13</v>
      </c>
      <c r="O4">
        <v>16</v>
      </c>
      <c r="P4">
        <v>18</v>
      </c>
      <c r="Q4">
        <v>18</v>
      </c>
      <c r="R4">
        <v>24</v>
      </c>
      <c r="S4">
        <v>28</v>
      </c>
      <c r="T4">
        <v>28</v>
      </c>
      <c r="U4">
        <v>30</v>
      </c>
      <c r="V4">
        <v>33</v>
      </c>
      <c r="W4">
        <v>40</v>
      </c>
      <c r="X4">
        <v>45</v>
      </c>
      <c r="Y4">
        <v>47</v>
      </c>
      <c r="Z4">
        <v>50</v>
      </c>
      <c r="AA4">
        <v>58</v>
      </c>
      <c r="AB4">
        <v>67</v>
      </c>
      <c r="AC4">
        <v>72</v>
      </c>
      <c r="AD4">
        <v>75</v>
      </c>
      <c r="AE4">
        <v>77</v>
      </c>
      <c r="AF4">
        <v>81</v>
      </c>
      <c r="AG4">
        <v>84</v>
      </c>
      <c r="AH4">
        <v>84</v>
      </c>
      <c r="AI4">
        <v>85</v>
      </c>
      <c r="AJ4">
        <v>85</v>
      </c>
      <c r="AK4">
        <v>89</v>
      </c>
      <c r="AL4">
        <v>89</v>
      </c>
      <c r="AM4">
        <v>91</v>
      </c>
      <c r="AN4">
        <v>93</v>
      </c>
      <c r="AO4">
        <v>93</v>
      </c>
      <c r="AP4">
        <v>93</v>
      </c>
      <c r="AQ4">
        <v>102</v>
      </c>
      <c r="AR4">
        <v>106</v>
      </c>
      <c r="AS4">
        <v>108</v>
      </c>
      <c r="AT4">
        <v>110</v>
      </c>
      <c r="AU4">
        <v>110</v>
      </c>
      <c r="AV4">
        <v>117</v>
      </c>
      <c r="AW4">
        <v>130</v>
      </c>
      <c r="AX4">
        <v>138</v>
      </c>
      <c r="AY4">
        <v>150</v>
      </c>
      <c r="AZ4">
        <v>150</v>
      </c>
      <c r="BA4">
        <v>160</v>
      </c>
      <c r="BB4">
        <v>178</v>
      </c>
      <c r="BC4">
        <v>178</v>
      </c>
      <c r="BD4">
        <v>200</v>
      </c>
      <c r="BE4">
        <v>212</v>
      </c>
      <c r="BF4">
        <v>226</v>
      </c>
      <c r="BG4">
        <v>243</v>
      </c>
      <c r="BH4">
        <v>266</v>
      </c>
      <c r="BI4">
        <v>313</v>
      </c>
    </row>
    <row r="5" spans="1:61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</row>
    <row r="6" spans="1:61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3</v>
      </c>
      <c r="I6">
        <v>4</v>
      </c>
      <c r="J6">
        <v>4</v>
      </c>
      <c r="K6">
        <v>4</v>
      </c>
      <c r="L6">
        <v>7</v>
      </c>
      <c r="M6">
        <v>8</v>
      </c>
      <c r="N6">
        <v>8</v>
      </c>
      <c r="O6">
        <v>8</v>
      </c>
      <c r="P6">
        <v>8</v>
      </c>
      <c r="Q6">
        <v>8</v>
      </c>
      <c r="R6">
        <v>10</v>
      </c>
      <c r="S6">
        <v>12</v>
      </c>
      <c r="T6">
        <v>12</v>
      </c>
      <c r="U6">
        <v>12</v>
      </c>
      <c r="V6">
        <v>16</v>
      </c>
      <c r="W6">
        <v>16</v>
      </c>
      <c r="X6">
        <v>18</v>
      </c>
      <c r="Y6">
        <v>18</v>
      </c>
      <c r="Z6">
        <v>18</v>
      </c>
      <c r="AA6">
        <v>19</v>
      </c>
      <c r="AB6">
        <v>19</v>
      </c>
      <c r="AC6">
        <v>22</v>
      </c>
      <c r="AD6">
        <v>22</v>
      </c>
      <c r="AE6">
        <v>22</v>
      </c>
      <c r="AF6">
        <v>22</v>
      </c>
      <c r="AG6">
        <v>22</v>
      </c>
      <c r="AH6">
        <v>22</v>
      </c>
      <c r="AI6">
        <v>22</v>
      </c>
      <c r="AJ6">
        <v>22</v>
      </c>
      <c r="AK6">
        <v>22</v>
      </c>
      <c r="AL6">
        <v>22</v>
      </c>
      <c r="AM6">
        <v>22</v>
      </c>
      <c r="AN6">
        <v>22</v>
      </c>
      <c r="AO6">
        <v>23</v>
      </c>
      <c r="AP6">
        <v>23</v>
      </c>
      <c r="AQ6">
        <v>25</v>
      </c>
      <c r="AR6">
        <v>29</v>
      </c>
      <c r="AS6">
        <v>29</v>
      </c>
      <c r="AT6">
        <v>36</v>
      </c>
      <c r="AU6">
        <v>50</v>
      </c>
      <c r="AV6">
        <v>50</v>
      </c>
      <c r="AW6">
        <v>83</v>
      </c>
      <c r="AX6">
        <v>93</v>
      </c>
      <c r="AY6">
        <v>99</v>
      </c>
      <c r="AZ6">
        <v>117</v>
      </c>
      <c r="BA6">
        <v>129</v>
      </c>
      <c r="BB6">
        <v>149</v>
      </c>
      <c r="BC6">
        <v>149</v>
      </c>
      <c r="BD6">
        <v>197</v>
      </c>
      <c r="BE6">
        <v>238</v>
      </c>
      <c r="BF6">
        <v>428</v>
      </c>
      <c r="BG6">
        <v>566</v>
      </c>
      <c r="BH6">
        <v>673</v>
      </c>
      <c r="BI6">
        <v>790</v>
      </c>
    </row>
    <row r="7" spans="1:61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2</v>
      </c>
      <c r="T7">
        <v>2</v>
      </c>
      <c r="U7">
        <v>4</v>
      </c>
      <c r="V7">
        <v>4</v>
      </c>
      <c r="W7">
        <v>4</v>
      </c>
      <c r="X7">
        <v>4</v>
      </c>
      <c r="Y7">
        <v>4</v>
      </c>
      <c r="Z7">
        <v>4</v>
      </c>
      <c r="AA7">
        <v>4</v>
      </c>
      <c r="AB7">
        <v>4</v>
      </c>
      <c r="AC7">
        <v>4</v>
      </c>
      <c r="AD7">
        <v>4</v>
      </c>
      <c r="AE7">
        <v>5</v>
      </c>
      <c r="AF7">
        <v>5</v>
      </c>
      <c r="AG7">
        <v>5</v>
      </c>
      <c r="AH7">
        <v>5</v>
      </c>
      <c r="AI7">
        <v>6</v>
      </c>
      <c r="AJ7">
        <v>6</v>
      </c>
      <c r="AK7">
        <v>6</v>
      </c>
      <c r="AL7">
        <v>6</v>
      </c>
      <c r="AM7">
        <v>7</v>
      </c>
      <c r="AN7">
        <v>7</v>
      </c>
      <c r="AO7">
        <v>7</v>
      </c>
      <c r="AP7">
        <v>7</v>
      </c>
      <c r="AQ7">
        <v>8</v>
      </c>
      <c r="AR7">
        <v>8</v>
      </c>
      <c r="AS7">
        <v>8</v>
      </c>
      <c r="AT7">
        <v>9</v>
      </c>
      <c r="AU7">
        <v>12</v>
      </c>
      <c r="AV7">
        <v>13</v>
      </c>
      <c r="AW7">
        <v>21</v>
      </c>
      <c r="AX7">
        <v>21</v>
      </c>
      <c r="AY7">
        <v>27</v>
      </c>
      <c r="AZ7">
        <v>32</v>
      </c>
      <c r="BA7">
        <v>32</v>
      </c>
      <c r="BB7">
        <v>39</v>
      </c>
      <c r="BC7">
        <v>46</v>
      </c>
      <c r="BD7">
        <v>64</v>
      </c>
      <c r="BE7">
        <v>64</v>
      </c>
      <c r="BF7">
        <v>73</v>
      </c>
      <c r="BG7">
        <v>103</v>
      </c>
      <c r="BH7">
        <v>103</v>
      </c>
      <c r="BI7">
        <v>186</v>
      </c>
    </row>
    <row r="8" spans="1:61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3</v>
      </c>
      <c r="J8">
        <v>4</v>
      </c>
      <c r="K8">
        <v>4</v>
      </c>
      <c r="L8">
        <v>4</v>
      </c>
      <c r="M8">
        <v>4</v>
      </c>
      <c r="N8">
        <v>4</v>
      </c>
      <c r="O8">
        <v>4</v>
      </c>
      <c r="P8">
        <v>4</v>
      </c>
      <c r="Q8">
        <v>4</v>
      </c>
      <c r="R8">
        <v>4</v>
      </c>
      <c r="S8">
        <v>4</v>
      </c>
      <c r="T8">
        <v>4</v>
      </c>
      <c r="U8">
        <v>4</v>
      </c>
      <c r="V8">
        <v>4</v>
      </c>
      <c r="W8">
        <v>4</v>
      </c>
      <c r="X8">
        <v>4</v>
      </c>
      <c r="Y8">
        <v>4</v>
      </c>
      <c r="Z8">
        <v>4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6</v>
      </c>
      <c r="AS8">
        <v>6</v>
      </c>
      <c r="AT8">
        <v>13</v>
      </c>
      <c r="AU8">
        <v>22</v>
      </c>
      <c r="AV8">
        <v>22</v>
      </c>
      <c r="AW8">
        <v>26</v>
      </c>
      <c r="AX8">
        <v>28</v>
      </c>
      <c r="AY8">
        <v>38</v>
      </c>
      <c r="AZ8">
        <v>48</v>
      </c>
      <c r="BA8">
        <v>55</v>
      </c>
      <c r="BB8">
        <v>65</v>
      </c>
      <c r="BC8">
        <v>65</v>
      </c>
      <c r="BD8">
        <v>92</v>
      </c>
      <c r="BE8">
        <v>112</v>
      </c>
      <c r="BF8">
        <v>134</v>
      </c>
      <c r="BG8">
        <v>171</v>
      </c>
      <c r="BH8">
        <v>210</v>
      </c>
      <c r="BI8">
        <v>267</v>
      </c>
    </row>
    <row r="9" spans="1:61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1</v>
      </c>
      <c r="J9">
        <v>1</v>
      </c>
      <c r="K9">
        <v>1</v>
      </c>
      <c r="L9">
        <v>1</v>
      </c>
      <c r="M9">
        <v>2</v>
      </c>
      <c r="N9">
        <v>3</v>
      </c>
      <c r="O9">
        <v>4</v>
      </c>
      <c r="P9">
        <v>4</v>
      </c>
      <c r="Q9">
        <v>4</v>
      </c>
      <c r="R9">
        <v>4</v>
      </c>
      <c r="S9">
        <v>4</v>
      </c>
      <c r="T9">
        <v>4</v>
      </c>
      <c r="U9">
        <v>4</v>
      </c>
      <c r="V9">
        <v>4</v>
      </c>
      <c r="W9">
        <v>4</v>
      </c>
      <c r="X9">
        <v>4</v>
      </c>
      <c r="Y9">
        <v>4</v>
      </c>
      <c r="Z9">
        <v>4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7</v>
      </c>
      <c r="AR9">
        <v>7</v>
      </c>
      <c r="AS9">
        <v>9</v>
      </c>
      <c r="AT9">
        <v>9</v>
      </c>
      <c r="AU9">
        <v>10</v>
      </c>
      <c r="AV9">
        <v>10</v>
      </c>
      <c r="AW9">
        <v>10</v>
      </c>
      <c r="AX9">
        <v>11</v>
      </c>
      <c r="AY9">
        <v>11</v>
      </c>
      <c r="AZ9">
        <v>15</v>
      </c>
      <c r="BA9">
        <v>18</v>
      </c>
      <c r="BB9">
        <v>21</v>
      </c>
      <c r="BC9">
        <v>21</v>
      </c>
      <c r="BD9">
        <v>36</v>
      </c>
      <c r="BE9">
        <v>49</v>
      </c>
      <c r="BF9">
        <v>57</v>
      </c>
      <c r="BG9">
        <v>71</v>
      </c>
      <c r="BH9">
        <v>94</v>
      </c>
      <c r="BI9">
        <v>121</v>
      </c>
    </row>
    <row r="10" spans="1:61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3</v>
      </c>
      <c r="N10">
        <v>2</v>
      </c>
      <c r="O10">
        <v>3</v>
      </c>
      <c r="P10">
        <v>2</v>
      </c>
      <c r="Q10">
        <v>2</v>
      </c>
      <c r="R10">
        <v>3</v>
      </c>
      <c r="S10">
        <v>3</v>
      </c>
      <c r="T10">
        <v>4</v>
      </c>
      <c r="U10">
        <v>5</v>
      </c>
      <c r="V10">
        <v>5</v>
      </c>
      <c r="W10">
        <v>5</v>
      </c>
      <c r="X10">
        <v>5</v>
      </c>
      <c r="Y10">
        <v>5</v>
      </c>
      <c r="Z10">
        <v>5</v>
      </c>
      <c r="AA10">
        <v>5</v>
      </c>
      <c r="AB10">
        <v>5</v>
      </c>
      <c r="AC10">
        <v>5</v>
      </c>
      <c r="AD10">
        <v>5</v>
      </c>
      <c r="AE10">
        <v>5</v>
      </c>
      <c r="AF10">
        <v>5</v>
      </c>
      <c r="AG10">
        <v>5</v>
      </c>
      <c r="AH10">
        <v>5</v>
      </c>
      <c r="AI10">
        <v>5</v>
      </c>
      <c r="AJ10">
        <v>5</v>
      </c>
      <c r="AK10">
        <v>5</v>
      </c>
      <c r="AL10">
        <v>5</v>
      </c>
      <c r="AM10">
        <v>5</v>
      </c>
      <c r="AN10">
        <v>5</v>
      </c>
      <c r="AO10">
        <v>5</v>
      </c>
      <c r="AP10">
        <v>5</v>
      </c>
      <c r="AQ10">
        <v>9</v>
      </c>
      <c r="AR10">
        <v>9</v>
      </c>
      <c r="AS10">
        <v>9</v>
      </c>
      <c r="AT10">
        <v>11</v>
      </c>
      <c r="AU10">
        <v>11</v>
      </c>
      <c r="AV10">
        <v>13</v>
      </c>
      <c r="AW10">
        <v>13</v>
      </c>
      <c r="AX10">
        <v>13</v>
      </c>
      <c r="AY10">
        <v>15</v>
      </c>
      <c r="AZ10">
        <v>15</v>
      </c>
      <c r="BA10">
        <v>18</v>
      </c>
      <c r="BB10">
        <v>20</v>
      </c>
      <c r="BC10">
        <v>20</v>
      </c>
      <c r="BD10">
        <v>35</v>
      </c>
      <c r="BE10">
        <v>46</v>
      </c>
      <c r="BF10">
        <v>61</v>
      </c>
      <c r="BG10">
        <v>68</v>
      </c>
      <c r="BH10">
        <v>78</v>
      </c>
      <c r="BI10">
        <v>94</v>
      </c>
    </row>
    <row r="11" spans="1:61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3</v>
      </c>
      <c r="BC11">
        <v>3</v>
      </c>
      <c r="BD11">
        <v>5</v>
      </c>
      <c r="BE11">
        <v>7</v>
      </c>
      <c r="BF11">
        <v>7</v>
      </c>
      <c r="BG11">
        <v>7</v>
      </c>
      <c r="BH11">
        <v>33</v>
      </c>
      <c r="BI11">
        <v>35</v>
      </c>
    </row>
    <row r="12" spans="1:61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2</v>
      </c>
      <c r="BC12">
        <v>2</v>
      </c>
      <c r="BD12">
        <v>6</v>
      </c>
      <c r="BE12">
        <v>10</v>
      </c>
      <c r="BF12">
        <v>18</v>
      </c>
      <c r="BG12">
        <v>28</v>
      </c>
      <c r="BH12">
        <v>44</v>
      </c>
      <c r="BI12">
        <v>51</v>
      </c>
    </row>
    <row r="13" spans="1:61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4</v>
      </c>
      <c r="L13">
        <v>4</v>
      </c>
      <c r="M13">
        <v>4</v>
      </c>
      <c r="N13">
        <v>5</v>
      </c>
      <c r="O13">
        <v>8</v>
      </c>
      <c r="P13">
        <v>10</v>
      </c>
      <c r="Q13">
        <v>12</v>
      </c>
      <c r="R13">
        <v>12</v>
      </c>
      <c r="S13">
        <v>12</v>
      </c>
      <c r="T13">
        <v>12</v>
      </c>
      <c r="U13">
        <v>13</v>
      </c>
      <c r="V13">
        <v>13</v>
      </c>
      <c r="W13">
        <v>14</v>
      </c>
      <c r="X13">
        <v>14</v>
      </c>
      <c r="Y13">
        <v>16</v>
      </c>
      <c r="Z13">
        <v>16</v>
      </c>
      <c r="AA13">
        <v>16</v>
      </c>
      <c r="AB13">
        <v>16</v>
      </c>
      <c r="AC13">
        <v>16</v>
      </c>
      <c r="AD13">
        <v>16</v>
      </c>
      <c r="AE13">
        <v>16</v>
      </c>
      <c r="AF13">
        <v>16</v>
      </c>
      <c r="AG13">
        <v>16</v>
      </c>
      <c r="AH13">
        <v>16</v>
      </c>
      <c r="AI13">
        <v>16</v>
      </c>
      <c r="AJ13">
        <v>16</v>
      </c>
      <c r="AK13">
        <v>16</v>
      </c>
      <c r="AL13">
        <v>16</v>
      </c>
      <c r="AM13">
        <v>17</v>
      </c>
      <c r="AN13">
        <v>27</v>
      </c>
      <c r="AO13">
        <v>46</v>
      </c>
      <c r="AP13">
        <v>48</v>
      </c>
      <c r="AQ13">
        <v>79</v>
      </c>
      <c r="AR13">
        <v>130</v>
      </c>
      <c r="AS13">
        <v>159</v>
      </c>
      <c r="AT13">
        <v>196</v>
      </c>
      <c r="AU13">
        <v>262</v>
      </c>
      <c r="AV13">
        <v>482</v>
      </c>
      <c r="AW13">
        <v>670</v>
      </c>
      <c r="AX13">
        <v>799</v>
      </c>
      <c r="AY13">
        <v>1040</v>
      </c>
      <c r="AZ13">
        <v>1176</v>
      </c>
      <c r="BA13">
        <v>1457</v>
      </c>
      <c r="BB13">
        <v>1908</v>
      </c>
      <c r="BC13">
        <v>2078</v>
      </c>
      <c r="BD13">
        <v>3675</v>
      </c>
      <c r="BE13">
        <v>4585</v>
      </c>
      <c r="BF13">
        <v>5795</v>
      </c>
      <c r="BG13">
        <v>7272</v>
      </c>
      <c r="BH13">
        <v>9257</v>
      </c>
      <c r="BI13">
        <v>12327</v>
      </c>
    </row>
    <row r="14" spans="1:61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2</v>
      </c>
      <c r="AO14">
        <v>2</v>
      </c>
      <c r="AP14">
        <v>2</v>
      </c>
      <c r="AQ14">
        <v>3</v>
      </c>
      <c r="AR14">
        <v>6</v>
      </c>
      <c r="AS14">
        <v>6</v>
      </c>
      <c r="AT14">
        <v>6</v>
      </c>
      <c r="AU14">
        <v>6</v>
      </c>
      <c r="AV14">
        <v>12</v>
      </c>
      <c r="AW14">
        <v>15</v>
      </c>
      <c r="AX14">
        <v>15</v>
      </c>
      <c r="AY14">
        <v>23</v>
      </c>
      <c r="AZ14">
        <v>30</v>
      </c>
      <c r="BA14">
        <v>40</v>
      </c>
      <c r="BB14">
        <v>59</v>
      </c>
      <c r="BC14">
        <v>59</v>
      </c>
      <c r="BD14">
        <v>155</v>
      </c>
      <c r="BE14">
        <v>225</v>
      </c>
      <c r="BF14">
        <v>244</v>
      </c>
      <c r="BG14">
        <v>277</v>
      </c>
      <c r="BH14">
        <v>321</v>
      </c>
      <c r="BI14">
        <v>336</v>
      </c>
    </row>
    <row r="15" spans="1:61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4</v>
      </c>
      <c r="M15">
        <v>4</v>
      </c>
      <c r="N15">
        <v>4</v>
      </c>
      <c r="O15">
        <v>4</v>
      </c>
      <c r="P15">
        <v>5</v>
      </c>
      <c r="Q15">
        <v>5</v>
      </c>
      <c r="R15">
        <v>5</v>
      </c>
      <c r="S15">
        <v>5</v>
      </c>
      <c r="T15">
        <v>5</v>
      </c>
      <c r="U15">
        <v>5</v>
      </c>
      <c r="V15">
        <v>7</v>
      </c>
      <c r="W15">
        <v>7</v>
      </c>
      <c r="X15">
        <v>8</v>
      </c>
      <c r="Y15">
        <v>8</v>
      </c>
      <c r="Z15">
        <v>8</v>
      </c>
      <c r="AA15">
        <v>8</v>
      </c>
      <c r="AB15">
        <v>8</v>
      </c>
      <c r="AC15">
        <v>8</v>
      </c>
      <c r="AD15">
        <v>9</v>
      </c>
      <c r="AE15">
        <v>9</v>
      </c>
      <c r="AF15">
        <v>9</v>
      </c>
      <c r="AG15">
        <v>9</v>
      </c>
      <c r="AH15">
        <v>9</v>
      </c>
      <c r="AI15">
        <v>9</v>
      </c>
      <c r="AJ15">
        <v>13</v>
      </c>
      <c r="AK15">
        <v>13</v>
      </c>
      <c r="AL15">
        <v>13</v>
      </c>
      <c r="AM15">
        <v>13</v>
      </c>
      <c r="AN15">
        <v>13</v>
      </c>
      <c r="AO15">
        <v>13</v>
      </c>
      <c r="AP15">
        <v>19</v>
      </c>
      <c r="AQ15">
        <v>21</v>
      </c>
      <c r="AR15">
        <v>21</v>
      </c>
      <c r="AS15">
        <v>21</v>
      </c>
      <c r="AT15">
        <v>27</v>
      </c>
      <c r="AU15">
        <v>27</v>
      </c>
      <c r="AV15">
        <v>29</v>
      </c>
      <c r="AW15">
        <v>29</v>
      </c>
      <c r="AX15">
        <v>45</v>
      </c>
      <c r="AY15">
        <v>45</v>
      </c>
      <c r="AZ15">
        <v>45</v>
      </c>
      <c r="BA15">
        <v>74</v>
      </c>
      <c r="BB15">
        <v>74</v>
      </c>
      <c r="BC15">
        <v>85</v>
      </c>
      <c r="BD15">
        <v>85</v>
      </c>
      <c r="BE15">
        <v>85</v>
      </c>
      <c r="BF15">
        <v>98</v>
      </c>
      <c r="BG15">
        <v>98</v>
      </c>
      <c r="BH15">
        <v>98</v>
      </c>
      <c r="BI15">
        <v>113</v>
      </c>
    </row>
    <row r="16" spans="1:61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1</v>
      </c>
      <c r="P16">
        <v>2</v>
      </c>
      <c r="Q16">
        <v>2</v>
      </c>
      <c r="R16">
        <v>2</v>
      </c>
      <c r="S16">
        <v>2</v>
      </c>
      <c r="T16">
        <v>2</v>
      </c>
      <c r="U16">
        <v>3</v>
      </c>
      <c r="V16">
        <v>3</v>
      </c>
      <c r="W16">
        <v>3</v>
      </c>
      <c r="X16">
        <v>3</v>
      </c>
      <c r="Y16">
        <v>3</v>
      </c>
      <c r="Z16">
        <v>3</v>
      </c>
      <c r="AA16">
        <v>3</v>
      </c>
      <c r="AB16">
        <v>3</v>
      </c>
      <c r="AC16">
        <v>3</v>
      </c>
      <c r="AD16">
        <v>3</v>
      </c>
      <c r="AE16">
        <v>3</v>
      </c>
      <c r="AF16">
        <v>3</v>
      </c>
      <c r="AG16">
        <v>3</v>
      </c>
      <c r="AH16">
        <v>3</v>
      </c>
      <c r="AI16">
        <v>3</v>
      </c>
      <c r="AJ16">
        <v>3</v>
      </c>
      <c r="AK16">
        <v>3</v>
      </c>
      <c r="AL16">
        <v>3</v>
      </c>
      <c r="AM16">
        <v>3</v>
      </c>
      <c r="AN16">
        <v>3</v>
      </c>
      <c r="AO16">
        <v>3</v>
      </c>
      <c r="AP16">
        <v>3</v>
      </c>
      <c r="AQ16">
        <v>3</v>
      </c>
      <c r="AR16">
        <v>3</v>
      </c>
      <c r="AS16">
        <v>3</v>
      </c>
      <c r="AT16">
        <v>3</v>
      </c>
      <c r="AU16">
        <v>3</v>
      </c>
      <c r="AV16">
        <v>3</v>
      </c>
      <c r="AW16">
        <v>5</v>
      </c>
      <c r="AX16">
        <v>6</v>
      </c>
      <c r="AY16">
        <v>10</v>
      </c>
      <c r="AZ16">
        <v>20</v>
      </c>
      <c r="BA16">
        <v>33</v>
      </c>
      <c r="BB16">
        <v>49</v>
      </c>
      <c r="BC16">
        <v>52</v>
      </c>
      <c r="BD16">
        <v>64</v>
      </c>
      <c r="BE16">
        <v>111</v>
      </c>
      <c r="BF16">
        <v>140</v>
      </c>
      <c r="BG16">
        <v>142</v>
      </c>
      <c r="BH16">
        <v>187</v>
      </c>
      <c r="BI16">
        <v>202</v>
      </c>
    </row>
    <row r="17" spans="1:61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1</v>
      </c>
      <c r="O17">
        <v>1</v>
      </c>
      <c r="P17">
        <v>2</v>
      </c>
      <c r="Q17">
        <v>3</v>
      </c>
      <c r="R17">
        <v>3</v>
      </c>
      <c r="S17">
        <v>3</v>
      </c>
      <c r="T17">
        <v>3</v>
      </c>
      <c r="U17">
        <v>3</v>
      </c>
      <c r="V17">
        <v>3</v>
      </c>
      <c r="W17">
        <v>3</v>
      </c>
      <c r="X17">
        <v>3</v>
      </c>
      <c r="Y17">
        <v>3</v>
      </c>
      <c r="Z17">
        <v>3</v>
      </c>
      <c r="AA17">
        <v>3</v>
      </c>
      <c r="AB17">
        <v>3</v>
      </c>
      <c r="AC17">
        <v>3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5</v>
      </c>
      <c r="AT17">
        <v>5</v>
      </c>
      <c r="AU17">
        <v>28</v>
      </c>
      <c r="AV17">
        <v>30</v>
      </c>
      <c r="AW17">
        <v>31</v>
      </c>
      <c r="AX17">
        <v>34</v>
      </c>
      <c r="AY17">
        <v>39</v>
      </c>
      <c r="AZ17">
        <v>43</v>
      </c>
      <c r="BA17">
        <v>56</v>
      </c>
      <c r="BB17">
        <v>62</v>
      </c>
      <c r="BC17">
        <v>73</v>
      </c>
      <c r="BD17">
        <v>82</v>
      </c>
      <c r="BE17">
        <v>102</v>
      </c>
      <c r="BF17">
        <v>113</v>
      </c>
      <c r="BG17">
        <v>119</v>
      </c>
      <c r="BH17">
        <v>142</v>
      </c>
      <c r="BI17">
        <v>156</v>
      </c>
    </row>
    <row r="18" spans="1:61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2</v>
      </c>
      <c r="O18">
        <v>2</v>
      </c>
      <c r="P18">
        <v>2</v>
      </c>
      <c r="Q18">
        <v>2</v>
      </c>
      <c r="R18">
        <v>2</v>
      </c>
      <c r="S18">
        <v>2</v>
      </c>
      <c r="T18">
        <v>2</v>
      </c>
      <c r="U18">
        <v>3</v>
      </c>
      <c r="V18">
        <v>3</v>
      </c>
      <c r="W18">
        <v>3</v>
      </c>
      <c r="X18">
        <v>3</v>
      </c>
      <c r="Y18">
        <v>3</v>
      </c>
      <c r="Z18">
        <v>3</v>
      </c>
      <c r="AA18">
        <v>3</v>
      </c>
      <c r="AB18">
        <v>3</v>
      </c>
      <c r="AC18">
        <v>3</v>
      </c>
      <c r="AD18">
        <v>3</v>
      </c>
      <c r="AE18">
        <v>3</v>
      </c>
      <c r="AF18">
        <v>3</v>
      </c>
      <c r="AG18">
        <v>3</v>
      </c>
      <c r="AH18">
        <v>3</v>
      </c>
      <c r="AI18">
        <v>20</v>
      </c>
      <c r="AJ18">
        <v>62</v>
      </c>
      <c r="AK18">
        <v>155</v>
      </c>
      <c r="AL18">
        <v>229</v>
      </c>
      <c r="AM18">
        <v>322</v>
      </c>
      <c r="AN18">
        <v>453</v>
      </c>
      <c r="AO18">
        <v>655</v>
      </c>
      <c r="AP18">
        <v>888</v>
      </c>
      <c r="AQ18">
        <v>1128</v>
      </c>
      <c r="AR18">
        <v>1694</v>
      </c>
      <c r="AS18">
        <v>2036</v>
      </c>
      <c r="AT18">
        <v>2502</v>
      </c>
      <c r="AU18">
        <v>3089</v>
      </c>
      <c r="AV18">
        <v>3858</v>
      </c>
      <c r="AW18">
        <v>4636</v>
      </c>
      <c r="AX18">
        <v>5883</v>
      </c>
      <c r="AY18">
        <v>7375</v>
      </c>
      <c r="AZ18">
        <v>9172</v>
      </c>
      <c r="BA18">
        <v>10149</v>
      </c>
      <c r="BB18">
        <v>12462</v>
      </c>
      <c r="BC18">
        <v>12462</v>
      </c>
      <c r="BD18">
        <v>17660</v>
      </c>
      <c r="BE18">
        <v>21157</v>
      </c>
      <c r="BF18">
        <v>24747</v>
      </c>
      <c r="BG18">
        <v>27980</v>
      </c>
      <c r="BH18">
        <v>31506</v>
      </c>
      <c r="BI18">
        <v>35713</v>
      </c>
    </row>
    <row r="19" spans="1:61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2</v>
      </c>
      <c r="AO19">
        <v>7</v>
      </c>
      <c r="AP19">
        <v>7</v>
      </c>
      <c r="AQ19">
        <v>12</v>
      </c>
      <c r="AR19">
        <v>14</v>
      </c>
      <c r="AS19">
        <v>15</v>
      </c>
      <c r="AT19">
        <v>21</v>
      </c>
      <c r="AU19">
        <v>35</v>
      </c>
      <c r="AV19">
        <v>94</v>
      </c>
      <c r="AW19">
        <v>101</v>
      </c>
      <c r="AX19">
        <v>161</v>
      </c>
      <c r="AY19">
        <v>203</v>
      </c>
      <c r="AZ19">
        <v>248</v>
      </c>
      <c r="BA19">
        <v>355</v>
      </c>
      <c r="BB19">
        <v>500</v>
      </c>
      <c r="BC19">
        <v>599</v>
      </c>
      <c r="BD19">
        <v>814</v>
      </c>
      <c r="BE19">
        <v>961</v>
      </c>
      <c r="BF19">
        <v>1022</v>
      </c>
      <c r="BG19">
        <v>1103</v>
      </c>
      <c r="BH19">
        <v>1190</v>
      </c>
      <c r="BI19">
        <v>1279</v>
      </c>
    </row>
    <row r="20" spans="1:61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6</v>
      </c>
      <c r="AN20">
        <v>13</v>
      </c>
      <c r="AO20">
        <v>15</v>
      </c>
      <c r="AP20">
        <v>32</v>
      </c>
      <c r="AQ20">
        <v>45</v>
      </c>
      <c r="AR20">
        <v>84</v>
      </c>
      <c r="AS20">
        <v>120</v>
      </c>
      <c r="AT20">
        <v>165</v>
      </c>
      <c r="AU20">
        <v>222</v>
      </c>
      <c r="AV20">
        <v>259</v>
      </c>
      <c r="AW20">
        <v>400</v>
      </c>
      <c r="AX20">
        <v>500</v>
      </c>
      <c r="AY20">
        <v>673</v>
      </c>
      <c r="AZ20">
        <v>1073</v>
      </c>
      <c r="BA20">
        <v>1695</v>
      </c>
      <c r="BB20">
        <v>2277</v>
      </c>
      <c r="BC20">
        <v>2277</v>
      </c>
      <c r="BD20">
        <v>5232</v>
      </c>
      <c r="BE20">
        <v>6391</v>
      </c>
      <c r="BF20">
        <v>7798</v>
      </c>
      <c r="BG20">
        <v>9942</v>
      </c>
      <c r="BH20">
        <v>11748</v>
      </c>
      <c r="BI20">
        <v>13910</v>
      </c>
    </row>
    <row r="21" spans="1:61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3</v>
      </c>
      <c r="AR21">
        <v>3</v>
      </c>
      <c r="AS21">
        <v>3</v>
      </c>
      <c r="AT21">
        <v>3</v>
      </c>
      <c r="AU21">
        <v>5</v>
      </c>
      <c r="AV21">
        <v>5</v>
      </c>
      <c r="AW21">
        <v>7</v>
      </c>
      <c r="AX21">
        <v>7</v>
      </c>
      <c r="AY21">
        <v>7</v>
      </c>
      <c r="AZ21">
        <v>7</v>
      </c>
      <c r="BA21">
        <v>7</v>
      </c>
      <c r="BB21">
        <v>9</v>
      </c>
      <c r="BC21">
        <v>9</v>
      </c>
      <c r="BD21">
        <v>16</v>
      </c>
      <c r="BE21">
        <v>19</v>
      </c>
      <c r="BF21">
        <v>20</v>
      </c>
      <c r="BG21">
        <v>29</v>
      </c>
      <c r="BH21">
        <v>29</v>
      </c>
      <c r="BI21">
        <v>37</v>
      </c>
    </row>
    <row r="22" spans="1:61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2</v>
      </c>
      <c r="AS22">
        <v>8</v>
      </c>
      <c r="AT22">
        <v>13</v>
      </c>
      <c r="AU22">
        <v>23</v>
      </c>
      <c r="AV22">
        <v>50</v>
      </c>
      <c r="AW22">
        <v>109</v>
      </c>
      <c r="AX22">
        <v>169</v>
      </c>
      <c r="AY22">
        <v>200</v>
      </c>
      <c r="AZ22">
        <v>239</v>
      </c>
      <c r="BA22">
        <v>267</v>
      </c>
      <c r="BB22">
        <v>314</v>
      </c>
      <c r="BC22">
        <v>314</v>
      </c>
      <c r="BD22">
        <v>559</v>
      </c>
      <c r="BE22">
        <v>689</v>
      </c>
      <c r="BF22">
        <v>886</v>
      </c>
      <c r="BG22">
        <v>1058</v>
      </c>
      <c r="BH22">
        <v>1243</v>
      </c>
      <c r="BI22">
        <v>1486</v>
      </c>
    </row>
    <row r="23" spans="1:61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2</v>
      </c>
      <c r="AS23">
        <v>2</v>
      </c>
      <c r="AT23">
        <v>2</v>
      </c>
      <c r="AU23">
        <v>2</v>
      </c>
      <c r="AV23">
        <v>3</v>
      </c>
      <c r="AW23">
        <v>15</v>
      </c>
      <c r="AX23">
        <v>15</v>
      </c>
      <c r="AY23">
        <v>49</v>
      </c>
      <c r="AZ23">
        <v>55</v>
      </c>
      <c r="BA23">
        <v>59</v>
      </c>
      <c r="BB23">
        <v>60</v>
      </c>
      <c r="BC23">
        <v>67</v>
      </c>
      <c r="BD23">
        <v>80</v>
      </c>
      <c r="BE23">
        <v>109</v>
      </c>
      <c r="BF23">
        <v>110</v>
      </c>
      <c r="BG23">
        <v>150</v>
      </c>
      <c r="BH23">
        <v>196</v>
      </c>
      <c r="BI23">
        <v>196</v>
      </c>
    </row>
    <row r="24" spans="1:61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4</v>
      </c>
      <c r="AJ24">
        <v>7</v>
      </c>
      <c r="AK24">
        <v>7</v>
      </c>
      <c r="AL24">
        <v>7</v>
      </c>
      <c r="AM24">
        <v>7</v>
      </c>
      <c r="AN24">
        <v>7</v>
      </c>
      <c r="AO24">
        <v>8</v>
      </c>
      <c r="AP24">
        <v>8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</row>
    <row r="25" spans="1:61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2</v>
      </c>
      <c r="AO25">
        <v>2</v>
      </c>
      <c r="AP25">
        <v>2</v>
      </c>
      <c r="AQ25">
        <v>4</v>
      </c>
      <c r="AR25">
        <v>10</v>
      </c>
      <c r="AS25">
        <v>13</v>
      </c>
      <c r="AT25">
        <v>13</v>
      </c>
      <c r="AU25">
        <v>13</v>
      </c>
      <c r="AV25">
        <v>16</v>
      </c>
      <c r="AW25">
        <v>22</v>
      </c>
      <c r="AX25">
        <v>22</v>
      </c>
      <c r="AY25">
        <v>32</v>
      </c>
      <c r="AZ25">
        <v>32</v>
      </c>
      <c r="BA25">
        <v>41</v>
      </c>
      <c r="BB25">
        <v>61</v>
      </c>
      <c r="BC25">
        <v>61</v>
      </c>
      <c r="BD25">
        <v>77</v>
      </c>
      <c r="BE25">
        <v>93</v>
      </c>
      <c r="BF25">
        <v>110</v>
      </c>
      <c r="BG25">
        <v>99</v>
      </c>
      <c r="BH25">
        <v>120</v>
      </c>
      <c r="BI25">
        <v>133</v>
      </c>
    </row>
    <row r="26" spans="1:61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1</v>
      </c>
      <c r="AM26">
        <v>1</v>
      </c>
      <c r="AN26">
        <v>5</v>
      </c>
      <c r="AO26">
        <v>7</v>
      </c>
      <c r="AP26">
        <v>7</v>
      </c>
      <c r="AQ26">
        <v>13</v>
      </c>
      <c r="AR26">
        <v>19</v>
      </c>
      <c r="AS26">
        <v>26</v>
      </c>
      <c r="AT26">
        <v>32</v>
      </c>
      <c r="AU26">
        <v>35</v>
      </c>
      <c r="AV26">
        <v>35</v>
      </c>
      <c r="AW26">
        <v>40</v>
      </c>
      <c r="AX26">
        <v>54</v>
      </c>
      <c r="AY26">
        <v>60</v>
      </c>
      <c r="AZ26">
        <v>60</v>
      </c>
      <c r="BA26">
        <v>71</v>
      </c>
      <c r="BB26">
        <v>71</v>
      </c>
      <c r="BC26">
        <v>71</v>
      </c>
      <c r="BD26">
        <v>101</v>
      </c>
      <c r="BE26">
        <v>110</v>
      </c>
      <c r="BF26">
        <v>116</v>
      </c>
      <c r="BG26">
        <v>124</v>
      </c>
      <c r="BH26">
        <v>154</v>
      </c>
      <c r="BI26">
        <v>164</v>
      </c>
    </row>
    <row r="27" spans="1:61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2</v>
      </c>
      <c r="AM27">
        <v>2</v>
      </c>
      <c r="AN27">
        <v>4</v>
      </c>
      <c r="AO27">
        <v>4</v>
      </c>
      <c r="AP27">
        <v>4</v>
      </c>
      <c r="AQ27">
        <v>6</v>
      </c>
      <c r="AR27">
        <v>6</v>
      </c>
      <c r="AS27">
        <v>6</v>
      </c>
      <c r="AT27">
        <v>12</v>
      </c>
      <c r="AU27">
        <v>15</v>
      </c>
      <c r="AV27">
        <v>16</v>
      </c>
      <c r="AW27">
        <v>16</v>
      </c>
      <c r="AX27">
        <v>16</v>
      </c>
      <c r="AY27">
        <v>16</v>
      </c>
      <c r="AZ27">
        <v>16</v>
      </c>
      <c r="BA27">
        <v>18</v>
      </c>
      <c r="BB27">
        <v>18</v>
      </c>
      <c r="BC27">
        <v>18</v>
      </c>
      <c r="BD27">
        <v>19</v>
      </c>
      <c r="BE27">
        <v>19</v>
      </c>
      <c r="BF27">
        <v>22</v>
      </c>
      <c r="BG27">
        <v>22</v>
      </c>
      <c r="BH27">
        <v>24</v>
      </c>
      <c r="BI27">
        <v>39</v>
      </c>
    </row>
    <row r="28" spans="1:61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4</v>
      </c>
      <c r="AZ28">
        <v>4</v>
      </c>
      <c r="BA28">
        <v>5</v>
      </c>
      <c r="BB28">
        <v>7</v>
      </c>
      <c r="BC28">
        <v>7</v>
      </c>
      <c r="BD28">
        <v>7</v>
      </c>
      <c r="BE28">
        <v>11</v>
      </c>
      <c r="BF28">
        <v>16</v>
      </c>
      <c r="BG28">
        <v>21</v>
      </c>
      <c r="BH28">
        <v>22</v>
      </c>
      <c r="BI28">
        <v>22</v>
      </c>
    </row>
    <row r="29" spans="1:61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1</v>
      </c>
      <c r="AM29">
        <v>23</v>
      </c>
      <c r="AN29">
        <v>33</v>
      </c>
      <c r="AO29">
        <v>33</v>
      </c>
      <c r="AP29">
        <v>36</v>
      </c>
      <c r="AQ29">
        <v>41</v>
      </c>
      <c r="AR29">
        <v>47</v>
      </c>
      <c r="AS29">
        <v>49</v>
      </c>
      <c r="AT29">
        <v>49</v>
      </c>
      <c r="AU29">
        <v>52</v>
      </c>
      <c r="AV29">
        <v>55</v>
      </c>
      <c r="AW29">
        <v>60</v>
      </c>
      <c r="AX29">
        <v>85</v>
      </c>
      <c r="AY29">
        <v>85</v>
      </c>
      <c r="AZ29">
        <v>95</v>
      </c>
      <c r="BA29">
        <v>110</v>
      </c>
      <c r="BB29">
        <v>195</v>
      </c>
      <c r="BC29">
        <v>195</v>
      </c>
      <c r="BD29">
        <v>189</v>
      </c>
      <c r="BE29">
        <v>210</v>
      </c>
      <c r="BF29">
        <v>214</v>
      </c>
      <c r="BG29">
        <v>214</v>
      </c>
      <c r="BH29">
        <v>228</v>
      </c>
      <c r="BI29">
        <v>256</v>
      </c>
    </row>
    <row r="30" spans="1:61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1</v>
      </c>
      <c r="AM30">
        <v>11</v>
      </c>
      <c r="AN30">
        <v>26</v>
      </c>
      <c r="AO30">
        <v>43</v>
      </c>
      <c r="AP30">
        <v>45</v>
      </c>
      <c r="AQ30">
        <v>45</v>
      </c>
      <c r="AR30">
        <v>45</v>
      </c>
      <c r="AS30">
        <v>56</v>
      </c>
      <c r="AT30">
        <v>56</v>
      </c>
      <c r="AU30">
        <v>56</v>
      </c>
      <c r="AV30">
        <v>58</v>
      </c>
      <c r="AW30">
        <v>58</v>
      </c>
      <c r="AX30">
        <v>61</v>
      </c>
      <c r="AY30">
        <v>64</v>
      </c>
      <c r="AZ30">
        <v>64</v>
      </c>
      <c r="BA30">
        <v>69</v>
      </c>
      <c r="BB30">
        <v>72</v>
      </c>
      <c r="BC30">
        <v>80</v>
      </c>
      <c r="BD30">
        <v>80</v>
      </c>
      <c r="BE30">
        <v>104</v>
      </c>
      <c r="BF30">
        <v>112</v>
      </c>
      <c r="BG30">
        <v>123</v>
      </c>
      <c r="BH30">
        <v>130</v>
      </c>
      <c r="BI30">
        <v>142</v>
      </c>
    </row>
    <row r="31" spans="1:61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3</v>
      </c>
      <c r="AT31">
        <v>5</v>
      </c>
      <c r="AU31">
        <v>12</v>
      </c>
      <c r="AV31">
        <v>12</v>
      </c>
      <c r="AW31">
        <v>17</v>
      </c>
      <c r="AX31">
        <v>17</v>
      </c>
      <c r="AY31">
        <v>19</v>
      </c>
      <c r="AZ31">
        <v>20</v>
      </c>
      <c r="BA31">
        <v>20</v>
      </c>
      <c r="BB31">
        <v>20</v>
      </c>
      <c r="BC31">
        <v>24</v>
      </c>
      <c r="BD31">
        <v>26</v>
      </c>
      <c r="BE31">
        <v>37</v>
      </c>
      <c r="BF31">
        <v>48</v>
      </c>
      <c r="BG31">
        <v>54</v>
      </c>
      <c r="BH31">
        <v>60</v>
      </c>
      <c r="BI31">
        <v>74</v>
      </c>
    </row>
    <row r="32" spans="1:61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1</v>
      </c>
      <c r="AN32">
        <v>3</v>
      </c>
      <c r="AO32">
        <v>3</v>
      </c>
      <c r="AP32">
        <v>5</v>
      </c>
      <c r="AQ32">
        <v>6</v>
      </c>
      <c r="AR32">
        <v>7</v>
      </c>
      <c r="AS32">
        <v>7</v>
      </c>
      <c r="AT32">
        <v>9</v>
      </c>
      <c r="AU32">
        <v>10</v>
      </c>
      <c r="AV32">
        <v>10</v>
      </c>
      <c r="AW32">
        <v>11</v>
      </c>
      <c r="AX32">
        <v>12</v>
      </c>
      <c r="AY32">
        <v>12</v>
      </c>
      <c r="AZ32">
        <v>12</v>
      </c>
      <c r="BA32">
        <v>14</v>
      </c>
      <c r="BB32">
        <v>19</v>
      </c>
      <c r="BC32">
        <v>19</v>
      </c>
      <c r="BD32">
        <v>32</v>
      </c>
      <c r="BE32">
        <v>38</v>
      </c>
      <c r="BF32">
        <v>49</v>
      </c>
      <c r="BG32">
        <v>57</v>
      </c>
      <c r="BH32">
        <v>65</v>
      </c>
      <c r="BI32">
        <v>81</v>
      </c>
    </row>
    <row r="33" spans="2:61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1</v>
      </c>
      <c r="AN33">
        <v>1</v>
      </c>
      <c r="AO33">
        <v>8</v>
      </c>
      <c r="AP33">
        <v>8</v>
      </c>
      <c r="AQ33">
        <v>18</v>
      </c>
      <c r="AR33">
        <v>27</v>
      </c>
      <c r="AS33">
        <v>42</v>
      </c>
      <c r="AT33">
        <v>56</v>
      </c>
      <c r="AU33">
        <v>90</v>
      </c>
      <c r="AV33">
        <v>114</v>
      </c>
      <c r="AW33">
        <v>214</v>
      </c>
      <c r="AX33">
        <v>268</v>
      </c>
      <c r="AY33">
        <v>337</v>
      </c>
      <c r="AZ33">
        <v>374</v>
      </c>
      <c r="BA33">
        <v>491</v>
      </c>
      <c r="BB33">
        <v>652</v>
      </c>
      <c r="BC33">
        <v>652</v>
      </c>
      <c r="BD33">
        <v>1139</v>
      </c>
      <c r="BE33">
        <v>1359</v>
      </c>
      <c r="BF33">
        <v>2200</v>
      </c>
      <c r="BG33">
        <v>2200</v>
      </c>
      <c r="BH33">
        <v>2700</v>
      </c>
      <c r="BI33">
        <v>3028</v>
      </c>
    </row>
    <row r="34" spans="2:61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2</v>
      </c>
      <c r="AN34">
        <v>2</v>
      </c>
      <c r="AO34">
        <v>3</v>
      </c>
      <c r="AP34">
        <v>3</v>
      </c>
      <c r="AQ34">
        <v>9</v>
      </c>
      <c r="AR34">
        <v>14</v>
      </c>
      <c r="AS34">
        <v>18</v>
      </c>
      <c r="AT34">
        <v>21</v>
      </c>
      <c r="AU34">
        <v>29</v>
      </c>
      <c r="AV34">
        <v>41</v>
      </c>
      <c r="AW34">
        <v>55</v>
      </c>
      <c r="AX34">
        <v>79</v>
      </c>
      <c r="AY34">
        <v>104</v>
      </c>
      <c r="AZ34">
        <v>131</v>
      </c>
      <c r="BA34">
        <v>182</v>
      </c>
      <c r="BB34">
        <v>246</v>
      </c>
      <c r="BC34">
        <v>302</v>
      </c>
      <c r="BD34">
        <v>504</v>
      </c>
      <c r="BE34">
        <v>655</v>
      </c>
      <c r="BF34">
        <v>860</v>
      </c>
      <c r="BG34">
        <v>1018</v>
      </c>
      <c r="BH34">
        <v>1332</v>
      </c>
      <c r="BI34">
        <v>1646</v>
      </c>
    </row>
    <row r="35" spans="2:61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2</v>
      </c>
      <c r="AO35">
        <v>3</v>
      </c>
      <c r="AP35">
        <v>4</v>
      </c>
      <c r="AQ35">
        <v>7</v>
      </c>
      <c r="AR35">
        <v>10</v>
      </c>
      <c r="AS35">
        <v>10</v>
      </c>
      <c r="AT35">
        <v>12</v>
      </c>
      <c r="AU35">
        <v>15</v>
      </c>
      <c r="AV35">
        <v>20</v>
      </c>
      <c r="AW35">
        <v>37</v>
      </c>
      <c r="AX35">
        <v>43</v>
      </c>
      <c r="AY35">
        <v>61</v>
      </c>
      <c r="AZ35">
        <v>61</v>
      </c>
      <c r="BA35">
        <v>83</v>
      </c>
      <c r="BB35">
        <v>109</v>
      </c>
      <c r="BC35">
        <v>131</v>
      </c>
      <c r="BD35">
        <v>161</v>
      </c>
      <c r="BE35">
        <v>193</v>
      </c>
      <c r="BF35">
        <v>251</v>
      </c>
      <c r="BG35">
        <v>255</v>
      </c>
      <c r="BH35">
        <v>337</v>
      </c>
      <c r="BI35">
        <v>433</v>
      </c>
    </row>
    <row r="36" spans="2:61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2</v>
      </c>
      <c r="AO36">
        <v>2</v>
      </c>
      <c r="AP36">
        <v>2</v>
      </c>
      <c r="AQ36">
        <v>4</v>
      </c>
      <c r="AR36">
        <v>4</v>
      </c>
      <c r="AS36">
        <v>4</v>
      </c>
      <c r="AT36">
        <v>5</v>
      </c>
      <c r="AU36">
        <v>5</v>
      </c>
      <c r="AV36">
        <v>5</v>
      </c>
      <c r="AW36">
        <v>6</v>
      </c>
      <c r="AX36">
        <v>6</v>
      </c>
      <c r="AY36">
        <v>6</v>
      </c>
      <c r="AZ36">
        <v>6</v>
      </c>
      <c r="BA36">
        <v>16</v>
      </c>
      <c r="BB36">
        <v>19</v>
      </c>
      <c r="BC36">
        <v>20</v>
      </c>
      <c r="BD36">
        <v>28</v>
      </c>
      <c r="BE36">
        <v>31</v>
      </c>
      <c r="BF36">
        <v>53</v>
      </c>
      <c r="BG36">
        <v>136</v>
      </c>
      <c r="BH36">
        <v>236</v>
      </c>
      <c r="BI36">
        <v>299</v>
      </c>
    </row>
    <row r="37" spans="2:61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1</v>
      </c>
      <c r="AO37">
        <v>1</v>
      </c>
      <c r="AP37">
        <v>1</v>
      </c>
      <c r="AQ37">
        <v>2</v>
      </c>
      <c r="AR37">
        <v>2</v>
      </c>
      <c r="AS37">
        <v>2</v>
      </c>
      <c r="AT37">
        <v>2</v>
      </c>
      <c r="AU37">
        <v>4</v>
      </c>
      <c r="AV37">
        <v>4</v>
      </c>
      <c r="AW37">
        <v>13</v>
      </c>
      <c r="AX37">
        <v>13</v>
      </c>
      <c r="AY37">
        <v>20</v>
      </c>
      <c r="AZ37">
        <v>25</v>
      </c>
      <c r="BA37">
        <v>31</v>
      </c>
      <c r="BB37">
        <v>38</v>
      </c>
      <c r="BC37">
        <v>52</v>
      </c>
      <c r="BD37">
        <v>151</v>
      </c>
      <c r="BE37">
        <v>151</v>
      </c>
      <c r="BF37">
        <v>162</v>
      </c>
      <c r="BG37">
        <v>200</v>
      </c>
      <c r="BH37">
        <v>321</v>
      </c>
      <c r="BI37">
        <v>372</v>
      </c>
    </row>
    <row r="38" spans="2:61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1</v>
      </c>
      <c r="AO38">
        <v>1</v>
      </c>
      <c r="AP38">
        <v>1</v>
      </c>
      <c r="AQ38">
        <v>1</v>
      </c>
      <c r="AR38">
        <v>3</v>
      </c>
      <c r="AS38">
        <v>3</v>
      </c>
      <c r="AT38">
        <v>3</v>
      </c>
      <c r="AU38">
        <v>3</v>
      </c>
      <c r="AV38">
        <v>4</v>
      </c>
      <c r="AW38">
        <v>4</v>
      </c>
      <c r="AX38">
        <v>4</v>
      </c>
      <c r="AY38">
        <v>13</v>
      </c>
      <c r="AZ38">
        <v>15</v>
      </c>
      <c r="BA38">
        <v>15</v>
      </c>
      <c r="BB38">
        <v>24</v>
      </c>
      <c r="BC38">
        <v>24</v>
      </c>
      <c r="BD38">
        <v>25</v>
      </c>
      <c r="BE38">
        <v>30</v>
      </c>
      <c r="BF38">
        <v>33</v>
      </c>
      <c r="BG38">
        <v>33</v>
      </c>
      <c r="BH38">
        <v>34</v>
      </c>
      <c r="BI38">
        <v>38</v>
      </c>
    </row>
    <row r="39" spans="2:61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1</v>
      </c>
      <c r="AO39">
        <v>3</v>
      </c>
      <c r="AP39">
        <v>4</v>
      </c>
      <c r="AQ39">
        <v>4</v>
      </c>
      <c r="AR39">
        <v>7</v>
      </c>
      <c r="AS39">
        <v>7</v>
      </c>
      <c r="AT39">
        <v>7</v>
      </c>
      <c r="AU39">
        <v>9</v>
      </c>
      <c r="AV39">
        <v>31</v>
      </c>
      <c r="AW39">
        <v>45</v>
      </c>
      <c r="AX39">
        <v>46</v>
      </c>
      <c r="AY39">
        <v>73</v>
      </c>
      <c r="AZ39">
        <v>73</v>
      </c>
      <c r="BA39">
        <v>89</v>
      </c>
      <c r="BB39">
        <v>99</v>
      </c>
      <c r="BC39">
        <v>99</v>
      </c>
      <c r="BD39">
        <v>190</v>
      </c>
      <c r="BE39">
        <v>228</v>
      </c>
      <c r="BF39">
        <v>331</v>
      </c>
      <c r="BG39">
        <v>331</v>
      </c>
      <c r="BH39">
        <v>387</v>
      </c>
      <c r="BI39">
        <v>418</v>
      </c>
    </row>
    <row r="40" spans="2:61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3</v>
      </c>
      <c r="AX40">
        <v>3</v>
      </c>
      <c r="AY40">
        <v>3</v>
      </c>
      <c r="AZ40">
        <v>3</v>
      </c>
      <c r="BA40">
        <v>7</v>
      </c>
      <c r="BB40">
        <v>7</v>
      </c>
      <c r="BC40">
        <v>7</v>
      </c>
      <c r="BD40">
        <v>14</v>
      </c>
      <c r="BE40">
        <v>14</v>
      </c>
      <c r="BF40">
        <v>14</v>
      </c>
      <c r="BG40">
        <v>18</v>
      </c>
      <c r="BH40">
        <v>26</v>
      </c>
      <c r="BI40">
        <v>35</v>
      </c>
    </row>
    <row r="41" spans="2:61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1</v>
      </c>
      <c r="AO41">
        <v>1</v>
      </c>
      <c r="AP41">
        <v>6</v>
      </c>
      <c r="AQ41">
        <v>15</v>
      </c>
      <c r="AR41">
        <v>19</v>
      </c>
      <c r="AS41">
        <v>25</v>
      </c>
      <c r="AT41">
        <v>32</v>
      </c>
      <c r="AU41">
        <v>56</v>
      </c>
      <c r="AV41">
        <v>87</v>
      </c>
      <c r="AW41">
        <v>108</v>
      </c>
      <c r="AX41">
        <v>147</v>
      </c>
      <c r="AY41">
        <v>176</v>
      </c>
      <c r="AZ41">
        <v>205</v>
      </c>
      <c r="BA41">
        <v>400</v>
      </c>
      <c r="BB41">
        <v>598</v>
      </c>
      <c r="BC41">
        <v>702</v>
      </c>
      <c r="BD41">
        <v>996</v>
      </c>
      <c r="BE41">
        <v>1090</v>
      </c>
      <c r="BF41">
        <v>1221</v>
      </c>
      <c r="BG41">
        <v>1333</v>
      </c>
      <c r="BH41">
        <v>1463</v>
      </c>
      <c r="BI41">
        <v>1550</v>
      </c>
    </row>
    <row r="42" spans="2:61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1</v>
      </c>
      <c r="AO42">
        <v>1</v>
      </c>
      <c r="AP42">
        <v>3</v>
      </c>
      <c r="AQ42">
        <v>3</v>
      </c>
      <c r="AR42">
        <v>3</v>
      </c>
      <c r="AS42">
        <v>3</v>
      </c>
      <c r="AT42">
        <v>3</v>
      </c>
      <c r="AU42">
        <v>4</v>
      </c>
      <c r="AV42">
        <v>6</v>
      </c>
      <c r="AW42">
        <v>9</v>
      </c>
      <c r="AX42">
        <v>9</v>
      </c>
      <c r="AY42">
        <v>15</v>
      </c>
      <c r="AZ42">
        <v>15</v>
      </c>
      <c r="BA42">
        <v>25</v>
      </c>
      <c r="BB42">
        <v>45</v>
      </c>
      <c r="BC42">
        <v>49</v>
      </c>
      <c r="BD42">
        <v>89</v>
      </c>
      <c r="BE42">
        <v>123</v>
      </c>
      <c r="BF42">
        <v>131</v>
      </c>
      <c r="BG42">
        <v>158</v>
      </c>
      <c r="BH42">
        <v>184</v>
      </c>
      <c r="BI42">
        <v>260</v>
      </c>
    </row>
    <row r="43" spans="2:61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2</v>
      </c>
      <c r="AU43">
        <v>2</v>
      </c>
      <c r="AV43">
        <v>3</v>
      </c>
      <c r="AW43">
        <v>10</v>
      </c>
      <c r="AX43">
        <v>10</v>
      </c>
      <c r="AY43">
        <v>10</v>
      </c>
      <c r="AZ43">
        <v>10</v>
      </c>
      <c r="BA43">
        <v>12</v>
      </c>
      <c r="BB43">
        <v>16</v>
      </c>
      <c r="BC43">
        <v>16</v>
      </c>
      <c r="BD43">
        <v>79</v>
      </c>
      <c r="BE43">
        <v>115</v>
      </c>
      <c r="BF43">
        <v>171</v>
      </c>
      <c r="BG43">
        <v>205</v>
      </c>
      <c r="BH43">
        <v>225</v>
      </c>
      <c r="BI43">
        <v>258</v>
      </c>
    </row>
    <row r="44" spans="2:61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1</v>
      </c>
      <c r="AP44">
        <v>1</v>
      </c>
      <c r="AQ44">
        <v>1</v>
      </c>
      <c r="AR44">
        <v>1</v>
      </c>
      <c r="AS44">
        <v>8</v>
      </c>
      <c r="AT44">
        <v>10</v>
      </c>
      <c r="AU44">
        <v>16</v>
      </c>
      <c r="AV44">
        <v>21</v>
      </c>
      <c r="AW44">
        <v>21</v>
      </c>
      <c r="AX44">
        <v>23</v>
      </c>
      <c r="AY44">
        <v>36</v>
      </c>
      <c r="AZ44">
        <v>36</v>
      </c>
      <c r="BA44">
        <v>51</v>
      </c>
      <c r="BB44">
        <v>62</v>
      </c>
      <c r="BC44">
        <v>69</v>
      </c>
      <c r="BD44">
        <v>80</v>
      </c>
      <c r="BE44">
        <v>80</v>
      </c>
      <c r="BF44">
        <v>101</v>
      </c>
      <c r="BG44">
        <v>109</v>
      </c>
      <c r="BH44">
        <v>109</v>
      </c>
      <c r="BI44">
        <v>119</v>
      </c>
    </row>
    <row r="45" spans="2:61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6</v>
      </c>
      <c r="AV45">
        <v>6</v>
      </c>
      <c r="AW45">
        <v>6</v>
      </c>
      <c r="AX45">
        <v>6</v>
      </c>
      <c r="AY45">
        <v>6</v>
      </c>
      <c r="AZ45">
        <v>6</v>
      </c>
      <c r="BA45">
        <v>9</v>
      </c>
      <c r="BB45">
        <v>9</v>
      </c>
      <c r="BC45">
        <v>12</v>
      </c>
      <c r="BD45">
        <v>27</v>
      </c>
      <c r="BE45">
        <v>27</v>
      </c>
      <c r="BF45">
        <v>27</v>
      </c>
      <c r="BG45">
        <v>36</v>
      </c>
      <c r="BH45">
        <v>36</v>
      </c>
      <c r="BI45">
        <v>51</v>
      </c>
    </row>
    <row r="46" spans="2:61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3</v>
      </c>
      <c r="AS46">
        <v>6</v>
      </c>
      <c r="AT46">
        <v>11</v>
      </c>
      <c r="AU46">
        <v>26</v>
      </c>
      <c r="AV46">
        <v>34</v>
      </c>
      <c r="AW46">
        <v>43</v>
      </c>
      <c r="AX46">
        <v>50</v>
      </c>
      <c r="AY46">
        <v>50</v>
      </c>
      <c r="AZ46">
        <v>58</v>
      </c>
      <c r="BA46">
        <v>69</v>
      </c>
      <c r="BB46">
        <v>85</v>
      </c>
      <c r="BC46">
        <v>103</v>
      </c>
      <c r="BD46">
        <v>134</v>
      </c>
      <c r="BE46">
        <v>156</v>
      </c>
      <c r="BF46">
        <v>171</v>
      </c>
      <c r="BG46">
        <v>180</v>
      </c>
      <c r="BH46">
        <v>220</v>
      </c>
      <c r="BI46">
        <v>250</v>
      </c>
    </row>
    <row r="47" spans="2:61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3</v>
      </c>
      <c r="BC47">
        <v>3</v>
      </c>
      <c r="BD47">
        <v>6</v>
      </c>
      <c r="BE47">
        <v>8</v>
      </c>
      <c r="BF47">
        <v>12</v>
      </c>
      <c r="BG47">
        <v>17</v>
      </c>
      <c r="BH47">
        <v>25</v>
      </c>
      <c r="BI47">
        <v>27</v>
      </c>
    </row>
    <row r="48" spans="2:61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1</v>
      </c>
      <c r="AQ48">
        <v>4</v>
      </c>
      <c r="AR48">
        <v>5</v>
      </c>
      <c r="AS48">
        <v>5</v>
      </c>
      <c r="AT48">
        <v>5</v>
      </c>
      <c r="AU48">
        <v>5</v>
      </c>
      <c r="AV48">
        <v>5</v>
      </c>
      <c r="AW48">
        <v>6</v>
      </c>
      <c r="AX48">
        <v>6</v>
      </c>
      <c r="AY48">
        <v>7</v>
      </c>
      <c r="AZ48">
        <v>7</v>
      </c>
      <c r="BA48">
        <v>7</v>
      </c>
      <c r="BB48">
        <v>8</v>
      </c>
      <c r="BC48">
        <v>12</v>
      </c>
      <c r="BD48">
        <v>12</v>
      </c>
      <c r="BE48">
        <v>26</v>
      </c>
      <c r="BF48">
        <v>41</v>
      </c>
      <c r="BG48">
        <v>53</v>
      </c>
      <c r="BH48">
        <v>82</v>
      </c>
      <c r="BI48">
        <v>93</v>
      </c>
    </row>
    <row r="49" spans="1:61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1</v>
      </c>
      <c r="AQ49">
        <v>1</v>
      </c>
      <c r="AR49">
        <v>1</v>
      </c>
      <c r="AS49">
        <v>1</v>
      </c>
      <c r="AT49">
        <v>1</v>
      </c>
      <c r="AU49">
        <v>3</v>
      </c>
      <c r="AV49">
        <v>3</v>
      </c>
      <c r="AW49">
        <v>4</v>
      </c>
      <c r="AX49">
        <v>5</v>
      </c>
      <c r="AY49">
        <v>5</v>
      </c>
      <c r="AZ49">
        <v>5</v>
      </c>
      <c r="BA49">
        <v>5</v>
      </c>
      <c r="BB49">
        <v>5</v>
      </c>
      <c r="BC49">
        <v>5</v>
      </c>
      <c r="BD49">
        <v>5</v>
      </c>
      <c r="BE49">
        <v>6</v>
      </c>
      <c r="BF49">
        <v>8</v>
      </c>
      <c r="BG49">
        <v>8</v>
      </c>
      <c r="BH49">
        <v>12</v>
      </c>
      <c r="BI49">
        <v>20</v>
      </c>
    </row>
    <row r="50" spans="1:61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2</v>
      </c>
      <c r="BA50">
        <v>2</v>
      </c>
      <c r="BB50">
        <v>2</v>
      </c>
      <c r="BC50">
        <v>2</v>
      </c>
      <c r="BD50">
        <v>2</v>
      </c>
      <c r="BE50">
        <v>2</v>
      </c>
      <c r="BF50">
        <v>2</v>
      </c>
      <c r="BG50">
        <v>2</v>
      </c>
      <c r="BH50">
        <v>3</v>
      </c>
      <c r="BI50">
        <v>8</v>
      </c>
    </row>
    <row r="51" spans="1:61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2</v>
      </c>
      <c r="AR51">
        <v>2</v>
      </c>
      <c r="AS51">
        <v>2</v>
      </c>
      <c r="AT51">
        <v>2</v>
      </c>
      <c r="AU51">
        <v>2</v>
      </c>
      <c r="AV51">
        <v>3</v>
      </c>
      <c r="AW51">
        <v>3</v>
      </c>
      <c r="AX51">
        <v>3</v>
      </c>
      <c r="AY51">
        <v>3</v>
      </c>
      <c r="AZ51">
        <v>4</v>
      </c>
      <c r="BA51">
        <v>6</v>
      </c>
      <c r="BB51">
        <v>9</v>
      </c>
      <c r="BC51">
        <v>9</v>
      </c>
      <c r="BD51">
        <v>14</v>
      </c>
      <c r="BE51">
        <v>17</v>
      </c>
      <c r="BF51">
        <v>17</v>
      </c>
      <c r="BG51">
        <v>28</v>
      </c>
      <c r="BH51">
        <v>31</v>
      </c>
      <c r="BI51">
        <v>35</v>
      </c>
    </row>
    <row r="52" spans="1:61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1</v>
      </c>
      <c r="AR52">
        <v>1</v>
      </c>
      <c r="AS52">
        <v>1</v>
      </c>
      <c r="AT52">
        <v>2</v>
      </c>
      <c r="AU52">
        <v>6</v>
      </c>
      <c r="AV52">
        <v>6</v>
      </c>
      <c r="AW52">
        <v>18</v>
      </c>
      <c r="AX52">
        <v>18</v>
      </c>
      <c r="AY52">
        <v>19</v>
      </c>
      <c r="AZ52">
        <v>21</v>
      </c>
      <c r="BA52">
        <v>34</v>
      </c>
      <c r="BB52">
        <v>43</v>
      </c>
      <c r="BC52">
        <v>43</v>
      </c>
      <c r="BD52">
        <v>90</v>
      </c>
      <c r="BE52">
        <v>129</v>
      </c>
      <c r="BF52">
        <v>129</v>
      </c>
      <c r="BG52">
        <v>169</v>
      </c>
      <c r="BH52">
        <v>223</v>
      </c>
      <c r="BI52">
        <v>292</v>
      </c>
    </row>
    <row r="53" spans="1:61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2</v>
      </c>
      <c r="AX53">
        <v>2</v>
      </c>
      <c r="AY53">
        <v>3</v>
      </c>
      <c r="AZ53">
        <v>3</v>
      </c>
      <c r="BA53">
        <v>5</v>
      </c>
      <c r="BB53">
        <v>7</v>
      </c>
      <c r="BC53">
        <v>19</v>
      </c>
      <c r="BD53">
        <v>34</v>
      </c>
      <c r="BE53">
        <v>51</v>
      </c>
      <c r="BF53">
        <v>59</v>
      </c>
      <c r="BG53">
        <v>77</v>
      </c>
      <c r="BH53">
        <v>140</v>
      </c>
      <c r="BI53">
        <v>203</v>
      </c>
    </row>
    <row r="54" spans="1:61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2</v>
      </c>
      <c r="BD54">
        <v>2</v>
      </c>
      <c r="BE54">
        <v>2</v>
      </c>
      <c r="BF54">
        <v>2</v>
      </c>
      <c r="BG54">
        <v>7</v>
      </c>
      <c r="BH54">
        <v>7</v>
      </c>
      <c r="BI54">
        <v>7</v>
      </c>
    </row>
    <row r="55" spans="1:61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1</v>
      </c>
      <c r="AR55">
        <v>3</v>
      </c>
      <c r="AS55">
        <v>3</v>
      </c>
      <c r="AT55">
        <v>7</v>
      </c>
      <c r="AU55">
        <v>8</v>
      </c>
      <c r="AV55">
        <v>8</v>
      </c>
      <c r="AW55">
        <v>8</v>
      </c>
      <c r="AX55">
        <v>8</v>
      </c>
      <c r="AY55">
        <v>15</v>
      </c>
      <c r="AZ55">
        <v>18</v>
      </c>
      <c r="BA55">
        <v>24</v>
      </c>
      <c r="BB55">
        <v>262</v>
      </c>
      <c r="BC55">
        <v>262</v>
      </c>
      <c r="BD55">
        <v>320</v>
      </c>
      <c r="BE55">
        <v>337</v>
      </c>
      <c r="BF55">
        <v>401</v>
      </c>
      <c r="BG55">
        <v>439</v>
      </c>
      <c r="BH55">
        <v>439</v>
      </c>
      <c r="BI55">
        <v>452</v>
      </c>
    </row>
    <row r="56" spans="1:61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6</v>
      </c>
      <c r="AS56">
        <v>6</v>
      </c>
      <c r="AT56">
        <v>7</v>
      </c>
      <c r="AU56">
        <v>10</v>
      </c>
      <c r="AV56">
        <v>13</v>
      </c>
      <c r="AW56">
        <v>13</v>
      </c>
      <c r="AX56">
        <v>13</v>
      </c>
      <c r="AY56">
        <v>14</v>
      </c>
      <c r="AZ56">
        <v>15</v>
      </c>
      <c r="BA56">
        <v>15</v>
      </c>
      <c r="BB56">
        <v>17</v>
      </c>
      <c r="BC56">
        <v>17</v>
      </c>
      <c r="BD56">
        <v>17</v>
      </c>
      <c r="BE56">
        <v>28</v>
      </c>
      <c r="BF56">
        <v>28</v>
      </c>
      <c r="BG56">
        <v>37</v>
      </c>
      <c r="BH56">
        <v>58</v>
      </c>
      <c r="BI56">
        <v>111</v>
      </c>
    </row>
    <row r="57" spans="1:61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3</v>
      </c>
      <c r="AS57">
        <v>3</v>
      </c>
      <c r="AT57">
        <v>3</v>
      </c>
      <c r="AU57">
        <v>3</v>
      </c>
      <c r="AV57">
        <v>6</v>
      </c>
      <c r="AW57">
        <v>6</v>
      </c>
      <c r="AX57">
        <v>9</v>
      </c>
      <c r="AY57">
        <v>9</v>
      </c>
      <c r="AZ57">
        <v>9</v>
      </c>
      <c r="BA57">
        <v>11</v>
      </c>
      <c r="BB57">
        <v>11</v>
      </c>
      <c r="BC57">
        <v>11</v>
      </c>
      <c r="BD57">
        <v>15</v>
      </c>
      <c r="BE57">
        <v>15</v>
      </c>
      <c r="BF57">
        <v>23</v>
      </c>
      <c r="BG57">
        <v>15</v>
      </c>
      <c r="BH57">
        <v>28</v>
      </c>
      <c r="BI57">
        <v>28</v>
      </c>
    </row>
    <row r="58" spans="1:61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4</v>
      </c>
      <c r="BD58">
        <v>8</v>
      </c>
      <c r="BE58">
        <v>18</v>
      </c>
      <c r="BF58">
        <v>26</v>
      </c>
      <c r="BG58">
        <v>52</v>
      </c>
      <c r="BH58">
        <v>78</v>
      </c>
      <c r="BI58">
        <v>84</v>
      </c>
    </row>
    <row r="59" spans="1:61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2</v>
      </c>
      <c r="AX59">
        <v>2</v>
      </c>
      <c r="AY59">
        <v>5</v>
      </c>
      <c r="AZ59">
        <v>5</v>
      </c>
      <c r="BA59">
        <v>5</v>
      </c>
      <c r="BB59">
        <v>5</v>
      </c>
      <c r="BC59">
        <v>5</v>
      </c>
      <c r="BD59">
        <v>5</v>
      </c>
      <c r="BE59">
        <v>11</v>
      </c>
      <c r="BF59">
        <v>11</v>
      </c>
      <c r="BG59">
        <v>11</v>
      </c>
      <c r="BH59">
        <v>21</v>
      </c>
      <c r="BI59">
        <v>21</v>
      </c>
    </row>
    <row r="60" spans="1:61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2</v>
      </c>
      <c r="AT60">
        <v>2</v>
      </c>
      <c r="AU60">
        <v>2</v>
      </c>
      <c r="AV60">
        <v>2</v>
      </c>
      <c r="AW60">
        <v>4</v>
      </c>
      <c r="AX60">
        <v>4</v>
      </c>
      <c r="AY60">
        <v>6</v>
      </c>
      <c r="AZ60">
        <v>19</v>
      </c>
      <c r="BA60">
        <v>27</v>
      </c>
      <c r="BB60">
        <v>34</v>
      </c>
      <c r="BC60">
        <v>34</v>
      </c>
      <c r="BD60">
        <v>69</v>
      </c>
      <c r="BE60">
        <v>96</v>
      </c>
      <c r="BF60">
        <v>117</v>
      </c>
      <c r="BG60">
        <v>134</v>
      </c>
      <c r="BH60">
        <v>172</v>
      </c>
      <c r="BI60">
        <v>227</v>
      </c>
    </row>
    <row r="61" spans="1:61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2</v>
      </c>
      <c r="AT61">
        <v>2</v>
      </c>
      <c r="AU61">
        <v>5</v>
      </c>
      <c r="AV61">
        <v>8</v>
      </c>
      <c r="AW61">
        <v>13</v>
      </c>
      <c r="AX61">
        <v>20</v>
      </c>
      <c r="AY61">
        <v>30</v>
      </c>
      <c r="AZ61">
        <v>30</v>
      </c>
      <c r="BA61">
        <v>41</v>
      </c>
      <c r="BB61">
        <v>59</v>
      </c>
      <c r="BC61">
        <v>59</v>
      </c>
      <c r="BD61">
        <v>112</v>
      </c>
      <c r="BE61">
        <v>169</v>
      </c>
      <c r="BF61">
        <v>245</v>
      </c>
      <c r="BG61">
        <v>331</v>
      </c>
      <c r="BH61">
        <v>448</v>
      </c>
      <c r="BI61">
        <v>448</v>
      </c>
    </row>
    <row r="62" spans="1:61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2</v>
      </c>
      <c r="BH62">
        <v>39</v>
      </c>
      <c r="BI62">
        <v>39</v>
      </c>
    </row>
    <row r="63" spans="1:61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2</v>
      </c>
      <c r="AZ63">
        <v>2</v>
      </c>
      <c r="BA63">
        <v>2</v>
      </c>
      <c r="BB63">
        <v>3</v>
      </c>
      <c r="BC63">
        <v>3</v>
      </c>
      <c r="BD63">
        <v>5</v>
      </c>
      <c r="BE63">
        <v>5</v>
      </c>
      <c r="BF63">
        <v>6</v>
      </c>
      <c r="BG63">
        <v>7</v>
      </c>
      <c r="BH63">
        <v>7</v>
      </c>
      <c r="BI63">
        <v>10</v>
      </c>
    </row>
    <row r="64" spans="1:61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1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2</v>
      </c>
      <c r="AZ64">
        <v>6</v>
      </c>
      <c r="BA64">
        <v>8</v>
      </c>
      <c r="BB64">
        <v>10</v>
      </c>
      <c r="BC64">
        <v>10</v>
      </c>
      <c r="BD64">
        <v>17</v>
      </c>
      <c r="BE64">
        <v>26</v>
      </c>
      <c r="BF64">
        <v>30</v>
      </c>
      <c r="BG64">
        <v>34</v>
      </c>
      <c r="BH64">
        <v>49</v>
      </c>
      <c r="BI64">
        <v>71</v>
      </c>
    </row>
    <row r="65" spans="1:61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1</v>
      </c>
      <c r="AT65">
        <v>1</v>
      </c>
      <c r="AU65">
        <v>1</v>
      </c>
      <c r="AV65">
        <v>2</v>
      </c>
      <c r="AW65">
        <v>2</v>
      </c>
      <c r="AX65">
        <v>2</v>
      </c>
      <c r="AY65">
        <v>2</v>
      </c>
      <c r="AZ65">
        <v>2</v>
      </c>
      <c r="BA65">
        <v>3</v>
      </c>
      <c r="BB65">
        <v>5</v>
      </c>
      <c r="BC65">
        <v>6</v>
      </c>
      <c r="BD65">
        <v>7</v>
      </c>
      <c r="BE65">
        <v>17</v>
      </c>
      <c r="BF65">
        <v>28</v>
      </c>
      <c r="BG65">
        <v>29</v>
      </c>
      <c r="BH65">
        <v>38</v>
      </c>
      <c r="BI65">
        <v>49</v>
      </c>
    </row>
    <row r="66" spans="1:61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1</v>
      </c>
      <c r="AT66">
        <v>1</v>
      </c>
      <c r="AU66">
        <v>1</v>
      </c>
      <c r="AV66">
        <v>5</v>
      </c>
      <c r="AW66">
        <v>5</v>
      </c>
      <c r="AX66">
        <v>5</v>
      </c>
      <c r="AY66">
        <v>11</v>
      </c>
      <c r="AZ66">
        <v>15</v>
      </c>
      <c r="BA66">
        <v>20</v>
      </c>
      <c r="BB66">
        <v>21</v>
      </c>
      <c r="BC66">
        <v>45</v>
      </c>
      <c r="BD66">
        <v>86</v>
      </c>
      <c r="BE66">
        <v>103</v>
      </c>
      <c r="BF66">
        <v>103</v>
      </c>
      <c r="BG66">
        <v>118</v>
      </c>
      <c r="BH66">
        <v>171</v>
      </c>
      <c r="BI66">
        <v>171</v>
      </c>
    </row>
    <row r="67" spans="1:61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1</v>
      </c>
      <c r="AT67">
        <v>2</v>
      </c>
      <c r="AU67">
        <v>4</v>
      </c>
      <c r="AV67">
        <v>4</v>
      </c>
      <c r="AW67">
        <v>4</v>
      </c>
      <c r="AX67">
        <v>4</v>
      </c>
      <c r="AY67">
        <v>4</v>
      </c>
      <c r="AZ67">
        <v>4</v>
      </c>
      <c r="BA67">
        <v>4</v>
      </c>
      <c r="BB67">
        <v>4</v>
      </c>
      <c r="BC67">
        <v>4</v>
      </c>
      <c r="BD67">
        <v>10</v>
      </c>
      <c r="BE67">
        <v>10</v>
      </c>
      <c r="BF67">
        <v>24</v>
      </c>
      <c r="BG67">
        <v>24</v>
      </c>
      <c r="BH67">
        <v>26</v>
      </c>
      <c r="BI67">
        <v>31</v>
      </c>
    </row>
    <row r="68" spans="1:61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1</v>
      </c>
      <c r="AU68">
        <v>1</v>
      </c>
      <c r="AV68">
        <v>1</v>
      </c>
      <c r="AW68">
        <v>2</v>
      </c>
      <c r="AX68">
        <v>8</v>
      </c>
      <c r="AY68">
        <v>12</v>
      </c>
      <c r="AZ68">
        <v>12</v>
      </c>
      <c r="BA68">
        <v>17</v>
      </c>
      <c r="BB68">
        <v>19</v>
      </c>
      <c r="BC68">
        <v>19</v>
      </c>
      <c r="BD68">
        <v>31</v>
      </c>
      <c r="BE68">
        <v>34</v>
      </c>
      <c r="BF68">
        <v>45</v>
      </c>
      <c r="BG68">
        <v>56</v>
      </c>
      <c r="BH68">
        <v>68</v>
      </c>
      <c r="BI68">
        <v>79</v>
      </c>
    </row>
    <row r="69" spans="1:61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1</v>
      </c>
      <c r="AU69">
        <v>1</v>
      </c>
      <c r="AV69">
        <v>4</v>
      </c>
      <c r="AW69">
        <v>4</v>
      </c>
      <c r="AX69">
        <v>4</v>
      </c>
      <c r="AY69">
        <v>8</v>
      </c>
      <c r="AZ69">
        <v>8</v>
      </c>
      <c r="BA69">
        <v>13</v>
      </c>
      <c r="BB69">
        <v>23</v>
      </c>
      <c r="BC69">
        <v>23</v>
      </c>
      <c r="BD69">
        <v>43</v>
      </c>
      <c r="BE69">
        <v>61</v>
      </c>
      <c r="BF69">
        <v>74</v>
      </c>
      <c r="BG69">
        <v>155</v>
      </c>
      <c r="BH69">
        <v>201</v>
      </c>
      <c r="BI69">
        <v>238</v>
      </c>
    </row>
    <row r="70" spans="1:61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8</v>
      </c>
      <c r="BG70">
        <v>17</v>
      </c>
      <c r="BH70">
        <v>34</v>
      </c>
      <c r="BI70">
        <v>52</v>
      </c>
    </row>
    <row r="71" spans="1:61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3</v>
      </c>
      <c r="BE71">
        <v>3</v>
      </c>
      <c r="BF71">
        <v>3</v>
      </c>
      <c r="BG71">
        <v>7</v>
      </c>
      <c r="BH71">
        <v>14</v>
      </c>
      <c r="BI71">
        <v>14</v>
      </c>
    </row>
    <row r="72" spans="1:61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2</v>
      </c>
      <c r="AV72">
        <v>2</v>
      </c>
      <c r="AW72">
        <v>2</v>
      </c>
      <c r="AX72">
        <v>4</v>
      </c>
      <c r="AY72">
        <v>7</v>
      </c>
      <c r="AZ72">
        <v>9</v>
      </c>
      <c r="BA72">
        <v>9</v>
      </c>
      <c r="BB72">
        <v>13</v>
      </c>
      <c r="BC72">
        <v>13</v>
      </c>
      <c r="BD72">
        <v>19</v>
      </c>
      <c r="BE72">
        <v>30</v>
      </c>
      <c r="BF72">
        <v>32</v>
      </c>
      <c r="BG72">
        <v>39</v>
      </c>
      <c r="BH72">
        <v>50</v>
      </c>
      <c r="BI72">
        <v>58</v>
      </c>
    </row>
    <row r="73" spans="1:61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1</v>
      </c>
      <c r="AV73">
        <v>1</v>
      </c>
      <c r="AW73">
        <v>0</v>
      </c>
      <c r="AX73">
        <v>0</v>
      </c>
      <c r="AY73">
        <v>0</v>
      </c>
      <c r="AZ73">
        <v>0</v>
      </c>
      <c r="BA73">
        <v>1</v>
      </c>
      <c r="BB73">
        <v>1</v>
      </c>
      <c r="BC73">
        <v>1</v>
      </c>
      <c r="BD73">
        <v>1</v>
      </c>
      <c r="BE73">
        <v>1</v>
      </c>
      <c r="BF73">
        <v>1</v>
      </c>
      <c r="BG73">
        <v>1</v>
      </c>
      <c r="BH73">
        <v>1</v>
      </c>
      <c r="BI73">
        <v>1</v>
      </c>
    </row>
    <row r="74" spans="1:61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1</v>
      </c>
      <c r="BD74">
        <v>1</v>
      </c>
      <c r="BE74">
        <v>4</v>
      </c>
      <c r="BF74">
        <v>4</v>
      </c>
      <c r="BG74">
        <v>4</v>
      </c>
      <c r="BH74">
        <v>7</v>
      </c>
      <c r="BI74">
        <v>28</v>
      </c>
    </row>
    <row r="75" spans="1:61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1</v>
      </c>
      <c r="AV75">
        <v>1</v>
      </c>
      <c r="AW75">
        <v>5</v>
      </c>
      <c r="AX75">
        <v>5</v>
      </c>
      <c r="AY75">
        <v>11</v>
      </c>
      <c r="AZ75">
        <v>16</v>
      </c>
      <c r="BA75">
        <v>22</v>
      </c>
      <c r="BB75">
        <v>31</v>
      </c>
      <c r="BC75">
        <v>49</v>
      </c>
      <c r="BD75">
        <v>68</v>
      </c>
      <c r="BE75">
        <v>103</v>
      </c>
      <c r="BF75">
        <v>119</v>
      </c>
      <c r="BG75">
        <v>177</v>
      </c>
      <c r="BH75">
        <v>238</v>
      </c>
      <c r="BI75">
        <v>251</v>
      </c>
    </row>
    <row r="76" spans="1:61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1</v>
      </c>
      <c r="AV76">
        <v>1</v>
      </c>
      <c r="AW76">
        <v>1</v>
      </c>
      <c r="AX76">
        <v>1</v>
      </c>
      <c r="AY76">
        <v>2</v>
      </c>
      <c r="AZ76">
        <v>2</v>
      </c>
      <c r="BA76">
        <v>5</v>
      </c>
      <c r="BB76">
        <v>7</v>
      </c>
      <c r="BC76">
        <v>7</v>
      </c>
      <c r="BD76">
        <v>16</v>
      </c>
      <c r="BE76">
        <v>18</v>
      </c>
      <c r="BF76">
        <v>18</v>
      </c>
      <c r="BG76">
        <v>20</v>
      </c>
      <c r="BH76">
        <v>24</v>
      </c>
      <c r="BI76">
        <v>29</v>
      </c>
    </row>
    <row r="77" spans="1:61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2</v>
      </c>
      <c r="AW77">
        <v>2</v>
      </c>
      <c r="AX77">
        <v>3</v>
      </c>
      <c r="AY77">
        <v>3</v>
      </c>
      <c r="AZ77">
        <v>3</v>
      </c>
      <c r="BA77">
        <v>5</v>
      </c>
      <c r="BB77">
        <v>7</v>
      </c>
      <c r="BC77">
        <v>11</v>
      </c>
      <c r="BD77">
        <v>13</v>
      </c>
      <c r="BE77">
        <v>18</v>
      </c>
      <c r="BF77">
        <v>24</v>
      </c>
      <c r="BG77">
        <v>25</v>
      </c>
      <c r="BH77">
        <v>26</v>
      </c>
      <c r="BI77">
        <v>38</v>
      </c>
    </row>
    <row r="78" spans="1:61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2</v>
      </c>
      <c r="AW78">
        <v>7</v>
      </c>
      <c r="AX78">
        <v>7</v>
      </c>
      <c r="AY78">
        <v>16</v>
      </c>
      <c r="AZ78">
        <v>16</v>
      </c>
      <c r="BA78">
        <v>31</v>
      </c>
      <c r="BB78">
        <v>57</v>
      </c>
      <c r="BC78">
        <v>89</v>
      </c>
      <c r="BD78">
        <v>141</v>
      </c>
      <c r="BE78">
        <v>181</v>
      </c>
      <c r="BF78">
        <v>219</v>
      </c>
      <c r="BG78">
        <v>253</v>
      </c>
      <c r="BH78">
        <v>275</v>
      </c>
      <c r="BI78">
        <v>275</v>
      </c>
    </row>
    <row r="79" spans="1:61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1</v>
      </c>
      <c r="AW79">
        <v>1</v>
      </c>
      <c r="AX79">
        <v>1</v>
      </c>
      <c r="AY79">
        <v>3</v>
      </c>
      <c r="AZ79">
        <v>3</v>
      </c>
      <c r="BA79">
        <v>7</v>
      </c>
      <c r="BB79">
        <v>13</v>
      </c>
      <c r="BC79">
        <v>17</v>
      </c>
      <c r="BD79">
        <v>24</v>
      </c>
      <c r="BE79">
        <v>38</v>
      </c>
      <c r="BF79">
        <v>51</v>
      </c>
      <c r="BG79">
        <v>62</v>
      </c>
      <c r="BH79">
        <v>62</v>
      </c>
      <c r="BI79">
        <v>116</v>
      </c>
    </row>
    <row r="80" spans="1:61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</row>
    <row r="81" spans="1:61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1</v>
      </c>
      <c r="AX81">
        <v>1</v>
      </c>
      <c r="AY81">
        <v>2</v>
      </c>
      <c r="AZ81">
        <v>2</v>
      </c>
      <c r="BA81">
        <v>2</v>
      </c>
      <c r="BB81">
        <v>2</v>
      </c>
      <c r="BC81">
        <v>2</v>
      </c>
      <c r="BD81">
        <v>2</v>
      </c>
      <c r="BE81">
        <v>2</v>
      </c>
      <c r="BF81">
        <v>2</v>
      </c>
      <c r="BG81">
        <v>4</v>
      </c>
      <c r="BH81">
        <v>10</v>
      </c>
      <c r="BI81">
        <v>10</v>
      </c>
    </row>
    <row r="82" spans="1:61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1</v>
      </c>
      <c r="AX82">
        <v>1</v>
      </c>
      <c r="AY82">
        <v>1</v>
      </c>
      <c r="AZ82">
        <v>1</v>
      </c>
      <c r="BA82">
        <v>3</v>
      </c>
      <c r="BB82">
        <v>9</v>
      </c>
      <c r="BC82">
        <v>9</v>
      </c>
      <c r="BD82">
        <v>13</v>
      </c>
      <c r="BE82">
        <v>22</v>
      </c>
      <c r="BF82">
        <v>34</v>
      </c>
      <c r="BG82">
        <v>54</v>
      </c>
      <c r="BH82">
        <v>65</v>
      </c>
      <c r="BI82">
        <v>93</v>
      </c>
    </row>
    <row r="83" spans="1:61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1</v>
      </c>
      <c r="AX83">
        <v>1</v>
      </c>
      <c r="AY83">
        <v>5</v>
      </c>
      <c r="AZ83">
        <v>9</v>
      </c>
      <c r="BA83">
        <v>9</v>
      </c>
      <c r="BB83">
        <v>13</v>
      </c>
      <c r="BC83">
        <v>22</v>
      </c>
      <c r="BD83">
        <v>23</v>
      </c>
      <c r="BE83">
        <v>26</v>
      </c>
      <c r="BF83">
        <v>27</v>
      </c>
      <c r="BG83">
        <v>35</v>
      </c>
      <c r="BH83">
        <v>41</v>
      </c>
      <c r="BI83">
        <v>50</v>
      </c>
    </row>
    <row r="84" spans="1:61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6</v>
      </c>
      <c r="AZ84">
        <v>7</v>
      </c>
      <c r="BA84">
        <v>11</v>
      </c>
      <c r="BB84">
        <v>11</v>
      </c>
      <c r="BC84">
        <v>15</v>
      </c>
      <c r="BD84">
        <v>28</v>
      </c>
      <c r="BE84">
        <v>38</v>
      </c>
      <c r="BF84">
        <v>43</v>
      </c>
      <c r="BG84">
        <v>86</v>
      </c>
      <c r="BH84">
        <v>117</v>
      </c>
      <c r="BI84">
        <v>145</v>
      </c>
    </row>
    <row r="85" spans="1:61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1</v>
      </c>
      <c r="AX85">
        <v>1</v>
      </c>
      <c r="AY85">
        <v>1</v>
      </c>
      <c r="AZ85">
        <v>1</v>
      </c>
      <c r="BA85">
        <v>5</v>
      </c>
      <c r="BB85">
        <v>12</v>
      </c>
      <c r="BC85">
        <v>19</v>
      </c>
      <c r="BD85">
        <v>35</v>
      </c>
      <c r="BE85">
        <v>46</v>
      </c>
      <c r="BF85">
        <v>48</v>
      </c>
      <c r="BG85">
        <v>55</v>
      </c>
      <c r="BH85">
        <v>65</v>
      </c>
      <c r="BI85">
        <v>83</v>
      </c>
    </row>
    <row r="86" spans="1:61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1</v>
      </c>
      <c r="AX86">
        <v>1</v>
      </c>
      <c r="AY86">
        <v>3</v>
      </c>
      <c r="AZ86">
        <v>3</v>
      </c>
      <c r="BA86">
        <v>7</v>
      </c>
      <c r="BB86">
        <v>10</v>
      </c>
      <c r="BC86">
        <v>16</v>
      </c>
      <c r="BD86">
        <v>32</v>
      </c>
      <c r="BE86">
        <v>44</v>
      </c>
      <c r="BF86">
        <v>54</v>
      </c>
      <c r="BG86">
        <v>63</v>
      </c>
      <c r="BH86">
        <v>72</v>
      </c>
      <c r="BI86">
        <v>105</v>
      </c>
    </row>
    <row r="87" spans="1:61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1</v>
      </c>
    </row>
    <row r="88" spans="1:61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3</v>
      </c>
      <c r="AY88">
        <v>3</v>
      </c>
      <c r="AZ88">
        <v>3</v>
      </c>
      <c r="BA88">
        <v>5</v>
      </c>
      <c r="BB88">
        <v>6</v>
      </c>
      <c r="BC88">
        <v>6</v>
      </c>
      <c r="BD88">
        <v>12</v>
      </c>
      <c r="BE88">
        <v>18</v>
      </c>
      <c r="BF88">
        <v>21</v>
      </c>
      <c r="BG88">
        <v>30</v>
      </c>
      <c r="BH88">
        <v>38</v>
      </c>
      <c r="BI88">
        <v>38</v>
      </c>
    </row>
    <row r="89" spans="1:61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2</v>
      </c>
      <c r="AY89">
        <v>2</v>
      </c>
      <c r="AZ89">
        <v>2</v>
      </c>
      <c r="BA89">
        <v>2</v>
      </c>
      <c r="BB89">
        <v>3</v>
      </c>
      <c r="BC89">
        <v>3</v>
      </c>
      <c r="BD89">
        <v>3</v>
      </c>
      <c r="BE89">
        <v>9</v>
      </c>
      <c r="BF89">
        <v>9</v>
      </c>
      <c r="BG89">
        <v>15</v>
      </c>
      <c r="BH89">
        <v>16</v>
      </c>
      <c r="BI89">
        <v>19</v>
      </c>
    </row>
    <row r="90" spans="1:61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4</v>
      </c>
      <c r="AZ90">
        <v>4</v>
      </c>
      <c r="BA90">
        <v>4</v>
      </c>
      <c r="BB90">
        <v>7</v>
      </c>
      <c r="BC90">
        <v>7</v>
      </c>
      <c r="BD90">
        <v>23</v>
      </c>
      <c r="BE90">
        <v>41</v>
      </c>
      <c r="BF90">
        <v>51</v>
      </c>
      <c r="BG90">
        <v>52</v>
      </c>
      <c r="BH90">
        <v>67</v>
      </c>
      <c r="BI90">
        <v>92</v>
      </c>
    </row>
    <row r="91" spans="1:61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4</v>
      </c>
      <c r="AZ91">
        <v>4</v>
      </c>
      <c r="BA91">
        <v>6</v>
      </c>
      <c r="BB91">
        <v>8</v>
      </c>
      <c r="BC91">
        <v>8</v>
      </c>
      <c r="BD91">
        <v>9</v>
      </c>
      <c r="BE91">
        <v>10</v>
      </c>
      <c r="BF91">
        <v>13</v>
      </c>
      <c r="BG91">
        <v>13</v>
      </c>
      <c r="BH91">
        <v>13</v>
      </c>
      <c r="BI91">
        <v>13</v>
      </c>
    </row>
    <row r="92" spans="1:61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3</v>
      </c>
      <c r="AZ92">
        <v>3</v>
      </c>
      <c r="BA92">
        <v>3</v>
      </c>
      <c r="BB92">
        <v>3</v>
      </c>
      <c r="BC92">
        <v>3</v>
      </c>
      <c r="BD92">
        <v>3</v>
      </c>
      <c r="BE92">
        <v>3</v>
      </c>
      <c r="BF92">
        <v>5</v>
      </c>
      <c r="BG92">
        <v>8</v>
      </c>
      <c r="BH92">
        <v>10</v>
      </c>
      <c r="BI92">
        <v>14</v>
      </c>
    </row>
    <row r="93" spans="1:61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1</v>
      </c>
      <c r="AZ93">
        <v>1</v>
      </c>
      <c r="BA93">
        <v>1</v>
      </c>
      <c r="BB93">
        <v>5</v>
      </c>
      <c r="BC93">
        <v>5</v>
      </c>
      <c r="BD93">
        <v>6</v>
      </c>
      <c r="BE93">
        <v>6</v>
      </c>
      <c r="BF93">
        <v>6</v>
      </c>
      <c r="BG93">
        <v>8</v>
      </c>
      <c r="BH93">
        <v>9</v>
      </c>
      <c r="BI93">
        <v>11</v>
      </c>
    </row>
    <row r="94" spans="1:61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1</v>
      </c>
      <c r="J94">
        <v>1</v>
      </c>
      <c r="K94">
        <v>1</v>
      </c>
      <c r="L94">
        <v>1</v>
      </c>
      <c r="M94">
        <v>1</v>
      </c>
      <c r="N94">
        <v>3</v>
      </c>
      <c r="O94">
        <v>3</v>
      </c>
      <c r="P94">
        <v>3</v>
      </c>
      <c r="Q94">
        <v>3</v>
      </c>
      <c r="R94">
        <v>3</v>
      </c>
      <c r="S94">
        <v>3</v>
      </c>
      <c r="T94">
        <v>3</v>
      </c>
      <c r="U94">
        <v>3</v>
      </c>
      <c r="V94">
        <v>3</v>
      </c>
      <c r="W94">
        <v>3</v>
      </c>
      <c r="X94">
        <v>3</v>
      </c>
      <c r="Y94">
        <v>3</v>
      </c>
      <c r="Z94">
        <v>3</v>
      </c>
      <c r="AA94">
        <v>3</v>
      </c>
      <c r="AB94">
        <v>3</v>
      </c>
      <c r="AC94">
        <v>3</v>
      </c>
      <c r="AD94">
        <v>3</v>
      </c>
      <c r="AE94">
        <v>3</v>
      </c>
      <c r="AF94">
        <v>3</v>
      </c>
      <c r="AG94">
        <v>3</v>
      </c>
      <c r="AH94">
        <v>3</v>
      </c>
      <c r="AI94">
        <v>3</v>
      </c>
      <c r="AJ94">
        <v>3</v>
      </c>
      <c r="AK94">
        <v>3</v>
      </c>
      <c r="AL94">
        <v>4</v>
      </c>
      <c r="AM94">
        <v>4</v>
      </c>
      <c r="AN94">
        <v>4</v>
      </c>
      <c r="AO94">
        <v>6</v>
      </c>
      <c r="AP94">
        <v>6</v>
      </c>
      <c r="AQ94">
        <v>11</v>
      </c>
      <c r="AR94">
        <v>15</v>
      </c>
      <c r="AS94">
        <v>18</v>
      </c>
      <c r="AT94">
        <v>20</v>
      </c>
      <c r="AU94">
        <v>20</v>
      </c>
      <c r="AV94">
        <v>22</v>
      </c>
      <c r="AW94">
        <v>25</v>
      </c>
      <c r="AX94">
        <v>28</v>
      </c>
      <c r="AY94">
        <v>29</v>
      </c>
      <c r="AZ94">
        <v>34</v>
      </c>
      <c r="BA94">
        <v>36</v>
      </c>
      <c r="BB94">
        <v>41</v>
      </c>
      <c r="BC94">
        <v>42</v>
      </c>
      <c r="BD94">
        <v>74</v>
      </c>
      <c r="BE94">
        <v>79</v>
      </c>
      <c r="BF94">
        <v>104</v>
      </c>
      <c r="BG94">
        <v>177</v>
      </c>
      <c r="BH94">
        <v>185</v>
      </c>
      <c r="BI94">
        <v>221</v>
      </c>
    </row>
    <row r="95" spans="1:61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1</v>
      </c>
      <c r="AX95">
        <v>2</v>
      </c>
      <c r="AY95">
        <v>4</v>
      </c>
      <c r="AZ95">
        <v>7</v>
      </c>
      <c r="BA95">
        <v>7</v>
      </c>
      <c r="BB95">
        <v>19</v>
      </c>
      <c r="BC95">
        <v>19</v>
      </c>
      <c r="BD95">
        <v>29</v>
      </c>
      <c r="BE95">
        <v>29</v>
      </c>
      <c r="BF95">
        <v>39</v>
      </c>
      <c r="BG95">
        <v>56</v>
      </c>
      <c r="BH95">
        <v>74</v>
      </c>
      <c r="BI95">
        <v>97</v>
      </c>
    </row>
    <row r="96" spans="1:61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1</v>
      </c>
      <c r="AQ96">
        <v>1</v>
      </c>
      <c r="AR96">
        <v>1</v>
      </c>
      <c r="AS96">
        <v>1</v>
      </c>
      <c r="AT96">
        <v>1</v>
      </c>
      <c r="AU96">
        <v>1</v>
      </c>
      <c r="AV96">
        <v>2</v>
      </c>
      <c r="AW96">
        <v>2</v>
      </c>
      <c r="AX96">
        <v>3</v>
      </c>
      <c r="AY96">
        <v>4</v>
      </c>
      <c r="AZ96">
        <v>4</v>
      </c>
      <c r="BA96">
        <v>4</v>
      </c>
      <c r="BB96">
        <v>8</v>
      </c>
      <c r="BC96">
        <v>9</v>
      </c>
      <c r="BD96">
        <v>17</v>
      </c>
      <c r="BE96">
        <v>17</v>
      </c>
      <c r="BF96">
        <v>24</v>
      </c>
      <c r="BG96">
        <v>50</v>
      </c>
      <c r="BH96">
        <v>74</v>
      </c>
      <c r="BI96">
        <v>94</v>
      </c>
    </row>
    <row r="97" spans="1:61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2</v>
      </c>
      <c r="BA97">
        <v>10</v>
      </c>
      <c r="BB97">
        <v>12</v>
      </c>
      <c r="BC97">
        <v>23</v>
      </c>
      <c r="BD97">
        <v>33</v>
      </c>
      <c r="BE97">
        <v>38</v>
      </c>
      <c r="BF97">
        <v>42</v>
      </c>
      <c r="BG97">
        <v>51</v>
      </c>
      <c r="BH97">
        <v>55</v>
      </c>
      <c r="BI97">
        <v>59</v>
      </c>
    </row>
    <row r="98" spans="1:61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2</v>
      </c>
      <c r="BA98">
        <v>3</v>
      </c>
      <c r="BB98">
        <v>6</v>
      </c>
      <c r="BC98">
        <v>6</v>
      </c>
      <c r="BD98">
        <v>14</v>
      </c>
      <c r="BE98">
        <v>26</v>
      </c>
      <c r="BF98">
        <v>26</v>
      </c>
      <c r="BG98">
        <v>33</v>
      </c>
      <c r="BH98">
        <v>46</v>
      </c>
      <c r="BI98">
        <v>49</v>
      </c>
    </row>
    <row r="99" spans="1:61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1</v>
      </c>
      <c r="BA99">
        <v>1</v>
      </c>
      <c r="BB99">
        <v>11</v>
      </c>
      <c r="BC99">
        <v>11</v>
      </c>
      <c r="BD99">
        <v>37</v>
      </c>
      <c r="BE99">
        <v>40</v>
      </c>
      <c r="BF99">
        <v>50</v>
      </c>
      <c r="BG99">
        <v>54</v>
      </c>
      <c r="BH99">
        <v>56</v>
      </c>
      <c r="BI99">
        <v>68</v>
      </c>
    </row>
    <row r="100" spans="1:61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267</v>
      </c>
      <c r="BB100">
        <v>366</v>
      </c>
      <c r="BC100">
        <v>442</v>
      </c>
      <c r="BD100">
        <v>568</v>
      </c>
      <c r="BE100">
        <v>572</v>
      </c>
      <c r="BF100">
        <v>643</v>
      </c>
      <c r="BG100">
        <v>904</v>
      </c>
      <c r="BH100">
        <v>1076</v>
      </c>
      <c r="BI100">
        <v>1014</v>
      </c>
    </row>
    <row r="101" spans="1:61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173</v>
      </c>
      <c r="BB101">
        <v>220</v>
      </c>
      <c r="BC101">
        <v>328</v>
      </c>
      <c r="BD101">
        <v>421</v>
      </c>
      <c r="BE101">
        <v>525</v>
      </c>
      <c r="BF101">
        <v>732</v>
      </c>
      <c r="BG101">
        <v>967</v>
      </c>
      <c r="BH101">
        <v>1706</v>
      </c>
      <c r="BI101">
        <v>2495</v>
      </c>
    </row>
    <row r="102" spans="1:61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144</v>
      </c>
      <c r="BB102">
        <v>177</v>
      </c>
      <c r="BC102">
        <v>221</v>
      </c>
      <c r="BD102">
        <v>282</v>
      </c>
      <c r="BE102">
        <v>340</v>
      </c>
      <c r="BF102">
        <v>426</v>
      </c>
      <c r="BG102">
        <v>557</v>
      </c>
      <c r="BH102">
        <v>698</v>
      </c>
      <c r="BI102">
        <v>751</v>
      </c>
    </row>
    <row r="103" spans="1:61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92</v>
      </c>
      <c r="BB103">
        <v>95</v>
      </c>
      <c r="BC103">
        <v>108</v>
      </c>
      <c r="BD103">
        <v>123</v>
      </c>
      <c r="BE103">
        <v>138</v>
      </c>
      <c r="BF103">
        <v>164</v>
      </c>
      <c r="BG103">
        <v>197</v>
      </c>
      <c r="BH103">
        <v>218</v>
      </c>
      <c r="BI103">
        <v>218</v>
      </c>
    </row>
    <row r="104" spans="1:61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36</v>
      </c>
      <c r="AM104">
        <v>36</v>
      </c>
      <c r="AN104">
        <v>42</v>
      </c>
      <c r="AO104">
        <v>42</v>
      </c>
      <c r="AP104">
        <v>44</v>
      </c>
      <c r="AQ104">
        <v>44</v>
      </c>
      <c r="AR104">
        <v>44</v>
      </c>
      <c r="AS104">
        <v>45</v>
      </c>
      <c r="AT104">
        <v>45</v>
      </c>
      <c r="AU104">
        <v>45</v>
      </c>
      <c r="AV104">
        <v>45</v>
      </c>
      <c r="AW104">
        <v>45</v>
      </c>
      <c r="AX104">
        <v>45</v>
      </c>
      <c r="AY104">
        <v>45</v>
      </c>
      <c r="AZ104">
        <v>45</v>
      </c>
      <c r="BA104">
        <v>46</v>
      </c>
      <c r="BB104">
        <v>46</v>
      </c>
      <c r="BC104">
        <v>46</v>
      </c>
      <c r="BD104">
        <v>46</v>
      </c>
      <c r="BE104">
        <v>46</v>
      </c>
      <c r="BF104">
        <v>46</v>
      </c>
      <c r="BG104">
        <v>47</v>
      </c>
      <c r="BH104">
        <v>47</v>
      </c>
      <c r="BI104">
        <v>47</v>
      </c>
    </row>
    <row r="105" spans="1:61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21</v>
      </c>
      <c r="AY105">
        <v>21</v>
      </c>
      <c r="AZ105">
        <v>21</v>
      </c>
      <c r="BA105">
        <v>21</v>
      </c>
      <c r="BB105">
        <v>21</v>
      </c>
      <c r="BC105">
        <v>21</v>
      </c>
      <c r="BD105">
        <v>21</v>
      </c>
      <c r="BE105">
        <v>21</v>
      </c>
      <c r="BF105">
        <v>21</v>
      </c>
      <c r="BG105">
        <v>20</v>
      </c>
      <c r="BH105">
        <v>21</v>
      </c>
      <c r="BI105">
        <v>21</v>
      </c>
    </row>
    <row r="106" spans="1:61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17</v>
      </c>
      <c r="BB106">
        <v>23</v>
      </c>
      <c r="BC106">
        <v>31</v>
      </c>
      <c r="BD106">
        <v>42</v>
      </c>
      <c r="BE106">
        <v>66</v>
      </c>
      <c r="BF106">
        <v>99</v>
      </c>
      <c r="BG106">
        <v>121</v>
      </c>
      <c r="BH106">
        <v>146</v>
      </c>
      <c r="BI106">
        <v>199</v>
      </c>
    </row>
    <row r="107" spans="1:61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15</v>
      </c>
      <c r="BB107">
        <v>34</v>
      </c>
      <c r="BC107">
        <v>45</v>
      </c>
      <c r="BD107">
        <v>49</v>
      </c>
      <c r="BE107">
        <v>101</v>
      </c>
      <c r="BF107">
        <v>131</v>
      </c>
      <c r="BG107">
        <v>160</v>
      </c>
      <c r="BH107">
        <v>160</v>
      </c>
      <c r="BI107">
        <v>184</v>
      </c>
    </row>
    <row r="108" spans="1:61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15</v>
      </c>
      <c r="BB108">
        <v>28</v>
      </c>
      <c r="BC108">
        <v>35</v>
      </c>
      <c r="BD108">
        <v>50</v>
      </c>
      <c r="BE108">
        <v>76</v>
      </c>
      <c r="BF108">
        <v>115</v>
      </c>
      <c r="BG108">
        <v>155</v>
      </c>
      <c r="BH108">
        <v>216</v>
      </c>
      <c r="BI108">
        <v>314</v>
      </c>
    </row>
    <row r="109" spans="1:61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15</v>
      </c>
      <c r="BB109">
        <v>23</v>
      </c>
      <c r="BC109">
        <v>29</v>
      </c>
      <c r="BD109">
        <v>29</v>
      </c>
      <c r="BE109">
        <v>69</v>
      </c>
      <c r="BF109">
        <v>98</v>
      </c>
      <c r="BG109">
        <v>178</v>
      </c>
      <c r="BH109">
        <v>267</v>
      </c>
      <c r="BI109">
        <v>267</v>
      </c>
    </row>
    <row r="110" spans="1:61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15</v>
      </c>
      <c r="BB110">
        <v>19</v>
      </c>
      <c r="BC110">
        <v>24</v>
      </c>
      <c r="BD110">
        <v>30</v>
      </c>
      <c r="BE110">
        <v>32</v>
      </c>
      <c r="BF110">
        <v>36</v>
      </c>
      <c r="BG110">
        <v>39</v>
      </c>
      <c r="BH110">
        <v>66</v>
      </c>
      <c r="BI110">
        <v>68</v>
      </c>
    </row>
    <row r="111" spans="1:61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13</v>
      </c>
      <c r="BB111">
        <v>21</v>
      </c>
      <c r="BC111">
        <v>27</v>
      </c>
      <c r="BD111">
        <v>43</v>
      </c>
      <c r="BE111">
        <v>57</v>
      </c>
      <c r="BF111">
        <v>72</v>
      </c>
      <c r="BG111">
        <v>85</v>
      </c>
      <c r="BH111">
        <v>110</v>
      </c>
      <c r="BI111">
        <v>173</v>
      </c>
    </row>
    <row r="112" spans="1:61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12</v>
      </c>
      <c r="BB112">
        <v>25</v>
      </c>
      <c r="BC112">
        <v>32</v>
      </c>
      <c r="BD112">
        <v>46</v>
      </c>
      <c r="BE112">
        <v>64</v>
      </c>
      <c r="BF112">
        <v>93</v>
      </c>
      <c r="BG112">
        <v>105</v>
      </c>
      <c r="BH112">
        <v>161</v>
      </c>
      <c r="BI112">
        <v>162</v>
      </c>
    </row>
    <row r="113" spans="1:61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12</v>
      </c>
      <c r="BB113">
        <v>16</v>
      </c>
      <c r="BC113">
        <v>22</v>
      </c>
      <c r="BD113">
        <v>41</v>
      </c>
      <c r="BE113">
        <v>47</v>
      </c>
      <c r="BF113">
        <v>66</v>
      </c>
      <c r="BG113">
        <v>77</v>
      </c>
      <c r="BH113">
        <v>112</v>
      </c>
      <c r="BI113">
        <v>152</v>
      </c>
    </row>
    <row r="114" spans="1:61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8</v>
      </c>
      <c r="BB114">
        <v>13</v>
      </c>
      <c r="BC114">
        <v>16</v>
      </c>
      <c r="BD114">
        <v>17</v>
      </c>
      <c r="BE114">
        <v>17</v>
      </c>
      <c r="BF114">
        <v>18</v>
      </c>
      <c r="BG114">
        <v>23</v>
      </c>
      <c r="BH114">
        <v>23</v>
      </c>
      <c r="BI114">
        <v>29</v>
      </c>
    </row>
    <row r="115" spans="1:61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8</v>
      </c>
      <c r="BB115">
        <v>9</v>
      </c>
      <c r="BC115">
        <v>12</v>
      </c>
      <c r="BD115">
        <v>18</v>
      </c>
      <c r="BE115">
        <v>26</v>
      </c>
      <c r="BF115">
        <v>32</v>
      </c>
      <c r="BG115">
        <v>41</v>
      </c>
      <c r="BH115">
        <v>60</v>
      </c>
      <c r="BI115">
        <v>85</v>
      </c>
    </row>
    <row r="116" spans="1:61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7</v>
      </c>
      <c r="BB116">
        <v>7</v>
      </c>
      <c r="BC116">
        <v>15</v>
      </c>
      <c r="BD116">
        <v>17</v>
      </c>
      <c r="BE116">
        <v>24</v>
      </c>
      <c r="BF116">
        <v>33</v>
      </c>
      <c r="BG116">
        <v>38</v>
      </c>
      <c r="BH116">
        <v>64</v>
      </c>
      <c r="BI116">
        <v>70</v>
      </c>
    </row>
    <row r="117" spans="1:61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7</v>
      </c>
      <c r="BB117">
        <v>10</v>
      </c>
      <c r="BC117">
        <v>12</v>
      </c>
      <c r="BD117">
        <v>13</v>
      </c>
      <c r="BE117">
        <v>19</v>
      </c>
      <c r="BF117">
        <v>28</v>
      </c>
      <c r="BG117">
        <v>33</v>
      </c>
      <c r="BH117">
        <v>47</v>
      </c>
      <c r="BI117">
        <v>47</v>
      </c>
    </row>
    <row r="118" spans="1:61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7</v>
      </c>
      <c r="BB118">
        <v>9</v>
      </c>
      <c r="BC118">
        <v>18</v>
      </c>
      <c r="BD118">
        <v>26</v>
      </c>
      <c r="BE118">
        <v>32</v>
      </c>
      <c r="BF118">
        <v>39</v>
      </c>
      <c r="BG118">
        <v>52</v>
      </c>
      <c r="BH118">
        <v>74</v>
      </c>
      <c r="BI118">
        <v>79</v>
      </c>
    </row>
    <row r="119" spans="1:61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7</v>
      </c>
      <c r="BB119">
        <v>9</v>
      </c>
      <c r="BC119">
        <v>17</v>
      </c>
      <c r="BD119">
        <v>30</v>
      </c>
      <c r="BE119">
        <v>41</v>
      </c>
      <c r="BF119">
        <v>45</v>
      </c>
      <c r="BG119">
        <v>49</v>
      </c>
      <c r="BH119">
        <v>67</v>
      </c>
      <c r="BI119">
        <v>77</v>
      </c>
    </row>
    <row r="120" spans="1:61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6</v>
      </c>
      <c r="BB120">
        <v>9</v>
      </c>
      <c r="BC120">
        <v>9</v>
      </c>
      <c r="BD120">
        <v>9</v>
      </c>
      <c r="BE120">
        <v>12</v>
      </c>
      <c r="BF120">
        <v>13</v>
      </c>
      <c r="BG120">
        <v>18</v>
      </c>
      <c r="BH120">
        <v>20</v>
      </c>
      <c r="BI120">
        <v>27</v>
      </c>
    </row>
    <row r="121" spans="1:61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6</v>
      </c>
      <c r="BB121">
        <v>11</v>
      </c>
      <c r="BC121">
        <v>13</v>
      </c>
      <c r="BD121">
        <v>13</v>
      </c>
      <c r="BE121">
        <v>16</v>
      </c>
      <c r="BF121">
        <v>20</v>
      </c>
      <c r="BG121">
        <v>25</v>
      </c>
      <c r="BH121">
        <v>30</v>
      </c>
      <c r="BI121">
        <v>39</v>
      </c>
    </row>
    <row r="122" spans="1:61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6</v>
      </c>
      <c r="BB122">
        <v>8</v>
      </c>
      <c r="BC122">
        <v>10</v>
      </c>
      <c r="BD122">
        <v>14</v>
      </c>
      <c r="BE122">
        <v>14</v>
      </c>
      <c r="BF122">
        <v>20</v>
      </c>
      <c r="BG122">
        <v>21</v>
      </c>
      <c r="BH122">
        <v>26</v>
      </c>
      <c r="BI122">
        <v>27</v>
      </c>
    </row>
    <row r="123" spans="1:61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5</v>
      </c>
      <c r="BB123">
        <v>10</v>
      </c>
      <c r="BC123">
        <v>10</v>
      </c>
      <c r="BD123">
        <v>10</v>
      </c>
      <c r="BE123">
        <v>10</v>
      </c>
      <c r="BF123">
        <v>16</v>
      </c>
      <c r="BG123">
        <v>22</v>
      </c>
      <c r="BH123">
        <v>22</v>
      </c>
      <c r="BI123">
        <v>31</v>
      </c>
    </row>
    <row r="124" spans="1:61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4</v>
      </c>
      <c r="BB124">
        <v>7</v>
      </c>
      <c r="BC124">
        <v>14</v>
      </c>
      <c r="BD124">
        <v>17</v>
      </c>
      <c r="BE124">
        <v>21</v>
      </c>
      <c r="BF124">
        <v>24</v>
      </c>
      <c r="BG124">
        <v>45</v>
      </c>
      <c r="BH124">
        <v>56</v>
      </c>
      <c r="BI124">
        <v>55</v>
      </c>
    </row>
    <row r="125" spans="1:61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4</v>
      </c>
      <c r="BB125">
        <v>5</v>
      </c>
      <c r="BC125">
        <v>6</v>
      </c>
      <c r="BD125">
        <v>6</v>
      </c>
      <c r="BE125">
        <v>7</v>
      </c>
      <c r="BF125">
        <v>13</v>
      </c>
      <c r="BG125">
        <v>17</v>
      </c>
      <c r="BH125">
        <v>26</v>
      </c>
      <c r="BI125">
        <v>26</v>
      </c>
    </row>
    <row r="126" spans="1:61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3</v>
      </c>
      <c r="BB126">
        <v>5</v>
      </c>
      <c r="BC126">
        <v>9</v>
      </c>
      <c r="BD126">
        <v>14</v>
      </c>
      <c r="BE126">
        <v>21</v>
      </c>
      <c r="BF126">
        <v>35</v>
      </c>
      <c r="BG126">
        <v>54</v>
      </c>
      <c r="BH126">
        <v>60</v>
      </c>
      <c r="BI126">
        <v>77</v>
      </c>
    </row>
    <row r="127" spans="1:61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3</v>
      </c>
      <c r="BB127">
        <v>5</v>
      </c>
      <c r="BC127">
        <v>10</v>
      </c>
      <c r="BD127">
        <v>13</v>
      </c>
      <c r="BE127">
        <v>14</v>
      </c>
      <c r="BF127">
        <v>17</v>
      </c>
      <c r="BG127">
        <v>18</v>
      </c>
      <c r="BH127">
        <v>21</v>
      </c>
      <c r="BI127">
        <v>24</v>
      </c>
    </row>
    <row r="128" spans="1:61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3</v>
      </c>
      <c r="BB128">
        <v>4</v>
      </c>
      <c r="BC128">
        <v>5</v>
      </c>
      <c r="BD128">
        <v>13</v>
      </c>
      <c r="BE128">
        <v>26</v>
      </c>
      <c r="BF128">
        <v>37</v>
      </c>
      <c r="BG128">
        <v>50</v>
      </c>
      <c r="BH128">
        <v>67</v>
      </c>
      <c r="BI128">
        <v>86</v>
      </c>
    </row>
    <row r="129" spans="1:61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3</v>
      </c>
      <c r="BB129">
        <v>5</v>
      </c>
      <c r="BC129">
        <v>5</v>
      </c>
      <c r="BD129">
        <v>14</v>
      </c>
      <c r="BE129">
        <v>20</v>
      </c>
      <c r="BF129">
        <v>20</v>
      </c>
      <c r="BG129">
        <v>21</v>
      </c>
      <c r="BH129">
        <v>23</v>
      </c>
      <c r="BI129">
        <v>33</v>
      </c>
    </row>
    <row r="130" spans="1:61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3</v>
      </c>
      <c r="BB130">
        <v>6</v>
      </c>
      <c r="BC130">
        <v>8</v>
      </c>
      <c r="BD130">
        <v>19</v>
      </c>
      <c r="BE130">
        <v>27</v>
      </c>
      <c r="BF130">
        <v>32</v>
      </c>
      <c r="BG130">
        <v>47</v>
      </c>
      <c r="BH130">
        <v>72</v>
      </c>
      <c r="BI130">
        <v>92</v>
      </c>
    </row>
    <row r="131" spans="1:61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2</v>
      </c>
      <c r="BB131">
        <v>3</v>
      </c>
      <c r="BC131">
        <v>5</v>
      </c>
      <c r="BD131">
        <v>11</v>
      </c>
      <c r="BE131">
        <v>22</v>
      </c>
      <c r="BF131">
        <v>24</v>
      </c>
      <c r="BG131">
        <v>30</v>
      </c>
      <c r="BH131">
        <v>68</v>
      </c>
      <c r="BI131">
        <v>68</v>
      </c>
    </row>
    <row r="132" spans="1:61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2</v>
      </c>
      <c r="BB132">
        <v>2</v>
      </c>
      <c r="BC132">
        <v>2</v>
      </c>
      <c r="BD132">
        <v>2</v>
      </c>
      <c r="BE132">
        <v>4</v>
      </c>
      <c r="BF132">
        <v>6</v>
      </c>
      <c r="BG132">
        <v>7</v>
      </c>
      <c r="BH132">
        <v>10</v>
      </c>
      <c r="BI132">
        <v>14</v>
      </c>
    </row>
    <row r="133" spans="1:61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2</v>
      </c>
      <c r="BB133">
        <v>2</v>
      </c>
      <c r="BC133">
        <v>2</v>
      </c>
      <c r="BD133">
        <v>2</v>
      </c>
      <c r="BE133">
        <v>4</v>
      </c>
      <c r="BF133">
        <v>7</v>
      </c>
      <c r="BG133">
        <v>10</v>
      </c>
      <c r="BH133">
        <v>19</v>
      </c>
      <c r="BI133">
        <v>19</v>
      </c>
    </row>
    <row r="134" spans="1:61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2</v>
      </c>
      <c r="BB134">
        <v>3</v>
      </c>
      <c r="BC134">
        <v>5</v>
      </c>
      <c r="BD134">
        <v>9</v>
      </c>
      <c r="BE134">
        <v>10</v>
      </c>
      <c r="BF134">
        <v>28</v>
      </c>
      <c r="BG134">
        <v>39</v>
      </c>
      <c r="BH134">
        <v>51</v>
      </c>
      <c r="BI134">
        <v>51</v>
      </c>
    </row>
    <row r="135" spans="1:61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1</v>
      </c>
      <c r="BB135">
        <v>2</v>
      </c>
      <c r="BC135">
        <v>2</v>
      </c>
      <c r="BD135">
        <v>2</v>
      </c>
      <c r="BE135">
        <v>2</v>
      </c>
      <c r="BF135">
        <v>3</v>
      </c>
      <c r="BG135">
        <v>15</v>
      </c>
      <c r="BH135">
        <v>15</v>
      </c>
      <c r="BI135">
        <v>20</v>
      </c>
    </row>
    <row r="136" spans="1:61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1</v>
      </c>
      <c r="AX136">
        <v>1</v>
      </c>
      <c r="AY136">
        <v>1</v>
      </c>
      <c r="AZ136">
        <v>1</v>
      </c>
      <c r="BA136">
        <v>1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</row>
    <row r="137" spans="1:61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1</v>
      </c>
      <c r="BB137">
        <v>1</v>
      </c>
      <c r="BC137">
        <v>1</v>
      </c>
      <c r="BD137">
        <v>1</v>
      </c>
      <c r="BE137">
        <v>1</v>
      </c>
      <c r="BF137">
        <v>1</v>
      </c>
      <c r="BG137">
        <v>1</v>
      </c>
      <c r="BH137">
        <v>5</v>
      </c>
      <c r="BI137">
        <v>6</v>
      </c>
    </row>
    <row r="138" spans="1:61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1</v>
      </c>
      <c r="BB138">
        <v>8</v>
      </c>
      <c r="BC138">
        <v>11</v>
      </c>
      <c r="BD138">
        <v>27</v>
      </c>
      <c r="BE138">
        <v>36</v>
      </c>
      <c r="BF138">
        <v>43</v>
      </c>
      <c r="BG138">
        <v>55</v>
      </c>
      <c r="BH138">
        <v>69</v>
      </c>
      <c r="BI138">
        <v>86</v>
      </c>
    </row>
    <row r="139" spans="1:61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1</v>
      </c>
      <c r="BB139">
        <v>1</v>
      </c>
      <c r="BC139">
        <v>1</v>
      </c>
      <c r="BD139">
        <v>5</v>
      </c>
      <c r="BE139">
        <v>8</v>
      </c>
      <c r="BF139">
        <v>8</v>
      </c>
      <c r="BG139">
        <v>11</v>
      </c>
      <c r="BH139">
        <v>18</v>
      </c>
      <c r="BI139">
        <v>18</v>
      </c>
    </row>
    <row r="140" spans="1:61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1</v>
      </c>
      <c r="BB140">
        <v>6</v>
      </c>
      <c r="BC140">
        <v>19</v>
      </c>
      <c r="BD140">
        <v>36</v>
      </c>
      <c r="BE140">
        <v>77</v>
      </c>
      <c r="BF140">
        <v>91</v>
      </c>
      <c r="BG140">
        <v>136</v>
      </c>
      <c r="BH140">
        <v>196</v>
      </c>
      <c r="BI140">
        <v>257</v>
      </c>
    </row>
    <row r="141" spans="1:61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1</v>
      </c>
      <c r="BB141">
        <v>1</v>
      </c>
      <c r="BC141">
        <v>1</v>
      </c>
      <c r="BD141">
        <v>2</v>
      </c>
      <c r="BE141">
        <v>4</v>
      </c>
      <c r="BF141">
        <v>5</v>
      </c>
      <c r="BG141">
        <v>6</v>
      </c>
      <c r="BH141">
        <v>11</v>
      </c>
      <c r="BI141">
        <v>18</v>
      </c>
    </row>
    <row r="142" spans="1:61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1</v>
      </c>
      <c r="BB142">
        <v>1</v>
      </c>
      <c r="BC142">
        <v>2</v>
      </c>
      <c r="BD142">
        <v>2</v>
      </c>
      <c r="BE142">
        <v>5</v>
      </c>
      <c r="BF142">
        <v>8</v>
      </c>
      <c r="BG142">
        <v>12</v>
      </c>
      <c r="BH142">
        <v>12</v>
      </c>
      <c r="BI142">
        <v>18</v>
      </c>
    </row>
    <row r="143" spans="1:61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1</v>
      </c>
      <c r="BE143">
        <v>1</v>
      </c>
      <c r="BF143">
        <v>1</v>
      </c>
      <c r="BG143">
        <v>1</v>
      </c>
      <c r="BH143">
        <v>3</v>
      </c>
      <c r="BI143">
        <v>6</v>
      </c>
    </row>
    <row r="144" spans="1:61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6</v>
      </c>
      <c r="BD144">
        <v>6</v>
      </c>
      <c r="BE144">
        <v>12</v>
      </c>
      <c r="BF144">
        <v>16</v>
      </c>
      <c r="BG144">
        <v>22</v>
      </c>
      <c r="BH144">
        <v>22</v>
      </c>
      <c r="BI144">
        <v>33</v>
      </c>
    </row>
    <row r="145" spans="1:61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1</v>
      </c>
      <c r="BC145">
        <v>1</v>
      </c>
      <c r="BD145">
        <v>4</v>
      </c>
      <c r="BE145">
        <v>6</v>
      </c>
      <c r="BF145">
        <v>7</v>
      </c>
      <c r="BG145">
        <v>8</v>
      </c>
      <c r="BH145">
        <v>16</v>
      </c>
      <c r="BI145">
        <v>19</v>
      </c>
    </row>
    <row r="146" spans="1:61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1</v>
      </c>
      <c r="BE146">
        <v>2</v>
      </c>
      <c r="BF146">
        <v>5</v>
      </c>
      <c r="BG146">
        <v>5</v>
      </c>
      <c r="BH146">
        <v>8</v>
      </c>
      <c r="BI146">
        <v>9</v>
      </c>
    </row>
    <row r="147" spans="1:61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1</v>
      </c>
      <c r="BE147">
        <v>3</v>
      </c>
      <c r="BF147">
        <v>12</v>
      </c>
      <c r="BG147">
        <v>17</v>
      </c>
      <c r="BH147">
        <v>32</v>
      </c>
      <c r="BI147">
        <v>42</v>
      </c>
    </row>
    <row r="148" spans="1:61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2</v>
      </c>
      <c r="BC148">
        <v>2</v>
      </c>
      <c r="BD148">
        <v>16</v>
      </c>
      <c r="BE148">
        <v>25</v>
      </c>
      <c r="BF148">
        <v>33</v>
      </c>
      <c r="BG148">
        <v>53</v>
      </c>
      <c r="BH148">
        <v>65</v>
      </c>
      <c r="BI148">
        <v>83</v>
      </c>
    </row>
    <row r="149" spans="1:61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1</v>
      </c>
      <c r="BD149">
        <v>1</v>
      </c>
      <c r="BE149">
        <v>6</v>
      </c>
      <c r="BF149">
        <v>10</v>
      </c>
      <c r="BG149">
        <v>13</v>
      </c>
      <c r="BH149">
        <v>21</v>
      </c>
      <c r="BI149">
        <v>34</v>
      </c>
    </row>
    <row r="150" spans="1:61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1</v>
      </c>
      <c r="BC150">
        <v>1</v>
      </c>
      <c r="BD150">
        <v>1</v>
      </c>
      <c r="BE150">
        <v>5</v>
      </c>
      <c r="BF150">
        <v>7</v>
      </c>
      <c r="BG150">
        <v>7</v>
      </c>
      <c r="BH150">
        <v>9</v>
      </c>
      <c r="BI150">
        <v>11</v>
      </c>
    </row>
    <row r="151" spans="1:61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3</v>
      </c>
      <c r="BC151">
        <v>5</v>
      </c>
      <c r="BD151">
        <v>10</v>
      </c>
      <c r="BE151">
        <v>10</v>
      </c>
      <c r="BF151">
        <v>13</v>
      </c>
      <c r="BG151">
        <v>17</v>
      </c>
      <c r="BH151">
        <v>23</v>
      </c>
      <c r="BI151">
        <v>23</v>
      </c>
    </row>
    <row r="152" spans="1:61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1</v>
      </c>
      <c r="BD152">
        <v>1</v>
      </c>
      <c r="BE152">
        <v>1</v>
      </c>
      <c r="BF152">
        <v>1</v>
      </c>
      <c r="BG152">
        <v>1</v>
      </c>
      <c r="BH152">
        <v>3</v>
      </c>
      <c r="BI152">
        <v>6</v>
      </c>
    </row>
    <row r="153" spans="1:61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8</v>
      </c>
      <c r="BC153">
        <v>8</v>
      </c>
      <c r="BD153">
        <v>8</v>
      </c>
      <c r="BE153">
        <v>9</v>
      </c>
      <c r="BF153">
        <v>9</v>
      </c>
      <c r="BG153">
        <v>10</v>
      </c>
      <c r="BH153">
        <v>11</v>
      </c>
      <c r="BI153">
        <v>11</v>
      </c>
    </row>
    <row r="154" spans="1:61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1</v>
      </c>
      <c r="BI154">
        <v>1</v>
      </c>
    </row>
    <row r="155" spans="1:61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1</v>
      </c>
      <c r="BD155">
        <v>1</v>
      </c>
      <c r="BE155">
        <v>2</v>
      </c>
      <c r="BF155">
        <v>3</v>
      </c>
      <c r="BG155">
        <v>3</v>
      </c>
      <c r="BH155">
        <v>11</v>
      </c>
      <c r="BI155">
        <v>15</v>
      </c>
    </row>
    <row r="156" spans="1:61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444</v>
      </c>
      <c r="F156">
        <v>444</v>
      </c>
      <c r="G156">
        <v>549</v>
      </c>
      <c r="H156">
        <v>761</v>
      </c>
      <c r="I156">
        <v>1058</v>
      </c>
      <c r="J156">
        <v>1423</v>
      </c>
      <c r="K156">
        <v>3554</v>
      </c>
      <c r="L156">
        <v>3554</v>
      </c>
      <c r="M156">
        <v>4903</v>
      </c>
      <c r="N156">
        <v>5806</v>
      </c>
      <c r="O156">
        <v>7153</v>
      </c>
      <c r="P156">
        <v>11177</v>
      </c>
      <c r="Q156">
        <v>13522</v>
      </c>
      <c r="R156">
        <v>16678</v>
      </c>
      <c r="S156">
        <v>19665</v>
      </c>
      <c r="T156">
        <v>22112</v>
      </c>
      <c r="U156">
        <v>24953</v>
      </c>
      <c r="V156">
        <v>27100</v>
      </c>
      <c r="W156">
        <v>29631</v>
      </c>
      <c r="X156">
        <v>31728</v>
      </c>
      <c r="Y156">
        <v>33366</v>
      </c>
      <c r="Z156">
        <v>33366</v>
      </c>
      <c r="AA156">
        <v>48206</v>
      </c>
      <c r="AB156">
        <v>54406</v>
      </c>
      <c r="AC156">
        <v>56249</v>
      </c>
      <c r="AD156">
        <v>58182</v>
      </c>
      <c r="AE156">
        <v>59989</v>
      </c>
      <c r="AF156">
        <v>61682</v>
      </c>
      <c r="AG156">
        <v>62031</v>
      </c>
      <c r="AH156">
        <v>62442</v>
      </c>
      <c r="AI156">
        <v>62662</v>
      </c>
      <c r="AJ156">
        <v>64084</v>
      </c>
      <c r="AK156">
        <v>64084</v>
      </c>
      <c r="AL156">
        <v>64287</v>
      </c>
      <c r="AM156">
        <v>64786</v>
      </c>
      <c r="AN156">
        <v>65187</v>
      </c>
      <c r="AO156">
        <v>65596</v>
      </c>
      <c r="AP156">
        <v>65914</v>
      </c>
      <c r="AQ156">
        <v>66337</v>
      </c>
      <c r="AR156">
        <v>66907</v>
      </c>
      <c r="AS156">
        <v>67103</v>
      </c>
      <c r="AT156">
        <v>67217</v>
      </c>
      <c r="AU156">
        <v>67332</v>
      </c>
      <c r="AV156">
        <v>67466</v>
      </c>
      <c r="AW156">
        <v>67592</v>
      </c>
      <c r="AX156">
        <v>67666</v>
      </c>
      <c r="AY156">
        <v>67707</v>
      </c>
      <c r="AZ156">
        <v>67743</v>
      </c>
      <c r="BA156">
        <v>67760</v>
      </c>
      <c r="BB156">
        <v>67773</v>
      </c>
      <c r="BC156">
        <v>67781</v>
      </c>
      <c r="BD156">
        <v>67786</v>
      </c>
      <c r="BE156">
        <v>67790</v>
      </c>
      <c r="BF156">
        <v>67794</v>
      </c>
      <c r="BG156">
        <v>67798</v>
      </c>
      <c r="BH156">
        <v>67799</v>
      </c>
      <c r="BI156">
        <v>67800</v>
      </c>
    </row>
    <row r="157" spans="1:61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</v>
      </c>
      <c r="AH157">
        <v>5</v>
      </c>
      <c r="AI157">
        <v>18</v>
      </c>
      <c r="AJ157">
        <v>28</v>
      </c>
      <c r="AK157">
        <v>43</v>
      </c>
      <c r="AL157">
        <v>61</v>
      </c>
      <c r="AM157">
        <v>95</v>
      </c>
      <c r="AN157">
        <v>139</v>
      </c>
      <c r="AO157">
        <v>245</v>
      </c>
      <c r="AP157">
        <v>388</v>
      </c>
      <c r="AQ157">
        <v>593</v>
      </c>
      <c r="AR157">
        <v>978</v>
      </c>
      <c r="AS157">
        <v>1501</v>
      </c>
      <c r="AT157">
        <v>2336</v>
      </c>
      <c r="AU157">
        <v>2922</v>
      </c>
      <c r="AV157">
        <v>3513</v>
      </c>
      <c r="AW157">
        <v>4747</v>
      </c>
      <c r="AX157">
        <v>5823</v>
      </c>
      <c r="AY157">
        <v>6566</v>
      </c>
      <c r="AZ157">
        <v>7161</v>
      </c>
      <c r="BA157">
        <v>8042</v>
      </c>
      <c r="BB157">
        <v>9000</v>
      </c>
      <c r="BC157">
        <v>10075</v>
      </c>
      <c r="BD157">
        <v>11364</v>
      </c>
      <c r="BE157">
        <v>12729</v>
      </c>
      <c r="BF157">
        <v>13938</v>
      </c>
      <c r="BG157">
        <v>14991</v>
      </c>
      <c r="BH157">
        <v>16169</v>
      </c>
      <c r="BI157">
        <v>17361</v>
      </c>
    </row>
    <row r="158" spans="1:61" x14ac:dyDescent="0.3">
      <c r="B158" t="s">
        <v>339</v>
      </c>
      <c r="C158">
        <v>36</v>
      </c>
      <c r="D158">
        <v>128</v>
      </c>
      <c r="E158">
        <v>1</v>
      </c>
      <c r="F158">
        <v>1</v>
      </c>
      <c r="G158">
        <v>2</v>
      </c>
      <c r="H158">
        <v>2</v>
      </c>
      <c r="I158">
        <v>3</v>
      </c>
      <c r="J158">
        <v>4</v>
      </c>
      <c r="K158">
        <v>4</v>
      </c>
      <c r="L158">
        <v>4</v>
      </c>
      <c r="M158">
        <v>4</v>
      </c>
      <c r="N158">
        <v>11</v>
      </c>
      <c r="O158">
        <v>12</v>
      </c>
      <c r="P158">
        <v>15</v>
      </c>
      <c r="Q158">
        <v>15</v>
      </c>
      <c r="R158">
        <v>16</v>
      </c>
      <c r="S158">
        <v>19</v>
      </c>
      <c r="T158">
        <v>23</v>
      </c>
      <c r="U158">
        <v>24</v>
      </c>
      <c r="V158">
        <v>24</v>
      </c>
      <c r="W158">
        <v>25</v>
      </c>
      <c r="X158">
        <v>27</v>
      </c>
      <c r="Y158">
        <v>28</v>
      </c>
      <c r="Z158">
        <v>28</v>
      </c>
      <c r="AA158">
        <v>28</v>
      </c>
      <c r="AB158">
        <v>28</v>
      </c>
      <c r="AC158">
        <v>28</v>
      </c>
      <c r="AD158">
        <v>29</v>
      </c>
      <c r="AE158">
        <v>30</v>
      </c>
      <c r="AF158">
        <v>31</v>
      </c>
      <c r="AG158">
        <v>31</v>
      </c>
      <c r="AH158">
        <v>104</v>
      </c>
      <c r="AI158">
        <v>204</v>
      </c>
      <c r="AJ158">
        <v>433</v>
      </c>
      <c r="AK158">
        <v>602</v>
      </c>
      <c r="AL158">
        <v>833</v>
      </c>
      <c r="AM158">
        <v>977</v>
      </c>
      <c r="AN158">
        <v>1261</v>
      </c>
      <c r="AO158">
        <v>1766</v>
      </c>
      <c r="AP158">
        <v>2337</v>
      </c>
      <c r="AQ158">
        <v>3150</v>
      </c>
      <c r="AR158">
        <v>3736</v>
      </c>
      <c r="AS158">
        <v>4335</v>
      </c>
      <c r="AT158">
        <v>5186</v>
      </c>
      <c r="AU158">
        <v>5621</v>
      </c>
      <c r="AV158">
        <v>6088</v>
      </c>
      <c r="AW158">
        <v>6593</v>
      </c>
      <c r="AX158">
        <v>7041</v>
      </c>
      <c r="AY158">
        <v>7314</v>
      </c>
      <c r="AZ158">
        <v>7478</v>
      </c>
      <c r="BA158">
        <v>7513</v>
      </c>
      <c r="BB158">
        <v>7755</v>
      </c>
      <c r="BC158">
        <v>7869</v>
      </c>
      <c r="BD158">
        <v>7979</v>
      </c>
      <c r="BE158">
        <v>8086</v>
      </c>
      <c r="BF158">
        <v>8162</v>
      </c>
      <c r="BG158">
        <v>8236</v>
      </c>
      <c r="BH158">
        <v>8320</v>
      </c>
      <c r="BI158">
        <v>8413</v>
      </c>
    </row>
    <row r="159" spans="1:61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2</v>
      </c>
      <c r="H159">
        <v>3</v>
      </c>
      <c r="I159">
        <v>3</v>
      </c>
      <c r="J159">
        <v>3</v>
      </c>
      <c r="K159">
        <v>4</v>
      </c>
      <c r="L159">
        <v>5</v>
      </c>
      <c r="M159">
        <v>5</v>
      </c>
      <c r="N159">
        <v>5</v>
      </c>
      <c r="O159">
        <v>6</v>
      </c>
      <c r="P159">
        <v>6</v>
      </c>
      <c r="Q159">
        <v>6</v>
      </c>
      <c r="R159">
        <v>6</v>
      </c>
      <c r="S159">
        <v>6</v>
      </c>
      <c r="T159">
        <v>6</v>
      </c>
      <c r="U159">
        <v>6</v>
      </c>
      <c r="V159">
        <v>11</v>
      </c>
      <c r="W159">
        <v>11</v>
      </c>
      <c r="X159">
        <v>11</v>
      </c>
      <c r="Y159">
        <v>11</v>
      </c>
      <c r="Z159">
        <v>11</v>
      </c>
      <c r="AA159">
        <v>11</v>
      </c>
      <c r="AB159">
        <v>11</v>
      </c>
      <c r="AC159">
        <v>12</v>
      </c>
      <c r="AD159">
        <v>12</v>
      </c>
      <c r="AE159">
        <v>12</v>
      </c>
      <c r="AF159">
        <v>12</v>
      </c>
      <c r="AG159">
        <v>12</v>
      </c>
      <c r="AH159">
        <v>12</v>
      </c>
      <c r="AI159">
        <v>12</v>
      </c>
      <c r="AJ159">
        <v>12</v>
      </c>
      <c r="AK159">
        <v>12</v>
      </c>
      <c r="AL159">
        <v>12</v>
      </c>
      <c r="AM159">
        <v>14</v>
      </c>
      <c r="AN159">
        <v>18</v>
      </c>
      <c r="AO159">
        <v>38</v>
      </c>
      <c r="AP159">
        <v>57</v>
      </c>
      <c r="AQ159">
        <v>100</v>
      </c>
      <c r="AR159">
        <v>130</v>
      </c>
      <c r="AS159">
        <v>191</v>
      </c>
      <c r="AT159">
        <v>204</v>
      </c>
      <c r="AU159">
        <v>285</v>
      </c>
      <c r="AV159">
        <v>377</v>
      </c>
      <c r="AW159">
        <v>653</v>
      </c>
      <c r="AX159">
        <v>949</v>
      </c>
      <c r="AY159">
        <v>1126</v>
      </c>
      <c r="AZ159">
        <v>1209</v>
      </c>
      <c r="BA159">
        <v>1784</v>
      </c>
      <c r="BB159">
        <v>2281</v>
      </c>
      <c r="BC159">
        <v>2281</v>
      </c>
      <c r="BD159">
        <v>3661</v>
      </c>
      <c r="BE159">
        <v>4469</v>
      </c>
      <c r="BF159">
        <v>4499</v>
      </c>
      <c r="BG159">
        <v>6633</v>
      </c>
      <c r="BH159">
        <v>7652</v>
      </c>
      <c r="BI159">
        <v>9043</v>
      </c>
    </row>
    <row r="160" spans="1:61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26</v>
      </c>
      <c r="F160">
        <v>32</v>
      </c>
      <c r="G160">
        <v>53</v>
      </c>
      <c r="H160">
        <v>78</v>
      </c>
      <c r="I160">
        <v>111</v>
      </c>
      <c r="J160">
        <v>151</v>
      </c>
      <c r="K160">
        <v>207</v>
      </c>
      <c r="L160">
        <v>277</v>
      </c>
      <c r="M160">
        <v>354</v>
      </c>
      <c r="N160">
        <v>436</v>
      </c>
      <c r="O160">
        <v>535</v>
      </c>
      <c r="P160">
        <v>632</v>
      </c>
      <c r="Q160">
        <v>725</v>
      </c>
      <c r="R160">
        <v>813</v>
      </c>
      <c r="S160">
        <v>895</v>
      </c>
      <c r="T160">
        <v>970</v>
      </c>
      <c r="U160">
        <v>1034</v>
      </c>
      <c r="V160">
        <v>1095</v>
      </c>
      <c r="W160">
        <v>1131</v>
      </c>
      <c r="X160">
        <v>1159</v>
      </c>
      <c r="Y160">
        <v>1177</v>
      </c>
      <c r="Z160">
        <v>1219</v>
      </c>
      <c r="AA160">
        <v>1241</v>
      </c>
      <c r="AB160">
        <v>1261</v>
      </c>
      <c r="AC160">
        <v>1294</v>
      </c>
      <c r="AD160">
        <v>1316</v>
      </c>
      <c r="AE160">
        <v>1322</v>
      </c>
      <c r="AF160">
        <v>1328</v>
      </c>
      <c r="AG160">
        <v>1331</v>
      </c>
      <c r="AH160">
        <v>1332</v>
      </c>
      <c r="AI160">
        <v>1333</v>
      </c>
      <c r="AJ160">
        <v>1339</v>
      </c>
      <c r="AK160">
        <v>1342</v>
      </c>
      <c r="AL160">
        <v>1345</v>
      </c>
      <c r="AM160">
        <v>1347</v>
      </c>
      <c r="AN160">
        <v>1347</v>
      </c>
      <c r="AO160">
        <v>1347</v>
      </c>
      <c r="AP160">
        <v>1348</v>
      </c>
      <c r="AQ160">
        <v>1349</v>
      </c>
      <c r="AR160">
        <v>1349</v>
      </c>
      <c r="AS160">
        <v>1350</v>
      </c>
      <c r="AT160">
        <v>1350</v>
      </c>
      <c r="AU160">
        <v>1350</v>
      </c>
      <c r="AV160">
        <v>1351</v>
      </c>
      <c r="AW160">
        <v>1352</v>
      </c>
      <c r="AX160">
        <v>1352</v>
      </c>
      <c r="AY160">
        <v>1352</v>
      </c>
      <c r="AZ160">
        <v>1352</v>
      </c>
      <c r="BA160">
        <v>1353</v>
      </c>
      <c r="BB160">
        <v>1356</v>
      </c>
      <c r="BC160">
        <v>1356</v>
      </c>
      <c r="BD160">
        <v>1356</v>
      </c>
      <c r="BE160">
        <v>1356</v>
      </c>
      <c r="BF160">
        <v>1360</v>
      </c>
      <c r="BG160">
        <v>1361</v>
      </c>
      <c r="BH160">
        <v>1364</v>
      </c>
      <c r="BI160">
        <v>1370</v>
      </c>
    </row>
    <row r="161" spans="1:61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5</v>
      </c>
      <c r="F161">
        <v>5</v>
      </c>
      <c r="G161">
        <v>9</v>
      </c>
      <c r="H161">
        <v>32</v>
      </c>
      <c r="I161">
        <v>83</v>
      </c>
      <c r="J161">
        <v>128</v>
      </c>
      <c r="K161">
        <v>168</v>
      </c>
      <c r="L161">
        <v>206</v>
      </c>
      <c r="M161">
        <v>278</v>
      </c>
      <c r="N161">
        <v>352</v>
      </c>
      <c r="O161">
        <v>422</v>
      </c>
      <c r="P161">
        <v>493</v>
      </c>
      <c r="Q161">
        <v>566</v>
      </c>
      <c r="R161">
        <v>675</v>
      </c>
      <c r="S161">
        <v>764</v>
      </c>
      <c r="T161">
        <v>851</v>
      </c>
      <c r="U161">
        <v>914</v>
      </c>
      <c r="V161">
        <v>981</v>
      </c>
      <c r="W161">
        <v>1033</v>
      </c>
      <c r="X161">
        <v>1073</v>
      </c>
      <c r="Y161">
        <v>1105</v>
      </c>
      <c r="Z161">
        <v>1135</v>
      </c>
      <c r="AA161">
        <v>1169</v>
      </c>
      <c r="AB161">
        <v>1184</v>
      </c>
      <c r="AC161">
        <v>1212</v>
      </c>
      <c r="AD161">
        <v>1231</v>
      </c>
      <c r="AE161">
        <v>1246</v>
      </c>
      <c r="AF161">
        <v>1257</v>
      </c>
      <c r="AG161">
        <v>1262</v>
      </c>
      <c r="AH161">
        <v>1265</v>
      </c>
      <c r="AI161">
        <v>1267</v>
      </c>
      <c r="AJ161">
        <v>1270</v>
      </c>
      <c r="AK161">
        <v>1271</v>
      </c>
      <c r="AL161">
        <v>1271</v>
      </c>
      <c r="AM161">
        <v>1271</v>
      </c>
      <c r="AN161">
        <v>1271</v>
      </c>
      <c r="AO161">
        <v>1272</v>
      </c>
      <c r="AP161">
        <v>1272</v>
      </c>
      <c r="AQ161">
        <v>1272</v>
      </c>
      <c r="AR161">
        <v>1272</v>
      </c>
      <c r="AS161">
        <v>1272</v>
      </c>
      <c r="AT161">
        <v>1272</v>
      </c>
      <c r="AU161">
        <v>1272</v>
      </c>
      <c r="AV161">
        <v>1272</v>
      </c>
      <c r="AW161">
        <v>1272</v>
      </c>
      <c r="AX161">
        <v>1272</v>
      </c>
      <c r="AY161">
        <v>1272</v>
      </c>
      <c r="AZ161">
        <v>1272</v>
      </c>
      <c r="BA161">
        <v>1272</v>
      </c>
      <c r="BB161">
        <v>1273</v>
      </c>
      <c r="BC161">
        <v>1273</v>
      </c>
      <c r="BD161">
        <v>1273</v>
      </c>
      <c r="BE161">
        <v>1273</v>
      </c>
      <c r="BF161">
        <v>1273</v>
      </c>
      <c r="BG161">
        <v>1273</v>
      </c>
      <c r="BH161">
        <v>1273</v>
      </c>
      <c r="BI161">
        <v>1273</v>
      </c>
    </row>
    <row r="162" spans="1:61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10</v>
      </c>
      <c r="F162">
        <v>27</v>
      </c>
      <c r="G162">
        <v>43</v>
      </c>
      <c r="H162">
        <v>62</v>
      </c>
      <c r="I162">
        <v>104</v>
      </c>
      <c r="J162">
        <v>128</v>
      </c>
      <c r="K162">
        <v>173</v>
      </c>
      <c r="L162">
        <v>296</v>
      </c>
      <c r="M162">
        <v>428</v>
      </c>
      <c r="N162">
        <v>538</v>
      </c>
      <c r="O162">
        <v>599</v>
      </c>
      <c r="P162">
        <v>661</v>
      </c>
      <c r="Q162">
        <v>724</v>
      </c>
      <c r="R162">
        <v>829</v>
      </c>
      <c r="S162">
        <v>895</v>
      </c>
      <c r="T162">
        <v>954</v>
      </c>
      <c r="U162">
        <v>1006</v>
      </c>
      <c r="V162">
        <v>1048</v>
      </c>
      <c r="W162">
        <v>1075</v>
      </c>
      <c r="X162">
        <v>1092</v>
      </c>
      <c r="Y162">
        <v>1117</v>
      </c>
      <c r="Z162">
        <v>1131</v>
      </c>
      <c r="AA162">
        <v>1145</v>
      </c>
      <c r="AB162">
        <v>1155</v>
      </c>
      <c r="AC162">
        <v>1162</v>
      </c>
      <c r="AD162">
        <v>1167</v>
      </c>
      <c r="AE162">
        <v>1171</v>
      </c>
      <c r="AF162">
        <v>1172</v>
      </c>
      <c r="AG162">
        <v>1174</v>
      </c>
      <c r="AH162">
        <v>1175</v>
      </c>
      <c r="AI162">
        <v>1203</v>
      </c>
      <c r="AJ162">
        <v>1205</v>
      </c>
      <c r="AK162">
        <v>1205</v>
      </c>
      <c r="AL162">
        <v>1205</v>
      </c>
      <c r="AM162">
        <v>1205</v>
      </c>
      <c r="AN162">
        <v>1205</v>
      </c>
      <c r="AO162">
        <v>1205</v>
      </c>
      <c r="AP162">
        <v>1205</v>
      </c>
      <c r="AQ162">
        <v>1205</v>
      </c>
      <c r="AR162">
        <v>1205</v>
      </c>
      <c r="AS162">
        <v>1206</v>
      </c>
      <c r="AT162">
        <v>1213</v>
      </c>
      <c r="AU162">
        <v>1213</v>
      </c>
      <c r="AV162">
        <v>1215</v>
      </c>
      <c r="AW162">
        <v>1215</v>
      </c>
      <c r="AX162">
        <v>1215</v>
      </c>
      <c r="AY162">
        <v>1215</v>
      </c>
      <c r="AZ162">
        <v>1215</v>
      </c>
      <c r="BA162">
        <v>1215</v>
      </c>
      <c r="BB162">
        <v>1215</v>
      </c>
      <c r="BC162">
        <v>1215</v>
      </c>
      <c r="BD162">
        <v>1215</v>
      </c>
      <c r="BE162">
        <v>1227</v>
      </c>
      <c r="BF162">
        <v>1231</v>
      </c>
      <c r="BG162">
        <v>1231</v>
      </c>
      <c r="BH162">
        <v>1232</v>
      </c>
      <c r="BI162">
        <v>1232</v>
      </c>
    </row>
    <row r="163" spans="1:61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4</v>
      </c>
      <c r="F163">
        <v>9</v>
      </c>
      <c r="G163">
        <v>24</v>
      </c>
      <c r="H163">
        <v>43</v>
      </c>
      <c r="I163">
        <v>69</v>
      </c>
      <c r="J163">
        <v>100</v>
      </c>
      <c r="K163">
        <v>143</v>
      </c>
      <c r="L163">
        <v>221</v>
      </c>
      <c r="M163">
        <v>277</v>
      </c>
      <c r="N163">
        <v>332</v>
      </c>
      <c r="O163">
        <v>389</v>
      </c>
      <c r="P163">
        <v>463</v>
      </c>
      <c r="Q163">
        <v>521</v>
      </c>
      <c r="R163">
        <v>593</v>
      </c>
      <c r="S163">
        <v>661</v>
      </c>
      <c r="T163">
        <v>711</v>
      </c>
      <c r="U163">
        <v>772</v>
      </c>
      <c r="V163">
        <v>803</v>
      </c>
      <c r="W163">
        <v>838</v>
      </c>
      <c r="X163">
        <v>879</v>
      </c>
      <c r="Y163">
        <v>912</v>
      </c>
      <c r="Z163">
        <v>946</v>
      </c>
      <c r="AA163">
        <v>968</v>
      </c>
      <c r="AB163">
        <v>988</v>
      </c>
      <c r="AC163">
        <v>1001</v>
      </c>
      <c r="AD163">
        <v>1004</v>
      </c>
      <c r="AE163">
        <v>1006</v>
      </c>
      <c r="AF163">
        <v>1007</v>
      </c>
      <c r="AG163">
        <v>1008</v>
      </c>
      <c r="AH163">
        <v>1010</v>
      </c>
      <c r="AI163">
        <v>1011</v>
      </c>
      <c r="AJ163">
        <v>1013</v>
      </c>
      <c r="AK163">
        <v>1016</v>
      </c>
      <c r="AL163">
        <v>1016</v>
      </c>
      <c r="AM163">
        <v>1016</v>
      </c>
      <c r="AN163">
        <v>1016</v>
      </c>
      <c r="AO163">
        <v>1017</v>
      </c>
      <c r="AP163">
        <v>1017</v>
      </c>
      <c r="AQ163">
        <v>1018</v>
      </c>
      <c r="AR163">
        <v>1018</v>
      </c>
      <c r="AS163">
        <v>1018</v>
      </c>
      <c r="AT163">
        <v>1018</v>
      </c>
      <c r="AU163">
        <v>1018</v>
      </c>
      <c r="AV163">
        <v>1018</v>
      </c>
      <c r="AW163">
        <v>1018</v>
      </c>
      <c r="AX163">
        <v>1018</v>
      </c>
      <c r="AY163">
        <v>1018</v>
      </c>
      <c r="AZ163">
        <v>1018</v>
      </c>
      <c r="BA163">
        <v>1018</v>
      </c>
      <c r="BB163">
        <v>1018</v>
      </c>
      <c r="BC163">
        <v>1018</v>
      </c>
      <c r="BD163">
        <v>1018</v>
      </c>
      <c r="BE163">
        <v>1018</v>
      </c>
      <c r="BF163">
        <v>1018</v>
      </c>
      <c r="BG163">
        <v>1018</v>
      </c>
      <c r="BH163">
        <v>1018</v>
      </c>
      <c r="BI163">
        <v>1018</v>
      </c>
    </row>
    <row r="164" spans="1:61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1</v>
      </c>
      <c r="F164">
        <v>9</v>
      </c>
      <c r="G164">
        <v>15</v>
      </c>
      <c r="H164">
        <v>39</v>
      </c>
      <c r="I164">
        <v>60</v>
      </c>
      <c r="J164">
        <v>70</v>
      </c>
      <c r="K164">
        <v>106</v>
      </c>
      <c r="L164">
        <v>152</v>
      </c>
      <c r="M164">
        <v>200</v>
      </c>
      <c r="N164">
        <v>237</v>
      </c>
      <c r="O164">
        <v>297</v>
      </c>
      <c r="P164">
        <v>340</v>
      </c>
      <c r="Q164">
        <v>408</v>
      </c>
      <c r="R164">
        <v>480</v>
      </c>
      <c r="S164">
        <v>530</v>
      </c>
      <c r="T164">
        <v>591</v>
      </c>
      <c r="U164">
        <v>665</v>
      </c>
      <c r="V164">
        <v>733</v>
      </c>
      <c r="W164">
        <v>779</v>
      </c>
      <c r="X164">
        <v>830</v>
      </c>
      <c r="Y164">
        <v>860</v>
      </c>
      <c r="Z164">
        <v>889</v>
      </c>
      <c r="AA164">
        <v>910</v>
      </c>
      <c r="AB164">
        <v>934</v>
      </c>
      <c r="AC164">
        <v>950</v>
      </c>
      <c r="AD164">
        <v>962</v>
      </c>
      <c r="AE164">
        <v>973</v>
      </c>
      <c r="AF164">
        <v>982</v>
      </c>
      <c r="AG164">
        <v>986</v>
      </c>
      <c r="AH164">
        <v>987</v>
      </c>
      <c r="AI164">
        <v>988</v>
      </c>
      <c r="AJ164">
        <v>989</v>
      </c>
      <c r="AK164">
        <v>989</v>
      </c>
      <c r="AL164">
        <v>989</v>
      </c>
      <c r="AM164">
        <v>989</v>
      </c>
      <c r="AN164">
        <v>989</v>
      </c>
      <c r="AO164">
        <v>989</v>
      </c>
      <c r="AP164">
        <v>990</v>
      </c>
      <c r="AQ164">
        <v>990</v>
      </c>
      <c r="AR164">
        <v>990</v>
      </c>
      <c r="AS164">
        <v>990</v>
      </c>
      <c r="AT164">
        <v>990</v>
      </c>
      <c r="AU164">
        <v>990</v>
      </c>
      <c r="AV164">
        <v>990</v>
      </c>
      <c r="AW164">
        <v>990</v>
      </c>
      <c r="AX164">
        <v>990</v>
      </c>
      <c r="AY164">
        <v>990</v>
      </c>
      <c r="AZ164">
        <v>990</v>
      </c>
      <c r="BA164">
        <v>990</v>
      </c>
      <c r="BB164">
        <v>990</v>
      </c>
      <c r="BC164">
        <v>990</v>
      </c>
      <c r="BD164">
        <v>990</v>
      </c>
      <c r="BE164">
        <v>990</v>
      </c>
      <c r="BF164">
        <v>990</v>
      </c>
      <c r="BG164">
        <v>990</v>
      </c>
      <c r="BH164">
        <v>990</v>
      </c>
      <c r="BI164">
        <v>990</v>
      </c>
    </row>
    <row r="165" spans="1:61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2</v>
      </c>
      <c r="F165">
        <v>7</v>
      </c>
      <c r="G165">
        <v>18</v>
      </c>
      <c r="H165">
        <v>18</v>
      </c>
      <c r="I165">
        <v>36</v>
      </c>
      <c r="J165">
        <v>72</v>
      </c>
      <c r="K165">
        <v>109</v>
      </c>
      <c r="L165">
        <v>109</v>
      </c>
      <c r="M165">
        <v>162</v>
      </c>
      <c r="N165">
        <v>240</v>
      </c>
      <c r="O165">
        <v>286</v>
      </c>
      <c r="P165">
        <v>333</v>
      </c>
      <c r="Q165">
        <v>391</v>
      </c>
      <c r="R165">
        <v>476</v>
      </c>
      <c r="S165">
        <v>548</v>
      </c>
      <c r="T165">
        <v>600</v>
      </c>
      <c r="U165">
        <v>661</v>
      </c>
      <c r="V165">
        <v>698</v>
      </c>
      <c r="W165">
        <v>740</v>
      </c>
      <c r="X165">
        <v>771</v>
      </c>
      <c r="Y165">
        <v>804</v>
      </c>
      <c r="Z165">
        <v>844</v>
      </c>
      <c r="AA165">
        <v>872</v>
      </c>
      <c r="AB165">
        <v>900</v>
      </c>
      <c r="AC165">
        <v>913</v>
      </c>
      <c r="AD165">
        <v>925</v>
      </c>
      <c r="AE165">
        <v>930</v>
      </c>
      <c r="AF165">
        <v>933</v>
      </c>
      <c r="AG165">
        <v>934</v>
      </c>
      <c r="AH165">
        <v>934</v>
      </c>
      <c r="AI165">
        <v>934</v>
      </c>
      <c r="AJ165">
        <v>934</v>
      </c>
      <c r="AK165">
        <v>934</v>
      </c>
      <c r="AL165">
        <v>934</v>
      </c>
      <c r="AM165">
        <v>934</v>
      </c>
      <c r="AN165">
        <v>934</v>
      </c>
      <c r="AO165">
        <v>934</v>
      </c>
      <c r="AP165">
        <v>935</v>
      </c>
      <c r="AQ165">
        <v>935</v>
      </c>
      <c r="AR165">
        <v>935</v>
      </c>
      <c r="AS165">
        <v>935</v>
      </c>
      <c r="AT165">
        <v>935</v>
      </c>
      <c r="AU165">
        <v>935</v>
      </c>
      <c r="AV165">
        <v>935</v>
      </c>
      <c r="AW165">
        <v>935</v>
      </c>
      <c r="AX165">
        <v>935</v>
      </c>
      <c r="AY165">
        <v>935</v>
      </c>
      <c r="AZ165">
        <v>935</v>
      </c>
      <c r="BA165">
        <v>935</v>
      </c>
      <c r="BB165">
        <v>935</v>
      </c>
      <c r="BC165">
        <v>935</v>
      </c>
      <c r="BD165">
        <v>935</v>
      </c>
      <c r="BE165">
        <v>935</v>
      </c>
      <c r="BF165">
        <v>935</v>
      </c>
      <c r="BG165">
        <v>935</v>
      </c>
      <c r="BH165">
        <v>935</v>
      </c>
      <c r="BI165">
        <v>935</v>
      </c>
    </row>
    <row r="166" spans="1:61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2</v>
      </c>
      <c r="F166">
        <v>6</v>
      </c>
      <c r="G166">
        <v>15</v>
      </c>
      <c r="H166">
        <v>27</v>
      </c>
      <c r="I166">
        <v>46</v>
      </c>
      <c r="J166">
        <v>75</v>
      </c>
      <c r="K166">
        <v>95</v>
      </c>
      <c r="L166">
        <v>130</v>
      </c>
      <c r="M166">
        <v>158</v>
      </c>
      <c r="N166">
        <v>184</v>
      </c>
      <c r="O166">
        <v>206</v>
      </c>
      <c r="P166">
        <v>230</v>
      </c>
      <c r="Q166">
        <v>259</v>
      </c>
      <c r="R166">
        <v>275</v>
      </c>
      <c r="S166">
        <v>307</v>
      </c>
      <c r="T166">
        <v>347</v>
      </c>
      <c r="U166">
        <v>386</v>
      </c>
      <c r="V166">
        <v>416</v>
      </c>
      <c r="W166">
        <v>444</v>
      </c>
      <c r="X166">
        <v>466</v>
      </c>
      <c r="Y166">
        <v>487</v>
      </c>
      <c r="Z166">
        <v>497</v>
      </c>
      <c r="AA166">
        <v>509</v>
      </c>
      <c r="AB166">
        <v>523</v>
      </c>
      <c r="AC166">
        <v>532</v>
      </c>
      <c r="AD166">
        <v>537</v>
      </c>
      <c r="AE166">
        <v>541</v>
      </c>
      <c r="AF166">
        <v>543</v>
      </c>
      <c r="AG166">
        <v>544</v>
      </c>
      <c r="AH166">
        <v>546</v>
      </c>
      <c r="AI166">
        <v>749</v>
      </c>
      <c r="AJ166">
        <v>750</v>
      </c>
      <c r="AK166">
        <v>754</v>
      </c>
      <c r="AL166">
        <v>755</v>
      </c>
      <c r="AM166">
        <v>756</v>
      </c>
      <c r="AN166">
        <v>756</v>
      </c>
      <c r="AO166">
        <v>756</v>
      </c>
      <c r="AP166">
        <v>756</v>
      </c>
      <c r="AQ166">
        <v>756</v>
      </c>
      <c r="AR166">
        <v>758</v>
      </c>
      <c r="AS166">
        <v>758</v>
      </c>
      <c r="AT166">
        <v>758</v>
      </c>
      <c r="AU166">
        <v>758</v>
      </c>
      <c r="AV166">
        <v>758</v>
      </c>
      <c r="AW166">
        <v>758</v>
      </c>
      <c r="AX166">
        <v>758</v>
      </c>
      <c r="AY166">
        <v>758</v>
      </c>
      <c r="AZ166">
        <v>758</v>
      </c>
      <c r="BA166">
        <v>758</v>
      </c>
      <c r="BB166">
        <v>760</v>
      </c>
      <c r="BC166">
        <v>760</v>
      </c>
      <c r="BD166">
        <v>760</v>
      </c>
      <c r="BE166">
        <v>760</v>
      </c>
      <c r="BF166">
        <v>760</v>
      </c>
      <c r="BG166">
        <v>760</v>
      </c>
      <c r="BH166">
        <v>761</v>
      </c>
      <c r="BI166">
        <v>761</v>
      </c>
    </row>
    <row r="167" spans="1:61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61</v>
      </c>
      <c r="V167">
        <v>61</v>
      </c>
      <c r="W167">
        <v>64</v>
      </c>
      <c r="X167">
        <v>135</v>
      </c>
      <c r="Y167">
        <v>135</v>
      </c>
      <c r="Z167">
        <v>175</v>
      </c>
      <c r="AA167">
        <v>175</v>
      </c>
      <c r="AB167">
        <v>218</v>
      </c>
      <c r="AC167">
        <v>285</v>
      </c>
      <c r="AD167">
        <v>355</v>
      </c>
      <c r="AE167">
        <v>454</v>
      </c>
      <c r="AF167">
        <v>542</v>
      </c>
      <c r="AG167">
        <v>621</v>
      </c>
      <c r="AH167">
        <v>634</v>
      </c>
      <c r="AI167">
        <v>634</v>
      </c>
      <c r="AJ167">
        <v>634</v>
      </c>
      <c r="AK167">
        <v>691</v>
      </c>
      <c r="AL167">
        <v>691</v>
      </c>
      <c r="AM167">
        <v>691</v>
      </c>
      <c r="AN167">
        <v>705</v>
      </c>
      <c r="AO167">
        <v>705</v>
      </c>
      <c r="AP167">
        <v>705</v>
      </c>
      <c r="AQ167">
        <v>705</v>
      </c>
      <c r="AR167">
        <v>705</v>
      </c>
      <c r="AS167">
        <v>705</v>
      </c>
      <c r="AT167">
        <v>706</v>
      </c>
      <c r="AU167">
        <v>706</v>
      </c>
      <c r="AV167">
        <v>706</v>
      </c>
      <c r="AW167">
        <v>696</v>
      </c>
      <c r="AX167">
        <v>696</v>
      </c>
      <c r="AY167">
        <v>696</v>
      </c>
      <c r="AZ167">
        <v>696</v>
      </c>
      <c r="BA167">
        <v>696</v>
      </c>
      <c r="BB167">
        <v>696</v>
      </c>
      <c r="BC167">
        <v>696</v>
      </c>
      <c r="BD167">
        <v>696</v>
      </c>
      <c r="BE167">
        <v>696</v>
      </c>
      <c r="BF167">
        <v>696</v>
      </c>
      <c r="BG167">
        <v>696</v>
      </c>
      <c r="BH167">
        <v>696</v>
      </c>
      <c r="BI167">
        <v>712</v>
      </c>
    </row>
    <row r="168" spans="1:61" x14ac:dyDescent="0.3">
      <c r="A168" t="s">
        <v>19</v>
      </c>
      <c r="B168" t="s">
        <v>337</v>
      </c>
      <c r="C168">
        <v>32.9711</v>
      </c>
      <c r="D168">
        <v>119.455</v>
      </c>
      <c r="E168">
        <v>1</v>
      </c>
      <c r="F168">
        <v>5</v>
      </c>
      <c r="G168">
        <v>9</v>
      </c>
      <c r="H168">
        <v>18</v>
      </c>
      <c r="I168">
        <v>33</v>
      </c>
      <c r="J168">
        <v>47</v>
      </c>
      <c r="K168">
        <v>70</v>
      </c>
      <c r="L168">
        <v>99</v>
      </c>
      <c r="M168">
        <v>129</v>
      </c>
      <c r="N168">
        <v>168</v>
      </c>
      <c r="O168">
        <v>202</v>
      </c>
      <c r="P168">
        <v>236</v>
      </c>
      <c r="Q168">
        <v>271</v>
      </c>
      <c r="R168">
        <v>308</v>
      </c>
      <c r="S168">
        <v>341</v>
      </c>
      <c r="T168">
        <v>373</v>
      </c>
      <c r="U168">
        <v>408</v>
      </c>
      <c r="V168">
        <v>439</v>
      </c>
      <c r="W168">
        <v>468</v>
      </c>
      <c r="X168">
        <v>492</v>
      </c>
      <c r="Y168">
        <v>515</v>
      </c>
      <c r="Z168">
        <v>543</v>
      </c>
      <c r="AA168">
        <v>570</v>
      </c>
      <c r="AB168">
        <v>593</v>
      </c>
      <c r="AC168">
        <v>604</v>
      </c>
      <c r="AD168">
        <v>617</v>
      </c>
      <c r="AE168">
        <v>626</v>
      </c>
      <c r="AF168">
        <v>629</v>
      </c>
      <c r="AG168">
        <v>631</v>
      </c>
      <c r="AH168">
        <v>631</v>
      </c>
      <c r="AI168">
        <v>631</v>
      </c>
      <c r="AJ168">
        <v>631</v>
      </c>
      <c r="AK168">
        <v>631</v>
      </c>
      <c r="AL168">
        <v>631</v>
      </c>
      <c r="AM168">
        <v>631</v>
      </c>
      <c r="AN168">
        <v>631</v>
      </c>
      <c r="AO168">
        <v>631</v>
      </c>
      <c r="AP168">
        <v>631</v>
      </c>
      <c r="AQ168">
        <v>631</v>
      </c>
      <c r="AR168">
        <v>631</v>
      </c>
      <c r="AS168">
        <v>631</v>
      </c>
      <c r="AT168">
        <v>631</v>
      </c>
      <c r="AU168">
        <v>631</v>
      </c>
      <c r="AV168">
        <v>631</v>
      </c>
      <c r="AW168">
        <v>631</v>
      </c>
      <c r="AX168">
        <v>631</v>
      </c>
      <c r="AY168">
        <v>631</v>
      </c>
      <c r="AZ168">
        <v>631</v>
      </c>
      <c r="BA168">
        <v>631</v>
      </c>
      <c r="BB168">
        <v>631</v>
      </c>
      <c r="BC168">
        <v>631</v>
      </c>
      <c r="BD168">
        <v>631</v>
      </c>
      <c r="BE168">
        <v>631</v>
      </c>
      <c r="BF168">
        <v>631</v>
      </c>
      <c r="BG168">
        <v>631</v>
      </c>
      <c r="BH168">
        <v>631</v>
      </c>
      <c r="BI168">
        <v>631</v>
      </c>
    </row>
    <row r="169" spans="1:61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6</v>
      </c>
      <c r="F169">
        <v>9</v>
      </c>
      <c r="G169">
        <v>27</v>
      </c>
      <c r="H169">
        <v>57</v>
      </c>
      <c r="I169">
        <v>75</v>
      </c>
      <c r="J169">
        <v>110</v>
      </c>
      <c r="K169">
        <v>132</v>
      </c>
      <c r="L169">
        <v>147</v>
      </c>
      <c r="M169">
        <v>182</v>
      </c>
      <c r="N169">
        <v>211</v>
      </c>
      <c r="O169">
        <v>247</v>
      </c>
      <c r="P169">
        <v>300</v>
      </c>
      <c r="Q169">
        <v>337</v>
      </c>
      <c r="R169">
        <v>366</v>
      </c>
      <c r="S169">
        <v>389</v>
      </c>
      <c r="T169">
        <v>411</v>
      </c>
      <c r="U169">
        <v>426</v>
      </c>
      <c r="V169">
        <v>428</v>
      </c>
      <c r="W169">
        <v>468</v>
      </c>
      <c r="X169">
        <v>486</v>
      </c>
      <c r="Y169">
        <v>505</v>
      </c>
      <c r="Z169">
        <v>518</v>
      </c>
      <c r="AA169">
        <v>529</v>
      </c>
      <c r="AB169">
        <v>537</v>
      </c>
      <c r="AC169">
        <v>544</v>
      </c>
      <c r="AD169">
        <v>551</v>
      </c>
      <c r="AE169">
        <v>553</v>
      </c>
      <c r="AF169">
        <v>555</v>
      </c>
      <c r="AG169">
        <v>560</v>
      </c>
      <c r="AH169">
        <v>567</v>
      </c>
      <c r="AI169">
        <v>572</v>
      </c>
      <c r="AJ169">
        <v>573</v>
      </c>
      <c r="AK169">
        <v>575</v>
      </c>
      <c r="AL169">
        <v>576</v>
      </c>
      <c r="AM169">
        <v>576</v>
      </c>
      <c r="AN169">
        <v>576</v>
      </c>
      <c r="AO169">
        <v>576</v>
      </c>
      <c r="AP169">
        <v>576</v>
      </c>
      <c r="AQ169">
        <v>576</v>
      </c>
      <c r="AR169">
        <v>576</v>
      </c>
      <c r="AS169">
        <v>576</v>
      </c>
      <c r="AT169">
        <v>576</v>
      </c>
      <c r="AU169">
        <v>576</v>
      </c>
      <c r="AV169">
        <v>576</v>
      </c>
      <c r="AW169">
        <v>576</v>
      </c>
      <c r="AX169">
        <v>576</v>
      </c>
      <c r="AY169">
        <v>576</v>
      </c>
      <c r="AZ169">
        <v>576</v>
      </c>
      <c r="BA169">
        <v>576</v>
      </c>
      <c r="BB169">
        <v>576</v>
      </c>
      <c r="BC169">
        <v>576</v>
      </c>
      <c r="BD169">
        <v>576</v>
      </c>
      <c r="BE169">
        <v>576</v>
      </c>
      <c r="BF169">
        <v>576</v>
      </c>
      <c r="BG169">
        <v>576</v>
      </c>
      <c r="BH169">
        <v>576</v>
      </c>
      <c r="BI169">
        <v>576</v>
      </c>
    </row>
    <row r="170" spans="1:61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5</v>
      </c>
      <c r="F170">
        <v>8</v>
      </c>
      <c r="G170">
        <v>15</v>
      </c>
      <c r="H170">
        <v>28</v>
      </c>
      <c r="I170">
        <v>44</v>
      </c>
      <c r="J170">
        <v>69</v>
      </c>
      <c r="K170">
        <v>90</v>
      </c>
      <c r="L170">
        <v>108</v>
      </c>
      <c r="M170">
        <v>142</v>
      </c>
      <c r="N170">
        <v>177</v>
      </c>
      <c r="O170">
        <v>207</v>
      </c>
      <c r="P170">
        <v>231</v>
      </c>
      <c r="Q170">
        <v>254</v>
      </c>
      <c r="R170">
        <v>282</v>
      </c>
      <c r="S170">
        <v>301</v>
      </c>
      <c r="T170">
        <v>321</v>
      </c>
      <c r="U170">
        <v>344</v>
      </c>
      <c r="V170">
        <v>364</v>
      </c>
      <c r="W170">
        <v>386</v>
      </c>
      <c r="X170">
        <v>405</v>
      </c>
      <c r="Y170">
        <v>417</v>
      </c>
      <c r="Z170">
        <v>436</v>
      </c>
      <c r="AA170">
        <v>451</v>
      </c>
      <c r="AB170">
        <v>463</v>
      </c>
      <c r="AC170">
        <v>470</v>
      </c>
      <c r="AD170">
        <v>481</v>
      </c>
      <c r="AE170">
        <v>495</v>
      </c>
      <c r="AF170">
        <v>508</v>
      </c>
      <c r="AG170">
        <v>514</v>
      </c>
      <c r="AH170">
        <v>520</v>
      </c>
      <c r="AI170">
        <v>525</v>
      </c>
      <c r="AJ170">
        <v>526</v>
      </c>
      <c r="AK170">
        <v>526</v>
      </c>
      <c r="AL170">
        <v>527</v>
      </c>
      <c r="AM170">
        <v>529</v>
      </c>
      <c r="AN170">
        <v>531</v>
      </c>
      <c r="AO170">
        <v>534</v>
      </c>
      <c r="AP170">
        <v>538</v>
      </c>
      <c r="AQ170">
        <v>538</v>
      </c>
      <c r="AR170">
        <v>538</v>
      </c>
      <c r="AS170">
        <v>538</v>
      </c>
      <c r="AT170">
        <v>538</v>
      </c>
      <c r="AU170">
        <v>538</v>
      </c>
      <c r="AV170">
        <v>539</v>
      </c>
      <c r="AW170">
        <v>539</v>
      </c>
      <c r="AX170">
        <v>539</v>
      </c>
      <c r="AY170">
        <v>539</v>
      </c>
      <c r="AZ170">
        <v>539</v>
      </c>
      <c r="BA170">
        <v>539</v>
      </c>
      <c r="BB170">
        <v>539</v>
      </c>
      <c r="BC170">
        <v>539</v>
      </c>
      <c r="BD170">
        <v>539</v>
      </c>
      <c r="BE170">
        <v>539</v>
      </c>
      <c r="BF170">
        <v>539</v>
      </c>
      <c r="BG170">
        <v>539</v>
      </c>
      <c r="BH170">
        <v>540</v>
      </c>
      <c r="BI170">
        <v>540</v>
      </c>
    </row>
    <row r="171" spans="1:61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2</v>
      </c>
      <c r="G171">
        <v>4</v>
      </c>
      <c r="H171">
        <v>9</v>
      </c>
      <c r="I171">
        <v>15</v>
      </c>
      <c r="J171">
        <v>21</v>
      </c>
      <c r="K171">
        <v>33</v>
      </c>
      <c r="L171">
        <v>38</v>
      </c>
      <c r="M171">
        <v>44</v>
      </c>
      <c r="N171">
        <v>59</v>
      </c>
      <c r="O171">
        <v>80</v>
      </c>
      <c r="P171">
        <v>95</v>
      </c>
      <c r="Q171">
        <v>121</v>
      </c>
      <c r="R171">
        <v>155</v>
      </c>
      <c r="S171">
        <v>190</v>
      </c>
      <c r="T171">
        <v>227</v>
      </c>
      <c r="U171">
        <v>277</v>
      </c>
      <c r="V171">
        <v>295</v>
      </c>
      <c r="W171">
        <v>307</v>
      </c>
      <c r="X171">
        <v>331</v>
      </c>
      <c r="Y171">
        <v>360</v>
      </c>
      <c r="Z171">
        <v>378</v>
      </c>
      <c r="AA171">
        <v>395</v>
      </c>
      <c r="AB171">
        <v>419</v>
      </c>
      <c r="AC171">
        <v>425</v>
      </c>
      <c r="AD171">
        <v>445</v>
      </c>
      <c r="AE171">
        <v>457</v>
      </c>
      <c r="AF171">
        <v>464</v>
      </c>
      <c r="AG171">
        <v>470</v>
      </c>
      <c r="AH171">
        <v>476</v>
      </c>
      <c r="AI171">
        <v>479</v>
      </c>
      <c r="AJ171">
        <v>479</v>
      </c>
      <c r="AK171">
        <v>480</v>
      </c>
      <c r="AL171">
        <v>480</v>
      </c>
      <c r="AM171">
        <v>480</v>
      </c>
      <c r="AN171">
        <v>480</v>
      </c>
      <c r="AO171">
        <v>480</v>
      </c>
      <c r="AP171">
        <v>480</v>
      </c>
      <c r="AQ171">
        <v>480</v>
      </c>
      <c r="AR171">
        <v>480</v>
      </c>
      <c r="AS171">
        <v>480</v>
      </c>
      <c r="AT171">
        <v>480</v>
      </c>
      <c r="AU171">
        <v>480</v>
      </c>
      <c r="AV171">
        <v>481</v>
      </c>
      <c r="AW171">
        <v>481</v>
      </c>
      <c r="AX171">
        <v>481</v>
      </c>
      <c r="AY171">
        <v>481</v>
      </c>
      <c r="AZ171">
        <v>481</v>
      </c>
      <c r="BA171">
        <v>481</v>
      </c>
      <c r="BB171">
        <v>482</v>
      </c>
      <c r="BC171">
        <v>482</v>
      </c>
      <c r="BD171">
        <v>482</v>
      </c>
      <c r="BE171">
        <v>482</v>
      </c>
      <c r="BF171">
        <v>482</v>
      </c>
      <c r="BG171">
        <v>482</v>
      </c>
      <c r="BH171">
        <v>482</v>
      </c>
      <c r="BI171">
        <v>482</v>
      </c>
    </row>
    <row r="172" spans="1:61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1</v>
      </c>
      <c r="AP172">
        <v>1</v>
      </c>
      <c r="AQ172">
        <v>3</v>
      </c>
      <c r="AR172">
        <v>4</v>
      </c>
      <c r="AS172">
        <v>4</v>
      </c>
      <c r="AT172">
        <v>6</v>
      </c>
      <c r="AU172">
        <v>10</v>
      </c>
      <c r="AV172">
        <v>10</v>
      </c>
      <c r="AW172">
        <v>23</v>
      </c>
      <c r="AX172">
        <v>23</v>
      </c>
      <c r="AY172">
        <v>35</v>
      </c>
      <c r="AZ172">
        <v>90</v>
      </c>
      <c r="BA172">
        <v>262</v>
      </c>
      <c r="BB172">
        <v>442</v>
      </c>
      <c r="BC172">
        <v>615</v>
      </c>
      <c r="BD172">
        <v>801</v>
      </c>
      <c r="BE172">
        <v>827</v>
      </c>
      <c r="BF172">
        <v>864</v>
      </c>
      <c r="BG172">
        <v>914</v>
      </c>
      <c r="BH172">
        <v>977</v>
      </c>
      <c r="BI172">
        <v>1057</v>
      </c>
    </row>
    <row r="173" spans="1:61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14</v>
      </c>
      <c r="F173">
        <v>22</v>
      </c>
      <c r="G173">
        <v>36</v>
      </c>
      <c r="H173">
        <v>41</v>
      </c>
      <c r="I173">
        <v>68</v>
      </c>
      <c r="J173">
        <v>80</v>
      </c>
      <c r="K173">
        <v>91</v>
      </c>
      <c r="L173">
        <v>111</v>
      </c>
      <c r="M173">
        <v>114</v>
      </c>
      <c r="N173">
        <v>139</v>
      </c>
      <c r="O173">
        <v>168</v>
      </c>
      <c r="P173">
        <v>191</v>
      </c>
      <c r="Q173">
        <v>212</v>
      </c>
      <c r="R173">
        <v>228</v>
      </c>
      <c r="S173">
        <v>253</v>
      </c>
      <c r="T173">
        <v>274</v>
      </c>
      <c r="U173">
        <v>297</v>
      </c>
      <c r="V173">
        <v>315</v>
      </c>
      <c r="W173">
        <v>326</v>
      </c>
      <c r="X173">
        <v>337</v>
      </c>
      <c r="Y173">
        <v>342</v>
      </c>
      <c r="Z173">
        <v>352</v>
      </c>
      <c r="AA173">
        <v>366</v>
      </c>
      <c r="AB173">
        <v>372</v>
      </c>
      <c r="AC173">
        <v>375</v>
      </c>
      <c r="AD173">
        <v>380</v>
      </c>
      <c r="AE173">
        <v>381</v>
      </c>
      <c r="AF173">
        <v>387</v>
      </c>
      <c r="AG173">
        <v>393</v>
      </c>
      <c r="AH173">
        <v>395</v>
      </c>
      <c r="AI173">
        <v>396</v>
      </c>
      <c r="AJ173">
        <v>399</v>
      </c>
      <c r="AK173">
        <v>399</v>
      </c>
      <c r="AL173">
        <v>399</v>
      </c>
      <c r="AM173">
        <v>400</v>
      </c>
      <c r="AN173">
        <v>400</v>
      </c>
      <c r="AO173">
        <v>410</v>
      </c>
      <c r="AP173">
        <v>410</v>
      </c>
      <c r="AQ173">
        <v>411</v>
      </c>
      <c r="AR173">
        <v>413</v>
      </c>
      <c r="AS173">
        <v>414</v>
      </c>
      <c r="AT173">
        <v>414</v>
      </c>
      <c r="AU173">
        <v>418</v>
      </c>
      <c r="AV173">
        <v>418</v>
      </c>
      <c r="AW173">
        <v>422</v>
      </c>
      <c r="AX173">
        <v>426</v>
      </c>
      <c r="AY173">
        <v>428</v>
      </c>
      <c r="AZ173">
        <v>428</v>
      </c>
      <c r="BA173">
        <v>429</v>
      </c>
      <c r="BB173">
        <v>435</v>
      </c>
      <c r="BC173">
        <v>435</v>
      </c>
      <c r="BD173">
        <v>436</v>
      </c>
      <c r="BE173">
        <v>437</v>
      </c>
      <c r="BF173">
        <v>442</v>
      </c>
      <c r="BG173">
        <v>452</v>
      </c>
      <c r="BH173">
        <v>456</v>
      </c>
      <c r="BI173">
        <v>469</v>
      </c>
    </row>
    <row r="174" spans="1:61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9</v>
      </c>
      <c r="F174">
        <v>16</v>
      </c>
      <c r="G174">
        <v>20</v>
      </c>
      <c r="H174">
        <v>33</v>
      </c>
      <c r="I174">
        <v>40</v>
      </c>
      <c r="J174">
        <v>53</v>
      </c>
      <c r="K174">
        <v>66</v>
      </c>
      <c r="L174">
        <v>96</v>
      </c>
      <c r="M174">
        <v>112</v>
      </c>
      <c r="N174">
        <v>135</v>
      </c>
      <c r="O174">
        <v>169</v>
      </c>
      <c r="P174">
        <v>182</v>
      </c>
      <c r="Q174">
        <v>203</v>
      </c>
      <c r="R174">
        <v>219</v>
      </c>
      <c r="S174">
        <v>243</v>
      </c>
      <c r="T174">
        <v>257</v>
      </c>
      <c r="U174">
        <v>277</v>
      </c>
      <c r="V174">
        <v>286</v>
      </c>
      <c r="W174">
        <v>293</v>
      </c>
      <c r="X174">
        <v>299</v>
      </c>
      <c r="Y174">
        <v>303</v>
      </c>
      <c r="Z174">
        <v>311</v>
      </c>
      <c r="AA174">
        <v>315</v>
      </c>
      <c r="AB174">
        <v>318</v>
      </c>
      <c r="AC174">
        <v>326</v>
      </c>
      <c r="AD174">
        <v>328</v>
      </c>
      <c r="AE174">
        <v>333</v>
      </c>
      <c r="AF174">
        <v>333</v>
      </c>
      <c r="AG174">
        <v>333</v>
      </c>
      <c r="AH174">
        <v>334</v>
      </c>
      <c r="AI174">
        <v>334</v>
      </c>
      <c r="AJ174">
        <v>335</v>
      </c>
      <c r="AK174">
        <v>335</v>
      </c>
      <c r="AL174">
        <v>335</v>
      </c>
      <c r="AM174">
        <v>336</v>
      </c>
      <c r="AN174">
        <v>337</v>
      </c>
      <c r="AO174">
        <v>337</v>
      </c>
      <c r="AP174">
        <v>337</v>
      </c>
      <c r="AQ174">
        <v>337</v>
      </c>
      <c r="AR174">
        <v>337</v>
      </c>
      <c r="AS174">
        <v>337</v>
      </c>
      <c r="AT174">
        <v>338</v>
      </c>
      <c r="AU174">
        <v>338</v>
      </c>
      <c r="AV174">
        <v>339</v>
      </c>
      <c r="AW174">
        <v>342</v>
      </c>
      <c r="AX174">
        <v>342</v>
      </c>
      <c r="AY174">
        <v>342</v>
      </c>
      <c r="AZ174">
        <v>342</v>
      </c>
      <c r="BA174">
        <v>344</v>
      </c>
      <c r="BB174">
        <v>344</v>
      </c>
      <c r="BC174">
        <v>344</v>
      </c>
      <c r="BD174">
        <v>346</v>
      </c>
      <c r="BE174">
        <v>353</v>
      </c>
      <c r="BF174">
        <v>353</v>
      </c>
      <c r="BG174">
        <v>355</v>
      </c>
      <c r="BH174">
        <v>358</v>
      </c>
      <c r="BI174">
        <v>361</v>
      </c>
    </row>
    <row r="175" spans="1:61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1</v>
      </c>
      <c r="F175">
        <v>1</v>
      </c>
      <c r="G175">
        <v>2</v>
      </c>
      <c r="H175">
        <v>8</v>
      </c>
      <c r="I175">
        <v>13</v>
      </c>
      <c r="J175">
        <v>18</v>
      </c>
      <c r="K175">
        <v>33</v>
      </c>
      <c r="L175">
        <v>48</v>
      </c>
      <c r="M175">
        <v>65</v>
      </c>
      <c r="N175">
        <v>82</v>
      </c>
      <c r="O175">
        <v>96</v>
      </c>
      <c r="P175">
        <v>104</v>
      </c>
      <c r="Q175">
        <v>113</v>
      </c>
      <c r="R175">
        <v>126</v>
      </c>
      <c r="S175">
        <v>135</v>
      </c>
      <c r="T175">
        <v>157</v>
      </c>
      <c r="U175">
        <v>172</v>
      </c>
      <c r="V175">
        <v>195</v>
      </c>
      <c r="W175">
        <v>206</v>
      </c>
      <c r="X175">
        <v>218</v>
      </c>
      <c r="Y175">
        <v>239</v>
      </c>
      <c r="Z175">
        <v>251</v>
      </c>
      <c r="AA175">
        <v>265</v>
      </c>
      <c r="AB175">
        <v>283</v>
      </c>
      <c r="AC175">
        <v>291</v>
      </c>
      <c r="AD175">
        <v>300</v>
      </c>
      <c r="AE175">
        <v>301</v>
      </c>
      <c r="AF175">
        <v>306</v>
      </c>
      <c r="AG175">
        <v>306</v>
      </c>
      <c r="AH175">
        <v>307</v>
      </c>
      <c r="AI175">
        <v>308</v>
      </c>
      <c r="AJ175">
        <v>309</v>
      </c>
      <c r="AK175">
        <v>311</v>
      </c>
      <c r="AL175">
        <v>311</v>
      </c>
      <c r="AM175">
        <v>311</v>
      </c>
      <c r="AN175">
        <v>312</v>
      </c>
      <c r="AO175">
        <v>317</v>
      </c>
      <c r="AP175">
        <v>318</v>
      </c>
      <c r="AQ175">
        <v>318</v>
      </c>
      <c r="AR175">
        <v>318</v>
      </c>
      <c r="AS175">
        <v>318</v>
      </c>
      <c r="AT175">
        <v>318</v>
      </c>
      <c r="AU175">
        <v>318</v>
      </c>
      <c r="AV175">
        <v>318</v>
      </c>
      <c r="AW175">
        <v>318</v>
      </c>
      <c r="AX175">
        <v>318</v>
      </c>
      <c r="AY175">
        <v>318</v>
      </c>
      <c r="AZ175">
        <v>318</v>
      </c>
      <c r="BA175">
        <v>318</v>
      </c>
      <c r="BB175">
        <v>318</v>
      </c>
      <c r="BC175">
        <v>318</v>
      </c>
      <c r="BD175">
        <v>318</v>
      </c>
      <c r="BE175">
        <v>318</v>
      </c>
      <c r="BF175">
        <v>318</v>
      </c>
      <c r="BG175">
        <v>318</v>
      </c>
      <c r="BH175">
        <v>318</v>
      </c>
      <c r="BI175">
        <v>318</v>
      </c>
    </row>
    <row r="176" spans="1:61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1</v>
      </c>
      <c r="F176">
        <v>5</v>
      </c>
      <c r="G176">
        <v>10</v>
      </c>
      <c r="H176">
        <v>18</v>
      </c>
      <c r="I176">
        <v>35</v>
      </c>
      <c r="J176">
        <v>59</v>
      </c>
      <c r="K176">
        <v>80</v>
      </c>
      <c r="L176">
        <v>84</v>
      </c>
      <c r="M176">
        <v>101</v>
      </c>
      <c r="N176">
        <v>120</v>
      </c>
      <c r="O176">
        <v>144</v>
      </c>
      <c r="P176">
        <v>159</v>
      </c>
      <c r="Q176">
        <v>179</v>
      </c>
      <c r="R176">
        <v>194</v>
      </c>
      <c r="S176">
        <v>205</v>
      </c>
      <c r="T176">
        <v>215</v>
      </c>
      <c r="U176">
        <v>224</v>
      </c>
      <c r="V176">
        <v>239</v>
      </c>
      <c r="W176">
        <v>250</v>
      </c>
      <c r="X176">
        <v>261</v>
      </c>
      <c r="Y176">
        <v>267</v>
      </c>
      <c r="Z176">
        <v>272</v>
      </c>
      <c r="AA176">
        <v>279</v>
      </c>
      <c r="AB176">
        <v>281</v>
      </c>
      <c r="AC176">
        <v>285</v>
      </c>
      <c r="AD176">
        <v>287</v>
      </c>
      <c r="AE176">
        <v>290</v>
      </c>
      <c r="AF176">
        <v>292</v>
      </c>
      <c r="AG176">
        <v>293</v>
      </c>
      <c r="AH176">
        <v>293</v>
      </c>
      <c r="AI176">
        <v>293</v>
      </c>
      <c r="AJ176">
        <v>293</v>
      </c>
      <c r="AK176">
        <v>293</v>
      </c>
      <c r="AL176">
        <v>293</v>
      </c>
      <c r="AM176">
        <v>294</v>
      </c>
      <c r="AN176">
        <v>294</v>
      </c>
      <c r="AO176">
        <v>296</v>
      </c>
      <c r="AP176">
        <v>296</v>
      </c>
      <c r="AQ176">
        <v>296</v>
      </c>
      <c r="AR176">
        <v>296</v>
      </c>
      <c r="AS176">
        <v>296</v>
      </c>
      <c r="AT176">
        <v>296</v>
      </c>
      <c r="AU176">
        <v>296</v>
      </c>
      <c r="AV176">
        <v>296</v>
      </c>
      <c r="AW176">
        <v>296</v>
      </c>
      <c r="AX176">
        <v>296</v>
      </c>
      <c r="AY176">
        <v>296</v>
      </c>
      <c r="AZ176">
        <v>296</v>
      </c>
      <c r="BA176">
        <v>296</v>
      </c>
      <c r="BB176">
        <v>296</v>
      </c>
      <c r="BC176">
        <v>296</v>
      </c>
      <c r="BD176">
        <v>296</v>
      </c>
      <c r="BE176">
        <v>296</v>
      </c>
      <c r="BF176">
        <v>296</v>
      </c>
      <c r="BG176">
        <v>296</v>
      </c>
      <c r="BH176">
        <v>296</v>
      </c>
      <c r="BI176">
        <v>296</v>
      </c>
    </row>
    <row r="177" spans="1:61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2</v>
      </c>
      <c r="F177">
        <v>5</v>
      </c>
      <c r="G177">
        <v>23</v>
      </c>
      <c r="H177">
        <v>23</v>
      </c>
      <c r="I177">
        <v>36</v>
      </c>
      <c r="J177">
        <v>46</v>
      </c>
      <c r="K177">
        <v>51</v>
      </c>
      <c r="L177">
        <v>58</v>
      </c>
      <c r="M177">
        <v>78</v>
      </c>
      <c r="N177">
        <v>87</v>
      </c>
      <c r="O177">
        <v>100</v>
      </c>
      <c r="P177">
        <v>111</v>
      </c>
      <c r="Q177">
        <v>127</v>
      </c>
      <c r="R177">
        <v>139</v>
      </c>
      <c r="S177">
        <v>150</v>
      </c>
      <c r="T177">
        <v>168</v>
      </c>
      <c r="U177">
        <v>172</v>
      </c>
      <c r="V177">
        <v>183</v>
      </c>
      <c r="W177">
        <v>195</v>
      </c>
      <c r="X177">
        <v>210</v>
      </c>
      <c r="Y177">
        <v>215</v>
      </c>
      <c r="Z177">
        <v>222</v>
      </c>
      <c r="AA177">
        <v>222</v>
      </c>
      <c r="AB177">
        <v>226</v>
      </c>
      <c r="AC177">
        <v>235</v>
      </c>
      <c r="AD177">
        <v>237</v>
      </c>
      <c r="AE177">
        <v>238</v>
      </c>
      <c r="AF177">
        <v>242</v>
      </c>
      <c r="AG177">
        <v>244</v>
      </c>
      <c r="AH177">
        <v>245</v>
      </c>
      <c r="AI177">
        <v>246</v>
      </c>
      <c r="AJ177">
        <v>249</v>
      </c>
      <c r="AK177">
        <v>249</v>
      </c>
      <c r="AL177">
        <v>251</v>
      </c>
      <c r="AM177">
        <v>252</v>
      </c>
      <c r="AN177">
        <v>252</v>
      </c>
      <c r="AO177">
        <v>252</v>
      </c>
      <c r="AP177">
        <v>252</v>
      </c>
      <c r="AQ177">
        <v>252</v>
      </c>
      <c r="AR177">
        <v>252</v>
      </c>
      <c r="AS177">
        <v>252</v>
      </c>
      <c r="AT177">
        <v>252</v>
      </c>
      <c r="AU177">
        <v>252</v>
      </c>
      <c r="AV177">
        <v>252</v>
      </c>
      <c r="AW177">
        <v>252</v>
      </c>
      <c r="AX177">
        <v>252</v>
      </c>
      <c r="AY177">
        <v>252</v>
      </c>
      <c r="AZ177">
        <v>252</v>
      </c>
      <c r="BA177">
        <v>252</v>
      </c>
      <c r="BB177">
        <v>252</v>
      </c>
      <c r="BC177">
        <v>252</v>
      </c>
      <c r="BD177">
        <v>252</v>
      </c>
      <c r="BE177">
        <v>252</v>
      </c>
      <c r="BF177">
        <v>252</v>
      </c>
      <c r="BG177">
        <v>252</v>
      </c>
      <c r="BH177">
        <v>253</v>
      </c>
      <c r="BI177">
        <v>253</v>
      </c>
    </row>
    <row r="178" spans="1:61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3</v>
      </c>
      <c r="G178">
        <v>5</v>
      </c>
      <c r="H178">
        <v>15</v>
      </c>
      <c r="I178">
        <v>22</v>
      </c>
      <c r="J178">
        <v>35</v>
      </c>
      <c r="K178">
        <v>46</v>
      </c>
      <c r="L178">
        <v>56</v>
      </c>
      <c r="M178">
        <v>63</v>
      </c>
      <c r="N178">
        <v>87</v>
      </c>
      <c r="O178">
        <v>101</v>
      </c>
      <c r="P178">
        <v>116</v>
      </c>
      <c r="Q178">
        <v>128</v>
      </c>
      <c r="R178">
        <v>142</v>
      </c>
      <c r="S178">
        <v>165</v>
      </c>
      <c r="T178">
        <v>173</v>
      </c>
      <c r="U178">
        <v>184</v>
      </c>
      <c r="V178">
        <v>195</v>
      </c>
      <c r="W178">
        <v>208</v>
      </c>
      <c r="X178">
        <v>213</v>
      </c>
      <c r="Y178">
        <v>219</v>
      </c>
      <c r="Z178">
        <v>225</v>
      </c>
      <c r="AA178">
        <v>229</v>
      </c>
      <c r="AB178">
        <v>230</v>
      </c>
      <c r="AC178">
        <v>232</v>
      </c>
      <c r="AD178">
        <v>236</v>
      </c>
      <c r="AE178">
        <v>240</v>
      </c>
      <c r="AF178">
        <v>240</v>
      </c>
      <c r="AG178">
        <v>242</v>
      </c>
      <c r="AH178">
        <v>245</v>
      </c>
      <c r="AI178">
        <v>245</v>
      </c>
      <c r="AJ178">
        <v>245</v>
      </c>
      <c r="AK178">
        <v>245</v>
      </c>
      <c r="AL178">
        <v>245</v>
      </c>
      <c r="AM178">
        <v>245</v>
      </c>
      <c r="AN178">
        <v>245</v>
      </c>
      <c r="AO178">
        <v>245</v>
      </c>
      <c r="AP178">
        <v>245</v>
      </c>
      <c r="AQ178">
        <v>245</v>
      </c>
      <c r="AR178">
        <v>245</v>
      </c>
      <c r="AS178">
        <v>245</v>
      </c>
      <c r="AT178">
        <v>245</v>
      </c>
      <c r="AU178">
        <v>245</v>
      </c>
      <c r="AV178">
        <v>245</v>
      </c>
      <c r="AW178">
        <v>245</v>
      </c>
      <c r="AX178">
        <v>245</v>
      </c>
      <c r="AY178">
        <v>245</v>
      </c>
      <c r="AZ178">
        <v>245</v>
      </c>
      <c r="BA178">
        <v>245</v>
      </c>
      <c r="BB178">
        <v>245</v>
      </c>
      <c r="BC178">
        <v>245</v>
      </c>
      <c r="BD178">
        <v>245</v>
      </c>
      <c r="BE178">
        <v>245</v>
      </c>
      <c r="BF178">
        <v>245</v>
      </c>
      <c r="BG178">
        <v>245</v>
      </c>
      <c r="BH178">
        <v>246</v>
      </c>
      <c r="BI178">
        <v>246</v>
      </c>
    </row>
    <row r="179" spans="1:61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1</v>
      </c>
      <c r="F179">
        <v>2</v>
      </c>
      <c r="G179">
        <v>5</v>
      </c>
      <c r="H179">
        <v>11</v>
      </c>
      <c r="I179">
        <v>16</v>
      </c>
      <c r="J179">
        <v>26</v>
      </c>
      <c r="K179">
        <v>44</v>
      </c>
      <c r="L179">
        <v>55</v>
      </c>
      <c r="M179">
        <v>70</v>
      </c>
      <c r="N179">
        <v>83</v>
      </c>
      <c r="O179">
        <v>93</v>
      </c>
      <c r="P179">
        <v>105</v>
      </c>
      <c r="Q179">
        <v>117</v>
      </c>
      <c r="R179">
        <v>122</v>
      </c>
      <c r="S179">
        <v>128</v>
      </c>
      <c r="T179">
        <v>133</v>
      </c>
      <c r="U179">
        <v>138</v>
      </c>
      <c r="V179">
        <v>138</v>
      </c>
      <c r="W179">
        <v>141</v>
      </c>
      <c r="X179">
        <v>149</v>
      </c>
      <c r="Y179">
        <v>153</v>
      </c>
      <c r="Z179">
        <v>154</v>
      </c>
      <c r="AA179">
        <v>156</v>
      </c>
      <c r="AB179">
        <v>162</v>
      </c>
      <c r="AC179">
        <v>168</v>
      </c>
      <c r="AD179">
        <v>171</v>
      </c>
      <c r="AE179">
        <v>171</v>
      </c>
      <c r="AF179">
        <v>172</v>
      </c>
      <c r="AG179">
        <v>172</v>
      </c>
      <c r="AH179">
        <v>174</v>
      </c>
      <c r="AI179">
        <v>174</v>
      </c>
      <c r="AJ179">
        <v>174</v>
      </c>
      <c r="AK179">
        <v>174</v>
      </c>
      <c r="AL179">
        <v>174</v>
      </c>
      <c r="AM179">
        <v>174</v>
      </c>
      <c r="AN179">
        <v>174</v>
      </c>
      <c r="AO179">
        <v>174</v>
      </c>
      <c r="AP179">
        <v>174</v>
      </c>
      <c r="AQ179">
        <v>174</v>
      </c>
      <c r="AR179">
        <v>174</v>
      </c>
      <c r="AS179">
        <v>174</v>
      </c>
      <c r="AT179">
        <v>174</v>
      </c>
      <c r="AU179">
        <v>174</v>
      </c>
      <c r="AV179">
        <v>174</v>
      </c>
      <c r="AW179">
        <v>174</v>
      </c>
      <c r="AX179">
        <v>174</v>
      </c>
      <c r="AY179">
        <v>174</v>
      </c>
      <c r="AZ179">
        <v>174</v>
      </c>
      <c r="BA179">
        <v>174</v>
      </c>
      <c r="BB179">
        <v>174</v>
      </c>
      <c r="BC179">
        <v>174</v>
      </c>
      <c r="BD179">
        <v>174</v>
      </c>
      <c r="BE179">
        <v>174</v>
      </c>
      <c r="BF179">
        <v>174</v>
      </c>
      <c r="BG179">
        <v>176</v>
      </c>
      <c r="BH179">
        <v>176</v>
      </c>
      <c r="BI179">
        <v>176</v>
      </c>
    </row>
    <row r="180" spans="1:61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4</v>
      </c>
      <c r="F180">
        <v>5</v>
      </c>
      <c r="G180">
        <v>8</v>
      </c>
      <c r="H180">
        <v>19</v>
      </c>
      <c r="I180">
        <v>22</v>
      </c>
      <c r="J180">
        <v>33</v>
      </c>
      <c r="K180">
        <v>40</v>
      </c>
      <c r="L180">
        <v>43</v>
      </c>
      <c r="M180">
        <v>46</v>
      </c>
      <c r="N180">
        <v>52</v>
      </c>
      <c r="O180">
        <v>62</v>
      </c>
      <c r="P180">
        <v>64</v>
      </c>
      <c r="Q180">
        <v>72</v>
      </c>
      <c r="R180">
        <v>80</v>
      </c>
      <c r="S180">
        <v>99</v>
      </c>
      <c r="T180">
        <v>106</v>
      </c>
      <c r="U180">
        <v>117</v>
      </c>
      <c r="V180">
        <v>124</v>
      </c>
      <c r="W180">
        <v>131</v>
      </c>
      <c r="X180">
        <v>138</v>
      </c>
      <c r="Y180">
        <v>144</v>
      </c>
      <c r="Z180">
        <v>157</v>
      </c>
      <c r="AA180">
        <v>157</v>
      </c>
      <c r="AB180">
        <v>159</v>
      </c>
      <c r="AC180">
        <v>162</v>
      </c>
      <c r="AD180">
        <v>162</v>
      </c>
      <c r="AE180">
        <v>163</v>
      </c>
      <c r="AF180">
        <v>163</v>
      </c>
      <c r="AG180">
        <v>168</v>
      </c>
      <c r="AH180">
        <v>168</v>
      </c>
      <c r="AI180">
        <v>168</v>
      </c>
      <c r="AJ180">
        <v>168</v>
      </c>
      <c r="AK180">
        <v>168</v>
      </c>
      <c r="AL180">
        <v>168</v>
      </c>
      <c r="AM180">
        <v>168</v>
      </c>
      <c r="AN180">
        <v>168</v>
      </c>
      <c r="AO180">
        <v>168</v>
      </c>
      <c r="AP180">
        <v>168</v>
      </c>
      <c r="AQ180">
        <v>168</v>
      </c>
      <c r="AR180">
        <v>168</v>
      </c>
      <c r="AS180">
        <v>168</v>
      </c>
      <c r="AT180">
        <v>168</v>
      </c>
      <c r="AU180">
        <v>168</v>
      </c>
      <c r="AV180">
        <v>168</v>
      </c>
      <c r="AW180">
        <v>168</v>
      </c>
      <c r="AX180">
        <v>168</v>
      </c>
      <c r="AY180">
        <v>168</v>
      </c>
      <c r="AZ180">
        <v>168</v>
      </c>
      <c r="BA180">
        <v>168</v>
      </c>
      <c r="BB180">
        <v>168</v>
      </c>
      <c r="BC180">
        <v>168</v>
      </c>
      <c r="BD180">
        <v>168</v>
      </c>
      <c r="BE180">
        <v>168</v>
      </c>
      <c r="BF180">
        <v>168</v>
      </c>
      <c r="BG180">
        <v>168</v>
      </c>
      <c r="BH180">
        <v>168</v>
      </c>
      <c r="BI180">
        <v>168</v>
      </c>
    </row>
    <row r="181" spans="1:61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1</v>
      </c>
      <c r="F181">
        <v>3</v>
      </c>
      <c r="G181">
        <v>3</v>
      </c>
      <c r="H181">
        <v>4</v>
      </c>
      <c r="I181">
        <v>5</v>
      </c>
      <c r="J181">
        <v>7</v>
      </c>
      <c r="K181">
        <v>9</v>
      </c>
      <c r="L181">
        <v>9</v>
      </c>
      <c r="M181">
        <v>12</v>
      </c>
      <c r="N181">
        <v>29</v>
      </c>
      <c r="O181">
        <v>29</v>
      </c>
      <c r="P181">
        <v>38</v>
      </c>
      <c r="Q181">
        <v>46</v>
      </c>
      <c r="R181">
        <v>58</v>
      </c>
      <c r="S181">
        <v>64</v>
      </c>
      <c r="T181">
        <v>71</v>
      </c>
      <c r="U181">
        <v>81</v>
      </c>
      <c r="V181">
        <v>89</v>
      </c>
      <c r="W181">
        <v>99</v>
      </c>
      <c r="X181">
        <v>109</v>
      </c>
      <c r="Y181">
        <v>127</v>
      </c>
      <c r="Z181">
        <v>133</v>
      </c>
      <c r="AA181">
        <v>135</v>
      </c>
      <c r="AB181">
        <v>140</v>
      </c>
      <c r="AC181">
        <v>143</v>
      </c>
      <c r="AD181">
        <v>144</v>
      </c>
      <c r="AE181">
        <v>146</v>
      </c>
      <c r="AF181">
        <v>146</v>
      </c>
      <c r="AG181">
        <v>146</v>
      </c>
      <c r="AH181">
        <v>146</v>
      </c>
      <c r="AI181">
        <v>146</v>
      </c>
      <c r="AJ181">
        <v>146</v>
      </c>
      <c r="AK181">
        <v>146</v>
      </c>
      <c r="AL181">
        <v>146</v>
      </c>
      <c r="AM181">
        <v>146</v>
      </c>
      <c r="AN181">
        <v>146</v>
      </c>
      <c r="AO181">
        <v>146</v>
      </c>
      <c r="AP181">
        <v>146</v>
      </c>
      <c r="AQ181">
        <v>146</v>
      </c>
      <c r="AR181">
        <v>146</v>
      </c>
      <c r="AS181">
        <v>146</v>
      </c>
      <c r="AT181">
        <v>146</v>
      </c>
      <c r="AU181">
        <v>146</v>
      </c>
      <c r="AV181">
        <v>146</v>
      </c>
      <c r="AW181">
        <v>146</v>
      </c>
      <c r="AX181">
        <v>146</v>
      </c>
      <c r="AY181">
        <v>146</v>
      </c>
      <c r="AZ181">
        <v>146</v>
      </c>
      <c r="BA181">
        <v>146</v>
      </c>
      <c r="BB181">
        <v>146</v>
      </c>
      <c r="BC181">
        <v>146</v>
      </c>
      <c r="BD181">
        <v>146</v>
      </c>
      <c r="BE181">
        <v>146</v>
      </c>
      <c r="BF181">
        <v>146</v>
      </c>
      <c r="BG181">
        <v>146</v>
      </c>
      <c r="BH181">
        <v>147</v>
      </c>
      <c r="BI181">
        <v>146</v>
      </c>
    </row>
    <row r="182" spans="1:61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4</v>
      </c>
      <c r="F182">
        <v>4</v>
      </c>
      <c r="G182">
        <v>8</v>
      </c>
      <c r="H182">
        <v>10</v>
      </c>
      <c r="I182">
        <v>14</v>
      </c>
      <c r="J182">
        <v>23</v>
      </c>
      <c r="K182">
        <v>24</v>
      </c>
      <c r="L182">
        <v>27</v>
      </c>
      <c r="M182">
        <v>31</v>
      </c>
      <c r="N182">
        <v>32</v>
      </c>
      <c r="O182">
        <v>41</v>
      </c>
      <c r="P182">
        <v>48</v>
      </c>
      <c r="Q182">
        <v>60</v>
      </c>
      <c r="R182">
        <v>67</v>
      </c>
      <c r="S182">
        <v>69</v>
      </c>
      <c r="T182">
        <v>79</v>
      </c>
      <c r="U182">
        <v>81</v>
      </c>
      <c r="V182">
        <v>88</v>
      </c>
      <c r="W182">
        <v>91</v>
      </c>
      <c r="X182">
        <v>95</v>
      </c>
      <c r="Y182">
        <v>106</v>
      </c>
      <c r="Z182">
        <v>112</v>
      </c>
      <c r="AA182">
        <v>119</v>
      </c>
      <c r="AB182">
        <v>120</v>
      </c>
      <c r="AC182">
        <v>122</v>
      </c>
      <c r="AD182">
        <v>124</v>
      </c>
      <c r="AE182">
        <v>125</v>
      </c>
      <c r="AF182">
        <v>128</v>
      </c>
      <c r="AG182">
        <v>130</v>
      </c>
      <c r="AH182">
        <v>131</v>
      </c>
      <c r="AI182">
        <v>132</v>
      </c>
      <c r="AJ182">
        <v>135</v>
      </c>
      <c r="AK182">
        <v>135</v>
      </c>
      <c r="AL182">
        <v>135</v>
      </c>
      <c r="AM182">
        <v>135</v>
      </c>
      <c r="AN182">
        <v>135</v>
      </c>
      <c r="AO182">
        <v>136</v>
      </c>
      <c r="AP182">
        <v>136</v>
      </c>
      <c r="AQ182">
        <v>136</v>
      </c>
      <c r="AR182">
        <v>136</v>
      </c>
      <c r="AS182">
        <v>136</v>
      </c>
      <c r="AT182">
        <v>136</v>
      </c>
      <c r="AU182">
        <v>136</v>
      </c>
      <c r="AV182">
        <v>136</v>
      </c>
      <c r="AW182">
        <v>136</v>
      </c>
      <c r="AX182">
        <v>136</v>
      </c>
      <c r="AY182">
        <v>136</v>
      </c>
      <c r="AZ182">
        <v>136</v>
      </c>
      <c r="BA182">
        <v>136</v>
      </c>
      <c r="BB182">
        <v>136</v>
      </c>
      <c r="BC182">
        <v>136</v>
      </c>
      <c r="BD182">
        <v>136</v>
      </c>
      <c r="BE182">
        <v>136</v>
      </c>
      <c r="BF182">
        <v>136</v>
      </c>
      <c r="BG182">
        <v>136</v>
      </c>
      <c r="BH182">
        <v>136</v>
      </c>
      <c r="BI182">
        <v>136</v>
      </c>
    </row>
    <row r="183" spans="1:61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1</v>
      </c>
      <c r="F183">
        <v>1</v>
      </c>
      <c r="G183">
        <v>1</v>
      </c>
      <c r="H183">
        <v>6</v>
      </c>
      <c r="I183">
        <v>9</v>
      </c>
      <c r="J183">
        <v>13</v>
      </c>
      <c r="K183">
        <v>27</v>
      </c>
      <c r="L183">
        <v>27</v>
      </c>
      <c r="M183">
        <v>35</v>
      </c>
      <c r="N183">
        <v>39</v>
      </c>
      <c r="O183">
        <v>47</v>
      </c>
      <c r="P183">
        <v>66</v>
      </c>
      <c r="Q183">
        <v>74</v>
      </c>
      <c r="R183">
        <v>81</v>
      </c>
      <c r="S183">
        <v>81</v>
      </c>
      <c r="T183">
        <v>96</v>
      </c>
      <c r="U183">
        <v>104</v>
      </c>
      <c r="V183">
        <v>115</v>
      </c>
      <c r="W183">
        <v>119</v>
      </c>
      <c r="X183">
        <v>119</v>
      </c>
      <c r="Y183">
        <v>124</v>
      </c>
      <c r="Z183">
        <v>126</v>
      </c>
      <c r="AA183">
        <v>126</v>
      </c>
      <c r="AB183">
        <v>127</v>
      </c>
      <c r="AC183">
        <v>128</v>
      </c>
      <c r="AD183">
        <v>129</v>
      </c>
      <c r="AE183">
        <v>130</v>
      </c>
      <c r="AF183">
        <v>131</v>
      </c>
      <c r="AG183">
        <v>131</v>
      </c>
      <c r="AH183">
        <v>132</v>
      </c>
      <c r="AI183">
        <v>132</v>
      </c>
      <c r="AJ183">
        <v>132</v>
      </c>
      <c r="AK183">
        <v>132</v>
      </c>
      <c r="AL183">
        <v>133</v>
      </c>
      <c r="AM183">
        <v>133</v>
      </c>
      <c r="AN183">
        <v>133</v>
      </c>
      <c r="AO183">
        <v>133</v>
      </c>
      <c r="AP183">
        <v>133</v>
      </c>
      <c r="AQ183">
        <v>133</v>
      </c>
      <c r="AR183">
        <v>133</v>
      </c>
      <c r="AS183">
        <v>133</v>
      </c>
      <c r="AT183">
        <v>133</v>
      </c>
      <c r="AU183">
        <v>133</v>
      </c>
      <c r="AV183">
        <v>133</v>
      </c>
      <c r="AW183">
        <v>133</v>
      </c>
      <c r="AX183">
        <v>133</v>
      </c>
      <c r="AY183">
        <v>133</v>
      </c>
      <c r="AZ183">
        <v>133</v>
      </c>
      <c r="BA183">
        <v>133</v>
      </c>
      <c r="BB183">
        <v>133</v>
      </c>
      <c r="BC183">
        <v>133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</row>
    <row r="184" spans="1:61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2</v>
      </c>
      <c r="G184">
        <v>2</v>
      </c>
      <c r="H184">
        <v>4</v>
      </c>
      <c r="I184">
        <v>7</v>
      </c>
      <c r="J184">
        <v>14</v>
      </c>
      <c r="K184">
        <v>19</v>
      </c>
      <c r="L184">
        <v>24</v>
      </c>
      <c r="M184">
        <v>26</v>
      </c>
      <c r="N184">
        <v>29</v>
      </c>
      <c r="O184">
        <v>40</v>
      </c>
      <c r="P184">
        <v>51</v>
      </c>
      <c r="Q184">
        <v>55</v>
      </c>
      <c r="R184">
        <v>57</v>
      </c>
      <c r="S184">
        <v>62</v>
      </c>
      <c r="T184">
        <v>62</v>
      </c>
      <c r="U184">
        <v>67</v>
      </c>
      <c r="V184">
        <v>79</v>
      </c>
      <c r="W184">
        <v>83</v>
      </c>
      <c r="X184">
        <v>83</v>
      </c>
      <c r="Y184">
        <v>86</v>
      </c>
      <c r="Z184">
        <v>87</v>
      </c>
      <c r="AA184">
        <v>90</v>
      </c>
      <c r="AB184">
        <v>90</v>
      </c>
      <c r="AC184">
        <v>90</v>
      </c>
      <c r="AD184">
        <v>90</v>
      </c>
      <c r="AE184">
        <v>91</v>
      </c>
      <c r="AF184">
        <v>91</v>
      </c>
      <c r="AG184">
        <v>91</v>
      </c>
      <c r="AH184">
        <v>91</v>
      </c>
      <c r="AI184">
        <v>91</v>
      </c>
      <c r="AJ184">
        <v>91</v>
      </c>
      <c r="AK184">
        <v>91</v>
      </c>
      <c r="AL184">
        <v>91</v>
      </c>
      <c r="AM184">
        <v>91</v>
      </c>
      <c r="AN184">
        <v>91</v>
      </c>
      <c r="AO184">
        <v>91</v>
      </c>
      <c r="AP184">
        <v>91</v>
      </c>
      <c r="AQ184">
        <v>91</v>
      </c>
      <c r="AR184">
        <v>91</v>
      </c>
      <c r="AS184">
        <v>91</v>
      </c>
      <c r="AT184">
        <v>91</v>
      </c>
      <c r="AU184">
        <v>91</v>
      </c>
      <c r="AV184">
        <v>102</v>
      </c>
      <c r="AW184">
        <v>119</v>
      </c>
      <c r="AX184">
        <v>120</v>
      </c>
      <c r="AY184">
        <v>124</v>
      </c>
      <c r="AZ184">
        <v>124</v>
      </c>
      <c r="BA184">
        <v>125</v>
      </c>
      <c r="BB184">
        <v>127</v>
      </c>
      <c r="BC184">
        <v>127</v>
      </c>
      <c r="BD184">
        <v>127</v>
      </c>
      <c r="BE184">
        <v>129</v>
      </c>
      <c r="BF184">
        <v>133</v>
      </c>
      <c r="BG184">
        <v>133</v>
      </c>
      <c r="BH184">
        <v>133</v>
      </c>
      <c r="BI184">
        <v>133</v>
      </c>
    </row>
    <row r="185" spans="1:61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2</v>
      </c>
      <c r="G185">
        <v>2</v>
      </c>
      <c r="H185">
        <v>5</v>
      </c>
      <c r="I185">
        <v>8</v>
      </c>
      <c r="J185">
        <v>8</v>
      </c>
      <c r="K185">
        <v>8</v>
      </c>
      <c r="L185">
        <v>10</v>
      </c>
      <c r="M185">
        <v>10</v>
      </c>
      <c r="N185">
        <v>12</v>
      </c>
      <c r="O185">
        <v>13</v>
      </c>
      <c r="P185">
        <v>15</v>
      </c>
      <c r="Q185">
        <v>15</v>
      </c>
      <c r="R185">
        <v>17</v>
      </c>
      <c r="S185">
        <v>21</v>
      </c>
      <c r="T185">
        <v>24</v>
      </c>
      <c r="U185">
        <v>25</v>
      </c>
      <c r="V185">
        <v>26</v>
      </c>
      <c r="W185">
        <v>29</v>
      </c>
      <c r="X185">
        <v>38</v>
      </c>
      <c r="Y185">
        <v>49</v>
      </c>
      <c r="Z185">
        <v>50</v>
      </c>
      <c r="AA185">
        <v>53</v>
      </c>
      <c r="AB185">
        <v>56</v>
      </c>
      <c r="AC185">
        <v>56</v>
      </c>
      <c r="AD185">
        <v>57</v>
      </c>
      <c r="AE185">
        <v>60</v>
      </c>
      <c r="AF185">
        <v>62</v>
      </c>
      <c r="AG185">
        <v>63</v>
      </c>
      <c r="AH185">
        <v>68</v>
      </c>
      <c r="AI185">
        <v>68</v>
      </c>
      <c r="AJ185">
        <v>69</v>
      </c>
      <c r="AK185">
        <v>74</v>
      </c>
      <c r="AL185">
        <v>79</v>
      </c>
      <c r="AM185">
        <v>84</v>
      </c>
      <c r="AN185">
        <v>91</v>
      </c>
      <c r="AO185">
        <v>92</v>
      </c>
      <c r="AP185">
        <v>94</v>
      </c>
      <c r="AQ185">
        <v>95</v>
      </c>
      <c r="AR185">
        <v>96</v>
      </c>
      <c r="AS185">
        <v>100</v>
      </c>
      <c r="AT185">
        <v>100</v>
      </c>
      <c r="AU185">
        <v>105</v>
      </c>
      <c r="AV185">
        <v>105</v>
      </c>
      <c r="AW185">
        <v>107</v>
      </c>
      <c r="AX185">
        <v>108</v>
      </c>
      <c r="AY185">
        <v>114</v>
      </c>
      <c r="AZ185">
        <v>115</v>
      </c>
      <c r="BA185">
        <v>120</v>
      </c>
      <c r="BB185">
        <v>126</v>
      </c>
      <c r="BC185">
        <v>129</v>
      </c>
      <c r="BD185">
        <v>134</v>
      </c>
      <c r="BE185">
        <v>140</v>
      </c>
      <c r="BF185">
        <v>145</v>
      </c>
      <c r="BG185">
        <v>155</v>
      </c>
      <c r="BH185">
        <v>162</v>
      </c>
      <c r="BI185">
        <v>181</v>
      </c>
    </row>
    <row r="186" spans="1:61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2</v>
      </c>
      <c r="F186">
        <v>3</v>
      </c>
      <c r="G186">
        <v>4</v>
      </c>
      <c r="H186">
        <v>17</v>
      </c>
      <c r="I186">
        <v>21</v>
      </c>
      <c r="J186">
        <v>27</v>
      </c>
      <c r="K186">
        <v>34</v>
      </c>
      <c r="L186">
        <v>39</v>
      </c>
      <c r="M186">
        <v>41</v>
      </c>
      <c r="N186">
        <v>48</v>
      </c>
      <c r="O186">
        <v>64</v>
      </c>
      <c r="P186">
        <v>70</v>
      </c>
      <c r="Q186">
        <v>74</v>
      </c>
      <c r="R186">
        <v>81</v>
      </c>
      <c r="S186">
        <v>89</v>
      </c>
      <c r="T186">
        <v>94</v>
      </c>
      <c r="U186">
        <v>99</v>
      </c>
      <c r="V186">
        <v>105</v>
      </c>
      <c r="W186">
        <v>107</v>
      </c>
      <c r="X186">
        <v>108</v>
      </c>
      <c r="Y186">
        <v>111</v>
      </c>
      <c r="Z186">
        <v>116</v>
      </c>
      <c r="AA186">
        <v>117</v>
      </c>
      <c r="AB186">
        <v>119</v>
      </c>
      <c r="AC186">
        <v>119</v>
      </c>
      <c r="AD186">
        <v>121</v>
      </c>
      <c r="AE186">
        <v>121</v>
      </c>
      <c r="AF186">
        <v>121</v>
      </c>
      <c r="AG186">
        <v>121</v>
      </c>
      <c r="AH186">
        <v>121</v>
      </c>
      <c r="AI186">
        <v>121</v>
      </c>
      <c r="AJ186">
        <v>121</v>
      </c>
      <c r="AK186">
        <v>121</v>
      </c>
      <c r="AL186">
        <v>121</v>
      </c>
      <c r="AM186">
        <v>121</v>
      </c>
      <c r="AN186">
        <v>121</v>
      </c>
      <c r="AO186">
        <v>121</v>
      </c>
      <c r="AP186">
        <v>121</v>
      </c>
      <c r="AQ186">
        <v>121</v>
      </c>
      <c r="AR186">
        <v>122</v>
      </c>
      <c r="AS186">
        <v>122</v>
      </c>
      <c r="AT186">
        <v>125</v>
      </c>
      <c r="AU186">
        <v>125</v>
      </c>
      <c r="AV186">
        <v>125</v>
      </c>
      <c r="AW186">
        <v>125</v>
      </c>
      <c r="AX186">
        <v>125</v>
      </c>
      <c r="AY186">
        <v>125</v>
      </c>
      <c r="AZ186">
        <v>125</v>
      </c>
      <c r="BA186">
        <v>125</v>
      </c>
      <c r="BB186">
        <v>125</v>
      </c>
      <c r="BC186">
        <v>125</v>
      </c>
      <c r="BD186">
        <v>125</v>
      </c>
      <c r="BE186">
        <v>125</v>
      </c>
      <c r="BF186">
        <v>125</v>
      </c>
      <c r="BG186">
        <v>125</v>
      </c>
      <c r="BH186">
        <v>125</v>
      </c>
      <c r="BI186">
        <v>125</v>
      </c>
    </row>
    <row r="187" spans="1:61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1</v>
      </c>
      <c r="G187">
        <v>3</v>
      </c>
      <c r="H187">
        <v>4</v>
      </c>
      <c r="I187">
        <v>4</v>
      </c>
      <c r="J187">
        <v>6</v>
      </c>
      <c r="K187">
        <v>8</v>
      </c>
      <c r="L187">
        <v>9</v>
      </c>
      <c r="M187">
        <v>14</v>
      </c>
      <c r="N187">
        <v>14</v>
      </c>
      <c r="O187">
        <v>17</v>
      </c>
      <c r="P187">
        <v>23</v>
      </c>
      <c r="Q187">
        <v>31</v>
      </c>
      <c r="R187">
        <v>42</v>
      </c>
      <c r="S187">
        <v>54</v>
      </c>
      <c r="T187">
        <v>59</v>
      </c>
      <c r="U187">
        <v>65</v>
      </c>
      <c r="V187">
        <v>69</v>
      </c>
      <c r="W187">
        <v>78</v>
      </c>
      <c r="X187">
        <v>80</v>
      </c>
      <c r="Y187">
        <v>81</v>
      </c>
      <c r="Z187">
        <v>83</v>
      </c>
      <c r="AA187">
        <v>84</v>
      </c>
      <c r="AB187">
        <v>86</v>
      </c>
      <c r="AC187">
        <v>88</v>
      </c>
      <c r="AD187">
        <v>89</v>
      </c>
      <c r="AE187">
        <v>89</v>
      </c>
      <c r="AF187">
        <v>89</v>
      </c>
      <c r="AG187">
        <v>90</v>
      </c>
      <c r="AH187">
        <v>91</v>
      </c>
      <c r="AI187">
        <v>91</v>
      </c>
      <c r="AJ187">
        <v>91</v>
      </c>
      <c r="AK187">
        <v>91</v>
      </c>
      <c r="AL187">
        <v>93</v>
      </c>
      <c r="AM187">
        <v>93</v>
      </c>
      <c r="AN187">
        <v>93</v>
      </c>
      <c r="AO187">
        <v>93</v>
      </c>
      <c r="AP187">
        <v>93</v>
      </c>
      <c r="AQ187">
        <v>93</v>
      </c>
      <c r="AR187">
        <v>93</v>
      </c>
      <c r="AS187">
        <v>93</v>
      </c>
      <c r="AT187">
        <v>93</v>
      </c>
      <c r="AU187">
        <v>93</v>
      </c>
      <c r="AV187">
        <v>93</v>
      </c>
      <c r="AW187">
        <v>93</v>
      </c>
      <c r="AX187">
        <v>93</v>
      </c>
      <c r="AY187">
        <v>93</v>
      </c>
      <c r="AZ187">
        <v>93</v>
      </c>
      <c r="BA187">
        <v>93</v>
      </c>
      <c r="BB187">
        <v>93</v>
      </c>
      <c r="BC187">
        <v>93</v>
      </c>
      <c r="BD187">
        <v>93</v>
      </c>
      <c r="BE187">
        <v>93</v>
      </c>
      <c r="BF187">
        <v>93</v>
      </c>
      <c r="BG187">
        <v>93</v>
      </c>
      <c r="BH187">
        <v>93</v>
      </c>
      <c r="BI187">
        <v>93</v>
      </c>
    </row>
    <row r="188" spans="1:61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3</v>
      </c>
      <c r="AS188">
        <v>3</v>
      </c>
      <c r="AT188">
        <v>5</v>
      </c>
      <c r="AU188">
        <v>8</v>
      </c>
      <c r="AV188">
        <v>12</v>
      </c>
      <c r="AW188">
        <v>18</v>
      </c>
      <c r="AX188">
        <v>19</v>
      </c>
      <c r="AY188">
        <v>31</v>
      </c>
      <c r="AZ188">
        <v>31</v>
      </c>
      <c r="BA188">
        <v>41</v>
      </c>
      <c r="BB188">
        <v>91</v>
      </c>
      <c r="BC188">
        <v>94</v>
      </c>
      <c r="BD188">
        <v>141</v>
      </c>
      <c r="BE188">
        <v>189</v>
      </c>
      <c r="BF188">
        <v>253</v>
      </c>
      <c r="BG188">
        <v>298</v>
      </c>
      <c r="BH188">
        <v>396</v>
      </c>
      <c r="BI188">
        <v>464</v>
      </c>
    </row>
    <row r="189" spans="1:61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2</v>
      </c>
      <c r="G189">
        <v>2</v>
      </c>
      <c r="H189">
        <v>3</v>
      </c>
      <c r="I189">
        <v>4</v>
      </c>
      <c r="J189">
        <v>5</v>
      </c>
      <c r="K189">
        <v>10</v>
      </c>
      <c r="L189">
        <v>13</v>
      </c>
      <c r="M189">
        <v>14</v>
      </c>
      <c r="N189">
        <v>17</v>
      </c>
      <c r="O189">
        <v>18</v>
      </c>
      <c r="P189">
        <v>21</v>
      </c>
      <c r="Q189">
        <v>24</v>
      </c>
      <c r="R189">
        <v>29</v>
      </c>
      <c r="S189">
        <v>32</v>
      </c>
      <c r="T189">
        <v>36</v>
      </c>
      <c r="U189">
        <v>39</v>
      </c>
      <c r="V189">
        <v>42</v>
      </c>
      <c r="W189">
        <v>45</v>
      </c>
      <c r="X189">
        <v>49</v>
      </c>
      <c r="Y189">
        <v>55</v>
      </c>
      <c r="Z189">
        <v>59</v>
      </c>
      <c r="AA189">
        <v>63</v>
      </c>
      <c r="AB189">
        <v>65</v>
      </c>
      <c r="AC189">
        <v>70</v>
      </c>
      <c r="AD189">
        <v>71</v>
      </c>
      <c r="AE189">
        <v>75</v>
      </c>
      <c r="AF189">
        <v>76</v>
      </c>
      <c r="AG189">
        <v>76</v>
      </c>
      <c r="AH189">
        <v>76</v>
      </c>
      <c r="AI189">
        <v>76</v>
      </c>
      <c r="AJ189">
        <v>76</v>
      </c>
      <c r="AK189">
        <v>76</v>
      </c>
      <c r="AL189">
        <v>76</v>
      </c>
      <c r="AM189">
        <v>76</v>
      </c>
      <c r="AN189">
        <v>76</v>
      </c>
      <c r="AO189">
        <v>76</v>
      </c>
      <c r="AP189">
        <v>76</v>
      </c>
      <c r="AQ189">
        <v>76</v>
      </c>
      <c r="AR189">
        <v>76</v>
      </c>
      <c r="AS189">
        <v>76</v>
      </c>
      <c r="AT189">
        <v>76</v>
      </c>
      <c r="AU189">
        <v>76</v>
      </c>
      <c r="AV189">
        <v>76</v>
      </c>
      <c r="AW189">
        <v>76</v>
      </c>
      <c r="AX189">
        <v>76</v>
      </c>
      <c r="AY189">
        <v>76</v>
      </c>
      <c r="AZ189">
        <v>76</v>
      </c>
      <c r="BA189">
        <v>76</v>
      </c>
      <c r="BB189">
        <v>76</v>
      </c>
      <c r="BC189">
        <v>76</v>
      </c>
      <c r="BD189">
        <v>76</v>
      </c>
      <c r="BE189">
        <v>76</v>
      </c>
      <c r="BF189">
        <v>76</v>
      </c>
      <c r="BG189">
        <v>76</v>
      </c>
      <c r="BH189">
        <v>76</v>
      </c>
      <c r="BI189">
        <v>76</v>
      </c>
    </row>
    <row r="190" spans="1:61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1</v>
      </c>
      <c r="H190">
        <v>7</v>
      </c>
      <c r="I190">
        <v>7</v>
      </c>
      <c r="J190">
        <v>11</v>
      </c>
      <c r="K190">
        <v>15</v>
      </c>
      <c r="L190">
        <v>16</v>
      </c>
      <c r="M190">
        <v>19</v>
      </c>
      <c r="N190">
        <v>20</v>
      </c>
      <c r="O190">
        <v>23</v>
      </c>
      <c r="P190">
        <v>27</v>
      </c>
      <c r="Q190">
        <v>34</v>
      </c>
      <c r="R190">
        <v>35</v>
      </c>
      <c r="S190">
        <v>42</v>
      </c>
      <c r="T190">
        <v>46</v>
      </c>
      <c r="U190">
        <v>50</v>
      </c>
      <c r="V190">
        <v>52</v>
      </c>
      <c r="W190">
        <v>54</v>
      </c>
      <c r="X190">
        <v>58</v>
      </c>
      <c r="Y190">
        <v>58</v>
      </c>
      <c r="Z190">
        <v>60</v>
      </c>
      <c r="AA190">
        <v>61</v>
      </c>
      <c r="AB190">
        <v>65</v>
      </c>
      <c r="AC190">
        <v>68</v>
      </c>
      <c r="AD190">
        <v>70</v>
      </c>
      <c r="AE190">
        <v>72</v>
      </c>
      <c r="AF190">
        <v>73</v>
      </c>
      <c r="AG190">
        <v>75</v>
      </c>
      <c r="AH190">
        <v>75</v>
      </c>
      <c r="AI190">
        <v>75</v>
      </c>
      <c r="AJ190">
        <v>75</v>
      </c>
      <c r="AK190">
        <v>75</v>
      </c>
      <c r="AL190">
        <v>75</v>
      </c>
      <c r="AM190">
        <v>75</v>
      </c>
      <c r="AN190">
        <v>75</v>
      </c>
      <c r="AO190">
        <v>75</v>
      </c>
      <c r="AP190">
        <v>75</v>
      </c>
      <c r="AQ190">
        <v>75</v>
      </c>
      <c r="AR190">
        <v>75</v>
      </c>
      <c r="AS190">
        <v>75</v>
      </c>
      <c r="AT190">
        <v>75</v>
      </c>
      <c r="AU190">
        <v>75</v>
      </c>
      <c r="AV190">
        <v>75</v>
      </c>
      <c r="AW190">
        <v>75</v>
      </c>
      <c r="AX190">
        <v>75</v>
      </c>
      <c r="AY190">
        <v>75</v>
      </c>
      <c r="AZ190">
        <v>75</v>
      </c>
      <c r="BA190">
        <v>75</v>
      </c>
      <c r="BB190">
        <v>75</v>
      </c>
      <c r="BC190">
        <v>75</v>
      </c>
      <c r="BD190">
        <v>75</v>
      </c>
      <c r="BE190">
        <v>75</v>
      </c>
      <c r="BF190">
        <v>75</v>
      </c>
      <c r="BG190">
        <v>75</v>
      </c>
      <c r="BH190">
        <v>75</v>
      </c>
      <c r="BI190">
        <v>75</v>
      </c>
    </row>
    <row r="191" spans="1:61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1</v>
      </c>
      <c r="F191">
        <v>1</v>
      </c>
      <c r="G191">
        <v>2</v>
      </c>
      <c r="H191">
        <v>3</v>
      </c>
      <c r="I191">
        <v>4</v>
      </c>
      <c r="J191">
        <v>7</v>
      </c>
      <c r="K191">
        <v>11</v>
      </c>
      <c r="L191">
        <v>12</v>
      </c>
      <c r="M191">
        <v>17</v>
      </c>
      <c r="N191">
        <v>21</v>
      </c>
      <c r="O191">
        <v>26</v>
      </c>
      <c r="P191">
        <v>28</v>
      </c>
      <c r="Q191">
        <v>31</v>
      </c>
      <c r="R191">
        <v>34</v>
      </c>
      <c r="S191">
        <v>34</v>
      </c>
      <c r="T191">
        <v>40</v>
      </c>
      <c r="U191">
        <v>43</v>
      </c>
      <c r="V191">
        <v>45</v>
      </c>
      <c r="W191">
        <v>45</v>
      </c>
      <c r="X191">
        <v>49</v>
      </c>
      <c r="Y191">
        <v>53</v>
      </c>
      <c r="Z191">
        <v>58</v>
      </c>
      <c r="AA191">
        <v>64</v>
      </c>
      <c r="AB191">
        <v>67</v>
      </c>
      <c r="AC191">
        <v>70</v>
      </c>
      <c r="AD191">
        <v>70</v>
      </c>
      <c r="AE191">
        <v>70</v>
      </c>
      <c r="AF191">
        <v>70</v>
      </c>
      <c r="AG191">
        <v>71</v>
      </c>
      <c r="AH191">
        <v>71</v>
      </c>
      <c r="AI191">
        <v>71</v>
      </c>
      <c r="AJ191">
        <v>71</v>
      </c>
      <c r="AK191">
        <v>71</v>
      </c>
      <c r="AL191">
        <v>71</v>
      </c>
      <c r="AM191">
        <v>71</v>
      </c>
      <c r="AN191">
        <v>71</v>
      </c>
      <c r="AO191">
        <v>72</v>
      </c>
      <c r="AP191">
        <v>72</v>
      </c>
      <c r="AQ191">
        <v>73</v>
      </c>
      <c r="AR191">
        <v>73</v>
      </c>
      <c r="AS191">
        <v>74</v>
      </c>
      <c r="AT191">
        <v>74</v>
      </c>
      <c r="AU191">
        <v>75</v>
      </c>
      <c r="AV191">
        <v>75</v>
      </c>
      <c r="AW191">
        <v>75</v>
      </c>
      <c r="AX191">
        <v>75</v>
      </c>
      <c r="AY191">
        <v>75</v>
      </c>
      <c r="AZ191">
        <v>75</v>
      </c>
      <c r="BA191">
        <v>75</v>
      </c>
      <c r="BB191">
        <v>75</v>
      </c>
      <c r="BC191">
        <v>75</v>
      </c>
      <c r="BD191">
        <v>75</v>
      </c>
      <c r="BE191">
        <v>75</v>
      </c>
      <c r="BF191">
        <v>75</v>
      </c>
      <c r="BG191">
        <v>75</v>
      </c>
      <c r="BH191">
        <v>75</v>
      </c>
      <c r="BI191">
        <v>75</v>
      </c>
    </row>
    <row r="192" spans="1:61" x14ac:dyDescent="0.3">
      <c r="B192" t="s">
        <v>342</v>
      </c>
      <c r="C192">
        <v>23.7</v>
      </c>
      <c r="D192">
        <v>121</v>
      </c>
      <c r="E192">
        <v>1</v>
      </c>
      <c r="F192">
        <v>1</v>
      </c>
      <c r="G192">
        <v>3</v>
      </c>
      <c r="H192">
        <v>3</v>
      </c>
      <c r="I192">
        <v>4</v>
      </c>
      <c r="J192">
        <v>5</v>
      </c>
      <c r="K192">
        <v>8</v>
      </c>
      <c r="L192">
        <v>8</v>
      </c>
      <c r="M192">
        <v>9</v>
      </c>
      <c r="N192">
        <v>10</v>
      </c>
      <c r="O192">
        <v>10</v>
      </c>
      <c r="P192">
        <v>10</v>
      </c>
      <c r="Q192">
        <v>10</v>
      </c>
      <c r="R192">
        <v>11</v>
      </c>
      <c r="S192">
        <v>11</v>
      </c>
      <c r="T192">
        <v>16</v>
      </c>
      <c r="U192">
        <v>16</v>
      </c>
      <c r="V192">
        <v>17</v>
      </c>
      <c r="W192">
        <v>18</v>
      </c>
      <c r="X192">
        <v>18</v>
      </c>
      <c r="Y192">
        <v>18</v>
      </c>
      <c r="Z192">
        <v>18</v>
      </c>
      <c r="AA192">
        <v>18</v>
      </c>
      <c r="AB192">
        <v>18</v>
      </c>
      <c r="AC192">
        <v>18</v>
      </c>
      <c r="AD192">
        <v>20</v>
      </c>
      <c r="AE192">
        <v>22</v>
      </c>
      <c r="AF192">
        <v>22</v>
      </c>
      <c r="AG192">
        <v>23</v>
      </c>
      <c r="AH192">
        <v>24</v>
      </c>
      <c r="AI192">
        <v>26</v>
      </c>
      <c r="AJ192">
        <v>26</v>
      </c>
      <c r="AK192">
        <v>28</v>
      </c>
      <c r="AL192">
        <v>30</v>
      </c>
      <c r="AM192">
        <v>31</v>
      </c>
      <c r="AN192">
        <v>32</v>
      </c>
      <c r="AO192">
        <v>32</v>
      </c>
      <c r="AP192">
        <v>34</v>
      </c>
      <c r="AQ192">
        <v>39</v>
      </c>
      <c r="AR192">
        <v>40</v>
      </c>
      <c r="AS192">
        <v>41</v>
      </c>
      <c r="AT192">
        <v>42</v>
      </c>
      <c r="AU192">
        <v>42</v>
      </c>
      <c r="AV192">
        <v>44</v>
      </c>
      <c r="AW192">
        <v>45</v>
      </c>
      <c r="AX192">
        <v>45</v>
      </c>
      <c r="AY192">
        <v>45</v>
      </c>
      <c r="AZ192">
        <v>45</v>
      </c>
      <c r="BA192">
        <v>47</v>
      </c>
      <c r="BB192">
        <v>48</v>
      </c>
      <c r="BC192">
        <v>49</v>
      </c>
      <c r="BD192">
        <v>50</v>
      </c>
      <c r="BE192">
        <v>53</v>
      </c>
      <c r="BF192">
        <v>59</v>
      </c>
      <c r="BG192">
        <v>67</v>
      </c>
      <c r="BH192">
        <v>77</v>
      </c>
      <c r="BI192">
        <v>100</v>
      </c>
    </row>
    <row r="193" spans="1:61" x14ac:dyDescent="0.3">
      <c r="B193" t="s">
        <v>343</v>
      </c>
      <c r="C193">
        <v>16</v>
      </c>
      <c r="D193">
        <v>108</v>
      </c>
      <c r="E193">
        <v>0</v>
      </c>
      <c r="F193">
        <v>2</v>
      </c>
      <c r="G193">
        <v>2</v>
      </c>
      <c r="H193">
        <v>2</v>
      </c>
      <c r="I193">
        <v>2</v>
      </c>
      <c r="J193">
        <v>2</v>
      </c>
      <c r="K193">
        <v>2</v>
      </c>
      <c r="L193">
        <v>2</v>
      </c>
      <c r="M193">
        <v>2</v>
      </c>
      <c r="N193">
        <v>2</v>
      </c>
      <c r="O193">
        <v>6</v>
      </c>
      <c r="P193">
        <v>6</v>
      </c>
      <c r="Q193">
        <v>8</v>
      </c>
      <c r="R193">
        <v>8</v>
      </c>
      <c r="S193">
        <v>8</v>
      </c>
      <c r="T193">
        <v>10</v>
      </c>
      <c r="U193">
        <v>10</v>
      </c>
      <c r="V193">
        <v>13</v>
      </c>
      <c r="W193">
        <v>13</v>
      </c>
      <c r="X193">
        <v>14</v>
      </c>
      <c r="Y193">
        <v>15</v>
      </c>
      <c r="Z193">
        <v>15</v>
      </c>
      <c r="AA193">
        <v>16</v>
      </c>
      <c r="AB193">
        <v>16</v>
      </c>
      <c r="AC193">
        <v>16</v>
      </c>
      <c r="AD193">
        <v>16</v>
      </c>
      <c r="AE193">
        <v>16</v>
      </c>
      <c r="AF193">
        <v>16</v>
      </c>
      <c r="AG193">
        <v>16</v>
      </c>
      <c r="AH193">
        <v>16</v>
      </c>
      <c r="AI193">
        <v>16</v>
      </c>
      <c r="AJ193">
        <v>16</v>
      </c>
      <c r="AK193">
        <v>16</v>
      </c>
      <c r="AL193">
        <v>16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18</v>
      </c>
      <c r="AY193">
        <v>30</v>
      </c>
      <c r="AZ193">
        <v>30</v>
      </c>
      <c r="BA193">
        <v>31</v>
      </c>
      <c r="BB193">
        <v>38</v>
      </c>
      <c r="BC193">
        <v>39</v>
      </c>
      <c r="BD193">
        <v>47</v>
      </c>
      <c r="BE193">
        <v>53</v>
      </c>
      <c r="BF193">
        <v>56</v>
      </c>
      <c r="BG193">
        <v>61</v>
      </c>
      <c r="BH193">
        <v>66</v>
      </c>
      <c r="BI193">
        <v>75</v>
      </c>
    </row>
    <row r="194" spans="1:61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2</v>
      </c>
      <c r="O194">
        <v>2</v>
      </c>
      <c r="P194">
        <v>2</v>
      </c>
      <c r="Q194">
        <v>2</v>
      </c>
      <c r="R194">
        <v>2</v>
      </c>
      <c r="S194">
        <v>2</v>
      </c>
      <c r="T194">
        <v>2</v>
      </c>
      <c r="U194">
        <v>2</v>
      </c>
      <c r="V194">
        <v>2</v>
      </c>
      <c r="W194">
        <v>2</v>
      </c>
      <c r="X194">
        <v>2</v>
      </c>
      <c r="Y194">
        <v>2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3</v>
      </c>
      <c r="AT194">
        <v>3</v>
      </c>
      <c r="AU194">
        <v>3</v>
      </c>
      <c r="AV194">
        <v>4</v>
      </c>
      <c r="AW194">
        <v>13</v>
      </c>
      <c r="AX194">
        <v>13</v>
      </c>
      <c r="AY194">
        <v>17</v>
      </c>
      <c r="AZ194">
        <v>17</v>
      </c>
      <c r="BA194">
        <v>20</v>
      </c>
      <c r="BB194">
        <v>20</v>
      </c>
      <c r="BC194">
        <v>28</v>
      </c>
      <c r="BD194">
        <v>45</v>
      </c>
      <c r="BE194">
        <v>59</v>
      </c>
      <c r="BF194">
        <v>63</v>
      </c>
      <c r="BG194">
        <v>90</v>
      </c>
      <c r="BH194">
        <v>114</v>
      </c>
      <c r="BI194">
        <v>147</v>
      </c>
    </row>
    <row r="195" spans="1:61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1</v>
      </c>
      <c r="I195">
        <v>1</v>
      </c>
      <c r="J195">
        <v>6</v>
      </c>
      <c r="K195">
        <v>6</v>
      </c>
      <c r="L195">
        <v>6</v>
      </c>
      <c r="M195">
        <v>8</v>
      </c>
      <c r="N195">
        <v>8</v>
      </c>
      <c r="O195">
        <v>9</v>
      </c>
      <c r="P195">
        <v>11</v>
      </c>
      <c r="Q195">
        <v>13</v>
      </c>
      <c r="R195">
        <v>15</v>
      </c>
      <c r="S195">
        <v>17</v>
      </c>
      <c r="T195">
        <v>18</v>
      </c>
      <c r="U195">
        <v>18</v>
      </c>
      <c r="V195">
        <v>18</v>
      </c>
      <c r="W195">
        <v>18</v>
      </c>
      <c r="X195">
        <v>18</v>
      </c>
      <c r="Y195">
        <v>18</v>
      </c>
      <c r="Z195">
        <v>18</v>
      </c>
      <c r="AA195">
        <v>18</v>
      </c>
      <c r="AB195">
        <v>18</v>
      </c>
      <c r="AC195">
        <v>18</v>
      </c>
      <c r="AD195">
        <v>18</v>
      </c>
      <c r="AE195">
        <v>18</v>
      </c>
      <c r="AF195">
        <v>18</v>
      </c>
      <c r="AG195">
        <v>18</v>
      </c>
      <c r="AH195">
        <v>18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</row>
    <row r="196" spans="1:61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1</v>
      </c>
      <c r="F196">
        <v>2</v>
      </c>
      <c r="G196">
        <v>2</v>
      </c>
      <c r="H196">
        <v>2</v>
      </c>
      <c r="I196">
        <v>5</v>
      </c>
      <c r="J196">
        <v>6</v>
      </c>
      <c r="K196">
        <v>7</v>
      </c>
      <c r="L196">
        <v>7</v>
      </c>
      <c r="M196">
        <v>7</v>
      </c>
      <c r="N196">
        <v>7</v>
      </c>
      <c r="O196">
        <v>7</v>
      </c>
      <c r="P196">
        <v>8</v>
      </c>
      <c r="Q196">
        <v>8</v>
      </c>
      <c r="R196">
        <v>10</v>
      </c>
      <c r="S196">
        <v>10</v>
      </c>
      <c r="T196">
        <v>10</v>
      </c>
      <c r="U196">
        <v>10</v>
      </c>
      <c r="V196">
        <v>10</v>
      </c>
      <c r="W196">
        <v>10</v>
      </c>
      <c r="X196">
        <v>10</v>
      </c>
      <c r="Y196">
        <v>10</v>
      </c>
      <c r="Z196">
        <v>10</v>
      </c>
      <c r="AA196">
        <v>10</v>
      </c>
      <c r="AB196">
        <v>10</v>
      </c>
      <c r="AC196">
        <v>10</v>
      </c>
      <c r="AD196">
        <v>10</v>
      </c>
      <c r="AE196">
        <v>10</v>
      </c>
      <c r="AF196">
        <v>10</v>
      </c>
      <c r="AG196">
        <v>10</v>
      </c>
      <c r="AH196">
        <v>10</v>
      </c>
      <c r="AI196">
        <v>10</v>
      </c>
      <c r="AJ196">
        <v>10</v>
      </c>
      <c r="AK196">
        <v>10</v>
      </c>
      <c r="AL196">
        <v>10</v>
      </c>
      <c r="AM196">
        <v>10</v>
      </c>
      <c r="AN196">
        <v>10</v>
      </c>
      <c r="AO196">
        <v>10</v>
      </c>
      <c r="AP196">
        <v>10</v>
      </c>
      <c r="AQ196">
        <v>10</v>
      </c>
      <c r="AR196">
        <v>10</v>
      </c>
      <c r="AS196">
        <v>10</v>
      </c>
      <c r="AT196">
        <v>10</v>
      </c>
      <c r="AU196">
        <v>10</v>
      </c>
      <c r="AV196">
        <v>10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11</v>
      </c>
      <c r="BH196">
        <v>12</v>
      </c>
      <c r="BI196">
        <v>15</v>
      </c>
    </row>
    <row r="197" spans="1:61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1</v>
      </c>
      <c r="AZ197">
        <v>1</v>
      </c>
      <c r="BA197">
        <v>3</v>
      </c>
      <c r="BB197">
        <v>3</v>
      </c>
      <c r="BC197">
        <v>3</v>
      </c>
      <c r="BD197">
        <v>6</v>
      </c>
      <c r="BE197">
        <v>12</v>
      </c>
      <c r="BF197">
        <v>23</v>
      </c>
      <c r="BG197">
        <v>23</v>
      </c>
      <c r="BH197">
        <v>30</v>
      </c>
      <c r="BI197">
        <v>30</v>
      </c>
    </row>
    <row r="198" spans="1:61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2</v>
      </c>
      <c r="BC198">
        <v>2</v>
      </c>
      <c r="BD198">
        <v>3</v>
      </c>
      <c r="BE198">
        <v>10</v>
      </c>
      <c r="BF198">
        <v>10</v>
      </c>
      <c r="BG198">
        <v>11</v>
      </c>
      <c r="BH198">
        <v>11</v>
      </c>
      <c r="BI198">
        <v>12</v>
      </c>
    </row>
    <row r="199" spans="1:61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1</v>
      </c>
      <c r="AV199">
        <v>1</v>
      </c>
      <c r="AW199">
        <v>1</v>
      </c>
      <c r="AX199">
        <v>1</v>
      </c>
      <c r="AY199">
        <v>2</v>
      </c>
      <c r="AZ199">
        <v>2</v>
      </c>
      <c r="BA199">
        <v>2</v>
      </c>
      <c r="BB199">
        <v>2</v>
      </c>
      <c r="BC199">
        <v>2</v>
      </c>
      <c r="BD199">
        <v>3</v>
      </c>
      <c r="BE199">
        <v>9</v>
      </c>
      <c r="BF199">
        <v>11</v>
      </c>
      <c r="BG199">
        <v>18</v>
      </c>
      <c r="BH199">
        <v>47</v>
      </c>
      <c r="BI199">
        <v>58</v>
      </c>
    </row>
    <row r="200" spans="1:61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2</v>
      </c>
      <c r="BA200">
        <v>2</v>
      </c>
      <c r="BB200">
        <v>2</v>
      </c>
      <c r="BC200">
        <v>2</v>
      </c>
      <c r="BD200">
        <v>2</v>
      </c>
      <c r="BE200">
        <v>2</v>
      </c>
      <c r="BF200">
        <v>2</v>
      </c>
      <c r="BG200">
        <v>2</v>
      </c>
      <c r="BH200">
        <v>2</v>
      </c>
      <c r="BI200">
        <v>3</v>
      </c>
    </row>
    <row r="201" spans="1:61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2</v>
      </c>
      <c r="BC201">
        <v>2</v>
      </c>
      <c r="BD201">
        <v>2</v>
      </c>
      <c r="BE201">
        <v>2</v>
      </c>
      <c r="BF201">
        <v>3</v>
      </c>
      <c r="BG201">
        <v>6</v>
      </c>
      <c r="BH201">
        <v>8</v>
      </c>
      <c r="BI201">
        <v>9</v>
      </c>
    </row>
    <row r="202" spans="1:61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1</v>
      </c>
      <c r="BB202">
        <v>2</v>
      </c>
      <c r="BC202">
        <v>2</v>
      </c>
      <c r="BD202">
        <v>2</v>
      </c>
      <c r="BE202">
        <v>2</v>
      </c>
      <c r="BF202">
        <v>3</v>
      </c>
      <c r="BG202">
        <v>6</v>
      </c>
      <c r="BH202">
        <v>6</v>
      </c>
      <c r="BI202">
        <v>6</v>
      </c>
    </row>
    <row r="203" spans="1:61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1</v>
      </c>
      <c r="BC203">
        <v>1</v>
      </c>
      <c r="BD203">
        <v>1</v>
      </c>
      <c r="BE203">
        <v>1</v>
      </c>
      <c r="BF203">
        <v>2</v>
      </c>
      <c r="BG203">
        <v>6</v>
      </c>
      <c r="BH203">
        <v>8</v>
      </c>
      <c r="BI203">
        <v>11</v>
      </c>
    </row>
    <row r="204" spans="1:61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</row>
    <row r="205" spans="1:61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2</v>
      </c>
      <c r="BE205">
        <v>2</v>
      </c>
      <c r="BF205">
        <v>2</v>
      </c>
      <c r="BG205">
        <v>2</v>
      </c>
      <c r="BH205">
        <v>3</v>
      </c>
      <c r="BI205">
        <v>4</v>
      </c>
    </row>
    <row r="206" spans="1:61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1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5</v>
      </c>
      <c r="BI206">
        <v>6</v>
      </c>
    </row>
    <row r="207" spans="1:61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3</v>
      </c>
      <c r="AV207">
        <v>3</v>
      </c>
      <c r="AW207">
        <v>3</v>
      </c>
      <c r="AX207">
        <v>3</v>
      </c>
      <c r="AY207">
        <v>3</v>
      </c>
      <c r="AZ207">
        <v>1</v>
      </c>
      <c r="BA207">
        <v>1</v>
      </c>
      <c r="BB207">
        <v>1</v>
      </c>
      <c r="BC207">
        <v>1</v>
      </c>
      <c r="BD207">
        <v>1</v>
      </c>
      <c r="BE207">
        <v>1</v>
      </c>
      <c r="BF207">
        <v>1</v>
      </c>
      <c r="BG207">
        <v>3</v>
      </c>
      <c r="BH207">
        <v>3</v>
      </c>
      <c r="BI207">
        <v>3</v>
      </c>
    </row>
    <row r="208" spans="1:61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1</v>
      </c>
      <c r="BC208">
        <v>2</v>
      </c>
      <c r="BD208">
        <v>8</v>
      </c>
      <c r="BE208">
        <v>8</v>
      </c>
      <c r="BF208">
        <v>10</v>
      </c>
      <c r="BG208">
        <v>10</v>
      </c>
      <c r="BH208">
        <v>12</v>
      </c>
      <c r="BI208">
        <v>13</v>
      </c>
    </row>
    <row r="209" spans="1:61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1</v>
      </c>
      <c r="BC209">
        <v>1</v>
      </c>
      <c r="BD209">
        <v>5</v>
      </c>
      <c r="BE209">
        <v>5</v>
      </c>
      <c r="BF209">
        <v>6</v>
      </c>
      <c r="BG209">
        <v>18</v>
      </c>
      <c r="BH209">
        <v>47</v>
      </c>
      <c r="BI209">
        <v>98</v>
      </c>
    </row>
    <row r="210" spans="1:61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1</v>
      </c>
      <c r="AV210">
        <v>1</v>
      </c>
      <c r="AW210">
        <v>1</v>
      </c>
      <c r="AX210">
        <v>1</v>
      </c>
      <c r="AY210">
        <v>1</v>
      </c>
      <c r="AZ210">
        <v>1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3</v>
      </c>
      <c r="BI210">
        <v>8</v>
      </c>
    </row>
    <row r="211" spans="1:61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</row>
    <row r="212" spans="1:61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</row>
    <row r="213" spans="1:61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</row>
    <row r="214" spans="1:61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</row>
    <row r="215" spans="1:61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</row>
    <row r="216" spans="1:61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</row>
    <row r="217" spans="1:61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</row>
    <row r="218" spans="1:61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</row>
    <row r="219" spans="1:61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</row>
    <row r="220" spans="1:61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</row>
    <row r="221" spans="1:61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</row>
    <row r="222" spans="1:61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</row>
    <row r="223" spans="1:61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</row>
    <row r="224" spans="1:61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</row>
    <row r="225" spans="1:61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</row>
    <row r="226" spans="1:61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</row>
    <row r="227" spans="1:61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</row>
    <row r="228" spans="1:61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</row>
    <row r="229" spans="1:61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</row>
    <row r="230" spans="1:61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</row>
    <row r="231" spans="1:61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</row>
    <row r="232" spans="1:61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</row>
    <row r="233" spans="1:61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</row>
    <row r="234" spans="1:61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</row>
    <row r="235" spans="1:61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</row>
    <row r="236" spans="1:61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</row>
    <row r="237" spans="1:61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</row>
    <row r="238" spans="1:61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</row>
    <row r="239" spans="1:61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</row>
    <row r="240" spans="1:61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</row>
    <row r="241" spans="1:61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</row>
    <row r="242" spans="1:61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</row>
    <row r="243" spans="1:61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</row>
    <row r="244" spans="1:61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</row>
    <row r="245" spans="1:61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</row>
    <row r="246" spans="1:61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</row>
    <row r="247" spans="1:61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</row>
    <row r="248" spans="1:61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</row>
    <row r="249" spans="1:61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1</v>
      </c>
      <c r="AZ249">
        <v>1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</row>
    <row r="250" spans="1:61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1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</row>
    <row r="251" spans="1:61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1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</row>
    <row r="252" spans="1:61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1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</row>
    <row r="253" spans="1:61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1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</row>
    <row r="254" spans="1:61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1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</row>
    <row r="255" spans="1:61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1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</row>
    <row r="256" spans="1:61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1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</row>
    <row r="257" spans="1:61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1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</row>
    <row r="258" spans="1:61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2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</row>
    <row r="259" spans="1:61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3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</row>
    <row r="260" spans="1:61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1</v>
      </c>
      <c r="AZ260">
        <v>1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</row>
    <row r="261" spans="1:61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1</v>
      </c>
      <c r="AZ261">
        <v>1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</row>
    <row r="262" spans="1:61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1</v>
      </c>
      <c r="AZ262">
        <v>1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</row>
    <row r="263" spans="1:61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1</v>
      </c>
      <c r="AZ263">
        <v>1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</row>
    <row r="264" spans="1:61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1</v>
      </c>
      <c r="AZ264">
        <v>1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</row>
    <row r="265" spans="1:61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1</v>
      </c>
      <c r="AZ265">
        <v>2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</row>
    <row r="266" spans="1:61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1</v>
      </c>
      <c r="AZ266">
        <v>1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</row>
    <row r="267" spans="1:61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1</v>
      </c>
      <c r="AZ267">
        <v>1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</row>
    <row r="268" spans="1:61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1</v>
      </c>
      <c r="AZ268">
        <v>1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</row>
    <row r="269" spans="1:61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1</v>
      </c>
      <c r="AZ269">
        <v>2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</row>
    <row r="270" spans="1:61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1</v>
      </c>
      <c r="AZ270">
        <v>1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</row>
    <row r="271" spans="1:61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1</v>
      </c>
      <c r="AZ271">
        <v>1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</row>
    <row r="272" spans="1:61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1</v>
      </c>
      <c r="AX272">
        <v>1</v>
      </c>
      <c r="AY272">
        <v>1</v>
      </c>
      <c r="AZ272">
        <v>1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</row>
    <row r="273" spans="1:61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1</v>
      </c>
      <c r="AZ273">
        <v>1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</row>
    <row r="274" spans="1:61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1</v>
      </c>
      <c r="AZ274">
        <v>1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</row>
    <row r="275" spans="1:61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1</v>
      </c>
      <c r="AZ275">
        <v>1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</row>
    <row r="276" spans="1:61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1</v>
      </c>
      <c r="AZ276">
        <v>1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</row>
    <row r="277" spans="1:61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1</v>
      </c>
      <c r="AZ277">
        <v>1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</row>
    <row r="278" spans="1:61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1</v>
      </c>
      <c r="AZ278">
        <v>1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</row>
    <row r="279" spans="1:61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2</v>
      </c>
      <c r="AZ279">
        <v>2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</row>
    <row r="280" spans="1:61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1</v>
      </c>
      <c r="AZ280">
        <v>1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</row>
    <row r="281" spans="1:61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2</v>
      </c>
      <c r="AZ281">
        <v>2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</row>
    <row r="282" spans="1:61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4</v>
      </c>
      <c r="AZ282">
        <v>5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</row>
    <row r="283" spans="1:61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1</v>
      </c>
      <c r="AU283">
        <v>1</v>
      </c>
      <c r="AV283">
        <v>1</v>
      </c>
      <c r="AW283">
        <v>1</v>
      </c>
      <c r="AX283">
        <v>2</v>
      </c>
      <c r="AY283">
        <v>2</v>
      </c>
      <c r="AZ283">
        <v>2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</row>
    <row r="284" spans="1:61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2</v>
      </c>
      <c r="AY284">
        <v>2</v>
      </c>
      <c r="AZ284">
        <v>3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</row>
    <row r="285" spans="1:61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2</v>
      </c>
      <c r="AY285">
        <v>2</v>
      </c>
      <c r="AZ285">
        <v>2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</row>
    <row r="286" spans="1:61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2</v>
      </c>
      <c r="AY286">
        <v>2</v>
      </c>
      <c r="AZ286">
        <v>2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</row>
    <row r="287" spans="1:61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2</v>
      </c>
      <c r="AY287">
        <v>2</v>
      </c>
      <c r="AZ287">
        <v>4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</row>
    <row r="288" spans="1:61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2</v>
      </c>
      <c r="AY288">
        <v>2</v>
      </c>
      <c r="AZ288">
        <v>2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</row>
    <row r="289" spans="1:61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1</v>
      </c>
      <c r="AY289">
        <v>1</v>
      </c>
      <c r="AZ289">
        <v>1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</row>
    <row r="290" spans="1:61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1</v>
      </c>
      <c r="AY290">
        <v>1</v>
      </c>
      <c r="AZ290">
        <v>1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</row>
    <row r="291" spans="1:61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1</v>
      </c>
      <c r="AY291">
        <v>1</v>
      </c>
      <c r="AZ291">
        <v>3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</row>
    <row r="292" spans="1:61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1</v>
      </c>
      <c r="AY292">
        <v>1</v>
      </c>
      <c r="AZ292">
        <v>1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</row>
    <row r="293" spans="1:61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1</v>
      </c>
      <c r="AY293">
        <v>1</v>
      </c>
      <c r="AZ293">
        <v>1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</row>
    <row r="294" spans="1:61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1</v>
      </c>
      <c r="AY294">
        <v>1</v>
      </c>
      <c r="AZ294">
        <v>1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</row>
    <row r="295" spans="1:61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1</v>
      </c>
      <c r="AY295">
        <v>2</v>
      </c>
      <c r="AZ295">
        <v>2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</row>
    <row r="296" spans="1:61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1</v>
      </c>
      <c r="AY296">
        <v>1</v>
      </c>
      <c r="AZ296">
        <v>1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</row>
    <row r="297" spans="1:61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1</v>
      </c>
      <c r="AY297">
        <v>1</v>
      </c>
      <c r="AZ297">
        <v>1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</row>
    <row r="298" spans="1:61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1</v>
      </c>
      <c r="AY298">
        <v>1</v>
      </c>
      <c r="AZ298">
        <v>1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</row>
    <row r="299" spans="1:61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1</v>
      </c>
      <c r="AY299">
        <v>1</v>
      </c>
      <c r="AZ299">
        <v>1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</row>
    <row r="300" spans="1:61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1</v>
      </c>
      <c r="AY300">
        <v>4</v>
      </c>
      <c r="AZ300">
        <v>4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</row>
    <row r="301" spans="1:61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1</v>
      </c>
      <c r="AY301">
        <v>1</v>
      </c>
      <c r="AZ301">
        <v>1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</row>
    <row r="302" spans="1:61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3</v>
      </c>
      <c r="AY302">
        <v>3</v>
      </c>
      <c r="AZ302">
        <v>3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</row>
    <row r="303" spans="1:61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1</v>
      </c>
      <c r="AS303">
        <v>2</v>
      </c>
      <c r="AT303">
        <v>2</v>
      </c>
      <c r="AU303">
        <v>2</v>
      </c>
      <c r="AV303">
        <v>2</v>
      </c>
      <c r="AW303">
        <v>2</v>
      </c>
      <c r="AX303">
        <v>3</v>
      </c>
      <c r="AY303">
        <v>3</v>
      </c>
      <c r="AZ303">
        <v>3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</row>
    <row r="304" spans="1:61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1</v>
      </c>
      <c r="AX304">
        <v>1</v>
      </c>
      <c r="AY304">
        <v>1</v>
      </c>
      <c r="AZ304">
        <v>1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</row>
    <row r="305" spans="1:61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1</v>
      </c>
      <c r="AX305">
        <v>1</v>
      </c>
      <c r="AY305">
        <v>1</v>
      </c>
      <c r="AZ305">
        <v>1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</row>
    <row r="306" spans="1:61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1</v>
      </c>
      <c r="AX306">
        <v>1</v>
      </c>
      <c r="AY306">
        <v>1</v>
      </c>
      <c r="AZ306">
        <v>3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</row>
    <row r="307" spans="1:61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1</v>
      </c>
      <c r="AX307">
        <v>1</v>
      </c>
      <c r="AY307">
        <v>1</v>
      </c>
      <c r="AZ307">
        <v>1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</row>
    <row r="308" spans="1:61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1</v>
      </c>
      <c r="AX308">
        <v>1</v>
      </c>
      <c r="AY308">
        <v>1</v>
      </c>
      <c r="AZ308">
        <v>1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</row>
    <row r="309" spans="1:61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1</v>
      </c>
      <c r="AX309">
        <v>1</v>
      </c>
      <c r="AY309">
        <v>7</v>
      </c>
      <c r="AZ309">
        <v>7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</row>
    <row r="310" spans="1:61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1</v>
      </c>
      <c r="AW310">
        <v>1</v>
      </c>
      <c r="AX310">
        <v>4</v>
      </c>
      <c r="AY310">
        <v>5</v>
      </c>
      <c r="AZ310">
        <v>17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</row>
    <row r="311" spans="1:61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1</v>
      </c>
      <c r="AX311">
        <v>1</v>
      </c>
      <c r="AY311">
        <v>1</v>
      </c>
      <c r="AZ311">
        <v>1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</row>
    <row r="312" spans="1:61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1</v>
      </c>
      <c r="AX312">
        <v>1</v>
      </c>
      <c r="AY312">
        <v>2</v>
      </c>
      <c r="AZ312">
        <v>2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</row>
    <row r="313" spans="1:61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1</v>
      </c>
      <c r="AX313">
        <v>1</v>
      </c>
      <c r="AY313">
        <v>1</v>
      </c>
      <c r="AZ313">
        <v>1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</row>
    <row r="314" spans="1:61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1</v>
      </c>
      <c r="AX314">
        <v>1</v>
      </c>
      <c r="AY314">
        <v>1</v>
      </c>
      <c r="AZ314">
        <v>1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</row>
    <row r="315" spans="1:61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1</v>
      </c>
      <c r="O315">
        <v>1</v>
      </c>
      <c r="P315">
        <v>1</v>
      </c>
      <c r="Q315">
        <v>2</v>
      </c>
      <c r="R315">
        <v>2</v>
      </c>
      <c r="S315">
        <v>2</v>
      </c>
      <c r="T315">
        <v>2</v>
      </c>
      <c r="U315">
        <v>2</v>
      </c>
      <c r="V315">
        <v>2</v>
      </c>
      <c r="W315">
        <v>2</v>
      </c>
      <c r="X315">
        <v>2</v>
      </c>
      <c r="Y315">
        <v>2</v>
      </c>
      <c r="Z315">
        <v>2</v>
      </c>
      <c r="AA315">
        <v>2</v>
      </c>
      <c r="AB315">
        <v>2</v>
      </c>
      <c r="AC315">
        <v>2</v>
      </c>
      <c r="AD315">
        <v>2</v>
      </c>
      <c r="AE315">
        <v>2</v>
      </c>
      <c r="AF315">
        <v>2</v>
      </c>
      <c r="AG315">
        <v>2</v>
      </c>
      <c r="AH315">
        <v>2</v>
      </c>
      <c r="AI315">
        <v>2</v>
      </c>
      <c r="AJ315">
        <v>2</v>
      </c>
      <c r="AK315">
        <v>2</v>
      </c>
      <c r="AL315">
        <v>2</v>
      </c>
      <c r="AM315">
        <v>2</v>
      </c>
      <c r="AN315">
        <v>2</v>
      </c>
      <c r="AO315">
        <v>2</v>
      </c>
      <c r="AP315">
        <v>2</v>
      </c>
      <c r="AQ315">
        <v>3</v>
      </c>
      <c r="AR315">
        <v>3</v>
      </c>
      <c r="AS315">
        <v>9</v>
      </c>
      <c r="AT315">
        <v>11</v>
      </c>
      <c r="AU315">
        <v>11</v>
      </c>
      <c r="AV315">
        <v>20</v>
      </c>
      <c r="AW315">
        <v>20</v>
      </c>
      <c r="AX315">
        <v>32</v>
      </c>
      <c r="AY315">
        <v>38</v>
      </c>
      <c r="AZ315">
        <v>38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</row>
    <row r="316" spans="1:61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1</v>
      </c>
      <c r="AW316">
        <v>1</v>
      </c>
      <c r="AX316">
        <v>1</v>
      </c>
      <c r="AY316">
        <v>2</v>
      </c>
      <c r="AZ316">
        <v>2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</row>
    <row r="317" spans="1:61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1</v>
      </c>
      <c r="AW317">
        <v>1</v>
      </c>
      <c r="AX317">
        <v>3</v>
      </c>
      <c r="AY317">
        <v>6</v>
      </c>
      <c r="AZ317">
        <v>6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</row>
    <row r="318" spans="1:61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1</v>
      </c>
      <c r="AW318">
        <v>1</v>
      </c>
      <c r="AX318">
        <v>1</v>
      </c>
      <c r="AY318">
        <v>1</v>
      </c>
      <c r="AZ318">
        <v>1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</row>
    <row r="319" spans="1:61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1</v>
      </c>
      <c r="AW319">
        <v>1</v>
      </c>
      <c r="AX319">
        <v>1</v>
      </c>
      <c r="AY319">
        <v>1</v>
      </c>
      <c r="AZ319">
        <v>1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</row>
    <row r="320" spans="1:61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1</v>
      </c>
      <c r="AW320">
        <v>1</v>
      </c>
      <c r="AX320">
        <v>1</v>
      </c>
      <c r="AY320">
        <v>1</v>
      </c>
      <c r="AZ320">
        <v>1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</row>
    <row r="321" spans="1:61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1</v>
      </c>
      <c r="AT321">
        <v>1</v>
      </c>
      <c r="AU321">
        <v>1</v>
      </c>
      <c r="AV321">
        <v>4</v>
      </c>
      <c r="AW321">
        <v>11</v>
      </c>
      <c r="AX321">
        <v>11</v>
      </c>
      <c r="AY321">
        <v>12</v>
      </c>
      <c r="AZ321">
        <v>19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</row>
    <row r="322" spans="1:61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3</v>
      </c>
      <c r="AX322">
        <v>3</v>
      </c>
      <c r="AY322">
        <v>4</v>
      </c>
      <c r="AZ322">
        <v>4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</row>
    <row r="323" spans="1:61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1</v>
      </c>
      <c r="P323">
        <v>1</v>
      </c>
      <c r="Q323">
        <v>1</v>
      </c>
      <c r="R323">
        <v>1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>
        <v>1</v>
      </c>
      <c r="AH323">
        <v>1</v>
      </c>
      <c r="AI323">
        <v>1</v>
      </c>
      <c r="AJ323">
        <v>1</v>
      </c>
      <c r="AK323">
        <v>1</v>
      </c>
      <c r="AL323">
        <v>1</v>
      </c>
      <c r="AM323">
        <v>1</v>
      </c>
      <c r="AN323">
        <v>1</v>
      </c>
      <c r="AO323">
        <v>1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3</v>
      </c>
      <c r="AX323">
        <v>3</v>
      </c>
      <c r="AY323">
        <v>8</v>
      </c>
      <c r="AZ323">
        <v>8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</row>
    <row r="324" spans="1:61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2</v>
      </c>
      <c r="AX324">
        <v>2</v>
      </c>
      <c r="AY324">
        <v>2</v>
      </c>
      <c r="AZ324">
        <v>2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</row>
    <row r="325" spans="1:61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1</v>
      </c>
      <c r="AX325">
        <v>1</v>
      </c>
      <c r="AY325">
        <v>1</v>
      </c>
      <c r="AZ325">
        <v>1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</row>
    <row r="326" spans="1:61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2</v>
      </c>
      <c r="AW326">
        <v>2</v>
      </c>
      <c r="AX326">
        <v>4</v>
      </c>
      <c r="AY326">
        <v>4</v>
      </c>
      <c r="AZ326">
        <v>4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</row>
    <row r="327" spans="1:61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2</v>
      </c>
      <c r="AW327">
        <v>3</v>
      </c>
      <c r="AX327">
        <v>5</v>
      </c>
      <c r="AY327">
        <v>5</v>
      </c>
      <c r="AZ327">
        <v>6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</row>
    <row r="328" spans="1:61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2</v>
      </c>
      <c r="AW328">
        <v>2</v>
      </c>
      <c r="AX328">
        <v>9</v>
      </c>
      <c r="AY328">
        <v>9</v>
      </c>
      <c r="AZ328">
        <v>9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</row>
    <row r="329" spans="1:61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1</v>
      </c>
      <c r="AV329">
        <v>1</v>
      </c>
      <c r="AW329">
        <v>3</v>
      </c>
      <c r="AX329">
        <v>3</v>
      </c>
      <c r="AY329">
        <v>9</v>
      </c>
      <c r="AZ329">
        <v>9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</row>
    <row r="330" spans="1:61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1</v>
      </c>
      <c r="J330">
        <v>1</v>
      </c>
      <c r="K330">
        <v>1</v>
      </c>
      <c r="L330">
        <v>1</v>
      </c>
      <c r="M330">
        <v>1</v>
      </c>
      <c r="N330">
        <v>1</v>
      </c>
      <c r="O330">
        <v>1</v>
      </c>
      <c r="P330">
        <v>1</v>
      </c>
      <c r="Q330">
        <v>1</v>
      </c>
      <c r="R330">
        <v>1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>
        <v>1</v>
      </c>
      <c r="AH330">
        <v>1</v>
      </c>
      <c r="AI330">
        <v>1</v>
      </c>
      <c r="AJ330">
        <v>1</v>
      </c>
      <c r="AK330">
        <v>1</v>
      </c>
      <c r="AL330">
        <v>1</v>
      </c>
      <c r="AM330">
        <v>1</v>
      </c>
      <c r="AN330">
        <v>1</v>
      </c>
      <c r="AO330">
        <v>1</v>
      </c>
      <c r="AP330">
        <v>1</v>
      </c>
      <c r="AQ330">
        <v>1</v>
      </c>
      <c r="AR330">
        <v>1</v>
      </c>
      <c r="AS330">
        <v>1</v>
      </c>
      <c r="AT330">
        <v>1</v>
      </c>
      <c r="AU330">
        <v>3</v>
      </c>
      <c r="AV330">
        <v>3</v>
      </c>
      <c r="AW330">
        <v>3</v>
      </c>
      <c r="AX330">
        <v>3</v>
      </c>
      <c r="AY330">
        <v>3</v>
      </c>
      <c r="AZ330">
        <v>4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</row>
    <row r="331" spans="1:61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1</v>
      </c>
      <c r="AU331">
        <v>1</v>
      </c>
      <c r="AV331">
        <v>1</v>
      </c>
      <c r="AW331">
        <v>2</v>
      </c>
      <c r="AX331">
        <v>2</v>
      </c>
      <c r="AY331">
        <v>6</v>
      </c>
      <c r="AZ331">
        <v>6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</row>
    <row r="332" spans="1:61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1</v>
      </c>
      <c r="J332">
        <v>1</v>
      </c>
      <c r="K332">
        <v>1</v>
      </c>
      <c r="L332">
        <v>1</v>
      </c>
      <c r="M332">
        <v>1</v>
      </c>
      <c r="N332">
        <v>1</v>
      </c>
      <c r="O332">
        <v>1</v>
      </c>
      <c r="P332">
        <v>1</v>
      </c>
      <c r="Q332">
        <v>1</v>
      </c>
      <c r="R332">
        <v>1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>
        <v>1</v>
      </c>
      <c r="AH332">
        <v>1</v>
      </c>
      <c r="AI332">
        <v>1</v>
      </c>
      <c r="AJ332">
        <v>1</v>
      </c>
      <c r="AK332">
        <v>1</v>
      </c>
      <c r="AL332">
        <v>1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2</v>
      </c>
      <c r="AX332">
        <v>2</v>
      </c>
      <c r="AY332">
        <v>2</v>
      </c>
      <c r="AZ332">
        <v>2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</row>
    <row r="333" spans="1:61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1</v>
      </c>
      <c r="AU333">
        <v>1</v>
      </c>
      <c r="AV333">
        <v>1</v>
      </c>
      <c r="AW333">
        <v>1</v>
      </c>
      <c r="AX333">
        <v>1</v>
      </c>
      <c r="AY333">
        <v>1</v>
      </c>
      <c r="AZ333">
        <v>1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</row>
    <row r="334" spans="1:61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1</v>
      </c>
      <c r="AU334">
        <v>10</v>
      </c>
      <c r="AV334">
        <v>18</v>
      </c>
      <c r="AW334">
        <v>19</v>
      </c>
      <c r="AX334">
        <v>57</v>
      </c>
      <c r="AY334">
        <v>83</v>
      </c>
      <c r="AZ334">
        <v>98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</row>
    <row r="335" spans="1:61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1</v>
      </c>
      <c r="AT335">
        <v>2</v>
      </c>
      <c r="AU335">
        <v>2</v>
      </c>
      <c r="AV335">
        <v>2</v>
      </c>
      <c r="AW335">
        <v>2</v>
      </c>
      <c r="AX335">
        <v>2</v>
      </c>
      <c r="AY335">
        <v>3</v>
      </c>
      <c r="AZ335">
        <v>3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</row>
    <row r="336" spans="1:61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1</v>
      </c>
      <c r="AT336">
        <v>2</v>
      </c>
      <c r="AU336">
        <v>2</v>
      </c>
      <c r="AV336">
        <v>2</v>
      </c>
      <c r="AW336">
        <v>2</v>
      </c>
      <c r="AX336">
        <v>2</v>
      </c>
      <c r="AY336">
        <v>2</v>
      </c>
      <c r="AZ336">
        <v>2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</row>
    <row r="337" spans="1:61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1</v>
      </c>
      <c r="AT337">
        <v>1</v>
      </c>
      <c r="AU337">
        <v>2</v>
      </c>
      <c r="AV337">
        <v>2</v>
      </c>
      <c r="AW337">
        <v>5</v>
      </c>
      <c r="AX337">
        <v>5</v>
      </c>
      <c r="AY337">
        <v>5</v>
      </c>
      <c r="AZ337">
        <v>7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</row>
    <row r="338" spans="1:61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1</v>
      </c>
      <c r="AT338">
        <v>2</v>
      </c>
      <c r="AU338">
        <v>2</v>
      </c>
      <c r="AV338">
        <v>2</v>
      </c>
      <c r="AW338">
        <v>2</v>
      </c>
      <c r="AX338">
        <v>2</v>
      </c>
      <c r="AY338">
        <v>2</v>
      </c>
      <c r="AZ338">
        <v>2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</row>
    <row r="339" spans="1:61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1</v>
      </c>
      <c r="AT339">
        <v>1</v>
      </c>
      <c r="AU339">
        <v>1</v>
      </c>
      <c r="AV339">
        <v>1</v>
      </c>
      <c r="AW339">
        <v>1</v>
      </c>
      <c r="AX339">
        <v>1</v>
      </c>
      <c r="AY339">
        <v>1</v>
      </c>
      <c r="AZ339">
        <v>3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</row>
    <row r="340" spans="1:61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1</v>
      </c>
      <c r="AT340">
        <v>1</v>
      </c>
      <c r="AU340">
        <v>1</v>
      </c>
      <c r="AV340">
        <v>1</v>
      </c>
      <c r="AW340">
        <v>1</v>
      </c>
      <c r="AX340">
        <v>1</v>
      </c>
      <c r="AY340">
        <v>1</v>
      </c>
      <c r="AZ340">
        <v>1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</row>
    <row r="341" spans="1:61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2</v>
      </c>
      <c r="AU341">
        <v>2</v>
      </c>
      <c r="AV341">
        <v>2</v>
      </c>
      <c r="AW341">
        <v>2</v>
      </c>
      <c r="AX341">
        <v>3</v>
      </c>
      <c r="AY341">
        <v>3</v>
      </c>
      <c r="AZ341">
        <v>5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</row>
    <row r="342" spans="1:61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1</v>
      </c>
      <c r="AR342">
        <v>1</v>
      </c>
      <c r="AS342">
        <v>2</v>
      </c>
      <c r="AT342">
        <v>2</v>
      </c>
      <c r="AU342">
        <v>2</v>
      </c>
      <c r="AV342">
        <v>2</v>
      </c>
      <c r="AW342">
        <v>2</v>
      </c>
      <c r="AX342">
        <v>3</v>
      </c>
      <c r="AY342">
        <v>8</v>
      </c>
      <c r="AZ342">
        <v>8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</row>
    <row r="343" spans="1:61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1</v>
      </c>
      <c r="AR343">
        <v>2</v>
      </c>
      <c r="AS343">
        <v>4</v>
      </c>
      <c r="AT343">
        <v>6</v>
      </c>
      <c r="AU343">
        <v>8</v>
      </c>
      <c r="AV343">
        <v>18</v>
      </c>
      <c r="AW343">
        <v>19</v>
      </c>
      <c r="AX343">
        <v>27</v>
      </c>
      <c r="AY343">
        <v>31</v>
      </c>
      <c r="AZ343">
        <v>31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</row>
    <row r="344" spans="1:61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1</v>
      </c>
      <c r="AJ344">
        <v>1</v>
      </c>
      <c r="AK344">
        <v>1</v>
      </c>
      <c r="AL344">
        <v>1</v>
      </c>
      <c r="AM344">
        <v>1</v>
      </c>
      <c r="AN344">
        <v>1</v>
      </c>
      <c r="AO344">
        <v>1</v>
      </c>
      <c r="AP344">
        <v>1</v>
      </c>
      <c r="AQ344">
        <v>1</v>
      </c>
      <c r="AR344">
        <v>1</v>
      </c>
      <c r="AS344">
        <v>1</v>
      </c>
      <c r="AT344">
        <v>1</v>
      </c>
      <c r="AU344">
        <v>1</v>
      </c>
      <c r="AV344">
        <v>1</v>
      </c>
      <c r="AW344">
        <v>1</v>
      </c>
      <c r="AX344">
        <v>1</v>
      </c>
      <c r="AY344">
        <v>1</v>
      </c>
      <c r="AZ344">
        <v>1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</row>
    <row r="345" spans="1:61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1</v>
      </c>
      <c r="AJ345">
        <v>1</v>
      </c>
      <c r="AK345">
        <v>1</v>
      </c>
      <c r="AL345">
        <v>1</v>
      </c>
      <c r="AM345">
        <v>1</v>
      </c>
      <c r="AN345">
        <v>1</v>
      </c>
      <c r="AO345">
        <v>2</v>
      </c>
      <c r="AP345">
        <v>2</v>
      </c>
      <c r="AQ345">
        <v>2</v>
      </c>
      <c r="AR345">
        <v>2</v>
      </c>
      <c r="AS345">
        <v>2</v>
      </c>
      <c r="AT345">
        <v>2</v>
      </c>
      <c r="AU345">
        <v>2</v>
      </c>
      <c r="AV345">
        <v>2</v>
      </c>
      <c r="AW345">
        <v>2</v>
      </c>
      <c r="AX345">
        <v>2</v>
      </c>
      <c r="AY345">
        <v>2</v>
      </c>
      <c r="AZ345">
        <v>2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</row>
    <row r="346" spans="1:61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1</v>
      </c>
      <c r="Z346">
        <v>1</v>
      </c>
      <c r="AA346">
        <v>2</v>
      </c>
      <c r="AB346">
        <v>2</v>
      </c>
      <c r="AC346">
        <v>2</v>
      </c>
      <c r="AD346">
        <v>2</v>
      </c>
      <c r="AE346">
        <v>2</v>
      </c>
      <c r="AF346">
        <v>2</v>
      </c>
      <c r="AG346">
        <v>2</v>
      </c>
      <c r="AH346">
        <v>2</v>
      </c>
      <c r="AI346">
        <v>2</v>
      </c>
      <c r="AJ346">
        <v>2</v>
      </c>
      <c r="AK346">
        <v>2</v>
      </c>
      <c r="AL346">
        <v>2</v>
      </c>
      <c r="AM346">
        <v>2</v>
      </c>
      <c r="AN346">
        <v>2</v>
      </c>
      <c r="AO346">
        <v>2</v>
      </c>
      <c r="AP346">
        <v>2</v>
      </c>
      <c r="AQ346">
        <v>2</v>
      </c>
      <c r="AR346">
        <v>2</v>
      </c>
      <c r="AS346">
        <v>2</v>
      </c>
      <c r="AT346">
        <v>2</v>
      </c>
      <c r="AU346">
        <v>2</v>
      </c>
      <c r="AV346">
        <v>3</v>
      </c>
      <c r="AW346">
        <v>3</v>
      </c>
      <c r="AX346">
        <v>3</v>
      </c>
      <c r="AY346">
        <v>3</v>
      </c>
      <c r="AZ346">
        <v>3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</row>
    <row r="347" spans="1:61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2</v>
      </c>
      <c r="R347">
        <v>2</v>
      </c>
      <c r="S347">
        <v>2</v>
      </c>
      <c r="T347">
        <v>2</v>
      </c>
      <c r="U347">
        <v>2</v>
      </c>
      <c r="V347">
        <v>2</v>
      </c>
      <c r="W347">
        <v>2</v>
      </c>
      <c r="X347">
        <v>2</v>
      </c>
      <c r="Y347">
        <v>2</v>
      </c>
      <c r="Z347">
        <v>2</v>
      </c>
      <c r="AA347">
        <v>2</v>
      </c>
      <c r="AB347">
        <v>2</v>
      </c>
      <c r="AC347">
        <v>2</v>
      </c>
      <c r="AD347">
        <v>2</v>
      </c>
      <c r="AE347">
        <v>2</v>
      </c>
      <c r="AF347">
        <v>2</v>
      </c>
      <c r="AG347">
        <v>2</v>
      </c>
      <c r="AH347">
        <v>2</v>
      </c>
      <c r="AI347">
        <v>2</v>
      </c>
      <c r="AJ347">
        <v>2</v>
      </c>
      <c r="AK347">
        <v>2</v>
      </c>
      <c r="AL347">
        <v>2</v>
      </c>
      <c r="AM347">
        <v>2</v>
      </c>
      <c r="AN347">
        <v>2</v>
      </c>
      <c r="AO347">
        <v>2</v>
      </c>
      <c r="AP347">
        <v>2</v>
      </c>
      <c r="AQ347">
        <v>2</v>
      </c>
      <c r="AR347">
        <v>2</v>
      </c>
      <c r="AS347">
        <v>2</v>
      </c>
      <c r="AT347">
        <v>2</v>
      </c>
      <c r="AU347">
        <v>2</v>
      </c>
      <c r="AV347">
        <v>2</v>
      </c>
      <c r="AW347">
        <v>2</v>
      </c>
      <c r="AX347">
        <v>2</v>
      </c>
      <c r="AY347">
        <v>2</v>
      </c>
      <c r="AZ347">
        <v>2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</row>
    <row r="348" spans="1:61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1</v>
      </c>
      <c r="J348">
        <v>1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1</v>
      </c>
      <c r="Q348">
        <v>1</v>
      </c>
      <c r="R348">
        <v>1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>
        <v>1</v>
      </c>
      <c r="AH348">
        <v>1</v>
      </c>
      <c r="AI348">
        <v>1</v>
      </c>
      <c r="AJ348">
        <v>1</v>
      </c>
      <c r="AK348">
        <v>1</v>
      </c>
      <c r="AL348">
        <v>1</v>
      </c>
      <c r="AM348">
        <v>1</v>
      </c>
      <c r="AN348">
        <v>1</v>
      </c>
      <c r="AO348">
        <v>1</v>
      </c>
      <c r="AP348">
        <v>1</v>
      </c>
      <c r="AQ348">
        <v>1</v>
      </c>
      <c r="AR348">
        <v>1</v>
      </c>
      <c r="AS348">
        <v>1</v>
      </c>
      <c r="AT348">
        <v>1</v>
      </c>
      <c r="AU348">
        <v>7</v>
      </c>
      <c r="AV348">
        <v>11</v>
      </c>
      <c r="AW348">
        <v>13</v>
      </c>
      <c r="AX348">
        <v>14</v>
      </c>
      <c r="AY348">
        <v>14</v>
      </c>
      <c r="AZ348">
        <v>14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</row>
    <row r="349" spans="1:61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1</v>
      </c>
      <c r="F349">
        <v>1</v>
      </c>
      <c r="G349">
        <v>1</v>
      </c>
      <c r="H349">
        <v>1</v>
      </c>
      <c r="I349">
        <v>1</v>
      </c>
      <c r="J349">
        <v>1</v>
      </c>
      <c r="K349">
        <v>1</v>
      </c>
      <c r="L349">
        <v>1</v>
      </c>
      <c r="M349">
        <v>1</v>
      </c>
      <c r="N349">
        <v>1</v>
      </c>
      <c r="O349">
        <v>1</v>
      </c>
      <c r="P349">
        <v>1</v>
      </c>
      <c r="Q349">
        <v>1</v>
      </c>
      <c r="R349">
        <v>1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6</v>
      </c>
      <c r="AR349">
        <v>9</v>
      </c>
      <c r="AS349">
        <v>14</v>
      </c>
      <c r="AT349">
        <v>21</v>
      </c>
      <c r="AU349">
        <v>31</v>
      </c>
      <c r="AV349">
        <v>51</v>
      </c>
      <c r="AW349">
        <v>58</v>
      </c>
      <c r="AX349">
        <v>71</v>
      </c>
      <c r="AY349">
        <v>83</v>
      </c>
      <c r="AZ349">
        <v>83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</row>
    <row r="350" spans="1:61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1</v>
      </c>
      <c r="H350">
        <v>1</v>
      </c>
      <c r="I350">
        <v>1</v>
      </c>
      <c r="J350">
        <v>1</v>
      </c>
      <c r="K350">
        <v>1</v>
      </c>
      <c r="L350">
        <v>1</v>
      </c>
      <c r="M350">
        <v>1</v>
      </c>
      <c r="N350">
        <v>2</v>
      </c>
      <c r="O350">
        <v>2</v>
      </c>
      <c r="P350">
        <v>2</v>
      </c>
      <c r="Q350">
        <v>2</v>
      </c>
      <c r="R350">
        <v>2</v>
      </c>
      <c r="S350">
        <v>2</v>
      </c>
      <c r="T350">
        <v>2</v>
      </c>
      <c r="U350">
        <v>2</v>
      </c>
      <c r="V350">
        <v>2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3</v>
      </c>
      <c r="AS350">
        <v>4</v>
      </c>
      <c r="AT350">
        <v>4</v>
      </c>
      <c r="AU350">
        <v>4</v>
      </c>
      <c r="AV350">
        <v>5</v>
      </c>
      <c r="AW350">
        <v>5</v>
      </c>
      <c r="AX350">
        <v>6</v>
      </c>
      <c r="AY350">
        <v>7</v>
      </c>
      <c r="AZ350">
        <v>7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</row>
    <row r="351" spans="1:61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</row>
    <row r="352" spans="1:61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</row>
    <row r="353" spans="1:61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</row>
    <row r="354" spans="1:61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</row>
    <row r="355" spans="1:61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</row>
    <row r="356" spans="1:61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</row>
    <row r="357" spans="1:61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</row>
    <row r="358" spans="1:61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</row>
    <row r="359" spans="1:61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</row>
    <row r="360" spans="1:61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</row>
    <row r="361" spans="1:61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</row>
    <row r="362" spans="1:61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</row>
    <row r="363" spans="1:61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</row>
    <row r="364" spans="1:61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</row>
    <row r="365" spans="1:61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</row>
    <row r="366" spans="1:61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</row>
    <row r="367" spans="1:61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</row>
    <row r="368" spans="1:61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</row>
    <row r="369" spans="1:61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</row>
    <row r="370" spans="1:61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</row>
    <row r="371" spans="1:61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</row>
    <row r="372" spans="1:61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</row>
    <row r="373" spans="1:61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</row>
    <row r="374" spans="1:61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</row>
    <row r="375" spans="1:61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</row>
    <row r="376" spans="1:61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</row>
    <row r="377" spans="1:61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</row>
    <row r="378" spans="1:61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</row>
    <row r="379" spans="1:61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</row>
    <row r="380" spans="1:61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</row>
    <row r="381" spans="1:61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</row>
    <row r="382" spans="1:61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</row>
    <row r="383" spans="1:61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</row>
    <row r="384" spans="1:61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</row>
    <row r="385" spans="1:61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</row>
    <row r="386" spans="1:61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</row>
    <row r="387" spans="1:61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</row>
    <row r="388" spans="1:61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</row>
    <row r="389" spans="1:61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</row>
    <row r="390" spans="1:61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</row>
    <row r="391" spans="1:61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</row>
    <row r="392" spans="1:61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</row>
    <row r="393" spans="1:61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</row>
    <row r="394" spans="1:61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</row>
    <row r="395" spans="1:61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</row>
    <row r="396" spans="1:61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</row>
    <row r="397" spans="1:61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</row>
    <row r="398" spans="1:61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</row>
    <row r="399" spans="1:61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</row>
    <row r="400" spans="1:61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</row>
    <row r="401" spans="1:61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</row>
    <row r="402" spans="1:61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3</v>
      </c>
      <c r="BD402">
        <v>4</v>
      </c>
      <c r="BE402">
        <v>4</v>
      </c>
      <c r="BF402">
        <v>4</v>
      </c>
      <c r="BG402">
        <v>4</v>
      </c>
      <c r="BH402">
        <v>5</v>
      </c>
      <c r="BI402">
        <v>7</v>
      </c>
    </row>
    <row r="403" spans="1:61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1</v>
      </c>
      <c r="BD403">
        <v>1</v>
      </c>
      <c r="BE403">
        <v>1</v>
      </c>
      <c r="BF403">
        <v>4</v>
      </c>
      <c r="BG403">
        <v>4</v>
      </c>
      <c r="BH403">
        <v>7</v>
      </c>
      <c r="BI403">
        <v>7</v>
      </c>
    </row>
    <row r="404" spans="1:61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1</v>
      </c>
      <c r="BE404">
        <v>1</v>
      </c>
      <c r="BF404">
        <v>1</v>
      </c>
      <c r="BG404">
        <v>2</v>
      </c>
      <c r="BH404">
        <v>2</v>
      </c>
      <c r="BI404">
        <v>3</v>
      </c>
    </row>
    <row r="405" spans="1:61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2</v>
      </c>
      <c r="O405">
        <v>2</v>
      </c>
      <c r="P405">
        <v>2</v>
      </c>
      <c r="Q405">
        <v>2</v>
      </c>
      <c r="R405">
        <v>2</v>
      </c>
      <c r="S405">
        <v>2</v>
      </c>
      <c r="T405">
        <v>2</v>
      </c>
      <c r="U405">
        <v>3</v>
      </c>
      <c r="V405">
        <v>3</v>
      </c>
      <c r="W405">
        <v>3</v>
      </c>
      <c r="X405">
        <v>8</v>
      </c>
      <c r="Y405">
        <v>8</v>
      </c>
      <c r="Z405">
        <v>9</v>
      </c>
      <c r="AA405">
        <v>9</v>
      </c>
      <c r="AB405">
        <v>9</v>
      </c>
      <c r="AC405">
        <v>9</v>
      </c>
      <c r="AD405">
        <v>9</v>
      </c>
      <c r="AE405">
        <v>9</v>
      </c>
      <c r="AF405">
        <v>9</v>
      </c>
      <c r="AG405">
        <v>9</v>
      </c>
      <c r="AH405">
        <v>9</v>
      </c>
      <c r="AI405">
        <v>9</v>
      </c>
      <c r="AJ405">
        <v>9</v>
      </c>
      <c r="AK405">
        <v>9</v>
      </c>
      <c r="AL405">
        <v>13</v>
      </c>
      <c r="AM405">
        <v>13</v>
      </c>
      <c r="AN405">
        <v>13</v>
      </c>
      <c r="AO405">
        <v>15</v>
      </c>
      <c r="AP405">
        <v>20</v>
      </c>
      <c r="AQ405">
        <v>23</v>
      </c>
      <c r="AR405">
        <v>36</v>
      </c>
      <c r="AS405">
        <v>40</v>
      </c>
      <c r="AT405">
        <v>51</v>
      </c>
      <c r="AU405">
        <v>85</v>
      </c>
      <c r="AV405">
        <v>115</v>
      </c>
      <c r="AW405">
        <v>163</v>
      </c>
      <c r="AX405">
        <v>206</v>
      </c>
      <c r="AY405">
        <v>273</v>
      </c>
      <c r="AZ405">
        <v>321</v>
      </c>
      <c r="BA405">
        <v>382</v>
      </c>
      <c r="BB405">
        <v>456</v>
      </c>
      <c r="BC405">
        <v>456</v>
      </c>
      <c r="BD405">
        <v>798</v>
      </c>
      <c r="BE405">
        <v>1140</v>
      </c>
      <c r="BF405">
        <v>1140</v>
      </c>
      <c r="BG405">
        <v>1543</v>
      </c>
      <c r="BH405">
        <v>1950</v>
      </c>
      <c r="BI405">
        <v>2626</v>
      </c>
    </row>
    <row r="406" spans="1:61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4</v>
      </c>
      <c r="BE406">
        <v>6</v>
      </c>
      <c r="BF406">
        <v>9</v>
      </c>
      <c r="BG406">
        <v>10</v>
      </c>
      <c r="BH406">
        <v>33</v>
      </c>
      <c r="BI406">
        <v>35</v>
      </c>
    </row>
    <row r="407" spans="1:61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3</v>
      </c>
      <c r="BE407">
        <v>3</v>
      </c>
      <c r="BF407">
        <v>3</v>
      </c>
      <c r="BG407">
        <v>3</v>
      </c>
      <c r="BH407">
        <v>3</v>
      </c>
      <c r="BI407">
        <v>3</v>
      </c>
    </row>
    <row r="408" spans="1:61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4</v>
      </c>
      <c r="BE408">
        <v>4</v>
      </c>
      <c r="BF408">
        <v>4</v>
      </c>
      <c r="BG408">
        <v>7</v>
      </c>
      <c r="BH408">
        <v>8</v>
      </c>
      <c r="BI408">
        <v>15</v>
      </c>
    </row>
    <row r="409" spans="1:61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2</v>
      </c>
      <c r="BE409">
        <v>2</v>
      </c>
      <c r="BF409">
        <v>2</v>
      </c>
      <c r="BG409">
        <v>7</v>
      </c>
      <c r="BH409">
        <v>7</v>
      </c>
      <c r="BI409">
        <v>8</v>
      </c>
    </row>
    <row r="410" spans="1:61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1</v>
      </c>
      <c r="BE410">
        <v>1</v>
      </c>
      <c r="BF410">
        <v>1</v>
      </c>
      <c r="BG410">
        <v>5</v>
      </c>
      <c r="BH410">
        <v>5</v>
      </c>
      <c r="BI410">
        <v>6</v>
      </c>
    </row>
    <row r="411" spans="1:61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1</v>
      </c>
      <c r="BE411">
        <v>1</v>
      </c>
      <c r="BF411">
        <v>1</v>
      </c>
      <c r="BG411">
        <v>1</v>
      </c>
      <c r="BH411">
        <v>1</v>
      </c>
      <c r="BI411">
        <v>2</v>
      </c>
    </row>
    <row r="412" spans="1:61" x14ac:dyDescent="0.3">
      <c r="B412" t="s">
        <v>421</v>
      </c>
      <c r="C412">
        <v>9.9456000000000007</v>
      </c>
      <c r="D412">
        <v>-9.6966000000000001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1</v>
      </c>
      <c r="BE412">
        <v>1</v>
      </c>
      <c r="BF412">
        <v>1</v>
      </c>
      <c r="BG412">
        <v>1</v>
      </c>
      <c r="BH412">
        <v>1</v>
      </c>
      <c r="BI412">
        <v>1</v>
      </c>
    </row>
    <row r="413" spans="1:61" x14ac:dyDescent="0.3">
      <c r="A413" t="s">
        <v>249</v>
      </c>
      <c r="B413" t="s">
        <v>45</v>
      </c>
      <c r="C413">
        <v>37.648899999999998</v>
      </c>
      <c r="D413">
        <v>-122.66549999999999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2</v>
      </c>
      <c r="BE413">
        <v>2</v>
      </c>
      <c r="BF413">
        <v>2</v>
      </c>
      <c r="BG413">
        <v>2</v>
      </c>
      <c r="BH413">
        <v>8</v>
      </c>
      <c r="BI413">
        <v>9</v>
      </c>
    </row>
    <row r="414" spans="1:61" x14ac:dyDescent="0.3">
      <c r="B414" t="s">
        <v>423</v>
      </c>
      <c r="C414">
        <v>-2.3599999999999999E-2</v>
      </c>
      <c r="D414">
        <v>37.906199999999998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1</v>
      </c>
      <c r="BE414">
        <v>1</v>
      </c>
      <c r="BF414">
        <v>3</v>
      </c>
      <c r="BG414">
        <v>3</v>
      </c>
      <c r="BH414">
        <v>3</v>
      </c>
      <c r="BI414">
        <v>3</v>
      </c>
    </row>
    <row r="415" spans="1:61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1</v>
      </c>
      <c r="BE415">
        <v>1</v>
      </c>
      <c r="BF415">
        <v>1</v>
      </c>
      <c r="BG415">
        <v>1</v>
      </c>
      <c r="BH415">
        <v>1</v>
      </c>
      <c r="BI415">
        <v>1</v>
      </c>
    </row>
    <row r="416" spans="1:61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5</v>
      </c>
      <c r="BE416">
        <v>6</v>
      </c>
      <c r="BF416">
        <v>12</v>
      </c>
      <c r="BG416">
        <v>29</v>
      </c>
      <c r="BH416">
        <v>39</v>
      </c>
      <c r="BI416">
        <v>46</v>
      </c>
    </row>
    <row r="417" spans="1:61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4</v>
      </c>
      <c r="BF417">
        <v>4</v>
      </c>
      <c r="BG417">
        <v>8</v>
      </c>
      <c r="BH417">
        <v>29</v>
      </c>
      <c r="BI417">
        <v>50</v>
      </c>
    </row>
    <row r="418" spans="1:61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3</v>
      </c>
      <c r="BF418">
        <v>6</v>
      </c>
      <c r="BG418">
        <v>6</v>
      </c>
      <c r="BH418">
        <v>7</v>
      </c>
      <c r="BI418">
        <v>7</v>
      </c>
    </row>
    <row r="419" spans="1:61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3</v>
      </c>
      <c r="BF419">
        <v>5</v>
      </c>
      <c r="BG419">
        <v>5</v>
      </c>
      <c r="BH419">
        <v>5</v>
      </c>
      <c r="BI419">
        <v>5</v>
      </c>
    </row>
    <row r="420" spans="1:61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2</v>
      </c>
      <c r="BF420">
        <v>2</v>
      </c>
      <c r="BG420">
        <v>2</v>
      </c>
      <c r="BH420">
        <v>2</v>
      </c>
      <c r="BI420">
        <v>2</v>
      </c>
    </row>
    <row r="421" spans="1:61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2</v>
      </c>
      <c r="BF421">
        <v>2</v>
      </c>
      <c r="BG421">
        <v>3</v>
      </c>
      <c r="BH421">
        <v>4</v>
      </c>
      <c r="BI421">
        <v>4</v>
      </c>
    </row>
    <row r="422" spans="1:61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2</v>
      </c>
      <c r="BF422">
        <v>2</v>
      </c>
      <c r="BG422">
        <v>4</v>
      </c>
      <c r="BH422">
        <v>5</v>
      </c>
      <c r="BI422">
        <v>7</v>
      </c>
    </row>
    <row r="423" spans="1:61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2</v>
      </c>
      <c r="BF423">
        <v>10</v>
      </c>
      <c r="BG423">
        <v>17</v>
      </c>
      <c r="BH423">
        <v>33</v>
      </c>
      <c r="BI423">
        <v>36</v>
      </c>
    </row>
    <row r="424" spans="1:61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1</v>
      </c>
      <c r="BF424">
        <v>1</v>
      </c>
      <c r="BG424">
        <v>1</v>
      </c>
      <c r="BH424">
        <v>1</v>
      </c>
      <c r="BI424">
        <v>1</v>
      </c>
    </row>
    <row r="425" spans="1:61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1</v>
      </c>
      <c r="BF425">
        <v>1</v>
      </c>
      <c r="BG425">
        <v>1</v>
      </c>
      <c r="BH425">
        <v>1</v>
      </c>
      <c r="BI425">
        <v>1</v>
      </c>
    </row>
    <row r="426" spans="1:61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1</v>
      </c>
      <c r="BF426">
        <v>1</v>
      </c>
      <c r="BG426">
        <v>2</v>
      </c>
      <c r="BH426">
        <v>6</v>
      </c>
      <c r="BI426">
        <v>6</v>
      </c>
    </row>
    <row r="427" spans="1:61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1</v>
      </c>
      <c r="BF427">
        <v>1</v>
      </c>
      <c r="BG427">
        <v>1</v>
      </c>
      <c r="BH427">
        <v>1</v>
      </c>
      <c r="BI427">
        <v>1</v>
      </c>
    </row>
    <row r="428" spans="1:61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1</v>
      </c>
      <c r="BF428">
        <v>1</v>
      </c>
      <c r="BG428">
        <v>5</v>
      </c>
      <c r="BH428">
        <v>7</v>
      </c>
      <c r="BI428">
        <v>8</v>
      </c>
    </row>
    <row r="429" spans="1:61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1</v>
      </c>
      <c r="BF429">
        <v>2</v>
      </c>
      <c r="BG429">
        <v>2</v>
      </c>
      <c r="BH429">
        <v>2</v>
      </c>
      <c r="BI429">
        <v>2</v>
      </c>
    </row>
    <row r="430" spans="1:61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1</v>
      </c>
      <c r="BF430">
        <v>1</v>
      </c>
      <c r="BG430">
        <v>1</v>
      </c>
      <c r="BH430">
        <v>1</v>
      </c>
      <c r="BI430">
        <v>1</v>
      </c>
    </row>
    <row r="431" spans="1:61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1</v>
      </c>
      <c r="BF431">
        <v>1</v>
      </c>
      <c r="BG431">
        <v>1</v>
      </c>
      <c r="BH431">
        <v>1</v>
      </c>
      <c r="BI431">
        <v>1</v>
      </c>
    </row>
    <row r="432" spans="1:61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5</v>
      </c>
      <c r="AY432">
        <v>5</v>
      </c>
      <c r="AZ432">
        <v>5</v>
      </c>
      <c r="BA432">
        <v>5</v>
      </c>
      <c r="BB432">
        <v>5</v>
      </c>
      <c r="BC432">
        <v>5</v>
      </c>
      <c r="BD432">
        <v>5</v>
      </c>
      <c r="BE432">
        <v>5</v>
      </c>
      <c r="BF432">
        <v>7</v>
      </c>
      <c r="BG432">
        <v>11</v>
      </c>
      <c r="BH432">
        <v>11</v>
      </c>
      <c r="BI432">
        <v>11</v>
      </c>
    </row>
    <row r="433" spans="1:61" x14ac:dyDescent="0.3">
      <c r="A433" t="s">
        <v>459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3</v>
      </c>
      <c r="BG433">
        <v>3</v>
      </c>
      <c r="BH433">
        <v>3</v>
      </c>
      <c r="BI433">
        <v>5</v>
      </c>
    </row>
    <row r="434" spans="1:61" x14ac:dyDescent="0.3">
      <c r="B434" t="s">
        <v>460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2</v>
      </c>
      <c r="BG434">
        <v>2</v>
      </c>
      <c r="BH434">
        <v>2</v>
      </c>
      <c r="BI434">
        <v>2</v>
      </c>
    </row>
    <row r="435" spans="1:61" x14ac:dyDescent="0.3">
      <c r="A435" t="s">
        <v>461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1</v>
      </c>
      <c r="BG435">
        <v>1</v>
      </c>
      <c r="BH435">
        <v>3</v>
      </c>
      <c r="BI435">
        <v>3</v>
      </c>
    </row>
    <row r="436" spans="1:61" x14ac:dyDescent="0.3">
      <c r="A436" t="s">
        <v>462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1</v>
      </c>
      <c r="BG436">
        <v>1</v>
      </c>
      <c r="BH436">
        <v>1</v>
      </c>
      <c r="BI436">
        <v>1</v>
      </c>
    </row>
    <row r="437" spans="1:61" x14ac:dyDescent="0.3">
      <c r="B437" t="s">
        <v>463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1</v>
      </c>
      <c r="BG437">
        <v>1</v>
      </c>
      <c r="BH437">
        <v>1</v>
      </c>
      <c r="BI437">
        <v>1</v>
      </c>
    </row>
    <row r="438" spans="1:61" x14ac:dyDescent="0.3">
      <c r="B438" t="s">
        <v>464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1</v>
      </c>
      <c r="BG438">
        <v>1</v>
      </c>
      <c r="BH438">
        <v>1</v>
      </c>
      <c r="BI438">
        <v>1</v>
      </c>
    </row>
    <row r="439" spans="1:61" x14ac:dyDescent="0.3">
      <c r="B439" t="s">
        <v>465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1</v>
      </c>
      <c r="BG439">
        <v>1</v>
      </c>
      <c r="BH439">
        <v>1</v>
      </c>
      <c r="BI439">
        <v>4</v>
      </c>
    </row>
    <row r="440" spans="1:61" x14ac:dyDescent="0.3">
      <c r="A440" t="s">
        <v>466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1</v>
      </c>
      <c r="BG440">
        <v>1</v>
      </c>
      <c r="BH440">
        <v>1</v>
      </c>
      <c r="BI440">
        <v>3</v>
      </c>
    </row>
    <row r="441" spans="1:61" x14ac:dyDescent="0.3">
      <c r="B441" t="s">
        <v>467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1</v>
      </c>
      <c r="BG441">
        <v>6</v>
      </c>
      <c r="BH441">
        <v>10</v>
      </c>
      <c r="BI441">
        <v>15</v>
      </c>
    </row>
    <row r="442" spans="1:61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1</v>
      </c>
      <c r="AP442">
        <v>1</v>
      </c>
      <c r="AQ442">
        <v>6</v>
      </c>
      <c r="AR442">
        <v>10</v>
      </c>
      <c r="AS442">
        <v>18</v>
      </c>
      <c r="AT442">
        <v>24</v>
      </c>
      <c r="AU442">
        <v>38</v>
      </c>
      <c r="AV442">
        <v>82</v>
      </c>
      <c r="AW442">
        <v>128</v>
      </c>
      <c r="AX442">
        <v>188</v>
      </c>
      <c r="AY442">
        <v>265</v>
      </c>
      <c r="AZ442">
        <v>321</v>
      </c>
      <c r="BA442">
        <v>382</v>
      </c>
      <c r="BB442">
        <v>503</v>
      </c>
      <c r="BC442">
        <v>503</v>
      </c>
      <c r="BD442">
        <v>804</v>
      </c>
      <c r="BE442">
        <v>959</v>
      </c>
      <c r="BF442">
        <v>1135</v>
      </c>
      <c r="BG442">
        <v>1413</v>
      </c>
      <c r="BH442">
        <v>1705</v>
      </c>
      <c r="BI442">
        <v>2051</v>
      </c>
    </row>
    <row r="443" spans="1:61" x14ac:dyDescent="0.3">
      <c r="A443" t="s">
        <v>470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5</v>
      </c>
      <c r="BH443">
        <v>7</v>
      </c>
      <c r="BI443">
        <v>12</v>
      </c>
    </row>
    <row r="444" spans="1:61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1</v>
      </c>
      <c r="BE444">
        <v>1</v>
      </c>
      <c r="BF444">
        <v>3</v>
      </c>
      <c r="BG444">
        <v>6</v>
      </c>
      <c r="BH444">
        <v>18</v>
      </c>
      <c r="BI444">
        <v>27</v>
      </c>
    </row>
    <row r="445" spans="1:61" x14ac:dyDescent="0.3">
      <c r="B445" t="s">
        <v>471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1</v>
      </c>
      <c r="BH445">
        <v>1</v>
      </c>
      <c r="BI445">
        <v>2</v>
      </c>
    </row>
    <row r="446" spans="1:61" x14ac:dyDescent="0.3">
      <c r="B446" t="s">
        <v>472</v>
      </c>
      <c r="C446">
        <v>71.706900000000005</v>
      </c>
      <c r="D446">
        <v>-42.604300000000002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1</v>
      </c>
      <c r="BH446">
        <v>1</v>
      </c>
      <c r="BI446">
        <v>1</v>
      </c>
    </row>
    <row r="447" spans="1:61" x14ac:dyDescent="0.3">
      <c r="B447" t="s">
        <v>473</v>
      </c>
      <c r="C447">
        <v>6.4280999999999997</v>
      </c>
      <c r="D447">
        <v>-9.4295000000000009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1</v>
      </c>
      <c r="BH447">
        <v>1</v>
      </c>
      <c r="BI447">
        <v>2</v>
      </c>
    </row>
    <row r="448" spans="1:61" x14ac:dyDescent="0.3">
      <c r="A448" t="s">
        <v>441</v>
      </c>
      <c r="B448" t="s">
        <v>89</v>
      </c>
      <c r="C448">
        <v>12.169600000000001</v>
      </c>
      <c r="D448">
        <v>-68.989999999999995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1</v>
      </c>
      <c r="BF448">
        <v>1</v>
      </c>
      <c r="BG448">
        <v>1</v>
      </c>
      <c r="BH448">
        <v>3</v>
      </c>
      <c r="BI448">
        <v>3</v>
      </c>
    </row>
    <row r="449" spans="1:61" x14ac:dyDescent="0.3">
      <c r="B449" t="s">
        <v>474</v>
      </c>
      <c r="C449">
        <v>5.1520999999999999</v>
      </c>
      <c r="D449">
        <v>46.199599999999997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1</v>
      </c>
      <c r="BH449">
        <v>1</v>
      </c>
      <c r="BI449">
        <v>1</v>
      </c>
    </row>
    <row r="450" spans="1:61" x14ac:dyDescent="0.3">
      <c r="B450" t="s">
        <v>475</v>
      </c>
      <c r="C450">
        <v>-6.3689999999999998</v>
      </c>
      <c r="D450">
        <v>34.888800000000003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1</v>
      </c>
      <c r="BH450">
        <v>1</v>
      </c>
      <c r="BI450">
        <v>3</v>
      </c>
    </row>
    <row r="451" spans="1:61" x14ac:dyDescent="0.3">
      <c r="B451" t="s">
        <v>476</v>
      </c>
      <c r="C451">
        <v>24.25</v>
      </c>
      <c r="D451">
        <v>-76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1</v>
      </c>
      <c r="BH451">
        <v>1</v>
      </c>
      <c r="BI451">
        <v>1</v>
      </c>
    </row>
    <row r="452" spans="1:61" x14ac:dyDescent="0.3">
      <c r="A452" t="s">
        <v>477</v>
      </c>
      <c r="B452" t="s">
        <v>38</v>
      </c>
      <c r="C452">
        <v>18.335799999999999</v>
      </c>
      <c r="D452">
        <v>-64.896299999999997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1</v>
      </c>
      <c r="BF452">
        <v>1</v>
      </c>
      <c r="BG452">
        <v>1</v>
      </c>
      <c r="BH452">
        <v>2</v>
      </c>
      <c r="BI452">
        <v>2</v>
      </c>
    </row>
    <row r="453" spans="1:61" x14ac:dyDescent="0.3">
      <c r="A453" t="s">
        <v>415</v>
      </c>
      <c r="B453" t="s">
        <v>349</v>
      </c>
      <c r="C453">
        <v>19.313300000000002</v>
      </c>
      <c r="D453">
        <v>-81.254599999999996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1</v>
      </c>
      <c r="BE453">
        <v>1</v>
      </c>
      <c r="BF453">
        <v>1</v>
      </c>
      <c r="BG453">
        <v>1</v>
      </c>
      <c r="BH453">
        <v>1</v>
      </c>
      <c r="BI453">
        <v>1</v>
      </c>
    </row>
    <row r="454" spans="1:61" x14ac:dyDescent="0.3">
      <c r="A454" t="s">
        <v>354</v>
      </c>
      <c r="B454" t="s">
        <v>41</v>
      </c>
      <c r="C454">
        <v>-21.135100000000001</v>
      </c>
      <c r="D454">
        <v>55.247100000000003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1</v>
      </c>
      <c r="BC454">
        <v>1</v>
      </c>
      <c r="BD454">
        <v>5</v>
      </c>
      <c r="BE454">
        <v>6</v>
      </c>
      <c r="BF454">
        <v>7</v>
      </c>
      <c r="BG454">
        <v>9</v>
      </c>
      <c r="BH454">
        <v>9</v>
      </c>
      <c r="BI454">
        <v>12</v>
      </c>
    </row>
    <row r="455" spans="1:61" x14ac:dyDescent="0.3">
      <c r="B455" t="s">
        <v>489</v>
      </c>
      <c r="C455">
        <v>13.193899999999999</v>
      </c>
      <c r="D455">
        <v>-59.543199999999999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2</v>
      </c>
      <c r="BI455">
        <v>2</v>
      </c>
    </row>
    <row r="456" spans="1:61" x14ac:dyDescent="0.3">
      <c r="B456" t="s">
        <v>488</v>
      </c>
      <c r="C456">
        <v>42.5</v>
      </c>
      <c r="D456">
        <v>19.3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2</v>
      </c>
      <c r="BI456">
        <v>1</v>
      </c>
    </row>
    <row r="457" spans="1:61" x14ac:dyDescent="0.3">
      <c r="B457" t="s">
        <v>485</v>
      </c>
      <c r="C457">
        <v>41.2044</v>
      </c>
      <c r="D457">
        <v>74.766099999999994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3</v>
      </c>
    </row>
    <row r="458" spans="1:61" x14ac:dyDescent="0.3">
      <c r="B458" t="s">
        <v>486</v>
      </c>
      <c r="C458">
        <v>-20.2</v>
      </c>
      <c r="D458">
        <v>57.5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3</v>
      </c>
    </row>
    <row r="459" spans="1:61" x14ac:dyDescent="0.3">
      <c r="A459" t="s">
        <v>422</v>
      </c>
      <c r="B459" t="s">
        <v>89</v>
      </c>
      <c r="C459">
        <v>12.518599999999999</v>
      </c>
      <c r="D459">
        <v>-70.035799999999995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2</v>
      </c>
      <c r="BE459">
        <v>2</v>
      </c>
      <c r="BF459">
        <v>2</v>
      </c>
      <c r="BG459">
        <v>2</v>
      </c>
      <c r="BH459">
        <v>3</v>
      </c>
      <c r="BI459">
        <v>4</v>
      </c>
    </row>
    <row r="460" spans="1:61" x14ac:dyDescent="0.3">
      <c r="B460" t="s">
        <v>484</v>
      </c>
      <c r="C460">
        <v>-15.416700000000001</v>
      </c>
      <c r="D460">
        <v>28.283300000000001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2</v>
      </c>
    </row>
    <row r="461" spans="1:61" x14ac:dyDescent="0.3">
      <c r="B461" t="s">
        <v>487</v>
      </c>
      <c r="C461">
        <v>11.825100000000001</v>
      </c>
      <c r="D461">
        <v>42.590299999999999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1</v>
      </c>
    </row>
    <row r="462" spans="1:61" x14ac:dyDescent="0.3">
      <c r="B462" t="s">
        <v>521</v>
      </c>
      <c r="C462">
        <v>13.443199999999999</v>
      </c>
      <c r="D462">
        <v>-15.3101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1</v>
      </c>
      <c r="BI462">
        <v>1</v>
      </c>
    </row>
    <row r="463" spans="1:61" x14ac:dyDescent="0.3">
      <c r="A463" t="s">
        <v>490</v>
      </c>
      <c r="B463" t="s">
        <v>349</v>
      </c>
      <c r="C463">
        <v>16.7425</v>
      </c>
      <c r="D463">
        <v>-62.187399999999997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1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I463"/>
  <sheetViews>
    <sheetView workbookViewId="0">
      <selection sqref="A1:CA1000"/>
    </sheetView>
  </sheetViews>
  <sheetFormatPr defaultRowHeight="14.4" x14ac:dyDescent="0.3"/>
  <cols>
    <col min="5" max="61" width="10.5546875" bestFit="1" customWidth="1"/>
  </cols>
  <sheetData>
    <row r="1" spans="1:61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</row>
    <row r="2" spans="1:61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</row>
    <row r="3" spans="1:61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</row>
    <row r="4" spans="1:61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</row>
    <row r="5" spans="1:61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</row>
    <row r="6" spans="1:61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</row>
    <row r="7" spans="1:61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</row>
    <row r="8" spans="1:61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</row>
    <row r="9" spans="1:61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</row>
    <row r="10" spans="1:61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</row>
    <row r="11" spans="1:61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</row>
    <row r="12" spans="1:61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</row>
    <row r="13" spans="1:61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</row>
    <row r="14" spans="1:61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</row>
    <row r="15" spans="1:61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</row>
    <row r="16" spans="1:61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</row>
    <row r="17" spans="1:61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</row>
    <row r="18" spans="1:61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</row>
    <row r="19" spans="1:61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</row>
    <row r="20" spans="1:61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</row>
    <row r="21" spans="1:61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</row>
    <row r="22" spans="1:61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</row>
    <row r="23" spans="1:61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</row>
    <row r="24" spans="1:61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</row>
    <row r="25" spans="1:61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</row>
    <row r="26" spans="1:61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</row>
    <row r="27" spans="1:61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</row>
    <row r="28" spans="1:61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</row>
    <row r="29" spans="1:61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</row>
    <row r="30" spans="1:61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</row>
    <row r="31" spans="1:61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</row>
    <row r="32" spans="1:61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</row>
    <row r="33" spans="2:61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</row>
    <row r="34" spans="2:61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</row>
    <row r="35" spans="2:61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</row>
    <row r="36" spans="2:61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</row>
    <row r="37" spans="2:61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</row>
    <row r="38" spans="2:61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</row>
    <row r="39" spans="2:61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</row>
    <row r="40" spans="2:61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</row>
    <row r="41" spans="2:61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</row>
    <row r="42" spans="2:61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</row>
    <row r="43" spans="2:61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</row>
    <row r="44" spans="2:61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</row>
    <row r="45" spans="2:61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</row>
    <row r="46" spans="2:61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</row>
    <row r="47" spans="2:61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</row>
    <row r="48" spans="2:61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</row>
    <row r="49" spans="1:61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</row>
    <row r="50" spans="1:61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</row>
    <row r="51" spans="1:61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</row>
    <row r="52" spans="1:61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</row>
    <row r="53" spans="1:61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</row>
    <row r="54" spans="1:61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</row>
    <row r="55" spans="1:61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</row>
    <row r="56" spans="1:61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</row>
    <row r="57" spans="1:61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</row>
    <row r="58" spans="1:61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</row>
    <row r="59" spans="1:61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</row>
    <row r="60" spans="1:61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</row>
    <row r="61" spans="1:61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</row>
    <row r="62" spans="1:61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</row>
    <row r="63" spans="1:61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</row>
    <row r="64" spans="1:61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</row>
    <row r="65" spans="1:61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</row>
    <row r="66" spans="1:61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</row>
    <row r="67" spans="1:61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</row>
    <row r="68" spans="1:61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</row>
    <row r="69" spans="1:61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</row>
    <row r="70" spans="1:61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</row>
    <row r="71" spans="1:61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</row>
    <row r="72" spans="1:61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</row>
    <row r="73" spans="1:61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</row>
    <row r="74" spans="1:61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</row>
    <row r="75" spans="1:61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</row>
    <row r="76" spans="1:61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</row>
    <row r="77" spans="1:61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</row>
    <row r="78" spans="1:61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</row>
    <row r="79" spans="1:61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</row>
    <row r="80" spans="1:61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</row>
    <row r="81" spans="1:61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</row>
    <row r="82" spans="1:61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</row>
    <row r="83" spans="1:61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</row>
    <row r="84" spans="1:61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</row>
    <row r="85" spans="1:61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</row>
    <row r="86" spans="1:61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</row>
    <row r="87" spans="1:61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</row>
    <row r="88" spans="1:61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</row>
    <row r="89" spans="1:61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</row>
    <row r="90" spans="1:61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</row>
    <row r="91" spans="1:61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</row>
    <row r="92" spans="1:61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</row>
    <row r="93" spans="1:61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</row>
    <row r="94" spans="1:61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</row>
    <row r="95" spans="1:61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</row>
    <row r="96" spans="1:61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</row>
    <row r="97" spans="1:61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</row>
    <row r="98" spans="1:61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</row>
    <row r="99" spans="1:61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</row>
    <row r="100" spans="1:61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</row>
    <row r="101" spans="1:61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</row>
    <row r="102" spans="1:61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</row>
    <row r="103" spans="1:61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</row>
    <row r="104" spans="1:61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</row>
    <row r="105" spans="1:61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</row>
    <row r="106" spans="1:61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</row>
    <row r="107" spans="1:61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</row>
    <row r="108" spans="1:61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</row>
    <row r="110" spans="1:61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</row>
    <row r="111" spans="1:61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</row>
    <row r="112" spans="1:61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</row>
    <row r="113" spans="1:61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</row>
    <row r="114" spans="1:61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</row>
    <row r="115" spans="1:61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</row>
    <row r="116" spans="1:61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</row>
    <row r="117" spans="1:61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</row>
    <row r="118" spans="1:61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</row>
    <row r="119" spans="1:61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</row>
    <row r="120" spans="1:61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</row>
    <row r="121" spans="1:61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</row>
    <row r="122" spans="1:61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</row>
    <row r="123" spans="1:61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</row>
    <row r="124" spans="1:61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</row>
    <row r="125" spans="1:61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</row>
    <row r="126" spans="1:61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</row>
    <row r="127" spans="1:61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</row>
    <row r="128" spans="1:61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</row>
    <row r="129" spans="1:61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</row>
    <row r="130" spans="1:61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</row>
    <row r="131" spans="1:61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</row>
    <row r="132" spans="1:61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</row>
    <row r="133" spans="1:61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</row>
    <row r="134" spans="1:61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</row>
    <row r="135" spans="1:61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</row>
    <row r="136" spans="1:61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</row>
    <row r="137" spans="1:61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</row>
    <row r="138" spans="1:61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</row>
    <row r="139" spans="1:61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</row>
    <row r="140" spans="1:61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</row>
    <row r="141" spans="1:61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</row>
    <row r="142" spans="1:61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</row>
    <row r="143" spans="1:61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</row>
    <row r="144" spans="1:61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</row>
    <row r="145" spans="1:61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</row>
    <row r="146" spans="1:61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</row>
    <row r="147" spans="1:61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</row>
    <row r="148" spans="1:61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</row>
    <row r="149" spans="1:61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</row>
    <row r="150" spans="1:61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</row>
    <row r="151" spans="1:61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</row>
    <row r="152" spans="1:61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</row>
    <row r="153" spans="1:61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</row>
    <row r="154" spans="1:61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</row>
    <row r="155" spans="1:61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</row>
    <row r="156" spans="1:61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</row>
    <row r="157" spans="1:61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</row>
    <row r="158" spans="1:61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</row>
    <row r="159" spans="1:61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</row>
    <row r="160" spans="1:61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</row>
    <row r="161" spans="1:61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</row>
    <row r="162" spans="1:61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</row>
    <row r="163" spans="1:61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</row>
    <row r="164" spans="1:61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</row>
    <row r="165" spans="1:61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</row>
    <row r="166" spans="1:61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</row>
    <row r="167" spans="1:61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</row>
    <row r="168" spans="1:61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</row>
    <row r="169" spans="1:61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</row>
    <row r="170" spans="1:61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</row>
    <row r="171" spans="1:61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</row>
    <row r="172" spans="1:61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</row>
    <row r="173" spans="1:61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</row>
    <row r="174" spans="1:61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</row>
    <row r="175" spans="1:61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</row>
    <row r="176" spans="1:61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</row>
    <row r="177" spans="1:61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</row>
    <row r="178" spans="1:61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</row>
    <row r="179" spans="1:61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</row>
    <row r="180" spans="1:61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</row>
    <row r="181" spans="1:61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</row>
    <row r="182" spans="1:61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</row>
    <row r="183" spans="1:61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</row>
    <row r="184" spans="1:61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</row>
    <row r="185" spans="1:61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</row>
    <row r="186" spans="1:61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</row>
    <row r="187" spans="1:61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</row>
    <row r="188" spans="1:61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</row>
    <row r="189" spans="1:61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</row>
    <row r="190" spans="1:61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</row>
    <row r="191" spans="1:61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</row>
    <row r="192" spans="1:61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</row>
    <row r="193" spans="1:61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</row>
    <row r="194" spans="1:61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</row>
    <row r="195" spans="1:61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</row>
    <row r="196" spans="1:61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</row>
    <row r="197" spans="1:61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</row>
    <row r="198" spans="1:61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</row>
    <row r="199" spans="1:61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</row>
    <row r="200" spans="1:61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</row>
    <row r="201" spans="1:61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</row>
    <row r="202" spans="1:61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</row>
    <row r="203" spans="1:61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</row>
    <row r="204" spans="1:61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</row>
    <row r="205" spans="1:61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</row>
    <row r="206" spans="1:61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</row>
    <row r="207" spans="1:61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</row>
    <row r="208" spans="1:61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</row>
    <row r="209" spans="1:61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</row>
    <row r="210" spans="1:61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</row>
    <row r="211" spans="1:61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</row>
    <row r="212" spans="1:61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</row>
    <row r="213" spans="1:61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</row>
    <row r="214" spans="1:61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</row>
    <row r="215" spans="1:61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</row>
    <row r="216" spans="1:61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</row>
    <row r="217" spans="1:61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</row>
    <row r="218" spans="1:61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</row>
    <row r="219" spans="1:61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</row>
    <row r="220" spans="1:61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</row>
    <row r="221" spans="1:61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</row>
    <row r="222" spans="1:61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</row>
    <row r="223" spans="1:61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</row>
    <row r="224" spans="1:61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</row>
    <row r="225" spans="1:61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</row>
    <row r="226" spans="1:61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</row>
    <row r="227" spans="1:61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</row>
    <row r="228" spans="1:61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</row>
    <row r="229" spans="1:61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</row>
    <row r="230" spans="1:61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</row>
    <row r="231" spans="1:61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</row>
    <row r="232" spans="1:61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</row>
    <row r="233" spans="1:61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</row>
    <row r="234" spans="1:61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</row>
    <row r="235" spans="1:61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</row>
    <row r="236" spans="1:61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</row>
    <row r="237" spans="1:61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</row>
    <row r="238" spans="1:61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</row>
    <row r="239" spans="1:61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</row>
    <row r="240" spans="1:61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</row>
    <row r="241" spans="1:61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</row>
    <row r="242" spans="1:61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</row>
    <row r="243" spans="1:61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</row>
    <row r="244" spans="1:61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</row>
    <row r="245" spans="1:61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</row>
    <row r="246" spans="1:61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</row>
    <row r="247" spans="1:61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</row>
    <row r="248" spans="1:61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</row>
    <row r="249" spans="1:61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</row>
    <row r="250" spans="1:61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</row>
    <row r="251" spans="1:61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</row>
    <row r="252" spans="1:61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</row>
    <row r="253" spans="1:61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</row>
    <row r="254" spans="1:61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</row>
    <row r="255" spans="1:61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</row>
    <row r="256" spans="1:61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</row>
    <row r="257" spans="1:61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</row>
    <row r="258" spans="1:61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</row>
    <row r="259" spans="1:61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</row>
    <row r="260" spans="1:61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</row>
    <row r="261" spans="1:61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</row>
    <row r="262" spans="1:61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</row>
    <row r="263" spans="1:61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</row>
    <row r="264" spans="1:61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</row>
    <row r="265" spans="1:61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</row>
    <row r="266" spans="1:61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</row>
    <row r="267" spans="1:61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</row>
    <row r="268" spans="1:61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</row>
    <row r="269" spans="1:61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</row>
    <row r="270" spans="1:61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</row>
    <row r="271" spans="1:61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</row>
    <row r="272" spans="1:61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</row>
    <row r="273" spans="1:61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</row>
    <row r="274" spans="1:61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</row>
    <row r="275" spans="1:61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</row>
    <row r="276" spans="1:61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</row>
    <row r="277" spans="1:61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</row>
    <row r="278" spans="1:61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</row>
    <row r="279" spans="1:61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</row>
    <row r="280" spans="1:61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</row>
    <row r="281" spans="1:61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</row>
    <row r="282" spans="1:61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</row>
    <row r="283" spans="1:61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</row>
    <row r="284" spans="1:61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</row>
    <row r="285" spans="1:61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</row>
    <row r="286" spans="1:61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</row>
    <row r="287" spans="1:61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</row>
    <row r="288" spans="1:61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</row>
    <row r="289" spans="1:61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</row>
    <row r="290" spans="1:61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</row>
    <row r="291" spans="1:61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</row>
    <row r="292" spans="1:61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</row>
    <row r="293" spans="1:61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</row>
    <row r="294" spans="1:61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</row>
    <row r="295" spans="1:61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</row>
    <row r="296" spans="1:61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</row>
    <row r="297" spans="1:61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</row>
    <row r="298" spans="1:61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</row>
    <row r="299" spans="1:61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</row>
    <row r="300" spans="1:61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</row>
    <row r="301" spans="1:61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</row>
    <row r="302" spans="1:61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</row>
    <row r="303" spans="1:61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</row>
    <row r="304" spans="1:61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</row>
    <row r="305" spans="1:61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</row>
    <row r="306" spans="1:61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</row>
    <row r="307" spans="1:61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</row>
    <row r="308" spans="1:61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</row>
    <row r="309" spans="1:61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</row>
    <row r="310" spans="1:61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</row>
    <row r="311" spans="1:61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</row>
    <row r="312" spans="1:61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</row>
    <row r="313" spans="1:61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</row>
    <row r="314" spans="1:61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</row>
    <row r="315" spans="1:61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</row>
    <row r="316" spans="1:61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</row>
    <row r="317" spans="1:61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</row>
    <row r="318" spans="1:61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</row>
    <row r="319" spans="1:61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</row>
    <row r="320" spans="1:61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</row>
    <row r="321" spans="1:61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</row>
    <row r="322" spans="1:61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</row>
    <row r="323" spans="1:61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</row>
    <row r="324" spans="1:61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</row>
    <row r="325" spans="1:61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</row>
    <row r="326" spans="1:61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</row>
    <row r="327" spans="1:61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</row>
    <row r="328" spans="1:61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</row>
    <row r="329" spans="1:61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</row>
    <row r="330" spans="1:61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</row>
    <row r="331" spans="1:61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</row>
    <row r="332" spans="1:61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</row>
    <row r="333" spans="1:61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</row>
    <row r="334" spans="1:61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</row>
    <row r="335" spans="1:61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</row>
    <row r="336" spans="1:61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</row>
    <row r="337" spans="1:61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</row>
    <row r="338" spans="1:61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</row>
    <row r="339" spans="1:61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</row>
    <row r="340" spans="1:61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</row>
    <row r="341" spans="1:61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</row>
    <row r="342" spans="1:61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</row>
    <row r="343" spans="1:61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</row>
    <row r="344" spans="1:61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</row>
    <row r="345" spans="1:61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</row>
    <row r="346" spans="1:61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</row>
    <row r="347" spans="1:61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</row>
    <row r="348" spans="1:61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</row>
    <row r="349" spans="1:61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</row>
    <row r="350" spans="1:61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</row>
    <row r="351" spans="1:61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</row>
    <row r="352" spans="1:61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</row>
    <row r="353" spans="1:61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</row>
    <row r="354" spans="1:61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</row>
    <row r="355" spans="1:61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</row>
    <row r="356" spans="1:61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</row>
    <row r="357" spans="1:61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</row>
    <row r="358" spans="1:61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</row>
    <row r="359" spans="1:61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</row>
    <row r="360" spans="1:61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</row>
    <row r="361" spans="1:61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</row>
    <row r="362" spans="1:61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</row>
    <row r="363" spans="1:61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</row>
    <row r="364" spans="1:61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</row>
    <row r="365" spans="1:61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</row>
    <row r="366" spans="1:61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</row>
    <row r="367" spans="1:61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</row>
    <row r="368" spans="1:61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</row>
    <row r="369" spans="1:61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</row>
    <row r="370" spans="1:61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</row>
    <row r="371" spans="1:61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</row>
    <row r="372" spans="1:61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</row>
    <row r="373" spans="1:61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</row>
    <row r="374" spans="1:61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</row>
    <row r="375" spans="1:61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</row>
    <row r="376" spans="1:61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</row>
    <row r="377" spans="1:61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</row>
    <row r="378" spans="1:61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</row>
    <row r="379" spans="1:61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</row>
    <row r="380" spans="1:61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</row>
    <row r="381" spans="1:61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</row>
    <row r="382" spans="1:61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</row>
    <row r="383" spans="1:61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</row>
    <row r="384" spans="1:61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</row>
    <row r="385" spans="1:61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</row>
    <row r="386" spans="1:61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</row>
    <row r="387" spans="1:61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</row>
    <row r="388" spans="1:61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</row>
    <row r="389" spans="1:61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</row>
    <row r="390" spans="1:61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</row>
    <row r="391" spans="1:61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</row>
    <row r="392" spans="1:61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</row>
    <row r="393" spans="1:61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</row>
    <row r="394" spans="1:61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</row>
    <row r="395" spans="1:61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</row>
    <row r="396" spans="1:61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</row>
    <row r="397" spans="1:61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</row>
    <row r="398" spans="1:61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</row>
    <row r="399" spans="1:61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</row>
    <row r="400" spans="1:61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</row>
    <row r="401" spans="1:61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</row>
    <row r="402" spans="1:61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</row>
    <row r="403" spans="1:61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</row>
    <row r="404" spans="1:61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</row>
    <row r="405" spans="1:61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</row>
    <row r="406" spans="1:61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</row>
    <row r="407" spans="1:61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</row>
    <row r="408" spans="1:61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</row>
    <row r="409" spans="1:61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</row>
    <row r="410" spans="1:61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</row>
    <row r="411" spans="1:61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</row>
    <row r="412" spans="1:61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</row>
    <row r="413" spans="1:61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</row>
    <row r="414" spans="1:61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</row>
    <row r="415" spans="1:61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</row>
    <row r="416" spans="1:61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</row>
    <row r="417" spans="1:61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</row>
    <row r="418" spans="1:61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</row>
    <row r="419" spans="1:61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</row>
    <row r="420" spans="1:61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</row>
    <row r="421" spans="1:61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</row>
    <row r="422" spans="1:61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</row>
    <row r="423" spans="1:61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</row>
    <row r="424" spans="1:61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</row>
    <row r="425" spans="1:61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</row>
    <row r="426" spans="1:61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</row>
    <row r="427" spans="1:61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</row>
    <row r="428" spans="1:61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</row>
    <row r="429" spans="1:61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</row>
    <row r="430" spans="1:61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</row>
    <row r="431" spans="1:61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</row>
    <row r="432" spans="1:61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</row>
    <row r="433" spans="1:61" x14ac:dyDescent="0.3">
      <c r="A433" t="s">
        <v>459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</row>
    <row r="434" spans="1:61" x14ac:dyDescent="0.3">
      <c r="B434" t="s">
        <v>460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</row>
    <row r="435" spans="1:61" x14ac:dyDescent="0.3">
      <c r="A435" t="s">
        <v>461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</row>
    <row r="436" spans="1:61" x14ac:dyDescent="0.3">
      <c r="A436" t="s">
        <v>462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</row>
    <row r="437" spans="1:61" x14ac:dyDescent="0.3">
      <c r="B437" t="s">
        <v>463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</row>
    <row r="438" spans="1:61" x14ac:dyDescent="0.3">
      <c r="B438" t="s">
        <v>464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</row>
    <row r="439" spans="1:61" x14ac:dyDescent="0.3">
      <c r="B439" t="s">
        <v>465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</row>
    <row r="440" spans="1:61" x14ac:dyDescent="0.3">
      <c r="A440" t="s">
        <v>466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</row>
    <row r="441" spans="1:61" x14ac:dyDescent="0.3">
      <c r="B441" t="s">
        <v>467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</row>
    <row r="442" spans="1:61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</row>
    <row r="443" spans="1:61" x14ac:dyDescent="0.3">
      <c r="A443" t="s">
        <v>470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</row>
    <row r="444" spans="1:61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</row>
    <row r="445" spans="1:61" x14ac:dyDescent="0.3">
      <c r="B445" t="s">
        <v>471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</row>
    <row r="446" spans="1:61" x14ac:dyDescent="0.3">
      <c r="B446" t="s">
        <v>472</v>
      </c>
      <c r="C446">
        <v>71.706900000000005</v>
      </c>
      <c r="D446">
        <v>-42.604300000000002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</row>
    <row r="447" spans="1:61" x14ac:dyDescent="0.3">
      <c r="B447" t="s">
        <v>473</v>
      </c>
      <c r="C447">
        <v>6.4280999999999997</v>
      </c>
      <c r="D447">
        <v>-9.4295000000000009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</row>
    <row r="448" spans="1:61" x14ac:dyDescent="0.3">
      <c r="A448" t="s">
        <v>441</v>
      </c>
      <c r="B448" t="s">
        <v>89</v>
      </c>
      <c r="C448">
        <v>12.169600000000001</v>
      </c>
      <c r="D448">
        <v>-68.989999999999995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</row>
    <row r="449" spans="1:61" x14ac:dyDescent="0.3">
      <c r="B449" t="s">
        <v>474</v>
      </c>
      <c r="C449">
        <v>5.1520999999999999</v>
      </c>
      <c r="D449">
        <v>46.199599999999997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</row>
    <row r="450" spans="1:61" x14ac:dyDescent="0.3">
      <c r="B450" t="s">
        <v>475</v>
      </c>
      <c r="C450">
        <v>-6.3689999999999998</v>
      </c>
      <c r="D450">
        <v>34.888800000000003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</row>
    <row r="451" spans="1:61" x14ac:dyDescent="0.3">
      <c r="B451" t="s">
        <v>476</v>
      </c>
      <c r="C451">
        <v>24.25</v>
      </c>
      <c r="D451">
        <v>-76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</row>
    <row r="452" spans="1:61" x14ac:dyDescent="0.3">
      <c r="A452" t="s">
        <v>477</v>
      </c>
      <c r="B452" t="s">
        <v>38</v>
      </c>
      <c r="C452">
        <v>18.335799999999999</v>
      </c>
      <c r="D452">
        <v>-64.896299999999997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</row>
    <row r="453" spans="1:61" x14ac:dyDescent="0.3">
      <c r="A453" t="s">
        <v>415</v>
      </c>
      <c r="B453" t="s">
        <v>349</v>
      </c>
      <c r="C453">
        <v>19.313300000000002</v>
      </c>
      <c r="D453">
        <v>-81.254599999999996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</row>
    <row r="454" spans="1:61" x14ac:dyDescent="0.3">
      <c r="A454" t="s">
        <v>354</v>
      </c>
      <c r="B454" t="s">
        <v>41</v>
      </c>
      <c r="C454">
        <v>-21.135100000000001</v>
      </c>
      <c r="D454">
        <v>55.247100000000003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</row>
    <row r="455" spans="1:61" x14ac:dyDescent="0.3">
      <c r="B455" t="s">
        <v>489</v>
      </c>
      <c r="C455">
        <v>13.193899999999999</v>
      </c>
      <c r="D455">
        <v>-59.543199999999999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</row>
    <row r="456" spans="1:61" x14ac:dyDescent="0.3">
      <c r="B456" t="s">
        <v>488</v>
      </c>
      <c r="C456">
        <v>42.5</v>
      </c>
      <c r="D456">
        <v>19.3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</row>
    <row r="457" spans="1:61" x14ac:dyDescent="0.3">
      <c r="B457" t="s">
        <v>485</v>
      </c>
      <c r="C457">
        <v>41.2044</v>
      </c>
      <c r="D457">
        <v>74.766099999999994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</row>
    <row r="458" spans="1:61" x14ac:dyDescent="0.3">
      <c r="B458" t="s">
        <v>486</v>
      </c>
      <c r="C458">
        <v>-20.2</v>
      </c>
      <c r="D458">
        <v>57.5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</row>
    <row r="459" spans="1:61" x14ac:dyDescent="0.3">
      <c r="A459" t="s">
        <v>422</v>
      </c>
      <c r="B459" t="s">
        <v>89</v>
      </c>
      <c r="C459">
        <v>12.518599999999999</v>
      </c>
      <c r="D459">
        <v>-70.035799999999995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</row>
    <row r="460" spans="1:61" x14ac:dyDescent="0.3">
      <c r="B460" t="s">
        <v>484</v>
      </c>
      <c r="C460">
        <v>-15.416700000000001</v>
      </c>
      <c r="D460">
        <v>28.283300000000001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</row>
    <row r="461" spans="1:61" x14ac:dyDescent="0.3">
      <c r="B461" t="s">
        <v>487</v>
      </c>
      <c r="C461">
        <v>11.825100000000001</v>
      </c>
      <c r="D461">
        <v>42.590299999999999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</row>
    <row r="462" spans="1:61" x14ac:dyDescent="0.3">
      <c r="B462" t="s">
        <v>521</v>
      </c>
      <c r="C462">
        <v>13.443199999999999</v>
      </c>
      <c r="D462">
        <v>-15.3101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</row>
    <row r="463" spans="1:61" x14ac:dyDescent="0.3">
      <c r="A463" t="s">
        <v>490</v>
      </c>
      <c r="B463" t="s">
        <v>349</v>
      </c>
      <c r="C463">
        <v>16.7425</v>
      </c>
      <c r="D463">
        <v>-62.187399999999997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I463"/>
  <sheetViews>
    <sheetView topLeftCell="AM1" workbookViewId="0">
      <selection sqref="A1:CA1000"/>
    </sheetView>
  </sheetViews>
  <sheetFormatPr defaultRowHeight="14.4" x14ac:dyDescent="0.3"/>
  <sheetData>
    <row r="1" spans="1:61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</row>
    <row r="2" spans="1:61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</row>
    <row r="3" spans="1:61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2</v>
      </c>
      <c r="AO3">
        <v>4</v>
      </c>
      <c r="AP3">
        <v>4</v>
      </c>
      <c r="AQ3">
        <v>5</v>
      </c>
      <c r="AR3">
        <v>6</v>
      </c>
      <c r="AS3">
        <v>6</v>
      </c>
      <c r="AT3">
        <v>6</v>
      </c>
      <c r="AU3">
        <v>6</v>
      </c>
      <c r="AV3">
        <v>6</v>
      </c>
      <c r="AW3">
        <v>6</v>
      </c>
      <c r="AX3">
        <v>6</v>
      </c>
      <c r="AY3">
        <v>6</v>
      </c>
      <c r="AZ3">
        <v>10</v>
      </c>
      <c r="BA3">
        <v>10</v>
      </c>
      <c r="BB3">
        <v>15</v>
      </c>
      <c r="BC3">
        <v>16</v>
      </c>
      <c r="BD3">
        <v>19</v>
      </c>
      <c r="BE3">
        <v>22</v>
      </c>
      <c r="BF3">
        <v>22</v>
      </c>
      <c r="BG3">
        <v>27</v>
      </c>
      <c r="BH3">
        <v>29</v>
      </c>
      <c r="BI3">
        <v>29</v>
      </c>
    </row>
    <row r="4" spans="1:61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</row>
    <row r="5" spans="1:61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</row>
    <row r="6" spans="1:61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2</v>
      </c>
      <c r="BI6">
        <v>2</v>
      </c>
    </row>
    <row r="7" spans="1:61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4</v>
      </c>
      <c r="BH7">
        <v>4</v>
      </c>
      <c r="BI7">
        <v>7</v>
      </c>
    </row>
    <row r="8" spans="1:61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1</v>
      </c>
      <c r="AV8">
        <v>1</v>
      </c>
      <c r="AW8">
        <v>1</v>
      </c>
      <c r="AX8">
        <v>1</v>
      </c>
      <c r="AY8">
        <v>2</v>
      </c>
      <c r="AZ8">
        <v>2</v>
      </c>
      <c r="BA8">
        <v>2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4</v>
      </c>
      <c r="BI8">
        <v>5</v>
      </c>
    </row>
    <row r="9" spans="1:61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</row>
    <row r="10" spans="1:61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</row>
    <row r="11" spans="1:61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</row>
    <row r="12" spans="1:61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</row>
    <row r="13" spans="1:61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2</v>
      </c>
      <c r="BA13">
        <v>2</v>
      </c>
      <c r="BB13">
        <v>3</v>
      </c>
      <c r="BC13">
        <v>3</v>
      </c>
      <c r="BD13">
        <v>7</v>
      </c>
      <c r="BE13">
        <v>9</v>
      </c>
      <c r="BF13">
        <v>11</v>
      </c>
      <c r="BG13">
        <v>17</v>
      </c>
      <c r="BH13">
        <v>24</v>
      </c>
      <c r="BI13">
        <v>28</v>
      </c>
    </row>
    <row r="14" spans="1:61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</row>
    <row r="15" spans="1:61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</row>
    <row r="16" spans="1:61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2</v>
      </c>
      <c r="BD16">
        <v>5</v>
      </c>
      <c r="BE16">
        <v>8</v>
      </c>
      <c r="BF16">
        <v>11</v>
      </c>
      <c r="BG16">
        <v>12</v>
      </c>
      <c r="BH16">
        <v>12</v>
      </c>
      <c r="BI16">
        <v>19</v>
      </c>
    </row>
    <row r="17" spans="1:61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1</v>
      </c>
      <c r="BC17">
        <v>1</v>
      </c>
      <c r="BD17">
        <v>2</v>
      </c>
      <c r="BE17">
        <v>2</v>
      </c>
      <c r="BF17">
        <v>2</v>
      </c>
      <c r="BG17">
        <v>2</v>
      </c>
      <c r="BH17">
        <v>3</v>
      </c>
      <c r="BI17">
        <v>3</v>
      </c>
    </row>
    <row r="18" spans="1:61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1</v>
      </c>
      <c r="AJ18">
        <v>2</v>
      </c>
      <c r="AK18">
        <v>3</v>
      </c>
      <c r="AL18">
        <v>7</v>
      </c>
      <c r="AM18">
        <v>10</v>
      </c>
      <c r="AN18">
        <v>12</v>
      </c>
      <c r="AO18">
        <v>17</v>
      </c>
      <c r="AP18">
        <v>21</v>
      </c>
      <c r="AQ18">
        <v>29</v>
      </c>
      <c r="AR18">
        <v>34</v>
      </c>
      <c r="AS18">
        <v>52</v>
      </c>
      <c r="AT18">
        <v>79</v>
      </c>
      <c r="AU18">
        <v>107</v>
      </c>
      <c r="AV18">
        <v>148</v>
      </c>
      <c r="AW18">
        <v>197</v>
      </c>
      <c r="AX18">
        <v>233</v>
      </c>
      <c r="AY18">
        <v>366</v>
      </c>
      <c r="AZ18">
        <v>463</v>
      </c>
      <c r="BA18">
        <v>631</v>
      </c>
      <c r="BB18">
        <v>827</v>
      </c>
      <c r="BC18">
        <v>827</v>
      </c>
      <c r="BD18">
        <v>1266</v>
      </c>
      <c r="BE18">
        <v>1441</v>
      </c>
      <c r="BF18">
        <v>1809</v>
      </c>
      <c r="BG18">
        <v>2158</v>
      </c>
      <c r="BH18">
        <v>2503</v>
      </c>
      <c r="BI18">
        <v>2978</v>
      </c>
    </row>
    <row r="19" spans="1:61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2</v>
      </c>
      <c r="BF19">
        <v>3</v>
      </c>
      <c r="BG19">
        <v>6</v>
      </c>
      <c r="BH19">
        <v>7</v>
      </c>
      <c r="BI19">
        <v>10</v>
      </c>
    </row>
    <row r="20" spans="1:61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1</v>
      </c>
      <c r="AU20">
        <v>2</v>
      </c>
      <c r="AV20">
        <v>3</v>
      </c>
      <c r="AW20">
        <v>5</v>
      </c>
      <c r="AX20">
        <v>10</v>
      </c>
      <c r="AY20">
        <v>17</v>
      </c>
      <c r="AZ20">
        <v>28</v>
      </c>
      <c r="BA20">
        <v>35</v>
      </c>
      <c r="BB20">
        <v>54</v>
      </c>
      <c r="BC20">
        <v>55</v>
      </c>
      <c r="BD20">
        <v>133</v>
      </c>
      <c r="BE20">
        <v>195</v>
      </c>
      <c r="BF20">
        <v>289</v>
      </c>
      <c r="BG20">
        <v>342</v>
      </c>
      <c r="BH20">
        <v>533</v>
      </c>
      <c r="BI20">
        <v>623</v>
      </c>
    </row>
    <row r="21" spans="1:61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</row>
    <row r="22" spans="1:61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3</v>
      </c>
      <c r="BC22">
        <v>3</v>
      </c>
      <c r="BD22">
        <v>3</v>
      </c>
      <c r="BE22">
        <v>4</v>
      </c>
      <c r="BF22">
        <v>4</v>
      </c>
      <c r="BG22">
        <v>5</v>
      </c>
      <c r="BH22">
        <v>10</v>
      </c>
      <c r="BI22">
        <v>14</v>
      </c>
    </row>
    <row r="23" spans="1:61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2</v>
      </c>
      <c r="BE23">
        <v>2</v>
      </c>
      <c r="BF23">
        <v>2</v>
      </c>
      <c r="BG23">
        <v>2</v>
      </c>
      <c r="BH23">
        <v>4</v>
      </c>
      <c r="BI23">
        <v>6</v>
      </c>
    </row>
    <row r="24" spans="1:61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</row>
    <row r="25" spans="1:61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1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3</v>
      </c>
      <c r="BH25">
        <v>3</v>
      </c>
      <c r="BI25">
        <v>3</v>
      </c>
    </row>
    <row r="26" spans="1:61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2</v>
      </c>
      <c r="AV26">
        <v>2</v>
      </c>
      <c r="AW26">
        <v>3</v>
      </c>
      <c r="AX26">
        <v>4</v>
      </c>
      <c r="AY26">
        <v>6</v>
      </c>
      <c r="AZ26">
        <v>6</v>
      </c>
      <c r="BA26">
        <v>7</v>
      </c>
      <c r="BB26">
        <v>7</v>
      </c>
      <c r="BC26">
        <v>8</v>
      </c>
      <c r="BD26">
        <v>9</v>
      </c>
      <c r="BE26">
        <v>10</v>
      </c>
      <c r="BF26">
        <v>10</v>
      </c>
      <c r="BG26">
        <v>10</v>
      </c>
      <c r="BH26">
        <v>11</v>
      </c>
      <c r="BI26">
        <v>12</v>
      </c>
    </row>
    <row r="27" spans="1:61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</row>
    <row r="28" spans="1:61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</row>
    <row r="29" spans="1:61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1</v>
      </c>
      <c r="BH29">
        <v>1</v>
      </c>
      <c r="BI29">
        <v>1</v>
      </c>
    </row>
    <row r="30" spans="1:61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</row>
    <row r="31" spans="1:61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1</v>
      </c>
      <c r="BD31">
        <v>2</v>
      </c>
      <c r="BE31">
        <v>3</v>
      </c>
      <c r="BF31">
        <v>4</v>
      </c>
      <c r="BG31">
        <v>4</v>
      </c>
      <c r="BH31">
        <v>4</v>
      </c>
      <c r="BI31">
        <v>7</v>
      </c>
    </row>
    <row r="32" spans="1:61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</row>
    <row r="33" spans="2:61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1</v>
      </c>
      <c r="AW33">
        <v>1</v>
      </c>
      <c r="AX33">
        <v>1</v>
      </c>
      <c r="AY33">
        <v>2</v>
      </c>
      <c r="AZ33">
        <v>2</v>
      </c>
      <c r="BA33">
        <v>3</v>
      </c>
      <c r="BB33">
        <v>4</v>
      </c>
      <c r="BC33">
        <v>4</v>
      </c>
      <c r="BD33">
        <v>11</v>
      </c>
      <c r="BE33">
        <v>13</v>
      </c>
      <c r="BF33">
        <v>14</v>
      </c>
      <c r="BG33">
        <v>14</v>
      </c>
      <c r="BH33">
        <v>27</v>
      </c>
      <c r="BI33">
        <v>28</v>
      </c>
    </row>
    <row r="34" spans="2:61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1</v>
      </c>
      <c r="BD34">
        <v>1</v>
      </c>
      <c r="BE34">
        <v>1</v>
      </c>
      <c r="BF34">
        <v>1</v>
      </c>
      <c r="BG34">
        <v>3</v>
      </c>
      <c r="BH34">
        <v>3</v>
      </c>
      <c r="BI34">
        <v>4</v>
      </c>
    </row>
    <row r="35" spans="2:61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</row>
    <row r="36" spans="2:61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</row>
    <row r="37" spans="2:61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1</v>
      </c>
      <c r="BI37">
        <v>3</v>
      </c>
    </row>
    <row r="38" spans="2:61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</row>
    <row r="39" spans="2:61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1</v>
      </c>
      <c r="BC39">
        <v>1</v>
      </c>
      <c r="BD39">
        <v>1</v>
      </c>
      <c r="BE39">
        <v>3</v>
      </c>
      <c r="BF39">
        <v>4</v>
      </c>
      <c r="BG39">
        <v>4</v>
      </c>
      <c r="BH39">
        <v>5</v>
      </c>
      <c r="BI39">
        <v>5</v>
      </c>
    </row>
    <row r="40" spans="2:61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</row>
    <row r="41" spans="2:61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3</v>
      </c>
      <c r="BF41">
        <v>3</v>
      </c>
      <c r="BG41">
        <v>3</v>
      </c>
      <c r="BH41">
        <v>3</v>
      </c>
      <c r="BI41">
        <v>6</v>
      </c>
    </row>
    <row r="42" spans="2:61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</row>
    <row r="43" spans="2:61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</row>
    <row r="44" spans="2:61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2</v>
      </c>
      <c r="BB44">
        <v>2</v>
      </c>
      <c r="BC44">
        <v>3</v>
      </c>
      <c r="BD44">
        <v>5</v>
      </c>
      <c r="BE44">
        <v>5</v>
      </c>
      <c r="BF44">
        <v>5</v>
      </c>
      <c r="BG44">
        <v>7</v>
      </c>
      <c r="BH44">
        <v>7</v>
      </c>
      <c r="BI44">
        <v>11</v>
      </c>
    </row>
    <row r="45" spans="2:61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</row>
    <row r="46" spans="2:61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5</v>
      </c>
      <c r="BG46">
        <v>0</v>
      </c>
      <c r="BH46">
        <v>1</v>
      </c>
      <c r="BI46">
        <v>1</v>
      </c>
    </row>
    <row r="47" spans="2:61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</row>
    <row r="48" spans="2:61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</row>
    <row r="49" spans="1:61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</row>
    <row r="50" spans="1:61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</row>
    <row r="51" spans="1:61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</row>
    <row r="52" spans="1:61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1</v>
      </c>
      <c r="BC52">
        <v>1</v>
      </c>
      <c r="BD52">
        <v>1</v>
      </c>
      <c r="BE52">
        <v>2</v>
      </c>
      <c r="BF52">
        <v>2</v>
      </c>
      <c r="BG52">
        <v>2</v>
      </c>
      <c r="BH52">
        <v>2</v>
      </c>
      <c r="BI52">
        <v>2</v>
      </c>
    </row>
    <row r="53" spans="1:61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1</v>
      </c>
      <c r="BF53">
        <v>1</v>
      </c>
      <c r="BG53">
        <v>1</v>
      </c>
      <c r="BH53">
        <v>1</v>
      </c>
      <c r="BI53">
        <v>2</v>
      </c>
    </row>
    <row r="54" spans="1:61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</row>
    <row r="55" spans="1:61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</row>
    <row r="56" spans="1:61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2</v>
      </c>
      <c r="BF56">
        <v>2</v>
      </c>
      <c r="BG56">
        <v>2</v>
      </c>
      <c r="BH56">
        <v>2</v>
      </c>
      <c r="BI56">
        <v>2</v>
      </c>
    </row>
    <row r="57" spans="1:61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</row>
    <row r="58" spans="1:61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</row>
    <row r="59" spans="1:61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1</v>
      </c>
      <c r="BI59">
        <v>1</v>
      </c>
    </row>
    <row r="60" spans="1:61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1</v>
      </c>
      <c r="BC60">
        <v>1</v>
      </c>
      <c r="BD60">
        <v>4</v>
      </c>
      <c r="BE60">
        <v>5</v>
      </c>
      <c r="BF60">
        <v>5</v>
      </c>
      <c r="BG60">
        <v>5</v>
      </c>
      <c r="BH60">
        <v>5</v>
      </c>
      <c r="BI60">
        <v>19</v>
      </c>
    </row>
    <row r="61" spans="1:61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1</v>
      </c>
      <c r="BI61">
        <v>2</v>
      </c>
    </row>
    <row r="62" spans="1:61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</row>
    <row r="63" spans="1:61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</row>
    <row r="64" spans="1:61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</row>
    <row r="65" spans="1:61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2</v>
      </c>
      <c r="BI65">
        <v>2</v>
      </c>
    </row>
    <row r="66" spans="1:61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</row>
    <row r="67" spans="1:61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</row>
    <row r="68" spans="1:61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2</v>
      </c>
      <c r="BE68">
        <v>2</v>
      </c>
      <c r="BF68">
        <v>2</v>
      </c>
      <c r="BG68">
        <v>2</v>
      </c>
      <c r="BH68">
        <v>2</v>
      </c>
      <c r="BI68">
        <v>2</v>
      </c>
    </row>
    <row r="69" spans="1:61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</row>
    <row r="70" spans="1:61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</row>
    <row r="71" spans="1:61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1</v>
      </c>
      <c r="BE71">
        <v>1</v>
      </c>
      <c r="BF71">
        <v>1</v>
      </c>
      <c r="BG71">
        <v>1</v>
      </c>
      <c r="BH71">
        <v>2</v>
      </c>
      <c r="BI71">
        <v>2</v>
      </c>
    </row>
    <row r="72" spans="1:61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1</v>
      </c>
      <c r="BG72">
        <v>1</v>
      </c>
      <c r="BH72">
        <v>1</v>
      </c>
      <c r="BI72">
        <v>1</v>
      </c>
    </row>
    <row r="73" spans="1:61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</row>
    <row r="74" spans="1:61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</row>
    <row r="75" spans="1:61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1</v>
      </c>
      <c r="BD75">
        <v>2</v>
      </c>
      <c r="BE75">
        <v>3</v>
      </c>
      <c r="BF75">
        <v>3</v>
      </c>
      <c r="BG75">
        <v>4</v>
      </c>
      <c r="BH75">
        <v>5</v>
      </c>
      <c r="BI75">
        <v>5</v>
      </c>
    </row>
    <row r="76" spans="1:61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</row>
    <row r="77" spans="1:61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</row>
    <row r="78" spans="1:61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1</v>
      </c>
      <c r="BF78">
        <v>1</v>
      </c>
      <c r="BG78">
        <v>1</v>
      </c>
      <c r="BH78">
        <v>1</v>
      </c>
      <c r="BI78">
        <v>1</v>
      </c>
    </row>
    <row r="79" spans="1:61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</row>
    <row r="80" spans="1:61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</row>
    <row r="81" spans="1:61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</row>
    <row r="82" spans="1:61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</row>
    <row r="83" spans="1:61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</row>
    <row r="84" spans="1:61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</row>
    <row r="85" spans="1:61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</row>
    <row r="86" spans="1:61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1</v>
      </c>
    </row>
    <row r="87" spans="1:61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</row>
    <row r="88" spans="1:61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</row>
    <row r="89" spans="1:61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1</v>
      </c>
      <c r="BH89">
        <v>1</v>
      </c>
      <c r="BI89">
        <v>1</v>
      </c>
    </row>
    <row r="90" spans="1:61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1</v>
      </c>
      <c r="BC90">
        <v>1</v>
      </c>
      <c r="BD90">
        <v>1</v>
      </c>
      <c r="BE90">
        <v>2</v>
      </c>
      <c r="BF90">
        <v>2</v>
      </c>
      <c r="BG90">
        <v>2</v>
      </c>
      <c r="BH90">
        <v>2</v>
      </c>
      <c r="BI90">
        <v>2</v>
      </c>
    </row>
    <row r="91" spans="1:61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</row>
    <row r="92" spans="1:61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1</v>
      </c>
    </row>
    <row r="93" spans="1:61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</row>
    <row r="94" spans="1:61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1</v>
      </c>
      <c r="BI94">
        <v>1</v>
      </c>
    </row>
    <row r="95" spans="1:61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</row>
    <row r="96" spans="1:61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</row>
    <row r="97" spans="1:61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1</v>
      </c>
      <c r="BC97">
        <v>1</v>
      </c>
      <c r="BD97">
        <v>1</v>
      </c>
      <c r="BE97">
        <v>1</v>
      </c>
      <c r="BF97">
        <v>1</v>
      </c>
      <c r="BG97">
        <v>1</v>
      </c>
      <c r="BH97">
        <v>1</v>
      </c>
      <c r="BI97">
        <v>2</v>
      </c>
    </row>
    <row r="98" spans="1:61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</row>
    <row r="99" spans="1:61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</row>
    <row r="100" spans="1:61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23</v>
      </c>
      <c r="BB100">
        <v>29</v>
      </c>
      <c r="BC100">
        <v>31</v>
      </c>
      <c r="BD100">
        <v>37</v>
      </c>
      <c r="BE100">
        <v>37</v>
      </c>
      <c r="BF100">
        <v>40</v>
      </c>
      <c r="BG100">
        <v>48</v>
      </c>
      <c r="BH100">
        <v>55</v>
      </c>
      <c r="BI100">
        <v>55</v>
      </c>
    </row>
    <row r="101" spans="1:61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2</v>
      </c>
      <c r="BF101">
        <v>3</v>
      </c>
      <c r="BG101">
        <v>10</v>
      </c>
      <c r="BH101">
        <v>13</v>
      </c>
      <c r="BI101">
        <v>16</v>
      </c>
    </row>
    <row r="102" spans="1:61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3</v>
      </c>
      <c r="BC102">
        <v>4</v>
      </c>
      <c r="BD102">
        <v>4</v>
      </c>
      <c r="BE102">
        <v>5</v>
      </c>
      <c r="BF102">
        <v>6</v>
      </c>
      <c r="BG102">
        <v>7</v>
      </c>
      <c r="BH102">
        <v>12</v>
      </c>
      <c r="BI102">
        <v>13</v>
      </c>
    </row>
    <row r="103" spans="1:61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</row>
    <row r="104" spans="1:61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</row>
    <row r="105" spans="1:61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</row>
    <row r="106" spans="1:61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1</v>
      </c>
      <c r="BD106">
        <v>1</v>
      </c>
      <c r="BE106">
        <v>1</v>
      </c>
      <c r="BF106">
        <v>1</v>
      </c>
      <c r="BG106">
        <v>1</v>
      </c>
      <c r="BH106">
        <v>1</v>
      </c>
      <c r="BI106">
        <v>3</v>
      </c>
    </row>
    <row r="107" spans="1:61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1</v>
      </c>
      <c r="BF107">
        <v>1</v>
      </c>
      <c r="BG107">
        <v>1</v>
      </c>
      <c r="BH107">
        <v>2</v>
      </c>
      <c r="BI107">
        <v>2</v>
      </c>
    </row>
    <row r="108" spans="1:61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2</v>
      </c>
      <c r="BB108">
        <v>2</v>
      </c>
      <c r="BC108">
        <v>2</v>
      </c>
      <c r="BD108">
        <v>2</v>
      </c>
      <c r="BE108">
        <v>3</v>
      </c>
      <c r="BF108">
        <v>4</v>
      </c>
      <c r="BG108">
        <v>5</v>
      </c>
      <c r="BH108">
        <v>6</v>
      </c>
      <c r="BI108">
        <v>7</v>
      </c>
    </row>
    <row r="109" spans="1:61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1</v>
      </c>
      <c r="BB109">
        <v>1</v>
      </c>
      <c r="BC109">
        <v>1</v>
      </c>
      <c r="BD109">
        <v>1</v>
      </c>
      <c r="BE109">
        <v>1</v>
      </c>
      <c r="BF109">
        <v>2</v>
      </c>
      <c r="BG109">
        <v>2</v>
      </c>
      <c r="BH109">
        <v>3</v>
      </c>
      <c r="BI109">
        <v>3</v>
      </c>
    </row>
    <row r="110" spans="1:61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1</v>
      </c>
      <c r="BG110">
        <v>1</v>
      </c>
      <c r="BH110">
        <v>1</v>
      </c>
      <c r="BI110">
        <v>2</v>
      </c>
    </row>
    <row r="111" spans="1:61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1</v>
      </c>
      <c r="BI111">
        <v>3</v>
      </c>
    </row>
    <row r="112" spans="1:61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1</v>
      </c>
      <c r="BI112">
        <v>1</v>
      </c>
    </row>
    <row r="113" spans="1:61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</row>
    <row r="114" spans="1:61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</row>
    <row r="115" spans="1:61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</row>
    <row r="116" spans="1:61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</row>
    <row r="117" spans="1:61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</row>
    <row r="118" spans="1:61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</row>
    <row r="119" spans="1:61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2</v>
      </c>
      <c r="BI119">
        <v>2</v>
      </c>
    </row>
    <row r="120" spans="1:61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</row>
    <row r="121" spans="1:61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1</v>
      </c>
      <c r="BH121">
        <v>2</v>
      </c>
      <c r="BI121">
        <v>2</v>
      </c>
    </row>
    <row r="122" spans="1:61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1</v>
      </c>
    </row>
    <row r="123" spans="1:61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</row>
    <row r="124" spans="1:61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1</v>
      </c>
      <c r="BH124">
        <v>1</v>
      </c>
      <c r="BI124">
        <v>1</v>
      </c>
    </row>
    <row r="125" spans="1:61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</row>
    <row r="126" spans="1:61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</row>
    <row r="127" spans="1:61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</row>
    <row r="128" spans="1:61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</row>
    <row r="129" spans="1:61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</row>
    <row r="130" spans="1:61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</row>
    <row r="131" spans="1:61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</row>
    <row r="132" spans="1:61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</row>
    <row r="133" spans="1:61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</row>
    <row r="134" spans="1:61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</row>
    <row r="135" spans="1:61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1</v>
      </c>
    </row>
    <row r="136" spans="1:61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</row>
    <row r="137" spans="1:61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</row>
    <row r="138" spans="1:61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1</v>
      </c>
      <c r="BC138">
        <v>1</v>
      </c>
      <c r="BD138">
        <v>1</v>
      </c>
      <c r="BE138">
        <v>1</v>
      </c>
      <c r="BF138">
        <v>1</v>
      </c>
      <c r="BG138">
        <v>1</v>
      </c>
      <c r="BH138">
        <v>1</v>
      </c>
      <c r="BI138">
        <v>1</v>
      </c>
    </row>
    <row r="139" spans="1:61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1</v>
      </c>
      <c r="BE139">
        <v>1</v>
      </c>
      <c r="BF139">
        <v>1</v>
      </c>
      <c r="BG139">
        <v>1</v>
      </c>
      <c r="BH139">
        <v>1</v>
      </c>
      <c r="BI139">
        <v>1</v>
      </c>
    </row>
    <row r="140" spans="1:61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1</v>
      </c>
      <c r="BF140">
        <v>2</v>
      </c>
      <c r="BG140">
        <v>3</v>
      </c>
      <c r="BH140">
        <v>4</v>
      </c>
      <c r="BI140">
        <v>4</v>
      </c>
    </row>
    <row r="141" spans="1:61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</row>
    <row r="142" spans="1:61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</row>
    <row r="143" spans="1:61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</row>
    <row r="144" spans="1:61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</row>
    <row r="145" spans="1:61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</row>
    <row r="146" spans="1:61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</row>
    <row r="147" spans="1:61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</row>
    <row r="148" spans="1:61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</row>
    <row r="149" spans="1:61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</row>
    <row r="150" spans="1:61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</row>
    <row r="151" spans="1:61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</row>
    <row r="152" spans="1:61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</row>
    <row r="153" spans="1:61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</v>
      </c>
      <c r="BC153">
        <v>1</v>
      </c>
      <c r="BD153">
        <v>1</v>
      </c>
      <c r="BE153">
        <v>1</v>
      </c>
      <c r="BF153">
        <v>1</v>
      </c>
      <c r="BG153">
        <v>1</v>
      </c>
      <c r="BH153">
        <v>1</v>
      </c>
      <c r="BI153">
        <v>1</v>
      </c>
    </row>
    <row r="154" spans="1:61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</row>
    <row r="155" spans="1:61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</row>
    <row r="156" spans="1:61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17</v>
      </c>
      <c r="F156">
        <v>17</v>
      </c>
      <c r="G156">
        <v>24</v>
      </c>
      <c r="H156">
        <v>40</v>
      </c>
      <c r="I156">
        <v>52</v>
      </c>
      <c r="J156">
        <v>76</v>
      </c>
      <c r="K156">
        <v>125</v>
      </c>
      <c r="L156">
        <v>125</v>
      </c>
      <c r="M156">
        <v>162</v>
      </c>
      <c r="N156">
        <v>204</v>
      </c>
      <c r="O156">
        <v>249</v>
      </c>
      <c r="P156">
        <v>350</v>
      </c>
      <c r="Q156">
        <v>414</v>
      </c>
      <c r="R156">
        <v>479</v>
      </c>
      <c r="S156">
        <v>549</v>
      </c>
      <c r="T156">
        <v>618</v>
      </c>
      <c r="U156">
        <v>699</v>
      </c>
      <c r="V156">
        <v>780</v>
      </c>
      <c r="W156">
        <v>871</v>
      </c>
      <c r="X156">
        <v>974</v>
      </c>
      <c r="Y156">
        <v>1068</v>
      </c>
      <c r="Z156">
        <v>1068</v>
      </c>
      <c r="AA156">
        <v>1310</v>
      </c>
      <c r="AB156">
        <v>1457</v>
      </c>
      <c r="AC156">
        <v>1596</v>
      </c>
      <c r="AD156">
        <v>1696</v>
      </c>
      <c r="AE156">
        <v>1789</v>
      </c>
      <c r="AF156">
        <v>1921</v>
      </c>
      <c r="AG156">
        <v>2029</v>
      </c>
      <c r="AH156">
        <v>2144</v>
      </c>
      <c r="AI156">
        <v>2144</v>
      </c>
      <c r="AJ156">
        <v>2346</v>
      </c>
      <c r="AK156">
        <v>2346</v>
      </c>
      <c r="AL156">
        <v>2495</v>
      </c>
      <c r="AM156">
        <v>2563</v>
      </c>
      <c r="AN156">
        <v>2615</v>
      </c>
      <c r="AO156">
        <v>2641</v>
      </c>
      <c r="AP156">
        <v>2682</v>
      </c>
      <c r="AQ156">
        <v>2727</v>
      </c>
      <c r="AR156">
        <v>2761</v>
      </c>
      <c r="AS156">
        <v>2803</v>
      </c>
      <c r="AT156">
        <v>2835</v>
      </c>
      <c r="AU156">
        <v>2871</v>
      </c>
      <c r="AV156">
        <v>2902</v>
      </c>
      <c r="AW156">
        <v>2931</v>
      </c>
      <c r="AX156">
        <v>2959</v>
      </c>
      <c r="AY156">
        <v>2986</v>
      </c>
      <c r="AZ156">
        <v>3008</v>
      </c>
      <c r="BA156">
        <v>3024</v>
      </c>
      <c r="BB156">
        <v>3046</v>
      </c>
      <c r="BC156">
        <v>3056</v>
      </c>
      <c r="BD156">
        <v>3062</v>
      </c>
      <c r="BE156">
        <v>3075</v>
      </c>
      <c r="BF156">
        <v>3085</v>
      </c>
      <c r="BG156">
        <v>3099</v>
      </c>
      <c r="BH156">
        <v>3111</v>
      </c>
      <c r="BI156">
        <v>3122</v>
      </c>
    </row>
    <row r="157" spans="1:61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</v>
      </c>
      <c r="AH157">
        <v>2</v>
      </c>
      <c r="AI157">
        <v>4</v>
      </c>
      <c r="AJ157">
        <v>5</v>
      </c>
      <c r="AK157">
        <v>8</v>
      </c>
      <c r="AL157">
        <v>12</v>
      </c>
      <c r="AM157">
        <v>16</v>
      </c>
      <c r="AN157">
        <v>19</v>
      </c>
      <c r="AO157">
        <v>26</v>
      </c>
      <c r="AP157">
        <v>34</v>
      </c>
      <c r="AQ157">
        <v>43</v>
      </c>
      <c r="AR157">
        <v>54</v>
      </c>
      <c r="AS157">
        <v>66</v>
      </c>
      <c r="AT157">
        <v>77</v>
      </c>
      <c r="AU157">
        <v>92</v>
      </c>
      <c r="AV157">
        <v>107</v>
      </c>
      <c r="AW157">
        <v>124</v>
      </c>
      <c r="AX157">
        <v>145</v>
      </c>
      <c r="AY157">
        <v>194</v>
      </c>
      <c r="AZ157">
        <v>237</v>
      </c>
      <c r="BA157">
        <v>291</v>
      </c>
      <c r="BB157">
        <v>354</v>
      </c>
      <c r="BC157">
        <v>429</v>
      </c>
      <c r="BD157">
        <v>514</v>
      </c>
      <c r="BE157">
        <v>611</v>
      </c>
      <c r="BF157">
        <v>724</v>
      </c>
      <c r="BG157">
        <v>853</v>
      </c>
      <c r="BH157">
        <v>988</v>
      </c>
      <c r="BI157">
        <v>1135</v>
      </c>
    </row>
    <row r="158" spans="1:61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1</v>
      </c>
      <c r="AI158">
        <v>2</v>
      </c>
      <c r="AJ158">
        <v>2</v>
      </c>
      <c r="AK158">
        <v>6</v>
      </c>
      <c r="AL158">
        <v>8</v>
      </c>
      <c r="AM158">
        <v>10</v>
      </c>
      <c r="AN158">
        <v>12</v>
      </c>
      <c r="AO158">
        <v>13</v>
      </c>
      <c r="AP158">
        <v>13</v>
      </c>
      <c r="AQ158">
        <v>16</v>
      </c>
      <c r="AR158">
        <v>17</v>
      </c>
      <c r="AS158">
        <v>28</v>
      </c>
      <c r="AT158">
        <v>28</v>
      </c>
      <c r="AU158">
        <v>35</v>
      </c>
      <c r="AV158">
        <v>35</v>
      </c>
      <c r="AW158">
        <v>42</v>
      </c>
      <c r="AX158">
        <v>44</v>
      </c>
      <c r="AY158">
        <v>50</v>
      </c>
      <c r="AZ158">
        <v>53</v>
      </c>
      <c r="BA158">
        <v>54</v>
      </c>
      <c r="BB158">
        <v>60</v>
      </c>
      <c r="BC158">
        <v>66</v>
      </c>
      <c r="BD158">
        <v>66</v>
      </c>
      <c r="BE158">
        <v>72</v>
      </c>
      <c r="BF158">
        <v>75</v>
      </c>
      <c r="BG158">
        <v>75</v>
      </c>
      <c r="BH158">
        <v>81</v>
      </c>
      <c r="BI158">
        <v>84</v>
      </c>
    </row>
    <row r="159" spans="1:61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1</v>
      </c>
      <c r="AD159">
        <v>1</v>
      </c>
      <c r="AE159">
        <v>1</v>
      </c>
      <c r="AF159">
        <v>1</v>
      </c>
      <c r="AG159">
        <v>1</v>
      </c>
      <c r="AH159">
        <v>1</v>
      </c>
      <c r="AI159">
        <v>1</v>
      </c>
      <c r="AJ159">
        <v>1</v>
      </c>
      <c r="AK159">
        <v>1</v>
      </c>
      <c r="AL159">
        <v>1</v>
      </c>
      <c r="AM159">
        <v>1</v>
      </c>
      <c r="AN159">
        <v>2</v>
      </c>
      <c r="AO159">
        <v>2</v>
      </c>
      <c r="AP159">
        <v>2</v>
      </c>
      <c r="AQ159">
        <v>2</v>
      </c>
      <c r="AR159">
        <v>2</v>
      </c>
      <c r="AS159">
        <v>3</v>
      </c>
      <c r="AT159">
        <v>4</v>
      </c>
      <c r="AU159">
        <v>4</v>
      </c>
      <c r="AV159">
        <v>6</v>
      </c>
      <c r="AW159">
        <v>9</v>
      </c>
      <c r="AX159">
        <v>11</v>
      </c>
      <c r="AY159">
        <v>19</v>
      </c>
      <c r="AZ159">
        <v>19</v>
      </c>
      <c r="BA159">
        <v>33</v>
      </c>
      <c r="BB159">
        <v>48</v>
      </c>
      <c r="BC159">
        <v>48</v>
      </c>
      <c r="BD159">
        <v>79</v>
      </c>
      <c r="BE159">
        <v>91</v>
      </c>
      <c r="BF159">
        <v>91</v>
      </c>
      <c r="BG159">
        <v>148</v>
      </c>
      <c r="BH159">
        <v>148</v>
      </c>
      <c r="BI159">
        <v>148</v>
      </c>
    </row>
    <row r="160" spans="1:61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2</v>
      </c>
      <c r="AB160">
        <v>2</v>
      </c>
      <c r="AC160">
        <v>2</v>
      </c>
      <c r="AD160">
        <v>2</v>
      </c>
      <c r="AE160">
        <v>4</v>
      </c>
      <c r="AF160">
        <v>4</v>
      </c>
      <c r="AG160">
        <v>5</v>
      </c>
      <c r="AH160">
        <v>5</v>
      </c>
      <c r="AI160">
        <v>5</v>
      </c>
      <c r="AJ160">
        <v>5</v>
      </c>
      <c r="AK160">
        <v>6</v>
      </c>
      <c r="AL160">
        <v>6</v>
      </c>
      <c r="AM160">
        <v>7</v>
      </c>
      <c r="AN160">
        <v>7</v>
      </c>
      <c r="AO160">
        <v>7</v>
      </c>
      <c r="AP160">
        <v>7</v>
      </c>
      <c r="AQ160">
        <v>7</v>
      </c>
      <c r="AR160">
        <v>7</v>
      </c>
      <c r="AS160">
        <v>7</v>
      </c>
      <c r="AT160">
        <v>7</v>
      </c>
      <c r="AU160">
        <v>7</v>
      </c>
      <c r="AV160">
        <v>7</v>
      </c>
      <c r="AW160">
        <v>7</v>
      </c>
      <c r="AX160">
        <v>7</v>
      </c>
      <c r="AY160">
        <v>7</v>
      </c>
      <c r="AZ160">
        <v>8</v>
      </c>
      <c r="BA160">
        <v>8</v>
      </c>
      <c r="BB160">
        <v>8</v>
      </c>
      <c r="BC160">
        <v>8</v>
      </c>
      <c r="BD160">
        <v>8</v>
      </c>
      <c r="BE160">
        <v>8</v>
      </c>
      <c r="BF160">
        <v>8</v>
      </c>
      <c r="BG160">
        <v>8</v>
      </c>
      <c r="BH160">
        <v>8</v>
      </c>
      <c r="BI160">
        <v>8</v>
      </c>
    </row>
    <row r="161" spans="1:61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1</v>
      </c>
      <c r="K161">
        <v>1</v>
      </c>
      <c r="L161">
        <v>2</v>
      </c>
      <c r="M161">
        <v>2</v>
      </c>
      <c r="N161">
        <v>2</v>
      </c>
      <c r="O161">
        <v>2</v>
      </c>
      <c r="P161">
        <v>2</v>
      </c>
      <c r="Q161">
        <v>2</v>
      </c>
      <c r="R161">
        <v>2</v>
      </c>
      <c r="S161">
        <v>2</v>
      </c>
      <c r="T161">
        <v>2</v>
      </c>
      <c r="U161">
        <v>3</v>
      </c>
      <c r="V161">
        <v>4</v>
      </c>
      <c r="W161">
        <v>6</v>
      </c>
      <c r="X161">
        <v>6</v>
      </c>
      <c r="Y161">
        <v>7</v>
      </c>
      <c r="Z161">
        <v>8</v>
      </c>
      <c r="AA161">
        <v>10</v>
      </c>
      <c r="AB161">
        <v>11</v>
      </c>
      <c r="AC161">
        <v>13</v>
      </c>
      <c r="AD161">
        <v>13</v>
      </c>
      <c r="AE161">
        <v>16</v>
      </c>
      <c r="AF161">
        <v>19</v>
      </c>
      <c r="AG161">
        <v>19</v>
      </c>
      <c r="AH161">
        <v>19</v>
      </c>
      <c r="AI161">
        <v>19</v>
      </c>
      <c r="AJ161">
        <v>19</v>
      </c>
      <c r="AK161">
        <v>19</v>
      </c>
      <c r="AL161">
        <v>19</v>
      </c>
      <c r="AM161">
        <v>19</v>
      </c>
      <c r="AN161">
        <v>19</v>
      </c>
      <c r="AO161">
        <v>20</v>
      </c>
      <c r="AP161">
        <v>20</v>
      </c>
      <c r="AQ161">
        <v>21</v>
      </c>
      <c r="AR161">
        <v>22</v>
      </c>
      <c r="AS161">
        <v>22</v>
      </c>
      <c r="AT161">
        <v>22</v>
      </c>
      <c r="AU161">
        <v>22</v>
      </c>
      <c r="AV161">
        <v>22</v>
      </c>
      <c r="AW161">
        <v>22</v>
      </c>
      <c r="AX161">
        <v>22</v>
      </c>
      <c r="AY161">
        <v>22</v>
      </c>
      <c r="AZ161">
        <v>22</v>
      </c>
      <c r="BA161">
        <v>22</v>
      </c>
      <c r="BB161">
        <v>22</v>
      </c>
      <c r="BC161">
        <v>22</v>
      </c>
      <c r="BD161">
        <v>22</v>
      </c>
      <c r="BE161">
        <v>22</v>
      </c>
      <c r="BF161">
        <v>22</v>
      </c>
      <c r="BG161">
        <v>22</v>
      </c>
      <c r="BH161">
        <v>22</v>
      </c>
      <c r="BI161">
        <v>22</v>
      </c>
    </row>
    <row r="162" spans="1:61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1</v>
      </c>
      <c r="AI162">
        <v>1</v>
      </c>
      <c r="AJ162">
        <v>1</v>
      </c>
      <c r="AK162">
        <v>1</v>
      </c>
      <c r="AL162">
        <v>1</v>
      </c>
      <c r="AM162">
        <v>1</v>
      </c>
      <c r="AN162">
        <v>1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1</v>
      </c>
      <c r="BD162">
        <v>1</v>
      </c>
      <c r="BE162">
        <v>1</v>
      </c>
      <c r="BF162">
        <v>1</v>
      </c>
      <c r="BG162">
        <v>1</v>
      </c>
      <c r="BH162">
        <v>1</v>
      </c>
      <c r="BI162">
        <v>1</v>
      </c>
    </row>
    <row r="163" spans="1:61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1</v>
      </c>
      <c r="W163">
        <v>1</v>
      </c>
      <c r="X163">
        <v>1</v>
      </c>
      <c r="Y163">
        <v>1</v>
      </c>
      <c r="Z163">
        <v>2</v>
      </c>
      <c r="AA163">
        <v>2</v>
      </c>
      <c r="AB163">
        <v>2</v>
      </c>
      <c r="AC163">
        <v>2</v>
      </c>
      <c r="AD163">
        <v>3</v>
      </c>
      <c r="AE163">
        <v>3</v>
      </c>
      <c r="AF163">
        <v>4</v>
      </c>
      <c r="AG163">
        <v>4</v>
      </c>
      <c r="AH163">
        <v>4</v>
      </c>
      <c r="AI163">
        <v>4</v>
      </c>
      <c r="AJ163">
        <v>4</v>
      </c>
      <c r="AK163">
        <v>4</v>
      </c>
      <c r="AL163">
        <v>4</v>
      </c>
      <c r="AM163">
        <v>4</v>
      </c>
      <c r="AN163">
        <v>4</v>
      </c>
      <c r="AO163">
        <v>4</v>
      </c>
      <c r="AP163">
        <v>4</v>
      </c>
      <c r="AQ163">
        <v>4</v>
      </c>
      <c r="AR163">
        <v>4</v>
      </c>
      <c r="AS163">
        <v>4</v>
      </c>
      <c r="AT163">
        <v>4</v>
      </c>
      <c r="AU163">
        <v>4</v>
      </c>
      <c r="AV163">
        <v>4</v>
      </c>
      <c r="AW163">
        <v>4</v>
      </c>
      <c r="AX163">
        <v>4</v>
      </c>
      <c r="AY163">
        <v>4</v>
      </c>
      <c r="AZ163">
        <v>4</v>
      </c>
      <c r="BA163">
        <v>4</v>
      </c>
      <c r="BB163">
        <v>4</v>
      </c>
      <c r="BC163">
        <v>4</v>
      </c>
      <c r="BD163">
        <v>4</v>
      </c>
      <c r="BE163">
        <v>4</v>
      </c>
      <c r="BF163">
        <v>4</v>
      </c>
      <c r="BG163">
        <v>4</v>
      </c>
      <c r="BH163">
        <v>4</v>
      </c>
      <c r="BI163">
        <v>4</v>
      </c>
    </row>
    <row r="164" spans="1:61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1</v>
      </c>
      <c r="X164">
        <v>3</v>
      </c>
      <c r="Y164">
        <v>4</v>
      </c>
      <c r="Z164">
        <v>4</v>
      </c>
      <c r="AA164">
        <v>5</v>
      </c>
      <c r="AB164">
        <v>6</v>
      </c>
      <c r="AC164">
        <v>6</v>
      </c>
      <c r="AD164">
        <v>6</v>
      </c>
      <c r="AE164">
        <v>6</v>
      </c>
      <c r="AF164">
        <v>6</v>
      </c>
      <c r="AG164">
        <v>6</v>
      </c>
      <c r="AH164">
        <v>6</v>
      </c>
      <c r="AI164">
        <v>6</v>
      </c>
      <c r="AJ164">
        <v>6</v>
      </c>
      <c r="AK164">
        <v>6</v>
      </c>
      <c r="AL164">
        <v>6</v>
      </c>
      <c r="AM164">
        <v>6</v>
      </c>
      <c r="AN164">
        <v>6</v>
      </c>
      <c r="AO164">
        <v>6</v>
      </c>
      <c r="AP164">
        <v>6</v>
      </c>
      <c r="AQ164">
        <v>6</v>
      </c>
      <c r="AR164">
        <v>6</v>
      </c>
      <c r="AS164">
        <v>6</v>
      </c>
      <c r="AT164">
        <v>6</v>
      </c>
      <c r="AU164">
        <v>6</v>
      </c>
      <c r="AV164">
        <v>6</v>
      </c>
      <c r="AW164">
        <v>6</v>
      </c>
      <c r="AX164">
        <v>6</v>
      </c>
      <c r="AY164">
        <v>6</v>
      </c>
      <c r="AZ164">
        <v>6</v>
      </c>
      <c r="BA164">
        <v>6</v>
      </c>
      <c r="BB164">
        <v>6</v>
      </c>
      <c r="BC164">
        <v>6</v>
      </c>
      <c r="BD164">
        <v>6</v>
      </c>
      <c r="BE164">
        <v>6</v>
      </c>
      <c r="BF164">
        <v>6</v>
      </c>
      <c r="BG164">
        <v>6</v>
      </c>
      <c r="BH164">
        <v>6</v>
      </c>
      <c r="BI164">
        <v>6</v>
      </c>
    </row>
    <row r="165" spans="1:61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>
        <v>1</v>
      </c>
      <c r="AH165">
        <v>1</v>
      </c>
      <c r="AI165">
        <v>1</v>
      </c>
      <c r="AJ165">
        <v>1</v>
      </c>
      <c r="AK165">
        <v>1</v>
      </c>
      <c r="AL165">
        <v>1</v>
      </c>
      <c r="AM165">
        <v>1</v>
      </c>
      <c r="AN165">
        <v>1</v>
      </c>
      <c r="AO165">
        <v>1</v>
      </c>
      <c r="AP165">
        <v>1</v>
      </c>
      <c r="AQ165">
        <v>1</v>
      </c>
      <c r="AR165">
        <v>1</v>
      </c>
      <c r="AS165">
        <v>1</v>
      </c>
      <c r="AT165">
        <v>1</v>
      </c>
      <c r="AU165">
        <v>1</v>
      </c>
      <c r="AV165">
        <v>1</v>
      </c>
      <c r="AW165">
        <v>1</v>
      </c>
      <c r="AX165">
        <v>1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1</v>
      </c>
      <c r="BI165">
        <v>1</v>
      </c>
    </row>
    <row r="166" spans="1:61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1</v>
      </c>
      <c r="X166">
        <v>1</v>
      </c>
      <c r="Y166">
        <v>1</v>
      </c>
      <c r="Z166">
        <v>2</v>
      </c>
      <c r="AA166">
        <v>2</v>
      </c>
      <c r="AB166">
        <v>2</v>
      </c>
      <c r="AC166">
        <v>2</v>
      </c>
      <c r="AD166">
        <v>2</v>
      </c>
      <c r="AE166">
        <v>2</v>
      </c>
      <c r="AF166">
        <v>3</v>
      </c>
      <c r="AG166">
        <v>3</v>
      </c>
      <c r="AH166">
        <v>4</v>
      </c>
      <c r="AI166">
        <v>4</v>
      </c>
      <c r="AJ166">
        <v>4</v>
      </c>
      <c r="AK166">
        <v>4</v>
      </c>
      <c r="AL166">
        <v>5</v>
      </c>
      <c r="AM166">
        <v>6</v>
      </c>
      <c r="AN166">
        <v>6</v>
      </c>
      <c r="AO166">
        <v>6</v>
      </c>
      <c r="AP166">
        <v>6</v>
      </c>
      <c r="AQ166">
        <v>6</v>
      </c>
      <c r="AR166">
        <v>6</v>
      </c>
      <c r="AS166">
        <v>6</v>
      </c>
      <c r="AT166">
        <v>6</v>
      </c>
      <c r="AU166">
        <v>6</v>
      </c>
      <c r="AV166">
        <v>6</v>
      </c>
      <c r="AW166">
        <v>6</v>
      </c>
      <c r="AX166">
        <v>6</v>
      </c>
      <c r="AY166">
        <v>6</v>
      </c>
      <c r="AZ166">
        <v>6</v>
      </c>
      <c r="BA166">
        <v>6</v>
      </c>
      <c r="BB166">
        <v>6</v>
      </c>
      <c r="BC166">
        <v>6</v>
      </c>
      <c r="BD166">
        <v>7</v>
      </c>
      <c r="BE166">
        <v>7</v>
      </c>
      <c r="BF166">
        <v>7</v>
      </c>
      <c r="BG166">
        <v>7</v>
      </c>
      <c r="BH166">
        <v>7</v>
      </c>
      <c r="BI166">
        <v>7</v>
      </c>
    </row>
    <row r="167" spans="1:61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2</v>
      </c>
      <c r="AI167">
        <v>2</v>
      </c>
      <c r="AJ167">
        <v>2</v>
      </c>
      <c r="AK167">
        <v>3</v>
      </c>
      <c r="AL167">
        <v>3</v>
      </c>
      <c r="AM167">
        <v>3</v>
      </c>
      <c r="AN167">
        <v>4</v>
      </c>
      <c r="AO167">
        <v>4</v>
      </c>
      <c r="AP167">
        <v>6</v>
      </c>
      <c r="AQ167">
        <v>6</v>
      </c>
      <c r="AR167">
        <v>6</v>
      </c>
      <c r="AS167">
        <v>6</v>
      </c>
      <c r="AT167">
        <v>6</v>
      </c>
      <c r="AU167">
        <v>6</v>
      </c>
      <c r="AV167">
        <v>6</v>
      </c>
      <c r="AW167">
        <v>6</v>
      </c>
      <c r="AX167">
        <v>6</v>
      </c>
      <c r="AY167">
        <v>6</v>
      </c>
      <c r="AZ167">
        <v>6</v>
      </c>
      <c r="BA167">
        <v>6</v>
      </c>
      <c r="BB167">
        <v>7</v>
      </c>
      <c r="BC167">
        <v>7</v>
      </c>
      <c r="BD167">
        <v>7</v>
      </c>
      <c r="BE167">
        <v>7</v>
      </c>
      <c r="BF167">
        <v>7</v>
      </c>
      <c r="BG167">
        <v>7</v>
      </c>
      <c r="BH167">
        <v>7</v>
      </c>
      <c r="BI167">
        <v>7</v>
      </c>
    </row>
    <row r="168" spans="1:61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</row>
    <row r="169" spans="1:61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1</v>
      </c>
      <c r="P169">
        <v>2</v>
      </c>
      <c r="Q169">
        <v>2</v>
      </c>
      <c r="R169">
        <v>2</v>
      </c>
      <c r="S169">
        <v>2</v>
      </c>
      <c r="T169">
        <v>2</v>
      </c>
      <c r="U169">
        <v>2</v>
      </c>
      <c r="V169">
        <v>2</v>
      </c>
      <c r="W169">
        <v>2</v>
      </c>
      <c r="X169">
        <v>2</v>
      </c>
      <c r="Y169">
        <v>3</v>
      </c>
      <c r="Z169">
        <v>3</v>
      </c>
      <c r="AA169">
        <v>4</v>
      </c>
      <c r="AB169">
        <v>5</v>
      </c>
      <c r="AC169">
        <v>5</v>
      </c>
      <c r="AD169">
        <v>5</v>
      </c>
      <c r="AE169">
        <v>5</v>
      </c>
      <c r="AF169">
        <v>5</v>
      </c>
      <c r="AG169">
        <v>5</v>
      </c>
      <c r="AH169">
        <v>6</v>
      </c>
      <c r="AI169">
        <v>6</v>
      </c>
      <c r="AJ169">
        <v>6</v>
      </c>
      <c r="AK169">
        <v>6</v>
      </c>
      <c r="AL169">
        <v>6</v>
      </c>
      <c r="AM169">
        <v>6</v>
      </c>
      <c r="AN169">
        <v>6</v>
      </c>
      <c r="AO169">
        <v>6</v>
      </c>
      <c r="AP169">
        <v>6</v>
      </c>
      <c r="AQ169">
        <v>6</v>
      </c>
      <c r="AR169">
        <v>6</v>
      </c>
      <c r="AS169">
        <v>6</v>
      </c>
      <c r="AT169">
        <v>6</v>
      </c>
      <c r="AU169">
        <v>6</v>
      </c>
      <c r="AV169">
        <v>6</v>
      </c>
      <c r="AW169">
        <v>6</v>
      </c>
      <c r="AX169">
        <v>6</v>
      </c>
      <c r="AY169">
        <v>6</v>
      </c>
      <c r="AZ169">
        <v>6</v>
      </c>
      <c r="BA169">
        <v>6</v>
      </c>
      <c r="BB169">
        <v>6</v>
      </c>
      <c r="BC169">
        <v>6</v>
      </c>
      <c r="BD169">
        <v>6</v>
      </c>
      <c r="BE169">
        <v>6</v>
      </c>
      <c r="BF169">
        <v>6</v>
      </c>
      <c r="BG169">
        <v>6</v>
      </c>
      <c r="BH169">
        <v>6</v>
      </c>
      <c r="BI169">
        <v>6</v>
      </c>
    </row>
    <row r="170" spans="1:61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1</v>
      </c>
      <c r="P170">
        <v>1</v>
      </c>
      <c r="Q170">
        <v>1</v>
      </c>
      <c r="R170">
        <v>1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3</v>
      </c>
      <c r="AE170">
        <v>3</v>
      </c>
      <c r="AF170">
        <v>3</v>
      </c>
      <c r="AG170">
        <v>3</v>
      </c>
      <c r="AH170">
        <v>3</v>
      </c>
      <c r="AI170">
        <v>3</v>
      </c>
      <c r="AJ170">
        <v>3</v>
      </c>
      <c r="AK170">
        <v>3</v>
      </c>
      <c r="AL170">
        <v>3</v>
      </c>
      <c r="AM170">
        <v>3</v>
      </c>
      <c r="AN170">
        <v>3</v>
      </c>
      <c r="AO170">
        <v>3</v>
      </c>
      <c r="AP170">
        <v>3</v>
      </c>
      <c r="AQ170">
        <v>3</v>
      </c>
      <c r="AR170">
        <v>3</v>
      </c>
      <c r="AS170">
        <v>3</v>
      </c>
      <c r="AT170">
        <v>3</v>
      </c>
      <c r="AU170">
        <v>3</v>
      </c>
      <c r="AV170">
        <v>3</v>
      </c>
      <c r="AW170">
        <v>3</v>
      </c>
      <c r="AX170">
        <v>3</v>
      </c>
      <c r="AY170">
        <v>3</v>
      </c>
      <c r="AZ170">
        <v>3</v>
      </c>
      <c r="BA170">
        <v>3</v>
      </c>
      <c r="BB170">
        <v>3</v>
      </c>
      <c r="BC170">
        <v>3</v>
      </c>
      <c r="BD170">
        <v>3</v>
      </c>
      <c r="BE170">
        <v>3</v>
      </c>
      <c r="BF170">
        <v>3</v>
      </c>
      <c r="BG170">
        <v>3</v>
      </c>
      <c r="BH170">
        <v>3</v>
      </c>
      <c r="BI170">
        <v>3</v>
      </c>
    </row>
    <row r="171" spans="1:61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0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1</v>
      </c>
      <c r="M171">
        <v>2</v>
      </c>
      <c r="N171">
        <v>2</v>
      </c>
      <c r="O171">
        <v>2</v>
      </c>
      <c r="P171">
        <v>2</v>
      </c>
      <c r="Q171">
        <v>2</v>
      </c>
      <c r="R171">
        <v>2</v>
      </c>
      <c r="S171">
        <v>2</v>
      </c>
      <c r="T171">
        <v>3</v>
      </c>
      <c r="U171">
        <v>3</v>
      </c>
      <c r="V171">
        <v>5</v>
      </c>
      <c r="W171">
        <v>6</v>
      </c>
      <c r="X171">
        <v>7</v>
      </c>
      <c r="Y171">
        <v>8</v>
      </c>
      <c r="Z171">
        <v>8</v>
      </c>
      <c r="AA171">
        <v>9</v>
      </c>
      <c r="AB171">
        <v>11</v>
      </c>
      <c r="AC171">
        <v>11</v>
      </c>
      <c r="AD171">
        <v>11</v>
      </c>
      <c r="AE171">
        <v>11</v>
      </c>
      <c r="AF171">
        <v>11</v>
      </c>
      <c r="AG171">
        <v>12</v>
      </c>
      <c r="AH171">
        <v>12</v>
      </c>
      <c r="AI171">
        <v>12</v>
      </c>
      <c r="AJ171">
        <v>12</v>
      </c>
      <c r="AK171">
        <v>12</v>
      </c>
      <c r="AL171">
        <v>12</v>
      </c>
      <c r="AM171">
        <v>12</v>
      </c>
      <c r="AN171">
        <v>12</v>
      </c>
      <c r="AO171">
        <v>13</v>
      </c>
      <c r="AP171">
        <v>13</v>
      </c>
      <c r="AQ171">
        <v>13</v>
      </c>
      <c r="AR171">
        <v>13</v>
      </c>
      <c r="AS171">
        <v>13</v>
      </c>
      <c r="AT171">
        <v>13</v>
      </c>
      <c r="AU171">
        <v>13</v>
      </c>
      <c r="AV171">
        <v>13</v>
      </c>
      <c r="AW171">
        <v>13</v>
      </c>
      <c r="AX171">
        <v>13</v>
      </c>
      <c r="AY171">
        <v>13</v>
      </c>
      <c r="AZ171">
        <v>13</v>
      </c>
      <c r="BA171">
        <v>13</v>
      </c>
      <c r="BB171">
        <v>13</v>
      </c>
      <c r="BC171">
        <v>13</v>
      </c>
      <c r="BD171">
        <v>13</v>
      </c>
      <c r="BE171">
        <v>13</v>
      </c>
      <c r="BF171">
        <v>13</v>
      </c>
      <c r="BG171">
        <v>13</v>
      </c>
      <c r="BH171">
        <v>13</v>
      </c>
      <c r="BI171">
        <v>13</v>
      </c>
    </row>
    <row r="172" spans="1:61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1</v>
      </c>
      <c r="BF172">
        <v>2</v>
      </c>
      <c r="BG172">
        <v>3</v>
      </c>
      <c r="BH172">
        <v>4</v>
      </c>
      <c r="BI172">
        <v>4</v>
      </c>
    </row>
    <row r="173" spans="1:61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  <c r="P173">
        <v>1</v>
      </c>
      <c r="Q173">
        <v>1</v>
      </c>
      <c r="R173">
        <v>1</v>
      </c>
      <c r="S173">
        <v>1</v>
      </c>
      <c r="T173">
        <v>1</v>
      </c>
      <c r="U173">
        <v>1</v>
      </c>
      <c r="V173">
        <v>2</v>
      </c>
      <c r="W173">
        <v>2</v>
      </c>
      <c r="X173">
        <v>2</v>
      </c>
      <c r="Y173">
        <v>3</v>
      </c>
      <c r="Z173">
        <v>3</v>
      </c>
      <c r="AA173">
        <v>3</v>
      </c>
      <c r="AB173">
        <v>3</v>
      </c>
      <c r="AC173">
        <v>4</v>
      </c>
      <c r="AD173">
        <v>4</v>
      </c>
      <c r="AE173">
        <v>4</v>
      </c>
      <c r="AF173">
        <v>4</v>
      </c>
      <c r="AG173">
        <v>4</v>
      </c>
      <c r="AH173">
        <v>4</v>
      </c>
      <c r="AI173">
        <v>4</v>
      </c>
      <c r="AJ173">
        <v>4</v>
      </c>
      <c r="AK173">
        <v>4</v>
      </c>
      <c r="AL173">
        <v>4</v>
      </c>
      <c r="AM173">
        <v>4</v>
      </c>
      <c r="AN173">
        <v>4</v>
      </c>
      <c r="AO173">
        <v>5</v>
      </c>
      <c r="AP173">
        <v>7</v>
      </c>
      <c r="AQ173">
        <v>8</v>
      </c>
      <c r="AR173">
        <v>8</v>
      </c>
      <c r="AS173">
        <v>8</v>
      </c>
      <c r="AT173">
        <v>8</v>
      </c>
      <c r="AU173">
        <v>8</v>
      </c>
      <c r="AV173">
        <v>8</v>
      </c>
      <c r="AW173">
        <v>8</v>
      </c>
      <c r="AX173">
        <v>8</v>
      </c>
      <c r="AY173">
        <v>8</v>
      </c>
      <c r="AZ173">
        <v>8</v>
      </c>
      <c r="BA173">
        <v>8</v>
      </c>
      <c r="BB173">
        <v>8</v>
      </c>
      <c r="BC173">
        <v>8</v>
      </c>
      <c r="BD173">
        <v>8</v>
      </c>
      <c r="BE173">
        <v>8</v>
      </c>
      <c r="BF173">
        <v>8</v>
      </c>
      <c r="BG173">
        <v>8</v>
      </c>
      <c r="BH173">
        <v>8</v>
      </c>
      <c r="BI173">
        <v>8</v>
      </c>
    </row>
    <row r="174" spans="1:61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0</v>
      </c>
      <c r="F174">
        <v>0</v>
      </c>
      <c r="G174">
        <v>0</v>
      </c>
      <c r="H174">
        <v>0</v>
      </c>
      <c r="I174">
        <v>1</v>
      </c>
      <c r="J174">
        <v>1</v>
      </c>
      <c r="K174">
        <v>1</v>
      </c>
      <c r="L174">
        <v>1</v>
      </c>
      <c r="M174">
        <v>1</v>
      </c>
      <c r="N174">
        <v>1</v>
      </c>
      <c r="O174">
        <v>1</v>
      </c>
      <c r="P174">
        <v>1</v>
      </c>
      <c r="Q174">
        <v>1</v>
      </c>
      <c r="R174">
        <v>1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>
        <v>2</v>
      </c>
      <c r="AH174">
        <v>2</v>
      </c>
      <c r="AI174">
        <v>2</v>
      </c>
      <c r="AJ174">
        <v>3</v>
      </c>
      <c r="AK174">
        <v>3</v>
      </c>
      <c r="AL174">
        <v>3</v>
      </c>
      <c r="AM174">
        <v>3</v>
      </c>
      <c r="AN174">
        <v>3</v>
      </c>
      <c r="AO174">
        <v>3</v>
      </c>
      <c r="AP174">
        <v>3</v>
      </c>
      <c r="AQ174">
        <v>3</v>
      </c>
      <c r="AR174">
        <v>3</v>
      </c>
      <c r="AS174">
        <v>3</v>
      </c>
      <c r="AT174">
        <v>3</v>
      </c>
      <c r="AU174">
        <v>3</v>
      </c>
      <c r="AV174">
        <v>3</v>
      </c>
      <c r="AW174">
        <v>3</v>
      </c>
      <c r="AX174">
        <v>3</v>
      </c>
      <c r="AY174">
        <v>3</v>
      </c>
      <c r="AZ174">
        <v>3</v>
      </c>
      <c r="BA174">
        <v>3</v>
      </c>
      <c r="BB174">
        <v>3</v>
      </c>
      <c r="BC174">
        <v>3</v>
      </c>
      <c r="BD174">
        <v>3</v>
      </c>
      <c r="BE174">
        <v>3</v>
      </c>
      <c r="BF174">
        <v>3</v>
      </c>
      <c r="BG174">
        <v>3</v>
      </c>
      <c r="BH174">
        <v>3</v>
      </c>
      <c r="BI174">
        <v>3</v>
      </c>
    </row>
    <row r="175" spans="1:61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1</v>
      </c>
      <c r="G175">
        <v>1</v>
      </c>
      <c r="H175">
        <v>1</v>
      </c>
      <c r="I175">
        <v>1</v>
      </c>
      <c r="J175">
        <v>1</v>
      </c>
      <c r="K175">
        <v>1</v>
      </c>
      <c r="L175">
        <v>1</v>
      </c>
      <c r="M175">
        <v>1</v>
      </c>
      <c r="N175">
        <v>1</v>
      </c>
      <c r="O175">
        <v>1</v>
      </c>
      <c r="P175">
        <v>1</v>
      </c>
      <c r="Q175">
        <v>1</v>
      </c>
      <c r="R175">
        <v>1</v>
      </c>
      <c r="S175">
        <v>1</v>
      </c>
      <c r="T175">
        <v>1</v>
      </c>
      <c r="U175">
        <v>1</v>
      </c>
      <c r="V175">
        <v>1</v>
      </c>
      <c r="W175">
        <v>2</v>
      </c>
      <c r="X175">
        <v>2</v>
      </c>
      <c r="Y175">
        <v>2</v>
      </c>
      <c r="Z175">
        <v>2</v>
      </c>
      <c r="AA175">
        <v>3</v>
      </c>
      <c r="AB175">
        <v>3</v>
      </c>
      <c r="AC175">
        <v>3</v>
      </c>
      <c r="AD175">
        <v>3</v>
      </c>
      <c r="AE175">
        <v>3</v>
      </c>
      <c r="AF175">
        <v>4</v>
      </c>
      <c r="AG175">
        <v>4</v>
      </c>
      <c r="AH175">
        <v>5</v>
      </c>
      <c r="AI175">
        <v>5</v>
      </c>
      <c r="AJ175">
        <v>6</v>
      </c>
      <c r="AK175">
        <v>6</v>
      </c>
      <c r="AL175">
        <v>6</v>
      </c>
      <c r="AM175">
        <v>6</v>
      </c>
      <c r="AN175">
        <v>6</v>
      </c>
      <c r="AO175">
        <v>6</v>
      </c>
      <c r="AP175">
        <v>6</v>
      </c>
      <c r="AQ175">
        <v>6</v>
      </c>
      <c r="AR175">
        <v>6</v>
      </c>
      <c r="AS175">
        <v>6</v>
      </c>
      <c r="AT175">
        <v>6</v>
      </c>
      <c r="AU175">
        <v>6</v>
      </c>
      <c r="AV175">
        <v>6</v>
      </c>
      <c r="AW175">
        <v>6</v>
      </c>
      <c r="AX175">
        <v>6</v>
      </c>
      <c r="AY175">
        <v>6</v>
      </c>
      <c r="AZ175">
        <v>6</v>
      </c>
      <c r="BA175">
        <v>6</v>
      </c>
      <c r="BB175">
        <v>6</v>
      </c>
      <c r="BC175">
        <v>6</v>
      </c>
      <c r="BD175">
        <v>6</v>
      </c>
      <c r="BE175">
        <v>6</v>
      </c>
      <c r="BF175">
        <v>6</v>
      </c>
      <c r="BG175">
        <v>6</v>
      </c>
      <c r="BH175">
        <v>6</v>
      </c>
      <c r="BI175">
        <v>6</v>
      </c>
    </row>
    <row r="176" spans="1:61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1</v>
      </c>
      <c r="AI176">
        <v>1</v>
      </c>
      <c r="AJ176">
        <v>1</v>
      </c>
      <c r="AK176">
        <v>1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1</v>
      </c>
      <c r="AX176">
        <v>1</v>
      </c>
      <c r="AY176">
        <v>1</v>
      </c>
      <c r="AZ176">
        <v>1</v>
      </c>
      <c r="BA176">
        <v>1</v>
      </c>
      <c r="BB176">
        <v>1</v>
      </c>
      <c r="BC176">
        <v>1</v>
      </c>
      <c r="BD176">
        <v>1</v>
      </c>
      <c r="BE176">
        <v>1</v>
      </c>
      <c r="BF176">
        <v>1</v>
      </c>
      <c r="BG176">
        <v>1</v>
      </c>
      <c r="BH176">
        <v>1</v>
      </c>
      <c r="BI176">
        <v>1</v>
      </c>
    </row>
    <row r="177" spans="1:61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1</v>
      </c>
      <c r="X177">
        <v>1</v>
      </c>
      <c r="Y177">
        <v>1</v>
      </c>
      <c r="Z177">
        <v>1</v>
      </c>
      <c r="AA177">
        <v>2</v>
      </c>
      <c r="AB177">
        <v>2</v>
      </c>
      <c r="AC177">
        <v>2</v>
      </c>
      <c r="AD177">
        <v>2</v>
      </c>
      <c r="AE177">
        <v>2</v>
      </c>
      <c r="AF177">
        <v>2</v>
      </c>
      <c r="AG177">
        <v>2</v>
      </c>
      <c r="AH177">
        <v>2</v>
      </c>
      <c r="AI177">
        <v>2</v>
      </c>
      <c r="AJ177">
        <v>2</v>
      </c>
      <c r="AK177">
        <v>2</v>
      </c>
      <c r="AL177">
        <v>2</v>
      </c>
      <c r="AM177">
        <v>2</v>
      </c>
      <c r="AN177">
        <v>2</v>
      </c>
      <c r="AO177">
        <v>2</v>
      </c>
      <c r="AP177">
        <v>2</v>
      </c>
      <c r="AQ177">
        <v>2</v>
      </c>
      <c r="AR177">
        <v>2</v>
      </c>
      <c r="AS177">
        <v>2</v>
      </c>
      <c r="AT177">
        <v>2</v>
      </c>
      <c r="AU177">
        <v>2</v>
      </c>
      <c r="AV177">
        <v>2</v>
      </c>
      <c r="AW177">
        <v>2</v>
      </c>
      <c r="AX177">
        <v>2</v>
      </c>
      <c r="AY177">
        <v>2</v>
      </c>
      <c r="AZ177">
        <v>2</v>
      </c>
      <c r="BA177">
        <v>2</v>
      </c>
      <c r="BB177">
        <v>2</v>
      </c>
      <c r="BC177">
        <v>2</v>
      </c>
      <c r="BD177">
        <v>2</v>
      </c>
      <c r="BE177">
        <v>2</v>
      </c>
      <c r="BF177">
        <v>2</v>
      </c>
      <c r="BG177">
        <v>2</v>
      </c>
      <c r="BH177">
        <v>2</v>
      </c>
      <c r="BI177">
        <v>2</v>
      </c>
    </row>
    <row r="178" spans="1:61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1</v>
      </c>
      <c r="AI178">
        <v>1</v>
      </c>
      <c r="AJ178">
        <v>1</v>
      </c>
      <c r="AK178">
        <v>1</v>
      </c>
      <c r="AL178">
        <v>1</v>
      </c>
      <c r="AM178">
        <v>1</v>
      </c>
      <c r="AN178">
        <v>1</v>
      </c>
      <c r="AO178">
        <v>1</v>
      </c>
      <c r="AP178">
        <v>1</v>
      </c>
      <c r="AQ178">
        <v>1</v>
      </c>
      <c r="AR178">
        <v>1</v>
      </c>
      <c r="AS178">
        <v>1</v>
      </c>
      <c r="AT178">
        <v>1</v>
      </c>
      <c r="AU178">
        <v>1</v>
      </c>
      <c r="AV178">
        <v>1</v>
      </c>
      <c r="AW178">
        <v>1</v>
      </c>
      <c r="AX178">
        <v>1</v>
      </c>
      <c r="AY178">
        <v>1</v>
      </c>
      <c r="AZ178">
        <v>1</v>
      </c>
      <c r="BA178">
        <v>1</v>
      </c>
      <c r="BB178">
        <v>1</v>
      </c>
      <c r="BC178">
        <v>2</v>
      </c>
      <c r="BD178">
        <v>2</v>
      </c>
      <c r="BE178">
        <v>2</v>
      </c>
      <c r="BF178">
        <v>2</v>
      </c>
      <c r="BG178">
        <v>2</v>
      </c>
      <c r="BH178">
        <v>3</v>
      </c>
      <c r="BI178">
        <v>3</v>
      </c>
    </row>
    <row r="179" spans="1:61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1</v>
      </c>
      <c r="AH179">
        <v>2</v>
      </c>
      <c r="AI179">
        <v>2</v>
      </c>
      <c r="AJ179">
        <v>2</v>
      </c>
      <c r="AK179">
        <v>2</v>
      </c>
      <c r="AL179">
        <v>2</v>
      </c>
      <c r="AM179">
        <v>2</v>
      </c>
      <c r="AN179">
        <v>2</v>
      </c>
      <c r="AO179">
        <v>2</v>
      </c>
      <c r="AP179">
        <v>2</v>
      </c>
      <c r="AQ179">
        <v>2</v>
      </c>
      <c r="AR179">
        <v>2</v>
      </c>
      <c r="AS179">
        <v>2</v>
      </c>
      <c r="AT179">
        <v>2</v>
      </c>
      <c r="AU179">
        <v>2</v>
      </c>
      <c r="AV179">
        <v>2</v>
      </c>
      <c r="AW179">
        <v>2</v>
      </c>
      <c r="AX179">
        <v>2</v>
      </c>
      <c r="AY179">
        <v>2</v>
      </c>
      <c r="AZ179">
        <v>2</v>
      </c>
      <c r="BA179">
        <v>2</v>
      </c>
      <c r="BB179">
        <v>2</v>
      </c>
      <c r="BC179">
        <v>2</v>
      </c>
      <c r="BD179">
        <v>2</v>
      </c>
      <c r="BE179">
        <v>2</v>
      </c>
      <c r="BF179">
        <v>2</v>
      </c>
      <c r="BG179">
        <v>2</v>
      </c>
      <c r="BH179">
        <v>2</v>
      </c>
      <c r="BI179">
        <v>2</v>
      </c>
    </row>
    <row r="180" spans="1:61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1</v>
      </c>
      <c r="K180">
        <v>1</v>
      </c>
      <c r="L180">
        <v>1</v>
      </c>
      <c r="M180">
        <v>1</v>
      </c>
      <c r="N180">
        <v>1</v>
      </c>
      <c r="O180">
        <v>1</v>
      </c>
      <c r="P180">
        <v>1</v>
      </c>
      <c r="Q180">
        <v>1</v>
      </c>
      <c r="R180">
        <v>1</v>
      </c>
      <c r="S180">
        <v>1</v>
      </c>
      <c r="T180">
        <v>1</v>
      </c>
      <c r="U180">
        <v>2</v>
      </c>
      <c r="V180">
        <v>2</v>
      </c>
      <c r="W180">
        <v>3</v>
      </c>
      <c r="X180">
        <v>3</v>
      </c>
      <c r="Y180">
        <v>3</v>
      </c>
      <c r="Z180">
        <v>4</v>
      </c>
      <c r="AA180">
        <v>4</v>
      </c>
      <c r="AB180">
        <v>4</v>
      </c>
      <c r="AC180">
        <v>4</v>
      </c>
      <c r="AD180">
        <v>4</v>
      </c>
      <c r="AE180">
        <v>4</v>
      </c>
      <c r="AF180">
        <v>4</v>
      </c>
      <c r="AG180">
        <v>4</v>
      </c>
      <c r="AH180">
        <v>4</v>
      </c>
      <c r="AI180">
        <v>4</v>
      </c>
      <c r="AJ180">
        <v>4</v>
      </c>
      <c r="AK180">
        <v>5</v>
      </c>
      <c r="AL180">
        <v>5</v>
      </c>
      <c r="AM180">
        <v>5</v>
      </c>
      <c r="AN180">
        <v>5</v>
      </c>
      <c r="AO180">
        <v>5</v>
      </c>
      <c r="AP180">
        <v>5</v>
      </c>
      <c r="AQ180">
        <v>5</v>
      </c>
      <c r="AR180">
        <v>5</v>
      </c>
      <c r="AS180">
        <v>5</v>
      </c>
      <c r="AT180">
        <v>5</v>
      </c>
      <c r="AU180">
        <v>5</v>
      </c>
      <c r="AV180">
        <v>6</v>
      </c>
      <c r="AW180">
        <v>6</v>
      </c>
      <c r="AX180">
        <v>6</v>
      </c>
      <c r="AY180">
        <v>6</v>
      </c>
      <c r="AZ180">
        <v>6</v>
      </c>
      <c r="BA180">
        <v>6</v>
      </c>
      <c r="BB180">
        <v>6</v>
      </c>
      <c r="BC180">
        <v>6</v>
      </c>
      <c r="BD180">
        <v>6</v>
      </c>
      <c r="BE180">
        <v>6</v>
      </c>
      <c r="BF180">
        <v>6</v>
      </c>
      <c r="BG180">
        <v>6</v>
      </c>
      <c r="BH180">
        <v>6</v>
      </c>
      <c r="BI180">
        <v>6</v>
      </c>
    </row>
    <row r="181" spans="1:61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2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2</v>
      </c>
      <c r="AO181">
        <v>2</v>
      </c>
      <c r="AP181">
        <v>2</v>
      </c>
      <c r="AQ181">
        <v>2</v>
      </c>
      <c r="AR181">
        <v>2</v>
      </c>
      <c r="AS181">
        <v>2</v>
      </c>
      <c r="AT181">
        <v>2</v>
      </c>
      <c r="AU181">
        <v>2</v>
      </c>
      <c r="AV181">
        <v>2</v>
      </c>
      <c r="AW181">
        <v>2</v>
      </c>
      <c r="AX181">
        <v>2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2</v>
      </c>
      <c r="BG181">
        <v>2</v>
      </c>
      <c r="BH181">
        <v>2</v>
      </c>
      <c r="BI181">
        <v>2</v>
      </c>
    </row>
    <row r="182" spans="1:61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2</v>
      </c>
      <c r="Z182">
        <v>2</v>
      </c>
      <c r="AA182">
        <v>3</v>
      </c>
      <c r="AB182">
        <v>3</v>
      </c>
      <c r="AC182">
        <v>3</v>
      </c>
      <c r="AD182">
        <v>3</v>
      </c>
      <c r="AE182">
        <v>3</v>
      </c>
      <c r="AF182">
        <v>3</v>
      </c>
      <c r="AG182">
        <v>3</v>
      </c>
      <c r="AH182">
        <v>3</v>
      </c>
      <c r="AI182">
        <v>3</v>
      </c>
      <c r="AJ182">
        <v>3</v>
      </c>
      <c r="AK182">
        <v>3</v>
      </c>
      <c r="AL182">
        <v>3</v>
      </c>
      <c r="AM182">
        <v>3</v>
      </c>
      <c r="AN182">
        <v>3</v>
      </c>
      <c r="AO182">
        <v>3</v>
      </c>
      <c r="AP182">
        <v>3</v>
      </c>
      <c r="AQ182">
        <v>3</v>
      </c>
      <c r="AR182">
        <v>3</v>
      </c>
      <c r="AS182">
        <v>3</v>
      </c>
      <c r="AT182">
        <v>3</v>
      </c>
      <c r="AU182">
        <v>3</v>
      </c>
      <c r="AV182">
        <v>3</v>
      </c>
      <c r="AW182">
        <v>3</v>
      </c>
      <c r="AX182">
        <v>3</v>
      </c>
      <c r="AY182">
        <v>3</v>
      </c>
      <c r="AZ182">
        <v>3</v>
      </c>
      <c r="BA182">
        <v>3</v>
      </c>
      <c r="BB182">
        <v>3</v>
      </c>
      <c r="BC182">
        <v>3</v>
      </c>
      <c r="BD182">
        <v>3</v>
      </c>
      <c r="BE182">
        <v>3</v>
      </c>
      <c r="BF182">
        <v>3</v>
      </c>
      <c r="BG182">
        <v>3</v>
      </c>
      <c r="BH182">
        <v>3</v>
      </c>
      <c r="BI182">
        <v>3</v>
      </c>
    </row>
    <row r="183" spans="1:61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</row>
    <row r="184" spans="1:61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1</v>
      </c>
      <c r="W184">
        <v>2</v>
      </c>
      <c r="X184">
        <v>2</v>
      </c>
      <c r="Y184">
        <v>2</v>
      </c>
      <c r="Z184">
        <v>2</v>
      </c>
      <c r="AA184">
        <v>2</v>
      </c>
      <c r="AB184">
        <v>2</v>
      </c>
      <c r="AC184">
        <v>2</v>
      </c>
      <c r="AD184">
        <v>2</v>
      </c>
      <c r="AE184">
        <v>2</v>
      </c>
      <c r="AF184">
        <v>2</v>
      </c>
      <c r="AG184">
        <v>2</v>
      </c>
      <c r="AH184">
        <v>2</v>
      </c>
      <c r="AI184">
        <v>2</v>
      </c>
      <c r="AJ184">
        <v>2</v>
      </c>
      <c r="AK184">
        <v>2</v>
      </c>
      <c r="AL184">
        <v>2</v>
      </c>
      <c r="AM184">
        <v>2</v>
      </c>
      <c r="AN184">
        <v>2</v>
      </c>
      <c r="AO184">
        <v>2</v>
      </c>
      <c r="AP184">
        <v>2</v>
      </c>
      <c r="AQ184">
        <v>2</v>
      </c>
      <c r="AR184">
        <v>2</v>
      </c>
      <c r="AS184">
        <v>2</v>
      </c>
      <c r="AT184">
        <v>2</v>
      </c>
      <c r="AU184">
        <v>2</v>
      </c>
      <c r="AV184">
        <v>2</v>
      </c>
      <c r="AW184">
        <v>2</v>
      </c>
      <c r="AX184">
        <v>2</v>
      </c>
      <c r="AY184">
        <v>2</v>
      </c>
      <c r="AZ184">
        <v>2</v>
      </c>
      <c r="BA184">
        <v>2</v>
      </c>
      <c r="BB184">
        <v>2</v>
      </c>
      <c r="BC184">
        <v>2</v>
      </c>
      <c r="BD184">
        <v>2</v>
      </c>
      <c r="BE184">
        <v>2</v>
      </c>
      <c r="BF184">
        <v>2</v>
      </c>
      <c r="BG184">
        <v>2</v>
      </c>
      <c r="BH184">
        <v>2</v>
      </c>
      <c r="BI184">
        <v>2</v>
      </c>
    </row>
    <row r="185" spans="1:61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1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>
        <v>2</v>
      </c>
      <c r="AH185">
        <v>2</v>
      </c>
      <c r="AI185">
        <v>2</v>
      </c>
      <c r="AJ185">
        <v>2</v>
      </c>
      <c r="AK185">
        <v>2</v>
      </c>
      <c r="AL185">
        <v>2</v>
      </c>
      <c r="AM185">
        <v>2</v>
      </c>
      <c r="AN185">
        <v>2</v>
      </c>
      <c r="AO185">
        <v>2</v>
      </c>
      <c r="AP185">
        <v>2</v>
      </c>
      <c r="AQ185">
        <v>2</v>
      </c>
      <c r="AR185">
        <v>2</v>
      </c>
      <c r="AS185">
        <v>2</v>
      </c>
      <c r="AT185">
        <v>2</v>
      </c>
      <c r="AU185">
        <v>2</v>
      </c>
      <c r="AV185">
        <v>2</v>
      </c>
      <c r="AW185">
        <v>2</v>
      </c>
      <c r="AX185">
        <v>2</v>
      </c>
      <c r="AY185">
        <v>3</v>
      </c>
      <c r="AZ185">
        <v>3</v>
      </c>
      <c r="BA185">
        <v>3</v>
      </c>
      <c r="BB185">
        <v>3</v>
      </c>
      <c r="BC185">
        <v>3</v>
      </c>
      <c r="BD185">
        <v>4</v>
      </c>
      <c r="BE185">
        <v>4</v>
      </c>
      <c r="BF185">
        <v>4</v>
      </c>
      <c r="BG185">
        <v>4</v>
      </c>
      <c r="BH185">
        <v>4</v>
      </c>
      <c r="BI185">
        <v>4</v>
      </c>
    </row>
    <row r="186" spans="1:61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>
        <v>1</v>
      </c>
      <c r="AH186">
        <v>1</v>
      </c>
      <c r="AI186">
        <v>1</v>
      </c>
      <c r="AJ186">
        <v>1</v>
      </c>
      <c r="AK186">
        <v>1</v>
      </c>
      <c r="AL186">
        <v>1</v>
      </c>
      <c r="AM186">
        <v>1</v>
      </c>
      <c r="AN186">
        <v>1</v>
      </c>
      <c r="AO186">
        <v>1</v>
      </c>
      <c r="AP186">
        <v>1</v>
      </c>
      <c r="AQ186">
        <v>1</v>
      </c>
      <c r="AR186">
        <v>1</v>
      </c>
      <c r="AS186">
        <v>1</v>
      </c>
      <c r="AT186">
        <v>1</v>
      </c>
      <c r="AU186">
        <v>1</v>
      </c>
      <c r="AV186">
        <v>1</v>
      </c>
      <c r="AW186">
        <v>1</v>
      </c>
      <c r="AX186">
        <v>1</v>
      </c>
      <c r="AY186">
        <v>1</v>
      </c>
      <c r="AZ186">
        <v>1</v>
      </c>
      <c r="BA186">
        <v>1</v>
      </c>
      <c r="BB186">
        <v>1</v>
      </c>
      <c r="BC186">
        <v>1</v>
      </c>
      <c r="BD186">
        <v>1</v>
      </c>
      <c r="BE186">
        <v>1</v>
      </c>
      <c r="BF186">
        <v>1</v>
      </c>
      <c r="BG186">
        <v>1</v>
      </c>
      <c r="BH186">
        <v>1</v>
      </c>
      <c r="BI186">
        <v>1</v>
      </c>
    </row>
    <row r="187" spans="1:61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>
        <v>1</v>
      </c>
      <c r="AH187">
        <v>1</v>
      </c>
      <c r="AI187">
        <v>1</v>
      </c>
      <c r="AJ187">
        <v>1</v>
      </c>
      <c r="AK187">
        <v>1</v>
      </c>
      <c r="AL187">
        <v>1</v>
      </c>
      <c r="AM187">
        <v>1</v>
      </c>
      <c r="AN187">
        <v>1</v>
      </c>
      <c r="AO187">
        <v>1</v>
      </c>
      <c r="AP187">
        <v>1</v>
      </c>
      <c r="AQ187">
        <v>1</v>
      </c>
      <c r="AR187">
        <v>1</v>
      </c>
      <c r="AS187">
        <v>1</v>
      </c>
      <c r="AT187">
        <v>1</v>
      </c>
      <c r="AU187">
        <v>1</v>
      </c>
      <c r="AV187">
        <v>1</v>
      </c>
      <c r="AW187">
        <v>1</v>
      </c>
      <c r="AX187">
        <v>1</v>
      </c>
      <c r="AY187">
        <v>1</v>
      </c>
      <c r="AZ187">
        <v>1</v>
      </c>
      <c r="BA187">
        <v>1</v>
      </c>
      <c r="BB187">
        <v>1</v>
      </c>
      <c r="BC187">
        <v>1</v>
      </c>
      <c r="BD187">
        <v>1</v>
      </c>
      <c r="BE187">
        <v>1</v>
      </c>
      <c r="BF187">
        <v>1</v>
      </c>
      <c r="BG187">
        <v>1</v>
      </c>
      <c r="BH187">
        <v>1</v>
      </c>
      <c r="BI187">
        <v>1</v>
      </c>
    </row>
    <row r="188" spans="1:61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</row>
    <row r="189" spans="1:61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>
        <v>1</v>
      </c>
      <c r="AH189">
        <v>1</v>
      </c>
      <c r="AI189">
        <v>1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3</v>
      </c>
      <c r="AQ189">
        <v>3</v>
      </c>
      <c r="AR189">
        <v>3</v>
      </c>
      <c r="AS189">
        <v>3</v>
      </c>
      <c r="AT189">
        <v>3</v>
      </c>
      <c r="AU189">
        <v>3</v>
      </c>
      <c r="AV189">
        <v>3</v>
      </c>
      <c r="AW189">
        <v>3</v>
      </c>
      <c r="AX189">
        <v>3</v>
      </c>
      <c r="AY189">
        <v>3</v>
      </c>
      <c r="AZ189">
        <v>3</v>
      </c>
      <c r="BA189">
        <v>3</v>
      </c>
      <c r="BB189">
        <v>3</v>
      </c>
      <c r="BC189">
        <v>3</v>
      </c>
      <c r="BD189">
        <v>3</v>
      </c>
      <c r="BE189">
        <v>3</v>
      </c>
      <c r="BF189">
        <v>3</v>
      </c>
      <c r="BG189">
        <v>3</v>
      </c>
      <c r="BH189">
        <v>3</v>
      </c>
      <c r="BI189">
        <v>3</v>
      </c>
    </row>
    <row r="190" spans="1:61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1</v>
      </c>
      <c r="AU190">
        <v>1</v>
      </c>
      <c r="AV190">
        <v>1</v>
      </c>
      <c r="AW190">
        <v>1</v>
      </c>
      <c r="AX190">
        <v>1</v>
      </c>
      <c r="AY190">
        <v>1</v>
      </c>
      <c r="AZ190">
        <v>1</v>
      </c>
      <c r="BA190">
        <v>1</v>
      </c>
      <c r="BB190">
        <v>1</v>
      </c>
      <c r="BC190">
        <v>1</v>
      </c>
      <c r="BD190">
        <v>1</v>
      </c>
      <c r="BE190">
        <v>1</v>
      </c>
      <c r="BF190">
        <v>1</v>
      </c>
      <c r="BG190">
        <v>1</v>
      </c>
      <c r="BH190">
        <v>1</v>
      </c>
      <c r="BI190">
        <v>1</v>
      </c>
    </row>
    <row r="191" spans="1:61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</row>
    <row r="192" spans="1:61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1</v>
      </c>
      <c r="AE192">
        <v>1</v>
      </c>
      <c r="AF192">
        <v>1</v>
      </c>
      <c r="AG192">
        <v>1</v>
      </c>
      <c r="AH192">
        <v>1</v>
      </c>
      <c r="AI192">
        <v>1</v>
      </c>
      <c r="AJ192">
        <v>1</v>
      </c>
      <c r="AK192">
        <v>1</v>
      </c>
      <c r="AL192">
        <v>1</v>
      </c>
      <c r="AM192">
        <v>1</v>
      </c>
      <c r="AN192">
        <v>1</v>
      </c>
      <c r="AO192">
        <v>1</v>
      </c>
      <c r="AP192">
        <v>1</v>
      </c>
      <c r="AQ192">
        <v>1</v>
      </c>
      <c r="AR192">
        <v>1</v>
      </c>
      <c r="AS192">
        <v>1</v>
      </c>
      <c r="AT192">
        <v>1</v>
      </c>
      <c r="AU192">
        <v>1</v>
      </c>
      <c r="AV192">
        <v>1</v>
      </c>
      <c r="AW192">
        <v>1</v>
      </c>
      <c r="AX192">
        <v>1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1</v>
      </c>
    </row>
    <row r="193" spans="1:61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</row>
    <row r="194" spans="1:61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</row>
    <row r="195" spans="1:61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</row>
    <row r="196" spans="1:61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</row>
    <row r="197" spans="1:61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1</v>
      </c>
    </row>
    <row r="198" spans="1:61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</row>
    <row r="199" spans="1:61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</row>
    <row r="200" spans="1:61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</row>
    <row r="201" spans="1:61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</row>
    <row r="202" spans="1:61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</row>
    <row r="203" spans="1:61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</row>
    <row r="204" spans="1:61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</row>
    <row r="205" spans="1:61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</row>
    <row r="206" spans="1:61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</row>
    <row r="207" spans="1:61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</row>
    <row r="208" spans="1:61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</row>
    <row r="209" spans="1:61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1</v>
      </c>
      <c r="BI209">
        <v>1</v>
      </c>
    </row>
    <row r="210" spans="1:61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</row>
    <row r="211" spans="1:61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</row>
    <row r="212" spans="1:61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</row>
    <row r="213" spans="1:61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</row>
    <row r="214" spans="1:61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</row>
    <row r="215" spans="1:61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</row>
    <row r="216" spans="1:61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</row>
    <row r="217" spans="1:61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</row>
    <row r="218" spans="1:61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</row>
    <row r="219" spans="1:61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</row>
    <row r="220" spans="1:61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</row>
    <row r="221" spans="1:61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</row>
    <row r="222" spans="1:61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</row>
    <row r="223" spans="1:61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</row>
    <row r="224" spans="1:61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</row>
    <row r="225" spans="1:61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</row>
    <row r="226" spans="1:61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</row>
    <row r="227" spans="1:61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</row>
    <row r="228" spans="1:61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</row>
    <row r="229" spans="1:61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</row>
    <row r="230" spans="1:61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</row>
    <row r="231" spans="1:61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</row>
    <row r="232" spans="1:61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</row>
    <row r="233" spans="1:61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</row>
    <row r="234" spans="1:61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</row>
    <row r="235" spans="1:61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</row>
    <row r="236" spans="1:61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</row>
    <row r="237" spans="1:61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</row>
    <row r="238" spans="1:61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</row>
    <row r="239" spans="1:61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</row>
    <row r="240" spans="1:61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</row>
    <row r="241" spans="1:61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</row>
    <row r="242" spans="1:61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</row>
    <row r="243" spans="1:61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</row>
    <row r="244" spans="1:61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</row>
    <row r="245" spans="1:61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</row>
    <row r="246" spans="1:61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</row>
    <row r="247" spans="1:61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</row>
    <row r="248" spans="1:61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</row>
    <row r="249" spans="1:61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</row>
    <row r="250" spans="1:61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</row>
    <row r="251" spans="1:61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</row>
    <row r="252" spans="1:61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</row>
    <row r="253" spans="1:61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</row>
    <row r="254" spans="1:61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</row>
    <row r="255" spans="1:61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</row>
    <row r="256" spans="1:61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</row>
    <row r="257" spans="1:61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</row>
    <row r="258" spans="1:61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</row>
    <row r="259" spans="1:61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</row>
    <row r="260" spans="1:61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</row>
    <row r="261" spans="1:61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</row>
    <row r="262" spans="1:61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</row>
    <row r="263" spans="1:61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</row>
    <row r="264" spans="1:61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</row>
    <row r="265" spans="1:61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</row>
    <row r="266" spans="1:61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</row>
    <row r="267" spans="1:61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</row>
    <row r="268" spans="1:61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</row>
    <row r="269" spans="1:61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</row>
    <row r="270" spans="1:61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</row>
    <row r="271" spans="1:61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</row>
    <row r="272" spans="1:61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</row>
    <row r="273" spans="1:61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</row>
    <row r="274" spans="1:61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</row>
    <row r="275" spans="1:61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</row>
    <row r="276" spans="1:61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</row>
    <row r="277" spans="1:61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</row>
    <row r="278" spans="1:61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</row>
    <row r="279" spans="1:61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</row>
    <row r="280" spans="1:61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</row>
    <row r="281" spans="1:61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</row>
    <row r="282" spans="1:61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</row>
    <row r="283" spans="1:61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</row>
    <row r="284" spans="1:61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</row>
    <row r="285" spans="1:61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1</v>
      </c>
      <c r="AZ285">
        <v>1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</row>
    <row r="286" spans="1:61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</row>
    <row r="287" spans="1:61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</row>
    <row r="288" spans="1:61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</row>
    <row r="289" spans="1:61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</row>
    <row r="290" spans="1:61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</row>
    <row r="291" spans="1:61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</row>
    <row r="292" spans="1:61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</row>
    <row r="293" spans="1:61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</row>
    <row r="294" spans="1:61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</row>
    <row r="295" spans="1:61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</row>
    <row r="296" spans="1:61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</row>
    <row r="297" spans="1:61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</row>
    <row r="298" spans="1:61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</row>
    <row r="299" spans="1:61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</row>
    <row r="300" spans="1:61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</row>
    <row r="301" spans="1:61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</row>
    <row r="302" spans="1:61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</row>
    <row r="303" spans="1:61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</row>
    <row r="304" spans="1:61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</row>
    <row r="305" spans="1:61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</row>
    <row r="306" spans="1:61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</row>
    <row r="307" spans="1:61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</row>
    <row r="308" spans="1:61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</row>
    <row r="309" spans="1:61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</row>
    <row r="310" spans="1:61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</row>
    <row r="311" spans="1:61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</row>
    <row r="312" spans="1:61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</row>
    <row r="313" spans="1:61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</row>
    <row r="314" spans="1:61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</row>
    <row r="315" spans="1:61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</row>
    <row r="316" spans="1:61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</row>
    <row r="317" spans="1:61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</row>
    <row r="318" spans="1:61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1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</row>
    <row r="319" spans="1:61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1</v>
      </c>
      <c r="AZ319">
        <v>1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</row>
    <row r="320" spans="1:61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</row>
    <row r="321" spans="1:61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</row>
    <row r="322" spans="1:61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</row>
    <row r="323" spans="1:61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</row>
    <row r="324" spans="1:61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</row>
    <row r="325" spans="1:61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</row>
    <row r="326" spans="1:61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</row>
    <row r="327" spans="1:61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</row>
    <row r="328" spans="1:61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</row>
    <row r="329" spans="1:61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</row>
    <row r="330" spans="1:61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</row>
    <row r="331" spans="1:61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</row>
    <row r="332" spans="1:61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</row>
    <row r="333" spans="1:61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</row>
    <row r="334" spans="1:61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</row>
    <row r="335" spans="1:61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</row>
    <row r="336" spans="1:61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</row>
    <row r="337" spans="1:61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1</v>
      </c>
      <c r="AV337">
        <v>1</v>
      </c>
      <c r="AW337">
        <v>1</v>
      </c>
      <c r="AX337">
        <v>1</v>
      </c>
      <c r="AY337">
        <v>1</v>
      </c>
      <c r="AZ337">
        <v>1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</row>
    <row r="338" spans="1:61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</row>
    <row r="339" spans="1:61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</row>
    <row r="340" spans="1:61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</row>
    <row r="341" spans="1:61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</row>
    <row r="342" spans="1:61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</row>
    <row r="343" spans="1:61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1</v>
      </c>
      <c r="AT343">
        <v>1</v>
      </c>
      <c r="AU343">
        <v>1</v>
      </c>
      <c r="AV343">
        <v>1</v>
      </c>
      <c r="AW343">
        <v>1</v>
      </c>
      <c r="AX343">
        <v>1</v>
      </c>
      <c r="AY343">
        <v>1</v>
      </c>
      <c r="AZ343">
        <v>1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</row>
    <row r="344" spans="1:61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</row>
    <row r="345" spans="1:61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</row>
    <row r="346" spans="1:61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</row>
    <row r="347" spans="1:61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</row>
    <row r="348" spans="1:61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</row>
    <row r="349" spans="1:61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1</v>
      </c>
      <c r="AR349">
        <v>1</v>
      </c>
      <c r="AS349">
        <v>5</v>
      </c>
      <c r="AT349">
        <v>6</v>
      </c>
      <c r="AU349">
        <v>9</v>
      </c>
      <c r="AV349">
        <v>10</v>
      </c>
      <c r="AW349">
        <v>12</v>
      </c>
      <c r="AX349">
        <v>15</v>
      </c>
      <c r="AY349">
        <v>17</v>
      </c>
      <c r="AZ349">
        <v>17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</row>
    <row r="350" spans="1:61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</row>
    <row r="351" spans="1:61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</row>
    <row r="352" spans="1:61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</row>
    <row r="353" spans="1:61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</row>
    <row r="354" spans="1:61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</row>
    <row r="355" spans="1:61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</row>
    <row r="356" spans="1:61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</row>
    <row r="357" spans="1:61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</row>
    <row r="358" spans="1:61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</row>
    <row r="359" spans="1:61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</row>
    <row r="360" spans="1:61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</row>
    <row r="361" spans="1:61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</row>
    <row r="362" spans="1:61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</row>
    <row r="363" spans="1:61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</row>
    <row r="364" spans="1:61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</row>
    <row r="365" spans="1:61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</row>
    <row r="366" spans="1:61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</row>
    <row r="367" spans="1:61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</row>
    <row r="368" spans="1:61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</row>
    <row r="369" spans="1:61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</row>
    <row r="370" spans="1:61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</row>
    <row r="371" spans="1:61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</row>
    <row r="372" spans="1:61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</row>
    <row r="373" spans="1:61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</row>
    <row r="374" spans="1:61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</row>
    <row r="375" spans="1:61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</row>
    <row r="376" spans="1:61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</row>
    <row r="377" spans="1:61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</row>
    <row r="378" spans="1:61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</row>
    <row r="379" spans="1:61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</row>
    <row r="380" spans="1:61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</row>
    <row r="381" spans="1:61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</row>
    <row r="382" spans="1:61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</row>
    <row r="383" spans="1:61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</row>
    <row r="384" spans="1:61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</row>
    <row r="385" spans="1:61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</row>
    <row r="386" spans="1:61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</row>
    <row r="387" spans="1:61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</row>
    <row r="388" spans="1:61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</row>
    <row r="389" spans="1:61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</row>
    <row r="390" spans="1:61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</row>
    <row r="391" spans="1:61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</row>
    <row r="392" spans="1:61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</row>
    <row r="393" spans="1:61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</row>
    <row r="394" spans="1:61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</row>
    <row r="395" spans="1:61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</row>
    <row r="396" spans="1:61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</row>
    <row r="397" spans="1:61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</row>
    <row r="398" spans="1:61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</row>
    <row r="399" spans="1:61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</row>
    <row r="400" spans="1:61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</row>
    <row r="401" spans="1:61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</row>
    <row r="402" spans="1:61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1</v>
      </c>
    </row>
    <row r="403" spans="1:61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1</v>
      </c>
      <c r="BD403">
        <v>1</v>
      </c>
      <c r="BE403">
        <v>1</v>
      </c>
      <c r="BF403">
        <v>1</v>
      </c>
      <c r="BG403">
        <v>1</v>
      </c>
      <c r="BH403">
        <v>1</v>
      </c>
      <c r="BI403">
        <v>1</v>
      </c>
    </row>
    <row r="404" spans="1:61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</row>
    <row r="405" spans="1:61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1</v>
      </c>
      <c r="AW405">
        <v>2</v>
      </c>
      <c r="AX405">
        <v>2</v>
      </c>
      <c r="AY405">
        <v>3</v>
      </c>
      <c r="AZ405">
        <v>4</v>
      </c>
      <c r="BA405">
        <v>6</v>
      </c>
      <c r="BB405">
        <v>8</v>
      </c>
      <c r="BC405">
        <v>8</v>
      </c>
      <c r="BD405">
        <v>8</v>
      </c>
      <c r="BE405">
        <v>21</v>
      </c>
      <c r="BF405">
        <v>21</v>
      </c>
      <c r="BG405">
        <v>55</v>
      </c>
      <c r="BH405">
        <v>55</v>
      </c>
      <c r="BI405">
        <v>71</v>
      </c>
    </row>
    <row r="406" spans="1:61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</row>
    <row r="407" spans="1:61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</row>
    <row r="408" spans="1:61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</row>
    <row r="409" spans="1:61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</row>
    <row r="410" spans="1:61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</row>
    <row r="411" spans="1:61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1</v>
      </c>
      <c r="BE411">
        <v>1</v>
      </c>
      <c r="BF411">
        <v>1</v>
      </c>
      <c r="BG411">
        <v>1</v>
      </c>
      <c r="BH411">
        <v>1</v>
      </c>
      <c r="BI411">
        <v>1</v>
      </c>
    </row>
    <row r="412" spans="1:61" x14ac:dyDescent="0.3">
      <c r="B412" t="s">
        <v>421</v>
      </c>
      <c r="C412">
        <v>9.9456000000000007</v>
      </c>
      <c r="D412">
        <v>-9.6966000000000001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</row>
    <row r="413" spans="1:61" x14ac:dyDescent="0.3">
      <c r="A413" t="s">
        <v>249</v>
      </c>
      <c r="B413" t="s">
        <v>45</v>
      </c>
      <c r="C413">
        <v>37.648899999999998</v>
      </c>
      <c r="D413">
        <v>-122.66549999999999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</row>
    <row r="414" spans="1:61" x14ac:dyDescent="0.3">
      <c r="B414" t="s">
        <v>423</v>
      </c>
      <c r="C414">
        <v>-2.3599999999999999E-2</v>
      </c>
      <c r="D414">
        <v>37.906199999999998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</row>
    <row r="415" spans="1:61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</row>
    <row r="416" spans="1:61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</row>
    <row r="417" spans="1:61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</row>
    <row r="418" spans="1:61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</row>
    <row r="419" spans="1:61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</row>
    <row r="420" spans="1:61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</row>
    <row r="421" spans="1:61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</row>
    <row r="422" spans="1:61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</row>
    <row r="423" spans="1:61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</row>
    <row r="424" spans="1:61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</row>
    <row r="425" spans="1:61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</row>
    <row r="426" spans="1:61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1</v>
      </c>
      <c r="BH426">
        <v>1</v>
      </c>
      <c r="BI426">
        <v>1</v>
      </c>
    </row>
    <row r="427" spans="1:61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</row>
    <row r="428" spans="1:61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</row>
    <row r="429" spans="1:61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</row>
    <row r="430" spans="1:61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</row>
    <row r="431" spans="1:61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</row>
    <row r="432" spans="1:61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</row>
    <row r="433" spans="1:61" x14ac:dyDescent="0.3">
      <c r="A433" t="s">
        <v>459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</row>
    <row r="434" spans="1:61" x14ac:dyDescent="0.3">
      <c r="B434" t="s">
        <v>460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</row>
    <row r="435" spans="1:61" x14ac:dyDescent="0.3">
      <c r="A435" t="s">
        <v>461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</row>
    <row r="436" spans="1:61" x14ac:dyDescent="0.3">
      <c r="A436" t="s">
        <v>462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</row>
    <row r="437" spans="1:61" x14ac:dyDescent="0.3">
      <c r="B437" t="s">
        <v>463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</row>
    <row r="438" spans="1:61" x14ac:dyDescent="0.3">
      <c r="B438" t="s">
        <v>464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</row>
    <row r="439" spans="1:61" x14ac:dyDescent="0.3">
      <c r="B439" t="s">
        <v>465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</row>
    <row r="440" spans="1:61" x14ac:dyDescent="0.3">
      <c r="A440" t="s">
        <v>466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</row>
    <row r="441" spans="1:61" x14ac:dyDescent="0.3">
      <c r="B441" t="s">
        <v>467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</row>
    <row r="442" spans="1:61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1</v>
      </c>
      <c r="AX442">
        <v>1</v>
      </c>
      <c r="AY442">
        <v>3</v>
      </c>
      <c r="AZ442">
        <v>3</v>
      </c>
      <c r="BA442">
        <v>4</v>
      </c>
      <c r="BB442">
        <v>5</v>
      </c>
      <c r="BC442">
        <v>5</v>
      </c>
      <c r="BD442">
        <v>10</v>
      </c>
      <c r="BE442">
        <v>12</v>
      </c>
      <c r="BF442">
        <v>20</v>
      </c>
      <c r="BG442">
        <v>24</v>
      </c>
      <c r="BH442">
        <v>43</v>
      </c>
      <c r="BI442">
        <v>58</v>
      </c>
    </row>
    <row r="443" spans="1:61" x14ac:dyDescent="0.3">
      <c r="A443" t="s">
        <v>470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</row>
    <row r="444" spans="1:61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</row>
    <row r="445" spans="1:61" x14ac:dyDescent="0.3">
      <c r="B445" t="s">
        <v>471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</row>
    <row r="446" spans="1:61" x14ac:dyDescent="0.3">
      <c r="B446" t="s">
        <v>472</v>
      </c>
      <c r="C446">
        <v>71.706900000000005</v>
      </c>
      <c r="D446">
        <v>-42.604300000000002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</row>
    <row r="447" spans="1:61" x14ac:dyDescent="0.3">
      <c r="B447" t="s">
        <v>473</v>
      </c>
      <c r="C447">
        <v>6.4280999999999997</v>
      </c>
      <c r="D447">
        <v>-9.4295000000000009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</row>
    <row r="448" spans="1:61" x14ac:dyDescent="0.3">
      <c r="A448" t="s">
        <v>441</v>
      </c>
      <c r="B448" t="s">
        <v>89</v>
      </c>
      <c r="C448">
        <v>12.169600000000001</v>
      </c>
      <c r="D448">
        <v>-68.989999999999995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</row>
    <row r="449" spans="1:61" x14ac:dyDescent="0.3">
      <c r="B449" t="s">
        <v>474</v>
      </c>
      <c r="C449">
        <v>5.1520999999999999</v>
      </c>
      <c r="D449">
        <v>46.199599999999997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</row>
    <row r="450" spans="1:61" x14ac:dyDescent="0.3">
      <c r="B450" t="s">
        <v>475</v>
      </c>
      <c r="C450">
        <v>-6.3689999999999998</v>
      </c>
      <c r="D450">
        <v>34.888800000000003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</row>
    <row r="451" spans="1:61" x14ac:dyDescent="0.3">
      <c r="B451" t="s">
        <v>476</v>
      </c>
      <c r="C451">
        <v>24.25</v>
      </c>
      <c r="D451">
        <v>-76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</row>
    <row r="452" spans="1:61" x14ac:dyDescent="0.3">
      <c r="A452" t="s">
        <v>477</v>
      </c>
      <c r="B452" t="s">
        <v>38</v>
      </c>
      <c r="C452">
        <v>18.335799999999999</v>
      </c>
      <c r="D452">
        <v>-64.896299999999997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</row>
    <row r="453" spans="1:61" x14ac:dyDescent="0.3">
      <c r="A453" t="s">
        <v>415</v>
      </c>
      <c r="B453" t="s">
        <v>349</v>
      </c>
      <c r="C453">
        <v>19.313300000000002</v>
      </c>
      <c r="D453">
        <v>-81.254599999999996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1</v>
      </c>
      <c r="BH453">
        <v>1</v>
      </c>
      <c r="BI453">
        <v>1</v>
      </c>
    </row>
    <row r="454" spans="1:61" x14ac:dyDescent="0.3">
      <c r="A454" t="s">
        <v>354</v>
      </c>
      <c r="B454" t="s">
        <v>41</v>
      </c>
      <c r="C454">
        <v>-21.135100000000001</v>
      </c>
      <c r="D454">
        <v>55.247100000000003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</row>
    <row r="455" spans="1:61" x14ac:dyDescent="0.3">
      <c r="B455" t="s">
        <v>489</v>
      </c>
      <c r="C455">
        <v>13.193899999999999</v>
      </c>
      <c r="D455">
        <v>-59.543199999999999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</row>
    <row r="456" spans="1:61" x14ac:dyDescent="0.3">
      <c r="B456" t="s">
        <v>488</v>
      </c>
      <c r="C456">
        <v>42.5</v>
      </c>
      <c r="D456">
        <v>19.3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</row>
    <row r="457" spans="1:61" x14ac:dyDescent="0.3">
      <c r="B457" t="s">
        <v>485</v>
      </c>
      <c r="C457">
        <v>41.2044</v>
      </c>
      <c r="D457">
        <v>74.766099999999994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</row>
    <row r="458" spans="1:61" x14ac:dyDescent="0.3">
      <c r="B458" t="s">
        <v>486</v>
      </c>
      <c r="C458">
        <v>-20.2</v>
      </c>
      <c r="D458">
        <v>57.5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</row>
    <row r="459" spans="1:61" x14ac:dyDescent="0.3">
      <c r="A459" t="s">
        <v>422</v>
      </c>
      <c r="B459" t="s">
        <v>89</v>
      </c>
      <c r="C459">
        <v>12.518599999999999</v>
      </c>
      <c r="D459">
        <v>-70.035799999999995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</row>
    <row r="460" spans="1:61" x14ac:dyDescent="0.3">
      <c r="B460" t="s">
        <v>484</v>
      </c>
      <c r="C460">
        <v>-15.416700000000001</v>
      </c>
      <c r="D460">
        <v>28.283300000000001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</row>
    <row r="461" spans="1:61" x14ac:dyDescent="0.3">
      <c r="B461" t="s">
        <v>487</v>
      </c>
      <c r="C461">
        <v>11.825100000000001</v>
      </c>
      <c r="D461">
        <v>42.590299999999999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</row>
    <row r="462" spans="1:61" x14ac:dyDescent="0.3">
      <c r="B462" t="s">
        <v>521</v>
      </c>
      <c r="C462">
        <v>13.443199999999999</v>
      </c>
      <c r="D462">
        <v>-15.3101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</row>
    <row r="463" spans="1:61" x14ac:dyDescent="0.3">
      <c r="A463" t="s">
        <v>490</v>
      </c>
      <c r="B463" t="s">
        <v>349</v>
      </c>
      <c r="C463">
        <v>16.7425</v>
      </c>
      <c r="D463">
        <v>-62.187399999999997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14</vt:i4>
      </vt:variant>
    </vt:vector>
  </HeadingPairs>
  <TitlesOfParts>
    <vt:vector size="26" baseType="lpstr">
      <vt:lpstr>Projections</vt:lpstr>
      <vt:lpstr>Country_Rates</vt:lpstr>
      <vt:lpstr>Country_Comparison</vt:lpstr>
      <vt:lpstr>Projections_Data</vt:lpstr>
      <vt:lpstr>Days_Since_100</vt:lpstr>
      <vt:lpstr>Country_Data</vt:lpstr>
      <vt:lpstr>CumulativeConfirmed</vt:lpstr>
      <vt:lpstr>CumulativeRecovered</vt:lpstr>
      <vt:lpstr>CumulativeDead</vt:lpstr>
      <vt:lpstr>ConfirmedRaw</vt:lpstr>
      <vt:lpstr>RecoveredRaw</vt:lpstr>
      <vt:lpstr>DeadRaw</vt:lpstr>
      <vt:lpstr>country</vt:lpstr>
      <vt:lpstr>image_jpg</vt:lpstr>
      <vt:lpstr>xMax</vt:lpstr>
      <vt:lpstr>xMax2</vt:lpstr>
      <vt:lpstr>xMax3</vt:lpstr>
      <vt:lpstr>xMin</vt:lpstr>
      <vt:lpstr>xMin2</vt:lpstr>
      <vt:lpstr>xMin3</vt:lpstr>
      <vt:lpstr>yMax</vt:lpstr>
      <vt:lpstr>yMax2</vt:lpstr>
      <vt:lpstr>yMax3</vt:lpstr>
      <vt:lpstr>yMin</vt:lpstr>
      <vt:lpstr>yMin2</vt:lpstr>
      <vt:lpstr>yMin3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2020-03-19T22:04:59Z</dcterms:modified>
</cp:coreProperties>
</file>