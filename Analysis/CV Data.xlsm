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DE936B11-4B68-4A69-875D-014760548DDE}" xr6:coauthVersionLast="45" xr6:coauthVersionMax="45" xr10:uidLastSave="{00000000-0000-0000-0000-000000000000}"/>
  <bookViews>
    <workbookView xWindow="-108" yWindow="-108" windowWidth="23256" windowHeight="13176" activeTab="1" xr2:uid="{00000000-000D-0000-FFFF-FFFF00000000}"/>
  </bookViews>
  <sheets>
    <sheet name="Projections" sheetId="15" r:id="rId1"/>
    <sheet name="Sheet1" sheetId="23" r:id="rId2"/>
    <sheet name="Country_Rates" sheetId="20" r:id="rId3"/>
    <sheet name="Country_Comparison" sheetId="12" r:id="rId4"/>
    <sheet name="Projections_Data" sheetId="13" r:id="rId5"/>
    <sheet name="Days_Since_100" sheetId="8" r:id="rId6"/>
    <sheet name="Days_Since_100_active" sheetId="21" r:id="rId7"/>
    <sheet name="Country_Data" sheetId="14" r:id="rId8"/>
    <sheet name="CumulativeActive" sheetId="22" state="hidden" r:id="rId9"/>
    <sheet name="CumulativeConfirmed" sheetId="3" state="hidden" r:id="rId10"/>
    <sheet name="CumulativeRecovered" sheetId="18" state="hidden" r:id="rId11"/>
    <sheet name="CumulativeDead" sheetId="19" state="hidden" r:id="rId12"/>
    <sheet name="ConfirmedRaw" sheetId="2" state="hidden" r:id="rId13"/>
    <sheet name="RecoveredRaw" sheetId="17" state="hidden" r:id="rId14"/>
    <sheet name="DeadRaw" sheetId="16" state="hidden" r:id="rId15"/>
  </sheets>
  <definedNames>
    <definedName name="_xlnm._FilterDatabase" localSheetId="2" hidden="1">Country_Rates!$C$2:$K$2</definedName>
    <definedName name="_xlnm._FilterDatabase" localSheetId="9" hidden="1">CumulativeConfirmed!$A$1:$BA$1</definedName>
    <definedName name="_xlnm._FilterDatabase" localSheetId="5" hidden="1">Days_Since_100!$B$1:$CU$1</definedName>
    <definedName name="_xlnm._FilterDatabase" localSheetId="4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in">Country_Comparison!$S$7</definedName>
    <definedName name="xMin2">Projections_Data!$C$29</definedName>
    <definedName name="xMin3">Projections_Data!$D$29</definedName>
    <definedName name="yMax">Country_Comparison!$S$5</definedName>
    <definedName name="yMax2">Projections_Data!$C$27</definedName>
    <definedName name="yMax3">Projections_Data!$D$27</definedName>
    <definedName name="yMin">Country_Comparison!$S$4</definedName>
    <definedName name="yMin2">Projections_Data!$C$26</definedName>
    <definedName name="yMin3">Projections_Data!$D$26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3" l="1"/>
  <c r="D12" i="23"/>
  <c r="C12" i="23"/>
  <c r="C11" i="23"/>
  <c r="D11" i="23"/>
  <c r="B11" i="23"/>
  <c r="G3" i="14" l="1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A6" i="21"/>
  <c r="C6" i="21"/>
  <c r="B6" i="21" s="1" a="1"/>
  <c r="B6" i="21" s="1"/>
  <c r="D6" i="21"/>
  <c r="E6" i="21"/>
  <c r="F6" i="21"/>
  <c r="A7" i="21"/>
  <c r="C7" i="21"/>
  <c r="B7" i="21" s="1" a="1"/>
  <c r="B7" i="21" s="1"/>
  <c r="D7" i="21"/>
  <c r="E7" i="21"/>
  <c r="A8" i="21"/>
  <c r="C8" i="21"/>
  <c r="B8" i="21" s="1" a="1"/>
  <c r="B8" i="21" s="1"/>
  <c r="D8" i="21"/>
  <c r="E8" i="21"/>
  <c r="A9" i="21"/>
  <c r="C9" i="21"/>
  <c r="B9" i="21" s="1" a="1"/>
  <c r="B9" i="21" s="1"/>
  <c r="D9" i="21"/>
  <c r="E9" i="21"/>
  <c r="A10" i="21"/>
  <c r="C10" i="21"/>
  <c r="B10" i="21" s="1" a="1"/>
  <c r="B10" i="21" s="1"/>
  <c r="D10" i="21"/>
  <c r="E10" i="21"/>
  <c r="A11" i="21"/>
  <c r="C11" i="21"/>
  <c r="B11" i="21" s="1" a="1"/>
  <c r="B11" i="21" s="1"/>
  <c r="D11" i="21"/>
  <c r="E11" i="21"/>
  <c r="A12" i="21"/>
  <c r="C12" i="21"/>
  <c r="B12" i="21" s="1" a="1"/>
  <c r="B12" i="21" s="1"/>
  <c r="D12" i="21"/>
  <c r="E12" i="21"/>
  <c r="A13" i="21"/>
  <c r="C13" i="21"/>
  <c r="B13" i="21" s="1" a="1"/>
  <c r="B13" i="21" s="1"/>
  <c r="D13" i="21"/>
  <c r="E13" i="21"/>
  <c r="A14" i="21"/>
  <c r="C14" i="21"/>
  <c r="B14" i="21" s="1" a="1"/>
  <c r="B14" i="21" s="1"/>
  <c r="D14" i="21"/>
  <c r="E14" i="21"/>
  <c r="A15" i="21"/>
  <c r="C15" i="21"/>
  <c r="B15" i="21" s="1" a="1"/>
  <c r="B15" i="21" s="1"/>
  <c r="D15" i="21"/>
  <c r="E15" i="21"/>
  <c r="A16" i="21"/>
  <c r="C16" i="21"/>
  <c r="B16" i="21" s="1" a="1"/>
  <c r="B16" i="21" s="1"/>
  <c r="D16" i="21"/>
  <c r="E16" i="21"/>
  <c r="A17" i="21"/>
  <c r="C17" i="21"/>
  <c r="B17" i="21" s="1" a="1"/>
  <c r="B17" i="21" s="1"/>
  <c r="D17" i="21"/>
  <c r="E17" i="21"/>
  <c r="A18" i="21"/>
  <c r="C18" i="21"/>
  <c r="B18" i="21" s="1" a="1"/>
  <c r="B18" i="21" s="1"/>
  <c r="D18" i="21"/>
  <c r="E18" i="21"/>
  <c r="A19" i="21"/>
  <c r="C19" i="21"/>
  <c r="B19" i="21" s="1" a="1"/>
  <c r="B19" i="21" s="1"/>
  <c r="D19" i="21"/>
  <c r="E19" i="21"/>
  <c r="A20" i="21"/>
  <c r="C20" i="21"/>
  <c r="B20" i="21" s="1" a="1"/>
  <c r="B20" i="21" s="1"/>
  <c r="D20" i="21"/>
  <c r="E20" i="21"/>
  <c r="F20" i="21"/>
  <c r="G20" i="21" s="1"/>
  <c r="A21" i="21"/>
  <c r="C21" i="21"/>
  <c r="B21" i="21" s="1" a="1"/>
  <c r="B21" i="21" s="1"/>
  <c r="D21" i="21"/>
  <c r="E21" i="21"/>
  <c r="A22" i="21"/>
  <c r="C22" i="21"/>
  <c r="B22" i="21" s="1" a="1"/>
  <c r="B22" i="21" s="1"/>
  <c r="D22" i="21"/>
  <c r="E22" i="21"/>
  <c r="A23" i="21"/>
  <c r="C23" i="21"/>
  <c r="B23" i="21" s="1" a="1"/>
  <c r="B23" i="21" s="1"/>
  <c r="D23" i="21"/>
  <c r="E23" i="21"/>
  <c r="F23" i="21"/>
  <c r="G23" i="21" s="1"/>
  <c r="A24" i="21"/>
  <c r="C24" i="21"/>
  <c r="B24" i="21" s="1" a="1"/>
  <c r="B24" i="21" s="1"/>
  <c r="D24" i="21"/>
  <c r="E24" i="21"/>
  <c r="A25" i="21"/>
  <c r="C25" i="21"/>
  <c r="B25" i="21" s="1" a="1"/>
  <c r="B25" i="21" s="1"/>
  <c r="D25" i="21"/>
  <c r="E25" i="21"/>
  <c r="A26" i="21"/>
  <c r="C26" i="21"/>
  <c r="B26" i="21" s="1" a="1"/>
  <c r="B26" i="21" s="1"/>
  <c r="D26" i="21"/>
  <c r="E26" i="21"/>
  <c r="F26" i="21"/>
  <c r="A27" i="21"/>
  <c r="C27" i="21"/>
  <c r="B27" i="21" s="1" a="1"/>
  <c r="B27" i="21" s="1"/>
  <c r="D27" i="21"/>
  <c r="E27" i="21"/>
  <c r="A28" i="21"/>
  <c r="C28" i="21"/>
  <c r="B28" i="21" s="1" a="1"/>
  <c r="B28" i="21" s="1"/>
  <c r="D28" i="21"/>
  <c r="E28" i="21"/>
  <c r="A29" i="21"/>
  <c r="C29" i="21"/>
  <c r="B29" i="21" s="1" a="1"/>
  <c r="B29" i="21" s="1"/>
  <c r="D29" i="21"/>
  <c r="E29" i="21"/>
  <c r="F29" i="21"/>
  <c r="A30" i="21"/>
  <c r="C30" i="21"/>
  <c r="B30" i="21" s="1" a="1"/>
  <c r="B30" i="21" s="1"/>
  <c r="D30" i="21"/>
  <c r="E30" i="21"/>
  <c r="A31" i="21"/>
  <c r="C31" i="21"/>
  <c r="B31" i="21" s="1" a="1"/>
  <c r="B31" i="21" s="1"/>
  <c r="D31" i="21"/>
  <c r="E31" i="21"/>
  <c r="A32" i="21"/>
  <c r="C32" i="21"/>
  <c r="B32" i="21" s="1" a="1"/>
  <c r="B32" i="21" s="1"/>
  <c r="D32" i="21"/>
  <c r="E32" i="21"/>
  <c r="A33" i="21"/>
  <c r="C33" i="21"/>
  <c r="B33" i="21" s="1" a="1"/>
  <c r="B33" i="21" s="1"/>
  <c r="D33" i="21"/>
  <c r="E33" i="21"/>
  <c r="A34" i="21"/>
  <c r="C34" i="21"/>
  <c r="B34" i="21" s="1" a="1"/>
  <c r="B34" i="21" s="1"/>
  <c r="D34" i="21"/>
  <c r="E34" i="21"/>
  <c r="A35" i="21"/>
  <c r="C35" i="21"/>
  <c r="B35" i="21" s="1" a="1"/>
  <c r="B35" i="21" s="1"/>
  <c r="D35" i="21"/>
  <c r="E35" i="21"/>
  <c r="A36" i="21"/>
  <c r="C36" i="21"/>
  <c r="B36" i="21" s="1" a="1"/>
  <c r="B36" i="21" s="1"/>
  <c r="D36" i="21"/>
  <c r="E36" i="21"/>
  <c r="A37" i="21"/>
  <c r="C37" i="21"/>
  <c r="B37" i="21" s="1" a="1"/>
  <c r="B37" i="21" s="1"/>
  <c r="D37" i="21"/>
  <c r="E37" i="21"/>
  <c r="A38" i="21"/>
  <c r="C38" i="21"/>
  <c r="B38" i="21" s="1" a="1"/>
  <c r="B38" i="21" s="1"/>
  <c r="D38" i="21"/>
  <c r="E38" i="21"/>
  <c r="A39" i="21"/>
  <c r="C39" i="21"/>
  <c r="B39" i="21" s="1" a="1"/>
  <c r="B39" i="21" s="1"/>
  <c r="D39" i="21"/>
  <c r="E39" i="21"/>
  <c r="A40" i="21"/>
  <c r="C40" i="21"/>
  <c r="B40" i="21" s="1" a="1"/>
  <c r="B40" i="21" s="1"/>
  <c r="D40" i="21"/>
  <c r="E40" i="21"/>
  <c r="A41" i="21"/>
  <c r="C41" i="21"/>
  <c r="B41" i="21" s="1" a="1"/>
  <c r="B41" i="21" s="1"/>
  <c r="D41" i="21"/>
  <c r="E41" i="21"/>
  <c r="A42" i="21"/>
  <c r="C42" i="21"/>
  <c r="B42" i="21" s="1" a="1"/>
  <c r="B42" i="21" s="1"/>
  <c r="D42" i="21"/>
  <c r="E42" i="21"/>
  <c r="A43" i="21"/>
  <c r="C43" i="21"/>
  <c r="B43" i="21" s="1" a="1"/>
  <c r="B43" i="21" s="1"/>
  <c r="D43" i="21"/>
  <c r="E43" i="21"/>
  <c r="A44" i="21"/>
  <c r="C44" i="21"/>
  <c r="B44" i="21" s="1" a="1"/>
  <c r="B44" i="21" s="1"/>
  <c r="D44" i="21"/>
  <c r="E44" i="21"/>
  <c r="A45" i="21"/>
  <c r="C45" i="21"/>
  <c r="B45" i="21" s="1" a="1"/>
  <c r="B45" i="21" s="1"/>
  <c r="D45" i="21"/>
  <c r="E45" i="21"/>
  <c r="A46" i="21"/>
  <c r="C46" i="21"/>
  <c r="B46" i="21" s="1" a="1"/>
  <c r="B46" i="21" s="1"/>
  <c r="D46" i="21"/>
  <c r="E46" i="21"/>
  <c r="A47" i="21"/>
  <c r="C47" i="21"/>
  <c r="B47" i="21" s="1" a="1"/>
  <c r="B47" i="21" s="1"/>
  <c r="D47" i="21"/>
  <c r="E47" i="21"/>
  <c r="A48" i="21"/>
  <c r="C48" i="21"/>
  <c r="B48" i="21" s="1" a="1"/>
  <c r="B48" i="21" s="1"/>
  <c r="D48" i="21"/>
  <c r="E48" i="21"/>
  <c r="A49" i="21"/>
  <c r="C49" i="21"/>
  <c r="B49" i="21" s="1" a="1"/>
  <c r="B49" i="21" s="1"/>
  <c r="D49" i="21"/>
  <c r="E49" i="21"/>
  <c r="A50" i="21"/>
  <c r="C50" i="21"/>
  <c r="B50" i="21" s="1" a="1"/>
  <c r="B50" i="21" s="1"/>
  <c r="D50" i="21"/>
  <c r="E50" i="21"/>
  <c r="A51" i="21"/>
  <c r="C51" i="21"/>
  <c r="B51" i="21" s="1" a="1"/>
  <c r="B51" i="21" s="1"/>
  <c r="D51" i="21"/>
  <c r="E51" i="21"/>
  <c r="A52" i="21"/>
  <c r="C52" i="21"/>
  <c r="B52" i="21" s="1" a="1"/>
  <c r="B52" i="21" s="1"/>
  <c r="D52" i="21"/>
  <c r="E52" i="21"/>
  <c r="F52" i="21"/>
  <c r="G52" i="21" s="1"/>
  <c r="A53" i="21"/>
  <c r="C53" i="21"/>
  <c r="B53" i="21" s="1" a="1"/>
  <c r="B53" i="21" s="1"/>
  <c r="D53" i="21"/>
  <c r="E53" i="21"/>
  <c r="A54" i="21"/>
  <c r="C54" i="21"/>
  <c r="B54" i="21" s="1" a="1"/>
  <c r="B54" i="21" s="1"/>
  <c r="D54" i="21"/>
  <c r="E54" i="21"/>
  <c r="A55" i="21"/>
  <c r="C55" i="21"/>
  <c r="B55" i="21" s="1" a="1"/>
  <c r="B55" i="21" s="1"/>
  <c r="D55" i="21"/>
  <c r="E55" i="21"/>
  <c r="F55" i="21"/>
  <c r="A56" i="21"/>
  <c r="C56" i="21"/>
  <c r="B56" i="21" s="1" a="1"/>
  <c r="B56" i="21" s="1"/>
  <c r="D56" i="21"/>
  <c r="E56" i="21"/>
  <c r="A57" i="21"/>
  <c r="C57" i="21"/>
  <c r="B57" i="21" s="1" a="1"/>
  <c r="B57" i="21" s="1"/>
  <c r="D57" i="21"/>
  <c r="E57" i="21"/>
  <c r="A58" i="21"/>
  <c r="C58" i="21"/>
  <c r="B58" i="21" s="1" a="1"/>
  <c r="B58" i="21" s="1"/>
  <c r="D58" i="21"/>
  <c r="E58" i="21"/>
  <c r="F58" i="21"/>
  <c r="A59" i="21"/>
  <c r="C59" i="21"/>
  <c r="B59" i="21" s="1" a="1"/>
  <c r="B59" i="21" s="1"/>
  <c r="D59" i="21"/>
  <c r="E59" i="21"/>
  <c r="A60" i="21"/>
  <c r="C60" i="21"/>
  <c r="B60" i="21" s="1" a="1"/>
  <c r="B60" i="21" s="1"/>
  <c r="D60" i="21"/>
  <c r="E60" i="21"/>
  <c r="A61" i="21"/>
  <c r="C61" i="21"/>
  <c r="B61" i="21" s="1" a="1"/>
  <c r="B61" i="21" s="1"/>
  <c r="D61" i="21"/>
  <c r="E61" i="21"/>
  <c r="F61" i="21"/>
  <c r="A62" i="21"/>
  <c r="C62" i="21"/>
  <c r="B62" i="21" s="1" a="1"/>
  <c r="B62" i="21" s="1"/>
  <c r="D62" i="21"/>
  <c r="E62" i="21"/>
  <c r="A63" i="21"/>
  <c r="C63" i="21"/>
  <c r="B63" i="21" s="1" a="1"/>
  <c r="B63" i="21" s="1"/>
  <c r="D63" i="21"/>
  <c r="E63" i="21"/>
  <c r="A64" i="21"/>
  <c r="C64" i="21"/>
  <c r="B64" i="21" s="1" a="1"/>
  <c r="B64" i="21" s="1"/>
  <c r="D64" i="21"/>
  <c r="E64" i="21"/>
  <c r="A65" i="21"/>
  <c r="C65" i="21"/>
  <c r="B65" i="21" s="1" a="1"/>
  <c r="B65" i="21" s="1"/>
  <c r="D65" i="21"/>
  <c r="E65" i="21"/>
  <c r="A66" i="21"/>
  <c r="C66" i="21"/>
  <c r="B66" i="21" s="1" a="1"/>
  <c r="B66" i="21" s="1"/>
  <c r="D66" i="21"/>
  <c r="E66" i="21"/>
  <c r="A67" i="21"/>
  <c r="C67" i="21"/>
  <c r="B67" i="21" s="1" a="1"/>
  <c r="B67" i="21" s="1"/>
  <c r="D67" i="21"/>
  <c r="E67" i="21"/>
  <c r="A68" i="21"/>
  <c r="C68" i="21"/>
  <c r="B68" i="21" s="1" a="1"/>
  <c r="B68" i="21" s="1"/>
  <c r="D68" i="21"/>
  <c r="E68" i="21"/>
  <c r="F68" i="21"/>
  <c r="G68" i="21"/>
  <c r="A69" i="21"/>
  <c r="C69" i="21"/>
  <c r="B69" i="21" s="1" a="1"/>
  <c r="B69" i="21" s="1"/>
  <c r="D69" i="21"/>
  <c r="E69" i="21"/>
  <c r="F69" i="21"/>
  <c r="G69" i="21"/>
  <c r="A70" i="21"/>
  <c r="C70" i="21"/>
  <c r="B70" i="21" s="1" a="1"/>
  <c r="B70" i="21" s="1"/>
  <c r="D70" i="21"/>
  <c r="E70" i="21"/>
  <c r="F70" i="21"/>
  <c r="G70" i="21"/>
  <c r="A71" i="21"/>
  <c r="C71" i="21"/>
  <c r="B71" i="21" s="1" a="1"/>
  <c r="B71" i="21" s="1"/>
  <c r="D71" i="21"/>
  <c r="E71" i="21"/>
  <c r="F71" i="21"/>
  <c r="G71" i="21"/>
  <c r="A72" i="21"/>
  <c r="C72" i="21"/>
  <c r="B72" i="21" s="1" a="1"/>
  <c r="B72" i="21" s="1"/>
  <c r="D72" i="21"/>
  <c r="E72" i="21"/>
  <c r="F72" i="21"/>
  <c r="G72" i="21"/>
  <c r="A73" i="21"/>
  <c r="C73" i="21"/>
  <c r="B73" i="21" s="1" a="1"/>
  <c r="B73" i="21" s="1"/>
  <c r="D73" i="21"/>
  <c r="E73" i="21"/>
  <c r="F73" i="21"/>
  <c r="G73" i="21"/>
  <c r="A74" i="21"/>
  <c r="C74" i="21"/>
  <c r="B74" i="21" s="1" a="1"/>
  <c r="B74" i="21" s="1"/>
  <c r="D74" i="21"/>
  <c r="E74" i="21"/>
  <c r="F74" i="21"/>
  <c r="G74" i="21"/>
  <c r="A75" i="21"/>
  <c r="C75" i="21"/>
  <c r="B75" i="21" s="1" a="1"/>
  <c r="B75" i="21" s="1"/>
  <c r="D75" i="21"/>
  <c r="E75" i="21"/>
  <c r="F75" i="21"/>
  <c r="G75" i="21"/>
  <c r="A76" i="21"/>
  <c r="C76" i="21"/>
  <c r="B76" i="21" s="1" a="1"/>
  <c r="B76" i="21" s="1"/>
  <c r="D76" i="21"/>
  <c r="E76" i="21"/>
  <c r="F76" i="21"/>
  <c r="G76" i="21"/>
  <c r="A77" i="21"/>
  <c r="C77" i="21"/>
  <c r="B77" i="21" s="1" a="1"/>
  <c r="B77" i="21" s="1"/>
  <c r="D77" i="21"/>
  <c r="E77" i="21"/>
  <c r="F77" i="21"/>
  <c r="G77" i="21"/>
  <c r="A78" i="21"/>
  <c r="C78" i="21"/>
  <c r="B78" i="21" s="1" a="1"/>
  <c r="B78" i="21" s="1"/>
  <c r="D78" i="21"/>
  <c r="E78" i="21"/>
  <c r="F78" i="21"/>
  <c r="G78" i="21"/>
  <c r="A79" i="21"/>
  <c r="C79" i="21"/>
  <c r="B79" i="21" s="1" a="1"/>
  <c r="B79" i="21" s="1"/>
  <c r="D79" i="21"/>
  <c r="E79" i="21"/>
  <c r="F79" i="21"/>
  <c r="G79" i="21"/>
  <c r="A80" i="21"/>
  <c r="C80" i="21"/>
  <c r="B80" i="21" s="1" a="1"/>
  <c r="B80" i="21" s="1"/>
  <c r="D80" i="21"/>
  <c r="E80" i="21"/>
  <c r="F80" i="21"/>
  <c r="G80" i="21"/>
  <c r="A81" i="21"/>
  <c r="C81" i="21"/>
  <c r="B81" i="21" s="1" a="1"/>
  <c r="B81" i="21" s="1"/>
  <c r="D81" i="21"/>
  <c r="E81" i="21"/>
  <c r="F81" i="21"/>
  <c r="G81" i="21"/>
  <c r="A82" i="21"/>
  <c r="A83" i="21" s="1"/>
  <c r="C82" i="21"/>
  <c r="B82" i="21" s="1" a="1"/>
  <c r="B82" i="21" s="1"/>
  <c r="D82" i="21"/>
  <c r="E82" i="21"/>
  <c r="F82" i="21"/>
  <c r="G82" i="21"/>
  <c r="C83" i="21"/>
  <c r="B83" i="21" s="1" a="1"/>
  <c r="B83" i="21" s="1"/>
  <c r="D83" i="21"/>
  <c r="E83" i="21"/>
  <c r="F83" i="21"/>
  <c r="G83" i="21"/>
  <c r="A84" i="2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C84" i="21"/>
  <c r="B84" i="21" s="1" a="1"/>
  <c r="B84" i="21" s="1"/>
  <c r="D84" i="21"/>
  <c r="E84" i="21"/>
  <c r="F84" i="21"/>
  <c r="G84" i="21"/>
  <c r="B85" i="21" a="1"/>
  <c r="B85" i="21" s="1"/>
  <c r="C85" i="21"/>
  <c r="D85" i="21"/>
  <c r="E85" i="21"/>
  <c r="F85" i="21"/>
  <c r="G85" i="21"/>
  <c r="B86" i="21" a="1"/>
  <c r="B86" i="21" s="1"/>
  <c r="C86" i="21"/>
  <c r="D86" i="21"/>
  <c r="E86" i="21"/>
  <c r="F86" i="21"/>
  <c r="G86" i="21"/>
  <c r="C87" i="21"/>
  <c r="B87" i="21" s="1" a="1"/>
  <c r="B87" i="21" s="1"/>
  <c r="D87" i="21"/>
  <c r="E87" i="21"/>
  <c r="F87" i="21"/>
  <c r="G87" i="21"/>
  <c r="C88" i="21"/>
  <c r="B88" i="21" s="1" a="1"/>
  <c r="B88" i="21" s="1"/>
  <c r="D88" i="21"/>
  <c r="E88" i="21"/>
  <c r="F88" i="21"/>
  <c r="G88" i="21"/>
  <c r="B89" i="21" a="1"/>
  <c r="B89" i="21" s="1"/>
  <c r="C89" i="21"/>
  <c r="D89" i="21"/>
  <c r="E89" i="21"/>
  <c r="F89" i="21"/>
  <c r="G89" i="21"/>
  <c r="C90" i="21"/>
  <c r="B90" i="21" s="1" a="1"/>
  <c r="B90" i="21" s="1"/>
  <c r="D90" i="21"/>
  <c r="E90" i="21"/>
  <c r="F90" i="21"/>
  <c r="G90" i="21"/>
  <c r="B91" i="21" a="1"/>
  <c r="B91" i="21" s="1"/>
  <c r="C91" i="21"/>
  <c r="D91" i="21"/>
  <c r="E91" i="21"/>
  <c r="F91" i="21"/>
  <c r="G91" i="21"/>
  <c r="B92" i="21" a="1"/>
  <c r="B92" i="21"/>
  <c r="C92" i="21"/>
  <c r="D92" i="21"/>
  <c r="E92" i="21"/>
  <c r="F92" i="21"/>
  <c r="G92" i="21"/>
  <c r="C93" i="21"/>
  <c r="B93" i="21" s="1" a="1"/>
  <c r="B93" i="21" s="1"/>
  <c r="D93" i="21"/>
  <c r="E93" i="21"/>
  <c r="F93" i="21"/>
  <c r="G93" i="21"/>
  <c r="B94" i="21" a="1"/>
  <c r="B94" i="21"/>
  <c r="C94" i="21"/>
  <c r="D94" i="21"/>
  <c r="E94" i="21"/>
  <c r="F94" i="21"/>
  <c r="G94" i="21"/>
  <c r="C95" i="21"/>
  <c r="B95" i="21" s="1" a="1"/>
  <c r="B95" i="21" s="1"/>
  <c r="D95" i="21"/>
  <c r="E95" i="21"/>
  <c r="F95" i="21"/>
  <c r="G95" i="21"/>
  <c r="B96" i="21" a="1"/>
  <c r="B96" i="21" s="1"/>
  <c r="C96" i="21"/>
  <c r="D96" i="21"/>
  <c r="E96" i="21"/>
  <c r="F96" i="21"/>
  <c r="G96" i="21"/>
  <c r="B97" i="21" a="1"/>
  <c r="B97" i="21"/>
  <c r="C97" i="21"/>
  <c r="D97" i="21"/>
  <c r="E97" i="21"/>
  <c r="F97" i="21"/>
  <c r="G97" i="21"/>
  <c r="C98" i="21"/>
  <c r="B98" i="21" s="1" a="1"/>
  <c r="B98" i="21" s="1"/>
  <c r="D98" i="21"/>
  <c r="E98" i="21"/>
  <c r="F98" i="21"/>
  <c r="G98" i="21"/>
  <c r="B99" i="21" a="1"/>
  <c r="B99" i="21" s="1"/>
  <c r="C99" i="21"/>
  <c r="D99" i="21"/>
  <c r="E99" i="21"/>
  <c r="F99" i="21"/>
  <c r="G99" i="21"/>
  <c r="B100" i="21" a="1"/>
  <c r="B100" i="21"/>
  <c r="C100" i="21"/>
  <c r="D100" i="21"/>
  <c r="E100" i="21"/>
  <c r="F100" i="21"/>
  <c r="G100" i="21"/>
  <c r="C101" i="21"/>
  <c r="B101" i="21" s="1" a="1"/>
  <c r="B101" i="21" s="1"/>
  <c r="D101" i="21"/>
  <c r="E101" i="21"/>
  <c r="F101" i="21"/>
  <c r="G101" i="21"/>
  <c r="B102" i="21" a="1"/>
  <c r="B102" i="21"/>
  <c r="C102" i="21"/>
  <c r="D102" i="21"/>
  <c r="E102" i="21"/>
  <c r="F102" i="21"/>
  <c r="G102" i="21"/>
  <c r="C103" i="21"/>
  <c r="B103" i="21" s="1" a="1"/>
  <c r="B103" i="21" s="1"/>
  <c r="D103" i="21"/>
  <c r="E103" i="21"/>
  <c r="F103" i="21"/>
  <c r="G103" i="21"/>
  <c r="B104" i="21" a="1"/>
  <c r="B104" i="21" s="1"/>
  <c r="C104" i="21"/>
  <c r="D104" i="21"/>
  <c r="E104" i="21"/>
  <c r="F104" i="21"/>
  <c r="G104" i="21"/>
  <c r="B105" i="21" a="1"/>
  <c r="B105" i="21"/>
  <c r="C105" i="21"/>
  <c r="D105" i="21"/>
  <c r="E105" i="21"/>
  <c r="F105" i="21"/>
  <c r="G105" i="21"/>
  <c r="C106" i="21"/>
  <c r="B106" i="21" s="1" a="1"/>
  <c r="B106" i="21" s="1"/>
  <c r="D106" i="21"/>
  <c r="E106" i="21"/>
  <c r="F106" i="21"/>
  <c r="G106" i="21"/>
  <c r="B107" i="21" a="1"/>
  <c r="B107" i="21" s="1"/>
  <c r="C107" i="21"/>
  <c r="D107" i="21"/>
  <c r="E107" i="21"/>
  <c r="F107" i="21"/>
  <c r="G107" i="21"/>
  <c r="B108" i="21" a="1"/>
  <c r="B108" i="21"/>
  <c r="C108" i="21"/>
  <c r="D108" i="21"/>
  <c r="E108" i="21"/>
  <c r="F108" i="21"/>
  <c r="G108" i="21"/>
  <c r="C109" i="21"/>
  <c r="B109" i="21" s="1" a="1"/>
  <c r="B109" i="21" s="1"/>
  <c r="D109" i="21"/>
  <c r="E109" i="21"/>
  <c r="F109" i="21"/>
  <c r="G109" i="21"/>
  <c r="B110" i="21" a="1"/>
  <c r="B110" i="21"/>
  <c r="C110" i="21"/>
  <c r="D110" i="21"/>
  <c r="E110" i="21"/>
  <c r="F110" i="21"/>
  <c r="G110" i="21"/>
  <c r="C111" i="21"/>
  <c r="B111" i="21" s="1" a="1"/>
  <c r="B111" i="21" s="1"/>
  <c r="D111" i="21"/>
  <c r="E111" i="21"/>
  <c r="F111" i="21"/>
  <c r="G111" i="21"/>
  <c r="B112" i="21" a="1"/>
  <c r="B112" i="21" s="1"/>
  <c r="C112" i="21"/>
  <c r="D112" i="21"/>
  <c r="E112" i="21"/>
  <c r="F112" i="21"/>
  <c r="G112" i="21"/>
  <c r="B113" i="21" a="1"/>
  <c r="B113" i="21"/>
  <c r="C113" i="21"/>
  <c r="D113" i="21"/>
  <c r="E113" i="21"/>
  <c r="F113" i="21"/>
  <c r="G113" i="21"/>
  <c r="C114" i="21"/>
  <c r="B114" i="21" s="1" a="1"/>
  <c r="B114" i="21" s="1"/>
  <c r="D114" i="21"/>
  <c r="E114" i="21"/>
  <c r="F114" i="21"/>
  <c r="G114" i="21"/>
  <c r="B115" i="21" a="1"/>
  <c r="B115" i="21" s="1"/>
  <c r="C115" i="21"/>
  <c r="D115" i="21"/>
  <c r="E115" i="21"/>
  <c r="F115" i="21"/>
  <c r="G115" i="21"/>
  <c r="B116" i="21" a="1"/>
  <c r="B116" i="21"/>
  <c r="C116" i="21"/>
  <c r="D116" i="21"/>
  <c r="E116" i="21"/>
  <c r="F116" i="21"/>
  <c r="G116" i="21"/>
  <c r="C117" i="21"/>
  <c r="B117" i="21" s="1" a="1"/>
  <c r="B117" i="21" s="1"/>
  <c r="D117" i="21"/>
  <c r="E117" i="21"/>
  <c r="F117" i="21"/>
  <c r="G117" i="21"/>
  <c r="B118" i="21" a="1"/>
  <c r="B118" i="21"/>
  <c r="C118" i="21"/>
  <c r="D118" i="21"/>
  <c r="E118" i="21"/>
  <c r="F118" i="21"/>
  <c r="G118" i="21"/>
  <c r="C119" i="21"/>
  <c r="B119" i="21" s="1" a="1"/>
  <c r="B119" i="21" s="1"/>
  <c r="D119" i="21"/>
  <c r="E119" i="21"/>
  <c r="F119" i="21"/>
  <c r="G119" i="21"/>
  <c r="B120" i="21" a="1"/>
  <c r="B120" i="21" s="1"/>
  <c r="C120" i="21"/>
  <c r="D120" i="21"/>
  <c r="E120" i="21"/>
  <c r="F120" i="21"/>
  <c r="G120" i="21"/>
  <c r="B121" i="21" a="1"/>
  <c r="B121" i="21"/>
  <c r="C121" i="21"/>
  <c r="D121" i="21"/>
  <c r="E121" i="21"/>
  <c r="F121" i="21"/>
  <c r="G121" i="21"/>
  <c r="C122" i="21"/>
  <c r="B122" i="21" s="1" a="1"/>
  <c r="B122" i="21" s="1"/>
  <c r="D122" i="21"/>
  <c r="E122" i="21"/>
  <c r="F122" i="21"/>
  <c r="G122" i="21"/>
  <c r="B123" i="21" a="1"/>
  <c r="B123" i="21" s="1"/>
  <c r="C123" i="21"/>
  <c r="D123" i="21"/>
  <c r="E123" i="21"/>
  <c r="F123" i="21"/>
  <c r="G123" i="21"/>
  <c r="B124" i="21" a="1"/>
  <c r="B124" i="21"/>
  <c r="C124" i="21"/>
  <c r="D124" i="21"/>
  <c r="E124" i="21"/>
  <c r="F124" i="21"/>
  <c r="G124" i="21"/>
  <c r="C125" i="21"/>
  <c r="B125" i="21" s="1" a="1"/>
  <c r="B125" i="21" s="1"/>
  <c r="D125" i="21"/>
  <c r="E125" i="21"/>
  <c r="F125" i="21"/>
  <c r="G125" i="21"/>
  <c r="B126" i="21" a="1"/>
  <c r="B126" i="21"/>
  <c r="C126" i="21"/>
  <c r="D126" i="21"/>
  <c r="E126" i="21"/>
  <c r="F126" i="21"/>
  <c r="G126" i="21"/>
  <c r="C127" i="21"/>
  <c r="B127" i="21" s="1" a="1"/>
  <c r="B127" i="21" s="1"/>
  <c r="D127" i="21"/>
  <c r="E127" i="21"/>
  <c r="F127" i="21"/>
  <c r="G127" i="21"/>
  <c r="B128" i="21" a="1"/>
  <c r="B128" i="21" s="1"/>
  <c r="C128" i="21"/>
  <c r="D128" i="21"/>
  <c r="E128" i="21"/>
  <c r="F128" i="21"/>
  <c r="G128" i="21"/>
  <c r="B129" i="21" a="1"/>
  <c r="B129" i="21"/>
  <c r="C129" i="21"/>
  <c r="D129" i="21"/>
  <c r="E129" i="21"/>
  <c r="F129" i="21"/>
  <c r="G129" i="21"/>
  <c r="C130" i="21"/>
  <c r="B130" i="21" s="1" a="1"/>
  <c r="B130" i="21" s="1"/>
  <c r="D130" i="21"/>
  <c r="E130" i="21"/>
  <c r="F130" i="21"/>
  <c r="G130" i="21"/>
  <c r="B131" i="21" a="1"/>
  <c r="B131" i="21" s="1"/>
  <c r="C131" i="21"/>
  <c r="D131" i="21"/>
  <c r="E131" i="21"/>
  <c r="F131" i="21"/>
  <c r="G131" i="21"/>
  <c r="B132" i="21" a="1"/>
  <c r="B132" i="21"/>
  <c r="C132" i="21"/>
  <c r="D132" i="21"/>
  <c r="E132" i="21"/>
  <c r="F132" i="21"/>
  <c r="G132" i="21"/>
  <c r="C133" i="21"/>
  <c r="B133" i="21" s="1" a="1"/>
  <c r="B133" i="21" s="1"/>
  <c r="D133" i="21"/>
  <c r="E133" i="21"/>
  <c r="F133" i="21"/>
  <c r="G133" i="21"/>
  <c r="B134" i="21" a="1"/>
  <c r="B134" i="21"/>
  <c r="C134" i="21"/>
  <c r="D134" i="21"/>
  <c r="E134" i="21"/>
  <c r="F134" i="21"/>
  <c r="G134" i="21"/>
  <c r="C135" i="21"/>
  <c r="B135" i="21" s="1" a="1"/>
  <c r="B135" i="21" s="1"/>
  <c r="D135" i="21"/>
  <c r="E135" i="21"/>
  <c r="F135" i="21"/>
  <c r="G135" i="21"/>
  <c r="B136" i="21" a="1"/>
  <c r="B136" i="21" s="1"/>
  <c r="C136" i="21"/>
  <c r="D136" i="21"/>
  <c r="E136" i="21"/>
  <c r="F136" i="21"/>
  <c r="G136" i="21"/>
  <c r="B137" i="21" a="1"/>
  <c r="B137" i="21"/>
  <c r="C137" i="21"/>
  <c r="D137" i="21"/>
  <c r="E137" i="21"/>
  <c r="F137" i="21"/>
  <c r="G137" i="21"/>
  <c r="C138" i="21"/>
  <c r="B138" i="21" s="1" a="1"/>
  <c r="B138" i="21" s="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B142" i="21" a="1"/>
  <c r="B142" i="21"/>
  <c r="C142" i="21"/>
  <c r="D142" i="21"/>
  <c r="E142" i="21"/>
  <c r="F142" i="21"/>
  <c r="G142" i="21"/>
  <c r="C143" i="21"/>
  <c r="B143" i="21" s="1" a="1"/>
  <c r="B143" i="21" s="1"/>
  <c r="D143" i="21"/>
  <c r="E143" i="21"/>
  <c r="F143" i="21"/>
  <c r="G143" i="21"/>
  <c r="B144" i="21" a="1"/>
  <c r="B144" i="21" s="1"/>
  <c r="C144" i="21"/>
  <c r="D144" i="21"/>
  <c r="E144" i="21"/>
  <c r="F144" i="21"/>
  <c r="G144" i="21"/>
  <c r="B145" i="21" a="1"/>
  <c r="B145" i="21"/>
  <c r="C145" i="2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B147" i="21" a="1"/>
  <c r="B147" i="21" s="1"/>
  <c r="C147" i="21"/>
  <c r="D147" i="21"/>
  <c r="E147" i="21"/>
  <c r="F147" i="21"/>
  <c r="G147" i="21"/>
  <c r="B148" i="21" a="1"/>
  <c r="B148" i="21"/>
  <c r="C148" i="2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B150" i="21" a="1"/>
  <c r="B150" i="21"/>
  <c r="C150" i="21"/>
  <c r="D150" i="21"/>
  <c r="E150" i="21"/>
  <c r="F150" i="21"/>
  <c r="G150" i="21"/>
  <c r="C151" i="21"/>
  <c r="B151" i="21" s="1" a="1"/>
  <c r="B151" i="21" s="1"/>
  <c r="D151" i="21"/>
  <c r="E151" i="21"/>
  <c r="F151" i="21"/>
  <c r="G151" i="21"/>
  <c r="B152" i="21" a="1"/>
  <c r="B152" i="21" s="1"/>
  <c r="C152" i="21"/>
  <c r="D152" i="21"/>
  <c r="E152" i="21"/>
  <c r="F152" i="21"/>
  <c r="G152" i="21"/>
  <c r="B153" i="21" a="1"/>
  <c r="B153" i="21"/>
  <c r="C153" i="2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B155" i="21" a="1"/>
  <c r="B155" i="21" s="1"/>
  <c r="C155" i="21"/>
  <c r="D155" i="21"/>
  <c r="E155" i="21"/>
  <c r="F155" i="21"/>
  <c r="G155" i="21"/>
  <c r="B156" i="21" a="1"/>
  <c r="B156" i="21"/>
  <c r="C156" i="2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B158" i="21" a="1"/>
  <c r="B158" i="21"/>
  <c r="C158" i="21"/>
  <c r="D158" i="21"/>
  <c r="E158" i="21"/>
  <c r="F158" i="21"/>
  <c r="G158" i="21"/>
  <c r="C159" i="21"/>
  <c r="B159" i="21" s="1" a="1"/>
  <c r="B159" i="21" s="1"/>
  <c r="D159" i="21"/>
  <c r="E159" i="21"/>
  <c r="F159" i="21"/>
  <c r="G159" i="21"/>
  <c r="B160" i="21" a="1"/>
  <c r="B160" i="21" s="1"/>
  <c r="C160" i="21"/>
  <c r="D160" i="21"/>
  <c r="E160" i="21"/>
  <c r="F160" i="21"/>
  <c r="G160" i="21"/>
  <c r="B161" i="21" a="1"/>
  <c r="B161" i="21"/>
  <c r="C161" i="2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B163" i="21" a="1"/>
  <c r="B163" i="21" s="1"/>
  <c r="C163" i="21"/>
  <c r="D163" i="21"/>
  <c r="E163" i="21"/>
  <c r="F163" i="21"/>
  <c r="G163" i="21"/>
  <c r="B164" i="21" a="1"/>
  <c r="B164" i="21"/>
  <c r="C164" i="2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B166" i="21" a="1"/>
  <c r="B166" i="21"/>
  <c r="C166" i="2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B168" i="21" a="1"/>
  <c r="B168" i="21" s="1"/>
  <c r="C168" i="21"/>
  <c r="D168" i="21"/>
  <c r="E168" i="21"/>
  <c r="F168" i="21"/>
  <c r="G168" i="21"/>
  <c r="B169" i="21" a="1"/>
  <c r="B169" i="21"/>
  <c r="C169" i="2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B171" i="21" a="1"/>
  <c r="B171" i="21" s="1"/>
  <c r="C171" i="21"/>
  <c r="D171" i="21"/>
  <c r="E171" i="21"/>
  <c r="F171" i="21"/>
  <c r="G171" i="21"/>
  <c r="B172" i="21" a="1"/>
  <c r="B172" i="21"/>
  <c r="C172" i="21"/>
  <c r="D172" i="21"/>
  <c r="E172" i="21"/>
  <c r="F172" i="21"/>
  <c r="G172" i="21"/>
  <c r="B173" i="21" a="1"/>
  <c r="B173" i="21"/>
  <c r="C173" i="21"/>
  <c r="D173" i="21"/>
  <c r="E173" i="21"/>
  <c r="F173" i="21"/>
  <c r="G173" i="21"/>
  <c r="B174" i="21" a="1"/>
  <c r="B174" i="21"/>
  <c r="C174" i="21"/>
  <c r="D174" i="21"/>
  <c r="E174" i="21"/>
  <c r="F174" i="21"/>
  <c r="G174" i="21"/>
  <c r="B175" i="21" a="1"/>
  <c r="B175" i="21"/>
  <c r="C175" i="21"/>
  <c r="D175" i="21"/>
  <c r="E175" i="21"/>
  <c r="F175" i="21"/>
  <c r="G175" i="21"/>
  <c r="B176" i="21" a="1"/>
  <c r="B176" i="21"/>
  <c r="C176" i="21"/>
  <c r="D176" i="21"/>
  <c r="E176" i="21"/>
  <c r="F176" i="21"/>
  <c r="G176" i="21"/>
  <c r="B177" i="21" a="1"/>
  <c r="B177" i="21"/>
  <c r="C177" i="21"/>
  <c r="D177" i="21"/>
  <c r="E177" i="21"/>
  <c r="F177" i="21"/>
  <c r="G177" i="21"/>
  <c r="B178" i="21" a="1"/>
  <c r="B178" i="21"/>
  <c r="C178" i="21"/>
  <c r="D178" i="21"/>
  <c r="E178" i="21"/>
  <c r="F178" i="21"/>
  <c r="G178" i="21"/>
  <c r="B179" i="21" a="1"/>
  <c r="B179" i="21"/>
  <c r="C179" i="21"/>
  <c r="D179" i="21"/>
  <c r="E179" i="21"/>
  <c r="F179" i="21"/>
  <c r="G179" i="21"/>
  <c r="B180" i="21" a="1"/>
  <c r="B180" i="21"/>
  <c r="C180" i="21"/>
  <c r="D180" i="21"/>
  <c r="E180" i="21"/>
  <c r="F180" i="21"/>
  <c r="G180" i="21"/>
  <c r="B181" i="21" a="1"/>
  <c r="B181" i="21"/>
  <c r="C181" i="21"/>
  <c r="D181" i="21"/>
  <c r="E181" i="21"/>
  <c r="F181" i="21"/>
  <c r="G181" i="21"/>
  <c r="B182" i="21" a="1"/>
  <c r="B182" i="21"/>
  <c r="C182" i="21"/>
  <c r="D182" i="21"/>
  <c r="E182" i="21"/>
  <c r="F182" i="21"/>
  <c r="G182" i="21"/>
  <c r="B183" i="21" a="1"/>
  <c r="B183" i="21"/>
  <c r="C183" i="21"/>
  <c r="D183" i="21"/>
  <c r="E183" i="21"/>
  <c r="F183" i="21"/>
  <c r="G183" i="21"/>
  <c r="B184" i="21" a="1"/>
  <c r="B184" i="21"/>
  <c r="C184" i="21"/>
  <c r="D184" i="21"/>
  <c r="E184" i="21"/>
  <c r="F184" i="21"/>
  <c r="G184" i="21"/>
  <c r="B185" i="21" a="1"/>
  <c r="B185" i="21"/>
  <c r="C185" i="21"/>
  <c r="D185" i="21"/>
  <c r="E185" i="21"/>
  <c r="F185" i="21"/>
  <c r="G185" i="21"/>
  <c r="B186" i="21" a="1"/>
  <c r="B186" i="21"/>
  <c r="C186" i="21"/>
  <c r="D186" i="21"/>
  <c r="E186" i="21"/>
  <c r="F186" i="21"/>
  <c r="G186" i="21"/>
  <c r="B187" i="21" a="1"/>
  <c r="B187" i="21"/>
  <c r="C187" i="21"/>
  <c r="D187" i="21"/>
  <c r="E187" i="21"/>
  <c r="F187" i="21"/>
  <c r="G187" i="21"/>
  <c r="B188" i="21" a="1"/>
  <c r="B188" i="21"/>
  <c r="C188" i="21"/>
  <c r="D188" i="21"/>
  <c r="E188" i="21"/>
  <c r="F188" i="21"/>
  <c r="G188" i="21"/>
  <c r="B189" i="21" a="1"/>
  <c r="B189" i="21"/>
  <c r="C189" i="21"/>
  <c r="D189" i="21"/>
  <c r="E189" i="21"/>
  <c r="F189" i="21"/>
  <c r="G189" i="21"/>
  <c r="B190" i="21" a="1"/>
  <c r="B190" i="21"/>
  <c r="C190" i="21"/>
  <c r="D190" i="21"/>
  <c r="E190" i="21"/>
  <c r="F190" i="21"/>
  <c r="G190" i="21"/>
  <c r="B191" i="21" a="1"/>
  <c r="B191" i="21"/>
  <c r="C191" i="21"/>
  <c r="D191" i="21"/>
  <c r="E191" i="21"/>
  <c r="F191" i="21"/>
  <c r="G191" i="21"/>
  <c r="B192" i="21" a="1"/>
  <c r="B192" i="21"/>
  <c r="C192" i="21"/>
  <c r="D192" i="21"/>
  <c r="E192" i="21"/>
  <c r="F192" i="21"/>
  <c r="G192" i="21"/>
  <c r="B193" i="21" a="1"/>
  <c r="B193" i="21"/>
  <c r="C193" i="21"/>
  <c r="D193" i="21"/>
  <c r="E193" i="21"/>
  <c r="F193" i="21"/>
  <c r="G193" i="21"/>
  <c r="B194" i="21" a="1"/>
  <c r="B194" i="21"/>
  <c r="C194" i="21"/>
  <c r="D194" i="21"/>
  <c r="E194" i="21"/>
  <c r="F194" i="21"/>
  <c r="G194" i="21"/>
  <c r="B195" i="21" a="1"/>
  <c r="B195" i="21"/>
  <c r="C195" i="21"/>
  <c r="D195" i="21"/>
  <c r="E195" i="21"/>
  <c r="F195" i="21"/>
  <c r="G195" i="21"/>
  <c r="B196" i="21" a="1"/>
  <c r="B196" i="21"/>
  <c r="C196" i="21"/>
  <c r="D196" i="21"/>
  <c r="E196" i="21"/>
  <c r="F196" i="21"/>
  <c r="G196" i="21"/>
  <c r="B197" i="21" a="1"/>
  <c r="B197" i="21"/>
  <c r="C197" i="21"/>
  <c r="D197" i="21"/>
  <c r="E197" i="21"/>
  <c r="F197" i="21"/>
  <c r="G197" i="21"/>
  <c r="B198" i="21" a="1"/>
  <c r="B198" i="21"/>
  <c r="C198" i="21"/>
  <c r="D198" i="21"/>
  <c r="E198" i="21"/>
  <c r="F198" i="21"/>
  <c r="G198" i="21"/>
  <c r="B199" i="21" a="1"/>
  <c r="B199" i="21"/>
  <c r="C199" i="21"/>
  <c r="D199" i="21"/>
  <c r="E199" i="21"/>
  <c r="F199" i="21"/>
  <c r="G199" i="21"/>
  <c r="B200" i="21" a="1"/>
  <c r="B200" i="21"/>
  <c r="C200" i="2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B9" i="8" a="1"/>
  <c r="B9" i="8" s="1"/>
  <c r="C9" i="8"/>
  <c r="D9" i="8"/>
  <c r="C10" i="8"/>
  <c r="B10" i="8" s="1" a="1"/>
  <c r="B10" i="8" s="1"/>
  <c r="D10" i="8"/>
  <c r="B11" i="8" a="1"/>
  <c r="B11" i="8" s="1"/>
  <c r="C11" i="8"/>
  <c r="D11" i="8"/>
  <c r="C12" i="8"/>
  <c r="B12" i="8" s="1" a="1"/>
  <c r="B12" i="8" s="1"/>
  <c r="D12" i="8"/>
  <c r="C13" i="8"/>
  <c r="B13" i="8" s="1" a="1"/>
  <c r="B13" i="8" s="1"/>
  <c r="D13" i="8"/>
  <c r="B14" i="8" a="1"/>
  <c r="B14" i="8" s="1"/>
  <c r="C14" i="8"/>
  <c r="D14" i="8"/>
  <c r="C15" i="8"/>
  <c r="B15" i="8" s="1" a="1"/>
  <c r="B15" i="8" s="1"/>
  <c r="D15" i="8"/>
  <c r="C16" i="8"/>
  <c r="B16" i="8" s="1" a="1"/>
  <c r="B16" i="8" s="1"/>
  <c r="D16" i="8"/>
  <c r="B17" i="8" a="1"/>
  <c r="B17" i="8" s="1"/>
  <c r="C17" i="8"/>
  <c r="D17" i="8"/>
  <c r="C18" i="8"/>
  <c r="B18" i="8" s="1" a="1"/>
  <c r="B18" i="8" s="1"/>
  <c r="D18" i="8"/>
  <c r="B19" i="8" a="1"/>
  <c r="B19" i="8" s="1"/>
  <c r="C19" i="8"/>
  <c r="D19" i="8"/>
  <c r="C20" i="8"/>
  <c r="B20" i="8" s="1" a="1"/>
  <c r="B20" i="8" s="1"/>
  <c r="D20" i="8"/>
  <c r="B21" i="8" a="1"/>
  <c r="B21" i="8" s="1"/>
  <c r="C21" i="8"/>
  <c r="D21" i="8"/>
  <c r="B22" i="8" a="1"/>
  <c r="B22" i="8" s="1"/>
  <c r="C22" i="8"/>
  <c r="D22" i="8"/>
  <c r="C23" i="8"/>
  <c r="B23" i="8" s="1" a="1"/>
  <c r="B23" i="8" s="1"/>
  <c r="D23" i="8"/>
  <c r="C24" i="8"/>
  <c r="B24" i="8" s="1" a="1"/>
  <c r="B24" i="8" s="1"/>
  <c r="D24" i="8"/>
  <c r="B25" i="8" a="1"/>
  <c r="B25" i="8" s="1"/>
  <c r="C25" i="8"/>
  <c r="D25" i="8"/>
  <c r="C26" i="8"/>
  <c r="B26" i="8" s="1" a="1"/>
  <c r="B26" i="8" s="1"/>
  <c r="D26" i="8"/>
  <c r="B27" i="8" a="1"/>
  <c r="B27" i="8" s="1"/>
  <c r="C27" i="8"/>
  <c r="D27" i="8"/>
  <c r="C28" i="8"/>
  <c r="B28" i="8" s="1" a="1"/>
  <c r="B28" i="8" s="1"/>
  <c r="D28" i="8"/>
  <c r="B29" i="8" a="1"/>
  <c r="B29" i="8" s="1"/>
  <c r="C29" i="8"/>
  <c r="D29" i="8"/>
  <c r="B30" i="8" a="1"/>
  <c r="B30" i="8" s="1"/>
  <c r="C30" i="8"/>
  <c r="D30" i="8"/>
  <c r="C31" i="8"/>
  <c r="B31" i="8" s="1" a="1"/>
  <c r="B31" i="8" s="1"/>
  <c r="D31" i="8"/>
  <c r="C32" i="8"/>
  <c r="B32" i="8" s="1" a="1"/>
  <c r="B32" i="8" s="1"/>
  <c r="D32" i="8"/>
  <c r="B33" i="8" a="1"/>
  <c r="B33" i="8" s="1"/>
  <c r="C33" i="8"/>
  <c r="D33" i="8"/>
  <c r="C34" i="8"/>
  <c r="B34" i="8" s="1" a="1"/>
  <c r="B34" i="8" s="1"/>
  <c r="D34" i="8"/>
  <c r="B35" i="8" a="1"/>
  <c r="B35" i="8" s="1"/>
  <c r="C35" i="8"/>
  <c r="D35" i="8"/>
  <c r="C36" i="8"/>
  <c r="B36" i="8" s="1" a="1"/>
  <c r="B36" i="8" s="1"/>
  <c r="D36" i="8"/>
  <c r="B37" i="8" a="1"/>
  <c r="B37" i="8" s="1"/>
  <c r="C37" i="8"/>
  <c r="D37" i="8"/>
  <c r="B38" i="8" a="1"/>
  <c r="B38" i="8" s="1"/>
  <c r="C38" i="8"/>
  <c r="D38" i="8"/>
  <c r="C39" i="8"/>
  <c r="B39" i="8" s="1" a="1"/>
  <c r="B39" i="8" s="1"/>
  <c r="D39" i="8"/>
  <c r="C40" i="8"/>
  <c r="B40" i="8" s="1" a="1"/>
  <c r="B40" i="8" s="1"/>
  <c r="D40" i="8"/>
  <c r="B41" i="8" a="1"/>
  <c r="B41" i="8" s="1"/>
  <c r="C41" i="8"/>
  <c r="D41" i="8"/>
  <c r="C42" i="8"/>
  <c r="B42" i="8" s="1" a="1"/>
  <c r="B42" i="8" s="1"/>
  <c r="D42" i="8"/>
  <c r="B43" i="8" a="1"/>
  <c r="B43" i="8" s="1"/>
  <c r="C43" i="8"/>
  <c r="D43" i="8"/>
  <c r="C44" i="8"/>
  <c r="B44" i="8" s="1" a="1"/>
  <c r="B44" i="8" s="1"/>
  <c r="D44" i="8"/>
  <c r="B45" i="8" a="1"/>
  <c r="B45" i="8" s="1"/>
  <c r="C45" i="8"/>
  <c r="D45" i="8"/>
  <c r="B46" i="8" a="1"/>
  <c r="B46" i="8" s="1"/>
  <c r="C46" i="8"/>
  <c r="D46" i="8"/>
  <c r="C47" i="8"/>
  <c r="B47" i="8" s="1" a="1"/>
  <c r="B47" i="8" s="1"/>
  <c r="D47" i="8"/>
  <c r="C48" i="8"/>
  <c r="B48" i="8" s="1" a="1"/>
  <c r="B48" i="8" s="1"/>
  <c r="D48" i="8"/>
  <c r="B49" i="8" a="1"/>
  <c r="B49" i="8" s="1"/>
  <c r="C49" i="8"/>
  <c r="D49" i="8"/>
  <c r="C50" i="8"/>
  <c r="B50" i="8" s="1" a="1"/>
  <c r="B50" i="8" s="1"/>
  <c r="D50" i="8"/>
  <c r="B51" i="8" a="1"/>
  <c r="B51" i="8" s="1"/>
  <c r="C51" i="8"/>
  <c r="D51" i="8"/>
  <c r="C52" i="8"/>
  <c r="B52" i="8" s="1" a="1"/>
  <c r="B52" i="8" s="1"/>
  <c r="D52" i="8"/>
  <c r="B53" i="8" a="1"/>
  <c r="B53" i="8" s="1"/>
  <c r="C53" i="8"/>
  <c r="D53" i="8"/>
  <c r="B54" i="8" a="1"/>
  <c r="B54" i="8" s="1"/>
  <c r="C54" i="8"/>
  <c r="D54" i="8"/>
  <c r="C55" i="8"/>
  <c r="B55" i="8" s="1" a="1"/>
  <c r="B55" i="8" s="1"/>
  <c r="D55" i="8"/>
  <c r="C56" i="8"/>
  <c r="B56" i="8" s="1" a="1"/>
  <c r="B56" i="8" s="1"/>
  <c r="D56" i="8"/>
  <c r="B57" i="8" a="1"/>
  <c r="B57" i="8" s="1"/>
  <c r="C57" i="8"/>
  <c r="D57" i="8"/>
  <c r="C58" i="8"/>
  <c r="B58" i="8" s="1" a="1"/>
  <c r="B58" i="8" s="1"/>
  <c r="D58" i="8"/>
  <c r="B59" i="8" a="1"/>
  <c r="B59" i="8" s="1"/>
  <c r="C59" i="8"/>
  <c r="D59" i="8"/>
  <c r="C60" i="8"/>
  <c r="B60" i="8" s="1" a="1"/>
  <c r="B60" i="8" s="1"/>
  <c r="D60" i="8"/>
  <c r="B61" i="8" a="1"/>
  <c r="B61" i="8" s="1"/>
  <c r="C61" i="8"/>
  <c r="D61" i="8"/>
  <c r="B62" i="8" a="1"/>
  <c r="B62" i="8" s="1"/>
  <c r="C62" i="8"/>
  <c r="D62" i="8"/>
  <c r="C63" i="8"/>
  <c r="B63" i="8" s="1" a="1"/>
  <c r="B63" i="8" s="1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E68" i="8"/>
  <c r="F68" i="8"/>
  <c r="G68" i="8"/>
  <c r="B69" i="8" a="1"/>
  <c r="B69" i="8" s="1"/>
  <c r="C69" i="8"/>
  <c r="D69" i="8"/>
  <c r="E69" i="8"/>
  <c r="F69" i="8"/>
  <c r="G69" i="8"/>
  <c r="B70" i="8" a="1"/>
  <c r="B70" i="8" s="1"/>
  <c r="C70" i="8"/>
  <c r="D70" i="8"/>
  <c r="E70" i="8"/>
  <c r="F70" i="8"/>
  <c r="G70" i="8"/>
  <c r="C71" i="8"/>
  <c r="B71" i="8" s="1" a="1"/>
  <c r="B71" i="8" s="1"/>
  <c r="D71" i="8"/>
  <c r="E71" i="8"/>
  <c r="F71" i="8"/>
  <c r="G71" i="8"/>
  <c r="C72" i="8"/>
  <c r="B72" i="8" s="1" a="1"/>
  <c r="B72" i="8" s="1"/>
  <c r="D72" i="8"/>
  <c r="E72" i="8"/>
  <c r="F72" i="8"/>
  <c r="G72" i="8"/>
  <c r="B73" i="8" a="1"/>
  <c r="B73" i="8" s="1"/>
  <c r="C73" i="8"/>
  <c r="D73" i="8"/>
  <c r="E73" i="8"/>
  <c r="F73" i="8"/>
  <c r="G73" i="8"/>
  <c r="C74" i="8"/>
  <c r="B74" i="8" s="1" a="1"/>
  <c r="B74" i="8" s="1"/>
  <c r="D74" i="8"/>
  <c r="E74" i="8"/>
  <c r="F74" i="8"/>
  <c r="G74" i="8"/>
  <c r="B75" i="8" a="1"/>
  <c r="B75" i="8" s="1"/>
  <c r="C75" i="8"/>
  <c r="D75" i="8"/>
  <c r="E75" i="8"/>
  <c r="F75" i="8"/>
  <c r="G75" i="8"/>
  <c r="C76" i="8"/>
  <c r="B76" i="8" s="1" a="1"/>
  <c r="B76" i="8" s="1"/>
  <c r="D76" i="8"/>
  <c r="E76" i="8"/>
  <c r="F76" i="8"/>
  <c r="G76" i="8"/>
  <c r="B77" i="8" a="1"/>
  <c r="B77" i="8" s="1"/>
  <c r="C77" i="8"/>
  <c r="D77" i="8"/>
  <c r="E77" i="8"/>
  <c r="F77" i="8"/>
  <c r="G77" i="8"/>
  <c r="B78" i="8" a="1"/>
  <c r="B78" i="8" s="1"/>
  <c r="C78" i="8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B81" i="8" a="1"/>
  <c r="B81" i="8" s="1"/>
  <c r="C81" i="8"/>
  <c r="D81" i="8"/>
  <c r="E81" i="8"/>
  <c r="F81" i="8"/>
  <c r="G81" i="8"/>
  <c r="C82" i="8"/>
  <c r="B82" i="8" s="1" a="1"/>
  <c r="B82" i="8" s="1"/>
  <c r="D82" i="8"/>
  <c r="E82" i="8"/>
  <c r="F82" i="8"/>
  <c r="G82" i="8"/>
  <c r="B83" i="8" a="1"/>
  <c r="B83" i="8" s="1"/>
  <c r="C83" i="8"/>
  <c r="D83" i="8"/>
  <c r="E83" i="8"/>
  <c r="F83" i="8"/>
  <c r="G83" i="8"/>
  <c r="C84" i="8"/>
  <c r="B84" i="8" s="1" a="1"/>
  <c r="B84" i="8" s="1"/>
  <c r="D84" i="8"/>
  <c r="E84" i="8"/>
  <c r="F84" i="8"/>
  <c r="G84" i="8"/>
  <c r="B85" i="8" a="1"/>
  <c r="B85" i="8" s="1"/>
  <c r="C85" i="8"/>
  <c r="D85" i="8"/>
  <c r="E85" i="8"/>
  <c r="F85" i="8"/>
  <c r="G85" i="8"/>
  <c r="C86" i="8"/>
  <c r="B86" i="8" s="1" a="1"/>
  <c r="B86" i="8" s="1"/>
  <c r="D86" i="8"/>
  <c r="E86" i="8"/>
  <c r="F86" i="8"/>
  <c r="G86" i="8"/>
  <c r="B87" i="8" a="1"/>
  <c r="B87" i="8" s="1"/>
  <c r="C87" i="8"/>
  <c r="D87" i="8"/>
  <c r="E87" i="8"/>
  <c r="F87" i="8"/>
  <c r="G87" i="8"/>
  <c r="C88" i="8"/>
  <c r="B88" i="8" s="1" a="1"/>
  <c r="B88" i="8" s="1"/>
  <c r="D88" i="8"/>
  <c r="E88" i="8"/>
  <c r="F88" i="8"/>
  <c r="G88" i="8"/>
  <c r="B89" i="8" a="1"/>
  <c r="B89" i="8" s="1"/>
  <c r="C89" i="8"/>
  <c r="D89" i="8"/>
  <c r="E89" i="8"/>
  <c r="F89" i="8"/>
  <c r="G89" i="8"/>
  <c r="C90" i="8"/>
  <c r="B90" i="8" s="1" a="1"/>
  <c r="B90" i="8" s="1"/>
  <c r="D90" i="8"/>
  <c r="E90" i="8"/>
  <c r="F90" i="8"/>
  <c r="G90" i="8"/>
  <c r="B91" i="8" a="1"/>
  <c r="B91" i="8" s="1"/>
  <c r="C91" i="8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B95" i="8" a="1"/>
  <c r="B95" i="8" s="1"/>
  <c r="C95" i="8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B99" i="8" a="1"/>
  <c r="B99" i="8" s="1"/>
  <c r="C99" i="8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B103" i="8" a="1"/>
  <c r="B103" i="8" s="1"/>
  <c r="C103" i="8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B107" i="8" a="1"/>
  <c r="B107" i="8" s="1"/>
  <c r="C107" i="8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B111" i="8" a="1"/>
  <c r="B111" i="8" s="1"/>
  <c r="C111" i="8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B115" i="8" a="1"/>
  <c r="B115" i="8" s="1"/>
  <c r="C115" i="8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B119" i="8" a="1"/>
  <c r="B119" i="8" s="1"/>
  <c r="C119" i="8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C127" i="8"/>
  <c r="B127" i="8" s="1" a="1"/>
  <c r="B127" i="8" s="1"/>
  <c r="D127" i="8"/>
  <c r="E127" i="8"/>
  <c r="F127" i="8"/>
  <c r="G127" i="8"/>
  <c r="B128" i="8" a="1"/>
  <c r="B128" i="8" s="1"/>
  <c r="C128" i="8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 a="1"/>
  <c r="B130" i="8" s="1"/>
  <c r="C130" i="8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B3" i="22"/>
  <c r="C3" i="22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AH3" i="22"/>
  <c r="AI3" i="22"/>
  <c r="AJ3" i="22"/>
  <c r="AK3" i="22"/>
  <c r="AL3" i="22"/>
  <c r="AM3" i="22"/>
  <c r="AN3" i="22"/>
  <c r="AO3" i="22"/>
  <c r="AP3" i="22"/>
  <c r="AQ3" i="22"/>
  <c r="AR3" i="22"/>
  <c r="AS3" i="22"/>
  <c r="AT3" i="22"/>
  <c r="AU3" i="22"/>
  <c r="AV3" i="22"/>
  <c r="AW3" i="22"/>
  <c r="AX3" i="22"/>
  <c r="AY3" i="22"/>
  <c r="AZ3" i="22"/>
  <c r="BA3" i="22"/>
  <c r="BB3" i="22"/>
  <c r="BC3" i="22"/>
  <c r="BD3" i="22"/>
  <c r="BE3" i="22"/>
  <c r="BF3" i="22"/>
  <c r="BG3" i="22"/>
  <c r="BH3" i="22"/>
  <c r="BI3" i="22"/>
  <c r="BJ3" i="22"/>
  <c r="BK3" i="22"/>
  <c r="BL3" i="22"/>
  <c r="BM3" i="22"/>
  <c r="BN3" i="22"/>
  <c r="BO3" i="22"/>
  <c r="BP3" i="22"/>
  <c r="BQ3" i="22"/>
  <c r="BR3" i="22"/>
  <c r="BS3" i="22"/>
  <c r="BT3" i="22"/>
  <c r="B4" i="22"/>
  <c r="C4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O4" i="22"/>
  <c r="AP4" i="22"/>
  <c r="AQ4" i="22"/>
  <c r="AR4" i="22"/>
  <c r="AS4" i="22"/>
  <c r="AT4" i="22"/>
  <c r="AU4" i="22"/>
  <c r="AV4" i="22"/>
  <c r="AW4" i="22"/>
  <c r="AX4" i="22"/>
  <c r="AY4" i="22"/>
  <c r="AZ4" i="22"/>
  <c r="BA4" i="22"/>
  <c r="BB4" i="22"/>
  <c r="BC4" i="22"/>
  <c r="BD4" i="22"/>
  <c r="BE4" i="22"/>
  <c r="BF4" i="22"/>
  <c r="BG4" i="22"/>
  <c r="BH4" i="22"/>
  <c r="BI4" i="22"/>
  <c r="BJ4" i="22"/>
  <c r="BK4" i="22"/>
  <c r="BL4" i="22"/>
  <c r="BM4" i="22"/>
  <c r="BN4" i="22"/>
  <c r="BO4" i="22"/>
  <c r="BP4" i="22"/>
  <c r="BQ4" i="22"/>
  <c r="BR4" i="22"/>
  <c r="BS4" i="22"/>
  <c r="BT4" i="22"/>
  <c r="B5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P5" i="22"/>
  <c r="AQ5" i="22"/>
  <c r="AR5" i="22"/>
  <c r="AS5" i="22"/>
  <c r="AT5" i="22"/>
  <c r="AU5" i="22"/>
  <c r="AV5" i="22"/>
  <c r="AW5" i="22"/>
  <c r="AX5" i="22"/>
  <c r="AY5" i="22"/>
  <c r="AZ5" i="22"/>
  <c r="BA5" i="22"/>
  <c r="BB5" i="22"/>
  <c r="BC5" i="22"/>
  <c r="BD5" i="22"/>
  <c r="BE5" i="22"/>
  <c r="BF5" i="22"/>
  <c r="BG5" i="22"/>
  <c r="BH5" i="22"/>
  <c r="BI5" i="22"/>
  <c r="BJ5" i="22"/>
  <c r="BK5" i="22"/>
  <c r="BL5" i="22"/>
  <c r="BM5" i="22"/>
  <c r="BN5" i="22"/>
  <c r="BO5" i="22"/>
  <c r="BP5" i="22"/>
  <c r="BQ5" i="22"/>
  <c r="BR5" i="22"/>
  <c r="BS5" i="22"/>
  <c r="BT5" i="22"/>
  <c r="B6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M6" i="22"/>
  <c r="AN6" i="22"/>
  <c r="AO6" i="22"/>
  <c r="AP6" i="22"/>
  <c r="AQ6" i="22"/>
  <c r="AR6" i="22"/>
  <c r="AS6" i="22"/>
  <c r="AT6" i="22"/>
  <c r="AU6" i="22"/>
  <c r="AV6" i="22"/>
  <c r="AW6" i="22"/>
  <c r="AX6" i="22"/>
  <c r="AY6" i="22"/>
  <c r="AZ6" i="22"/>
  <c r="BA6" i="22"/>
  <c r="BB6" i="22"/>
  <c r="BC6" i="22"/>
  <c r="BD6" i="22"/>
  <c r="BE6" i="22"/>
  <c r="BF6" i="22"/>
  <c r="BG6" i="22"/>
  <c r="BH6" i="22"/>
  <c r="BI6" i="22"/>
  <c r="BJ6" i="22"/>
  <c r="BK6" i="22"/>
  <c r="BL6" i="22"/>
  <c r="BM6" i="22"/>
  <c r="BN6" i="22"/>
  <c r="BO6" i="22"/>
  <c r="BP6" i="22"/>
  <c r="BQ6" i="22"/>
  <c r="BR6" i="22"/>
  <c r="BS6" i="22"/>
  <c r="BT6" i="22"/>
  <c r="B7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M7" i="22"/>
  <c r="AN7" i="22"/>
  <c r="AO7" i="22"/>
  <c r="AP7" i="22"/>
  <c r="AQ7" i="22"/>
  <c r="AR7" i="22"/>
  <c r="AS7" i="22"/>
  <c r="AT7" i="22"/>
  <c r="AU7" i="22"/>
  <c r="AV7" i="22"/>
  <c r="AW7" i="22"/>
  <c r="AX7" i="22"/>
  <c r="AY7" i="22"/>
  <c r="AZ7" i="22"/>
  <c r="BA7" i="22"/>
  <c r="BB7" i="22"/>
  <c r="BC7" i="22"/>
  <c r="BD7" i="22"/>
  <c r="BE7" i="22"/>
  <c r="BF7" i="22"/>
  <c r="BG7" i="22"/>
  <c r="BH7" i="22"/>
  <c r="BI7" i="22"/>
  <c r="BJ7" i="22"/>
  <c r="BK7" i="22"/>
  <c r="BL7" i="22"/>
  <c r="BM7" i="22"/>
  <c r="BN7" i="22"/>
  <c r="BO7" i="22"/>
  <c r="BP7" i="22"/>
  <c r="BQ7" i="22"/>
  <c r="BR7" i="22"/>
  <c r="BS7" i="22"/>
  <c r="BT7" i="22"/>
  <c r="B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M8" i="22"/>
  <c r="AN8" i="22"/>
  <c r="AO8" i="22"/>
  <c r="AP8" i="22"/>
  <c r="AQ8" i="22"/>
  <c r="AR8" i="22"/>
  <c r="AS8" i="22"/>
  <c r="AT8" i="22"/>
  <c r="AU8" i="22"/>
  <c r="AV8" i="22"/>
  <c r="AW8" i="22"/>
  <c r="AX8" i="22"/>
  <c r="AY8" i="22"/>
  <c r="AZ8" i="22"/>
  <c r="BA8" i="22"/>
  <c r="BB8" i="22"/>
  <c r="BC8" i="22"/>
  <c r="BD8" i="22"/>
  <c r="BE8" i="22"/>
  <c r="BF8" i="22"/>
  <c r="BG8" i="22"/>
  <c r="BH8" i="22"/>
  <c r="BI8" i="22"/>
  <c r="BJ8" i="22"/>
  <c r="BK8" i="22"/>
  <c r="BL8" i="22"/>
  <c r="BM8" i="22"/>
  <c r="BN8" i="22"/>
  <c r="BO8" i="22"/>
  <c r="BP8" i="22"/>
  <c r="BQ8" i="22"/>
  <c r="BR8" i="22"/>
  <c r="BS8" i="22"/>
  <c r="BT8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AO9" i="22"/>
  <c r="AP9" i="22"/>
  <c r="AQ9" i="22"/>
  <c r="AR9" i="22"/>
  <c r="AS9" i="22"/>
  <c r="AT9" i="22"/>
  <c r="AU9" i="22"/>
  <c r="AV9" i="22"/>
  <c r="AW9" i="22"/>
  <c r="AX9" i="22"/>
  <c r="AY9" i="22"/>
  <c r="AZ9" i="22"/>
  <c r="BA9" i="22"/>
  <c r="BB9" i="22"/>
  <c r="BC9" i="22"/>
  <c r="BD9" i="22"/>
  <c r="BE9" i="22"/>
  <c r="BF9" i="22"/>
  <c r="BG9" i="22"/>
  <c r="BH9" i="22"/>
  <c r="BI9" i="22"/>
  <c r="BJ9" i="22"/>
  <c r="BK9" i="22"/>
  <c r="BL9" i="22"/>
  <c r="BM9" i="22"/>
  <c r="BN9" i="22"/>
  <c r="BO9" i="22"/>
  <c r="BP9" i="22"/>
  <c r="BQ9" i="22"/>
  <c r="BR9" i="22"/>
  <c r="BS9" i="22"/>
  <c r="BT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AN10" i="22"/>
  <c r="AO10" i="22"/>
  <c r="AP10" i="22"/>
  <c r="AQ10" i="22"/>
  <c r="AR10" i="22"/>
  <c r="AS10" i="22"/>
  <c r="AT10" i="22"/>
  <c r="AU10" i="22"/>
  <c r="AV10" i="22"/>
  <c r="AW10" i="22"/>
  <c r="AX10" i="22"/>
  <c r="AY10" i="22"/>
  <c r="AZ10" i="22"/>
  <c r="BA10" i="22"/>
  <c r="BB10" i="22"/>
  <c r="BC10" i="22"/>
  <c r="BD10" i="22"/>
  <c r="BE10" i="22"/>
  <c r="BF10" i="22"/>
  <c r="BG10" i="22"/>
  <c r="BH10" i="22"/>
  <c r="BI10" i="22"/>
  <c r="BJ10" i="22"/>
  <c r="BK10" i="22"/>
  <c r="BL10" i="22"/>
  <c r="BM10" i="22"/>
  <c r="BN10" i="22"/>
  <c r="BO10" i="22"/>
  <c r="BP10" i="22"/>
  <c r="BQ10" i="22"/>
  <c r="BR10" i="22"/>
  <c r="BS10" i="22"/>
  <c r="BT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AO11" i="22"/>
  <c r="AP11" i="22"/>
  <c r="AQ11" i="22"/>
  <c r="AR11" i="22"/>
  <c r="AS11" i="22"/>
  <c r="AT11" i="22"/>
  <c r="AU11" i="22"/>
  <c r="AV11" i="22"/>
  <c r="AW11" i="22"/>
  <c r="AX11" i="22"/>
  <c r="AY11" i="22"/>
  <c r="AZ11" i="22"/>
  <c r="BA11" i="22"/>
  <c r="BB11" i="22"/>
  <c r="BC11" i="22"/>
  <c r="BD11" i="22"/>
  <c r="BE11" i="22"/>
  <c r="BF11" i="22"/>
  <c r="BG11" i="22"/>
  <c r="BH11" i="22"/>
  <c r="BI11" i="22"/>
  <c r="BJ11" i="22"/>
  <c r="BK11" i="22"/>
  <c r="BL11" i="22"/>
  <c r="BM11" i="22"/>
  <c r="BN11" i="22"/>
  <c r="BO11" i="22"/>
  <c r="BP11" i="22"/>
  <c r="BQ11" i="22"/>
  <c r="BR11" i="22"/>
  <c r="BS11" i="22"/>
  <c r="BT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AO12" i="22"/>
  <c r="AP12" i="22"/>
  <c r="AQ12" i="22"/>
  <c r="AR12" i="22"/>
  <c r="AS12" i="22"/>
  <c r="AT12" i="22"/>
  <c r="AU12" i="22"/>
  <c r="AV12" i="22"/>
  <c r="AW12" i="22"/>
  <c r="AX12" i="22"/>
  <c r="AY12" i="22"/>
  <c r="AZ12" i="22"/>
  <c r="BA12" i="22"/>
  <c r="BB12" i="22"/>
  <c r="BC12" i="22"/>
  <c r="BD12" i="22"/>
  <c r="BE12" i="22"/>
  <c r="BF12" i="22"/>
  <c r="BG12" i="22"/>
  <c r="BH12" i="22"/>
  <c r="BI12" i="22"/>
  <c r="BJ12" i="22"/>
  <c r="BK12" i="22"/>
  <c r="BL12" i="22"/>
  <c r="BM12" i="22"/>
  <c r="BN12" i="22"/>
  <c r="BO12" i="22"/>
  <c r="BP12" i="22"/>
  <c r="BQ12" i="22"/>
  <c r="BR12" i="22"/>
  <c r="BS12" i="22"/>
  <c r="BT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AO13" i="22"/>
  <c r="AP13" i="22"/>
  <c r="AQ13" i="22"/>
  <c r="AR13" i="22"/>
  <c r="AS13" i="22"/>
  <c r="AT13" i="22"/>
  <c r="AU13" i="22"/>
  <c r="AV13" i="22"/>
  <c r="AW13" i="22"/>
  <c r="AX13" i="22"/>
  <c r="AY13" i="22"/>
  <c r="AZ13" i="22"/>
  <c r="BA13" i="22"/>
  <c r="BB13" i="22"/>
  <c r="BC13" i="22"/>
  <c r="BD13" i="22"/>
  <c r="BE13" i="22"/>
  <c r="BF13" i="22"/>
  <c r="BG13" i="22"/>
  <c r="BH13" i="22"/>
  <c r="BI13" i="22"/>
  <c r="BJ13" i="22"/>
  <c r="BK13" i="22"/>
  <c r="BL13" i="22"/>
  <c r="BM13" i="22"/>
  <c r="BN13" i="22"/>
  <c r="BO13" i="22"/>
  <c r="BP13" i="22"/>
  <c r="BQ13" i="22"/>
  <c r="BR13" i="22"/>
  <c r="BS13" i="22"/>
  <c r="BT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AU14" i="22"/>
  <c r="AV14" i="22"/>
  <c r="AW14" i="22"/>
  <c r="AX14" i="22"/>
  <c r="AY14" i="22"/>
  <c r="AZ14" i="22"/>
  <c r="BA14" i="22"/>
  <c r="BB14" i="22"/>
  <c r="BC14" i="22"/>
  <c r="BD14" i="22"/>
  <c r="BE14" i="22"/>
  <c r="BF14" i="22"/>
  <c r="BG14" i="22"/>
  <c r="BH14" i="22"/>
  <c r="BI14" i="22"/>
  <c r="BJ14" i="22"/>
  <c r="BK14" i="22"/>
  <c r="BL14" i="22"/>
  <c r="BM14" i="22"/>
  <c r="BN14" i="22"/>
  <c r="BO14" i="22"/>
  <c r="BP14" i="22"/>
  <c r="BQ14" i="22"/>
  <c r="BR14" i="22"/>
  <c r="BS14" i="22"/>
  <c r="BT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AZ15" i="22"/>
  <c r="BA15" i="22"/>
  <c r="BB15" i="22"/>
  <c r="BC15" i="22"/>
  <c r="BD15" i="22"/>
  <c r="BE15" i="22"/>
  <c r="BF15" i="22"/>
  <c r="BG15" i="22"/>
  <c r="BH15" i="22"/>
  <c r="BI15" i="22"/>
  <c r="BJ15" i="22"/>
  <c r="BK15" i="22"/>
  <c r="BL15" i="22"/>
  <c r="BM15" i="22"/>
  <c r="BN15" i="22"/>
  <c r="BO15" i="22"/>
  <c r="BP15" i="22"/>
  <c r="BQ15" i="22"/>
  <c r="BR15" i="22"/>
  <c r="BS15" i="22"/>
  <c r="BT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AZ16" i="22"/>
  <c r="BA16" i="22"/>
  <c r="BB16" i="22"/>
  <c r="BC16" i="22"/>
  <c r="BD16" i="22"/>
  <c r="BE16" i="22"/>
  <c r="BF16" i="22"/>
  <c r="BG16" i="22"/>
  <c r="BH16" i="22"/>
  <c r="BI16" i="22"/>
  <c r="BJ16" i="22"/>
  <c r="BK16" i="22"/>
  <c r="BL16" i="22"/>
  <c r="BM16" i="22"/>
  <c r="BN16" i="22"/>
  <c r="BO16" i="22"/>
  <c r="BP16" i="22"/>
  <c r="BQ16" i="22"/>
  <c r="BR16" i="22"/>
  <c r="BS16" i="22"/>
  <c r="BT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AZ17" i="22"/>
  <c r="BA17" i="22"/>
  <c r="BB17" i="22"/>
  <c r="BC17" i="22"/>
  <c r="BD17" i="22"/>
  <c r="BE17" i="22"/>
  <c r="BF17" i="22"/>
  <c r="BG17" i="22"/>
  <c r="BH17" i="22"/>
  <c r="BI17" i="22"/>
  <c r="BJ17" i="22"/>
  <c r="BK17" i="22"/>
  <c r="BL17" i="22"/>
  <c r="BM17" i="22"/>
  <c r="BN17" i="22"/>
  <c r="BO17" i="22"/>
  <c r="BP17" i="22"/>
  <c r="BQ17" i="22"/>
  <c r="BR17" i="22"/>
  <c r="BS17" i="22"/>
  <c r="BT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AZ18" i="22"/>
  <c r="BA18" i="22"/>
  <c r="BB18" i="22"/>
  <c r="BC18" i="22"/>
  <c r="BD18" i="22"/>
  <c r="BE18" i="22"/>
  <c r="BF18" i="22"/>
  <c r="BG18" i="22"/>
  <c r="BH18" i="22"/>
  <c r="BI18" i="22"/>
  <c r="BJ18" i="22"/>
  <c r="BK18" i="22"/>
  <c r="BL18" i="22"/>
  <c r="BM18" i="22"/>
  <c r="BN18" i="22"/>
  <c r="BO18" i="22"/>
  <c r="BP18" i="22"/>
  <c r="BQ18" i="22"/>
  <c r="BR18" i="22"/>
  <c r="BS18" i="22"/>
  <c r="BT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I19" i="22"/>
  <c r="BJ19" i="22"/>
  <c r="BK19" i="22"/>
  <c r="BL19" i="22"/>
  <c r="BM19" i="22"/>
  <c r="BN19" i="22"/>
  <c r="BO19" i="22"/>
  <c r="BP19" i="22"/>
  <c r="BQ19" i="22"/>
  <c r="BR19" i="22"/>
  <c r="BS19" i="22"/>
  <c r="BT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I20" i="22"/>
  <c r="BJ20" i="22"/>
  <c r="BK20" i="22"/>
  <c r="BL20" i="22"/>
  <c r="BM20" i="22"/>
  <c r="BN20" i="22"/>
  <c r="BO20" i="22"/>
  <c r="BP20" i="22"/>
  <c r="BQ20" i="22"/>
  <c r="BR20" i="22"/>
  <c r="BS20" i="22"/>
  <c r="BT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M22" i="22"/>
  <c r="AN22" i="22"/>
  <c r="AO22" i="22"/>
  <c r="AP22" i="22"/>
  <c r="AQ22" i="22"/>
  <c r="AR22" i="22"/>
  <c r="AS22" i="22"/>
  <c r="AT22" i="22"/>
  <c r="AU22" i="22"/>
  <c r="AV22" i="22"/>
  <c r="AW22" i="22"/>
  <c r="AX22" i="22"/>
  <c r="AY22" i="22"/>
  <c r="AZ22" i="22"/>
  <c r="BA22" i="22"/>
  <c r="BB22" i="22"/>
  <c r="BC22" i="22"/>
  <c r="BD22" i="22"/>
  <c r="BE22" i="22"/>
  <c r="BF22" i="22"/>
  <c r="BG22" i="22"/>
  <c r="BH22" i="22"/>
  <c r="BI22" i="22"/>
  <c r="BJ22" i="22"/>
  <c r="BK22" i="22"/>
  <c r="BL22" i="22"/>
  <c r="BM22" i="22"/>
  <c r="BN22" i="22"/>
  <c r="BO22" i="22"/>
  <c r="BP22" i="22"/>
  <c r="BQ22" i="22"/>
  <c r="BR22" i="22"/>
  <c r="BS22" i="22"/>
  <c r="BT22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AN23" i="22"/>
  <c r="AO23" i="22"/>
  <c r="AP23" i="22"/>
  <c r="AQ23" i="22"/>
  <c r="AR23" i="22"/>
  <c r="AS23" i="22"/>
  <c r="AT23" i="22"/>
  <c r="AU23" i="22"/>
  <c r="AV23" i="22"/>
  <c r="AW23" i="22"/>
  <c r="AX23" i="22"/>
  <c r="AY23" i="22"/>
  <c r="AZ23" i="22"/>
  <c r="BA23" i="22"/>
  <c r="BB23" i="22"/>
  <c r="BC23" i="22"/>
  <c r="BD23" i="22"/>
  <c r="BE23" i="22"/>
  <c r="BF23" i="22"/>
  <c r="BG23" i="22"/>
  <c r="BH23" i="22"/>
  <c r="BI23" i="22"/>
  <c r="BJ23" i="22"/>
  <c r="BK23" i="22"/>
  <c r="BL23" i="22"/>
  <c r="BM23" i="22"/>
  <c r="BN23" i="22"/>
  <c r="BO23" i="22"/>
  <c r="BP23" i="22"/>
  <c r="BQ23" i="22"/>
  <c r="BR23" i="22"/>
  <c r="BS23" i="22"/>
  <c r="BT23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I24" i="22"/>
  <c r="BJ24" i="22"/>
  <c r="BK24" i="22"/>
  <c r="BL24" i="22"/>
  <c r="BM24" i="22"/>
  <c r="BN24" i="22"/>
  <c r="BO24" i="22"/>
  <c r="BP24" i="22"/>
  <c r="BQ24" i="22"/>
  <c r="BR24" i="22"/>
  <c r="BS24" i="22"/>
  <c r="BT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I26" i="22"/>
  <c r="BJ26" i="22"/>
  <c r="BK26" i="22"/>
  <c r="BL26" i="22"/>
  <c r="BM26" i="22"/>
  <c r="BN26" i="22"/>
  <c r="BO26" i="22"/>
  <c r="BP26" i="22"/>
  <c r="BQ26" i="22"/>
  <c r="BR26" i="22"/>
  <c r="BS26" i="22"/>
  <c r="BT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I27" i="22"/>
  <c r="BJ27" i="22"/>
  <c r="BK27" i="22"/>
  <c r="BL27" i="22"/>
  <c r="BM27" i="22"/>
  <c r="BN27" i="22"/>
  <c r="BO27" i="22"/>
  <c r="BP27" i="22"/>
  <c r="BQ27" i="22"/>
  <c r="BR27" i="22"/>
  <c r="BS27" i="22"/>
  <c r="BT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I28" i="22"/>
  <c r="BJ28" i="22"/>
  <c r="BK28" i="22"/>
  <c r="BL28" i="22"/>
  <c r="BM28" i="22"/>
  <c r="BN28" i="22"/>
  <c r="BO28" i="22"/>
  <c r="BP28" i="22"/>
  <c r="BQ28" i="22"/>
  <c r="BR28" i="22"/>
  <c r="BS28" i="22"/>
  <c r="BT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I30" i="22"/>
  <c r="BJ30" i="22"/>
  <c r="BK30" i="22"/>
  <c r="BL30" i="22"/>
  <c r="BM30" i="22"/>
  <c r="BN30" i="22"/>
  <c r="BO30" i="22"/>
  <c r="BP30" i="22"/>
  <c r="BQ30" i="22"/>
  <c r="BR30" i="22"/>
  <c r="BS30" i="22"/>
  <c r="BT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I31" i="22"/>
  <c r="BJ31" i="22"/>
  <c r="BK31" i="22"/>
  <c r="BL31" i="22"/>
  <c r="BM31" i="22"/>
  <c r="BN31" i="22"/>
  <c r="BO31" i="22"/>
  <c r="BP31" i="22"/>
  <c r="BQ31" i="22"/>
  <c r="BR31" i="22"/>
  <c r="BS31" i="22"/>
  <c r="BT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I32" i="22"/>
  <c r="BJ32" i="22"/>
  <c r="BK32" i="22"/>
  <c r="BL32" i="22"/>
  <c r="BM32" i="22"/>
  <c r="BN32" i="22"/>
  <c r="BO32" i="22"/>
  <c r="BP32" i="22"/>
  <c r="BQ32" i="22"/>
  <c r="BR32" i="22"/>
  <c r="BS32" i="22"/>
  <c r="BT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70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71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72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73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74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75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76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77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78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79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80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AZ80" i="22"/>
  <c r="BA80" i="22"/>
  <c r="BB80" i="22"/>
  <c r="BC80" i="22"/>
  <c r="BD80" i="22"/>
  <c r="BE80" i="22"/>
  <c r="BF80" i="22"/>
  <c r="BG80" i="22"/>
  <c r="BH80" i="22"/>
  <c r="BI80" i="22"/>
  <c r="BJ80" i="22"/>
  <c r="BK80" i="22"/>
  <c r="BL80" i="22"/>
  <c r="BM80" i="22"/>
  <c r="BN80" i="22"/>
  <c r="BO80" i="22"/>
  <c r="BP80" i="22"/>
  <c r="BQ80" i="22"/>
  <c r="BR80" i="22"/>
  <c r="BS80" i="22"/>
  <c r="BT80" i="22"/>
  <c r="B81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AZ81" i="22"/>
  <c r="BA81" i="22"/>
  <c r="BB81" i="22"/>
  <c r="BC81" i="22"/>
  <c r="BD81" i="22"/>
  <c r="BE81" i="22"/>
  <c r="BF81" i="22"/>
  <c r="BG81" i="22"/>
  <c r="BH81" i="22"/>
  <c r="BI81" i="22"/>
  <c r="BJ81" i="22"/>
  <c r="BK81" i="22"/>
  <c r="BL81" i="22"/>
  <c r="BM81" i="22"/>
  <c r="BN81" i="22"/>
  <c r="BO81" i="22"/>
  <c r="BP81" i="22"/>
  <c r="BQ81" i="22"/>
  <c r="BR81" i="22"/>
  <c r="BS81" i="22"/>
  <c r="BT81" i="22"/>
  <c r="B82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  <c r="AZ82" i="22"/>
  <c r="BA82" i="22"/>
  <c r="BB82" i="22"/>
  <c r="BC82" i="22"/>
  <c r="BD82" i="22"/>
  <c r="BE82" i="22"/>
  <c r="BF82" i="22"/>
  <c r="BG82" i="22"/>
  <c r="BH82" i="22"/>
  <c r="BI82" i="22"/>
  <c r="BJ82" i="22"/>
  <c r="BK82" i="22"/>
  <c r="BL82" i="22"/>
  <c r="BM82" i="22"/>
  <c r="BN82" i="22"/>
  <c r="BO82" i="22"/>
  <c r="BP82" i="22"/>
  <c r="BQ82" i="22"/>
  <c r="BR82" i="22"/>
  <c r="BS82" i="22"/>
  <c r="BT82" i="22"/>
  <c r="B83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AO83" i="22"/>
  <c r="AP83" i="22"/>
  <c r="AQ83" i="22"/>
  <c r="AR83" i="22"/>
  <c r="AS83" i="22"/>
  <c r="AT83" i="22"/>
  <c r="AU83" i="22"/>
  <c r="AV83" i="22"/>
  <c r="AW83" i="22"/>
  <c r="AX83" i="22"/>
  <c r="AY83" i="22"/>
  <c r="AZ83" i="22"/>
  <c r="BA83" i="22"/>
  <c r="BB83" i="22"/>
  <c r="BC83" i="22"/>
  <c r="BD83" i="22"/>
  <c r="BE83" i="22"/>
  <c r="BF83" i="22"/>
  <c r="BG83" i="22"/>
  <c r="BH83" i="22"/>
  <c r="BI83" i="22"/>
  <c r="BJ83" i="22"/>
  <c r="BK83" i="22"/>
  <c r="BL83" i="22"/>
  <c r="BM83" i="22"/>
  <c r="BN83" i="22"/>
  <c r="BO83" i="22"/>
  <c r="BP83" i="22"/>
  <c r="BQ83" i="22"/>
  <c r="BR83" i="22"/>
  <c r="BS83" i="22"/>
  <c r="BT83" i="22"/>
  <c r="B84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AO84" i="22"/>
  <c r="AP84" i="22"/>
  <c r="AQ84" i="22"/>
  <c r="AR84" i="22"/>
  <c r="AS84" i="22"/>
  <c r="AT84" i="22"/>
  <c r="AU84" i="22"/>
  <c r="AV84" i="22"/>
  <c r="AW84" i="22"/>
  <c r="AX84" i="22"/>
  <c r="AY84" i="22"/>
  <c r="AZ84" i="22"/>
  <c r="BA84" i="22"/>
  <c r="BB84" i="22"/>
  <c r="BC84" i="22"/>
  <c r="BD84" i="22"/>
  <c r="BE84" i="22"/>
  <c r="BF84" i="22"/>
  <c r="BG84" i="22"/>
  <c r="BH84" i="22"/>
  <c r="BI84" i="22"/>
  <c r="BJ84" i="22"/>
  <c r="BK84" i="22"/>
  <c r="BL84" i="22"/>
  <c r="BM84" i="22"/>
  <c r="BN84" i="22"/>
  <c r="BO84" i="22"/>
  <c r="BP84" i="22"/>
  <c r="BQ84" i="22"/>
  <c r="BR84" i="22"/>
  <c r="BS84" i="22"/>
  <c r="BT84" i="22"/>
  <c r="B85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AO85" i="22"/>
  <c r="AP85" i="22"/>
  <c r="AQ85" i="22"/>
  <c r="AR85" i="22"/>
  <c r="AS85" i="22"/>
  <c r="AT85" i="22"/>
  <c r="AU85" i="22"/>
  <c r="AV85" i="22"/>
  <c r="AW85" i="22"/>
  <c r="AX85" i="22"/>
  <c r="AY85" i="22"/>
  <c r="AZ85" i="22"/>
  <c r="BA85" i="22"/>
  <c r="BB85" i="22"/>
  <c r="BC85" i="22"/>
  <c r="BD85" i="22"/>
  <c r="BE85" i="22"/>
  <c r="BF85" i="22"/>
  <c r="BG85" i="22"/>
  <c r="BH85" i="22"/>
  <c r="BI85" i="22"/>
  <c r="BJ85" i="22"/>
  <c r="BK85" i="22"/>
  <c r="BL85" i="22"/>
  <c r="BM85" i="22"/>
  <c r="BN85" i="22"/>
  <c r="BO85" i="22"/>
  <c r="BP85" i="22"/>
  <c r="BQ85" i="22"/>
  <c r="BR85" i="22"/>
  <c r="BS85" i="22"/>
  <c r="BT85" i="22"/>
  <c r="B86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AO86" i="22"/>
  <c r="AP86" i="22"/>
  <c r="AQ86" i="22"/>
  <c r="AR86" i="22"/>
  <c r="AS86" i="22"/>
  <c r="AT86" i="22"/>
  <c r="AU86" i="22"/>
  <c r="AV86" i="22"/>
  <c r="AW86" i="22"/>
  <c r="AX86" i="22"/>
  <c r="AY86" i="22"/>
  <c r="AZ86" i="22"/>
  <c r="BA86" i="22"/>
  <c r="BB86" i="22"/>
  <c r="BC86" i="22"/>
  <c r="BD86" i="22"/>
  <c r="BE86" i="22"/>
  <c r="BF86" i="22"/>
  <c r="BG86" i="22"/>
  <c r="BH86" i="22"/>
  <c r="BI86" i="22"/>
  <c r="BJ86" i="22"/>
  <c r="BK86" i="22"/>
  <c r="BL86" i="22"/>
  <c r="BM86" i="22"/>
  <c r="BN86" i="22"/>
  <c r="BO86" i="22"/>
  <c r="BP86" i="22"/>
  <c r="BQ86" i="22"/>
  <c r="BR86" i="22"/>
  <c r="BS86" i="22"/>
  <c r="BT86" i="22"/>
  <c r="B87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AO87" i="22"/>
  <c r="AP87" i="22"/>
  <c r="AQ87" i="22"/>
  <c r="AR87" i="22"/>
  <c r="AS87" i="22"/>
  <c r="AT87" i="22"/>
  <c r="AU87" i="22"/>
  <c r="AV87" i="22"/>
  <c r="AW87" i="22"/>
  <c r="AX87" i="22"/>
  <c r="AY87" i="22"/>
  <c r="AZ87" i="22"/>
  <c r="BA87" i="22"/>
  <c r="BB87" i="22"/>
  <c r="BC87" i="22"/>
  <c r="BD87" i="22"/>
  <c r="BE87" i="22"/>
  <c r="BF87" i="22"/>
  <c r="BG87" i="22"/>
  <c r="BH87" i="22"/>
  <c r="BI87" i="22"/>
  <c r="BJ87" i="22"/>
  <c r="BK87" i="22"/>
  <c r="BL87" i="22"/>
  <c r="BM87" i="22"/>
  <c r="BN87" i="22"/>
  <c r="BO87" i="22"/>
  <c r="BP87" i="22"/>
  <c r="BQ87" i="22"/>
  <c r="BR87" i="22"/>
  <c r="BS87" i="22"/>
  <c r="BT87" i="22"/>
  <c r="B88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AY88" i="22"/>
  <c r="AZ88" i="22"/>
  <c r="BA88" i="22"/>
  <c r="BB88" i="22"/>
  <c r="BC88" i="22"/>
  <c r="BD88" i="22"/>
  <c r="BE88" i="22"/>
  <c r="BF88" i="22"/>
  <c r="BG88" i="22"/>
  <c r="BH88" i="22"/>
  <c r="BI88" i="22"/>
  <c r="BJ88" i="22"/>
  <c r="BK88" i="22"/>
  <c r="BL88" i="22"/>
  <c r="BM88" i="22"/>
  <c r="BN88" i="22"/>
  <c r="BO88" i="22"/>
  <c r="BP88" i="22"/>
  <c r="BQ88" i="22"/>
  <c r="BR88" i="22"/>
  <c r="BS88" i="22"/>
  <c r="BT88" i="22"/>
  <c r="B89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AY89" i="22"/>
  <c r="AZ89" i="22"/>
  <c r="BA89" i="22"/>
  <c r="BB89" i="22"/>
  <c r="BC89" i="22"/>
  <c r="BD89" i="22"/>
  <c r="BE89" i="22"/>
  <c r="BF89" i="22"/>
  <c r="BG89" i="22"/>
  <c r="BH89" i="22"/>
  <c r="BI89" i="22"/>
  <c r="BJ89" i="22"/>
  <c r="BK89" i="22"/>
  <c r="BL89" i="22"/>
  <c r="BM89" i="22"/>
  <c r="BN89" i="22"/>
  <c r="BO89" i="22"/>
  <c r="BP89" i="22"/>
  <c r="BQ89" i="22"/>
  <c r="BR89" i="22"/>
  <c r="BS89" i="22"/>
  <c r="BT89" i="22"/>
  <c r="B90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AY90" i="22"/>
  <c r="AZ90" i="22"/>
  <c r="BA90" i="22"/>
  <c r="BB90" i="22"/>
  <c r="BC90" i="22"/>
  <c r="BD90" i="22"/>
  <c r="BE90" i="22"/>
  <c r="BF90" i="22"/>
  <c r="BG90" i="22"/>
  <c r="BH90" i="22"/>
  <c r="BI90" i="22"/>
  <c r="BJ90" i="22"/>
  <c r="BK90" i="22"/>
  <c r="BL90" i="22"/>
  <c r="BM90" i="22"/>
  <c r="BN90" i="22"/>
  <c r="BO90" i="22"/>
  <c r="BP90" i="22"/>
  <c r="BQ90" i="22"/>
  <c r="BR90" i="22"/>
  <c r="BS90" i="22"/>
  <c r="BT90" i="22"/>
  <c r="B91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AY91" i="22"/>
  <c r="AZ91" i="22"/>
  <c r="BA91" i="22"/>
  <c r="BB91" i="22"/>
  <c r="BC91" i="22"/>
  <c r="BD91" i="22"/>
  <c r="BE91" i="22"/>
  <c r="BF91" i="22"/>
  <c r="BG91" i="22"/>
  <c r="BH91" i="22"/>
  <c r="BI91" i="22"/>
  <c r="BJ91" i="22"/>
  <c r="BK91" i="22"/>
  <c r="BL91" i="22"/>
  <c r="BM91" i="22"/>
  <c r="BN91" i="22"/>
  <c r="BO91" i="22"/>
  <c r="BP91" i="22"/>
  <c r="BQ91" i="22"/>
  <c r="BR91" i="22"/>
  <c r="BS91" i="22"/>
  <c r="BT91" i="22"/>
  <c r="B92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AY92" i="22"/>
  <c r="AZ92" i="22"/>
  <c r="BA92" i="22"/>
  <c r="BB92" i="22"/>
  <c r="BC92" i="22"/>
  <c r="BD92" i="22"/>
  <c r="BE92" i="22"/>
  <c r="BF92" i="22"/>
  <c r="BG92" i="22"/>
  <c r="BH92" i="22"/>
  <c r="BI92" i="22"/>
  <c r="BJ92" i="22"/>
  <c r="BK92" i="22"/>
  <c r="BL92" i="22"/>
  <c r="BM92" i="22"/>
  <c r="BN92" i="22"/>
  <c r="BO92" i="22"/>
  <c r="BP92" i="22"/>
  <c r="BQ92" i="22"/>
  <c r="BR92" i="22"/>
  <c r="BS92" i="22"/>
  <c r="BT92" i="22"/>
  <c r="B93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AY93" i="22"/>
  <c r="AZ93" i="22"/>
  <c r="BA93" i="22"/>
  <c r="BB93" i="22"/>
  <c r="BC93" i="22"/>
  <c r="BD93" i="22"/>
  <c r="BE93" i="22"/>
  <c r="BF93" i="22"/>
  <c r="BG93" i="22"/>
  <c r="BH93" i="22"/>
  <c r="BI93" i="22"/>
  <c r="BJ93" i="22"/>
  <c r="BK93" i="22"/>
  <c r="BL93" i="22"/>
  <c r="BM93" i="22"/>
  <c r="BN93" i="22"/>
  <c r="BO93" i="22"/>
  <c r="BP93" i="22"/>
  <c r="BQ93" i="22"/>
  <c r="BR93" i="22"/>
  <c r="BS93" i="22"/>
  <c r="BT93" i="22"/>
  <c r="B94" i="22"/>
  <c r="C94" i="22"/>
  <c r="D94" i="22"/>
  <c r="E94" i="22"/>
  <c r="F94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AO94" i="22"/>
  <c r="AP94" i="22"/>
  <c r="AQ94" i="22"/>
  <c r="AR94" i="22"/>
  <c r="AS94" i="22"/>
  <c r="AT94" i="22"/>
  <c r="AU94" i="22"/>
  <c r="AV94" i="22"/>
  <c r="AW94" i="22"/>
  <c r="AX94" i="22"/>
  <c r="AY94" i="22"/>
  <c r="AZ94" i="22"/>
  <c r="BA94" i="22"/>
  <c r="BB94" i="22"/>
  <c r="BC94" i="22"/>
  <c r="BD94" i="22"/>
  <c r="BE94" i="22"/>
  <c r="BF94" i="22"/>
  <c r="BG94" i="22"/>
  <c r="BH94" i="22"/>
  <c r="BI94" i="22"/>
  <c r="BJ94" i="22"/>
  <c r="BK94" i="22"/>
  <c r="BL94" i="22"/>
  <c r="BM94" i="22"/>
  <c r="BN94" i="22"/>
  <c r="BO94" i="22"/>
  <c r="BP94" i="22"/>
  <c r="BQ94" i="22"/>
  <c r="BR94" i="22"/>
  <c r="BS94" i="22"/>
  <c r="BT94" i="22"/>
  <c r="B95" i="22"/>
  <c r="C95" i="22"/>
  <c r="D95" i="22"/>
  <c r="E95" i="22"/>
  <c r="F95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AO95" i="22"/>
  <c r="AP95" i="22"/>
  <c r="AQ95" i="22"/>
  <c r="AR95" i="22"/>
  <c r="AS95" i="22"/>
  <c r="AT95" i="22"/>
  <c r="AU95" i="22"/>
  <c r="AV95" i="22"/>
  <c r="AW95" i="22"/>
  <c r="AX95" i="22"/>
  <c r="AY95" i="22"/>
  <c r="AZ95" i="22"/>
  <c r="BA95" i="22"/>
  <c r="BB95" i="22"/>
  <c r="BC95" i="22"/>
  <c r="BD95" i="22"/>
  <c r="BE95" i="22"/>
  <c r="BF95" i="22"/>
  <c r="BG95" i="22"/>
  <c r="BH95" i="22"/>
  <c r="BI95" i="22"/>
  <c r="BJ95" i="22"/>
  <c r="BK95" i="22"/>
  <c r="BL95" i="22"/>
  <c r="BM95" i="22"/>
  <c r="BN95" i="22"/>
  <c r="BO95" i="22"/>
  <c r="BP95" i="22"/>
  <c r="BQ95" i="22"/>
  <c r="BR95" i="22"/>
  <c r="BS95" i="22"/>
  <c r="BT95" i="22"/>
  <c r="B96" i="22"/>
  <c r="C96" i="22"/>
  <c r="D96" i="22"/>
  <c r="E96" i="22"/>
  <c r="F96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AO96" i="22"/>
  <c r="AP96" i="22"/>
  <c r="AQ96" i="22"/>
  <c r="AR96" i="22"/>
  <c r="AS96" i="22"/>
  <c r="AT96" i="22"/>
  <c r="AU96" i="22"/>
  <c r="AV96" i="22"/>
  <c r="AW96" i="22"/>
  <c r="AX96" i="22"/>
  <c r="AY96" i="22"/>
  <c r="AZ96" i="22"/>
  <c r="BA96" i="22"/>
  <c r="BB96" i="22"/>
  <c r="BC96" i="22"/>
  <c r="BD96" i="22"/>
  <c r="BE96" i="22"/>
  <c r="BF96" i="22"/>
  <c r="BG96" i="22"/>
  <c r="BH96" i="22"/>
  <c r="BI96" i="22"/>
  <c r="BJ96" i="22"/>
  <c r="BK96" i="22"/>
  <c r="BL96" i="22"/>
  <c r="BM96" i="22"/>
  <c r="BN96" i="22"/>
  <c r="BO96" i="22"/>
  <c r="BP96" i="22"/>
  <c r="BQ96" i="22"/>
  <c r="BR96" i="22"/>
  <c r="BS96" i="22"/>
  <c r="BT96" i="22"/>
  <c r="B97" i="22"/>
  <c r="C97" i="22"/>
  <c r="D97" i="22"/>
  <c r="E97" i="22"/>
  <c r="F97" i="22"/>
  <c r="G97" i="22"/>
  <c r="H97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U97" i="22"/>
  <c r="V97" i="22"/>
  <c r="W97" i="22"/>
  <c r="X97" i="22"/>
  <c r="Y97" i="22"/>
  <c r="Z97" i="22"/>
  <c r="AA97" i="22"/>
  <c r="AB97" i="22"/>
  <c r="AC97" i="22"/>
  <c r="AD97" i="22"/>
  <c r="AE97" i="22"/>
  <c r="AF97" i="22"/>
  <c r="AG97" i="22"/>
  <c r="AH97" i="22"/>
  <c r="AI97" i="22"/>
  <c r="AJ97" i="22"/>
  <c r="AK97" i="22"/>
  <c r="AL97" i="22"/>
  <c r="AM97" i="22"/>
  <c r="AN97" i="22"/>
  <c r="AO97" i="22"/>
  <c r="AP97" i="22"/>
  <c r="AQ97" i="22"/>
  <c r="AR97" i="22"/>
  <c r="AS97" i="22"/>
  <c r="AT97" i="22"/>
  <c r="AU97" i="22"/>
  <c r="AV97" i="22"/>
  <c r="AW97" i="22"/>
  <c r="AX97" i="22"/>
  <c r="AY97" i="22"/>
  <c r="AZ97" i="22"/>
  <c r="BA97" i="22"/>
  <c r="BB97" i="22"/>
  <c r="BC97" i="22"/>
  <c r="BD97" i="22"/>
  <c r="BE97" i="22"/>
  <c r="BF97" i="22"/>
  <c r="BG97" i="22"/>
  <c r="BH97" i="22"/>
  <c r="BI97" i="22"/>
  <c r="BJ97" i="22"/>
  <c r="BK97" i="22"/>
  <c r="BL97" i="22"/>
  <c r="BM97" i="22"/>
  <c r="BN97" i="22"/>
  <c r="BO97" i="22"/>
  <c r="BP97" i="22"/>
  <c r="BQ97" i="22"/>
  <c r="BR97" i="22"/>
  <c r="BS97" i="22"/>
  <c r="BT97" i="22"/>
  <c r="B98" i="22"/>
  <c r="C98" i="22"/>
  <c r="D98" i="22"/>
  <c r="E98" i="22"/>
  <c r="F98" i="22"/>
  <c r="G98" i="22"/>
  <c r="H98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U98" i="22"/>
  <c r="V98" i="22"/>
  <c r="W98" i="22"/>
  <c r="X98" i="22"/>
  <c r="Y98" i="22"/>
  <c r="Z98" i="22"/>
  <c r="AA98" i="22"/>
  <c r="AB98" i="22"/>
  <c r="AC98" i="22"/>
  <c r="AD98" i="22"/>
  <c r="AE98" i="22"/>
  <c r="AF98" i="22"/>
  <c r="AG98" i="22"/>
  <c r="AH98" i="22"/>
  <c r="AI98" i="22"/>
  <c r="AJ98" i="22"/>
  <c r="AK98" i="22"/>
  <c r="AL98" i="22"/>
  <c r="AM98" i="22"/>
  <c r="AN98" i="22"/>
  <c r="AO98" i="22"/>
  <c r="AP98" i="22"/>
  <c r="AQ98" i="22"/>
  <c r="AR98" i="22"/>
  <c r="AS98" i="22"/>
  <c r="AT98" i="22"/>
  <c r="AU98" i="22"/>
  <c r="AV98" i="22"/>
  <c r="AW98" i="22"/>
  <c r="AX98" i="22"/>
  <c r="AY98" i="22"/>
  <c r="AZ98" i="22"/>
  <c r="BA98" i="22"/>
  <c r="BB98" i="22"/>
  <c r="BC98" i="22"/>
  <c r="BD98" i="22"/>
  <c r="BE98" i="22"/>
  <c r="BF98" i="22"/>
  <c r="BG98" i="22"/>
  <c r="BH98" i="22"/>
  <c r="BI98" i="22"/>
  <c r="BJ98" i="22"/>
  <c r="BK98" i="22"/>
  <c r="BL98" i="22"/>
  <c r="BM98" i="22"/>
  <c r="BN98" i="22"/>
  <c r="BO98" i="22"/>
  <c r="BP98" i="22"/>
  <c r="BQ98" i="22"/>
  <c r="BR98" i="22"/>
  <c r="BS98" i="22"/>
  <c r="BT98" i="22"/>
  <c r="B99" i="22"/>
  <c r="C99" i="22"/>
  <c r="D99" i="22"/>
  <c r="E99" i="22"/>
  <c r="F99" i="22"/>
  <c r="G99" i="22"/>
  <c r="H99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Y99" i="22"/>
  <c r="Z99" i="22"/>
  <c r="AA99" i="22"/>
  <c r="AB99" i="22"/>
  <c r="AC99" i="22"/>
  <c r="AD99" i="22"/>
  <c r="AE99" i="22"/>
  <c r="AF99" i="22"/>
  <c r="AG99" i="22"/>
  <c r="AH99" i="22"/>
  <c r="AI99" i="22"/>
  <c r="AJ99" i="22"/>
  <c r="AK99" i="22"/>
  <c r="AL99" i="22"/>
  <c r="AM99" i="22"/>
  <c r="AN99" i="22"/>
  <c r="AO99" i="22"/>
  <c r="AP99" i="22"/>
  <c r="AQ99" i="22"/>
  <c r="AR99" i="22"/>
  <c r="AS99" i="22"/>
  <c r="AT99" i="22"/>
  <c r="AU99" i="22"/>
  <c r="AV99" i="22"/>
  <c r="AW99" i="22"/>
  <c r="AX99" i="22"/>
  <c r="AY99" i="22"/>
  <c r="AZ99" i="22"/>
  <c r="BA99" i="22"/>
  <c r="BB99" i="22"/>
  <c r="BC99" i="22"/>
  <c r="BD99" i="22"/>
  <c r="BE99" i="22"/>
  <c r="BF99" i="22"/>
  <c r="BG99" i="22"/>
  <c r="BH99" i="22"/>
  <c r="BI99" i="22"/>
  <c r="BJ99" i="22"/>
  <c r="BK99" i="22"/>
  <c r="BL99" i="22"/>
  <c r="BM99" i="22"/>
  <c r="BN99" i="22"/>
  <c r="BO99" i="22"/>
  <c r="BP99" i="22"/>
  <c r="BQ99" i="22"/>
  <c r="BR99" i="22"/>
  <c r="BS99" i="22"/>
  <c r="BT99" i="22"/>
  <c r="B100" i="22"/>
  <c r="C100" i="22"/>
  <c r="D100" i="22"/>
  <c r="E100" i="22"/>
  <c r="F100" i="22"/>
  <c r="G100" i="22"/>
  <c r="H100" i="22"/>
  <c r="I100" i="22"/>
  <c r="J100" i="22"/>
  <c r="K100" i="22"/>
  <c r="L100" i="22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AF100" i="22"/>
  <c r="AG100" i="22"/>
  <c r="AH100" i="22"/>
  <c r="AI100" i="22"/>
  <c r="AJ100" i="22"/>
  <c r="AK100" i="22"/>
  <c r="AL100" i="22"/>
  <c r="AM100" i="22"/>
  <c r="AN100" i="22"/>
  <c r="AO100" i="22"/>
  <c r="AP100" i="22"/>
  <c r="AQ100" i="22"/>
  <c r="AR100" i="22"/>
  <c r="AS100" i="22"/>
  <c r="AT100" i="22"/>
  <c r="AU100" i="22"/>
  <c r="AV100" i="22"/>
  <c r="AW100" i="22"/>
  <c r="AX100" i="22"/>
  <c r="AY100" i="22"/>
  <c r="AZ100" i="22"/>
  <c r="BA100" i="22"/>
  <c r="BB100" i="22"/>
  <c r="BC100" i="22"/>
  <c r="BD100" i="22"/>
  <c r="BE100" i="22"/>
  <c r="BF100" i="22"/>
  <c r="BG100" i="22"/>
  <c r="BH100" i="22"/>
  <c r="BI100" i="22"/>
  <c r="BJ100" i="22"/>
  <c r="BK100" i="22"/>
  <c r="BL100" i="22"/>
  <c r="BM100" i="22"/>
  <c r="BN100" i="22"/>
  <c r="BO100" i="22"/>
  <c r="BP100" i="22"/>
  <c r="BQ100" i="22"/>
  <c r="BR100" i="22"/>
  <c r="BS100" i="22"/>
  <c r="BT100" i="22"/>
  <c r="B101" i="22"/>
  <c r="C101" i="22"/>
  <c r="D101" i="22"/>
  <c r="E101" i="22"/>
  <c r="F101" i="22"/>
  <c r="G101" i="22"/>
  <c r="H101" i="22"/>
  <c r="I101" i="22"/>
  <c r="J101" i="22"/>
  <c r="K101" i="22"/>
  <c r="L101" i="22"/>
  <c r="M101" i="22"/>
  <c r="N101" i="22"/>
  <c r="O101" i="22"/>
  <c r="P101" i="22"/>
  <c r="Q101" i="22"/>
  <c r="R101" i="22"/>
  <c r="S101" i="22"/>
  <c r="T101" i="22"/>
  <c r="U101" i="22"/>
  <c r="V101" i="22"/>
  <c r="W101" i="22"/>
  <c r="X101" i="22"/>
  <c r="Y101" i="22"/>
  <c r="Z101" i="22"/>
  <c r="AA101" i="22"/>
  <c r="AB101" i="22"/>
  <c r="AC101" i="22"/>
  <c r="AD101" i="22"/>
  <c r="AE101" i="22"/>
  <c r="AF101" i="22"/>
  <c r="AG101" i="22"/>
  <c r="AH101" i="22"/>
  <c r="AI101" i="22"/>
  <c r="AJ101" i="22"/>
  <c r="AK101" i="22"/>
  <c r="AL101" i="22"/>
  <c r="AM101" i="22"/>
  <c r="AN101" i="22"/>
  <c r="AO101" i="22"/>
  <c r="AP101" i="22"/>
  <c r="AQ101" i="22"/>
  <c r="AR101" i="22"/>
  <c r="AS101" i="22"/>
  <c r="AT101" i="22"/>
  <c r="AU101" i="22"/>
  <c r="AV101" i="22"/>
  <c r="AW101" i="22"/>
  <c r="AX101" i="22"/>
  <c r="AY101" i="22"/>
  <c r="AZ101" i="22"/>
  <c r="BA101" i="22"/>
  <c r="BB101" i="22"/>
  <c r="BC101" i="22"/>
  <c r="BD101" i="22"/>
  <c r="BE101" i="22"/>
  <c r="BF101" i="22"/>
  <c r="BG101" i="22"/>
  <c r="BH101" i="22"/>
  <c r="BI101" i="22"/>
  <c r="BJ101" i="22"/>
  <c r="BK101" i="22"/>
  <c r="BL101" i="22"/>
  <c r="BM101" i="22"/>
  <c r="BN101" i="22"/>
  <c r="BO101" i="22"/>
  <c r="BP101" i="22"/>
  <c r="BQ101" i="22"/>
  <c r="BR101" i="22"/>
  <c r="BS101" i="22"/>
  <c r="BT101" i="22"/>
  <c r="B102" i="22"/>
  <c r="C102" i="22"/>
  <c r="D102" i="22"/>
  <c r="E102" i="22"/>
  <c r="F102" i="22"/>
  <c r="G102" i="22"/>
  <c r="H102" i="22"/>
  <c r="I102" i="22"/>
  <c r="J102" i="22"/>
  <c r="K102" i="22"/>
  <c r="L102" i="22"/>
  <c r="M102" i="22"/>
  <c r="N102" i="22"/>
  <c r="O102" i="22"/>
  <c r="P102" i="22"/>
  <c r="Q102" i="22"/>
  <c r="R102" i="22"/>
  <c r="S102" i="22"/>
  <c r="T102" i="22"/>
  <c r="U102" i="22"/>
  <c r="V102" i="22"/>
  <c r="W102" i="22"/>
  <c r="X102" i="22"/>
  <c r="Y102" i="22"/>
  <c r="Z102" i="22"/>
  <c r="AA102" i="22"/>
  <c r="AB102" i="22"/>
  <c r="AC102" i="22"/>
  <c r="AD102" i="22"/>
  <c r="AE102" i="22"/>
  <c r="AF102" i="22"/>
  <c r="AG102" i="22"/>
  <c r="AH102" i="22"/>
  <c r="AI102" i="22"/>
  <c r="AJ102" i="22"/>
  <c r="AK102" i="22"/>
  <c r="AL102" i="22"/>
  <c r="AM102" i="22"/>
  <c r="AN102" i="22"/>
  <c r="AO102" i="22"/>
  <c r="AP102" i="22"/>
  <c r="AQ102" i="22"/>
  <c r="AR102" i="22"/>
  <c r="AS102" i="22"/>
  <c r="AT102" i="22"/>
  <c r="AU102" i="22"/>
  <c r="AV102" i="22"/>
  <c r="AW102" i="22"/>
  <c r="AX102" i="22"/>
  <c r="AY102" i="22"/>
  <c r="AZ102" i="22"/>
  <c r="BA102" i="22"/>
  <c r="BB102" i="22"/>
  <c r="BC102" i="22"/>
  <c r="BD102" i="22"/>
  <c r="BE102" i="22"/>
  <c r="BF102" i="22"/>
  <c r="BG102" i="22"/>
  <c r="BH102" i="22"/>
  <c r="BI102" i="22"/>
  <c r="BJ102" i="22"/>
  <c r="BK102" i="22"/>
  <c r="BL102" i="22"/>
  <c r="BM102" i="22"/>
  <c r="BN102" i="22"/>
  <c r="BO102" i="22"/>
  <c r="BP102" i="22"/>
  <c r="BQ102" i="22"/>
  <c r="BR102" i="22"/>
  <c r="BS102" i="22"/>
  <c r="BT102" i="22"/>
  <c r="B103" i="22"/>
  <c r="C103" i="22"/>
  <c r="D103" i="22"/>
  <c r="E103" i="22"/>
  <c r="F103" i="22"/>
  <c r="G103" i="22"/>
  <c r="H103" i="22"/>
  <c r="I103" i="22"/>
  <c r="J103" i="22"/>
  <c r="K103" i="22"/>
  <c r="L103" i="22"/>
  <c r="M103" i="22"/>
  <c r="N103" i="22"/>
  <c r="O103" i="22"/>
  <c r="P103" i="22"/>
  <c r="Q103" i="22"/>
  <c r="R103" i="22"/>
  <c r="S103" i="22"/>
  <c r="T103" i="22"/>
  <c r="U103" i="22"/>
  <c r="V103" i="22"/>
  <c r="W103" i="22"/>
  <c r="X103" i="22"/>
  <c r="Y103" i="22"/>
  <c r="Z103" i="22"/>
  <c r="AA103" i="22"/>
  <c r="AB103" i="22"/>
  <c r="AC103" i="22"/>
  <c r="AD103" i="22"/>
  <c r="AE103" i="22"/>
  <c r="AF103" i="22"/>
  <c r="AG103" i="22"/>
  <c r="AH103" i="22"/>
  <c r="AI103" i="22"/>
  <c r="AJ103" i="22"/>
  <c r="AK103" i="22"/>
  <c r="AL103" i="22"/>
  <c r="AM103" i="22"/>
  <c r="AN103" i="22"/>
  <c r="AO103" i="22"/>
  <c r="AP103" i="22"/>
  <c r="AQ103" i="22"/>
  <c r="AR103" i="22"/>
  <c r="AS103" i="22"/>
  <c r="AT103" i="22"/>
  <c r="AU103" i="22"/>
  <c r="AV103" i="22"/>
  <c r="AW103" i="22"/>
  <c r="AX103" i="22"/>
  <c r="AY103" i="22"/>
  <c r="AZ103" i="22"/>
  <c r="BA103" i="22"/>
  <c r="BB103" i="22"/>
  <c r="BC103" i="22"/>
  <c r="BD103" i="22"/>
  <c r="BE103" i="22"/>
  <c r="BF103" i="22"/>
  <c r="BG103" i="22"/>
  <c r="BH103" i="22"/>
  <c r="BI103" i="22"/>
  <c r="BJ103" i="22"/>
  <c r="BK103" i="22"/>
  <c r="BL103" i="22"/>
  <c r="BM103" i="22"/>
  <c r="BN103" i="22"/>
  <c r="BO103" i="22"/>
  <c r="BP103" i="22"/>
  <c r="BQ103" i="22"/>
  <c r="BR103" i="22"/>
  <c r="BS103" i="22"/>
  <c r="BT103" i="22"/>
  <c r="B104" i="22"/>
  <c r="C104" i="22"/>
  <c r="D104" i="22"/>
  <c r="E104" i="22"/>
  <c r="F104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A104" i="22"/>
  <c r="AB104" i="22"/>
  <c r="AC104" i="22"/>
  <c r="AD104" i="22"/>
  <c r="AE104" i="22"/>
  <c r="AF104" i="22"/>
  <c r="AG104" i="22"/>
  <c r="AH104" i="22"/>
  <c r="AI104" i="22"/>
  <c r="AJ104" i="22"/>
  <c r="AK104" i="22"/>
  <c r="AL104" i="22"/>
  <c r="AM104" i="22"/>
  <c r="AN104" i="22"/>
  <c r="AO104" i="22"/>
  <c r="AP104" i="22"/>
  <c r="AQ104" i="22"/>
  <c r="AR104" i="22"/>
  <c r="AS104" i="22"/>
  <c r="AT104" i="22"/>
  <c r="AU104" i="22"/>
  <c r="AV104" i="22"/>
  <c r="AW104" i="22"/>
  <c r="AX104" i="22"/>
  <c r="AY104" i="22"/>
  <c r="AZ104" i="22"/>
  <c r="BA104" i="22"/>
  <c r="BB104" i="22"/>
  <c r="BC104" i="22"/>
  <c r="BD104" i="22"/>
  <c r="BE104" i="22"/>
  <c r="BF104" i="22"/>
  <c r="BG104" i="22"/>
  <c r="BH104" i="22"/>
  <c r="BI104" i="22"/>
  <c r="BJ104" i="22"/>
  <c r="BK104" i="22"/>
  <c r="BL104" i="22"/>
  <c r="BM104" i="22"/>
  <c r="BN104" i="22"/>
  <c r="BO104" i="22"/>
  <c r="BP104" i="22"/>
  <c r="BQ104" i="22"/>
  <c r="BR104" i="22"/>
  <c r="BS104" i="22"/>
  <c r="BT104" i="22"/>
  <c r="B105" i="22"/>
  <c r="C105" i="22"/>
  <c r="D105" i="22"/>
  <c r="E105" i="22"/>
  <c r="F105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AO105" i="22"/>
  <c r="AP105" i="22"/>
  <c r="AQ105" i="22"/>
  <c r="AR105" i="22"/>
  <c r="AS105" i="22"/>
  <c r="AT105" i="22"/>
  <c r="AU105" i="22"/>
  <c r="AV105" i="22"/>
  <c r="AW105" i="22"/>
  <c r="AX105" i="22"/>
  <c r="AY105" i="22"/>
  <c r="AZ105" i="22"/>
  <c r="BA105" i="22"/>
  <c r="BB105" i="22"/>
  <c r="BC105" i="22"/>
  <c r="BD105" i="22"/>
  <c r="BE105" i="22"/>
  <c r="BF105" i="22"/>
  <c r="BG105" i="22"/>
  <c r="BH105" i="22"/>
  <c r="BI105" i="22"/>
  <c r="BJ105" i="22"/>
  <c r="BK105" i="22"/>
  <c r="BL105" i="22"/>
  <c r="BM105" i="22"/>
  <c r="BN105" i="22"/>
  <c r="BO105" i="22"/>
  <c r="BP105" i="22"/>
  <c r="BQ105" i="22"/>
  <c r="BR105" i="22"/>
  <c r="BS105" i="22"/>
  <c r="BT105" i="22"/>
  <c r="B106" i="22"/>
  <c r="C106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AY106" i="22"/>
  <c r="AZ106" i="22"/>
  <c r="BA106" i="22"/>
  <c r="BB106" i="22"/>
  <c r="BC106" i="22"/>
  <c r="BD106" i="22"/>
  <c r="BE106" i="22"/>
  <c r="BF106" i="22"/>
  <c r="BG106" i="22"/>
  <c r="BH106" i="22"/>
  <c r="BI106" i="22"/>
  <c r="BJ106" i="22"/>
  <c r="BK106" i="22"/>
  <c r="BL106" i="22"/>
  <c r="BM106" i="22"/>
  <c r="BN106" i="22"/>
  <c r="BO106" i="22"/>
  <c r="BP106" i="22"/>
  <c r="BQ106" i="22"/>
  <c r="BR106" i="22"/>
  <c r="BS106" i="22"/>
  <c r="BT106" i="22"/>
  <c r="B107" i="22"/>
  <c r="C107" i="22"/>
  <c r="D107" i="22"/>
  <c r="E107" i="22"/>
  <c r="F107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AO107" i="22"/>
  <c r="AP107" i="22"/>
  <c r="AQ107" i="22"/>
  <c r="AR107" i="22"/>
  <c r="AS107" i="22"/>
  <c r="AT107" i="22"/>
  <c r="AU107" i="22"/>
  <c r="AV107" i="22"/>
  <c r="AW107" i="22"/>
  <c r="AX107" i="22"/>
  <c r="AY107" i="22"/>
  <c r="AZ107" i="22"/>
  <c r="BA107" i="22"/>
  <c r="BB107" i="22"/>
  <c r="BC107" i="22"/>
  <c r="BD107" i="22"/>
  <c r="BE107" i="22"/>
  <c r="BF107" i="22"/>
  <c r="BG107" i="22"/>
  <c r="BH107" i="22"/>
  <c r="BI107" i="22"/>
  <c r="BJ107" i="22"/>
  <c r="BK107" i="22"/>
  <c r="BL107" i="22"/>
  <c r="BM107" i="22"/>
  <c r="BN107" i="22"/>
  <c r="BO107" i="22"/>
  <c r="BP107" i="22"/>
  <c r="BQ107" i="22"/>
  <c r="BR107" i="22"/>
  <c r="BS107" i="22"/>
  <c r="BT107" i="22"/>
  <c r="B108" i="22"/>
  <c r="C108" i="22"/>
  <c r="D108" i="22"/>
  <c r="E108" i="22"/>
  <c r="F108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AO108" i="22"/>
  <c r="AP108" i="22"/>
  <c r="AQ108" i="22"/>
  <c r="AR108" i="22"/>
  <c r="AS108" i="22"/>
  <c r="AT108" i="22"/>
  <c r="AU108" i="22"/>
  <c r="AV108" i="22"/>
  <c r="AW108" i="22"/>
  <c r="AX108" i="22"/>
  <c r="AY108" i="22"/>
  <c r="AZ108" i="22"/>
  <c r="BA108" i="22"/>
  <c r="BB108" i="22"/>
  <c r="BC108" i="22"/>
  <c r="BD108" i="22"/>
  <c r="BE108" i="22"/>
  <c r="BF108" i="22"/>
  <c r="BG108" i="22"/>
  <c r="BH108" i="22"/>
  <c r="BI108" i="22"/>
  <c r="BJ108" i="22"/>
  <c r="BK108" i="22"/>
  <c r="BL108" i="22"/>
  <c r="BM108" i="22"/>
  <c r="BN108" i="22"/>
  <c r="BO108" i="22"/>
  <c r="BP108" i="22"/>
  <c r="BQ108" i="22"/>
  <c r="BR108" i="22"/>
  <c r="BS108" i="22"/>
  <c r="BT108" i="22"/>
  <c r="B109" i="22"/>
  <c r="C109" i="22"/>
  <c r="D109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AO109" i="22"/>
  <c r="AP109" i="22"/>
  <c r="AQ109" i="22"/>
  <c r="AR109" i="22"/>
  <c r="AS109" i="22"/>
  <c r="AT109" i="22"/>
  <c r="AU109" i="22"/>
  <c r="AV109" i="22"/>
  <c r="AW109" i="22"/>
  <c r="AX109" i="22"/>
  <c r="AY109" i="22"/>
  <c r="AZ109" i="22"/>
  <c r="BA109" i="22"/>
  <c r="BB109" i="22"/>
  <c r="BC109" i="22"/>
  <c r="BD109" i="22"/>
  <c r="BE109" i="22"/>
  <c r="BF109" i="22"/>
  <c r="BG109" i="22"/>
  <c r="BH109" i="22"/>
  <c r="BI109" i="22"/>
  <c r="BJ109" i="22"/>
  <c r="BK109" i="22"/>
  <c r="BL109" i="22"/>
  <c r="BM109" i="22"/>
  <c r="BN109" i="22"/>
  <c r="BO109" i="22"/>
  <c r="BP109" i="22"/>
  <c r="BQ109" i="22"/>
  <c r="BR109" i="22"/>
  <c r="BS109" i="22"/>
  <c r="BT109" i="22"/>
  <c r="B110" i="22"/>
  <c r="C110" i="22"/>
  <c r="D110" i="22"/>
  <c r="E110" i="22"/>
  <c r="F110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AO110" i="22"/>
  <c r="AP110" i="22"/>
  <c r="AQ110" i="22"/>
  <c r="AR110" i="22"/>
  <c r="AS110" i="22"/>
  <c r="AT110" i="22"/>
  <c r="AU110" i="22"/>
  <c r="AV110" i="22"/>
  <c r="AW110" i="22"/>
  <c r="AX110" i="22"/>
  <c r="AY110" i="22"/>
  <c r="AZ110" i="22"/>
  <c r="BA110" i="22"/>
  <c r="BB110" i="22"/>
  <c r="BC110" i="22"/>
  <c r="BD110" i="22"/>
  <c r="BE110" i="22"/>
  <c r="BF110" i="22"/>
  <c r="BG110" i="22"/>
  <c r="BH110" i="22"/>
  <c r="BI110" i="22"/>
  <c r="BJ110" i="22"/>
  <c r="BK110" i="22"/>
  <c r="BL110" i="22"/>
  <c r="BM110" i="22"/>
  <c r="BN110" i="22"/>
  <c r="BO110" i="22"/>
  <c r="BP110" i="22"/>
  <c r="BQ110" i="22"/>
  <c r="BR110" i="22"/>
  <c r="BS110" i="22"/>
  <c r="BT110" i="22"/>
  <c r="B111" i="22"/>
  <c r="C111" i="22"/>
  <c r="D111" i="22"/>
  <c r="E111" i="22"/>
  <c r="F111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AO111" i="22"/>
  <c r="AP111" i="22"/>
  <c r="AQ111" i="22"/>
  <c r="AR111" i="22"/>
  <c r="AS111" i="22"/>
  <c r="AT111" i="22"/>
  <c r="AU111" i="22"/>
  <c r="AV111" i="22"/>
  <c r="AW111" i="22"/>
  <c r="AX111" i="22"/>
  <c r="AY111" i="22"/>
  <c r="AZ111" i="22"/>
  <c r="BA111" i="22"/>
  <c r="BB111" i="22"/>
  <c r="BC111" i="22"/>
  <c r="BD111" i="22"/>
  <c r="BE111" i="22"/>
  <c r="BF111" i="22"/>
  <c r="BG111" i="22"/>
  <c r="BH111" i="22"/>
  <c r="BI111" i="22"/>
  <c r="BJ111" i="22"/>
  <c r="BK111" i="22"/>
  <c r="BL111" i="22"/>
  <c r="BM111" i="22"/>
  <c r="BN111" i="22"/>
  <c r="BO111" i="22"/>
  <c r="BP111" i="22"/>
  <c r="BQ111" i="22"/>
  <c r="BR111" i="22"/>
  <c r="BS111" i="22"/>
  <c r="BT111" i="22"/>
  <c r="B112" i="22"/>
  <c r="C112" i="22"/>
  <c r="D112" i="22"/>
  <c r="E112" i="22"/>
  <c r="F112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AO112" i="22"/>
  <c r="AP112" i="22"/>
  <c r="AQ112" i="22"/>
  <c r="AR112" i="22"/>
  <c r="AS112" i="22"/>
  <c r="AT112" i="22"/>
  <c r="AU112" i="22"/>
  <c r="AV112" i="22"/>
  <c r="AW112" i="22"/>
  <c r="AX112" i="22"/>
  <c r="AY112" i="22"/>
  <c r="AZ112" i="22"/>
  <c r="BA112" i="22"/>
  <c r="BB112" i="22"/>
  <c r="BC112" i="22"/>
  <c r="BD112" i="22"/>
  <c r="BE112" i="22"/>
  <c r="BF112" i="22"/>
  <c r="BG112" i="22"/>
  <c r="BH112" i="22"/>
  <c r="BI112" i="22"/>
  <c r="BJ112" i="22"/>
  <c r="BK112" i="22"/>
  <c r="BL112" i="22"/>
  <c r="BM112" i="22"/>
  <c r="BN112" i="22"/>
  <c r="BO112" i="22"/>
  <c r="BP112" i="22"/>
  <c r="BQ112" i="22"/>
  <c r="BR112" i="22"/>
  <c r="BS112" i="22"/>
  <c r="BT112" i="22"/>
  <c r="B113" i="22"/>
  <c r="C113" i="22"/>
  <c r="D113" i="22"/>
  <c r="E113" i="22"/>
  <c r="F113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AO113" i="22"/>
  <c r="AP113" i="22"/>
  <c r="AQ113" i="22"/>
  <c r="AR113" i="22"/>
  <c r="AS113" i="22"/>
  <c r="AT113" i="22"/>
  <c r="AU113" i="22"/>
  <c r="AV113" i="22"/>
  <c r="AW113" i="22"/>
  <c r="AX113" i="22"/>
  <c r="AY113" i="22"/>
  <c r="AZ113" i="22"/>
  <c r="BA113" i="22"/>
  <c r="BB113" i="22"/>
  <c r="BC113" i="22"/>
  <c r="BD113" i="22"/>
  <c r="BE113" i="22"/>
  <c r="BF113" i="22"/>
  <c r="BG113" i="22"/>
  <c r="BH113" i="22"/>
  <c r="BI113" i="22"/>
  <c r="BJ113" i="22"/>
  <c r="BK113" i="22"/>
  <c r="BL113" i="22"/>
  <c r="BM113" i="22"/>
  <c r="BN113" i="22"/>
  <c r="BO113" i="22"/>
  <c r="BP113" i="22"/>
  <c r="BQ113" i="22"/>
  <c r="BR113" i="22"/>
  <c r="BS113" i="22"/>
  <c r="BT113" i="22"/>
  <c r="B114" i="22"/>
  <c r="C114" i="22"/>
  <c r="D114" i="22"/>
  <c r="E114" i="22"/>
  <c r="F114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AO114" i="22"/>
  <c r="AP114" i="22"/>
  <c r="AQ114" i="22"/>
  <c r="AR114" i="22"/>
  <c r="AS114" i="22"/>
  <c r="AT114" i="22"/>
  <c r="AU114" i="22"/>
  <c r="AV114" i="22"/>
  <c r="AW114" i="22"/>
  <c r="AX114" i="22"/>
  <c r="AY114" i="22"/>
  <c r="AZ114" i="22"/>
  <c r="BA114" i="22"/>
  <c r="BB114" i="22"/>
  <c r="BC114" i="22"/>
  <c r="BD114" i="22"/>
  <c r="BE114" i="22"/>
  <c r="BF114" i="22"/>
  <c r="BG114" i="22"/>
  <c r="BH114" i="22"/>
  <c r="BI114" i="22"/>
  <c r="BJ114" i="22"/>
  <c r="BK114" i="22"/>
  <c r="BL114" i="22"/>
  <c r="BM114" i="22"/>
  <c r="BN114" i="22"/>
  <c r="BO114" i="22"/>
  <c r="BP114" i="22"/>
  <c r="BQ114" i="22"/>
  <c r="BR114" i="22"/>
  <c r="BS114" i="22"/>
  <c r="BT114" i="22"/>
  <c r="B115" i="22"/>
  <c r="C115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AY115" i="22"/>
  <c r="AZ115" i="22"/>
  <c r="BA115" i="22"/>
  <c r="BB115" i="22"/>
  <c r="BC115" i="22"/>
  <c r="BD115" i="22"/>
  <c r="BE115" i="22"/>
  <c r="BF115" i="22"/>
  <c r="BG115" i="22"/>
  <c r="BH115" i="22"/>
  <c r="BI115" i="22"/>
  <c r="BJ115" i="22"/>
  <c r="BK115" i="22"/>
  <c r="BL115" i="22"/>
  <c r="BM115" i="22"/>
  <c r="BN115" i="22"/>
  <c r="BO115" i="22"/>
  <c r="BP115" i="22"/>
  <c r="BQ115" i="22"/>
  <c r="BR115" i="22"/>
  <c r="BS115" i="22"/>
  <c r="BT115" i="22"/>
  <c r="B116" i="22"/>
  <c r="C116" i="22"/>
  <c r="D116" i="22"/>
  <c r="E116" i="22"/>
  <c r="F116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AO116" i="22"/>
  <c r="AP116" i="22"/>
  <c r="AQ116" i="22"/>
  <c r="AR116" i="22"/>
  <c r="AS116" i="22"/>
  <c r="AT116" i="22"/>
  <c r="AU116" i="22"/>
  <c r="AV116" i="22"/>
  <c r="AW116" i="22"/>
  <c r="AX116" i="22"/>
  <c r="AY116" i="22"/>
  <c r="AZ116" i="22"/>
  <c r="BA116" i="22"/>
  <c r="BB116" i="22"/>
  <c r="BC116" i="22"/>
  <c r="BD116" i="22"/>
  <c r="BE116" i="22"/>
  <c r="BF116" i="22"/>
  <c r="BG116" i="22"/>
  <c r="BH116" i="22"/>
  <c r="BI116" i="22"/>
  <c r="BJ116" i="22"/>
  <c r="BK116" i="22"/>
  <c r="BL116" i="22"/>
  <c r="BM116" i="22"/>
  <c r="BN116" i="22"/>
  <c r="BO116" i="22"/>
  <c r="BP116" i="22"/>
  <c r="BQ116" i="22"/>
  <c r="BR116" i="22"/>
  <c r="BS116" i="22"/>
  <c r="BT116" i="22"/>
  <c r="B117" i="22"/>
  <c r="C117" i="22"/>
  <c r="D117" i="22"/>
  <c r="E117" i="22"/>
  <c r="F117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AO117" i="22"/>
  <c r="AP117" i="22"/>
  <c r="AQ117" i="22"/>
  <c r="AR117" i="22"/>
  <c r="AS117" i="22"/>
  <c r="AT117" i="22"/>
  <c r="AU117" i="22"/>
  <c r="AV117" i="22"/>
  <c r="AW117" i="22"/>
  <c r="AX117" i="22"/>
  <c r="AY117" i="22"/>
  <c r="AZ117" i="22"/>
  <c r="BA117" i="22"/>
  <c r="BB117" i="22"/>
  <c r="BC117" i="22"/>
  <c r="BD117" i="22"/>
  <c r="BE117" i="22"/>
  <c r="BF117" i="22"/>
  <c r="BG117" i="22"/>
  <c r="BH117" i="22"/>
  <c r="BI117" i="22"/>
  <c r="BJ117" i="22"/>
  <c r="BK117" i="22"/>
  <c r="BL117" i="22"/>
  <c r="BM117" i="22"/>
  <c r="BN117" i="22"/>
  <c r="BO117" i="22"/>
  <c r="BP117" i="22"/>
  <c r="BQ117" i="22"/>
  <c r="BR117" i="22"/>
  <c r="BS117" i="22"/>
  <c r="BT117" i="22"/>
  <c r="B118" i="22"/>
  <c r="C118" i="22"/>
  <c r="D118" i="22"/>
  <c r="E118" i="22"/>
  <c r="F118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AO118" i="22"/>
  <c r="AP118" i="22"/>
  <c r="AQ118" i="22"/>
  <c r="AR118" i="22"/>
  <c r="AS118" i="22"/>
  <c r="AT118" i="22"/>
  <c r="AU118" i="22"/>
  <c r="AV118" i="22"/>
  <c r="AW118" i="22"/>
  <c r="AX118" i="22"/>
  <c r="AY118" i="22"/>
  <c r="AZ118" i="22"/>
  <c r="BA118" i="22"/>
  <c r="BB118" i="22"/>
  <c r="BC118" i="22"/>
  <c r="BD118" i="22"/>
  <c r="BE118" i="22"/>
  <c r="BF118" i="22"/>
  <c r="BG118" i="22"/>
  <c r="BH118" i="22"/>
  <c r="BI118" i="22"/>
  <c r="BJ118" i="22"/>
  <c r="BK118" i="22"/>
  <c r="BL118" i="22"/>
  <c r="BM118" i="22"/>
  <c r="BN118" i="22"/>
  <c r="BO118" i="22"/>
  <c r="BP118" i="22"/>
  <c r="BQ118" i="22"/>
  <c r="BR118" i="22"/>
  <c r="BS118" i="22"/>
  <c r="BT118" i="22"/>
  <c r="B119" i="22"/>
  <c r="C119" i="22"/>
  <c r="D119" i="22"/>
  <c r="E119" i="22"/>
  <c r="F119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AO119" i="22"/>
  <c r="AP119" i="22"/>
  <c r="AQ119" i="22"/>
  <c r="AR119" i="22"/>
  <c r="AS119" i="22"/>
  <c r="AT119" i="22"/>
  <c r="AU119" i="22"/>
  <c r="AV119" i="22"/>
  <c r="AW119" i="22"/>
  <c r="AX119" i="22"/>
  <c r="AY119" i="22"/>
  <c r="AZ119" i="22"/>
  <c r="BA119" i="22"/>
  <c r="BB119" i="22"/>
  <c r="BC119" i="22"/>
  <c r="BD119" i="22"/>
  <c r="BE119" i="22"/>
  <c r="BF119" i="22"/>
  <c r="BG119" i="22"/>
  <c r="BH119" i="22"/>
  <c r="BI119" i="22"/>
  <c r="BJ119" i="22"/>
  <c r="BK119" i="22"/>
  <c r="BL119" i="22"/>
  <c r="BM119" i="22"/>
  <c r="BN119" i="22"/>
  <c r="BO119" i="22"/>
  <c r="BP119" i="22"/>
  <c r="BQ119" i="22"/>
  <c r="BR119" i="22"/>
  <c r="BS119" i="22"/>
  <c r="BT119" i="22"/>
  <c r="B120" i="22"/>
  <c r="C120" i="22"/>
  <c r="D120" i="22"/>
  <c r="E120" i="22"/>
  <c r="F120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AO120" i="22"/>
  <c r="AP120" i="22"/>
  <c r="AQ120" i="22"/>
  <c r="AR120" i="22"/>
  <c r="AS120" i="22"/>
  <c r="AT120" i="22"/>
  <c r="AU120" i="22"/>
  <c r="AV120" i="22"/>
  <c r="AW120" i="22"/>
  <c r="AX120" i="22"/>
  <c r="AY120" i="22"/>
  <c r="AZ120" i="22"/>
  <c r="BA120" i="22"/>
  <c r="BB120" i="22"/>
  <c r="BC120" i="22"/>
  <c r="BD120" i="22"/>
  <c r="BE120" i="22"/>
  <c r="BF120" i="22"/>
  <c r="BG120" i="22"/>
  <c r="BH120" i="22"/>
  <c r="BI120" i="22"/>
  <c r="BJ120" i="22"/>
  <c r="BK120" i="22"/>
  <c r="BL120" i="22"/>
  <c r="BM120" i="22"/>
  <c r="BN120" i="22"/>
  <c r="BO120" i="22"/>
  <c r="BP120" i="22"/>
  <c r="BQ120" i="22"/>
  <c r="BR120" i="22"/>
  <c r="BS120" i="22"/>
  <c r="BT120" i="22"/>
  <c r="B121" i="22"/>
  <c r="C121" i="22"/>
  <c r="D121" i="22"/>
  <c r="E121" i="22"/>
  <c r="F121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AO121" i="22"/>
  <c r="AP121" i="22"/>
  <c r="AQ121" i="22"/>
  <c r="AR121" i="22"/>
  <c r="AS121" i="22"/>
  <c r="AT121" i="22"/>
  <c r="AU121" i="22"/>
  <c r="AV121" i="22"/>
  <c r="AW121" i="22"/>
  <c r="AX121" i="22"/>
  <c r="AY121" i="22"/>
  <c r="AZ121" i="22"/>
  <c r="BA121" i="22"/>
  <c r="BB121" i="22"/>
  <c r="BC121" i="22"/>
  <c r="BD121" i="22"/>
  <c r="BE121" i="22"/>
  <c r="BF121" i="22"/>
  <c r="BG121" i="22"/>
  <c r="BH121" i="22"/>
  <c r="BI121" i="22"/>
  <c r="BJ121" i="22"/>
  <c r="BK121" i="22"/>
  <c r="BL121" i="22"/>
  <c r="BM121" i="22"/>
  <c r="BN121" i="22"/>
  <c r="BO121" i="22"/>
  <c r="BP121" i="22"/>
  <c r="BQ121" i="22"/>
  <c r="BR121" i="22"/>
  <c r="BS121" i="22"/>
  <c r="BT121" i="22"/>
  <c r="B122" i="22"/>
  <c r="C122" i="22"/>
  <c r="D122" i="22"/>
  <c r="E122" i="22"/>
  <c r="F122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AO122" i="22"/>
  <c r="AP122" i="22"/>
  <c r="AQ122" i="22"/>
  <c r="AR122" i="22"/>
  <c r="AS122" i="22"/>
  <c r="AT122" i="22"/>
  <c r="AU122" i="22"/>
  <c r="AV122" i="22"/>
  <c r="AW122" i="22"/>
  <c r="AX122" i="22"/>
  <c r="AY122" i="22"/>
  <c r="AZ122" i="22"/>
  <c r="BA122" i="22"/>
  <c r="BB122" i="22"/>
  <c r="BC122" i="22"/>
  <c r="BD122" i="22"/>
  <c r="BE122" i="22"/>
  <c r="BF122" i="22"/>
  <c r="BG122" i="22"/>
  <c r="BH122" i="22"/>
  <c r="BI122" i="22"/>
  <c r="BJ122" i="22"/>
  <c r="BK122" i="22"/>
  <c r="BL122" i="22"/>
  <c r="BM122" i="22"/>
  <c r="BN122" i="22"/>
  <c r="BO122" i="22"/>
  <c r="BP122" i="22"/>
  <c r="BQ122" i="22"/>
  <c r="BR122" i="22"/>
  <c r="BS122" i="22"/>
  <c r="BT122" i="22"/>
  <c r="B123" i="22"/>
  <c r="C123" i="22"/>
  <c r="D123" i="22"/>
  <c r="E123" i="22"/>
  <c r="F123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AO123" i="22"/>
  <c r="AP123" i="22"/>
  <c r="AQ123" i="22"/>
  <c r="AR123" i="22"/>
  <c r="AS123" i="22"/>
  <c r="AT123" i="22"/>
  <c r="AU123" i="22"/>
  <c r="AV123" i="22"/>
  <c r="AW123" i="22"/>
  <c r="AX123" i="22"/>
  <c r="AY123" i="22"/>
  <c r="AZ123" i="22"/>
  <c r="BA123" i="22"/>
  <c r="BB123" i="22"/>
  <c r="BC123" i="22"/>
  <c r="BD123" i="22"/>
  <c r="BE123" i="22"/>
  <c r="BF123" i="22"/>
  <c r="BG123" i="22"/>
  <c r="BH123" i="22"/>
  <c r="BI123" i="22"/>
  <c r="BJ123" i="22"/>
  <c r="BK123" i="22"/>
  <c r="BL123" i="22"/>
  <c r="BM123" i="22"/>
  <c r="BN123" i="22"/>
  <c r="BO123" i="22"/>
  <c r="BP123" i="22"/>
  <c r="BQ123" i="22"/>
  <c r="BR123" i="22"/>
  <c r="BS123" i="22"/>
  <c r="BT123" i="22"/>
  <c r="B124" i="22"/>
  <c r="C124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AY124" i="22"/>
  <c r="AZ124" i="22"/>
  <c r="BA124" i="22"/>
  <c r="BB124" i="22"/>
  <c r="BC124" i="22"/>
  <c r="BD124" i="22"/>
  <c r="BE124" i="22"/>
  <c r="BF124" i="22"/>
  <c r="BG124" i="22"/>
  <c r="BH124" i="22"/>
  <c r="BI124" i="22"/>
  <c r="BJ124" i="22"/>
  <c r="BK124" i="22"/>
  <c r="BL124" i="22"/>
  <c r="BM124" i="22"/>
  <c r="BN124" i="22"/>
  <c r="BO124" i="22"/>
  <c r="BP124" i="22"/>
  <c r="BQ124" i="22"/>
  <c r="BR124" i="22"/>
  <c r="BS124" i="22"/>
  <c r="BT124" i="22"/>
  <c r="B125" i="22"/>
  <c r="C125" i="22"/>
  <c r="D125" i="22"/>
  <c r="E125" i="22"/>
  <c r="F125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AO125" i="22"/>
  <c r="AP125" i="22"/>
  <c r="AQ125" i="22"/>
  <c r="AR125" i="22"/>
  <c r="AS125" i="22"/>
  <c r="AT125" i="22"/>
  <c r="AU125" i="22"/>
  <c r="AV125" i="22"/>
  <c r="AW125" i="22"/>
  <c r="AX125" i="22"/>
  <c r="AY125" i="22"/>
  <c r="AZ125" i="22"/>
  <c r="BA125" i="22"/>
  <c r="BB125" i="22"/>
  <c r="BC125" i="22"/>
  <c r="BD125" i="22"/>
  <c r="BE125" i="22"/>
  <c r="BF125" i="22"/>
  <c r="BG125" i="22"/>
  <c r="BH125" i="22"/>
  <c r="BI125" i="22"/>
  <c r="BJ125" i="22"/>
  <c r="BK125" i="22"/>
  <c r="BL125" i="22"/>
  <c r="BM125" i="22"/>
  <c r="BN125" i="22"/>
  <c r="BO125" i="22"/>
  <c r="BP125" i="22"/>
  <c r="BQ125" i="22"/>
  <c r="BR125" i="22"/>
  <c r="BS125" i="22"/>
  <c r="BT125" i="22"/>
  <c r="B126" i="22"/>
  <c r="C126" i="22"/>
  <c r="D126" i="22"/>
  <c r="E126" i="22"/>
  <c r="F126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AO126" i="22"/>
  <c r="AP126" i="22"/>
  <c r="AQ126" i="22"/>
  <c r="AR126" i="22"/>
  <c r="AS126" i="22"/>
  <c r="AT126" i="22"/>
  <c r="AU126" i="22"/>
  <c r="AV126" i="22"/>
  <c r="AW126" i="22"/>
  <c r="AX126" i="22"/>
  <c r="AY126" i="22"/>
  <c r="AZ126" i="22"/>
  <c r="BA126" i="22"/>
  <c r="BB126" i="22"/>
  <c r="BC126" i="22"/>
  <c r="BD126" i="22"/>
  <c r="BE126" i="22"/>
  <c r="BF126" i="22"/>
  <c r="BG126" i="22"/>
  <c r="BH126" i="22"/>
  <c r="BI126" i="22"/>
  <c r="BJ126" i="22"/>
  <c r="BK126" i="22"/>
  <c r="BL126" i="22"/>
  <c r="BM126" i="22"/>
  <c r="BN126" i="22"/>
  <c r="BO126" i="22"/>
  <c r="BP126" i="22"/>
  <c r="BQ126" i="22"/>
  <c r="BR126" i="22"/>
  <c r="BS126" i="22"/>
  <c r="BT126" i="22"/>
  <c r="BT2" i="22"/>
  <c r="BS2" i="22"/>
  <c r="BR2" i="22"/>
  <c r="BQ2" i="22"/>
  <c r="BP2" i="22"/>
  <c r="BO2" i="22"/>
  <c r="BN2" i="22"/>
  <c r="BM2" i="22"/>
  <c r="BL2" i="22"/>
  <c r="BK2" i="22"/>
  <c r="BJ2" i="22"/>
  <c r="BI2" i="22"/>
  <c r="BH2" i="22"/>
  <c r="BG2" i="22"/>
  <c r="BF2" i="22"/>
  <c r="BE2" i="22"/>
  <c r="BD2" i="22"/>
  <c r="BC2" i="22"/>
  <c r="BB2" i="22"/>
  <c r="BA2" i="22"/>
  <c r="AZ2" i="22"/>
  <c r="AY2" i="22"/>
  <c r="AX2" i="22"/>
  <c r="AW2" i="22"/>
  <c r="AV2" i="22"/>
  <c r="AU2" i="22"/>
  <c r="AT2" i="22"/>
  <c r="AS2" i="22"/>
  <c r="AR2" i="22"/>
  <c r="AQ2" i="22"/>
  <c r="AP2" i="22"/>
  <c r="AO2" i="22"/>
  <c r="AN2" i="22"/>
  <c r="AM2" i="22"/>
  <c r="AL2" i="22"/>
  <c r="AK2" i="22"/>
  <c r="AJ2" i="22"/>
  <c r="AI2" i="22"/>
  <c r="AH2" i="22"/>
  <c r="AG2" i="22"/>
  <c r="AF2" i="22"/>
  <c r="AE2" i="22"/>
  <c r="AD2" i="22"/>
  <c r="AC2" i="22"/>
  <c r="AB2" i="22"/>
  <c r="AA2" i="22"/>
  <c r="Z2" i="22"/>
  <c r="Y2" i="22"/>
  <c r="X2" i="22"/>
  <c r="W2" i="22"/>
  <c r="V2" i="22"/>
  <c r="U2" i="22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D2" i="22"/>
  <c r="C2" i="22"/>
  <c r="B2" i="22"/>
  <c r="C5" i="21"/>
  <c r="B5" i="21" s="1" a="1"/>
  <c r="B5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J4" i="21"/>
  <c r="C4" i="21"/>
  <c r="J3" i="21"/>
  <c r="C3" i="21"/>
  <c r="J2" i="21"/>
  <c r="K2" i="21" s="1"/>
  <c r="L2" i="21" s="1"/>
  <c r="M2" i="21" s="1"/>
  <c r="N2" i="21" s="1"/>
  <c r="C2" i="21"/>
  <c r="A2" i="21"/>
  <c r="A3" i="21" s="1"/>
  <c r="A4" i="21" s="1"/>
  <c r="A5" i="21" s="1"/>
  <c r="K1" i="21"/>
  <c r="J1" i="21"/>
  <c r="F1" i="21"/>
  <c r="F16" i="21" s="1"/>
  <c r="G16" i="21" s="1"/>
  <c r="F66" i="21" l="1"/>
  <c r="G66" i="21" s="1"/>
  <c r="F63" i="21"/>
  <c r="F60" i="21"/>
  <c r="G60" i="21" s="1"/>
  <c r="F37" i="21"/>
  <c r="G37" i="21" s="1"/>
  <c r="F34" i="21"/>
  <c r="F31" i="21"/>
  <c r="G31" i="21" s="1"/>
  <c r="F28" i="21"/>
  <c r="G28" i="21" s="1"/>
  <c r="F8" i="21"/>
  <c r="G63" i="21"/>
  <c r="F49" i="21"/>
  <c r="F46" i="21"/>
  <c r="G46" i="21" s="1"/>
  <c r="F43" i="21"/>
  <c r="F40" i="21"/>
  <c r="G40" i="21" s="1"/>
  <c r="G34" i="21"/>
  <c r="F17" i="21"/>
  <c r="F14" i="21"/>
  <c r="G14" i="21" s="1"/>
  <c r="F11" i="21"/>
  <c r="G11" i="21" s="1"/>
  <c r="F67" i="21"/>
  <c r="G67" i="21" s="1"/>
  <c r="F64" i="21"/>
  <c r="G64" i="21" s="1"/>
  <c r="G61" i="21"/>
  <c r="G58" i="21"/>
  <c r="F41" i="21"/>
  <c r="F38" i="21"/>
  <c r="F35" i="21"/>
  <c r="G35" i="21" s="1"/>
  <c r="F32" i="21"/>
  <c r="G32" i="21" s="1"/>
  <c r="G29" i="21"/>
  <c r="G26" i="21"/>
  <c r="F9" i="21"/>
  <c r="G6" i="21"/>
  <c r="G49" i="21"/>
  <c r="F53" i="21"/>
  <c r="F50" i="21"/>
  <c r="F47" i="21"/>
  <c r="F44" i="21"/>
  <c r="G44" i="21" s="1"/>
  <c r="G41" i="21"/>
  <c r="G38" i="21"/>
  <c r="F21" i="21"/>
  <c r="F18" i="21"/>
  <c r="G18" i="21" s="1"/>
  <c r="F15" i="21"/>
  <c r="G15" i="21" s="1"/>
  <c r="F12" i="21"/>
  <c r="G12" i="21" s="1"/>
  <c r="G9" i="21"/>
  <c r="F65" i="21"/>
  <c r="F62" i="21"/>
  <c r="F59" i="21"/>
  <c r="F56" i="21"/>
  <c r="G56" i="21" s="1"/>
  <c r="G53" i="21"/>
  <c r="G50" i="21"/>
  <c r="F33" i="21"/>
  <c r="G33" i="21" s="1"/>
  <c r="F30" i="21"/>
  <c r="F27" i="21"/>
  <c r="G27" i="21" s="1"/>
  <c r="F24" i="21"/>
  <c r="G24" i="21" s="1"/>
  <c r="G21" i="21"/>
  <c r="F7" i="21"/>
  <c r="G7" i="21" s="1"/>
  <c r="G17" i="21"/>
  <c r="G65" i="21"/>
  <c r="F45" i="21"/>
  <c r="F42" i="21"/>
  <c r="F39" i="21"/>
  <c r="F36" i="21"/>
  <c r="G36" i="21" s="1"/>
  <c r="G30" i="21"/>
  <c r="F13" i="21"/>
  <c r="G13" i="21" s="1"/>
  <c r="F10" i="21"/>
  <c r="G10" i="21" s="1"/>
  <c r="F57" i="21"/>
  <c r="G57" i="21" s="1"/>
  <c r="F54" i="21"/>
  <c r="G54" i="21" s="1"/>
  <c r="F51" i="21"/>
  <c r="F48" i="21"/>
  <c r="G48" i="21" s="1"/>
  <c r="G45" i="21"/>
  <c r="G42" i="21"/>
  <c r="G39" i="21"/>
  <c r="F25" i="21"/>
  <c r="G25" i="21" s="1"/>
  <c r="F22" i="21"/>
  <c r="G22" i="21" s="1"/>
  <c r="F19" i="21"/>
  <c r="G19" i="21" s="1"/>
  <c r="G51" i="21"/>
  <c r="G43" i="21"/>
  <c r="G55" i="21"/>
  <c r="G47" i="21"/>
  <c r="G62" i="21"/>
  <c r="G59" i="21"/>
  <c r="G8" i="21"/>
  <c r="D4" i="2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E5" i="21" l="1"/>
  <c r="F5" i="21"/>
  <c r="F4" i="21"/>
  <c r="E4" i="21"/>
  <c r="L3" i="21"/>
  <c r="M3" i="21" s="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E2" i="21"/>
  <c r="D2" i="21"/>
  <c r="F2" i="21"/>
  <c r="J4" i="8"/>
  <c r="J3" i="8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2" i="13"/>
  <c r="N127" i="14"/>
  <c r="J35" i="20"/>
  <c r="J39" i="20"/>
  <c r="K39" i="20" s="1"/>
  <c r="J42" i="20"/>
  <c r="J47" i="20"/>
  <c r="J43" i="20"/>
  <c r="J44" i="20"/>
  <c r="J50" i="20"/>
  <c r="J51" i="20"/>
  <c r="J52" i="20"/>
  <c r="J49" i="20"/>
  <c r="J46" i="20"/>
  <c r="J53" i="20"/>
  <c r="J54" i="20"/>
  <c r="J55" i="20"/>
  <c r="J56" i="20"/>
  <c r="J57" i="20"/>
  <c r="J3" i="20"/>
  <c r="J33" i="20"/>
  <c r="J14" i="20"/>
  <c r="J48" i="20"/>
  <c r="J22" i="20"/>
  <c r="J60" i="20"/>
  <c r="J61" i="20"/>
  <c r="J62" i="20"/>
  <c r="J63" i="20"/>
  <c r="J64" i="20"/>
  <c r="J65" i="20"/>
  <c r="J45" i="20"/>
  <c r="J4" i="20"/>
  <c r="J5" i="20"/>
  <c r="J13" i="20"/>
  <c r="J8" i="20"/>
  <c r="J9" i="20"/>
  <c r="J7" i="20"/>
  <c r="J12" i="20"/>
  <c r="J11" i="20"/>
  <c r="J18" i="20"/>
  <c r="J23" i="20"/>
  <c r="J19" i="20"/>
  <c r="J16" i="20"/>
  <c r="J17" i="20"/>
  <c r="J6" i="20"/>
  <c r="J36" i="20"/>
  <c r="J25" i="20"/>
  <c r="J21" i="20"/>
  <c r="J31" i="20"/>
  <c r="J15" i="20"/>
  <c r="J24" i="20"/>
  <c r="J20" i="20"/>
  <c r="J27" i="20"/>
  <c r="J28" i="20"/>
  <c r="J32" i="20"/>
  <c r="J29" i="20"/>
  <c r="J10" i="20"/>
  <c r="J40" i="20"/>
  <c r="J41" i="20"/>
  <c r="J37" i="20"/>
  <c r="J30" i="20"/>
  <c r="J38" i="20"/>
  <c r="J26" i="20"/>
  <c r="J34" i="20"/>
  <c r="B35" i="13" l="1"/>
  <c r="C11" i="13"/>
  <c r="G5" i="13"/>
  <c r="G2" i="21"/>
  <c r="E3" i="21"/>
  <c r="G5" i="21"/>
  <c r="G4" i="21"/>
  <c r="F3" i="21"/>
  <c r="G3" i="21" s="1"/>
  <c r="D3" i="2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14" i="20"/>
  <c r="K54" i="20"/>
  <c r="K46" i="20"/>
  <c r="K51" i="20"/>
  <c r="K6" i="20"/>
  <c r="K12" i="20"/>
  <c r="K42" i="20"/>
  <c r="K26" i="20"/>
  <c r="K30" i="20"/>
  <c r="K37" i="20"/>
  <c r="K4" i="20"/>
  <c r="K21" i="20"/>
  <c r="K17" i="20"/>
  <c r="K34" i="20"/>
  <c r="K16" i="20"/>
  <c r="K53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4" i="8" l="1"/>
  <c r="D3" i="8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H2" i="14" l="1"/>
  <c r="H3" i="14"/>
  <c r="N126" i="14"/>
  <c r="G2" i="14"/>
  <c r="A2" i="8"/>
  <c r="A3" i="8" s="1"/>
  <c r="A4" i="8" l="1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59" i="14"/>
  <c r="E62" i="14"/>
  <c r="E64" i="14"/>
  <c r="E65" i="14"/>
  <c r="E67" i="14"/>
  <c r="E68" i="14"/>
  <c r="E69" i="14"/>
  <c r="E70" i="14"/>
  <c r="E72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A5" i="8" l="1"/>
  <c r="A6" i="8" s="1"/>
  <c r="D126" i="14"/>
  <c r="J59" i="20"/>
  <c r="J58" i="20"/>
  <c r="H4" i="13"/>
  <c r="H5" i="13" s="1"/>
  <c r="F1" i="8"/>
  <c r="C2" i="8"/>
  <c r="AY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A7" i="8" l="1"/>
  <c r="F58" i="20"/>
  <c r="F59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8" i="8" l="1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E2" i="14" s="1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A9" i="8" l="1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C36" i="15" l="1"/>
  <c r="A10" i="8"/>
  <c r="D14" i="20"/>
  <c r="E14" i="20" s="1"/>
  <c r="N66" i="14"/>
  <c r="D21" i="20"/>
  <c r="E21" i="20" s="1"/>
  <c r="N45" i="14"/>
  <c r="D61" i="20"/>
  <c r="E61" i="20" s="1"/>
  <c r="N75" i="14"/>
  <c r="D60" i="20"/>
  <c r="E60" i="20" s="1"/>
  <c r="N67" i="14"/>
  <c r="D51" i="20"/>
  <c r="E51" i="20" s="1"/>
  <c r="N41" i="14"/>
  <c r="D3" i="20"/>
  <c r="E3" i="20" s="1"/>
  <c r="N71" i="14"/>
  <c r="D36" i="20"/>
  <c r="E36" i="20" s="1"/>
  <c r="N52" i="14"/>
  <c r="D4" i="20"/>
  <c r="E4" i="20" s="1"/>
  <c r="N55" i="14"/>
  <c r="D16" i="20"/>
  <c r="E16" i="20" s="1"/>
  <c r="N47" i="14"/>
  <c r="D48" i="20"/>
  <c r="E48" i="20" s="1"/>
  <c r="N49" i="14"/>
  <c r="D62" i="20"/>
  <c r="E62" i="20" s="1"/>
  <c r="N72" i="14"/>
  <c r="D37" i="20"/>
  <c r="E37" i="20" s="1"/>
  <c r="N48" i="14"/>
  <c r="D39" i="20"/>
  <c r="E39" i="20" s="1"/>
  <c r="N39" i="14"/>
  <c r="D17" i="20"/>
  <c r="E17" i="20" s="1"/>
  <c r="N46" i="14"/>
  <c r="D53" i="20"/>
  <c r="E53" i="20" s="1"/>
  <c r="N26" i="14"/>
  <c r="D42" i="20"/>
  <c r="E42" i="20" s="1"/>
  <c r="N34" i="14"/>
  <c r="D26" i="20"/>
  <c r="E26" i="20" s="1"/>
  <c r="N37" i="14"/>
  <c r="D33" i="20"/>
  <c r="E33" i="20" s="1"/>
  <c r="N58" i="14"/>
  <c r="D6" i="20"/>
  <c r="E6" i="20" s="1"/>
  <c r="N61" i="14"/>
  <c r="D22" i="20"/>
  <c r="E22" i="20" s="1"/>
  <c r="N38" i="14"/>
  <c r="D12" i="20"/>
  <c r="E12" i="20" s="1"/>
  <c r="N51" i="14"/>
  <c r="D54" i="20"/>
  <c r="E54" i="20" s="1"/>
  <c r="N42" i="14"/>
  <c r="D46" i="20"/>
  <c r="E46" i="20" s="1"/>
  <c r="N44" i="14"/>
  <c r="D30" i="20"/>
  <c r="E30" i="20" s="1"/>
  <c r="N40" i="14"/>
  <c r="G3" i="13"/>
  <c r="G23" i="13" s="1"/>
  <c r="D34" i="20"/>
  <c r="E34" i="20" s="1"/>
  <c r="D35" i="20"/>
  <c r="E35" i="20" s="1"/>
  <c r="L1" i="8"/>
  <c r="L4" i="13"/>
  <c r="L5" i="13" s="1"/>
  <c r="A11" i="8" l="1"/>
  <c r="M1" i="8"/>
  <c r="M4" i="13"/>
  <c r="M5" i="13" s="1"/>
  <c r="A12" i="8" l="1"/>
  <c r="N1" i="8"/>
  <c r="N4" i="13"/>
  <c r="N5" i="13" s="1"/>
  <c r="A13" i="8" l="1"/>
  <c r="O1" i="8"/>
  <c r="O4" i="13"/>
  <c r="O5" i="13" s="1"/>
  <c r="A14" i="8" l="1"/>
  <c r="P1" i="8"/>
  <c r="P4" i="13"/>
  <c r="P5" i="13" s="1"/>
  <c r="A15" i="8" l="1"/>
  <c r="Q1" i="8"/>
  <c r="Q4" i="13"/>
  <c r="Q5" i="13" s="1"/>
  <c r="F11" i="8" l="1"/>
  <c r="A16" i="8"/>
  <c r="F15" i="8"/>
  <c r="R1" i="8"/>
  <c r="R4" i="13"/>
  <c r="R5" i="13" s="1"/>
  <c r="A17" i="8" l="1"/>
  <c r="F16" i="8"/>
  <c r="S1" i="8"/>
  <c r="S4" i="13"/>
  <c r="S5" i="13" s="1"/>
  <c r="A18" i="8" l="1"/>
  <c r="F17" i="8"/>
  <c r="T1" i="8"/>
  <c r="T4" i="13"/>
  <c r="T5" i="13" s="1"/>
  <c r="F14" i="8" l="1"/>
  <c r="E17" i="8"/>
  <c r="G17" i="8" s="1"/>
  <c r="A19" i="8"/>
  <c r="F18" i="8"/>
  <c r="U1" i="8"/>
  <c r="U4" i="13"/>
  <c r="U5" i="13" s="1"/>
  <c r="A20" i="8" l="1"/>
  <c r="E19" i="8"/>
  <c r="F19" i="8"/>
  <c r="V1" i="8"/>
  <c r="V4" i="13"/>
  <c r="V5" i="13" s="1"/>
  <c r="G19" i="8" l="1"/>
  <c r="E20" i="8"/>
  <c r="A21" i="8"/>
  <c r="F20" i="8"/>
  <c r="E16" i="8"/>
  <c r="G16" i="8" s="1"/>
  <c r="E18" i="8"/>
  <c r="G18" i="8" s="1"/>
  <c r="W1" i="8"/>
  <c r="W4" i="13"/>
  <c r="W5" i="13" s="1"/>
  <c r="G20" i="8" l="1"/>
  <c r="E21" i="8"/>
  <c r="A22" i="8"/>
  <c r="F21" i="8"/>
  <c r="X1" i="8"/>
  <c r="X4" i="13"/>
  <c r="X5" i="13" s="1"/>
  <c r="G21" i="8" l="1"/>
  <c r="E22" i="8"/>
  <c r="A23" i="8"/>
  <c r="F22" i="8"/>
  <c r="Y1" i="8"/>
  <c r="Y4" i="13"/>
  <c r="Y5" i="13" s="1"/>
  <c r="G22" i="8" l="1"/>
  <c r="E23" i="8"/>
  <c r="A24" i="8"/>
  <c r="F23" i="8"/>
  <c r="Z1" i="8"/>
  <c r="Z4" i="13"/>
  <c r="Z5" i="13" s="1"/>
  <c r="G23" i="8" l="1"/>
  <c r="E24" i="8"/>
  <c r="A25" i="8"/>
  <c r="F24" i="8"/>
  <c r="AA1" i="8"/>
  <c r="AA4" i="13"/>
  <c r="AA5" i="13" s="1"/>
  <c r="G24" i="8" l="1"/>
  <c r="A26" i="8"/>
  <c r="AB1" i="8"/>
  <c r="AB4" i="13"/>
  <c r="AB5" i="13" s="1"/>
  <c r="A27" i="8" l="1"/>
  <c r="E26" i="8"/>
  <c r="F26" i="8"/>
  <c r="AC1" i="8"/>
  <c r="AC4" i="13"/>
  <c r="AC5" i="13" s="1"/>
  <c r="G26" i="8" l="1"/>
  <c r="A28" i="8"/>
  <c r="E27" i="8"/>
  <c r="F27" i="8"/>
  <c r="AD1" i="8"/>
  <c r="AD4" i="13"/>
  <c r="AD5" i="13" s="1"/>
  <c r="G27" i="8" l="1"/>
  <c r="E28" i="8"/>
  <c r="A29" i="8"/>
  <c r="F28" i="8"/>
  <c r="AE1" i="8"/>
  <c r="AE4" i="13"/>
  <c r="AE5" i="13" s="1"/>
  <c r="G28" i="8" l="1"/>
  <c r="E29" i="8"/>
  <c r="A30" i="8"/>
  <c r="F29" i="8"/>
  <c r="AF1" i="8"/>
  <c r="AF4" i="13"/>
  <c r="AF5" i="13" s="1"/>
  <c r="G29" i="8" l="1"/>
  <c r="E30" i="8"/>
  <c r="A31" i="8"/>
  <c r="F30" i="8"/>
  <c r="AG1" i="8"/>
  <c r="AG4" i="13"/>
  <c r="AG5" i="13" s="1"/>
  <c r="G30" i="8" l="1"/>
  <c r="E31" i="8"/>
  <c r="A32" i="8"/>
  <c r="F31" i="8"/>
  <c r="AH1" i="8"/>
  <c r="AH4" i="13"/>
  <c r="AH5" i="13" s="1"/>
  <c r="E32" i="8" l="1"/>
  <c r="A33" i="8"/>
  <c r="F32" i="8"/>
  <c r="G31" i="8"/>
  <c r="AI1" i="8"/>
  <c r="AI4" i="13"/>
  <c r="AI5" i="13" s="1"/>
  <c r="A34" i="8" l="1"/>
  <c r="E33" i="8"/>
  <c r="F33" i="8"/>
  <c r="G32" i="8"/>
  <c r="F52" i="20"/>
  <c r="AJ1" i="8"/>
  <c r="AJ4" i="13"/>
  <c r="AJ5" i="13" s="1"/>
  <c r="G33" i="8" l="1"/>
  <c r="A35" i="8"/>
  <c r="E34" i="8"/>
  <c r="F34" i="8"/>
  <c r="F15" i="20"/>
  <c r="AK1" i="8"/>
  <c r="AK4" i="13"/>
  <c r="AK5" i="13" s="1"/>
  <c r="G34" i="8" l="1"/>
  <c r="A36" i="8"/>
  <c r="E35" i="8"/>
  <c r="F35" i="8"/>
  <c r="F40" i="20"/>
  <c r="F10" i="20"/>
  <c r="AL1" i="8"/>
  <c r="AL4" i="13"/>
  <c r="AL5" i="13" s="1"/>
  <c r="G35" i="8" l="1"/>
  <c r="E36" i="8"/>
  <c r="A37" i="8"/>
  <c r="F36" i="8"/>
  <c r="AM1" i="8"/>
  <c r="AM4" i="13"/>
  <c r="AM5" i="13" s="1"/>
  <c r="G36" i="8" l="1"/>
  <c r="E37" i="8"/>
  <c r="A38" i="8"/>
  <c r="F37" i="8"/>
  <c r="AN1" i="8"/>
  <c r="AN4" i="13"/>
  <c r="AN5" i="13" s="1"/>
  <c r="E38" i="8" l="1"/>
  <c r="A39" i="8"/>
  <c r="F38" i="8"/>
  <c r="G37" i="8"/>
  <c r="F8" i="20"/>
  <c r="AO1" i="8"/>
  <c r="AO4" i="13"/>
  <c r="AO5" i="13" s="1"/>
  <c r="G38" i="8" l="1"/>
  <c r="E39" i="8"/>
  <c r="A40" i="8"/>
  <c r="F39" i="8"/>
  <c r="AP1" i="8"/>
  <c r="AP4" i="13"/>
  <c r="AP5" i="13" s="1"/>
  <c r="E40" i="8" l="1"/>
  <c r="A41" i="8"/>
  <c r="F40" i="8"/>
  <c r="G39" i="8"/>
  <c r="F34" i="20"/>
  <c r="H34" i="20" s="1"/>
  <c r="F9" i="20"/>
  <c r="AQ1" i="8"/>
  <c r="AQ4" i="13"/>
  <c r="AQ5" i="13" s="1"/>
  <c r="A42" i="8" l="1"/>
  <c r="E41" i="8"/>
  <c r="F41" i="8"/>
  <c r="G40" i="8"/>
  <c r="F35" i="20"/>
  <c r="H35" i="20" s="1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1" i="8" l="1"/>
  <c r="F8" i="8"/>
  <c r="E7" i="8"/>
  <c r="F7" i="8"/>
  <c r="E6" i="8"/>
  <c r="F6" i="8"/>
  <c r="F9" i="8"/>
  <c r="E8" i="8"/>
  <c r="F10" i="8"/>
  <c r="E9" i="8"/>
  <c r="F13" i="8"/>
  <c r="F12" i="8"/>
  <c r="E10" i="8"/>
  <c r="E12" i="8"/>
  <c r="E11" i="8"/>
  <c r="G11" i="8" s="1"/>
  <c r="E15" i="8"/>
  <c r="G15" i="8" s="1"/>
  <c r="F20" i="20" s="1"/>
  <c r="E14" i="8"/>
  <c r="G14" i="8" s="1"/>
  <c r="F24" i="20" s="1"/>
  <c r="E13" i="8"/>
  <c r="G13" i="8" s="1"/>
  <c r="F25" i="8"/>
  <c r="E25" i="8"/>
  <c r="A43" i="8"/>
  <c r="E42" i="8"/>
  <c r="F42" i="8"/>
  <c r="E3" i="8"/>
  <c r="E4" i="8"/>
  <c r="E5" i="8"/>
  <c r="F3" i="8"/>
  <c r="F4" i="8"/>
  <c r="F5" i="8"/>
  <c r="F45" i="20"/>
  <c r="F49" i="20"/>
  <c r="F28" i="20"/>
  <c r="F19" i="20"/>
  <c r="F2" i="8"/>
  <c r="G2" i="8" s="1"/>
  <c r="AS4" i="13"/>
  <c r="AS5" i="13" s="1"/>
  <c r="G25" i="8" l="1"/>
  <c r="F56" i="20" s="1"/>
  <c r="G12" i="8"/>
  <c r="G6" i="8"/>
  <c r="G3" i="8"/>
  <c r="G8" i="8"/>
  <c r="C12" i="13" s="1"/>
  <c r="G42" i="8"/>
  <c r="A44" i="8"/>
  <c r="E43" i="8"/>
  <c r="F43" i="8"/>
  <c r="G10" i="8"/>
  <c r="G7" i="8"/>
  <c r="F18" i="20" s="1"/>
  <c r="G9" i="8"/>
  <c r="F29" i="20" s="1"/>
  <c r="G5" i="8"/>
  <c r="F57" i="20" s="1"/>
  <c r="G4" i="8"/>
  <c r="F25" i="20"/>
  <c r="F13" i="20"/>
  <c r="F43" i="20"/>
  <c r="F53" i="20"/>
  <c r="H53" i="20" s="1"/>
  <c r="F50" i="20"/>
  <c r="F44" i="20"/>
  <c r="F41" i="20"/>
  <c r="F27" i="20"/>
  <c r="F38" i="20"/>
  <c r="F11" i="20"/>
  <c r="F23" i="20"/>
  <c r="F47" i="20"/>
  <c r="AT4" i="13"/>
  <c r="AT5" i="13" s="1"/>
  <c r="G43" i="8" l="1"/>
  <c r="E44" i="8"/>
  <c r="A45" i="8"/>
  <c r="F44" i="8"/>
  <c r="F32" i="20"/>
  <c r="F55" i="20"/>
  <c r="F7" i="20"/>
  <c r="AU4" i="13"/>
  <c r="AU5" i="13" s="1"/>
  <c r="E45" i="8" l="1"/>
  <c r="A46" i="8"/>
  <c r="F45" i="8"/>
  <c r="G44" i="8"/>
  <c r="F26" i="20"/>
  <c r="H26" i="20" s="1"/>
  <c r="AV4" i="13"/>
  <c r="AV5" i="13" s="1"/>
  <c r="E46" i="8" l="1"/>
  <c r="A47" i="8"/>
  <c r="F46" i="8"/>
  <c r="G45" i="8"/>
  <c r="AW4" i="13"/>
  <c r="AW5" i="13" s="1"/>
  <c r="G46" i="8" l="1"/>
  <c r="E47" i="8"/>
  <c r="A48" i="8"/>
  <c r="F47" i="8"/>
  <c r="AX4" i="13"/>
  <c r="AX5" i="13" s="1"/>
  <c r="G47" i="8" l="1"/>
  <c r="E48" i="8"/>
  <c r="A49" i="8"/>
  <c r="F48" i="8"/>
  <c r="F30" i="20"/>
  <c r="H30" i="20" s="1"/>
  <c r="AY4" i="13"/>
  <c r="AY5" i="13" s="1"/>
  <c r="A50" i="8" l="1"/>
  <c r="E49" i="8"/>
  <c r="F49" i="8"/>
  <c r="G48" i="8"/>
  <c r="F31" i="20"/>
  <c r="AZ4" i="13"/>
  <c r="AZ5" i="13" s="1"/>
  <c r="G49" i="8" l="1"/>
  <c r="A51" i="8"/>
  <c r="E50" i="8"/>
  <c r="F50" i="8"/>
  <c r="BA4" i="13"/>
  <c r="BA5" i="13" s="1"/>
  <c r="G50" i="8" l="1"/>
  <c r="A52" i="8"/>
  <c r="E51" i="8"/>
  <c r="F51" i="8"/>
  <c r="F17" i="20"/>
  <c r="H17" i="20" s="1"/>
  <c r="F21" i="20"/>
  <c r="H21" i="20" s="1"/>
  <c r="BB4" i="13"/>
  <c r="BB5" i="13" s="1"/>
  <c r="G51" i="8" l="1"/>
  <c r="E52" i="8"/>
  <c r="A53" i="8"/>
  <c r="F52" i="8"/>
  <c r="BC4" i="13"/>
  <c r="BC5" i="13" s="1"/>
  <c r="G52" i="8" l="1"/>
  <c r="E53" i="8"/>
  <c r="A54" i="8"/>
  <c r="F53" i="8"/>
  <c r="F16" i="20"/>
  <c r="H16" i="20" s="1"/>
  <c r="BD4" i="13"/>
  <c r="BD5" i="13" s="1"/>
  <c r="E54" i="8" l="1"/>
  <c r="A55" i="8"/>
  <c r="F54" i="8"/>
  <c r="G53" i="8"/>
  <c r="F39" i="20"/>
  <c r="H39" i="20" s="1"/>
  <c r="F37" i="20"/>
  <c r="H37" i="20" s="1"/>
  <c r="F18" i="13"/>
  <c r="C29" i="13"/>
  <c r="BE4" i="13"/>
  <c r="BE5" i="13" s="1"/>
  <c r="E55" i="8" l="1"/>
  <c r="A56" i="8"/>
  <c r="F55" i="8"/>
  <c r="G54" i="8"/>
  <c r="F42" i="20"/>
  <c r="H42" i="20" s="1"/>
  <c r="C16" i="13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H23" i="13" s="1"/>
  <c r="B29" i="15"/>
  <c r="B34" i="13"/>
  <c r="C20" i="15"/>
  <c r="BF4" i="13"/>
  <c r="BF5" i="13" s="1"/>
  <c r="C16" i="15" l="1"/>
  <c r="C6" i="13"/>
  <c r="C34" i="15"/>
  <c r="D27" i="13"/>
  <c r="E56" i="8"/>
  <c r="A57" i="8"/>
  <c r="F56" i="8"/>
  <c r="G55" i="8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G6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BG5" i="13" l="1"/>
  <c r="BG25" i="13" s="1"/>
  <c r="H11" i="13"/>
  <c r="H20" i="13" s="1"/>
  <c r="G20" i="13"/>
  <c r="A58" i="8"/>
  <c r="E57" i="8"/>
  <c r="F57" i="8"/>
  <c r="G56" i="8"/>
  <c r="F46" i="20"/>
  <c r="H46" i="20" s="1"/>
  <c r="H6" i="13"/>
  <c r="I11" i="13"/>
  <c r="H9" i="13"/>
  <c r="H13" i="13"/>
  <c r="G24" i="13"/>
  <c r="I26" i="13"/>
  <c r="I27" i="13" s="1"/>
  <c r="J3" i="13"/>
  <c r="J23" i="13" s="1"/>
  <c r="H15" i="13"/>
  <c r="H22" i="13" s="1"/>
  <c r="BH4" i="13"/>
  <c r="BH5" i="13" l="1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I20" i="13"/>
  <c r="G57" i="8"/>
  <c r="A59" i="8"/>
  <c r="E58" i="8"/>
  <c r="F58" i="8"/>
  <c r="F12" i="20"/>
  <c r="H12" i="20" s="1"/>
  <c r="I6" i="13"/>
  <c r="I18" i="13" s="1"/>
  <c r="I15" i="13"/>
  <c r="I22" i="13" s="1"/>
  <c r="K11" i="13"/>
  <c r="K20" i="13" s="1"/>
  <c r="J9" i="13"/>
  <c r="J19" i="13" s="1"/>
  <c r="J13" i="13"/>
  <c r="J21" i="13" s="1"/>
  <c r="K3" i="13"/>
  <c r="K23" i="13" s="1"/>
  <c r="J26" i="13"/>
  <c r="J27" i="13" s="1"/>
  <c r="BI4" i="13"/>
  <c r="BI5" i="13" l="1"/>
  <c r="BI25" i="13" s="1"/>
  <c r="G58" i="8"/>
  <c r="A60" i="8"/>
  <c r="E59" i="8"/>
  <c r="F59" i="8"/>
  <c r="F51" i="20"/>
  <c r="H51" i="20" s="1"/>
  <c r="J6" i="13"/>
  <c r="J18" i="13" s="1"/>
  <c r="I24" i="13"/>
  <c r="K26" i="13"/>
  <c r="K27" i="13" s="1"/>
  <c r="L3" i="13"/>
  <c r="L23" i="13" s="1"/>
  <c r="L11" i="13"/>
  <c r="L20" i="13" s="1"/>
  <c r="K9" i="13"/>
  <c r="K19" i="13" s="1"/>
  <c r="K13" i="13"/>
  <c r="K21" i="13" s="1"/>
  <c r="J15" i="13"/>
  <c r="J22" i="13" s="1"/>
  <c r="BJ4" i="13"/>
  <c r="BJ5" i="13" l="1"/>
  <c r="BJ25" i="13" s="1"/>
  <c r="G59" i="8"/>
  <c r="E60" i="8"/>
  <c r="A61" i="8"/>
  <c r="F60" i="8"/>
  <c r="F36" i="20"/>
  <c r="H36" i="20" s="1"/>
  <c r="K6" i="13"/>
  <c r="K18" i="13" s="1"/>
  <c r="J24" i="13"/>
  <c r="M11" i="13"/>
  <c r="M20" i="13" s="1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BK5" i="13" l="1"/>
  <c r="BK25" i="13" s="1"/>
  <c r="E61" i="8"/>
  <c r="A62" i="8"/>
  <c r="F61" i="8"/>
  <c r="G60" i="8"/>
  <c r="L6" i="13"/>
  <c r="L18" i="13" s="1"/>
  <c r="F22" i="20"/>
  <c r="H22" i="20" s="1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E62" i="8" l="1"/>
  <c r="A63" i="8"/>
  <c r="F62" i="8"/>
  <c r="G61" i="8"/>
  <c r="M6" i="13"/>
  <c r="M18" i="13" s="1"/>
  <c r="F54" i="20"/>
  <c r="H54" i="20" s="1"/>
  <c r="O3" i="13"/>
  <c r="O23" i="13" s="1"/>
  <c r="N23" i="13"/>
  <c r="BL25" i="13"/>
  <c r="C5" i="13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N6" i="13"/>
  <c r="N18" i="13" s="1"/>
  <c r="BM4" i="13"/>
  <c r="BM5" i="13" l="1"/>
  <c r="BM25" i="13" s="1"/>
  <c r="E63" i="8"/>
  <c r="A64" i="8"/>
  <c r="F63" i="8"/>
  <c r="G62" i="8"/>
  <c r="M24" i="13"/>
  <c r="N15" i="13"/>
  <c r="N22" i="13" s="1"/>
  <c r="O13" i="13"/>
  <c r="O21" i="13" s="1"/>
  <c r="O6" i="13"/>
  <c r="O18" i="13" s="1"/>
  <c r="P11" i="13"/>
  <c r="P20" i="13" s="1"/>
  <c r="P3" i="13"/>
  <c r="P23" i="13" s="1"/>
  <c r="O26" i="13"/>
  <c r="O27" i="13" s="1"/>
  <c r="O9" i="13"/>
  <c r="O19" i="13" s="1"/>
  <c r="BN4" i="13"/>
  <c r="BN5" i="13" l="1"/>
  <c r="BN25" i="13" s="1"/>
  <c r="E64" i="8"/>
  <c r="A65" i="8"/>
  <c r="F64" i="8"/>
  <c r="G63" i="8"/>
  <c r="F4" i="20"/>
  <c r="H4" i="20" s="1"/>
  <c r="N24" i="13"/>
  <c r="Q11" i="13"/>
  <c r="Q20" i="13" s="1"/>
  <c r="P6" i="13"/>
  <c r="P18" i="13" s="1"/>
  <c r="P13" i="13"/>
  <c r="P21" i="13" s="1"/>
  <c r="P9" i="13"/>
  <c r="P19" i="13" s="1"/>
  <c r="O15" i="13"/>
  <c r="O22" i="13" s="1"/>
  <c r="P26" i="13"/>
  <c r="P27" i="13" s="1"/>
  <c r="Q3" i="13"/>
  <c r="Q23" i="13" s="1"/>
  <c r="BO4" i="13"/>
  <c r="BO5" i="13" s="1"/>
  <c r="A66" i="8" l="1"/>
  <c r="E65" i="8"/>
  <c r="F65" i="8"/>
  <c r="G64" i="8"/>
  <c r="O24" i="13"/>
  <c r="Q9" i="13"/>
  <c r="Q19" i="13" s="1"/>
  <c r="Q13" i="13"/>
  <c r="Q21" i="13" s="1"/>
  <c r="Q6" i="13"/>
  <c r="Q18" i="13" s="1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G65" i="8" l="1"/>
  <c r="A67" i="8"/>
  <c r="E66" i="8"/>
  <c r="F66" i="8"/>
  <c r="P24" i="13"/>
  <c r="Q15" i="13"/>
  <c r="Q22" i="13" s="1"/>
  <c r="R6" i="13"/>
  <c r="R18" i="13" s="1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P25" i="13"/>
  <c r="G66" i="8" l="1"/>
  <c r="A68" i="8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67" i="8"/>
  <c r="F67" i="8"/>
  <c r="F48" i="20"/>
  <c r="H48" i="20" s="1"/>
  <c r="Q24" i="13"/>
  <c r="S13" i="13"/>
  <c r="S21" i="13" s="1"/>
  <c r="S26" i="13"/>
  <c r="S27" i="13" s="1"/>
  <c r="T3" i="13"/>
  <c r="T23" i="13" s="1"/>
  <c r="T11" i="13"/>
  <c r="T20" i="13" s="1"/>
  <c r="S6" i="13"/>
  <c r="S18" i="13" s="1"/>
  <c r="R15" i="13"/>
  <c r="R22" i="13" s="1"/>
  <c r="S9" i="13"/>
  <c r="S19" i="13" s="1"/>
  <c r="BR4" i="13"/>
  <c r="BR5" i="13" s="1"/>
  <c r="BQ25" i="13"/>
  <c r="G67" i="8" l="1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6" i="13"/>
  <c r="T18" i="13" s="1"/>
  <c r="T13" i="13"/>
  <c r="T21" i="13" s="1"/>
  <c r="BR25" i="13"/>
  <c r="BS4" i="13"/>
  <c r="BS5" i="13" s="1"/>
  <c r="F33" i="20" l="1"/>
  <c r="H33" i="20" s="1"/>
  <c r="S24" i="13"/>
  <c r="U26" i="13"/>
  <c r="U27" i="13" s="1"/>
  <c r="V3" i="13"/>
  <c r="V23" i="13" s="1"/>
  <c r="U9" i="13"/>
  <c r="U19" i="13" s="1"/>
  <c r="U6" i="13"/>
  <c r="U18" i="13" s="1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T24" i="13" l="1"/>
  <c r="V6" i="13"/>
  <c r="V18" i="13" s="1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U24" i="13" l="1"/>
  <c r="W13" i="13"/>
  <c r="W21" i="13" s="1"/>
  <c r="X11" i="13"/>
  <c r="X20" i="13" s="1"/>
  <c r="W9" i="13"/>
  <c r="W19" i="13" s="1"/>
  <c r="V15" i="13"/>
  <c r="V22" i="13" s="1"/>
  <c r="W6" i="13"/>
  <c r="W18" i="13" s="1"/>
  <c r="W26" i="13"/>
  <c r="W27" i="13" s="1"/>
  <c r="X3" i="13"/>
  <c r="X23" i="13" s="1"/>
  <c r="BU25" i="13"/>
  <c r="BV4" i="13"/>
  <c r="BV5" i="13" s="1"/>
  <c r="V24" i="13" l="1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6" i="13"/>
  <c r="X18" i="13" s="1"/>
  <c r="BV25" i="13"/>
  <c r="BW4" i="13"/>
  <c r="BW5" i="13" s="1"/>
  <c r="W24" i="13" l="1"/>
  <c r="Y26" i="13"/>
  <c r="Y27" i="13" s="1"/>
  <c r="Z3" i="13"/>
  <c r="Z23" i="13" s="1"/>
  <c r="Y6" i="13"/>
  <c r="Y18" i="13" s="1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X24" i="13" l="1"/>
  <c r="Z9" i="13"/>
  <c r="Z19" i="13" s="1"/>
  <c r="AA11" i="13"/>
  <c r="AA20" i="13" s="1"/>
  <c r="Z6" i="13"/>
  <c r="Z18" i="13" s="1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Y24" i="13" l="1"/>
  <c r="Z15" i="13"/>
  <c r="Z22" i="13" s="1"/>
  <c r="AA6" i="13"/>
  <c r="AA18" i="13" s="1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Z24" i="13" l="1"/>
  <c r="AC11" i="13"/>
  <c r="AC20" i="13" s="1"/>
  <c r="AB13" i="13"/>
  <c r="AB21" i="13" s="1"/>
  <c r="AB26" i="13"/>
  <c r="AB27" i="13" s="1"/>
  <c r="AC3" i="13"/>
  <c r="AC23" i="13" s="1"/>
  <c r="AB6" i="13"/>
  <c r="AB18" i="13" s="1"/>
  <c r="AB9" i="13"/>
  <c r="AB19" i="13" s="1"/>
  <c r="AA15" i="13"/>
  <c r="AA22" i="13" s="1"/>
  <c r="BZ25" i="13"/>
  <c r="CA4" i="13"/>
  <c r="CA5" i="13" s="1"/>
  <c r="F5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6" i="13"/>
  <c r="AC18" i="13" s="1"/>
  <c r="CA25" i="13"/>
  <c r="CB4" i="13"/>
  <c r="CB5" i="13" s="1"/>
  <c r="AB24" i="13" l="1"/>
  <c r="AD26" i="13"/>
  <c r="AD27" i="13" s="1"/>
  <c r="AE3" i="13"/>
  <c r="AE23" i="13" s="1"/>
  <c r="AD6" i="13"/>
  <c r="AD18" i="13" s="1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AC24" i="13" l="1"/>
  <c r="AE13" i="13"/>
  <c r="AE21" i="13" s="1"/>
  <c r="AE9" i="13"/>
  <c r="AE19" i="13" s="1"/>
  <c r="AE6" i="13"/>
  <c r="AE18" i="13" s="1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AD24" i="13" l="1"/>
  <c r="AE15" i="13"/>
  <c r="AE22" i="13" s="1"/>
  <c r="AG11" i="13"/>
  <c r="AG20" i="13" s="1"/>
  <c r="AF6" i="13"/>
  <c r="AF18" i="13" s="1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AE24" i="13" l="1"/>
  <c r="AG13" i="13"/>
  <c r="AG21" i="13" s="1"/>
  <c r="AG6" i="13"/>
  <c r="AG18" i="13" s="1"/>
  <c r="AH11" i="13"/>
  <c r="AH20" i="13" s="1"/>
  <c r="AG9" i="13"/>
  <c r="AG19" i="13" s="1"/>
  <c r="AG26" i="13"/>
  <c r="AG27" i="13" s="1"/>
  <c r="AH3" i="13"/>
  <c r="AH23" i="13" s="1"/>
  <c r="AF15" i="13"/>
  <c r="AF22" i="13" s="1"/>
  <c r="CE25" i="13"/>
  <c r="CF4" i="13"/>
  <c r="CF5" i="13" s="1"/>
  <c r="AF24" i="13" l="1"/>
  <c r="AH9" i="13"/>
  <c r="AH19" i="13" s="1"/>
  <c r="AI11" i="13"/>
  <c r="AI20" i="13" s="1"/>
  <c r="AG15" i="13"/>
  <c r="AG22" i="13" s="1"/>
  <c r="AH26" i="13"/>
  <c r="AH27" i="13" s="1"/>
  <c r="AI3" i="13"/>
  <c r="AI23" i="13" s="1"/>
  <c r="AG24" i="13"/>
  <c r="AH6" i="13"/>
  <c r="AH18" i="13" s="1"/>
  <c r="AH13" i="13"/>
  <c r="AH21" i="13" s="1"/>
  <c r="CF25" i="13"/>
  <c r="CG4" i="13"/>
  <c r="CG5" i="13" s="1"/>
  <c r="F6" i="20" l="1"/>
  <c r="H6" i="20" s="1"/>
  <c r="AH15" i="13"/>
  <c r="AH22" i="13" s="1"/>
  <c r="AI13" i="13"/>
  <c r="AI21" i="13" s="1"/>
  <c r="AJ11" i="13"/>
  <c r="AJ20" i="13" s="1"/>
  <c r="AH24" i="13"/>
  <c r="AI6" i="13"/>
  <c r="AI18" i="13" s="1"/>
  <c r="AI9" i="13"/>
  <c r="AI19" i="13" s="1"/>
  <c r="AJ3" i="13"/>
  <c r="AJ23" i="13" s="1"/>
  <c r="AI26" i="13"/>
  <c r="AI27" i="13" s="1"/>
  <c r="CG25" i="13"/>
  <c r="CH4" i="13"/>
  <c r="CH5" i="13" s="1"/>
  <c r="AJ6" i="13" l="1"/>
  <c r="AJ18" i="13" s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6" i="13"/>
  <c r="AK18" i="13" s="1"/>
  <c r="AJ24" i="13"/>
  <c r="CI25" i="13"/>
  <c r="CJ4" i="13"/>
  <c r="CJ5" i="13" s="1"/>
  <c r="AM11" i="13" l="1"/>
  <c r="AM20" i="13" s="1"/>
  <c r="AK24" i="13"/>
  <c r="AL6" i="13"/>
  <c r="AL18" i="13" s="1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AM13" i="13" l="1"/>
  <c r="AM21" i="13" s="1"/>
  <c r="AM6" i="13"/>
  <c r="AM18" i="13" s="1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AN9" i="13" l="1"/>
  <c r="AN19" i="13" s="1"/>
  <c r="AM15" i="13"/>
  <c r="AM22" i="13" s="1"/>
  <c r="AN26" i="13"/>
  <c r="AN27" i="13" s="1"/>
  <c r="AO3" i="13"/>
  <c r="AO23" i="13" s="1"/>
  <c r="AN6" i="13"/>
  <c r="AN18" i="13" s="1"/>
  <c r="AM24" i="13"/>
  <c r="AO11" i="13"/>
  <c r="AO20" i="13" s="1"/>
  <c r="AN13" i="13"/>
  <c r="AN21" i="13" s="1"/>
  <c r="CL25" i="13"/>
  <c r="CM4" i="13"/>
  <c r="CM5" i="13" s="1"/>
  <c r="AO6" i="13" l="1"/>
  <c r="AO18" i="13" s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6" i="13"/>
  <c r="AP18" i="13" s="1"/>
  <c r="CO4" i="13"/>
  <c r="CO5" i="13" s="1"/>
  <c r="CN25" i="13"/>
  <c r="AR3" i="13" l="1"/>
  <c r="AR23" i="13" s="1"/>
  <c r="AQ26" i="13"/>
  <c r="AQ27" i="13" s="1"/>
  <c r="AR11" i="13"/>
  <c r="AR20" i="13" s="1"/>
  <c r="AQ6" i="13"/>
  <c r="AQ18" i="13" s="1"/>
  <c r="AP24" i="13"/>
  <c r="AQ9" i="13"/>
  <c r="AQ19" i="13" s="1"/>
  <c r="AP15" i="13"/>
  <c r="AP22" i="13" s="1"/>
  <c r="AQ13" i="13"/>
  <c r="AQ21" i="13" s="1"/>
  <c r="CP4" i="13"/>
  <c r="CP5" i="13" s="1"/>
  <c r="CO25" i="13"/>
  <c r="AQ24" i="13" l="1"/>
  <c r="AR6" i="13"/>
  <c r="AR18" i="13" s="1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AR15" i="13" l="1"/>
  <c r="AR22" i="13" s="1"/>
  <c r="AT11" i="13"/>
  <c r="AT20" i="13" s="1"/>
  <c r="AS9" i="13"/>
  <c r="AS19" i="13" s="1"/>
  <c r="AS13" i="13"/>
  <c r="AS21" i="13" s="1"/>
  <c r="AS6" i="13"/>
  <c r="AS18" i="13" s="1"/>
  <c r="AR24" i="13"/>
  <c r="AS26" i="13"/>
  <c r="AS27" i="13" s="1"/>
  <c r="AT3" i="13"/>
  <c r="AT23" i="13" s="1"/>
  <c r="CQ25" i="13"/>
  <c r="CR4" i="13"/>
  <c r="CR5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AT6" i="13"/>
  <c r="AT18" i="13" s="1"/>
  <c r="CR25" i="13"/>
  <c r="CS4" i="13"/>
  <c r="CS5" i="13" s="1"/>
  <c r="AU13" i="13" l="1"/>
  <c r="AU21" i="13" s="1"/>
  <c r="AT24" i="13"/>
  <c r="AU6" i="13"/>
  <c r="AU18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AV26" i="13" l="1"/>
  <c r="AV27" i="13" s="1"/>
  <c r="AW3" i="13"/>
  <c r="AW23" i="13" s="1"/>
  <c r="AW11" i="13"/>
  <c r="AW20" i="13" s="1"/>
  <c r="AV6" i="13"/>
  <c r="AV18" i="13" s="1"/>
  <c r="AU24" i="13"/>
  <c r="AV9" i="13"/>
  <c r="AV19" i="13" s="1"/>
  <c r="AV13" i="13"/>
  <c r="AV21" i="13" s="1"/>
  <c r="AU15" i="13"/>
  <c r="AU22" i="13" s="1"/>
  <c r="CT25" i="13"/>
  <c r="CU4" i="13"/>
  <c r="CU5" i="13" l="1"/>
  <c r="CU25" i="13" s="1"/>
  <c r="AW6" i="13"/>
  <c r="AW18" i="13" s="1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V5" i="13" l="1"/>
  <c r="CV25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6" i="13"/>
  <c r="AX18" i="13" s="1"/>
  <c r="AW24" i="13"/>
  <c r="CW4" i="13"/>
  <c r="CW5" i="13" l="1"/>
  <c r="CW25" i="13" s="1"/>
  <c r="AX15" i="13"/>
  <c r="AX22" i="13" s="1"/>
  <c r="AY9" i="13"/>
  <c r="AY19" i="13" s="1"/>
  <c r="AY6" i="13"/>
  <c r="AY18" i="13" s="1"/>
  <c r="AX24" i="13"/>
  <c r="AZ11" i="13"/>
  <c r="AZ20" i="13" s="1"/>
  <c r="AZ3" i="13"/>
  <c r="AZ23" i="13" s="1"/>
  <c r="AY26" i="13"/>
  <c r="AY27" i="13" s="1"/>
  <c r="AY13" i="13"/>
  <c r="AY21" i="13" s="1"/>
  <c r="CX4" i="13"/>
  <c r="CX5" i="13" l="1"/>
  <c r="CX25" i="13" s="1"/>
  <c r="BA11" i="13"/>
  <c r="BA20" i="13" s="1"/>
  <c r="AZ13" i="13"/>
  <c r="AZ21" i="13" s="1"/>
  <c r="AZ6" i="13"/>
  <c r="AZ18" i="13" s="1"/>
  <c r="AY24" i="13"/>
  <c r="AZ9" i="13"/>
  <c r="AZ19" i="13" s="1"/>
  <c r="AY15" i="13"/>
  <c r="AY22" i="13" s="1"/>
  <c r="BA3" i="13"/>
  <c r="BA23" i="13" s="1"/>
  <c r="AZ26" i="13"/>
  <c r="AZ27" i="13" s="1"/>
  <c r="CY4" i="13"/>
  <c r="CY5" i="13" l="1"/>
  <c r="CY25" i="13" s="1"/>
  <c r="BA9" i="13"/>
  <c r="BA19" i="13" s="1"/>
  <c r="AZ24" i="13"/>
  <c r="BA6" i="13"/>
  <c r="BA18" i="13" s="1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Z5" i="13" l="1"/>
  <c r="CZ25" i="13" s="1"/>
  <c r="BA15" i="13"/>
  <c r="BA22" i="13" s="1"/>
  <c r="BB13" i="13"/>
  <c r="BB21" i="13" s="1"/>
  <c r="BA24" i="13"/>
  <c r="BB6" i="13"/>
  <c r="BB18" i="13" s="1"/>
  <c r="BC11" i="13"/>
  <c r="BC20" i="13" s="1"/>
  <c r="BB9" i="13"/>
  <c r="BB19" i="13" s="1"/>
  <c r="BB26" i="13"/>
  <c r="BB27" i="13" s="1"/>
  <c r="BC3" i="13"/>
  <c r="BC23" i="13" s="1"/>
  <c r="DA4" i="13"/>
  <c r="DA5" i="13" l="1"/>
  <c r="DA25" i="13" s="1"/>
  <c r="BD11" i="13"/>
  <c r="BD20" i="13" s="1"/>
  <c r="BB24" i="13"/>
  <c r="BC6" i="13"/>
  <c r="BC18" i="13" s="1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B5" i="13" l="1"/>
  <c r="DB25" i="13" s="1"/>
  <c r="BD9" i="13"/>
  <c r="BD19" i="13" s="1"/>
  <c r="BC24" i="13"/>
  <c r="BD6" i="13"/>
  <c r="BD18" i="13" s="1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BE26" i="13" l="1"/>
  <c r="BE27" i="13" s="1"/>
  <c r="BF3" i="13"/>
  <c r="BF23" i="13" s="1"/>
  <c r="BD24" i="13"/>
  <c r="BE6" i="13"/>
  <c r="BE18" i="13" s="1"/>
  <c r="BD15" i="13"/>
  <c r="BD22" i="13" s="1"/>
  <c r="BE9" i="13"/>
  <c r="BE19" i="13" s="1"/>
  <c r="BE13" i="13"/>
  <c r="BE21" i="13" s="1"/>
  <c r="BF11" i="13"/>
  <c r="BF20" i="13" s="1"/>
  <c r="DD4" i="13"/>
  <c r="DD5" i="13" s="1"/>
  <c r="DC25" i="13"/>
  <c r="BE15" i="13" l="1"/>
  <c r="BE22" i="13" s="1"/>
  <c r="BE24" i="13"/>
  <c r="BF6" i="13"/>
  <c r="BF18" i="13" s="1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BG13" i="13" l="1"/>
  <c r="BG21" i="13" s="1"/>
  <c r="BH11" i="13"/>
  <c r="BH20" i="13" s="1"/>
  <c r="BG6" i="13"/>
  <c r="BG18" i="13" s="1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BG15" i="13" l="1"/>
  <c r="BG22" i="13" s="1"/>
  <c r="BH6" i="13"/>
  <c r="BH18" i="13" s="1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BJ11" i="13" l="1"/>
  <c r="BJ20" i="13" s="1"/>
  <c r="BI9" i="13"/>
  <c r="BI19" i="13" s="1"/>
  <c r="BI6" i="13"/>
  <c r="BI18" i="13" s="1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BI15" i="13" l="1"/>
  <c r="BI22" i="13" s="1"/>
  <c r="BI24" i="13"/>
  <c r="BJ6" i="13"/>
  <c r="BJ18" i="13" s="1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BK9" i="13" l="1"/>
  <c r="BK19" i="13" s="1"/>
  <c r="BK13" i="13"/>
  <c r="BK21" i="13" s="1"/>
  <c r="BL11" i="13"/>
  <c r="BL20" i="13" s="1"/>
  <c r="BK6" i="13"/>
  <c r="BK18" i="13" s="1"/>
  <c r="BJ24" i="13"/>
  <c r="BL3" i="13"/>
  <c r="BL23" i="13" s="1"/>
  <c r="BK26" i="13"/>
  <c r="BK27" i="13" s="1"/>
  <c r="BJ15" i="13"/>
  <c r="BJ22" i="13" s="1"/>
  <c r="DI25" i="13"/>
  <c r="DJ4" i="13"/>
  <c r="DJ5" i="13" s="1"/>
  <c r="BK15" i="13" l="1"/>
  <c r="BK22" i="13" s="1"/>
  <c r="BM11" i="13"/>
  <c r="BM20" i="13" s="1"/>
  <c r="BL6" i="13"/>
  <c r="BL18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D6" i="13" l="1"/>
  <c r="BM13" i="13"/>
  <c r="BM21" i="13" s="1"/>
  <c r="BM6" i="13"/>
  <c r="BM18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BL24" i="13" l="1"/>
  <c r="BN9" i="13"/>
  <c r="BN19" i="13" s="1"/>
  <c r="BO11" i="13"/>
  <c r="BO20" i="13" s="1"/>
  <c r="BO3" i="13"/>
  <c r="BO23" i="13" s="1"/>
  <c r="BN26" i="13"/>
  <c r="BN27" i="13" s="1"/>
  <c r="BN6" i="13"/>
  <c r="BN18" i="13" s="1"/>
  <c r="BM24" i="13"/>
  <c r="BM15" i="13"/>
  <c r="BM22" i="13" s="1"/>
  <c r="BN13" i="13"/>
  <c r="BN21" i="13" s="1"/>
  <c r="DL25" i="13"/>
  <c r="DM4" i="13"/>
  <c r="DM5" i="13" s="1"/>
  <c r="BO13" i="13" l="1"/>
  <c r="BO21" i="13" s="1"/>
  <c r="BP3" i="13"/>
  <c r="BP23" i="13" s="1"/>
  <c r="BO26" i="13"/>
  <c r="BO27" i="13" s="1"/>
  <c r="BP11" i="13"/>
  <c r="BP20" i="13" s="1"/>
  <c r="BN15" i="13"/>
  <c r="BN22" i="13" s="1"/>
  <c r="BN24" i="13"/>
  <c r="BO6" i="13"/>
  <c r="BO18" i="13" s="1"/>
  <c r="BO9" i="13"/>
  <c r="BO19" i="13" s="1"/>
  <c r="DM25" i="13"/>
  <c r="DN4" i="13"/>
  <c r="DN5" i="13" s="1"/>
  <c r="BQ11" i="13" l="1"/>
  <c r="BQ20" i="13" s="1"/>
  <c r="BP9" i="13"/>
  <c r="BP19" i="13" s="1"/>
  <c r="BO24" i="13"/>
  <c r="BP6" i="13"/>
  <c r="BP18" i="13" s="1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BR3" i="13" l="1"/>
  <c r="BR23" i="13" s="1"/>
  <c r="BQ26" i="13"/>
  <c r="BQ27" i="13" s="1"/>
  <c r="BQ6" i="13"/>
  <c r="BQ18" i="13" s="1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BR13" i="13" l="1"/>
  <c r="BR21" i="13" s="1"/>
  <c r="BQ15" i="13"/>
  <c r="BQ22" i="13" s="1"/>
  <c r="BQ24" i="13"/>
  <c r="BR6" i="13"/>
  <c r="BR18" i="13" s="1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BT11" i="13" l="1"/>
  <c r="BT20" i="13" s="1"/>
  <c r="BR24" i="13"/>
  <c r="BS6" i="13"/>
  <c r="BS18" i="13" s="1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BT26" i="13" l="1"/>
  <c r="BT27" i="13" s="1"/>
  <c r="BU3" i="13"/>
  <c r="BU23" i="13" s="1"/>
  <c r="BT9" i="13"/>
  <c r="BT19" i="13" s="1"/>
  <c r="BS24" i="13"/>
  <c r="BT6" i="13"/>
  <c r="BT18" i="13" s="1"/>
  <c r="BT13" i="13"/>
  <c r="BT21" i="13" s="1"/>
  <c r="BU11" i="13"/>
  <c r="BU20" i="13" s="1"/>
  <c r="BS15" i="13"/>
  <c r="BS22" i="13" s="1"/>
  <c r="DR25" i="13"/>
  <c r="DS4" i="13"/>
  <c r="DS5" i="13" s="1"/>
  <c r="BU6" i="13" l="1"/>
  <c r="BU18" i="13" s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6" i="13"/>
  <c r="BV18" i="13" s="1"/>
  <c r="DT25" i="13"/>
  <c r="DU4" i="13"/>
  <c r="DU5" i="13" s="1"/>
  <c r="BX11" i="13" l="1"/>
  <c r="BX20" i="13" s="1"/>
  <c r="BW9" i="13"/>
  <c r="BW19" i="13" s="1"/>
  <c r="BW13" i="13"/>
  <c r="BW21" i="13" s="1"/>
  <c r="BV24" i="13"/>
  <c r="BW6" i="13"/>
  <c r="BW18" i="13" s="1"/>
  <c r="BX3" i="13"/>
  <c r="BX23" i="13" s="1"/>
  <c r="BW26" i="13"/>
  <c r="BW27" i="13" s="1"/>
  <c r="BV15" i="13"/>
  <c r="BV22" i="13" s="1"/>
  <c r="DU25" i="13"/>
  <c r="DV4" i="13"/>
  <c r="DV5" i="13" s="1"/>
  <c r="BX13" i="13" l="1"/>
  <c r="BX21" i="13" s="1"/>
  <c r="BW15" i="13"/>
  <c r="BW22" i="13" s="1"/>
  <c r="BX9" i="13"/>
  <c r="BX19" i="13" s="1"/>
  <c r="BX6" i="13"/>
  <c r="BX18" i="13" s="1"/>
  <c r="BW24" i="13"/>
  <c r="BY11" i="13"/>
  <c r="BY20" i="13" s="1"/>
  <c r="BY3" i="13"/>
  <c r="BY23" i="13" s="1"/>
  <c r="BX26" i="13"/>
  <c r="BX27" i="13" s="1"/>
  <c r="DV25" i="13"/>
  <c r="DW4" i="13"/>
  <c r="DW5" i="13" s="1"/>
  <c r="BX24" i="13" l="1"/>
  <c r="BY6" i="13"/>
  <c r="BY18" i="13" s="1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6" i="13"/>
  <c r="BZ18" i="13" s="1"/>
  <c r="DX25" i="13"/>
  <c r="DY4" i="13"/>
  <c r="DY5" i="13" s="1"/>
  <c r="CA9" i="13" l="1"/>
  <c r="CA19" i="13" s="1"/>
  <c r="CB11" i="13"/>
  <c r="CB20" i="13" s="1"/>
  <c r="CA6" i="13"/>
  <c r="CA18" i="13" s="1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F14" i="20" l="1"/>
  <c r="H14" i="20" s="1"/>
  <c r="CC3" i="13"/>
  <c r="CC23" i="13" s="1"/>
  <c r="CB26" i="13"/>
  <c r="CB27" i="13" s="1"/>
  <c r="CB6" i="13"/>
  <c r="CB18" i="13" s="1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CB15" i="13" l="1"/>
  <c r="CB22" i="13" s="1"/>
  <c r="CC9" i="13"/>
  <c r="CC19" i="13" s="1"/>
  <c r="CB24" i="13"/>
  <c r="CC6" i="13"/>
  <c r="CC18" i="13" s="1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F60" i="20" l="1"/>
  <c r="H60" i="20" s="1"/>
  <c r="CD13" i="13"/>
  <c r="CD21" i="13" s="1"/>
  <c r="CC24" i="13"/>
  <c r="CD6" i="13"/>
  <c r="CD18" i="13" s="1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CE26" i="13" l="1"/>
  <c r="CE27" i="13" s="1"/>
  <c r="CF3" i="13"/>
  <c r="CF23" i="13" s="1"/>
  <c r="CD15" i="13"/>
  <c r="CD22" i="13" s="1"/>
  <c r="CF11" i="13"/>
  <c r="CF20" i="13" s="1"/>
  <c r="CE6" i="13"/>
  <c r="CE18" i="13" s="1"/>
  <c r="CD24" i="13"/>
  <c r="CE9" i="13"/>
  <c r="CE19" i="13" s="1"/>
  <c r="CE13" i="13"/>
  <c r="CE21" i="13" s="1"/>
  <c r="EC25" i="13"/>
  <c r="ED4" i="13"/>
  <c r="ED5" i="13" s="1"/>
  <c r="CE24" i="13" l="1"/>
  <c r="CF6" i="13"/>
  <c r="CF18" i="13" s="1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6" i="13"/>
  <c r="CG18" i="13" s="1"/>
  <c r="EE25" i="13"/>
  <c r="EF4" i="13"/>
  <c r="EF5" i="13" s="1"/>
  <c r="F3" i="20" l="1"/>
  <c r="H3" i="20" s="1"/>
  <c r="F62" i="20"/>
  <c r="H62" i="20" s="1"/>
  <c r="CI11" i="13"/>
  <c r="CI20" i="13" s="1"/>
  <c r="CH26" i="13"/>
  <c r="CH27" i="13" s="1"/>
  <c r="CI3" i="13"/>
  <c r="CI23" i="13" s="1"/>
  <c r="CH6" i="13"/>
  <c r="CH18" i="13" s="1"/>
  <c r="CG24" i="13"/>
  <c r="CH9" i="13"/>
  <c r="CH19" i="13" s="1"/>
  <c r="CH13" i="13"/>
  <c r="CH21" i="13" s="1"/>
  <c r="CG15" i="13"/>
  <c r="CG22" i="13" s="1"/>
  <c r="EF25" i="13"/>
  <c r="EG4" i="13"/>
  <c r="EG5" i="13" s="1"/>
  <c r="CJ3" i="13" l="1"/>
  <c r="CJ23" i="13" s="1"/>
  <c r="CI26" i="13"/>
  <c r="CI27" i="13" s="1"/>
  <c r="CI13" i="13"/>
  <c r="CI21" i="13" s="1"/>
  <c r="CI6" i="13"/>
  <c r="CI18" i="13" s="1"/>
  <c r="CH24" i="13"/>
  <c r="CH15" i="13"/>
  <c r="CH22" i="13" s="1"/>
  <c r="CI9" i="13"/>
  <c r="CI19" i="13" s="1"/>
  <c r="CJ11" i="13"/>
  <c r="CJ20" i="13" s="1"/>
  <c r="EG25" i="13"/>
  <c r="EH4" i="13"/>
  <c r="EH5" i="13" s="1"/>
  <c r="CI15" i="13" l="1"/>
  <c r="CI22" i="13" s="1"/>
  <c r="CJ6" i="13"/>
  <c r="CJ18" i="13" s="1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CL11" i="13" l="1"/>
  <c r="CL20" i="13" s="1"/>
  <c r="CK26" i="13"/>
  <c r="CK27" i="13" s="1"/>
  <c r="CL3" i="13"/>
  <c r="CL23" i="13" s="1"/>
  <c r="CK13" i="13"/>
  <c r="CK21" i="13" s="1"/>
  <c r="CK6" i="13"/>
  <c r="CK18" i="13" s="1"/>
  <c r="CJ24" i="13"/>
  <c r="CK9" i="13"/>
  <c r="CK19" i="13" s="1"/>
  <c r="CJ15" i="13"/>
  <c r="CJ22" i="13" s="1"/>
  <c r="EI25" i="13"/>
  <c r="EJ4" i="13"/>
  <c r="EJ5" i="13" s="1"/>
  <c r="F61" i="20" l="1"/>
  <c r="H61" i="20" s="1"/>
  <c r="CL13" i="13"/>
  <c r="CL21" i="13" s="1"/>
  <c r="CL26" i="13"/>
  <c r="CL27" i="13" s="1"/>
  <c r="CM3" i="13"/>
  <c r="CM23" i="13" s="1"/>
  <c r="CK15" i="13"/>
  <c r="CK22" i="13" s="1"/>
  <c r="CL6" i="13"/>
  <c r="CL18" i="13" s="1"/>
  <c r="CK24" i="13"/>
  <c r="CL9" i="13"/>
  <c r="CL19" i="13" s="1"/>
  <c r="CM11" i="13"/>
  <c r="CM20" i="13" s="1"/>
  <c r="EJ25" i="13"/>
  <c r="EK4" i="13"/>
  <c r="EK5" i="13" s="1"/>
  <c r="CM6" i="13" l="1"/>
  <c r="CM18" i="13" s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6" i="13"/>
  <c r="CN18" i="13" s="1"/>
  <c r="CM24" i="13"/>
  <c r="EL25" i="13"/>
  <c r="EM4" i="13"/>
  <c r="EM5" i="13" s="1"/>
  <c r="CP3" i="13" l="1"/>
  <c r="CP23" i="13" s="1"/>
  <c r="CO26" i="13"/>
  <c r="CO27" i="13" s="1"/>
  <c r="CO6" i="13"/>
  <c r="CO18" i="13" s="1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CP6" i="13" l="1"/>
  <c r="CP18" i="13" s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6" i="13"/>
  <c r="CQ18" i="13" s="1"/>
  <c r="EO25" i="13"/>
  <c r="EP4" i="13"/>
  <c r="EP5" i="13" s="1"/>
  <c r="CR9" i="13" l="1"/>
  <c r="CR19" i="13" s="1"/>
  <c r="CQ15" i="13"/>
  <c r="CQ22" i="13" s="1"/>
  <c r="CR6" i="13"/>
  <c r="CR18" i="13" s="1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CT3" i="13" l="1"/>
  <c r="CT23" i="13" s="1"/>
  <c r="CS26" i="13"/>
  <c r="CS27" i="13" s="1"/>
  <c r="CT11" i="13"/>
  <c r="CT20" i="13" s="1"/>
  <c r="CS6" i="13"/>
  <c r="CS18" i="13" s="1"/>
  <c r="CR24" i="13"/>
  <c r="CR15" i="13"/>
  <c r="CR22" i="13" s="1"/>
  <c r="CS13" i="13"/>
  <c r="CS21" i="13" s="1"/>
  <c r="CS9" i="13"/>
  <c r="CS19" i="13" s="1"/>
  <c r="EQ25" i="13"/>
  <c r="ER4" i="13"/>
  <c r="ER5" i="13" s="1"/>
  <c r="CT6" i="13" l="1"/>
  <c r="CT18" i="13" s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6" i="13"/>
  <c r="CU18" i="13" s="1"/>
  <c r="CT24" i="13"/>
  <c r="ES25" i="13"/>
  <c r="ET4" i="13"/>
  <c r="ET5" i="13" s="1"/>
  <c r="CU15" i="13" l="1"/>
  <c r="CU22" i="13" s="1"/>
  <c r="CU24" i="13"/>
  <c r="CV6" i="13"/>
  <c r="CV18" i="13" s="1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CW9" i="13" l="1"/>
  <c r="CW19" i="13" s="1"/>
  <c r="CW26" i="13"/>
  <c r="CW27" i="13" s="1"/>
  <c r="CX3" i="13"/>
  <c r="CX23" i="13" s="1"/>
  <c r="CX11" i="13"/>
  <c r="CX20" i="13" s="1"/>
  <c r="CW6" i="13"/>
  <c r="CW18" i="13" s="1"/>
  <c r="CV24" i="13"/>
  <c r="CW13" i="13"/>
  <c r="CW21" i="13" s="1"/>
  <c r="CV15" i="13"/>
  <c r="CV22" i="13" s="1"/>
  <c r="EU25" i="13"/>
  <c r="EV4" i="13"/>
  <c r="EV5" i="13" s="1"/>
  <c r="CX6" i="13" l="1"/>
  <c r="CX18" i="13" s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6" i="13"/>
  <c r="CY18" i="13" s="1"/>
  <c r="EW25" i="13"/>
  <c r="EX4" i="13"/>
  <c r="EX5" i="13" s="1"/>
  <c r="CY15" i="13" l="1"/>
  <c r="CY22" i="13" s="1"/>
  <c r="DA11" i="13"/>
  <c r="DA20" i="13" s="1"/>
  <c r="CZ26" i="13"/>
  <c r="CZ27" i="13" s="1"/>
  <c r="DA3" i="13"/>
  <c r="DA23" i="13" s="1"/>
  <c r="CZ6" i="13"/>
  <c r="CZ18" i="13" s="1"/>
  <c r="CY24" i="13"/>
  <c r="CZ13" i="13"/>
  <c r="CZ21" i="13" s="1"/>
  <c r="CZ9" i="13"/>
  <c r="CZ19" i="13" s="1"/>
  <c r="EX25" i="13"/>
  <c r="EY4" i="13"/>
  <c r="EY5" i="13" s="1"/>
  <c r="DB3" i="13" l="1"/>
  <c r="DB23" i="13" s="1"/>
  <c r="DA26" i="13"/>
  <c r="DA27" i="13" s="1"/>
  <c r="DA9" i="13"/>
  <c r="DA19" i="13" s="1"/>
  <c r="DB11" i="13"/>
  <c r="DB20" i="13" s="1"/>
  <c r="DA6" i="13"/>
  <c r="DA18" i="13" s="1"/>
  <c r="CZ24" i="13"/>
  <c r="DA13" i="13"/>
  <c r="DA21" i="13" s="1"/>
  <c r="CZ15" i="13"/>
  <c r="CZ22" i="13" s="1"/>
  <c r="EY25" i="13"/>
  <c r="EZ4" i="13"/>
  <c r="EZ5" i="13" s="1"/>
  <c r="DB6" i="13" l="1"/>
  <c r="DB18" i="13" s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6" i="13"/>
  <c r="DC18" i="13" s="1"/>
  <c r="FA25" i="13"/>
  <c r="FB4" i="13"/>
  <c r="FB5" i="13" s="1"/>
  <c r="DC24" i="13" l="1"/>
  <c r="DD6" i="13"/>
  <c r="DD18" i="13" s="1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6" i="13"/>
  <c r="DE18" i="13" s="1"/>
  <c r="DE13" i="13"/>
  <c r="DE21" i="13" s="1"/>
  <c r="FC25" i="13"/>
  <c r="FD4" i="13"/>
  <c r="FD5" i="13" s="1"/>
  <c r="DG3" i="13" l="1"/>
  <c r="DG23" i="13" s="1"/>
  <c r="DF26" i="13"/>
  <c r="DF27" i="13" s="1"/>
  <c r="DF13" i="13"/>
  <c r="DF21" i="13" s="1"/>
  <c r="DG11" i="13"/>
  <c r="DG20" i="13" s="1"/>
  <c r="DE24" i="13"/>
  <c r="DF6" i="13"/>
  <c r="DF18" i="13" s="1"/>
  <c r="DE15" i="13"/>
  <c r="DE22" i="13" s="1"/>
  <c r="DF9" i="13"/>
  <c r="DF19" i="13" s="1"/>
  <c r="FD25" i="13"/>
  <c r="FE4" i="13"/>
  <c r="FE5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6" i="13"/>
  <c r="DG18" i="13" s="1"/>
  <c r="FE25" i="13"/>
  <c r="FF4" i="13"/>
  <c r="FF5" i="13" s="1"/>
  <c r="DG15" i="13" l="1"/>
  <c r="DG22" i="13" s="1"/>
  <c r="DH13" i="13"/>
  <c r="DH21" i="13" s="1"/>
  <c r="DH6" i="13"/>
  <c r="DH18" i="13" s="1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DI9" i="13" l="1"/>
  <c r="DI19" i="13" s="1"/>
  <c r="DJ11" i="13"/>
  <c r="DJ20" i="13" s="1"/>
  <c r="DI6" i="13"/>
  <c r="DI18" i="13" s="1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DJ13" i="13" l="1"/>
  <c r="DJ21" i="13" s="1"/>
  <c r="DI15" i="13"/>
  <c r="DI22" i="13" s="1"/>
  <c r="DI24" i="13"/>
  <c r="DJ6" i="13"/>
  <c r="DJ18" i="13" s="1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DL11" i="13" l="1"/>
  <c r="DL20" i="13" s="1"/>
  <c r="DK6" i="13"/>
  <c r="DK18" i="13" s="1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I25" i="13"/>
  <c r="DK15" i="13" l="1"/>
  <c r="DK22" i="13" s="1"/>
  <c r="DL9" i="13"/>
  <c r="DL19" i="13" s="1"/>
  <c r="DL13" i="13"/>
  <c r="DL21" i="13" s="1"/>
  <c r="DK24" i="13"/>
  <c r="DL6" i="13"/>
  <c r="DL18" i="13" s="1"/>
  <c r="DM11" i="13"/>
  <c r="DM20" i="13" s="1"/>
  <c r="DM3" i="13"/>
  <c r="DM23" i="13" s="1"/>
  <c r="DL26" i="13"/>
  <c r="DL27" i="13" s="1"/>
  <c r="FK4" i="13"/>
  <c r="FK5" i="13" s="1"/>
  <c r="FJ25" i="13"/>
  <c r="DM6" i="13" l="1"/>
  <c r="DM18" i="13" s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6" i="13"/>
  <c r="DN18" i="13" s="1"/>
  <c r="FL25" i="13"/>
  <c r="FM4" i="13"/>
  <c r="FM5" i="13" s="1"/>
  <c r="DN15" i="13" l="1"/>
  <c r="DN22" i="13" s="1"/>
  <c r="DN24" i="13"/>
  <c r="DO6" i="13"/>
  <c r="DO18" i="13" s="1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DQ11" i="13" l="1"/>
  <c r="DQ20" i="13" s="1"/>
  <c r="DP9" i="13"/>
  <c r="DP19" i="13" s="1"/>
  <c r="DP13" i="13"/>
  <c r="DP21" i="13" s="1"/>
  <c r="DO24" i="13"/>
  <c r="DP6" i="13"/>
  <c r="DP18" i="13" s="1"/>
  <c r="DQ3" i="13"/>
  <c r="DQ23" i="13" s="1"/>
  <c r="DP26" i="13"/>
  <c r="DP27" i="13" s="1"/>
  <c r="DO15" i="13"/>
  <c r="DO22" i="13" s="1"/>
  <c r="FN25" i="13"/>
  <c r="FO4" i="13"/>
  <c r="FO5" i="13" s="1"/>
  <c r="DQ6" i="13" l="1"/>
  <c r="DQ18" i="13" s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6" i="13"/>
  <c r="DR18" i="13" s="1"/>
  <c r="FP25" i="13"/>
  <c r="FQ4" i="13"/>
  <c r="FQ5" i="13" s="1"/>
  <c r="DR24" i="13" l="1"/>
  <c r="DS6" i="13"/>
  <c r="DS18" i="13" s="1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6" i="13"/>
  <c r="DT18" i="13" s="1"/>
  <c r="DS24" i="13"/>
  <c r="DU11" i="13"/>
  <c r="DU20" i="13" s="1"/>
  <c r="FR25" i="13"/>
  <c r="FS4" i="13"/>
  <c r="FS5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6" i="13"/>
  <c r="DU18" i="13" s="1"/>
  <c r="DT15" i="13"/>
  <c r="DT22" i="13" s="1"/>
  <c r="FS25" i="13"/>
  <c r="FT4" i="13"/>
  <c r="FT5" i="13" s="1"/>
  <c r="DW11" i="13" l="1"/>
  <c r="DW20" i="13" s="1"/>
  <c r="DU15" i="13"/>
  <c r="DU22" i="13" s="1"/>
  <c r="DV9" i="13"/>
  <c r="DV19" i="13" s="1"/>
  <c r="DV6" i="13"/>
  <c r="DV18" i="13" s="1"/>
  <c r="DU24" i="13"/>
  <c r="DV26" i="13"/>
  <c r="DV27" i="13" s="1"/>
  <c r="DW3" i="13"/>
  <c r="DW23" i="13" s="1"/>
  <c r="DV13" i="13"/>
  <c r="DV21" i="13" s="1"/>
  <c r="FT25" i="13"/>
  <c r="FU4" i="13"/>
  <c r="FU5" i="13" s="1"/>
  <c r="DV24" i="13" l="1"/>
  <c r="DW6" i="13"/>
  <c r="DW18" i="13" s="1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DW15" i="13" l="1"/>
  <c r="DW22" i="13" s="1"/>
  <c r="DX13" i="13"/>
  <c r="DX21" i="13" s="1"/>
  <c r="DY11" i="13"/>
  <c r="DY20" i="13" s="1"/>
  <c r="DX9" i="13"/>
  <c r="DX19" i="13" s="1"/>
  <c r="DW24" i="13"/>
  <c r="DX6" i="13"/>
  <c r="DX18" i="13" s="1"/>
  <c r="DY3" i="13"/>
  <c r="DY23" i="13" s="1"/>
  <c r="DX26" i="13"/>
  <c r="DX27" i="13" s="1"/>
  <c r="FV25" i="13"/>
  <c r="FW4" i="13"/>
  <c r="FW5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6" i="13"/>
  <c r="DY18" i="13" s="1"/>
  <c r="DX24" i="13"/>
  <c r="DX15" i="13"/>
  <c r="DX22" i="13" s="1"/>
  <c r="FW25" i="13"/>
  <c r="FX4" i="13"/>
  <c r="FX5" i="13" s="1"/>
  <c r="DZ13" i="13" l="1"/>
  <c r="DZ21" i="13" s="1"/>
  <c r="DY15" i="13"/>
  <c r="DY22" i="13" s="1"/>
  <c r="EA11" i="13"/>
  <c r="EA20" i="13" s="1"/>
  <c r="DZ6" i="13"/>
  <c r="DZ18" i="13" s="1"/>
  <c r="DY24" i="13"/>
  <c r="DZ9" i="13"/>
  <c r="DZ19" i="13" s="1"/>
  <c r="EA3" i="13"/>
  <c r="EA23" i="13" s="1"/>
  <c r="DZ26" i="13"/>
  <c r="DZ27" i="13" s="1"/>
  <c r="FX25" i="13"/>
  <c r="FY4" i="13"/>
  <c r="FY5" i="13" s="1"/>
  <c r="EA6" i="13" l="1"/>
  <c r="EA18" i="13" s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6" i="13"/>
  <c r="EB18" i="13" s="1"/>
  <c r="FZ25" i="13"/>
  <c r="GA4" i="13"/>
  <c r="GA5" i="13" s="1"/>
  <c r="ED11" i="13" l="1"/>
  <c r="ED20" i="13" s="1"/>
  <c r="EB24" i="13"/>
  <c r="EC6" i="13"/>
  <c r="EC18" i="13" s="1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EE3" i="13" l="1"/>
  <c r="EE23" i="13" s="1"/>
  <c r="ED26" i="13"/>
  <c r="ED27" i="13" s="1"/>
  <c r="ED13" i="13"/>
  <c r="ED21" i="13" s="1"/>
  <c r="ED9" i="13"/>
  <c r="ED19" i="13" s="1"/>
  <c r="ED6" i="13"/>
  <c r="ED18" i="13" s="1"/>
  <c r="EC24" i="13"/>
  <c r="EC15" i="13"/>
  <c r="EC22" i="13" s="1"/>
  <c r="EE11" i="13"/>
  <c r="EE20" i="13" s="1"/>
  <c r="GB25" i="13"/>
  <c r="GC4" i="13"/>
  <c r="GC5" i="13" s="1"/>
  <c r="ED24" i="13" l="1"/>
  <c r="EE6" i="13"/>
  <c r="EE18" i="13" s="1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6" i="13"/>
  <c r="EF18" i="13" s="1"/>
  <c r="EE24" i="13"/>
  <c r="GD25" i="13"/>
  <c r="GE4" i="13"/>
  <c r="GE5" i="13" s="1"/>
  <c r="EH3" i="13" l="1"/>
  <c r="EH23" i="13" s="1"/>
  <c r="EG26" i="13"/>
  <c r="EG27" i="13" s="1"/>
  <c r="EF24" i="13"/>
  <c r="EG6" i="13"/>
  <c r="EG18" i="13" s="1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EI11" i="13" l="1"/>
  <c r="EI20" i="13" s="1"/>
  <c r="EH9" i="13"/>
  <c r="EH19" i="13" s="1"/>
  <c r="EH6" i="13"/>
  <c r="EH18" i="13" s="1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EH15" i="13" l="1"/>
  <c r="EH22" i="13" s="1"/>
  <c r="EI6" i="13"/>
  <c r="EI18" i="13" s="1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6" i="13"/>
  <c r="EJ18" i="13" s="1"/>
  <c r="EI15" i="13"/>
  <c r="EI22" i="13" s="1"/>
  <c r="GH25" i="13"/>
  <c r="GI4" i="13"/>
  <c r="GI5" i="13" s="1"/>
  <c r="EJ15" i="13" l="1"/>
  <c r="EJ22" i="13" s="1"/>
  <c r="EK26" i="13"/>
  <c r="EK27" i="13" s="1"/>
  <c r="EL3" i="13"/>
  <c r="EL23" i="13" s="1"/>
  <c r="EK13" i="13"/>
  <c r="EK21" i="13" s="1"/>
  <c r="EJ24" i="13"/>
  <c r="EK6" i="13"/>
  <c r="EK18" i="13" s="1"/>
  <c r="EK9" i="13"/>
  <c r="EK19" i="13" s="1"/>
  <c r="EL11" i="13"/>
  <c r="EL20" i="13" s="1"/>
  <c r="GI25" i="13"/>
  <c r="GJ4" i="13"/>
  <c r="GJ5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6" i="13"/>
  <c r="EL18" i="13" s="1"/>
  <c r="GJ25" i="13"/>
  <c r="GK4" i="13"/>
  <c r="GK5" i="13" s="1"/>
  <c r="EL15" i="13" l="1"/>
  <c r="EL22" i="13" s="1"/>
  <c r="EM6" i="13"/>
  <c r="EM18" i="13" s="1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EN13" i="13" l="1"/>
  <c r="EN21" i="13" s="1"/>
  <c r="EO11" i="13"/>
  <c r="EO20" i="13" s="1"/>
  <c r="EN9" i="13"/>
  <c r="EN19" i="13" s="1"/>
  <c r="EM24" i="13"/>
  <c r="EN6" i="13"/>
  <c r="EN18" i="13" s="1"/>
  <c r="EN26" i="13"/>
  <c r="EN27" i="13" s="1"/>
  <c r="EO3" i="13"/>
  <c r="EO23" i="13" s="1"/>
  <c r="EM15" i="13"/>
  <c r="EM22" i="13" s="1"/>
  <c r="GL25" i="13"/>
  <c r="GM4" i="13"/>
  <c r="GM5" i="13" s="1"/>
  <c r="EO9" i="13" l="1"/>
  <c r="EO19" i="13" s="1"/>
  <c r="EN15" i="13"/>
  <c r="EN22" i="13" s="1"/>
  <c r="EO6" i="13"/>
  <c r="EO18" i="13" s="1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EO24" i="13" l="1"/>
  <c r="EP6" i="13"/>
  <c r="EP18" i="13" s="1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6" i="13"/>
  <c r="EQ18" i="13" s="1"/>
  <c r="EP24" i="13"/>
  <c r="GO25" i="13"/>
  <c r="GP4" i="13"/>
  <c r="GP5" i="13" s="1"/>
  <c r="ES11" i="13" l="1"/>
  <c r="ES20" i="13" s="1"/>
  <c r="EQ15" i="13"/>
  <c r="EQ22" i="13" s="1"/>
  <c r="ER6" i="13"/>
  <c r="ER18" i="13" s="1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ES9" i="13" l="1"/>
  <c r="ES19" i="13" s="1"/>
  <c r="ER24" i="13"/>
  <c r="ES6" i="13"/>
  <c r="ES18" i="13" s="1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ET13" i="13" l="1"/>
  <c r="ET21" i="13" s="1"/>
  <c r="ES15" i="13"/>
  <c r="ES22" i="13" s="1"/>
  <c r="EU11" i="13"/>
  <c r="EU20" i="13" s="1"/>
  <c r="ET6" i="13"/>
  <c r="ET18" i="13" s="1"/>
  <c r="ES24" i="13"/>
  <c r="EU3" i="13"/>
  <c r="EU23" i="13" s="1"/>
  <c r="ET26" i="13"/>
  <c r="ET27" i="13" s="1"/>
  <c r="ET9" i="13"/>
  <c r="ET19" i="13" s="1"/>
  <c r="GR25" i="13"/>
  <c r="GS4" i="13"/>
  <c r="GS5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6" i="13"/>
  <c r="EU18" i="13" s="1"/>
  <c r="GS25" i="13"/>
  <c r="GT4" i="13"/>
  <c r="GT5" i="13" s="1"/>
  <c r="EW3" i="13" l="1"/>
  <c r="EW23" i="13" s="1"/>
  <c r="EV26" i="13"/>
  <c r="EV27" i="13" s="1"/>
  <c r="EW11" i="13"/>
  <c r="EW20" i="13" s="1"/>
  <c r="EV6" i="13"/>
  <c r="EV18" i="13" s="1"/>
  <c r="EU24" i="13"/>
  <c r="EU15" i="13"/>
  <c r="EU22" i="13" s="1"/>
  <c r="EV13" i="13"/>
  <c r="EV21" i="13" s="1"/>
  <c r="EV9" i="13"/>
  <c r="EV19" i="13" s="1"/>
  <c r="GT25" i="13"/>
  <c r="GU4" i="13"/>
  <c r="GU5" i="13" s="1"/>
  <c r="EV24" i="13" l="1"/>
  <c r="EW6" i="13"/>
  <c r="EW18" i="13" s="1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6" i="13"/>
  <c r="EX18" i="13" s="1"/>
  <c r="GV25" i="13"/>
  <c r="GW4" i="13"/>
  <c r="GW5" i="13" s="1"/>
  <c r="EY9" i="13" l="1"/>
  <c r="EY19" i="13" s="1"/>
  <c r="EX15" i="13"/>
  <c r="EX22" i="13" s="1"/>
  <c r="EX24" i="13"/>
  <c r="EY6" i="13"/>
  <c r="EY18" i="13" s="1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FA11" i="13" l="1"/>
  <c r="FA20" i="13" s="1"/>
  <c r="EZ6" i="13"/>
  <c r="EZ18" i="13" s="1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EZ15" i="13" l="1"/>
  <c r="EZ22" i="13" s="1"/>
  <c r="FA13" i="13"/>
  <c r="FA21" i="13" s="1"/>
  <c r="FB3" i="13"/>
  <c r="FB23" i="13" s="1"/>
  <c r="FA26" i="13"/>
  <c r="FA27" i="13" s="1"/>
  <c r="EZ24" i="13"/>
  <c r="FA6" i="13"/>
  <c r="FA18" i="13" s="1"/>
  <c r="FA9" i="13"/>
  <c r="FA19" i="13" s="1"/>
  <c r="FB11" i="13"/>
  <c r="FB20" i="13" s="1"/>
  <c r="GY25" i="13"/>
  <c r="GZ4" i="13"/>
  <c r="GZ5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6" i="13"/>
  <c r="FB18" i="13" s="1"/>
  <c r="GZ25" i="13"/>
  <c r="HA4" i="13"/>
  <c r="HA5" i="13" s="1"/>
  <c r="FC13" i="13" l="1"/>
  <c r="FC21" i="13" s="1"/>
  <c r="FB24" i="13"/>
  <c r="FC6" i="13"/>
  <c r="FC18" i="13" s="1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FC15" i="13" l="1"/>
  <c r="FC22" i="13" s="1"/>
  <c r="FD9" i="13"/>
  <c r="FD19" i="13" s="1"/>
  <c r="FE11" i="13"/>
  <c r="FE20" i="13" s="1"/>
  <c r="FD6" i="13"/>
  <c r="FD18" i="13" s="1"/>
  <c r="FC24" i="13"/>
  <c r="FD13" i="13"/>
  <c r="FD21" i="13" s="1"/>
  <c r="FE3" i="13"/>
  <c r="FE23" i="13" s="1"/>
  <c r="FD26" i="13"/>
  <c r="FD27" i="13" s="1"/>
  <c r="HC4" i="13"/>
  <c r="HC5" i="13" s="1"/>
  <c r="HB25" i="13"/>
  <c r="FE6" i="13" l="1"/>
  <c r="FE18" i="13" s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6" i="13"/>
  <c r="FF18" i="13" s="1"/>
  <c r="FE24" i="13"/>
  <c r="HD25" i="13"/>
  <c r="HE4" i="13"/>
  <c r="HE5" i="13" s="1"/>
  <c r="FF15" i="13" l="1"/>
  <c r="FF22" i="13" s="1"/>
  <c r="FG6" i="13"/>
  <c r="FG18" i="13" s="1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FH9" i="13" l="1"/>
  <c r="FH19" i="13" s="1"/>
  <c r="FH13" i="13"/>
  <c r="FH21" i="13" s="1"/>
  <c r="FG24" i="13"/>
  <c r="FH6" i="13"/>
  <c r="FH18" i="13" s="1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FH15" i="13" l="1"/>
  <c r="FH22" i="13" s="1"/>
  <c r="FI6" i="13"/>
  <c r="FI18" i="13" s="1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FK3" i="13" l="1"/>
  <c r="FK23" i="13" s="1"/>
  <c r="FJ26" i="13"/>
  <c r="FJ27" i="13" s="1"/>
  <c r="FJ9" i="13"/>
  <c r="FJ19" i="13" s="1"/>
  <c r="FI24" i="13"/>
  <c r="FJ6" i="13"/>
  <c r="FJ18" i="13" s="1"/>
  <c r="FK11" i="13"/>
  <c r="FK20" i="13" s="1"/>
  <c r="FI15" i="13"/>
  <c r="FI22" i="13" s="1"/>
  <c r="FJ13" i="13"/>
  <c r="FJ21" i="13" s="1"/>
  <c r="HH25" i="13"/>
  <c r="HI4" i="13"/>
  <c r="HI5" i="13" s="1"/>
  <c r="FJ24" i="13" l="1"/>
  <c r="FK6" i="13"/>
  <c r="FK18" i="13" s="1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6" i="13"/>
  <c r="FL18" i="13" s="1"/>
  <c r="HJ25" i="13"/>
  <c r="HK4" i="13"/>
  <c r="HK5" i="13" s="1"/>
  <c r="FM26" i="13" l="1"/>
  <c r="FM27" i="13" s="1"/>
  <c r="FN3" i="13"/>
  <c r="FN23" i="13" s="1"/>
  <c r="FL24" i="13"/>
  <c r="FM6" i="13"/>
  <c r="FM18" i="13" s="1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FN9" i="13" l="1"/>
  <c r="FN19" i="13" s="1"/>
  <c r="FN13" i="13"/>
  <c r="FN21" i="13" s="1"/>
  <c r="FN6" i="13"/>
  <c r="FN18" i="13" s="1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FP3" i="13" l="1"/>
  <c r="FP23" i="13" s="1"/>
  <c r="FO26" i="13"/>
  <c r="FO27" i="13" s="1"/>
  <c r="FP11" i="13"/>
  <c r="FP20" i="13" s="1"/>
  <c r="FO6" i="13"/>
  <c r="FO18" i="13" s="1"/>
  <c r="FN24" i="13"/>
  <c r="FO13" i="13"/>
  <c r="FO21" i="13" s="1"/>
  <c r="FN15" i="13"/>
  <c r="FN22" i="13" s="1"/>
  <c r="FO9" i="13"/>
  <c r="FO19" i="13" s="1"/>
  <c r="HM25" i="13"/>
  <c r="HN4" i="13"/>
  <c r="HN5" i="13" s="1"/>
  <c r="FP6" i="13" l="1"/>
  <c r="FP18" i="13" s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6" i="13"/>
  <c r="FQ18" i="13" s="1"/>
  <c r="FP24" i="13"/>
  <c r="HO25" i="13"/>
  <c r="HP4" i="13"/>
  <c r="HP5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6" i="13"/>
  <c r="FR18" i="13" s="1"/>
  <c r="HP25" i="13"/>
  <c r="HQ4" i="13"/>
  <c r="HQ5" i="13" s="1"/>
  <c r="FT11" i="13" l="1"/>
  <c r="FT20" i="13" s="1"/>
  <c r="FS6" i="13"/>
  <c r="FS18" i="13" s="1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FS15" i="13" l="1"/>
  <c r="FS22" i="13" s="1"/>
  <c r="FT13" i="13"/>
  <c r="FT21" i="13" s="1"/>
  <c r="FU3" i="13"/>
  <c r="FU23" i="13" s="1"/>
  <c r="FT26" i="13"/>
  <c r="FT27" i="13" s="1"/>
  <c r="FT6" i="13"/>
  <c r="FT18" i="13" s="1"/>
  <c r="FS24" i="13"/>
  <c r="FU11" i="13"/>
  <c r="FU20" i="13" s="1"/>
  <c r="FT9" i="13"/>
  <c r="FT19" i="13" s="1"/>
  <c r="HR25" i="13"/>
  <c r="HS4" i="13"/>
  <c r="HS5" i="13" s="1"/>
  <c r="FU6" i="13" l="1"/>
  <c r="FU18" i="13" s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6" i="13"/>
  <c r="FV18" i="13" s="1"/>
  <c r="HT25" i="13"/>
  <c r="HU4" i="13"/>
  <c r="HU5" i="13" s="1"/>
  <c r="FW9" i="13" l="1"/>
  <c r="FW19" i="13" s="1"/>
  <c r="FV24" i="13"/>
  <c r="FW6" i="13"/>
  <c r="FW18" i="13" s="1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FX13" i="13" l="1"/>
  <c r="FX21" i="13" s="1"/>
  <c r="FW15" i="13"/>
  <c r="FW22" i="13" s="1"/>
  <c r="FY11" i="13"/>
  <c r="FY20" i="13" s="1"/>
  <c r="FX6" i="13"/>
  <c r="FX18" i="13" s="1"/>
  <c r="FW24" i="13"/>
  <c r="FX26" i="13"/>
  <c r="FX27" i="13" s="1"/>
  <c r="FY3" i="13"/>
  <c r="FY23" i="13" s="1"/>
  <c r="FX9" i="13"/>
  <c r="FX19" i="13" s="1"/>
  <c r="HV25" i="13"/>
  <c r="HW4" i="13"/>
  <c r="HW5" i="13" s="1"/>
  <c r="FY6" i="13" l="1"/>
  <c r="FY18" i="13" s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6" i="13"/>
  <c r="FZ18" i="13" s="1"/>
  <c r="FY24" i="13"/>
  <c r="HX25" i="13"/>
  <c r="HY4" i="13"/>
  <c r="HY5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6" i="13"/>
  <c r="GA18" i="13" s="1"/>
  <c r="FZ24" i="13"/>
  <c r="HY25" i="13"/>
  <c r="HZ4" i="13"/>
  <c r="HZ5" i="13" s="1"/>
  <c r="GC3" i="13" l="1"/>
  <c r="GC23" i="13" s="1"/>
  <c r="GB26" i="13"/>
  <c r="GB27" i="13" s="1"/>
  <c r="GB9" i="13"/>
  <c r="GB19" i="13" s="1"/>
  <c r="GB13" i="13"/>
  <c r="GB21" i="13" s="1"/>
  <c r="GA24" i="13"/>
  <c r="GB6" i="13"/>
  <c r="GB18" i="13" s="1"/>
  <c r="GA15" i="13"/>
  <c r="GA22" i="13" s="1"/>
  <c r="GC11" i="13"/>
  <c r="GC20" i="13" s="1"/>
  <c r="HZ25" i="13"/>
  <c r="IA4" i="13"/>
  <c r="IA5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6" i="13"/>
  <c r="GC18" i="13" s="1"/>
  <c r="IA25" i="13"/>
  <c r="IB4" i="13"/>
  <c r="IB5" i="13" s="1"/>
  <c r="GC15" i="13" l="1"/>
  <c r="GC22" i="13" s="1"/>
  <c r="GD9" i="13"/>
  <c r="GD19" i="13" s="1"/>
  <c r="GD6" i="13"/>
  <c r="GD18" i="13" s="1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GF11" i="13" l="1"/>
  <c r="GF20" i="13" s="1"/>
  <c r="GE6" i="13"/>
  <c r="GE18" i="13" s="1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6" i="13"/>
  <c r="GF18" i="13" s="1"/>
  <c r="GE24" i="13"/>
  <c r="GG11" i="13"/>
  <c r="GG20" i="13" s="1"/>
  <c r="ID25" i="13"/>
  <c r="IE4" i="13"/>
  <c r="IE5" i="13" s="1"/>
  <c r="GF15" i="13" l="1"/>
  <c r="GF22" i="13" s="1"/>
  <c r="GH11" i="13"/>
  <c r="GH20" i="13" s="1"/>
  <c r="GG9" i="13"/>
  <c r="GG19" i="13" s="1"/>
  <c r="GG6" i="13"/>
  <c r="GG18" i="13" s="1"/>
  <c r="GF24" i="13"/>
  <c r="GH3" i="13"/>
  <c r="GH23" i="13" s="1"/>
  <c r="GG26" i="13"/>
  <c r="GG27" i="13" s="1"/>
  <c r="GG13" i="13"/>
  <c r="GG21" i="13" s="1"/>
  <c r="IE25" i="13"/>
  <c r="IF4" i="13"/>
  <c r="IF5" i="13" s="1"/>
  <c r="GG24" i="13" l="1"/>
  <c r="GH6" i="13"/>
  <c r="GH18" i="13" s="1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6" i="13"/>
  <c r="GI18" i="13" s="1"/>
  <c r="IG25" i="13"/>
  <c r="IH4" i="13"/>
  <c r="IH5" i="13" s="1"/>
  <c r="GJ9" i="13" l="1"/>
  <c r="GJ19" i="13" s="1"/>
  <c r="GI15" i="13"/>
  <c r="GI22" i="13" s="1"/>
  <c r="GJ6" i="13"/>
  <c r="GJ18" i="13" s="1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GK13" i="13" l="1"/>
  <c r="GK21" i="13" s="1"/>
  <c r="GL11" i="13"/>
  <c r="GL20" i="13" s="1"/>
  <c r="GJ24" i="13"/>
  <c r="GK6" i="13"/>
  <c r="GK18" i="13" s="1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GK15" i="13" l="1"/>
  <c r="GK22" i="13" s="1"/>
  <c r="GL6" i="13"/>
  <c r="GL18" i="13" s="1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GN11" i="13" l="1"/>
  <c r="GN20" i="13" s="1"/>
  <c r="GM9" i="13"/>
  <c r="GM19" i="13" s="1"/>
  <c r="GM13" i="13"/>
  <c r="GM21" i="13" s="1"/>
  <c r="GM6" i="13"/>
  <c r="GM18" i="13" s="1"/>
  <c r="GL24" i="13"/>
  <c r="GN3" i="13"/>
  <c r="GN23" i="13" s="1"/>
  <c r="GM26" i="13"/>
  <c r="GM27" i="13" s="1"/>
  <c r="GL15" i="13"/>
  <c r="GL22" i="13" s="1"/>
  <c r="IK25" i="13"/>
  <c r="IL4" i="13"/>
  <c r="IL5" i="13" s="1"/>
  <c r="GM24" i="13" l="1"/>
  <c r="GN6" i="13"/>
  <c r="GN18" i="13" s="1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6" i="13"/>
  <c r="GO18" i="13" s="1"/>
  <c r="IM25" i="13"/>
  <c r="IN4" i="13"/>
  <c r="IN5" i="13" l="1"/>
  <c r="C27" i="13" s="1"/>
  <c r="GQ3" i="13"/>
  <c r="GQ23" i="13" s="1"/>
  <c r="GP26" i="13"/>
  <c r="GP27" i="13" s="1"/>
  <c r="GO24" i="13"/>
  <c r="GP6" i="13"/>
  <c r="GP18" i="13" s="1"/>
  <c r="GO15" i="13"/>
  <c r="GO22" i="13" s="1"/>
  <c r="GQ11" i="13"/>
  <c r="GQ20" i="13" s="1"/>
  <c r="GP9" i="13"/>
  <c r="GP19" i="13" s="1"/>
  <c r="GP13" i="13"/>
  <c r="GP21" i="13" s="1"/>
  <c r="IN25" i="13" l="1"/>
  <c r="GP15" i="13"/>
  <c r="GP22" i="13" s="1"/>
  <c r="GQ13" i="13"/>
  <c r="GQ21" i="13" s="1"/>
  <c r="GQ6" i="13"/>
  <c r="GQ18" i="13" s="1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6" i="13"/>
  <c r="GR18" i="13" s="1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T23" i="13" s="1"/>
  <c r="GS26" i="13"/>
  <c r="GS27" i="13" s="1"/>
  <c r="GT11" i="13"/>
  <c r="GT20" i="13" s="1"/>
  <c r="GR24" i="13"/>
  <c r="GS6" i="13"/>
  <c r="GS18" i="13" s="1"/>
  <c r="GR15" i="13"/>
  <c r="GR22" i="13" s="1"/>
  <c r="GS9" i="13"/>
  <c r="GS19" i="13" s="1"/>
  <c r="GU11" i="13" l="1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6" i="13"/>
  <c r="GT18" i="13" s="1"/>
  <c r="GT24" i="13" l="1"/>
  <c r="GU6" i="13"/>
  <c r="GU18" i="13" s="1"/>
  <c r="GV3" i="13"/>
  <c r="GV23" i="13" s="1"/>
  <c r="GU26" i="13"/>
  <c r="GU27" i="13" s="1"/>
  <c r="GV11" i="13"/>
  <c r="GV20" i="13" s="1"/>
  <c r="GU9" i="13"/>
  <c r="GU19" i="13" s="1"/>
  <c r="GU13" i="13"/>
  <c r="GU21" i="13" s="1"/>
  <c r="GT15" i="13"/>
  <c r="GT22" i="13" s="1"/>
  <c r="GW11" i="13" l="1"/>
  <c r="GW20" i="13" s="1"/>
  <c r="GW3" i="13"/>
  <c r="GW23" i="13" s="1"/>
  <c r="GV26" i="13"/>
  <c r="GV27" i="13" s="1"/>
  <c r="GV13" i="13"/>
  <c r="GV21" i="13" s="1"/>
  <c r="GV6" i="13"/>
  <c r="GV18" i="13" s="1"/>
  <c r="GU24" i="13"/>
  <c r="GU15" i="13"/>
  <c r="GU22" i="13" s="1"/>
  <c r="GV9" i="13"/>
  <c r="GV19" i="13" s="1"/>
  <c r="GV24" i="13" l="1"/>
  <c r="GW6" i="13"/>
  <c r="GW18" i="13" s="1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6" i="13"/>
  <c r="GX18" i="13" s="1"/>
  <c r="GW24" i="13"/>
  <c r="GY9" i="13" l="1"/>
  <c r="GY19" i="13" s="1"/>
  <c r="GZ11" i="13"/>
  <c r="GZ20" i="13" s="1"/>
  <c r="GX24" i="13"/>
  <c r="GY6" i="13"/>
  <c r="GY18" i="13" s="1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6" i="13"/>
  <c r="GZ18" i="13" s="1"/>
  <c r="HA11" i="13"/>
  <c r="HA20" i="13" s="1"/>
  <c r="GY15" i="13"/>
  <c r="GY22" i="13" s="1"/>
  <c r="GZ9" i="13"/>
  <c r="GZ19" i="13" s="1"/>
  <c r="GZ24" i="13" l="1"/>
  <c r="HA6" i="13"/>
  <c r="HA18" i="13" s="1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6" i="13"/>
  <c r="HB18" i="13" s="1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6" i="13"/>
  <c r="HC18" i="13" s="1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6" i="13"/>
  <c r="HD18" i="13" s="1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6" i="13"/>
  <c r="HE18" i="13" s="1"/>
  <c r="HD15" i="13"/>
  <c r="HD22" i="13" s="1"/>
  <c r="HE15" i="13" l="1"/>
  <c r="HE22" i="13" s="1"/>
  <c r="HG3" i="13"/>
  <c r="HG23" i="13" s="1"/>
  <c r="HF26" i="13"/>
  <c r="HF27" i="13" s="1"/>
  <c r="HE24" i="13"/>
  <c r="HF6" i="13"/>
  <c r="HF18" i="13" s="1"/>
  <c r="HF9" i="13"/>
  <c r="HF19" i="13" s="1"/>
  <c r="HF13" i="13"/>
  <c r="HF21" i="13" s="1"/>
  <c r="HG11" i="13"/>
  <c r="HG20" i="13" s="1"/>
  <c r="HF24" i="13" l="1"/>
  <c r="HG6" i="13"/>
  <c r="HG18" i="13" s="1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6" i="13"/>
  <c r="HH18" i="13" s="1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6" i="13"/>
  <c r="HI18" i="13" s="1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6" i="13"/>
  <c r="HJ18" i="13" s="1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6" i="13"/>
  <c r="HK18" i="13" s="1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6" i="13"/>
  <c r="HL18" i="13" s="1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6" i="13"/>
  <c r="HM18" i="13" s="1"/>
  <c r="HL24" i="13"/>
  <c r="HN26" i="13" l="1"/>
  <c r="HN27" i="13" s="1"/>
  <c r="HO3" i="13"/>
  <c r="HO23" i="13" s="1"/>
  <c r="HN13" i="13"/>
  <c r="HN21" i="13" s="1"/>
  <c r="HO11" i="13"/>
  <c r="HO20" i="13" s="1"/>
  <c r="HM24" i="13"/>
  <c r="HN6" i="13"/>
  <c r="HN18" i="13" s="1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6" i="13"/>
  <c r="HO18" i="13" s="1"/>
  <c r="HN24" i="13"/>
  <c r="HQ3" i="13" l="1"/>
  <c r="HQ23" i="13" s="1"/>
  <c r="HP26" i="13"/>
  <c r="HP27" i="13" s="1"/>
  <c r="HP9" i="13"/>
  <c r="HP19" i="13" s="1"/>
  <c r="HP13" i="13"/>
  <c r="HP21" i="13" s="1"/>
  <c r="HP6" i="13"/>
  <c r="HP18" i="13" s="1"/>
  <c r="HO24" i="13"/>
  <c r="HQ11" i="13"/>
  <c r="HQ20" i="13" s="1"/>
  <c r="HO15" i="13"/>
  <c r="HO22" i="13" s="1"/>
  <c r="HQ13" i="13" l="1"/>
  <c r="HQ21" i="13" s="1"/>
  <c r="HQ9" i="13"/>
  <c r="HQ19" i="13" s="1"/>
  <c r="HP24" i="13"/>
  <c r="HQ6" i="13"/>
  <c r="HQ18" i="13" s="1"/>
  <c r="HR11" i="13"/>
  <c r="HR20" i="13" s="1"/>
  <c r="HP15" i="13"/>
  <c r="HP22" i="13" s="1"/>
  <c r="HQ26" i="13"/>
  <c r="HQ27" i="13" s="1"/>
  <c r="HR3" i="13"/>
  <c r="HR23" i="13" s="1"/>
  <c r="HS11" i="13" l="1"/>
  <c r="HS20" i="13" s="1"/>
  <c r="HR6" i="13"/>
  <c r="HR18" i="13" s="1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6" i="13"/>
  <c r="HS18" i="13" s="1"/>
  <c r="HS9" i="13"/>
  <c r="HS19" i="13" s="1"/>
  <c r="HS13" i="13"/>
  <c r="HS21" i="13" s="1"/>
  <c r="HT11" i="13"/>
  <c r="HT20" i="13" s="1"/>
  <c r="HU11" i="13" l="1"/>
  <c r="HU20" i="13" s="1"/>
  <c r="HS15" i="13"/>
  <c r="HS22" i="13" s="1"/>
  <c r="HT6" i="13"/>
  <c r="HT18" i="13" s="1"/>
  <c r="HS24" i="13"/>
  <c r="HT13" i="13"/>
  <c r="HT21" i="13" s="1"/>
  <c r="HT26" i="13"/>
  <c r="HT27" i="13" s="1"/>
  <c r="HU3" i="13"/>
  <c r="HU23" i="13" s="1"/>
  <c r="HT9" i="13"/>
  <c r="HT19" i="13" s="1"/>
  <c r="HT24" i="13" l="1"/>
  <c r="HU6" i="13"/>
  <c r="HU18" i="13" s="1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6" i="13"/>
  <c r="HV18" i="13" s="1"/>
  <c r="HV13" i="13"/>
  <c r="HV21" i="13" s="1"/>
  <c r="HX11" i="13" l="1"/>
  <c r="HX20" i="13" s="1"/>
  <c r="HW13" i="13"/>
  <c r="HW21" i="13" s="1"/>
  <c r="HX3" i="13"/>
  <c r="HX23" i="13" s="1"/>
  <c r="HW26" i="13"/>
  <c r="HW27" i="13" s="1"/>
  <c r="HW6" i="13"/>
  <c r="HW18" i="13" s="1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6" i="13"/>
  <c r="HX18" i="13" s="1"/>
  <c r="HW24" i="13"/>
  <c r="HY11" i="13"/>
  <c r="HY20" i="13" s="1"/>
  <c r="HX9" i="13"/>
  <c r="HX19" i="13" s="1"/>
  <c r="HX24" i="13" l="1"/>
  <c r="HY6" i="13"/>
  <c r="HY18" i="13" s="1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6" i="13"/>
  <c r="HZ18" i="13" s="1"/>
  <c r="HY24" i="13"/>
  <c r="HY15" i="13"/>
  <c r="HY22" i="13" s="1"/>
  <c r="IA9" i="13" l="1"/>
  <c r="IA19" i="13" s="1"/>
  <c r="HZ15" i="13"/>
  <c r="HZ22" i="13" s="1"/>
  <c r="IA6" i="13"/>
  <c r="IA18" i="13" s="1"/>
  <c r="HZ24" i="13"/>
  <c r="IA26" i="13"/>
  <c r="IA27" i="13" s="1"/>
  <c r="IB3" i="13"/>
  <c r="IB23" i="13" s="1"/>
  <c r="IB11" i="13"/>
  <c r="IB20" i="13" s="1"/>
  <c r="IA13" i="13"/>
  <c r="IA21" i="13" s="1"/>
  <c r="IB6" i="13" l="1"/>
  <c r="IB18" i="13" s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6" i="13"/>
  <c r="IC18" i="13" s="1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6" i="13"/>
  <c r="ID18" i="13" s="1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6" i="13"/>
  <c r="IE18" i="13" s="1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6" i="13"/>
  <c r="IF18" i="13" s="1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6" i="13"/>
  <c r="IG18" i="13" s="1"/>
  <c r="II3" i="13" l="1"/>
  <c r="II23" i="13" s="1"/>
  <c r="IH26" i="13"/>
  <c r="IH27" i="13" s="1"/>
  <c r="II11" i="13"/>
  <c r="II20" i="13" s="1"/>
  <c r="IH6" i="13"/>
  <c r="IH18" i="13" s="1"/>
  <c r="IG24" i="13"/>
  <c r="IG15" i="13"/>
  <c r="IG22" i="13" s="1"/>
  <c r="IH13" i="13"/>
  <c r="IH21" i="13" s="1"/>
  <c r="IH9" i="13"/>
  <c r="IH19" i="13" s="1"/>
  <c r="IJ11" i="13" l="1"/>
  <c r="IJ20" i="13" s="1"/>
  <c r="IH24" i="13"/>
  <c r="II6" i="13"/>
  <c r="II18" i="13" s="1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6" i="13"/>
  <c r="IJ18" i="13" s="1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6" i="13"/>
  <c r="IK18" i="13" s="1"/>
  <c r="IM11" i="13" l="1"/>
  <c r="IM20" i="13" s="1"/>
  <c r="IL13" i="13"/>
  <c r="IL21" i="13" s="1"/>
  <c r="IK15" i="13"/>
  <c r="IK22" i="13" s="1"/>
  <c r="IL9" i="13"/>
  <c r="IL19" i="13" s="1"/>
  <c r="IK24" i="13"/>
  <c r="IL6" i="13"/>
  <c r="IL18" i="13" s="1"/>
  <c r="IM3" i="13"/>
  <c r="IM23" i="13" s="1"/>
  <c r="IL26" i="13"/>
  <c r="IL27" i="13" s="1"/>
  <c r="IM9" i="13" l="1"/>
  <c r="IM19" i="13" s="1"/>
  <c r="IM13" i="13"/>
  <c r="IM21" i="13" s="1"/>
  <c r="IL24" i="13"/>
  <c r="IM6" i="13"/>
  <c r="IM18" i="13" s="1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6" i="13"/>
  <c r="IN18" i="13" s="1"/>
  <c r="IN26" i="13"/>
  <c r="IN27" i="13" s="1"/>
  <c r="IM15" i="13"/>
  <c r="IM22" i="13" s="1"/>
  <c r="IN9" i="13"/>
  <c r="IN19" i="13" s="1"/>
  <c r="IN24" i="13" l="1"/>
  <c r="D31" i="13" s="1"/>
  <c r="C40" i="15" s="1"/>
  <c r="C42" i="15" s="1"/>
  <c r="IN15" i="13"/>
  <c r="IN22" i="13" s="1"/>
  <c r="D30" i="13" l="1"/>
  <c r="B4" i="20" l="1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50" i="20"/>
  <c r="E50" i="20" s="1"/>
  <c r="K50" i="20"/>
  <c r="K5" i="20"/>
  <c r="D5" i="20"/>
  <c r="E5" i="20" s="1"/>
  <c r="K57" i="20"/>
  <c r="D57" i="20"/>
  <c r="E57" i="20" s="1"/>
  <c r="D25" i="20"/>
  <c r="E25" i="20" s="1"/>
  <c r="K25" i="20"/>
  <c r="D43" i="20"/>
  <c r="E43" i="20" s="1"/>
  <c r="K43" i="20"/>
  <c r="D49" i="20"/>
  <c r="E49" i="20" s="1"/>
  <c r="K49" i="20"/>
  <c r="K32" i="20"/>
  <c r="D32" i="20"/>
  <c r="E32" i="20" s="1"/>
  <c r="D13" i="20"/>
  <c r="E13" i="20" s="1"/>
  <c r="K13" i="20"/>
  <c r="D41" i="20"/>
  <c r="E41" i="20" s="1"/>
  <c r="K41" i="20"/>
  <c r="D59" i="20"/>
  <c r="K31" i="20"/>
  <c r="D31" i="20"/>
  <c r="E31" i="20" s="1"/>
  <c r="D10" i="20"/>
  <c r="E10" i="20" s="1"/>
  <c r="K10" i="20"/>
  <c r="D7" i="20"/>
  <c r="E7" i="20" s="1"/>
  <c r="K7" i="20"/>
  <c r="D45" i="20"/>
  <c r="E45" i="20" s="1"/>
  <c r="K45" i="20"/>
  <c r="D18" i="20"/>
  <c r="E18" i="20" s="1"/>
  <c r="K18" i="20"/>
  <c r="K23" i="20"/>
  <c r="D23" i="20"/>
  <c r="E23" i="20" s="1"/>
  <c r="D44" i="20"/>
  <c r="E44" i="20" s="1"/>
  <c r="K44" i="20"/>
  <c r="D40" i="20"/>
  <c r="E40" i="20" s="1"/>
  <c r="K40" i="20"/>
  <c r="D55" i="20"/>
  <c r="E55" i="20" s="1"/>
  <c r="K55" i="20"/>
  <c r="K9" i="20"/>
  <c r="D9" i="20"/>
  <c r="E9" i="20" s="1"/>
  <c r="D11" i="20"/>
  <c r="E11" i="20" s="1"/>
  <c r="K11" i="20"/>
  <c r="D56" i="20"/>
  <c r="E56" i="20" s="1"/>
  <c r="K56" i="20"/>
  <c r="D8" i="20"/>
  <c r="E8" i="20" s="1"/>
  <c r="K8" i="20"/>
  <c r="K20" i="20"/>
  <c r="D20" i="20"/>
  <c r="E20" i="20" s="1"/>
  <c r="D38" i="20"/>
  <c r="E38" i="20" s="1"/>
  <c r="K38" i="20"/>
  <c r="K52" i="20"/>
  <c r="D52" i="20"/>
  <c r="E52" i="20" s="1"/>
  <c r="K29" i="20"/>
  <c r="D29" i="20"/>
  <c r="E29" i="20" s="1"/>
  <c r="D47" i="20"/>
  <c r="E47" i="20" s="1"/>
  <c r="K47" i="20"/>
  <c r="K24" i="20"/>
  <c r="D24" i="20"/>
  <c r="E24" i="20" s="1"/>
  <c r="K58" i="20"/>
  <c r="D58" i="20"/>
  <c r="E58" i="20" s="1"/>
  <c r="D19" i="20"/>
  <c r="E19" i="20" s="1"/>
  <c r="K19" i="20"/>
  <c r="D15" i="20"/>
  <c r="E15" i="20" s="1"/>
  <c r="K15" i="20"/>
  <c r="K27" i="20"/>
  <c r="D27" i="20"/>
  <c r="E27" i="20" s="1"/>
  <c r="D28" i="20"/>
  <c r="E28" i="20" s="1"/>
  <c r="K28" i="20"/>
  <c r="H5" i="20" l="1"/>
  <c r="H10" i="20"/>
  <c r="H28" i="20"/>
  <c r="H56" i="20"/>
  <c r="H27" i="20"/>
  <c r="H41" i="20"/>
  <c r="H43" i="20"/>
  <c r="H50" i="20"/>
  <c r="H15" i="20"/>
  <c r="H32" i="20"/>
  <c r="H57" i="20"/>
  <c r="H18" i="20"/>
  <c r="H8" i="20"/>
  <c r="H55" i="20"/>
  <c r="H19" i="20"/>
  <c r="H40" i="20"/>
  <c r="H47" i="20"/>
  <c r="H45" i="20"/>
  <c r="H38" i="20"/>
  <c r="H11" i="20"/>
  <c r="H44" i="20"/>
  <c r="H29" i="20"/>
  <c r="H31" i="20"/>
  <c r="H58" i="20"/>
  <c r="H52" i="20"/>
  <c r="H49" i="20"/>
  <c r="H24" i="20"/>
  <c r="H7" i="20"/>
  <c r="H20" i="20"/>
  <c r="H9" i="20"/>
  <c r="H23" i="20"/>
  <c r="H13" i="20"/>
  <c r="H25" i="20"/>
  <c r="E59" i="20"/>
  <c r="H59" i="20" s="1"/>
</calcChain>
</file>

<file path=xl/sharedStrings.xml><?xml version="1.0" encoding="utf-8"?>
<sst xmlns="http://schemas.openxmlformats.org/spreadsheetml/2006/main" count="3496" uniqueCount="555">
  <si>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</si>
  <si>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</si>
  <si>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</si>
  <si>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</si>
  <si>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</si>
  <si>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</si>
  <si>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</si>
  <si>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</si>
  <si>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</si>
  <si>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</si>
  <si>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</si>
  <si>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</si>
  <si>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</si>
  <si>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</si>
  <si>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</si>
  <si>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</si>
  <si>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</si>
  <si>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</si>
  <si>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</si>
  <si>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</si>
  <si>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</si>
  <si>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</si>
  <si>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</si>
  <si>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</si>
  <si>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</si>
  <si>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</si>
  <si>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</si>
  <si>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</si>
  <si>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</si>
  <si>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</si>
  <si>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</si>
  <si>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</si>
  <si>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</si>
  <si>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</si>
  <si>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</si>
  <si>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</si>
  <si>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</si>
  <si>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</si>
  <si>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</si>
  <si>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</si>
  <si>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</si>
  <si>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</si>
  <si>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</si>
  <si>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</si>
  <si>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</si>
  <si>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</si>
  <si>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</si>
  <si>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</si>
  <si>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</si>
  <si>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</si>
  <si>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</si>
  <si>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</si>
  <si>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</si>
  <si>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</si>
  <si>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</si>
  <si>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</si>
  <si>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</si>
  <si>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</si>
  <si>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</si>
  <si>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</si>
  <si>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</si>
  <si>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</si>
  <si>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</si>
  <si>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</si>
  <si>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</si>
  <si>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</si>
  <si>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</si>
  <si>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</si>
  <si>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</si>
  <si>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</si>
  <si>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</si>
  <si>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</si>
  <si>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</si>
  <si>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</si>
  <si>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</si>
  <si>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</si>
  <si>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</si>
  <si>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</si>
  <si>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</si>
  <si>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</si>
  <si>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</si>
  <si>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</si>
  <si>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</si>
  <si>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</si>
  <si>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</si>
  <si>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</si>
  <si>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</si>
  <si>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</si>
  <si>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</si>
  <si>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</si>
  <si>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</si>
  <si>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</si>
  <si>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</si>
  <si>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</si>
  <si>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</si>
  <si>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</si>
  <si>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</si>
  <si>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</si>
  <si>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</si>
  <si>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</si>
  <si>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</si>
  <si>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</si>
  <si>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</si>
  <si>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</si>
  <si>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</si>
  <si>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</si>
  <si>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</si>
  <si>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</si>
  <si>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</si>
  <si>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</si>
  <si>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</si>
  <si>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</si>
  <si>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</si>
  <si>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</si>
  <si>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</si>
  <si>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</si>
  <si>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</si>
  <si>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</si>
  <si>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</si>
  <si>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</si>
  <si>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</si>
  <si>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</si>
  <si>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</si>
  <si>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</si>
  <si>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</si>
  <si>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</si>
  <si>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</si>
  <si>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</si>
  <si>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</si>
  <si>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</si>
  <si>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</si>
  <si>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</si>
  <si>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</si>
  <si>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</si>
  <si>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</si>
  <si>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</si>
  <si>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</si>
  <si>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</si>
  <si>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</si>
  <si>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</si>
  <si>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</si>
  <si>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</si>
  <si>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</si>
  <si>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</si>
  <si>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</si>
  <si>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</si>
  <si>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</si>
  <si>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</si>
  <si>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</si>
  <si>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</si>
  <si>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</si>
  <si>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</si>
  <si>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</si>
  <si>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</si>
  <si>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</si>
  <si>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</si>
  <si>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</si>
  <si>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</si>
  <si>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</si>
  <si>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</si>
  <si>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</si>
  <si>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</si>
  <si>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</si>
  <si>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</si>
  <si>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</si>
  <si>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</si>
  <si>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</si>
  <si>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</si>
  <si>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</si>
  <si>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</si>
  <si>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</si>
  <si>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</si>
  <si>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</si>
  <si>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</si>
  <si>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</si>
  <si>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</si>
  <si>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</si>
  <si>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</si>
  <si>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</si>
  <si>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</si>
  <si>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</si>
  <si>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</si>
  <si>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</si>
  <si>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</si>
  <si>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</si>
  <si>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</si>
  <si>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</si>
  <si>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</si>
  <si>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</si>
  <si>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</si>
  <si>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</si>
  <si>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</si>
  <si>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</si>
  <si>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</si>
  <si>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</si>
  <si>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</si>
  <si>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</si>
  <si>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</si>
  <si>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</si>
  <si>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</si>
  <si>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</si>
  <si>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</si>
  <si>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</si>
  <si>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</si>
  <si>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</si>
  <si>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</si>
  <si>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</si>
  <si>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</si>
  <si>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</si>
  <si>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</si>
  <si>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</si>
  <si>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</si>
  <si>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</si>
  <si>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</si>
  <si>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</si>
  <si>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</si>
  <si>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</si>
  <si>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</si>
  <si>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</si>
  <si>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</si>
  <si>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</si>
  <si>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</si>
  <si>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</si>
  <si>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</si>
  <si>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</si>
  <si>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</si>
  <si>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</si>
  <si>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</si>
  <si>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</si>
  <si>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</si>
  <si>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</si>
  <si>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</si>
  <si>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</si>
  <si>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</si>
  <si>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</si>
  <si>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</si>
  <si>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</si>
  <si>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</si>
  <si>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</si>
  <si>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</si>
  <si>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</si>
  <si>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</si>
  <si>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</si>
  <si>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</si>
  <si>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</si>
  <si>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</si>
  <si>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</si>
  <si>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</si>
  <si>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</si>
  <si>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</si>
  <si>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</si>
  <si>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</si>
  <si>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</si>
  <si>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</si>
  <si>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</si>
  <si>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</si>
  <si>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</si>
  <si>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</si>
  <si>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</si>
  <si>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</si>
  <si>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</si>
  <si>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</si>
  <si>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</si>
  <si>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</si>
  <si>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</si>
  <si>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</si>
  <si>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</si>
  <si>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</si>
  <si>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</si>
  <si>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</si>
  <si>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</si>
  <si>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</si>
  <si>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</si>
  <si>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</si>
  <si>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</si>
  <si>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</si>
  <si>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</si>
  <si>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</si>
  <si>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</si>
  <si>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</si>
  <si>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</si>
  <si>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</si>
  <si>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</si>
  <si>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</si>
  <si>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</si>
  <si>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</si>
  <si>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</si>
  <si>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</si>
  <si>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</si>
  <si>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</si>
  <si>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</si>
  <si>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</si>
  <si>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</si>
  <si>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</si>
  <si>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</si>
  <si>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</si>
  <si>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</si>
  <si>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</si>
  <si>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</si>
  <si>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</si>
  <si>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</si>
  <si>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</si>
  <si>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</si>
  <si>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</si>
  <si>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</si>
  <si>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</si>
  <si>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</si>
  <si>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</si>
  <si>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</si>
  <si>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</si>
  <si>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</si>
  <si>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</si>
  <si>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</si>
  <si>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</si>
  <si>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</si>
  <si>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</si>
  <si>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</si>
  <si>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</si>
  <si>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</si>
  <si>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</si>
  <si>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</si>
  <si>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</si>
  <si>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</si>
  <si>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</si>
  <si>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</si>
  <si>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</si>
  <si>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</si>
  <si>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</si>
  <si>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</si>
  <si>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</si>
  <si>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</si>
  <si>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</si>
  <si>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</si>
  <si>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</si>
  <si>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</si>
  <si>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</si>
  <si>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</si>
  <si>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</si>
  <si>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</si>
  <si>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</si>
  <si>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</si>
  <si>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</si>
  <si>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</si>
  <si>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</si>
  <si>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</si>
  <si>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</si>
  <si>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</si>
  <si>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</si>
  <si>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</si>
  <si>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</si>
  <si>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</si>
  <si>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</si>
  <si>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</si>
  <si>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</si>
  <si>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</si>
  <si>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</si>
  <si>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</si>
  <si>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</si>
  <si>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</si>
  <si>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</si>
  <si>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</si>
  <si>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</si>
  <si>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</si>
  <si>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</si>
  <si>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</si>
  <si>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</si>
  <si>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</si>
  <si>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</si>
  <si>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</si>
  <si>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</si>
  <si>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</si>
  <si>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</si>
  <si>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</si>
  <si>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</si>
  <si>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</si>
  <si>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</si>
  <si>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</si>
  <si>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</si>
  <si>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</si>
  <si>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</si>
  <si>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</si>
  <si>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</si>
  <si>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</si>
  <si>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</si>
  <si>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</si>
  <si>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</si>
  <si>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</si>
  <si>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</si>
  <si>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</si>
  <si>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</si>
  <si>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</si>
  <si>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</si>
  <si>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</si>
  <si>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</si>
  <si>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</si>
  <si>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</si>
  <si>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</si>
  <si>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</si>
  <si>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</si>
  <si>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</si>
  <si>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</si>
  <si>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</si>
  <si>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</si>
  <si>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</si>
  <si>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</si>
  <si>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</si>
  <si>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</si>
  <si>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</si>
  <si>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</si>
  <si>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</si>
  <si>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</si>
  <si>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</si>
  <si>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</si>
  <si>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</si>
  <si>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</si>
  <si>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</si>
  <si>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</si>
  <si>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</si>
  <si>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</si>
  <si>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</si>
  <si>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</si>
  <si>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</si>
  <si>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</si>
  <si>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</si>
  <si>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</si>
  <si>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</si>
  <si>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</si>
  <si>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</si>
  <si>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</si>
  <si>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</si>
  <si>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</si>
  <si>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</si>
  <si>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</si>
  <si>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</si>
  <si>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</si>
  <si>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</si>
  <si>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</si>
  <si>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</si>
  <si>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</si>
  <si>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</si>
  <si>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</si>
  <si>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</si>
  <si>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</si>
  <si>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</si>
  <si>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</si>
  <si>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</si>
  <si>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</si>
  <si>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</si>
  <si>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</si>
  <si>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</si>
  <si>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</si>
  <si>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</si>
  <si>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</si>
  <si>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</si>
  <si>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</si>
  <si>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</si>
  <si>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</si>
  <si>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</si>
  <si>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</si>
  <si>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</si>
  <si>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</si>
  <si>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</si>
  <si>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</si>
  <si>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</si>
  <si>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</si>
  <si>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</si>
  <si>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</si>
  <si>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</si>
  <si>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</si>
  <si>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</si>
  <si>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</si>
  <si>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</si>
  <si>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</si>
  <si>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</si>
  <si>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</si>
  <si>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</si>
  <si>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</si>
  <si>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</si>
  <si>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</si>
  <si>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</si>
  <si>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</si>
  <si>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</si>
  <si>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</si>
  <si>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</si>
  <si>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</si>
  <si>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</si>
  <si>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</si>
  <si>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</si>
  <si>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</si>
  <si>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</si>
  <si>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</si>
  <si>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</si>
  <si>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</si>
  <si>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</si>
  <si>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Daily increase rate</t>
  </si>
  <si>
    <t>Infected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</si>
  <si>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</si>
  <si>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</si>
  <si>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</si>
  <si>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</si>
  <si>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</si>
  <si>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</si>
  <si>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</si>
  <si>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</si>
  <si>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</si>
  <si>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</si>
  <si>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</si>
  <si>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</si>
  <si>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</si>
  <si>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</si>
  <si>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</si>
  <si>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Days until healthcare overload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</si>
  <si>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</si>
  <si>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</si>
  <si>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</si>
  <si>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</si>
  <si>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</si>
  <si>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</si>
  <si>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</si>
  <si>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</si>
  <si>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</si>
  <si>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</si>
  <si>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</si>
  <si>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</si>
  <si>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</si>
  <si>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</si>
  <si>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</si>
  <si>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</si>
  <si>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</si>
  <si>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</si>
  <si>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</si>
  <si>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</si>
  <si>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</si>
  <si>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</si>
  <si>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</si>
  <si>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</si>
  <si>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</si>
  <si>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</si>
  <si>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</si>
  <si>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</si>
  <si>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</si>
  <si>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Age group</t>
  </si>
  <si>
    <t>% symptomatic cases requiring hospital</t>
  </si>
  <si>
    <t>% hospitalised cases requiring critical care</t>
  </si>
  <si>
    <t>Infection Fatality Ratio</t>
  </si>
  <si>
    <t>0 to 9</t>
  </si>
  <si>
    <t>10 to 19</t>
  </si>
  <si>
    <t>20 to 29</t>
  </si>
  <si>
    <t>30 to 39</t>
  </si>
  <si>
    <t>40 to 49</t>
  </si>
  <si>
    <t>50 to 59</t>
  </si>
  <si>
    <t>60 to 69</t>
  </si>
  <si>
    <t>70 to 79</t>
  </si>
  <si>
    <t>80+</t>
  </si>
  <si>
    <r>
      <rPr>
        <b/>
        <sz val="13"/>
        <rFont val="Verdana"/>
        <family val="2"/>
      </rPr>
      <t>*Assumptions</t>
    </r>
    <r>
      <rPr>
        <sz val="13"/>
        <rFont val="Verdana"/>
        <family val="2"/>
      </rPr>
      <t>: Number requiring critical care = 3x current country fatality rate based on data from Imperial College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</si>
</sst>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71" formatCode="0.0%"/>
    <numFmt numFmtId="173" formatCode="0.000000000000000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b/>
      <sz val="8"/>
      <color rgb="FF4B4E5A"/>
      <name val="Arial"/>
      <family val="2"/>
    </font>
    <font>
      <sz val="8"/>
      <color rgb="FF4B4E5A"/>
      <name val="Arial"/>
      <family val="2"/>
    </font>
    <font>
      <sz val="13"/>
      <name val="Verdana"/>
      <family val="2"/>
    </font>
    <font>
      <b/>
      <sz val="1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8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9" xfId="0" applyFont="1" applyFill="1" applyBorder="1"/>
    <xf numFmtId="0" fontId="8" fillId="6" borderId="10" xfId="0" applyFont="1" applyFill="1" applyBorder="1"/>
    <xf numFmtId="0" fontId="8" fillId="6" borderId="0" xfId="0" applyFont="1" applyFill="1" applyBorder="1"/>
    <xf numFmtId="0" fontId="8" fillId="6" borderId="11" xfId="0" applyFont="1" applyFill="1" applyBorder="1"/>
    <xf numFmtId="0" fontId="8" fillId="6" borderId="12" xfId="0" applyFont="1" applyFill="1" applyBorder="1"/>
    <xf numFmtId="0" fontId="8" fillId="6" borderId="13" xfId="0" applyFont="1" applyFill="1" applyBorder="1"/>
    <xf numFmtId="0" fontId="8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10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5" borderId="17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vertical="center"/>
    </xf>
    <xf numFmtId="165" fontId="11" fillId="6" borderId="11" xfId="1" applyNumberFormat="1" applyFont="1" applyFill="1" applyBorder="1" applyAlignment="1">
      <alignment vertical="center"/>
    </xf>
    <xf numFmtId="165" fontId="11" fillId="6" borderId="0" xfId="1" applyNumberFormat="1" applyFont="1" applyFill="1" applyBorder="1" applyAlignment="1">
      <alignment vertical="center"/>
    </xf>
    <xf numFmtId="0" fontId="11" fillId="6" borderId="0" xfId="0" applyFont="1" applyFill="1" applyBorder="1" applyAlignment="1">
      <alignment vertical="center"/>
    </xf>
    <xf numFmtId="0" fontId="12" fillId="4" borderId="20" xfId="0" applyFont="1" applyFill="1" applyBorder="1" applyAlignment="1">
      <alignment horizontal="center" vertical="center" wrapText="1"/>
    </xf>
    <xf numFmtId="0" fontId="12" fillId="4" borderId="15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0" fontId="11" fillId="6" borderId="10" xfId="0" applyNumberFormat="1" applyFont="1" applyFill="1" applyBorder="1" applyAlignment="1">
      <alignment horizontal="center" vertical="center"/>
    </xf>
    <xf numFmtId="43" fontId="13" fillId="6" borderId="11" xfId="1" applyFont="1" applyFill="1" applyBorder="1" applyAlignment="1">
      <alignment horizontal="center" vertical="center"/>
    </xf>
    <xf numFmtId="166" fontId="11" fillId="6" borderId="0" xfId="1" applyNumberFormat="1" applyFont="1" applyFill="1" applyBorder="1" applyAlignment="1">
      <alignment vertical="center"/>
    </xf>
    <xf numFmtId="165" fontId="11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4" fillId="6" borderId="0" xfId="0" applyFont="1" applyFill="1" applyBorder="1" applyAlignment="1">
      <alignment shrinkToFit="1"/>
    </xf>
    <xf numFmtId="9" fontId="13" fillId="6" borderId="11" xfId="2" applyFont="1" applyFill="1" applyBorder="1" applyAlignment="1">
      <alignment horizontal="right" vertical="center" indent="1"/>
    </xf>
    <xf numFmtId="0" fontId="7" fillId="4" borderId="17" xfId="0" applyFont="1" applyFill="1" applyBorder="1" applyAlignment="1">
      <alignment horizontal="right" vertical="center"/>
    </xf>
    <xf numFmtId="165" fontId="15" fillId="5" borderId="17" xfId="1" applyNumberFormat="1" applyFont="1" applyFill="1" applyBorder="1" applyAlignment="1">
      <alignment horizontal="left" vertical="center"/>
    </xf>
    <xf numFmtId="0" fontId="14" fillId="4" borderId="17" xfId="0" applyFont="1" applyFill="1" applyBorder="1" applyAlignment="1">
      <alignment horizontal="left" vertical="center"/>
    </xf>
    <xf numFmtId="0" fontId="19" fillId="4" borderId="18" xfId="0" applyFont="1" applyFill="1" applyBorder="1" applyAlignment="1">
      <alignment horizontal="left" vertical="center" wrapText="1" shrinkToFit="1"/>
    </xf>
    <xf numFmtId="0" fontId="19" fillId="4" borderId="19" xfId="0" applyFont="1" applyFill="1" applyBorder="1" applyAlignment="1">
      <alignment horizontal="left" vertical="center" wrapText="1" shrinkToFit="1"/>
    </xf>
    <xf numFmtId="9" fontId="15" fillId="5" borderId="18" xfId="2" applyFont="1" applyFill="1" applyBorder="1" applyAlignment="1">
      <alignment horizontal="right" vertical="center" shrinkToFit="1"/>
    </xf>
    <xf numFmtId="9" fontId="15" fillId="5" borderId="19" xfId="2" applyFont="1" applyFill="1" applyBorder="1" applyAlignment="1">
      <alignment horizontal="right" vertical="center" shrinkToFit="1"/>
    </xf>
    <xf numFmtId="0" fontId="14" fillId="4" borderId="18" xfId="0" applyFont="1" applyFill="1" applyBorder="1" applyAlignment="1">
      <alignment horizontal="left" vertical="center" shrinkToFit="1"/>
    </xf>
    <xf numFmtId="0" fontId="14" fillId="4" borderId="19" xfId="0" applyFont="1" applyFill="1" applyBorder="1" applyAlignment="1">
      <alignment horizontal="left" vertical="center" shrinkToFit="1"/>
    </xf>
    <xf numFmtId="165" fontId="15" fillId="5" borderId="18" xfId="1" applyNumberFormat="1" applyFont="1" applyFill="1" applyBorder="1" applyAlignment="1">
      <alignment horizontal="right" vertical="center" shrinkToFit="1"/>
    </xf>
    <xf numFmtId="165" fontId="15" fillId="5" borderId="19" xfId="1" applyNumberFormat="1" applyFont="1" applyFill="1" applyBorder="1" applyAlignment="1">
      <alignment horizontal="right" vertical="center" shrinkToFit="1"/>
    </xf>
    <xf numFmtId="14" fontId="15" fillId="5" borderId="18" xfId="2" applyNumberFormat="1" applyFont="1" applyFill="1" applyBorder="1" applyAlignment="1">
      <alignment horizontal="right" vertical="center" shrinkToFit="1"/>
    </xf>
    <xf numFmtId="14" fontId="15" fillId="5" borderId="19" xfId="2" applyNumberFormat="1" applyFont="1" applyFill="1" applyBorder="1" applyAlignment="1">
      <alignment horizontal="right" vertical="center" shrinkToFit="1"/>
    </xf>
    <xf numFmtId="0" fontId="18" fillId="6" borderId="0" xfId="0" applyFont="1" applyFill="1" applyBorder="1" applyAlignment="1">
      <alignment horizontal="left"/>
    </xf>
    <xf numFmtId="0" fontId="14" fillId="4" borderId="17" xfId="0" applyFont="1" applyFill="1" applyBorder="1" applyAlignment="1">
      <alignment horizontal="left" vertical="center" wrapText="1"/>
    </xf>
    <xf numFmtId="0" fontId="15" fillId="5" borderId="17" xfId="1" applyNumberFormat="1" applyFont="1" applyFill="1" applyBorder="1" applyAlignment="1">
      <alignment horizontal="right" vertical="center"/>
    </xf>
    <xf numFmtId="14" fontId="15" fillId="5" borderId="17" xfId="1" applyNumberFormat="1" applyFont="1" applyFill="1" applyBorder="1" applyAlignment="1">
      <alignment horizontal="right" vertical="center"/>
    </xf>
    <xf numFmtId="10" fontId="15" fillId="5" borderId="17" xfId="0" applyNumberFormat="1" applyFont="1" applyFill="1" applyBorder="1" applyAlignment="1">
      <alignment horizontal="right" vertical="center"/>
    </xf>
    <xf numFmtId="0" fontId="14" fillId="4" borderId="18" xfId="0" applyFont="1" applyFill="1" applyBorder="1" applyAlignment="1">
      <alignment horizontal="left" vertical="center" wrapText="1" shrinkToFit="1"/>
    </xf>
    <xf numFmtId="0" fontId="14" fillId="4" borderId="19" xfId="0" applyFont="1" applyFill="1" applyBorder="1" applyAlignment="1">
      <alignment horizontal="left" vertical="center" wrapText="1" shrinkToFit="1"/>
    </xf>
    <xf numFmtId="0" fontId="9" fillId="4" borderId="21" xfId="0" applyFont="1" applyFill="1" applyBorder="1" applyAlignment="1">
      <alignment horizontal="left" vertical="center" wrapText="1"/>
    </xf>
    <xf numFmtId="0" fontId="9" fillId="4" borderId="22" xfId="0" applyFont="1" applyFill="1" applyBorder="1" applyAlignment="1">
      <alignment horizontal="left" vertical="center" wrapText="1"/>
    </xf>
    <xf numFmtId="0" fontId="9" fillId="4" borderId="23" xfId="0" applyFont="1" applyFill="1" applyBorder="1" applyAlignment="1">
      <alignment horizontal="left" vertical="center" wrapText="1"/>
    </xf>
    <xf numFmtId="0" fontId="9" fillId="4" borderId="24" xfId="0" applyFont="1" applyFill="1" applyBorder="1" applyAlignment="1">
      <alignment horizontal="left" vertical="center" wrapText="1"/>
    </xf>
    <xf numFmtId="0" fontId="9" fillId="4" borderId="25" xfId="0" applyFont="1" applyFill="1" applyBorder="1" applyAlignment="1">
      <alignment horizontal="left" vertical="center" wrapText="1"/>
    </xf>
    <xf numFmtId="0" fontId="9" fillId="4" borderId="26" xfId="0" applyFont="1" applyFill="1" applyBorder="1" applyAlignment="1">
      <alignment horizontal="left" vertical="center" wrapText="1"/>
    </xf>
    <xf numFmtId="0" fontId="15" fillId="5" borderId="18" xfId="0" applyFont="1" applyFill="1" applyBorder="1" applyAlignment="1">
      <alignment horizontal="center" vertical="center" shrinkToFit="1"/>
    </xf>
    <xf numFmtId="0" fontId="15" fillId="5" borderId="19" xfId="0" applyFont="1" applyFill="1" applyBorder="1" applyAlignment="1">
      <alignment horizontal="center" vertical="center" shrinkToFit="1"/>
    </xf>
    <xf numFmtId="165" fontId="17" fillId="5" borderId="18" xfId="1" applyNumberFormat="1" applyFont="1" applyFill="1" applyBorder="1" applyAlignment="1">
      <alignment horizontal="right" vertical="center" shrinkToFit="1"/>
    </xf>
    <xf numFmtId="165" fontId="17" fillId="5" borderId="19" xfId="1" applyNumberFormat="1" applyFont="1" applyFill="1" applyBorder="1" applyAlignment="1">
      <alignment horizontal="right" vertical="center" shrinkToFit="1"/>
    </xf>
    <xf numFmtId="165" fontId="16" fillId="5" borderId="18" xfId="1" applyNumberFormat="1" applyFont="1" applyFill="1" applyBorder="1" applyAlignment="1">
      <alignment horizontal="center" vertical="center" shrinkToFit="1"/>
    </xf>
    <xf numFmtId="165" fontId="16" fillId="5" borderId="19" xfId="1" applyNumberFormat="1" applyFont="1" applyFill="1" applyBorder="1" applyAlignment="1">
      <alignment horizontal="center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5" fillId="5" borderId="18" xfId="1" applyNumberFormat="1" applyFont="1" applyFill="1" applyBorder="1" applyAlignment="1">
      <alignment horizontal="left" vertical="center" shrinkToFit="1"/>
    </xf>
    <xf numFmtId="165" fontId="15" fillId="5" borderId="19" xfId="1" applyNumberFormat="1" applyFont="1" applyFill="1" applyBorder="1" applyAlignment="1">
      <alignment horizontal="left" vertical="center" shrinkToFit="1"/>
    </xf>
    <xf numFmtId="0" fontId="20" fillId="2" borderId="0" xfId="0" applyFont="1" applyFill="1" applyAlignment="1">
      <alignment horizontal="left" vertical="top" wrapText="1"/>
    </xf>
    <xf numFmtId="0" fontId="21" fillId="2" borderId="28" xfId="0" applyFont="1" applyFill="1" applyBorder="1" applyAlignment="1">
      <alignment horizontal="left" vertical="top" wrapText="1"/>
    </xf>
    <xf numFmtId="10" fontId="21" fillId="2" borderId="28" xfId="0" applyNumberFormat="1" applyFont="1" applyFill="1" applyBorder="1" applyAlignment="1">
      <alignment horizontal="left" vertical="top" wrapText="1"/>
    </xf>
    <xf numFmtId="9" fontId="21" fillId="2" borderId="28" xfId="0" applyNumberFormat="1" applyFont="1" applyFill="1" applyBorder="1" applyAlignment="1">
      <alignment horizontal="left" vertical="top" wrapText="1"/>
    </xf>
    <xf numFmtId="0" fontId="21" fillId="2" borderId="29" xfId="0" applyFont="1" applyFill="1" applyBorder="1" applyAlignment="1">
      <alignment horizontal="left" vertical="top" wrapText="1"/>
    </xf>
    <xf numFmtId="10" fontId="21" fillId="2" borderId="29" xfId="0" applyNumberFormat="1" applyFont="1" applyFill="1" applyBorder="1" applyAlignment="1">
      <alignment horizontal="left" vertical="top" wrapText="1"/>
    </xf>
    <xf numFmtId="171" fontId="0" fillId="0" borderId="0" xfId="0" applyNumberFormat="1"/>
    <xf numFmtId="43" fontId="0" fillId="0" borderId="0" xfId="1" applyFont="1"/>
    <xf numFmtId="0" fontId="22" fillId="6" borderId="27" xfId="0" applyFont="1" applyFill="1" applyBorder="1" applyAlignment="1">
      <alignment horizontal="left" vertical="center" wrapText="1"/>
    </xf>
    <xf numFmtId="0" fontId="22" fillId="6" borderId="0" xfId="0" applyFont="1" applyFill="1" applyBorder="1" applyAlignment="1">
      <alignment horizontal="left" vertical="center" wrapText="1"/>
    </xf>
    <xf numFmtId="0" fontId="18" fillId="6" borderId="0" xfId="0" applyFont="1" applyFill="1" applyBorder="1" applyAlignment="1">
      <alignment horizontal="left" vertical="center" wrapText="1"/>
    </xf>
    <xf numFmtId="0" fontId="18" fillId="6" borderId="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vertical="center" wrapText="1"/>
    </xf>
    <xf numFmtId="0" fontId="18" fillId="6" borderId="27" xfId="0" applyFont="1" applyFill="1" applyBorder="1" applyAlignment="1">
      <alignment horizontal="left" vertical="center" wrapText="1"/>
    </xf>
    <xf numFmtId="173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3091</c:v>
                </c:pt>
                <c:pt idx="15">
                  <c:v>3400.1000000000004</c:v>
                </c:pt>
                <c:pt idx="16">
                  <c:v>3740.1100000000006</c:v>
                </c:pt>
                <c:pt idx="17">
                  <c:v>4114.121000000001</c:v>
                </c:pt>
                <c:pt idx="18">
                  <c:v>4525.5331000000015</c:v>
                </c:pt>
                <c:pt idx="19">
                  <c:v>4978.0864100000017</c:v>
                </c:pt>
                <c:pt idx="20">
                  <c:v>5475.8950510000022</c:v>
                </c:pt>
                <c:pt idx="21">
                  <c:v>6023.4845561000029</c:v>
                </c:pt>
                <c:pt idx="22">
                  <c:v>6625.833011710004</c:v>
                </c:pt>
                <c:pt idx="23">
                  <c:v>7288.4163128810051</c:v>
                </c:pt>
                <c:pt idx="24">
                  <c:v>8017.2579441691059</c:v>
                </c:pt>
                <c:pt idx="25">
                  <c:v>8818.9837385860174</c:v>
                </c:pt>
                <c:pt idx="26">
                  <c:v>9700.8821124446204</c:v>
                </c:pt>
                <c:pt idx="27">
                  <c:v>10670.970323689084</c:v>
                </c:pt>
                <c:pt idx="28">
                  <c:v>11738.067356057993</c:v>
                </c:pt>
                <c:pt idx="29">
                  <c:v>12911.874091663793</c:v>
                </c:pt>
                <c:pt idx="30">
                  <c:v>14203.061500830174</c:v>
                </c:pt>
                <c:pt idx="31">
                  <c:v>15623.367650913193</c:v>
                </c:pt>
                <c:pt idx="32">
                  <c:v>17185.704416004515</c:v>
                </c:pt>
                <c:pt idx="33">
                  <c:v>18904.274857604967</c:v>
                </c:pt>
                <c:pt idx="34">
                  <c:v>20794.702343365465</c:v>
                </c:pt>
                <c:pt idx="35">
                  <c:v>22874.172577702015</c:v>
                </c:pt>
                <c:pt idx="36">
                  <c:v>25161.589835472219</c:v>
                </c:pt>
                <c:pt idx="37">
                  <c:v>27677.748819019445</c:v>
                </c:pt>
                <c:pt idx="38">
                  <c:v>30445.523700921392</c:v>
                </c:pt>
                <c:pt idx="39">
                  <c:v>33490.076071013536</c:v>
                </c:pt>
                <c:pt idx="40">
                  <c:v>36839.08367811489</c:v>
                </c:pt>
                <c:pt idx="41">
                  <c:v>40522.992045926381</c:v>
                </c:pt>
                <c:pt idx="42">
                  <c:v>44575.291250519025</c:v>
                </c:pt>
                <c:pt idx="43">
                  <c:v>49032.820375570933</c:v>
                </c:pt>
                <c:pt idx="44">
                  <c:v>53936.102413128028</c:v>
                </c:pt>
                <c:pt idx="45">
                  <c:v>59329.712654440838</c:v>
                </c:pt>
                <c:pt idx="46">
                  <c:v>65262.683919884927</c:v>
                </c:pt>
                <c:pt idx="47">
                  <c:v>71788.952311873421</c:v>
                </c:pt>
                <c:pt idx="48">
                  <c:v>78967.847543060765</c:v>
                </c:pt>
                <c:pt idx="49">
                  <c:v>86864.632297366843</c:v>
                </c:pt>
                <c:pt idx="50">
                  <c:v>95551.095527103535</c:v>
                </c:pt>
                <c:pt idx="51">
                  <c:v>105106.2050798139</c:v>
                </c:pt>
                <c:pt idx="52">
                  <c:v>115616.82558779529</c:v>
                </c:pt>
                <c:pt idx="53">
                  <c:v>127178.50814657484</c:v>
                </c:pt>
                <c:pt idx="54">
                  <c:v>139896.35896123233</c:v>
                </c:pt>
                <c:pt idx="55">
                  <c:v>153885.99485735557</c:v>
                </c:pt>
                <c:pt idx="56">
                  <c:v>169274.59434309116</c:v>
                </c:pt>
                <c:pt idx="57">
                  <c:v>186202.05377740029</c:v>
                </c:pt>
                <c:pt idx="58">
                  <c:v>204822.25915514035</c:v>
                </c:pt>
                <c:pt idx="59">
                  <c:v>225304.48507065439</c:v>
                </c:pt>
                <c:pt idx="60">
                  <c:v>247834.93357771984</c:v>
                </c:pt>
                <c:pt idx="61">
                  <c:v>272618.42693549185</c:v>
                </c:pt>
                <c:pt idx="62">
                  <c:v>299880.26962904108</c:v>
                </c:pt>
                <c:pt idx="63">
                  <c:v>329868.29659194523</c:v>
                </c:pt>
                <c:pt idx="64">
                  <c:v>362855.12625113979</c:v>
                </c:pt>
                <c:pt idx="65">
                  <c:v>399140.6388762538</c:v>
                </c:pt>
                <c:pt idx="66">
                  <c:v>439054.70276387921</c:v>
                </c:pt>
                <c:pt idx="67">
                  <c:v>482960.17304026714</c:v>
                </c:pt>
                <c:pt idx="68">
                  <c:v>531256.19034429395</c:v>
                </c:pt>
                <c:pt idx="69">
                  <c:v>584381.80937872338</c:v>
                </c:pt>
                <c:pt idx="70">
                  <c:v>642819.99031659577</c:v>
                </c:pt>
                <c:pt idx="71">
                  <c:v>707101.98934825545</c:v>
                </c:pt>
                <c:pt idx="72">
                  <c:v>777812.18828308105</c:v>
                </c:pt>
                <c:pt idx="73">
                  <c:v>855593.40711138921</c:v>
                </c:pt>
                <c:pt idx="74">
                  <c:v>941152.74782252824</c:v>
                </c:pt>
                <c:pt idx="75">
                  <c:v>1035268.0226047812</c:v>
                </c:pt>
                <c:pt idx="76">
                  <c:v>1138794.8248652595</c:v>
                </c:pt>
                <c:pt idx="77">
                  <c:v>1252674.3073517855</c:v>
                </c:pt>
                <c:pt idx="78">
                  <c:v>1377941.7380869642</c:v>
                </c:pt>
                <c:pt idx="79">
                  <c:v>1515735.9118956607</c:v>
                </c:pt>
                <c:pt idx="80">
                  <c:v>1667309.503085227</c:v>
                </c:pt>
                <c:pt idx="81">
                  <c:v>1834040.4533937499</c:v>
                </c:pt>
                <c:pt idx="82">
                  <c:v>2017444.4987331249</c:v>
                </c:pt>
                <c:pt idx="83">
                  <c:v>2219188.9486064375</c:v>
                </c:pt>
                <c:pt idx="84">
                  <c:v>2441107.8434670814</c:v>
                </c:pt>
                <c:pt idx="85">
                  <c:v>2685218.62781379</c:v>
                </c:pt>
                <c:pt idx="86">
                  <c:v>2953740.4905951694</c:v>
                </c:pt>
                <c:pt idx="87">
                  <c:v>3249114.5396546866</c:v>
                </c:pt>
                <c:pt idx="88">
                  <c:v>3574025.9936201554</c:v>
                </c:pt>
                <c:pt idx="89">
                  <c:v>3931428.5929821711</c:v>
                </c:pt>
                <c:pt idx="90">
                  <c:v>4324571.4522803882</c:v>
                </c:pt>
                <c:pt idx="91">
                  <c:v>4757028.5975084277</c:v>
                </c:pt>
                <c:pt idx="92">
                  <c:v>5232731.4572592713</c:v>
                </c:pt>
                <c:pt idx="93">
                  <c:v>5756004.6029851986</c:v>
                </c:pt>
                <c:pt idx="94">
                  <c:v>6331605.0632837191</c:v>
                </c:pt>
                <c:pt idx="95">
                  <c:v>6964765.5696120914</c:v>
                </c:pt>
                <c:pt idx="96">
                  <c:v>7661242.1265733009</c:v>
                </c:pt>
                <c:pt idx="97">
                  <c:v>8427366.3392306324</c:v>
                </c:pt>
                <c:pt idx="98">
                  <c:v>9270102.9731536973</c:v>
                </c:pt>
                <c:pt idx="99">
                  <c:v>10197113.270469068</c:v>
                </c:pt>
                <c:pt idx="100">
                  <c:v>11216824.597515976</c:v>
                </c:pt>
                <c:pt idx="101">
                  <c:v>12338507.057267575</c:v>
                </c:pt>
                <c:pt idx="102">
                  <c:v>13572357.762994332</c:v>
                </c:pt>
                <c:pt idx="103">
                  <c:v>14929593.539293766</c:v>
                </c:pt>
                <c:pt idx="104">
                  <c:v>16422552.893223144</c:v>
                </c:pt>
                <c:pt idx="105">
                  <c:v>18064808.182545461</c:v>
                </c:pt>
                <c:pt idx="106">
                  <c:v>19871289.00080001</c:v>
                </c:pt>
                <c:pt idx="107">
                  <c:v>21858417.900880013</c:v>
                </c:pt>
                <c:pt idx="108">
                  <c:v>24044259.690968014</c:v>
                </c:pt>
                <c:pt idx="109">
                  <c:v>26448685.660064816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3091</c:v>
                </c:pt>
                <c:pt idx="15">
                  <c:v>3863.75</c:v>
                </c:pt>
                <c:pt idx="16">
                  <c:v>4829.6875</c:v>
                </c:pt>
                <c:pt idx="17">
                  <c:v>6037.109375</c:v>
                </c:pt>
                <c:pt idx="18">
                  <c:v>7546.38671875</c:v>
                </c:pt>
                <c:pt idx="19">
                  <c:v>9432.9833984375</c:v>
                </c:pt>
                <c:pt idx="20">
                  <c:v>11791.229248046875</c:v>
                </c:pt>
                <c:pt idx="21">
                  <c:v>14739.036560058594</c:v>
                </c:pt>
                <c:pt idx="22">
                  <c:v>18423.795700073242</c:v>
                </c:pt>
                <c:pt idx="23">
                  <c:v>23029.744625091553</c:v>
                </c:pt>
                <c:pt idx="24">
                  <c:v>28787.180781364441</c:v>
                </c:pt>
                <c:pt idx="25">
                  <c:v>35983.975976705551</c:v>
                </c:pt>
                <c:pt idx="26">
                  <c:v>44979.969970881939</c:v>
                </c:pt>
                <c:pt idx="27">
                  <c:v>56224.962463602424</c:v>
                </c:pt>
                <c:pt idx="28">
                  <c:v>70281.20307950303</c:v>
                </c:pt>
                <c:pt idx="29">
                  <c:v>87851.503849378787</c:v>
                </c:pt>
                <c:pt idx="30">
                  <c:v>109814.37981172348</c:v>
                </c:pt>
                <c:pt idx="31">
                  <c:v>137267.97476465435</c:v>
                </c:pt>
                <c:pt idx="32">
                  <c:v>171584.96845581796</c:v>
                </c:pt>
                <c:pt idx="33">
                  <c:v>214481.21056977246</c:v>
                </c:pt>
                <c:pt idx="34">
                  <c:v>268101.51321221556</c:v>
                </c:pt>
                <c:pt idx="35">
                  <c:v>335126.89151526947</c:v>
                </c:pt>
                <c:pt idx="36">
                  <c:v>418908.61439408682</c:v>
                </c:pt>
                <c:pt idx="37">
                  <c:v>523635.76799260854</c:v>
                </c:pt>
                <c:pt idx="38">
                  <c:v>654544.70999076066</c:v>
                </c:pt>
                <c:pt idx="39">
                  <c:v>818180.88748845086</c:v>
                </c:pt>
                <c:pt idx="40">
                  <c:v>1022726.1093605636</c:v>
                </c:pt>
                <c:pt idx="41">
                  <c:v>1278407.6367007045</c:v>
                </c:pt>
                <c:pt idx="42">
                  <c:v>1598009.5458758806</c:v>
                </c:pt>
                <c:pt idx="43">
                  <c:v>1997511.9323448509</c:v>
                </c:pt>
                <c:pt idx="44">
                  <c:v>2496889.9154310636</c:v>
                </c:pt>
                <c:pt idx="45">
                  <c:v>3121112.3942888295</c:v>
                </c:pt>
                <c:pt idx="46">
                  <c:v>3901390.4928610371</c:v>
                </c:pt>
                <c:pt idx="47">
                  <c:v>4876738.1160762962</c:v>
                </c:pt>
                <c:pt idx="48">
                  <c:v>6095922.6450953707</c:v>
                </c:pt>
                <c:pt idx="49">
                  <c:v>7619903.3063692134</c:v>
                </c:pt>
                <c:pt idx="50">
                  <c:v>9524879.1329615172</c:v>
                </c:pt>
                <c:pt idx="51">
                  <c:v>11906098.916201897</c:v>
                </c:pt>
                <c:pt idx="52">
                  <c:v>14882623.645252371</c:v>
                </c:pt>
                <c:pt idx="53">
                  <c:v>18603279.556565464</c:v>
                </c:pt>
                <c:pt idx="54">
                  <c:v>23254099.445706829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3091</c:v>
                </c:pt>
                <c:pt idx="15">
                  <c:v>4327.3999999999996</c:v>
                </c:pt>
                <c:pt idx="16">
                  <c:v>6058.3599999999988</c:v>
                </c:pt>
                <c:pt idx="17">
                  <c:v>8481.7039999999979</c:v>
                </c:pt>
                <c:pt idx="18">
                  <c:v>11874.385599999996</c:v>
                </c:pt>
                <c:pt idx="19">
                  <c:v>16624.139839999993</c:v>
                </c:pt>
                <c:pt idx="20">
                  <c:v>23273.795775999988</c:v>
                </c:pt>
                <c:pt idx="21">
                  <c:v>32583.31408639998</c:v>
                </c:pt>
                <c:pt idx="22">
                  <c:v>45616.639720959967</c:v>
                </c:pt>
                <c:pt idx="23">
                  <c:v>63863.29560934395</c:v>
                </c:pt>
                <c:pt idx="24">
                  <c:v>89408.613853081522</c:v>
                </c:pt>
                <c:pt idx="25">
                  <c:v>125172.05939431413</c:v>
                </c:pt>
                <c:pt idx="26">
                  <c:v>175240.88315203978</c:v>
                </c:pt>
                <c:pt idx="27">
                  <c:v>245337.23641285568</c:v>
                </c:pt>
                <c:pt idx="28">
                  <c:v>343472.13097799791</c:v>
                </c:pt>
                <c:pt idx="29">
                  <c:v>480860.98336919706</c:v>
                </c:pt>
                <c:pt idx="30">
                  <c:v>673205.37671687582</c:v>
                </c:pt>
                <c:pt idx="31">
                  <c:v>942487.52740362613</c:v>
                </c:pt>
                <c:pt idx="32">
                  <c:v>1319482.5383650765</c:v>
                </c:pt>
                <c:pt idx="33">
                  <c:v>1847275.553711107</c:v>
                </c:pt>
                <c:pt idx="34">
                  <c:v>2586185.7751955497</c:v>
                </c:pt>
                <c:pt idx="35">
                  <c:v>3620660.0852737692</c:v>
                </c:pt>
                <c:pt idx="36">
                  <c:v>5068924.1193832764</c:v>
                </c:pt>
                <c:pt idx="37">
                  <c:v>7096493.7671365868</c:v>
                </c:pt>
                <c:pt idx="38">
                  <c:v>9935091.2739912216</c:v>
                </c:pt>
                <c:pt idx="39">
                  <c:v>13909127.783587709</c:v>
                </c:pt>
                <c:pt idx="40">
                  <c:v>19472778.897022791</c:v>
                </c:pt>
                <c:pt idx="41">
                  <c:v>27154404.400000002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(23%)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3091</c:v>
                </c:pt>
                <c:pt idx="15">
                  <c:v>3797.7379235667345</c:v>
                </c:pt>
                <c:pt idx="16">
                  <c:v>4666.0670773526272</c:v>
                </c:pt>
                <c:pt idx="17">
                  <c:v>5732.934291028233</c:v>
                </c:pt>
                <c:pt idx="18">
                  <c:v>7043.7340570540573</c:v>
                </c:pt>
                <c:pt idx="19">
                  <c:v>8654.2400362318876</c:v>
                </c:pt>
                <c:pt idx="20">
                  <c:v>10632.978189986214</c:v>
                </c:pt>
                <c:pt idx="21">
                  <c:v>13064.142514580595</c:v>
                </c:pt>
                <c:pt idx="22">
                  <c:v>16051.177439826337</c:v>
                </c:pt>
                <c:pt idx="23">
                  <c:v>19721.179320972915</c:v>
                </c:pt>
                <c:pt idx="24">
                  <c:v>24230.30430434128</c:v>
                </c:pt>
                <c:pt idx="25">
                  <c:v>29770.412667796558</c:v>
                </c:pt>
                <c:pt idx="26">
                  <c:v>36577.232348341153</c:v>
                </c:pt>
                <c:pt idx="27">
                  <c:v>44940.38900951379</c:v>
                </c:pt>
                <c:pt idx="28">
                  <c:v>55215.729421310964</c:v>
                </c:pt>
                <c:pt idx="29">
                  <c:v>67840.462504274386</c:v>
                </c:pt>
                <c:pt idx="30">
                  <c:v>83351.762279129704</c:v>
                </c:pt>
                <c:pt idx="31">
                  <c:v>102409.62426514723</c:v>
                </c:pt>
                <c:pt idx="32">
                  <c:v>125824.94785181808</c:v>
                </c:pt>
                <c:pt idx="33">
                  <c:v>154594.0395301379</c:v>
                </c:pt>
                <c:pt idx="34">
                  <c:v>189941.00507310888</c:v>
                </c:pt>
                <c:pt idx="35">
                  <c:v>233369.83442462864</c:v>
                </c:pt>
                <c:pt idx="36">
                  <c:v>286728.39547424839</c:v>
                </c:pt>
                <c:pt idx="37">
                  <c:v>352287.05961047998</c:v>
                </c:pt>
                <c:pt idx="38">
                  <c:v>432835.30451780482</c:v>
                </c:pt>
                <c:pt idx="39">
                  <c:v>531800.40460233681</c:v>
                </c:pt>
                <c:pt idx="40">
                  <c:v>653393.25924504292</c:v>
                </c:pt>
                <c:pt idx="41">
                  <c:v>802787.56377799099</c:v>
                </c:pt>
                <c:pt idx="42">
                  <c:v>986339.94678984955</c:v>
                </c:pt>
                <c:pt idx="43">
                  <c:v>1211860.4404570062</c:v>
                </c:pt>
                <c:pt idx="44">
                  <c:v>1488944.7922335358</c:v>
                </c:pt>
                <c:pt idx="45">
                  <c:v>1829382.7575420546</c:v>
                </c:pt>
                <c:pt idx="46">
                  <c:v>2247659.7460487057</c:v>
                </c:pt>
                <c:pt idx="47">
                  <c:v>2761573.1662386106</c:v>
                </c:pt>
                <c:pt idx="48">
                  <c:v>3392989.6933447537</c:v>
                </c:pt>
                <c:pt idx="49">
                  <c:v>4168775.6818784974</c:v>
                </c:pt>
                <c:pt idx="50">
                  <c:v>5121940.3111979105</c:v>
                </c:pt>
                <c:pt idx="51">
                  <c:v>6293040.1041997755</c:v>
                </c:pt>
                <c:pt idx="52">
                  <c:v>7731904.5804742286</c:v>
                </c:pt>
                <c:pt idx="53">
                  <c:v>9499756.4693194181</c:v>
                </c:pt>
                <c:pt idx="54">
                  <c:v>11671816.696273949</c:v>
                </c:pt>
                <c:pt idx="55">
                  <c:v>14340504.983616618</c:v>
                </c:pt>
                <c:pt idx="56">
                  <c:v>17619372.248262241</c:v>
                </c:pt>
                <c:pt idx="57">
                  <c:v>21647932.117976315</c:v>
                </c:pt>
                <c:pt idx="58">
                  <c:v>26597597.143719506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3091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0.22864377986630036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5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927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77281972716788372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13.43992718446602</c:v>
                </c:pt>
                <c:pt idx="1">
                  <c:v>19.343446601941746</c:v>
                </c:pt>
                <c:pt idx="2">
                  <c:v>23.488470873786408</c:v>
                </c:pt>
                <c:pt idx="3">
                  <c:v>31.778519417475728</c:v>
                </c:pt>
                <c:pt idx="4">
                  <c:v>37.682038834951456</c:v>
                </c:pt>
                <c:pt idx="5">
                  <c:v>45.092839805825243</c:v>
                </c:pt>
                <c:pt idx="6">
                  <c:v>54.262135922330096</c:v>
                </c:pt>
                <c:pt idx="7">
                  <c:v>70.716626213592235</c:v>
                </c:pt>
                <c:pt idx="8">
                  <c:v>97.345266990291265</c:v>
                </c:pt>
                <c:pt idx="9">
                  <c:v>138.66990291262135</c:v>
                </c:pt>
                <c:pt idx="10">
                  <c:v>165.17293689320388</c:v>
                </c:pt>
                <c:pt idx="11">
                  <c:v>185.14441747572815</c:v>
                </c:pt>
                <c:pt idx="12">
                  <c:v>232.49817961165047</c:v>
                </c:pt>
                <c:pt idx="13">
                  <c:v>314.39381067961165</c:v>
                </c:pt>
                <c:pt idx="14">
                  <c:v>388.25060679611653</c:v>
                </c:pt>
                <c:pt idx="15">
                  <c:v>427.07566747572821</c:v>
                </c:pt>
                <c:pt idx="16">
                  <c:v>469.78323422330106</c:v>
                </c:pt>
                <c:pt idx="17">
                  <c:v>516.76155764563123</c:v>
                </c:pt>
                <c:pt idx="18">
                  <c:v>568.43771341019431</c:v>
                </c:pt>
                <c:pt idx="19">
                  <c:v>625.28148475121384</c:v>
                </c:pt>
                <c:pt idx="20">
                  <c:v>687.80963322633522</c:v>
                </c:pt>
                <c:pt idx="21">
                  <c:v>756.59059654896885</c:v>
                </c:pt>
                <c:pt idx="22">
                  <c:v>832.24965620386581</c:v>
                </c:pt>
                <c:pt idx="23">
                  <c:v>915.47462182425249</c:v>
                </c:pt>
                <c:pt idx="24">
                  <c:v>1007.0220840066778</c:v>
                </c:pt>
                <c:pt idx="25">
                  <c:v>1107.7242924073457</c:v>
                </c:pt>
                <c:pt idx="26">
                  <c:v>1218.4967216480804</c:v>
                </c:pt>
                <c:pt idx="27">
                  <c:v>1340.3463938128884</c:v>
                </c:pt>
                <c:pt idx="28">
                  <c:v>1474.3810331941775</c:v>
                </c:pt>
                <c:pt idx="29">
                  <c:v>1621.8191365135954</c:v>
                </c:pt>
                <c:pt idx="30">
                  <c:v>1784.0010501649551</c:v>
                </c:pt>
                <c:pt idx="31">
                  <c:v>1962.4011551814508</c:v>
                </c:pt>
                <c:pt idx="32">
                  <c:v>2158.6412706995961</c:v>
                </c:pt>
                <c:pt idx="33">
                  <c:v>2374.5053977695561</c:v>
                </c:pt>
                <c:pt idx="34">
                  <c:v>2611.9559375465114</c:v>
                </c:pt>
                <c:pt idx="35">
                  <c:v>2873.1515313011632</c:v>
                </c:pt>
                <c:pt idx="36">
                  <c:v>3160.4666844312801</c:v>
                </c:pt>
                <c:pt idx="37">
                  <c:v>3476.5133528744086</c:v>
                </c:pt>
                <c:pt idx="38">
                  <c:v>3824.1646881618494</c:v>
                </c:pt>
                <c:pt idx="39">
                  <c:v>4206.5811569780353</c:v>
                </c:pt>
                <c:pt idx="40">
                  <c:v>4627.2392726758389</c:v>
                </c:pt>
                <c:pt idx="41">
                  <c:v>5089.9631999434232</c:v>
                </c:pt>
                <c:pt idx="42">
                  <c:v>5598.9595199377663</c:v>
                </c:pt>
                <c:pt idx="43">
                  <c:v>6158.8554719315434</c:v>
                </c:pt>
                <c:pt idx="44">
                  <c:v>6774.7410191246981</c:v>
                </c:pt>
                <c:pt idx="45">
                  <c:v>7452.2151210371685</c:v>
                </c:pt>
                <c:pt idx="46">
                  <c:v>8197.4366331408855</c:v>
                </c:pt>
                <c:pt idx="47">
                  <c:v>9017.1802964549752</c:v>
                </c:pt>
                <c:pt idx="48">
                  <c:v>9918.8983261004723</c:v>
                </c:pt>
                <c:pt idx="49">
                  <c:v>10910.78815871052</c:v>
                </c:pt>
                <c:pt idx="50">
                  <c:v>12001.866974581573</c:v>
                </c:pt>
                <c:pt idx="51">
                  <c:v>13202.05367203973</c:v>
                </c:pt>
                <c:pt idx="52">
                  <c:v>14522.259039243705</c:v>
                </c:pt>
                <c:pt idx="53">
                  <c:v>15974.484943168078</c:v>
                </c:pt>
                <c:pt idx="54">
                  <c:v>17571.933437484884</c:v>
                </c:pt>
                <c:pt idx="55">
                  <c:v>19329.126781233375</c:v>
                </c:pt>
                <c:pt idx="56">
                  <c:v>21262.039459356718</c:v>
                </c:pt>
                <c:pt idx="57">
                  <c:v>23388.243405292389</c:v>
                </c:pt>
                <c:pt idx="58">
                  <c:v>25727.067745821634</c:v>
                </c:pt>
                <c:pt idx="59">
                  <c:v>28299.7745204038</c:v>
                </c:pt>
                <c:pt idx="60">
                  <c:v>31129.751972444181</c:v>
                </c:pt>
                <c:pt idx="61">
                  <c:v>34242.727169688602</c:v>
                </c:pt>
                <c:pt idx="62">
                  <c:v>37666.999886657468</c:v>
                </c:pt>
                <c:pt idx="63">
                  <c:v>41433.699875323218</c:v>
                </c:pt>
                <c:pt idx="64">
                  <c:v>45577.069862855547</c:v>
                </c:pt>
                <c:pt idx="65">
                  <c:v>50134.776849141104</c:v>
                </c:pt>
                <c:pt idx="66">
                  <c:v>55148.254534055217</c:v>
                </c:pt>
                <c:pt idx="67">
                  <c:v>60663.07998746074</c:v>
                </c:pt>
                <c:pt idx="68">
                  <c:v>66729.387986206828</c:v>
                </c:pt>
                <c:pt idx="69">
                  <c:v>73402.326784827514</c:v>
                </c:pt>
                <c:pt idx="70">
                  <c:v>80742.559463310274</c:v>
                </c:pt>
                <c:pt idx="71">
                  <c:v>88816.815409641305</c:v>
                </c:pt>
                <c:pt idx="72">
                  <c:v>97698.496950605448</c:v>
                </c:pt>
                <c:pt idx="73">
                  <c:v>107468.346645666</c:v>
                </c:pt>
                <c:pt idx="74">
                  <c:v>118215.18131023261</c:v>
                </c:pt>
                <c:pt idx="75">
                  <c:v>130036.69944125589</c:v>
                </c:pt>
                <c:pt idx="76">
                  <c:v>143040.36938538149</c:v>
                </c:pt>
                <c:pt idx="77">
                  <c:v>157344.40632391965</c:v>
                </c:pt>
                <c:pt idx="78">
                  <c:v>173078.84695631164</c:v>
                </c:pt>
                <c:pt idx="79">
                  <c:v>190386.73165194283</c:v>
                </c:pt>
                <c:pt idx="80">
                  <c:v>209425.40481713714</c:v>
                </c:pt>
                <c:pt idx="81">
                  <c:v>230367.94529885086</c:v>
                </c:pt>
                <c:pt idx="82">
                  <c:v>253404.73982873597</c:v>
                </c:pt>
                <c:pt idx="83">
                  <c:v>278745.21381160954</c:v>
                </c:pt>
                <c:pt idx="84">
                  <c:v>306619.73519277055</c:v>
                </c:pt>
                <c:pt idx="85">
                  <c:v>337281.70871204766</c:v>
                </c:pt>
                <c:pt idx="86">
                  <c:v>371009.87958325248</c:v>
                </c:pt>
                <c:pt idx="87">
                  <c:v>408110.86754157773</c:v>
                </c:pt>
                <c:pt idx="88">
                  <c:v>448921.95429573552</c:v>
                </c:pt>
                <c:pt idx="89">
                  <c:v>493814.14972530911</c:v>
                </c:pt>
                <c:pt idx="90">
                  <c:v>543195.56469784002</c:v>
                </c:pt>
                <c:pt idx="91">
                  <c:v>597515.12116762414</c:v>
                </c:pt>
                <c:pt idx="92">
                  <c:v>657266.6332843866</c:v>
                </c:pt>
                <c:pt idx="93">
                  <c:v>722993.29661282536</c:v>
                </c:pt>
                <c:pt idx="94">
                  <c:v>795292.62627410796</c:v>
                </c:pt>
                <c:pt idx="95">
                  <c:v>874821.88890151877</c:v>
                </c:pt>
                <c:pt idx="96">
                  <c:v>962304.07779167069</c:v>
                </c:pt>
                <c:pt idx="97">
                  <c:v>1058534.485570838</c:v>
                </c:pt>
                <c:pt idx="98">
                  <c:v>1164387.9341279219</c:v>
                </c:pt>
                <c:pt idx="99">
                  <c:v>1280826.7275407142</c:v>
                </c:pt>
                <c:pt idx="100">
                  <c:v>1408909.4002947859</c:v>
                </c:pt>
                <c:pt idx="101">
                  <c:v>1549800.3403242645</c:v>
                </c:pt>
                <c:pt idx="102">
                  <c:v>1704780.374356691</c:v>
                </c:pt>
                <c:pt idx="103">
                  <c:v>1875258.4117923602</c:v>
                </c:pt>
                <c:pt idx="104">
                  <c:v>2062784.2529715963</c:v>
                </c:pt>
                <c:pt idx="105">
                  <c:v>2269062.6782687563</c:v>
                </c:pt>
                <c:pt idx="106">
                  <c:v>2495968.9460956324</c:v>
                </c:pt>
                <c:pt idx="107">
                  <c:v>2745565.8407051959</c:v>
                </c:pt>
                <c:pt idx="108">
                  <c:v>3020122.4247757155</c:v>
                </c:pt>
                <c:pt idx="109">
                  <c:v>3322134.667253287</c:v>
                </c:pt>
                <c:pt idx="110">
                  <c:v>3410777.7371359225</c:v>
                </c:pt>
                <c:pt idx="111">
                  <c:v>3410777.7371359225</c:v>
                </c:pt>
                <c:pt idx="112">
                  <c:v>3410777.7371359225</c:v>
                </c:pt>
                <c:pt idx="113">
                  <c:v>3410777.7371359225</c:v>
                </c:pt>
                <c:pt idx="114">
                  <c:v>3410777.7371359225</c:v>
                </c:pt>
                <c:pt idx="115">
                  <c:v>3410777.7371359225</c:v>
                </c:pt>
                <c:pt idx="116">
                  <c:v>3410777.7371359225</c:v>
                </c:pt>
                <c:pt idx="117">
                  <c:v>3410777.7371359225</c:v>
                </c:pt>
                <c:pt idx="118">
                  <c:v>3410777.7371359225</c:v>
                </c:pt>
                <c:pt idx="119">
                  <c:v>3410777.7371359225</c:v>
                </c:pt>
                <c:pt idx="120">
                  <c:v>3410777.7371359225</c:v>
                </c:pt>
                <c:pt idx="121">
                  <c:v>3410777.7371359225</c:v>
                </c:pt>
                <c:pt idx="122">
                  <c:v>3410777.7371359225</c:v>
                </c:pt>
                <c:pt idx="123">
                  <c:v>3410777.7371359225</c:v>
                </c:pt>
                <c:pt idx="124">
                  <c:v>3410777.7371359225</c:v>
                </c:pt>
                <c:pt idx="125">
                  <c:v>3410777.7371359225</c:v>
                </c:pt>
                <c:pt idx="126">
                  <c:v>3410777.7371359225</c:v>
                </c:pt>
                <c:pt idx="127">
                  <c:v>3410777.7371359225</c:v>
                </c:pt>
                <c:pt idx="128">
                  <c:v>3410777.7371359225</c:v>
                </c:pt>
                <c:pt idx="129">
                  <c:v>3410777.7371359225</c:v>
                </c:pt>
                <c:pt idx="130">
                  <c:v>3410777.7371359225</c:v>
                </c:pt>
                <c:pt idx="131">
                  <c:v>3410777.7371359225</c:v>
                </c:pt>
                <c:pt idx="132">
                  <c:v>3410777.7371359225</c:v>
                </c:pt>
                <c:pt idx="133">
                  <c:v>3410777.7371359225</c:v>
                </c:pt>
                <c:pt idx="134">
                  <c:v>3410777.7371359225</c:v>
                </c:pt>
                <c:pt idx="135">
                  <c:v>3410777.7371359225</c:v>
                </c:pt>
                <c:pt idx="136">
                  <c:v>3410777.7371359225</c:v>
                </c:pt>
                <c:pt idx="137">
                  <c:v>3410777.7371359225</c:v>
                </c:pt>
                <c:pt idx="138">
                  <c:v>3410777.7371359225</c:v>
                </c:pt>
                <c:pt idx="139">
                  <c:v>3410777.7371359225</c:v>
                </c:pt>
                <c:pt idx="140">
                  <c:v>3410777.7371359225</c:v>
                </c:pt>
                <c:pt idx="141">
                  <c:v>3410777.7371359225</c:v>
                </c:pt>
                <c:pt idx="142">
                  <c:v>3410777.7371359225</c:v>
                </c:pt>
                <c:pt idx="143">
                  <c:v>3410777.7371359225</c:v>
                </c:pt>
                <c:pt idx="144">
                  <c:v>3410777.7371359225</c:v>
                </c:pt>
                <c:pt idx="145">
                  <c:v>3410777.7371359225</c:v>
                </c:pt>
                <c:pt idx="146">
                  <c:v>3410777.7371359225</c:v>
                </c:pt>
                <c:pt idx="147">
                  <c:v>3410777.7371359225</c:v>
                </c:pt>
                <c:pt idx="148">
                  <c:v>3410777.7371359225</c:v>
                </c:pt>
                <c:pt idx="149">
                  <c:v>3410777.7371359225</c:v>
                </c:pt>
                <c:pt idx="150">
                  <c:v>3410777.7371359225</c:v>
                </c:pt>
                <c:pt idx="151">
                  <c:v>3410777.7371359225</c:v>
                </c:pt>
                <c:pt idx="152">
                  <c:v>3410777.7371359225</c:v>
                </c:pt>
                <c:pt idx="153">
                  <c:v>3410777.7371359225</c:v>
                </c:pt>
                <c:pt idx="154">
                  <c:v>3410777.7371359225</c:v>
                </c:pt>
                <c:pt idx="155">
                  <c:v>3410777.7371359225</c:v>
                </c:pt>
                <c:pt idx="156">
                  <c:v>3410777.7371359225</c:v>
                </c:pt>
                <c:pt idx="157">
                  <c:v>3410777.7371359225</c:v>
                </c:pt>
                <c:pt idx="158">
                  <c:v>3410777.7371359225</c:v>
                </c:pt>
                <c:pt idx="159">
                  <c:v>3410777.7371359225</c:v>
                </c:pt>
                <c:pt idx="160">
                  <c:v>3410777.7371359225</c:v>
                </c:pt>
                <c:pt idx="161">
                  <c:v>3410777.7371359225</c:v>
                </c:pt>
                <c:pt idx="162">
                  <c:v>3410777.7371359225</c:v>
                </c:pt>
                <c:pt idx="163">
                  <c:v>3410777.7371359225</c:v>
                </c:pt>
                <c:pt idx="164">
                  <c:v>3410777.7371359225</c:v>
                </c:pt>
                <c:pt idx="165">
                  <c:v>3410777.7371359225</c:v>
                </c:pt>
                <c:pt idx="166">
                  <c:v>3410777.7371359225</c:v>
                </c:pt>
                <c:pt idx="167">
                  <c:v>3410777.7371359225</c:v>
                </c:pt>
                <c:pt idx="168">
                  <c:v>3410777.7371359225</c:v>
                </c:pt>
                <c:pt idx="169">
                  <c:v>3410777.7371359225</c:v>
                </c:pt>
                <c:pt idx="170">
                  <c:v>3410777.7371359225</c:v>
                </c:pt>
                <c:pt idx="171">
                  <c:v>3410777.7371359225</c:v>
                </c:pt>
                <c:pt idx="172">
                  <c:v>3410777.7371359225</c:v>
                </c:pt>
                <c:pt idx="173">
                  <c:v>3410777.7371359225</c:v>
                </c:pt>
                <c:pt idx="174">
                  <c:v>3410777.7371359225</c:v>
                </c:pt>
                <c:pt idx="175">
                  <c:v>3410777.7371359225</c:v>
                </c:pt>
                <c:pt idx="176">
                  <c:v>3410777.7371359225</c:v>
                </c:pt>
                <c:pt idx="177">
                  <c:v>3410777.7371359225</c:v>
                </c:pt>
                <c:pt idx="178">
                  <c:v>3410777.7371359225</c:v>
                </c:pt>
                <c:pt idx="179">
                  <c:v>3410777.7371359225</c:v>
                </c:pt>
                <c:pt idx="180">
                  <c:v>3410777.7371359225</c:v>
                </c:pt>
                <c:pt idx="181">
                  <c:v>3410777.7371359225</c:v>
                </c:pt>
                <c:pt idx="182">
                  <c:v>3410777.7371359225</c:v>
                </c:pt>
                <c:pt idx="183">
                  <c:v>3410777.7371359225</c:v>
                </c:pt>
                <c:pt idx="184">
                  <c:v>3410777.7371359225</c:v>
                </c:pt>
                <c:pt idx="185">
                  <c:v>3410777.7371359225</c:v>
                </c:pt>
                <c:pt idx="186">
                  <c:v>3410777.7371359225</c:v>
                </c:pt>
                <c:pt idx="187">
                  <c:v>3410777.7371359225</c:v>
                </c:pt>
                <c:pt idx="188">
                  <c:v>3410777.7371359225</c:v>
                </c:pt>
                <c:pt idx="189">
                  <c:v>3410777.7371359225</c:v>
                </c:pt>
                <c:pt idx="190">
                  <c:v>3410777.7371359225</c:v>
                </c:pt>
                <c:pt idx="191">
                  <c:v>3410777.7371359225</c:v>
                </c:pt>
                <c:pt idx="192">
                  <c:v>3410777.7371359225</c:v>
                </c:pt>
                <c:pt idx="193">
                  <c:v>3410777.7371359225</c:v>
                </c:pt>
                <c:pt idx="194">
                  <c:v>3410777.7371359225</c:v>
                </c:pt>
                <c:pt idx="195">
                  <c:v>3410777.7371359225</c:v>
                </c:pt>
                <c:pt idx="196">
                  <c:v>3410777.7371359225</c:v>
                </c:pt>
                <c:pt idx="197">
                  <c:v>3410777.7371359225</c:v>
                </c:pt>
                <c:pt idx="198">
                  <c:v>3410777.7371359225</c:v>
                </c:pt>
                <c:pt idx="199">
                  <c:v>3410777.7371359225</c:v>
                </c:pt>
                <c:pt idx="200">
                  <c:v>3410777.7371359225</c:v>
                </c:pt>
                <c:pt idx="201">
                  <c:v>3410777.7371359225</c:v>
                </c:pt>
                <c:pt idx="202">
                  <c:v>3410777.7371359225</c:v>
                </c:pt>
                <c:pt idx="203">
                  <c:v>3410777.7371359225</c:v>
                </c:pt>
                <c:pt idx="204">
                  <c:v>3410777.7371359225</c:v>
                </c:pt>
                <c:pt idx="205">
                  <c:v>3410777.7371359225</c:v>
                </c:pt>
                <c:pt idx="206">
                  <c:v>3410777.7371359225</c:v>
                </c:pt>
                <c:pt idx="207">
                  <c:v>3410777.7371359225</c:v>
                </c:pt>
                <c:pt idx="208">
                  <c:v>3410777.7371359225</c:v>
                </c:pt>
                <c:pt idx="209">
                  <c:v>3410777.7371359225</c:v>
                </c:pt>
                <c:pt idx="210">
                  <c:v>3410777.7371359225</c:v>
                </c:pt>
                <c:pt idx="211">
                  <c:v>3410777.7371359225</c:v>
                </c:pt>
                <c:pt idx="212">
                  <c:v>3410777.7371359225</c:v>
                </c:pt>
                <c:pt idx="213">
                  <c:v>3410777.7371359225</c:v>
                </c:pt>
                <c:pt idx="214">
                  <c:v>3410777.7371359225</c:v>
                </c:pt>
                <c:pt idx="215">
                  <c:v>3410777.7371359225</c:v>
                </c:pt>
                <c:pt idx="216">
                  <c:v>3410777.7371359225</c:v>
                </c:pt>
                <c:pt idx="217">
                  <c:v>3410777.7371359225</c:v>
                </c:pt>
                <c:pt idx="218">
                  <c:v>3410777.7371359225</c:v>
                </c:pt>
                <c:pt idx="219">
                  <c:v>3410777.7371359225</c:v>
                </c:pt>
                <c:pt idx="220">
                  <c:v>3410777.7371359225</c:v>
                </c:pt>
                <c:pt idx="221">
                  <c:v>3410777.7371359225</c:v>
                </c:pt>
                <c:pt idx="222">
                  <c:v>3410777.7371359225</c:v>
                </c:pt>
                <c:pt idx="223">
                  <c:v>3410777.7371359225</c:v>
                </c:pt>
                <c:pt idx="224">
                  <c:v>3410777.7371359225</c:v>
                </c:pt>
                <c:pt idx="225">
                  <c:v>3410777.7371359225</c:v>
                </c:pt>
                <c:pt idx="226">
                  <c:v>3410777.7371359225</c:v>
                </c:pt>
                <c:pt idx="227">
                  <c:v>3410777.7371359225</c:v>
                </c:pt>
                <c:pt idx="228">
                  <c:v>3410777.7371359225</c:v>
                </c:pt>
                <c:pt idx="229">
                  <c:v>3410777.7371359225</c:v>
                </c:pt>
                <c:pt idx="230">
                  <c:v>3410777.7371359225</c:v>
                </c:pt>
                <c:pt idx="231">
                  <c:v>3410777.7371359225</c:v>
                </c:pt>
                <c:pt idx="232">
                  <c:v>3410777.7371359225</c:v>
                </c:pt>
                <c:pt idx="233">
                  <c:v>3410777.7371359225</c:v>
                </c:pt>
                <c:pt idx="234">
                  <c:v>3410777.7371359225</c:v>
                </c:pt>
                <c:pt idx="235">
                  <c:v>3410777.7371359225</c:v>
                </c:pt>
                <c:pt idx="236">
                  <c:v>3410777.7371359225</c:v>
                </c:pt>
                <c:pt idx="237">
                  <c:v>3410777.7371359225</c:v>
                </c:pt>
                <c:pt idx="238">
                  <c:v>3410777.7371359225</c:v>
                </c:pt>
                <c:pt idx="239">
                  <c:v>3410777.7371359225</c:v>
                </c:pt>
                <c:pt idx="240">
                  <c:v>3410777.7371359225</c:v>
                </c:pt>
                <c:pt idx="241">
                  <c:v>3410777.7371359225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13.43992718446602</c:v>
                </c:pt>
                <c:pt idx="1">
                  <c:v>19.343446601941746</c:v>
                </c:pt>
                <c:pt idx="2">
                  <c:v>23.488470873786408</c:v>
                </c:pt>
                <c:pt idx="3">
                  <c:v>31.778519417475728</c:v>
                </c:pt>
                <c:pt idx="4">
                  <c:v>37.682038834951456</c:v>
                </c:pt>
                <c:pt idx="5">
                  <c:v>45.092839805825243</c:v>
                </c:pt>
                <c:pt idx="6">
                  <c:v>54.262135922330096</c:v>
                </c:pt>
                <c:pt idx="7">
                  <c:v>70.716626213592235</c:v>
                </c:pt>
                <c:pt idx="8">
                  <c:v>97.345266990291265</c:v>
                </c:pt>
                <c:pt idx="9">
                  <c:v>138.66990291262135</c:v>
                </c:pt>
                <c:pt idx="10">
                  <c:v>165.17293689320388</c:v>
                </c:pt>
                <c:pt idx="11">
                  <c:v>185.14441747572815</c:v>
                </c:pt>
                <c:pt idx="12">
                  <c:v>232.49817961165047</c:v>
                </c:pt>
                <c:pt idx="13">
                  <c:v>314.39381067961165</c:v>
                </c:pt>
                <c:pt idx="14">
                  <c:v>388.25060679611653</c:v>
                </c:pt>
                <c:pt idx="15">
                  <c:v>485.31325849514565</c:v>
                </c:pt>
                <c:pt idx="16">
                  <c:v>606.641573118932</c:v>
                </c:pt>
                <c:pt idx="17">
                  <c:v>758.30196639866506</c:v>
                </c:pt>
                <c:pt idx="18">
                  <c:v>947.87745799833135</c:v>
                </c:pt>
                <c:pt idx="19">
                  <c:v>1184.8468224979142</c:v>
                </c:pt>
                <c:pt idx="20">
                  <c:v>1481.0585281223928</c:v>
                </c:pt>
                <c:pt idx="21">
                  <c:v>1851.3231601529908</c:v>
                </c:pt>
                <c:pt idx="22">
                  <c:v>2314.1539501912384</c:v>
                </c:pt>
                <c:pt idx="23">
                  <c:v>2892.6924377390483</c:v>
                </c:pt>
                <c:pt idx="24">
                  <c:v>3615.8655471738102</c:v>
                </c:pt>
                <c:pt idx="25">
                  <c:v>4519.8319339672626</c:v>
                </c:pt>
                <c:pt idx="26">
                  <c:v>5649.7899174590784</c:v>
                </c:pt>
                <c:pt idx="27">
                  <c:v>7062.237396823848</c:v>
                </c:pt>
                <c:pt idx="28">
                  <c:v>8827.7967460298096</c:v>
                </c:pt>
                <c:pt idx="29">
                  <c:v>11034.745932537262</c:v>
                </c:pt>
                <c:pt idx="30">
                  <c:v>13793.432415671577</c:v>
                </c:pt>
                <c:pt idx="31">
                  <c:v>17241.790519589475</c:v>
                </c:pt>
                <c:pt idx="32">
                  <c:v>21552.238149486842</c:v>
                </c:pt>
                <c:pt idx="33">
                  <c:v>26940.297686858554</c:v>
                </c:pt>
                <c:pt idx="34">
                  <c:v>33675.372108573196</c:v>
                </c:pt>
                <c:pt idx="35">
                  <c:v>42094.215135716491</c:v>
                </c:pt>
                <c:pt idx="36">
                  <c:v>52617.768919645612</c:v>
                </c:pt>
                <c:pt idx="37">
                  <c:v>65772.211149557013</c:v>
                </c:pt>
                <c:pt idx="38">
                  <c:v>82215.26393694627</c:v>
                </c:pt>
                <c:pt idx="39">
                  <c:v>102769.07992118284</c:v>
                </c:pt>
                <c:pt idx="40">
                  <c:v>128461.34990147855</c:v>
                </c:pt>
                <c:pt idx="41">
                  <c:v>160576.68737684819</c:v>
                </c:pt>
                <c:pt idx="42">
                  <c:v>200720.85922106024</c:v>
                </c:pt>
                <c:pt idx="43">
                  <c:v>250901.07402632531</c:v>
                </c:pt>
                <c:pt idx="44">
                  <c:v>313626.34253290668</c:v>
                </c:pt>
                <c:pt idx="45">
                  <c:v>392032.92816613329</c:v>
                </c:pt>
                <c:pt idx="46">
                  <c:v>490041.16020766669</c:v>
                </c:pt>
                <c:pt idx="47">
                  <c:v>612551.4502595833</c:v>
                </c:pt>
                <c:pt idx="48">
                  <c:v>765689.31282447919</c:v>
                </c:pt>
                <c:pt idx="49">
                  <c:v>957111.64103059901</c:v>
                </c:pt>
                <c:pt idx="50">
                  <c:v>1196389.5512882487</c:v>
                </c:pt>
                <c:pt idx="51">
                  <c:v>1495486.939110311</c:v>
                </c:pt>
                <c:pt idx="52">
                  <c:v>1869358.6738878889</c:v>
                </c:pt>
                <c:pt idx="53">
                  <c:v>2336698.3423598609</c:v>
                </c:pt>
                <c:pt idx="54">
                  <c:v>2920872.9279498262</c:v>
                </c:pt>
                <c:pt idx="55">
                  <c:v>3410777.7371359225</c:v>
                </c:pt>
                <c:pt idx="56">
                  <c:v>3410777.7371359225</c:v>
                </c:pt>
                <c:pt idx="57">
                  <c:v>3410777.7371359225</c:v>
                </c:pt>
                <c:pt idx="58">
                  <c:v>3410777.7371359225</c:v>
                </c:pt>
                <c:pt idx="59">
                  <c:v>3410777.7371359225</c:v>
                </c:pt>
                <c:pt idx="60">
                  <c:v>3410777.7371359225</c:v>
                </c:pt>
                <c:pt idx="61">
                  <c:v>3410777.7371359225</c:v>
                </c:pt>
                <c:pt idx="62">
                  <c:v>3410777.7371359225</c:v>
                </c:pt>
                <c:pt idx="63">
                  <c:v>3410777.7371359225</c:v>
                </c:pt>
                <c:pt idx="64">
                  <c:v>3410777.7371359225</c:v>
                </c:pt>
                <c:pt idx="65">
                  <c:v>3410777.7371359225</c:v>
                </c:pt>
                <c:pt idx="66">
                  <c:v>3410777.7371359225</c:v>
                </c:pt>
                <c:pt idx="67">
                  <c:v>3410777.7371359225</c:v>
                </c:pt>
                <c:pt idx="68">
                  <c:v>3410777.7371359225</c:v>
                </c:pt>
                <c:pt idx="69">
                  <c:v>3410777.7371359225</c:v>
                </c:pt>
                <c:pt idx="70">
                  <c:v>3410777.7371359225</c:v>
                </c:pt>
                <c:pt idx="71">
                  <c:v>3410777.7371359225</c:v>
                </c:pt>
                <c:pt idx="72">
                  <c:v>3410777.7371359225</c:v>
                </c:pt>
                <c:pt idx="73">
                  <c:v>3410777.7371359225</c:v>
                </c:pt>
                <c:pt idx="74">
                  <c:v>3410777.7371359225</c:v>
                </c:pt>
                <c:pt idx="75">
                  <c:v>3410777.7371359225</c:v>
                </c:pt>
                <c:pt idx="76">
                  <c:v>3410777.7371359225</c:v>
                </c:pt>
                <c:pt idx="77">
                  <c:v>3410777.7371359225</c:v>
                </c:pt>
                <c:pt idx="78">
                  <c:v>3410777.7371359225</c:v>
                </c:pt>
                <c:pt idx="79">
                  <c:v>3410777.7371359225</c:v>
                </c:pt>
                <c:pt idx="80">
                  <c:v>3410777.7371359225</c:v>
                </c:pt>
                <c:pt idx="81">
                  <c:v>3410777.7371359225</c:v>
                </c:pt>
                <c:pt idx="82">
                  <c:v>3410777.7371359225</c:v>
                </c:pt>
                <c:pt idx="83">
                  <c:v>3410777.7371359225</c:v>
                </c:pt>
                <c:pt idx="84">
                  <c:v>3410777.7371359225</c:v>
                </c:pt>
                <c:pt idx="85">
                  <c:v>3410777.7371359225</c:v>
                </c:pt>
                <c:pt idx="86">
                  <c:v>3410777.7371359225</c:v>
                </c:pt>
                <c:pt idx="87">
                  <c:v>3410777.7371359225</c:v>
                </c:pt>
                <c:pt idx="88">
                  <c:v>3410777.7371359225</c:v>
                </c:pt>
                <c:pt idx="89">
                  <c:v>3410777.7371359225</c:v>
                </c:pt>
                <c:pt idx="90">
                  <c:v>3410777.7371359225</c:v>
                </c:pt>
                <c:pt idx="91">
                  <c:v>3410777.7371359225</c:v>
                </c:pt>
                <c:pt idx="92">
                  <c:v>3410777.7371359225</c:v>
                </c:pt>
                <c:pt idx="93">
                  <c:v>3410777.7371359225</c:v>
                </c:pt>
                <c:pt idx="94">
                  <c:v>3410777.7371359225</c:v>
                </c:pt>
                <c:pt idx="95">
                  <c:v>3410777.7371359225</c:v>
                </c:pt>
                <c:pt idx="96">
                  <c:v>3410777.7371359225</c:v>
                </c:pt>
                <c:pt idx="97">
                  <c:v>3410777.7371359225</c:v>
                </c:pt>
                <c:pt idx="98">
                  <c:v>3410777.7371359225</c:v>
                </c:pt>
                <c:pt idx="99">
                  <c:v>3410777.7371359225</c:v>
                </c:pt>
                <c:pt idx="100">
                  <c:v>3410777.7371359225</c:v>
                </c:pt>
                <c:pt idx="101">
                  <c:v>3410777.7371359225</c:v>
                </c:pt>
                <c:pt idx="102">
                  <c:v>3410777.7371359225</c:v>
                </c:pt>
                <c:pt idx="103">
                  <c:v>3410777.7371359225</c:v>
                </c:pt>
                <c:pt idx="104">
                  <c:v>3410777.7371359225</c:v>
                </c:pt>
                <c:pt idx="105">
                  <c:v>3410777.7371359225</c:v>
                </c:pt>
                <c:pt idx="106">
                  <c:v>3410777.7371359225</c:v>
                </c:pt>
                <c:pt idx="107">
                  <c:v>3410777.7371359225</c:v>
                </c:pt>
                <c:pt idx="108">
                  <c:v>3410777.7371359225</c:v>
                </c:pt>
                <c:pt idx="109">
                  <c:v>3410777.7371359225</c:v>
                </c:pt>
                <c:pt idx="110">
                  <c:v>3410777.7371359225</c:v>
                </c:pt>
                <c:pt idx="111">
                  <c:v>3410777.7371359225</c:v>
                </c:pt>
                <c:pt idx="112">
                  <c:v>3410777.7371359225</c:v>
                </c:pt>
                <c:pt idx="113">
                  <c:v>3410777.7371359225</c:v>
                </c:pt>
                <c:pt idx="114">
                  <c:v>3410777.7371359225</c:v>
                </c:pt>
                <c:pt idx="115">
                  <c:v>3410777.7371359225</c:v>
                </c:pt>
                <c:pt idx="116">
                  <c:v>3410777.7371359225</c:v>
                </c:pt>
                <c:pt idx="117">
                  <c:v>3410777.7371359225</c:v>
                </c:pt>
                <c:pt idx="118">
                  <c:v>3410777.7371359225</c:v>
                </c:pt>
                <c:pt idx="119">
                  <c:v>3410777.7371359225</c:v>
                </c:pt>
                <c:pt idx="120">
                  <c:v>3410777.7371359225</c:v>
                </c:pt>
                <c:pt idx="121">
                  <c:v>3410777.7371359225</c:v>
                </c:pt>
                <c:pt idx="122">
                  <c:v>3410777.7371359225</c:v>
                </c:pt>
                <c:pt idx="123">
                  <c:v>3410777.7371359225</c:v>
                </c:pt>
                <c:pt idx="124">
                  <c:v>3410777.7371359225</c:v>
                </c:pt>
                <c:pt idx="125">
                  <c:v>3410777.7371359225</c:v>
                </c:pt>
                <c:pt idx="126">
                  <c:v>3410777.7371359225</c:v>
                </c:pt>
                <c:pt idx="127">
                  <c:v>3410777.7371359225</c:v>
                </c:pt>
                <c:pt idx="128">
                  <c:v>3410777.7371359225</c:v>
                </c:pt>
                <c:pt idx="129">
                  <c:v>3410777.7371359225</c:v>
                </c:pt>
                <c:pt idx="130">
                  <c:v>3410777.7371359225</c:v>
                </c:pt>
                <c:pt idx="131">
                  <c:v>3410777.7371359225</c:v>
                </c:pt>
                <c:pt idx="132">
                  <c:v>3410777.7371359225</c:v>
                </c:pt>
                <c:pt idx="133">
                  <c:v>3410777.7371359225</c:v>
                </c:pt>
                <c:pt idx="134">
                  <c:v>3410777.7371359225</c:v>
                </c:pt>
                <c:pt idx="135">
                  <c:v>3410777.7371359225</c:v>
                </c:pt>
                <c:pt idx="136">
                  <c:v>3410777.7371359225</c:v>
                </c:pt>
                <c:pt idx="137">
                  <c:v>3410777.7371359225</c:v>
                </c:pt>
                <c:pt idx="138">
                  <c:v>3410777.7371359225</c:v>
                </c:pt>
                <c:pt idx="139">
                  <c:v>3410777.7371359225</c:v>
                </c:pt>
                <c:pt idx="140">
                  <c:v>3410777.7371359225</c:v>
                </c:pt>
                <c:pt idx="141">
                  <c:v>3410777.7371359225</c:v>
                </c:pt>
                <c:pt idx="142">
                  <c:v>3410777.7371359225</c:v>
                </c:pt>
                <c:pt idx="143">
                  <c:v>3410777.7371359225</c:v>
                </c:pt>
                <c:pt idx="144">
                  <c:v>3410777.7371359225</c:v>
                </c:pt>
                <c:pt idx="145">
                  <c:v>3410777.7371359225</c:v>
                </c:pt>
                <c:pt idx="146">
                  <c:v>3410777.7371359225</c:v>
                </c:pt>
                <c:pt idx="147">
                  <c:v>3410777.7371359225</c:v>
                </c:pt>
                <c:pt idx="148">
                  <c:v>3410777.7371359225</c:v>
                </c:pt>
                <c:pt idx="149">
                  <c:v>3410777.7371359225</c:v>
                </c:pt>
                <c:pt idx="150">
                  <c:v>3410777.7371359225</c:v>
                </c:pt>
                <c:pt idx="151">
                  <c:v>3410777.7371359225</c:v>
                </c:pt>
                <c:pt idx="152">
                  <c:v>3410777.7371359225</c:v>
                </c:pt>
                <c:pt idx="153">
                  <c:v>3410777.7371359225</c:v>
                </c:pt>
                <c:pt idx="154">
                  <c:v>3410777.7371359225</c:v>
                </c:pt>
                <c:pt idx="155">
                  <c:v>3410777.7371359225</c:v>
                </c:pt>
                <c:pt idx="156">
                  <c:v>3410777.7371359225</c:v>
                </c:pt>
                <c:pt idx="157">
                  <c:v>3410777.7371359225</c:v>
                </c:pt>
                <c:pt idx="158">
                  <c:v>3410777.7371359225</c:v>
                </c:pt>
                <c:pt idx="159">
                  <c:v>3410777.7371359225</c:v>
                </c:pt>
                <c:pt idx="160">
                  <c:v>3410777.7371359225</c:v>
                </c:pt>
                <c:pt idx="161">
                  <c:v>3410777.7371359225</c:v>
                </c:pt>
                <c:pt idx="162">
                  <c:v>3410777.7371359225</c:v>
                </c:pt>
                <c:pt idx="163">
                  <c:v>3410777.7371359225</c:v>
                </c:pt>
                <c:pt idx="164">
                  <c:v>3410777.7371359225</c:v>
                </c:pt>
                <c:pt idx="165">
                  <c:v>3410777.7371359225</c:v>
                </c:pt>
                <c:pt idx="166">
                  <c:v>3410777.7371359225</c:v>
                </c:pt>
                <c:pt idx="167">
                  <c:v>3410777.7371359225</c:v>
                </c:pt>
                <c:pt idx="168">
                  <c:v>3410777.7371359225</c:v>
                </c:pt>
                <c:pt idx="169">
                  <c:v>3410777.7371359225</c:v>
                </c:pt>
                <c:pt idx="170">
                  <c:v>3410777.7371359225</c:v>
                </c:pt>
                <c:pt idx="171">
                  <c:v>3410777.7371359225</c:v>
                </c:pt>
                <c:pt idx="172">
                  <c:v>3410777.7371359225</c:v>
                </c:pt>
                <c:pt idx="173">
                  <c:v>3410777.7371359225</c:v>
                </c:pt>
                <c:pt idx="174">
                  <c:v>3410777.7371359225</c:v>
                </c:pt>
                <c:pt idx="175">
                  <c:v>3410777.7371359225</c:v>
                </c:pt>
                <c:pt idx="176">
                  <c:v>3410777.7371359225</c:v>
                </c:pt>
                <c:pt idx="177">
                  <c:v>3410777.7371359225</c:v>
                </c:pt>
                <c:pt idx="178">
                  <c:v>3410777.7371359225</c:v>
                </c:pt>
                <c:pt idx="179">
                  <c:v>3410777.7371359225</c:v>
                </c:pt>
                <c:pt idx="180">
                  <c:v>3410777.7371359225</c:v>
                </c:pt>
                <c:pt idx="181">
                  <c:v>3410777.7371359225</c:v>
                </c:pt>
                <c:pt idx="182">
                  <c:v>3410777.7371359225</c:v>
                </c:pt>
                <c:pt idx="183">
                  <c:v>3410777.7371359225</c:v>
                </c:pt>
                <c:pt idx="184">
                  <c:v>3410777.7371359225</c:v>
                </c:pt>
                <c:pt idx="185">
                  <c:v>3410777.7371359225</c:v>
                </c:pt>
                <c:pt idx="186">
                  <c:v>3410777.7371359225</c:v>
                </c:pt>
                <c:pt idx="187">
                  <c:v>3410777.7371359225</c:v>
                </c:pt>
                <c:pt idx="188">
                  <c:v>3410777.7371359225</c:v>
                </c:pt>
                <c:pt idx="189">
                  <c:v>3410777.7371359225</c:v>
                </c:pt>
                <c:pt idx="190">
                  <c:v>3410777.7371359225</c:v>
                </c:pt>
                <c:pt idx="191">
                  <c:v>3410777.7371359225</c:v>
                </c:pt>
                <c:pt idx="192">
                  <c:v>3410777.7371359225</c:v>
                </c:pt>
                <c:pt idx="193">
                  <c:v>3410777.7371359225</c:v>
                </c:pt>
                <c:pt idx="194">
                  <c:v>3410777.7371359225</c:v>
                </c:pt>
                <c:pt idx="195">
                  <c:v>3410777.7371359225</c:v>
                </c:pt>
                <c:pt idx="196">
                  <c:v>3410777.7371359225</c:v>
                </c:pt>
                <c:pt idx="197">
                  <c:v>3410777.7371359225</c:v>
                </c:pt>
                <c:pt idx="198">
                  <c:v>3410777.7371359225</c:v>
                </c:pt>
                <c:pt idx="199">
                  <c:v>3410777.7371359225</c:v>
                </c:pt>
                <c:pt idx="200">
                  <c:v>3410777.7371359225</c:v>
                </c:pt>
                <c:pt idx="201">
                  <c:v>3410777.7371359225</c:v>
                </c:pt>
                <c:pt idx="202">
                  <c:v>3410777.7371359225</c:v>
                </c:pt>
                <c:pt idx="203">
                  <c:v>3410777.7371359225</c:v>
                </c:pt>
                <c:pt idx="204">
                  <c:v>3410777.7371359225</c:v>
                </c:pt>
                <c:pt idx="205">
                  <c:v>3410777.7371359225</c:v>
                </c:pt>
                <c:pt idx="206">
                  <c:v>3410777.7371359225</c:v>
                </c:pt>
                <c:pt idx="207">
                  <c:v>3410777.7371359225</c:v>
                </c:pt>
                <c:pt idx="208">
                  <c:v>3410777.7371359225</c:v>
                </c:pt>
                <c:pt idx="209">
                  <c:v>3410777.7371359225</c:v>
                </c:pt>
                <c:pt idx="210">
                  <c:v>3410777.7371359225</c:v>
                </c:pt>
                <c:pt idx="211">
                  <c:v>3410777.7371359225</c:v>
                </c:pt>
                <c:pt idx="212">
                  <c:v>3410777.7371359225</c:v>
                </c:pt>
                <c:pt idx="213">
                  <c:v>3410777.7371359225</c:v>
                </c:pt>
                <c:pt idx="214">
                  <c:v>3410777.7371359225</c:v>
                </c:pt>
                <c:pt idx="215">
                  <c:v>3410777.7371359225</c:v>
                </c:pt>
                <c:pt idx="216">
                  <c:v>3410777.7371359225</c:v>
                </c:pt>
                <c:pt idx="217">
                  <c:v>3410777.7371359225</c:v>
                </c:pt>
                <c:pt idx="218">
                  <c:v>3410777.7371359225</c:v>
                </c:pt>
                <c:pt idx="219">
                  <c:v>3410777.7371359225</c:v>
                </c:pt>
                <c:pt idx="220">
                  <c:v>3410777.7371359225</c:v>
                </c:pt>
                <c:pt idx="221">
                  <c:v>3410777.7371359225</c:v>
                </c:pt>
                <c:pt idx="222">
                  <c:v>3410777.7371359225</c:v>
                </c:pt>
                <c:pt idx="223">
                  <c:v>3410777.7371359225</c:v>
                </c:pt>
                <c:pt idx="224">
                  <c:v>3410777.7371359225</c:v>
                </c:pt>
                <c:pt idx="225">
                  <c:v>3410777.7371359225</c:v>
                </c:pt>
                <c:pt idx="226">
                  <c:v>3410777.7371359225</c:v>
                </c:pt>
                <c:pt idx="227">
                  <c:v>3410777.7371359225</c:v>
                </c:pt>
                <c:pt idx="228">
                  <c:v>3410777.7371359225</c:v>
                </c:pt>
                <c:pt idx="229">
                  <c:v>3410777.7371359225</c:v>
                </c:pt>
                <c:pt idx="230">
                  <c:v>3410777.7371359225</c:v>
                </c:pt>
                <c:pt idx="231">
                  <c:v>3410777.7371359225</c:v>
                </c:pt>
                <c:pt idx="232">
                  <c:v>3410777.7371359225</c:v>
                </c:pt>
                <c:pt idx="233">
                  <c:v>3410777.7371359225</c:v>
                </c:pt>
                <c:pt idx="234">
                  <c:v>3410777.7371359225</c:v>
                </c:pt>
                <c:pt idx="235">
                  <c:v>3410777.7371359225</c:v>
                </c:pt>
                <c:pt idx="236">
                  <c:v>3410777.7371359225</c:v>
                </c:pt>
                <c:pt idx="237">
                  <c:v>3410777.7371359225</c:v>
                </c:pt>
                <c:pt idx="238">
                  <c:v>3410777.7371359225</c:v>
                </c:pt>
                <c:pt idx="239">
                  <c:v>3410777.7371359225</c:v>
                </c:pt>
                <c:pt idx="240">
                  <c:v>3410777.7371359225</c:v>
                </c:pt>
                <c:pt idx="241">
                  <c:v>3410777.7371359225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13.43992718446602</c:v>
                </c:pt>
                <c:pt idx="1">
                  <c:v>19.343446601941746</c:v>
                </c:pt>
                <c:pt idx="2">
                  <c:v>23.488470873786408</c:v>
                </c:pt>
                <c:pt idx="3">
                  <c:v>31.778519417475728</c:v>
                </c:pt>
                <c:pt idx="4">
                  <c:v>37.682038834951456</c:v>
                </c:pt>
                <c:pt idx="5">
                  <c:v>45.092839805825243</c:v>
                </c:pt>
                <c:pt idx="6">
                  <c:v>54.262135922330096</c:v>
                </c:pt>
                <c:pt idx="7">
                  <c:v>70.716626213592235</c:v>
                </c:pt>
                <c:pt idx="8">
                  <c:v>97.345266990291265</c:v>
                </c:pt>
                <c:pt idx="9">
                  <c:v>138.66990291262135</c:v>
                </c:pt>
                <c:pt idx="10">
                  <c:v>165.17293689320388</c:v>
                </c:pt>
                <c:pt idx="11">
                  <c:v>185.14441747572815</c:v>
                </c:pt>
                <c:pt idx="12">
                  <c:v>232.49817961165047</c:v>
                </c:pt>
                <c:pt idx="13">
                  <c:v>314.39381067961165</c:v>
                </c:pt>
                <c:pt idx="14">
                  <c:v>388.25060679611653</c:v>
                </c:pt>
                <c:pt idx="15">
                  <c:v>543.55084951456308</c:v>
                </c:pt>
                <c:pt idx="16">
                  <c:v>760.97118932038825</c:v>
                </c:pt>
                <c:pt idx="17">
                  <c:v>1065.3596650485433</c:v>
                </c:pt>
                <c:pt idx="18">
                  <c:v>1491.5035310679607</c:v>
                </c:pt>
                <c:pt idx="19">
                  <c:v>2088.1049434951447</c:v>
                </c:pt>
                <c:pt idx="20">
                  <c:v>2923.3469208932024</c:v>
                </c:pt>
                <c:pt idx="21">
                  <c:v>4092.6856892504829</c:v>
                </c:pt>
                <c:pt idx="22">
                  <c:v>5729.7599649506756</c:v>
                </c:pt>
                <c:pt idx="23">
                  <c:v>8021.6639509309452</c:v>
                </c:pt>
                <c:pt idx="24">
                  <c:v>11230.329531303323</c:v>
                </c:pt>
                <c:pt idx="25">
                  <c:v>15722.461343824651</c:v>
                </c:pt>
                <c:pt idx="26">
                  <c:v>22011.44588135451</c:v>
                </c:pt>
                <c:pt idx="27">
                  <c:v>30816.024233896314</c:v>
                </c:pt>
                <c:pt idx="28">
                  <c:v>43142.433927454833</c:v>
                </c:pt>
                <c:pt idx="29">
                  <c:v>60399.407498436769</c:v>
                </c:pt>
                <c:pt idx="30">
                  <c:v>84559.170497811472</c:v>
                </c:pt>
                <c:pt idx="31">
                  <c:v>118382.83869693604</c:v>
                </c:pt>
                <c:pt idx="32">
                  <c:v>165735.97417571046</c:v>
                </c:pt>
                <c:pt idx="33">
                  <c:v>232030.36384599464</c:v>
                </c:pt>
                <c:pt idx="34">
                  <c:v>324842.50938439247</c:v>
                </c:pt>
                <c:pt idx="35">
                  <c:v>454779.5131381494</c:v>
                </c:pt>
                <c:pt idx="36">
                  <c:v>636691.31839340914</c:v>
                </c:pt>
                <c:pt idx="37">
                  <c:v>891367.84575077274</c:v>
                </c:pt>
                <c:pt idx="38">
                  <c:v>1247914.9840510818</c:v>
                </c:pt>
                <c:pt idx="39">
                  <c:v>1747080.9776715145</c:v>
                </c:pt>
                <c:pt idx="40">
                  <c:v>2445913.36874012</c:v>
                </c:pt>
                <c:pt idx="41">
                  <c:v>3410777.7371359225</c:v>
                </c:pt>
                <c:pt idx="42">
                  <c:v>3410777.7371359225</c:v>
                </c:pt>
                <c:pt idx="43">
                  <c:v>3410777.7371359225</c:v>
                </c:pt>
                <c:pt idx="44">
                  <c:v>3410777.7371359225</c:v>
                </c:pt>
                <c:pt idx="45">
                  <c:v>3410777.7371359225</c:v>
                </c:pt>
                <c:pt idx="46">
                  <c:v>3410777.7371359225</c:v>
                </c:pt>
                <c:pt idx="47">
                  <c:v>3410777.7371359225</c:v>
                </c:pt>
                <c:pt idx="48">
                  <c:v>3410777.7371359225</c:v>
                </c:pt>
                <c:pt idx="49">
                  <c:v>3410777.7371359225</c:v>
                </c:pt>
                <c:pt idx="50">
                  <c:v>3410777.7371359225</c:v>
                </c:pt>
                <c:pt idx="51">
                  <c:v>3410777.7371359225</c:v>
                </c:pt>
                <c:pt idx="52">
                  <c:v>3410777.7371359225</c:v>
                </c:pt>
                <c:pt idx="53">
                  <c:v>3410777.7371359225</c:v>
                </c:pt>
                <c:pt idx="54">
                  <c:v>3410777.7371359225</c:v>
                </c:pt>
                <c:pt idx="55">
                  <c:v>3410777.7371359225</c:v>
                </c:pt>
                <c:pt idx="56">
                  <c:v>3410777.7371359225</c:v>
                </c:pt>
                <c:pt idx="57">
                  <c:v>3410777.7371359225</c:v>
                </c:pt>
                <c:pt idx="58">
                  <c:v>3410777.7371359225</c:v>
                </c:pt>
                <c:pt idx="59">
                  <c:v>3410777.7371359225</c:v>
                </c:pt>
                <c:pt idx="60">
                  <c:v>3410777.7371359225</c:v>
                </c:pt>
                <c:pt idx="61">
                  <c:v>3410777.7371359225</c:v>
                </c:pt>
                <c:pt idx="62">
                  <c:v>3410777.7371359225</c:v>
                </c:pt>
                <c:pt idx="63">
                  <c:v>3410777.7371359225</c:v>
                </c:pt>
                <c:pt idx="64">
                  <c:v>3410777.7371359225</c:v>
                </c:pt>
                <c:pt idx="65">
                  <c:v>3410777.7371359225</c:v>
                </c:pt>
                <c:pt idx="66">
                  <c:v>3410777.7371359225</c:v>
                </c:pt>
                <c:pt idx="67">
                  <c:v>3410777.7371359225</c:v>
                </c:pt>
                <c:pt idx="68">
                  <c:v>3410777.7371359225</c:v>
                </c:pt>
                <c:pt idx="69">
                  <c:v>3410777.7371359225</c:v>
                </c:pt>
                <c:pt idx="70">
                  <c:v>3410777.7371359225</c:v>
                </c:pt>
                <c:pt idx="71">
                  <c:v>3410777.7371359225</c:v>
                </c:pt>
                <c:pt idx="72">
                  <c:v>3410777.7371359225</c:v>
                </c:pt>
                <c:pt idx="73">
                  <c:v>3410777.7371359225</c:v>
                </c:pt>
                <c:pt idx="74">
                  <c:v>3410777.7371359225</c:v>
                </c:pt>
                <c:pt idx="75">
                  <c:v>3410777.7371359225</c:v>
                </c:pt>
                <c:pt idx="76">
                  <c:v>3410777.7371359225</c:v>
                </c:pt>
                <c:pt idx="77">
                  <c:v>3410777.7371359225</c:v>
                </c:pt>
                <c:pt idx="78">
                  <c:v>3410777.7371359225</c:v>
                </c:pt>
                <c:pt idx="79">
                  <c:v>3410777.7371359225</c:v>
                </c:pt>
                <c:pt idx="80">
                  <c:v>3410777.7371359225</c:v>
                </c:pt>
                <c:pt idx="81">
                  <c:v>3410777.7371359225</c:v>
                </c:pt>
                <c:pt idx="82">
                  <c:v>3410777.7371359225</c:v>
                </c:pt>
                <c:pt idx="83">
                  <c:v>3410777.7371359225</c:v>
                </c:pt>
                <c:pt idx="84">
                  <c:v>3410777.7371359225</c:v>
                </c:pt>
                <c:pt idx="85">
                  <c:v>3410777.7371359225</c:v>
                </c:pt>
                <c:pt idx="86">
                  <c:v>3410777.7371359225</c:v>
                </c:pt>
                <c:pt idx="87">
                  <c:v>3410777.7371359225</c:v>
                </c:pt>
                <c:pt idx="88">
                  <c:v>3410777.7371359225</c:v>
                </c:pt>
                <c:pt idx="89">
                  <c:v>3410777.7371359225</c:v>
                </c:pt>
                <c:pt idx="90">
                  <c:v>3410777.7371359225</c:v>
                </c:pt>
                <c:pt idx="91">
                  <c:v>3410777.7371359225</c:v>
                </c:pt>
                <c:pt idx="92">
                  <c:v>3410777.7371359225</c:v>
                </c:pt>
                <c:pt idx="93">
                  <c:v>3410777.7371359225</c:v>
                </c:pt>
                <c:pt idx="94">
                  <c:v>3410777.7371359225</c:v>
                </c:pt>
                <c:pt idx="95">
                  <c:v>3410777.7371359225</c:v>
                </c:pt>
                <c:pt idx="96">
                  <c:v>3410777.7371359225</c:v>
                </c:pt>
                <c:pt idx="97">
                  <c:v>3410777.7371359225</c:v>
                </c:pt>
                <c:pt idx="98">
                  <c:v>3410777.7371359225</c:v>
                </c:pt>
                <c:pt idx="99">
                  <c:v>3410777.7371359225</c:v>
                </c:pt>
                <c:pt idx="100">
                  <c:v>3410777.7371359225</c:v>
                </c:pt>
                <c:pt idx="101">
                  <c:v>3410777.7371359225</c:v>
                </c:pt>
                <c:pt idx="102">
                  <c:v>3410777.7371359225</c:v>
                </c:pt>
                <c:pt idx="103">
                  <c:v>3410777.7371359225</c:v>
                </c:pt>
                <c:pt idx="104">
                  <c:v>3410777.7371359225</c:v>
                </c:pt>
                <c:pt idx="105">
                  <c:v>3410777.7371359225</c:v>
                </c:pt>
                <c:pt idx="106">
                  <c:v>3410777.7371359225</c:v>
                </c:pt>
                <c:pt idx="107">
                  <c:v>3410777.7371359225</c:v>
                </c:pt>
                <c:pt idx="108">
                  <c:v>3410777.7371359225</c:v>
                </c:pt>
                <c:pt idx="109">
                  <c:v>3410777.7371359225</c:v>
                </c:pt>
                <c:pt idx="110">
                  <c:v>3410777.7371359225</c:v>
                </c:pt>
                <c:pt idx="111">
                  <c:v>3410777.7371359225</c:v>
                </c:pt>
                <c:pt idx="112">
                  <c:v>3410777.7371359225</c:v>
                </c:pt>
                <c:pt idx="113">
                  <c:v>3410777.7371359225</c:v>
                </c:pt>
                <c:pt idx="114">
                  <c:v>3410777.7371359225</c:v>
                </c:pt>
                <c:pt idx="115">
                  <c:v>3410777.7371359225</c:v>
                </c:pt>
                <c:pt idx="116">
                  <c:v>3410777.7371359225</c:v>
                </c:pt>
                <c:pt idx="117">
                  <c:v>3410777.7371359225</c:v>
                </c:pt>
                <c:pt idx="118">
                  <c:v>3410777.7371359225</c:v>
                </c:pt>
                <c:pt idx="119">
                  <c:v>3410777.7371359225</c:v>
                </c:pt>
                <c:pt idx="120">
                  <c:v>3410777.7371359225</c:v>
                </c:pt>
                <c:pt idx="121">
                  <c:v>3410777.7371359225</c:v>
                </c:pt>
                <c:pt idx="122">
                  <c:v>3410777.7371359225</c:v>
                </c:pt>
                <c:pt idx="123">
                  <c:v>3410777.7371359225</c:v>
                </c:pt>
                <c:pt idx="124">
                  <c:v>3410777.7371359225</c:v>
                </c:pt>
                <c:pt idx="125">
                  <c:v>3410777.7371359225</c:v>
                </c:pt>
                <c:pt idx="126">
                  <c:v>3410777.7371359225</c:v>
                </c:pt>
                <c:pt idx="127">
                  <c:v>3410777.7371359225</c:v>
                </c:pt>
                <c:pt idx="128">
                  <c:v>3410777.7371359225</c:v>
                </c:pt>
                <c:pt idx="129">
                  <c:v>3410777.7371359225</c:v>
                </c:pt>
                <c:pt idx="130">
                  <c:v>3410777.7371359225</c:v>
                </c:pt>
                <c:pt idx="131">
                  <c:v>3410777.7371359225</c:v>
                </c:pt>
                <c:pt idx="132">
                  <c:v>3410777.7371359225</c:v>
                </c:pt>
                <c:pt idx="133">
                  <c:v>3410777.7371359225</c:v>
                </c:pt>
                <c:pt idx="134">
                  <c:v>3410777.7371359225</c:v>
                </c:pt>
                <c:pt idx="135">
                  <c:v>3410777.7371359225</c:v>
                </c:pt>
                <c:pt idx="136">
                  <c:v>3410777.7371359225</c:v>
                </c:pt>
                <c:pt idx="137">
                  <c:v>3410777.7371359225</c:v>
                </c:pt>
                <c:pt idx="138">
                  <c:v>3410777.7371359225</c:v>
                </c:pt>
                <c:pt idx="139">
                  <c:v>3410777.7371359225</c:v>
                </c:pt>
                <c:pt idx="140">
                  <c:v>3410777.7371359225</c:v>
                </c:pt>
                <c:pt idx="141">
                  <c:v>3410777.7371359225</c:v>
                </c:pt>
                <c:pt idx="142">
                  <c:v>3410777.7371359225</c:v>
                </c:pt>
                <c:pt idx="143">
                  <c:v>3410777.7371359225</c:v>
                </c:pt>
                <c:pt idx="144">
                  <c:v>3410777.7371359225</c:v>
                </c:pt>
                <c:pt idx="145">
                  <c:v>3410777.7371359225</c:v>
                </c:pt>
                <c:pt idx="146">
                  <c:v>3410777.7371359225</c:v>
                </c:pt>
                <c:pt idx="147">
                  <c:v>3410777.7371359225</c:v>
                </c:pt>
                <c:pt idx="148">
                  <c:v>3410777.7371359225</c:v>
                </c:pt>
                <c:pt idx="149">
                  <c:v>3410777.7371359225</c:v>
                </c:pt>
                <c:pt idx="150">
                  <c:v>3410777.7371359225</c:v>
                </c:pt>
                <c:pt idx="151">
                  <c:v>3410777.7371359225</c:v>
                </c:pt>
                <c:pt idx="152">
                  <c:v>3410777.7371359225</c:v>
                </c:pt>
                <c:pt idx="153">
                  <c:v>3410777.7371359225</c:v>
                </c:pt>
                <c:pt idx="154">
                  <c:v>3410777.7371359225</c:v>
                </c:pt>
                <c:pt idx="155">
                  <c:v>3410777.7371359225</c:v>
                </c:pt>
                <c:pt idx="156">
                  <c:v>3410777.7371359225</c:v>
                </c:pt>
                <c:pt idx="157">
                  <c:v>3410777.7371359225</c:v>
                </c:pt>
                <c:pt idx="158">
                  <c:v>3410777.7371359225</c:v>
                </c:pt>
                <c:pt idx="159">
                  <c:v>3410777.7371359225</c:v>
                </c:pt>
                <c:pt idx="160">
                  <c:v>3410777.7371359225</c:v>
                </c:pt>
                <c:pt idx="161">
                  <c:v>3410777.7371359225</c:v>
                </c:pt>
                <c:pt idx="162">
                  <c:v>3410777.7371359225</c:v>
                </c:pt>
                <c:pt idx="163">
                  <c:v>3410777.7371359225</c:v>
                </c:pt>
                <c:pt idx="164">
                  <c:v>3410777.7371359225</c:v>
                </c:pt>
                <c:pt idx="165">
                  <c:v>3410777.7371359225</c:v>
                </c:pt>
                <c:pt idx="166">
                  <c:v>3410777.7371359225</c:v>
                </c:pt>
                <c:pt idx="167">
                  <c:v>3410777.7371359225</c:v>
                </c:pt>
                <c:pt idx="168">
                  <c:v>3410777.7371359225</c:v>
                </c:pt>
                <c:pt idx="169">
                  <c:v>3410777.7371359225</c:v>
                </c:pt>
                <c:pt idx="170">
                  <c:v>3410777.7371359225</c:v>
                </c:pt>
                <c:pt idx="171">
                  <c:v>3410777.7371359225</c:v>
                </c:pt>
                <c:pt idx="172">
                  <c:v>3410777.7371359225</c:v>
                </c:pt>
                <c:pt idx="173">
                  <c:v>3410777.7371359225</c:v>
                </c:pt>
                <c:pt idx="174">
                  <c:v>3410777.7371359225</c:v>
                </c:pt>
                <c:pt idx="175">
                  <c:v>3410777.7371359225</c:v>
                </c:pt>
                <c:pt idx="176">
                  <c:v>3410777.7371359225</c:v>
                </c:pt>
                <c:pt idx="177">
                  <c:v>3410777.7371359225</c:v>
                </c:pt>
                <c:pt idx="178">
                  <c:v>3410777.7371359225</c:v>
                </c:pt>
                <c:pt idx="179">
                  <c:v>3410777.7371359225</c:v>
                </c:pt>
                <c:pt idx="180">
                  <c:v>3410777.7371359225</c:v>
                </c:pt>
                <c:pt idx="181">
                  <c:v>3410777.7371359225</c:v>
                </c:pt>
                <c:pt idx="182">
                  <c:v>3410777.7371359225</c:v>
                </c:pt>
                <c:pt idx="183">
                  <c:v>3410777.7371359225</c:v>
                </c:pt>
                <c:pt idx="184">
                  <c:v>3410777.7371359225</c:v>
                </c:pt>
                <c:pt idx="185">
                  <c:v>3410777.7371359225</c:v>
                </c:pt>
                <c:pt idx="186">
                  <c:v>3410777.7371359225</c:v>
                </c:pt>
                <c:pt idx="187">
                  <c:v>3410777.7371359225</c:v>
                </c:pt>
                <c:pt idx="188">
                  <c:v>3410777.7371359225</c:v>
                </c:pt>
                <c:pt idx="189">
                  <c:v>3410777.7371359225</c:v>
                </c:pt>
                <c:pt idx="190">
                  <c:v>3410777.7371359225</c:v>
                </c:pt>
                <c:pt idx="191">
                  <c:v>3410777.7371359225</c:v>
                </c:pt>
                <c:pt idx="192">
                  <c:v>3410777.7371359225</c:v>
                </c:pt>
                <c:pt idx="193">
                  <c:v>3410777.7371359225</c:v>
                </c:pt>
                <c:pt idx="194">
                  <c:v>3410777.7371359225</c:v>
                </c:pt>
                <c:pt idx="195">
                  <c:v>3410777.7371359225</c:v>
                </c:pt>
                <c:pt idx="196">
                  <c:v>3410777.7371359225</c:v>
                </c:pt>
                <c:pt idx="197">
                  <c:v>3410777.7371359225</c:v>
                </c:pt>
                <c:pt idx="198">
                  <c:v>3410777.7371359225</c:v>
                </c:pt>
                <c:pt idx="199">
                  <c:v>3410777.7371359225</c:v>
                </c:pt>
                <c:pt idx="200">
                  <c:v>3410777.7371359225</c:v>
                </c:pt>
                <c:pt idx="201">
                  <c:v>3410777.7371359225</c:v>
                </c:pt>
                <c:pt idx="202">
                  <c:v>3410777.7371359225</c:v>
                </c:pt>
                <c:pt idx="203">
                  <c:v>3410777.7371359225</c:v>
                </c:pt>
                <c:pt idx="204">
                  <c:v>3410777.7371359225</c:v>
                </c:pt>
                <c:pt idx="205">
                  <c:v>3410777.7371359225</c:v>
                </c:pt>
                <c:pt idx="206">
                  <c:v>3410777.7371359225</c:v>
                </c:pt>
                <c:pt idx="207">
                  <c:v>3410777.7371359225</c:v>
                </c:pt>
                <c:pt idx="208">
                  <c:v>3410777.7371359225</c:v>
                </c:pt>
                <c:pt idx="209">
                  <c:v>3410777.7371359225</c:v>
                </c:pt>
                <c:pt idx="210">
                  <c:v>3410777.7371359225</c:v>
                </c:pt>
                <c:pt idx="211">
                  <c:v>3410777.7371359225</c:v>
                </c:pt>
                <c:pt idx="212">
                  <c:v>3410777.7371359225</c:v>
                </c:pt>
                <c:pt idx="213">
                  <c:v>3410777.7371359225</c:v>
                </c:pt>
                <c:pt idx="214">
                  <c:v>3410777.7371359225</c:v>
                </c:pt>
                <c:pt idx="215">
                  <c:v>3410777.7371359225</c:v>
                </c:pt>
                <c:pt idx="216">
                  <c:v>3410777.7371359225</c:v>
                </c:pt>
                <c:pt idx="217">
                  <c:v>3410777.7371359225</c:v>
                </c:pt>
                <c:pt idx="218">
                  <c:v>3410777.7371359225</c:v>
                </c:pt>
                <c:pt idx="219">
                  <c:v>3410777.7371359225</c:v>
                </c:pt>
                <c:pt idx="220">
                  <c:v>3410777.7371359225</c:v>
                </c:pt>
                <c:pt idx="221">
                  <c:v>3410777.7371359225</c:v>
                </c:pt>
                <c:pt idx="222">
                  <c:v>3410777.7371359225</c:v>
                </c:pt>
                <c:pt idx="223">
                  <c:v>3410777.7371359225</c:v>
                </c:pt>
                <c:pt idx="224">
                  <c:v>3410777.7371359225</c:v>
                </c:pt>
                <c:pt idx="225">
                  <c:v>3410777.7371359225</c:v>
                </c:pt>
                <c:pt idx="226">
                  <c:v>3410777.7371359225</c:v>
                </c:pt>
                <c:pt idx="227">
                  <c:v>3410777.7371359225</c:v>
                </c:pt>
                <c:pt idx="228">
                  <c:v>3410777.7371359225</c:v>
                </c:pt>
                <c:pt idx="229">
                  <c:v>3410777.7371359225</c:v>
                </c:pt>
                <c:pt idx="230">
                  <c:v>3410777.7371359225</c:v>
                </c:pt>
                <c:pt idx="231">
                  <c:v>3410777.7371359225</c:v>
                </c:pt>
                <c:pt idx="232">
                  <c:v>3410777.7371359225</c:v>
                </c:pt>
                <c:pt idx="233">
                  <c:v>3410777.7371359225</c:v>
                </c:pt>
                <c:pt idx="234">
                  <c:v>3410777.7371359225</c:v>
                </c:pt>
                <c:pt idx="235">
                  <c:v>3410777.7371359225</c:v>
                </c:pt>
                <c:pt idx="236">
                  <c:v>3410777.7371359225</c:v>
                </c:pt>
                <c:pt idx="237">
                  <c:v>3410777.7371359225</c:v>
                </c:pt>
                <c:pt idx="238">
                  <c:v>3410777.7371359225</c:v>
                </c:pt>
                <c:pt idx="239">
                  <c:v>3410777.7371359225</c:v>
                </c:pt>
                <c:pt idx="240">
                  <c:v>3410777.7371359225</c:v>
                </c:pt>
                <c:pt idx="241">
                  <c:v>3410777.7371359225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(23% - current rate)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13.43992718446602</c:v>
                </c:pt>
                <c:pt idx="1">
                  <c:v>19.343446601941746</c:v>
                </c:pt>
                <c:pt idx="2">
                  <c:v>23.488470873786408</c:v>
                </c:pt>
                <c:pt idx="3">
                  <c:v>31.778519417475728</c:v>
                </c:pt>
                <c:pt idx="4">
                  <c:v>37.682038834951456</c:v>
                </c:pt>
                <c:pt idx="5">
                  <c:v>45.092839805825243</c:v>
                </c:pt>
                <c:pt idx="6">
                  <c:v>54.262135922330096</c:v>
                </c:pt>
                <c:pt idx="7">
                  <c:v>70.716626213592235</c:v>
                </c:pt>
                <c:pt idx="8">
                  <c:v>97.345266990291265</c:v>
                </c:pt>
                <c:pt idx="9">
                  <c:v>138.66990291262135</c:v>
                </c:pt>
                <c:pt idx="10">
                  <c:v>165.17293689320388</c:v>
                </c:pt>
                <c:pt idx="11">
                  <c:v>185.14441747572815</c:v>
                </c:pt>
                <c:pt idx="12">
                  <c:v>232.49817961165047</c:v>
                </c:pt>
                <c:pt idx="13">
                  <c:v>314.39381067961165</c:v>
                </c:pt>
                <c:pt idx="14">
                  <c:v>388.25060679611653</c:v>
                </c:pt>
                <c:pt idx="15">
                  <c:v>477.02169306936531</c:v>
                </c:pt>
                <c:pt idx="16">
                  <c:v>586.08973605096708</c:v>
                </c:pt>
                <c:pt idx="17">
                  <c:v>720.09550864250252</c:v>
                </c:pt>
                <c:pt idx="18">
                  <c:v>884.74086760327054</c:v>
                </c:pt>
                <c:pt idx="19">
                  <c:v>1087.0313637742722</c:v>
                </c:pt>
                <c:pt idx="20">
                  <c:v>1335.5743236208411</c:v>
                </c:pt>
                <c:pt idx="21">
                  <c:v>1640.9450852658879</c:v>
                </c:pt>
                <c:pt idx="22">
                  <c:v>2016.1369721141091</c:v>
                </c:pt>
                <c:pt idx="23">
                  <c:v>2477.1141501464767</c:v>
                </c:pt>
                <c:pt idx="24">
                  <c:v>3043.490892596265</c:v>
                </c:pt>
                <c:pt idx="25">
                  <c:v>3739.3661542681357</c:v>
                </c:pt>
                <c:pt idx="26">
                  <c:v>4594.3489660841133</c:v>
                </c:pt>
                <c:pt idx="27">
                  <c:v>5644.8182797144145</c:v>
                </c:pt>
                <c:pt idx="28">
                  <c:v>6935.470867846705</c:v>
                </c:pt>
                <c:pt idx="29">
                  <c:v>8521.2231422237855</c:v>
                </c:pt>
                <c:pt idx="30">
                  <c:v>10469.547810546024</c:v>
                </c:pt>
                <c:pt idx="31">
                  <c:v>12863.344795440216</c:v>
                </c:pt>
                <c:pt idx="32">
                  <c:v>15804.468571193169</c:v>
                </c:pt>
                <c:pt idx="33">
                  <c:v>19418.062004088923</c:v>
                </c:pt>
                <c:pt idx="34">
                  <c:v>23857.881098382</c:v>
                </c:pt>
                <c:pt idx="35">
                  <c:v>29312.837212316826</c:v>
                </c:pt>
                <c:pt idx="36">
                  <c:v>36015.035111146492</c:v>
                </c:pt>
                <c:pt idx="37">
                  <c:v>44249.648870976547</c:v>
                </c:pt>
                <c:pt idx="38">
                  <c:v>54367.055846593204</c:v>
                </c:pt>
                <c:pt idx="39">
                  <c:v>66797.744995560512</c:v>
                </c:pt>
                <c:pt idx="40">
                  <c:v>82070.633897890701</c:v>
                </c:pt>
                <c:pt idx="41">
                  <c:v>100835.57384832775</c:v>
                </c:pt>
                <c:pt idx="42">
                  <c:v>123891.00059799688</c:v>
                </c:pt>
                <c:pt idx="43">
                  <c:v>152217.90726614094</c:v>
                </c:pt>
                <c:pt idx="44">
                  <c:v>187021.58494680942</c:v>
                </c:pt>
                <c:pt idx="45">
                  <c:v>229782.90704563429</c:v>
                </c:pt>
                <c:pt idx="46">
                  <c:v>282321.33946121484</c:v>
                </c:pt>
                <c:pt idx="47">
                  <c:v>346872.35765254393</c:v>
                </c:pt>
                <c:pt idx="48">
                  <c:v>426182.56463735679</c:v>
                </c:pt>
                <c:pt idx="49">
                  <c:v>523626.5571291559</c:v>
                </c:pt>
                <c:pt idx="50">
                  <c:v>643350.51238954335</c:v>
                </c:pt>
                <c:pt idx="51">
                  <c:v>790448.60532120964</c:v>
                </c:pt>
                <c:pt idx="52">
                  <c:v>971179.7622318964</c:v>
                </c:pt>
                <c:pt idx="53">
                  <c:v>1193233.9739982521</c:v>
                </c:pt>
                <c:pt idx="54">
                  <c:v>1466059.5000780991</c:v>
                </c:pt>
                <c:pt idx="55">
                  <c:v>1801264.8856848544</c:v>
                </c:pt>
                <c:pt idx="56">
                  <c:v>2213112.8976882789</c:v>
                </c:pt>
                <c:pt idx="57">
                  <c:v>2719127.3958865884</c:v>
                </c:pt>
                <c:pt idx="58">
                  <c:v>3340838.9616201078</c:v>
                </c:pt>
                <c:pt idx="59">
                  <c:v>3410777.7371359225</c:v>
                </c:pt>
                <c:pt idx="60">
                  <c:v>3410777.7371359225</c:v>
                </c:pt>
                <c:pt idx="61">
                  <c:v>3410777.7371359225</c:v>
                </c:pt>
                <c:pt idx="62">
                  <c:v>3410777.7371359225</c:v>
                </c:pt>
                <c:pt idx="63">
                  <c:v>3410777.7371359225</c:v>
                </c:pt>
                <c:pt idx="64">
                  <c:v>3410777.7371359225</c:v>
                </c:pt>
                <c:pt idx="65">
                  <c:v>3410777.7371359225</c:v>
                </c:pt>
                <c:pt idx="66">
                  <c:v>3410777.7371359225</c:v>
                </c:pt>
                <c:pt idx="67">
                  <c:v>3410777.7371359225</c:v>
                </c:pt>
                <c:pt idx="68">
                  <c:v>3410777.7371359225</c:v>
                </c:pt>
                <c:pt idx="69">
                  <c:v>3410777.7371359225</c:v>
                </c:pt>
                <c:pt idx="70">
                  <c:v>3410777.7371359225</c:v>
                </c:pt>
                <c:pt idx="71">
                  <c:v>3410777.7371359225</c:v>
                </c:pt>
                <c:pt idx="72">
                  <c:v>3410777.7371359225</c:v>
                </c:pt>
                <c:pt idx="73">
                  <c:v>3410777.7371359225</c:v>
                </c:pt>
                <c:pt idx="74">
                  <c:v>3410777.7371359225</c:v>
                </c:pt>
                <c:pt idx="75">
                  <c:v>3410777.7371359225</c:v>
                </c:pt>
                <c:pt idx="76">
                  <c:v>3410777.7371359225</c:v>
                </c:pt>
                <c:pt idx="77">
                  <c:v>3410777.7371359225</c:v>
                </c:pt>
                <c:pt idx="78">
                  <c:v>3410777.7371359225</c:v>
                </c:pt>
                <c:pt idx="79">
                  <c:v>3410777.7371359225</c:v>
                </c:pt>
                <c:pt idx="80">
                  <c:v>3410777.7371359225</c:v>
                </c:pt>
                <c:pt idx="81">
                  <c:v>3410777.7371359225</c:v>
                </c:pt>
                <c:pt idx="82">
                  <c:v>3410777.7371359225</c:v>
                </c:pt>
                <c:pt idx="83">
                  <c:v>3410777.7371359225</c:v>
                </c:pt>
                <c:pt idx="84">
                  <c:v>3410777.7371359225</c:v>
                </c:pt>
                <c:pt idx="85">
                  <c:v>3410777.7371359225</c:v>
                </c:pt>
                <c:pt idx="86">
                  <c:v>3410777.7371359225</c:v>
                </c:pt>
                <c:pt idx="87">
                  <c:v>3410777.7371359225</c:v>
                </c:pt>
                <c:pt idx="88">
                  <c:v>3410777.7371359225</c:v>
                </c:pt>
                <c:pt idx="89">
                  <c:v>3410777.7371359225</c:v>
                </c:pt>
                <c:pt idx="90">
                  <c:v>3410777.7371359225</c:v>
                </c:pt>
                <c:pt idx="91">
                  <c:v>3410777.7371359225</c:v>
                </c:pt>
                <c:pt idx="92">
                  <c:v>3410777.7371359225</c:v>
                </c:pt>
                <c:pt idx="93">
                  <c:v>3410777.7371359225</c:v>
                </c:pt>
                <c:pt idx="94">
                  <c:v>3410777.7371359225</c:v>
                </c:pt>
                <c:pt idx="95">
                  <c:v>3410777.7371359225</c:v>
                </c:pt>
                <c:pt idx="96">
                  <c:v>3410777.7371359225</c:v>
                </c:pt>
                <c:pt idx="97">
                  <c:v>3410777.7371359225</c:v>
                </c:pt>
                <c:pt idx="98">
                  <c:v>3410777.7371359225</c:v>
                </c:pt>
                <c:pt idx="99">
                  <c:v>3410777.7371359225</c:v>
                </c:pt>
                <c:pt idx="100">
                  <c:v>3410777.7371359225</c:v>
                </c:pt>
                <c:pt idx="101">
                  <c:v>3410777.7371359225</c:v>
                </c:pt>
                <c:pt idx="102">
                  <c:v>3410777.7371359225</c:v>
                </c:pt>
                <c:pt idx="103">
                  <c:v>3410777.7371359225</c:v>
                </c:pt>
                <c:pt idx="104">
                  <c:v>3410777.7371359225</c:v>
                </c:pt>
                <c:pt idx="105">
                  <c:v>3410777.7371359225</c:v>
                </c:pt>
                <c:pt idx="106">
                  <c:v>3410777.7371359225</c:v>
                </c:pt>
                <c:pt idx="107">
                  <c:v>3410777.7371359225</c:v>
                </c:pt>
                <c:pt idx="108">
                  <c:v>3410777.7371359225</c:v>
                </c:pt>
                <c:pt idx="109">
                  <c:v>3410777.7371359225</c:v>
                </c:pt>
                <c:pt idx="110">
                  <c:v>3410777.7371359225</c:v>
                </c:pt>
                <c:pt idx="111">
                  <c:v>3410777.7371359225</c:v>
                </c:pt>
                <c:pt idx="112">
                  <c:v>3410777.7371359225</c:v>
                </c:pt>
                <c:pt idx="113">
                  <c:v>3410777.7371359225</c:v>
                </c:pt>
                <c:pt idx="114">
                  <c:v>3410777.7371359225</c:v>
                </c:pt>
                <c:pt idx="115">
                  <c:v>3410777.7371359225</c:v>
                </c:pt>
                <c:pt idx="116">
                  <c:v>3410777.7371359225</c:v>
                </c:pt>
                <c:pt idx="117">
                  <c:v>3410777.7371359225</c:v>
                </c:pt>
                <c:pt idx="118">
                  <c:v>3410777.7371359225</c:v>
                </c:pt>
                <c:pt idx="119">
                  <c:v>3410777.7371359225</c:v>
                </c:pt>
                <c:pt idx="120">
                  <c:v>3410777.7371359225</c:v>
                </c:pt>
                <c:pt idx="121">
                  <c:v>3410777.7371359225</c:v>
                </c:pt>
                <c:pt idx="122">
                  <c:v>3410777.7371359225</c:v>
                </c:pt>
                <c:pt idx="123">
                  <c:v>3410777.7371359225</c:v>
                </c:pt>
                <c:pt idx="124">
                  <c:v>3410777.7371359225</c:v>
                </c:pt>
                <c:pt idx="125">
                  <c:v>3410777.7371359225</c:v>
                </c:pt>
                <c:pt idx="126">
                  <c:v>3410777.7371359225</c:v>
                </c:pt>
                <c:pt idx="127">
                  <c:v>3410777.7371359225</c:v>
                </c:pt>
                <c:pt idx="128">
                  <c:v>3410777.7371359225</c:v>
                </c:pt>
                <c:pt idx="129">
                  <c:v>3410777.7371359225</c:v>
                </c:pt>
                <c:pt idx="130">
                  <c:v>3410777.7371359225</c:v>
                </c:pt>
                <c:pt idx="131">
                  <c:v>3410777.7371359225</c:v>
                </c:pt>
                <c:pt idx="132">
                  <c:v>3410777.7371359225</c:v>
                </c:pt>
                <c:pt idx="133">
                  <c:v>3410777.7371359225</c:v>
                </c:pt>
                <c:pt idx="134">
                  <c:v>3410777.7371359225</c:v>
                </c:pt>
                <c:pt idx="135">
                  <c:v>3410777.7371359225</c:v>
                </c:pt>
                <c:pt idx="136">
                  <c:v>3410777.7371359225</c:v>
                </c:pt>
                <c:pt idx="137">
                  <c:v>3410777.7371359225</c:v>
                </c:pt>
                <c:pt idx="138">
                  <c:v>3410777.7371359225</c:v>
                </c:pt>
                <c:pt idx="139">
                  <c:v>3410777.7371359225</c:v>
                </c:pt>
                <c:pt idx="140">
                  <c:v>3410777.7371359225</c:v>
                </c:pt>
                <c:pt idx="141">
                  <c:v>3410777.7371359225</c:v>
                </c:pt>
                <c:pt idx="142">
                  <c:v>3410777.7371359225</c:v>
                </c:pt>
                <c:pt idx="143">
                  <c:v>3410777.7371359225</c:v>
                </c:pt>
                <c:pt idx="144">
                  <c:v>3410777.7371359225</c:v>
                </c:pt>
                <c:pt idx="145">
                  <c:v>3410777.7371359225</c:v>
                </c:pt>
                <c:pt idx="146">
                  <c:v>3410777.7371359225</c:v>
                </c:pt>
                <c:pt idx="147">
                  <c:v>3410777.7371359225</c:v>
                </c:pt>
                <c:pt idx="148">
                  <c:v>3410777.7371359225</c:v>
                </c:pt>
                <c:pt idx="149">
                  <c:v>3410777.7371359225</c:v>
                </c:pt>
                <c:pt idx="150">
                  <c:v>3410777.7371359225</c:v>
                </c:pt>
                <c:pt idx="151">
                  <c:v>3410777.7371359225</c:v>
                </c:pt>
                <c:pt idx="152">
                  <c:v>3410777.7371359225</c:v>
                </c:pt>
                <c:pt idx="153">
                  <c:v>3410777.7371359225</c:v>
                </c:pt>
                <c:pt idx="154">
                  <c:v>3410777.7371359225</c:v>
                </c:pt>
                <c:pt idx="155">
                  <c:v>3410777.7371359225</c:v>
                </c:pt>
                <c:pt idx="156">
                  <c:v>3410777.7371359225</c:v>
                </c:pt>
                <c:pt idx="157">
                  <c:v>3410777.7371359225</c:v>
                </c:pt>
                <c:pt idx="158">
                  <c:v>3410777.7371359225</c:v>
                </c:pt>
                <c:pt idx="159">
                  <c:v>3410777.7371359225</c:v>
                </c:pt>
                <c:pt idx="160">
                  <c:v>3410777.7371359225</c:v>
                </c:pt>
                <c:pt idx="161">
                  <c:v>3410777.7371359225</c:v>
                </c:pt>
                <c:pt idx="162">
                  <c:v>3410777.7371359225</c:v>
                </c:pt>
                <c:pt idx="163">
                  <c:v>3410777.7371359225</c:v>
                </c:pt>
                <c:pt idx="164">
                  <c:v>3410777.7371359225</c:v>
                </c:pt>
                <c:pt idx="165">
                  <c:v>3410777.7371359225</c:v>
                </c:pt>
                <c:pt idx="166">
                  <c:v>3410777.7371359225</c:v>
                </c:pt>
                <c:pt idx="167">
                  <c:v>3410777.7371359225</c:v>
                </c:pt>
                <c:pt idx="168">
                  <c:v>3410777.7371359225</c:v>
                </c:pt>
                <c:pt idx="169">
                  <c:v>3410777.7371359225</c:v>
                </c:pt>
                <c:pt idx="170">
                  <c:v>3410777.7371359225</c:v>
                </c:pt>
                <c:pt idx="171">
                  <c:v>3410777.7371359225</c:v>
                </c:pt>
                <c:pt idx="172">
                  <c:v>3410777.7371359225</c:v>
                </c:pt>
                <c:pt idx="173">
                  <c:v>3410777.7371359225</c:v>
                </c:pt>
                <c:pt idx="174">
                  <c:v>3410777.7371359225</c:v>
                </c:pt>
                <c:pt idx="175">
                  <c:v>3410777.7371359225</c:v>
                </c:pt>
                <c:pt idx="176">
                  <c:v>3410777.7371359225</c:v>
                </c:pt>
                <c:pt idx="177">
                  <c:v>3410777.7371359225</c:v>
                </c:pt>
                <c:pt idx="178">
                  <c:v>3410777.7371359225</c:v>
                </c:pt>
                <c:pt idx="179">
                  <c:v>3410777.7371359225</c:v>
                </c:pt>
                <c:pt idx="180">
                  <c:v>3410777.7371359225</c:v>
                </c:pt>
                <c:pt idx="181">
                  <c:v>3410777.7371359225</c:v>
                </c:pt>
                <c:pt idx="182">
                  <c:v>3410777.7371359225</c:v>
                </c:pt>
                <c:pt idx="183">
                  <c:v>3410777.7371359225</c:v>
                </c:pt>
                <c:pt idx="184">
                  <c:v>3410777.7371359225</c:v>
                </c:pt>
                <c:pt idx="185">
                  <c:v>3410777.7371359225</c:v>
                </c:pt>
                <c:pt idx="186">
                  <c:v>3410777.7371359225</c:v>
                </c:pt>
                <c:pt idx="187">
                  <c:v>3410777.7371359225</c:v>
                </c:pt>
                <c:pt idx="188">
                  <c:v>3410777.7371359225</c:v>
                </c:pt>
                <c:pt idx="189">
                  <c:v>3410777.7371359225</c:v>
                </c:pt>
                <c:pt idx="190">
                  <c:v>3410777.7371359225</c:v>
                </c:pt>
                <c:pt idx="191">
                  <c:v>3410777.7371359225</c:v>
                </c:pt>
                <c:pt idx="192">
                  <c:v>3410777.7371359225</c:v>
                </c:pt>
                <c:pt idx="193">
                  <c:v>3410777.7371359225</c:v>
                </c:pt>
                <c:pt idx="194">
                  <c:v>3410777.7371359225</c:v>
                </c:pt>
                <c:pt idx="195">
                  <c:v>3410777.7371359225</c:v>
                </c:pt>
                <c:pt idx="196">
                  <c:v>3410777.7371359225</c:v>
                </c:pt>
                <c:pt idx="197">
                  <c:v>3410777.7371359225</c:v>
                </c:pt>
                <c:pt idx="198">
                  <c:v>3410777.7371359225</c:v>
                </c:pt>
                <c:pt idx="199">
                  <c:v>3410777.7371359225</c:v>
                </c:pt>
                <c:pt idx="200">
                  <c:v>3410777.7371359225</c:v>
                </c:pt>
                <c:pt idx="201">
                  <c:v>3410777.7371359225</c:v>
                </c:pt>
                <c:pt idx="202">
                  <c:v>3410777.7371359225</c:v>
                </c:pt>
                <c:pt idx="203">
                  <c:v>3410777.7371359225</c:v>
                </c:pt>
                <c:pt idx="204">
                  <c:v>3410777.7371359225</c:v>
                </c:pt>
                <c:pt idx="205">
                  <c:v>3410777.7371359225</c:v>
                </c:pt>
                <c:pt idx="206">
                  <c:v>3410777.7371359225</c:v>
                </c:pt>
                <c:pt idx="207">
                  <c:v>3410777.7371359225</c:v>
                </c:pt>
                <c:pt idx="208">
                  <c:v>3410777.7371359225</c:v>
                </c:pt>
                <c:pt idx="209">
                  <c:v>3410777.7371359225</c:v>
                </c:pt>
                <c:pt idx="210">
                  <c:v>3410777.7371359225</c:v>
                </c:pt>
                <c:pt idx="211">
                  <c:v>3410777.7371359225</c:v>
                </c:pt>
                <c:pt idx="212">
                  <c:v>3410777.7371359225</c:v>
                </c:pt>
                <c:pt idx="213">
                  <c:v>3410777.7371359225</c:v>
                </c:pt>
                <c:pt idx="214">
                  <c:v>3410777.7371359225</c:v>
                </c:pt>
                <c:pt idx="215">
                  <c:v>3410777.7371359225</c:v>
                </c:pt>
                <c:pt idx="216">
                  <c:v>3410777.7371359225</c:v>
                </c:pt>
                <c:pt idx="217">
                  <c:v>3410777.7371359225</c:v>
                </c:pt>
                <c:pt idx="218">
                  <c:v>3410777.7371359225</c:v>
                </c:pt>
                <c:pt idx="219">
                  <c:v>3410777.7371359225</c:v>
                </c:pt>
                <c:pt idx="220">
                  <c:v>3410777.7371359225</c:v>
                </c:pt>
                <c:pt idx="221">
                  <c:v>3410777.7371359225</c:v>
                </c:pt>
                <c:pt idx="222">
                  <c:v>3410777.7371359225</c:v>
                </c:pt>
                <c:pt idx="223">
                  <c:v>3410777.7371359225</c:v>
                </c:pt>
                <c:pt idx="224">
                  <c:v>3410777.7371359225</c:v>
                </c:pt>
                <c:pt idx="225">
                  <c:v>3410777.7371359225</c:v>
                </c:pt>
                <c:pt idx="226">
                  <c:v>3410777.7371359225</c:v>
                </c:pt>
                <c:pt idx="227">
                  <c:v>3410777.7371359225</c:v>
                </c:pt>
                <c:pt idx="228">
                  <c:v>3410777.7371359225</c:v>
                </c:pt>
                <c:pt idx="229">
                  <c:v>3410777.7371359225</c:v>
                </c:pt>
                <c:pt idx="230">
                  <c:v>3410777.7371359225</c:v>
                </c:pt>
                <c:pt idx="231">
                  <c:v>3410777.7371359225</c:v>
                </c:pt>
                <c:pt idx="232">
                  <c:v>3410777.7371359225</c:v>
                </c:pt>
                <c:pt idx="233">
                  <c:v>3410777.7371359225</c:v>
                </c:pt>
                <c:pt idx="234">
                  <c:v>3410777.7371359225</c:v>
                </c:pt>
                <c:pt idx="235">
                  <c:v>3410777.7371359225</c:v>
                </c:pt>
                <c:pt idx="236">
                  <c:v>3410777.7371359225</c:v>
                </c:pt>
                <c:pt idx="237">
                  <c:v>3410777.7371359225</c:v>
                </c:pt>
                <c:pt idx="238">
                  <c:v>3410777.7371359225</c:v>
                </c:pt>
                <c:pt idx="239">
                  <c:v>3410777.7371359225</c:v>
                </c:pt>
                <c:pt idx="240">
                  <c:v>3410777.7371359225</c:v>
                </c:pt>
                <c:pt idx="241">
                  <c:v>3410777.7371359225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3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6720.715088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Days_Since_100!$I$6:$II$6</c:f>
              <c:numCache>
                <c:formatCode>General</c:formatCode>
                <c:ptCount val="235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chemeClr val="accent1">
                  <a:lumMod val="40000"/>
                  <a:lumOff val="6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Days_Since_100!$I$7:$JL$7</c:f>
              <c:numCache>
                <c:formatCode>General</c:formatCode>
                <c:ptCount val="264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Days_Since_100!$I$8:$JR$8</c:f>
              <c:numCache>
                <c:formatCode>General</c:formatCode>
                <c:ptCount val="270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Days_Since_100!$I$9:$JG$9</c:f>
              <c:numCache>
                <c:formatCode>General</c:formatCode>
                <c:ptCount val="25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Days_Since_100!$I$10:$JH$10</c:f>
              <c:numCache>
                <c:formatCode>General</c:formatCode>
                <c:ptCount val="26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Days_Since_100!$I$11:$JI$11</c:f>
              <c:numCache>
                <c:formatCode>General</c:formatCode>
                <c:ptCount val="26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Days_Since_100!$I$12:$JF$12</c:f>
              <c:numCache>
                <c:formatCode>General</c:formatCode>
                <c:ptCount val="258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Iran</c:v>
                </c:pt>
              </c:strCache>
            </c:strRef>
          </c:tx>
          <c:spPr>
            <a:ln w="44450" cap="rnd" cmpd="sng" algn="ctr">
              <a:solidFill>
                <a:schemeClr val="bg2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Days_Since_100!$I$13:$JD$13</c:f>
              <c:numCache>
                <c:formatCode>General</c:formatCode>
                <c:ptCount val="256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Spain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Days_Since_100!$I$14:$JC$14</c:f>
              <c:numCache>
                <c:formatCode>General</c:formatCode>
                <c:ptCount val="255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Days_Since_100!$I$15:$JC$15</c:f>
              <c:numCache>
                <c:formatCode>General</c:formatCode>
                <c:ptCount val="255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Days_Since_100!$I$16:$IY$16</c:f>
              <c:numCache>
                <c:formatCode>General</c:formatCode>
                <c:ptCount val="251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Days_Since_100!$I$17:$JC$17</c:f>
              <c:numCache>
                <c:formatCode>General</c:formatCode>
                <c:ptCount val="255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Days_Since_100!$I$18:$JD$18</c:f>
              <c:numCache>
                <c:formatCode>General</c:formatCode>
                <c:ptCount val="256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Days_Since_100!$I$19:$JQ$19</c:f>
              <c:numCache>
                <c:formatCode>General</c:formatCode>
                <c:ptCount val="26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Days_Since_100!$I$20:$KB$20</c:f>
              <c:numCache>
                <c:formatCode>General</c:formatCode>
                <c:ptCount val="280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Days_Since_100!$I$21:$JC$21</c:f>
              <c:numCache>
                <c:formatCode>General</c:formatCode>
                <c:ptCount val="255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Days_Since_100!$I$22:$JA$22</c:f>
              <c:numCache>
                <c:formatCode>General</c:formatCode>
                <c:ptCount val="253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Days_Since_100!$I$23:$IX$23</c:f>
              <c:numCache>
                <c:formatCode>General</c:formatCode>
                <c:ptCount val="250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Days_Since_100!$I$24:$IY$24</c:f>
              <c:numCache>
                <c:formatCode>General</c:formatCode>
                <c:ptCount val="251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Days_Since_100!$I$25:$JI$25</c:f>
              <c:numCache>
                <c:formatCode>General</c:formatCode>
                <c:ptCount val="261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Days_Since_100!$I$26:$IZ$26</c:f>
              <c:numCache>
                <c:formatCode>General</c:formatCode>
                <c:ptCount val="252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Days_Since_100!$I$27:$IX$27</c:f>
              <c:numCache>
                <c:formatCode>General</c:formatCode>
                <c:ptCount val="250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Days_Since_100!$I$28:$IV$28</c:f>
              <c:numCache>
                <c:formatCode>General</c:formatCode>
                <c:ptCount val="248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Days_Since_100!$I$29:$IY$29</c:f>
              <c:numCache>
                <c:formatCode>General</c:formatCode>
                <c:ptCount val="251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Days_Since_100!$I$30:$IX$30</c:f>
              <c:numCache>
                <c:formatCode>General</c:formatCode>
                <c:ptCount val="250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Days_Since_100!$I$31:$IV$31</c:f>
              <c:numCache>
                <c:formatCode>General</c:formatCode>
                <c:ptCount val="248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Pakistan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Days_Since_100!$I$32:$IV$32</c:f>
              <c:numCache>
                <c:formatCode>General</c:formatCode>
                <c:ptCount val="248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Days_Since_100!$I$33:$IV$33</c:f>
              <c:numCache>
                <c:formatCode>General</c:formatCode>
                <c:ptCount val="248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Days_Since_100!$I$34:$IV$34</c:f>
              <c:numCache>
                <c:formatCode>General</c:formatCode>
                <c:ptCount val="248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Days_Since_100!$I$35:$IW$35</c:f>
              <c:numCache>
                <c:formatCode>General</c:formatCode>
                <c:ptCount val="24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chemeClr val="accent2">
                  <a:alpha val="1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Days_Since_100!$I$36:$IV$36</c:f>
              <c:numCache>
                <c:formatCode>General</c:formatCode>
                <c:ptCount val="248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Days_Since_100!$I$37:$IV$37</c:f>
              <c:numCache>
                <c:formatCode>General</c:formatCode>
                <c:ptCount val="248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Days_Since_100!$I$38:$IU$38</c:f>
              <c:numCache>
                <c:formatCode>General</c:formatCode>
                <c:ptCount val="247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Days_Since_100!$I$39:$IU$39</c:f>
              <c:numCache>
                <c:formatCode>General</c:formatCode>
                <c:ptCount val="247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Days_Since_100!$I$40:$IU$40</c:f>
              <c:numCache>
                <c:formatCode>General</c:formatCode>
                <c:ptCount val="247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Days_Since_100!$I$41:$IQ$41</c:f>
              <c:numCache>
                <c:formatCode>General</c:formatCode>
                <c:ptCount val="243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Days_Since_100!$I$42:$IU$42</c:f>
              <c:numCache>
                <c:formatCode>General</c:formatCode>
                <c:ptCount val="247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Days_Since_100!$I$43:$IU$43</c:f>
              <c:numCache>
                <c:formatCode>General</c:formatCode>
                <c:ptCount val="247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Days_Since_100!$I$44:$IU$44</c:f>
              <c:numCache>
                <c:formatCode>General</c:formatCode>
                <c:ptCount val="247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Days_Since_100!$I$45:$IT$45</c:f>
              <c:numCache>
                <c:formatCode>General</c:formatCode>
                <c:ptCount val="246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Days_Since_100!$I$46:$IU$46</c:f>
              <c:numCache>
                <c:formatCode>General</c:formatCode>
                <c:ptCount val="247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Days_Since_100!$I$47:$IT$47</c:f>
              <c:numCache>
                <c:formatCode>General</c:formatCode>
                <c:ptCount val="246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Days_Since_100!$I$48:$IT$48</c:f>
              <c:numCache>
                <c:formatCode>General</c:formatCode>
                <c:ptCount val="246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Days_Since_100!$I$49:$IT$49</c:f>
              <c:numCache>
                <c:formatCode>General</c:formatCode>
                <c:ptCount val="246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Days_Since_100!$I$50:$IU$50</c:f>
              <c:numCache>
                <c:formatCode>General</c:formatCode>
                <c:ptCount val="247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Days_Since_100!$I$51:$IU$51</c:f>
              <c:numCache>
                <c:formatCode>General</c:formatCode>
                <c:ptCount val="247"/>
                <c:pt idx="0">
                  <c:v>111</c:v>
                </c:pt>
                <c:pt idx="1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Days_Since_100!$I$52:$IQ$52</c:f>
              <c:numCache>
                <c:formatCode>General</c:formatCode>
                <c:ptCount val="243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Days_Since_100!$H$53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Days_Since_100!$I$53:$IR$53</c:f>
              <c:numCache>
                <c:formatCode>General</c:formatCode>
                <c:ptCount val="244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Days_Since_100!$H$54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Days_Since_100!$I$54:$IS$54</c:f>
              <c:numCache>
                <c:formatCode>General</c:formatCode>
                <c:ptCount val="245"/>
                <c:pt idx="0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Days_Since_100!$H$55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Days_Since_100!$I$55:$IP$55</c:f>
              <c:numCache>
                <c:formatCode>General</c:formatCode>
                <c:ptCount val="242"/>
                <c:pt idx="0">
                  <c:v>110</c:v>
                </c:pt>
                <c:pt idx="1">
                  <c:v>99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Days_Since_100!$H$56</c:f>
              <c:strCache>
                <c:ptCount val="1"/>
                <c:pt idx="0">
                  <c:v>South Africa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Days_Since_100!$I$56:$IR$56</c:f>
              <c:numCache>
                <c:formatCode>General</c:formatCode>
                <c:ptCount val="244"/>
                <c:pt idx="0">
                  <c:v>116</c:v>
                </c:pt>
                <c:pt idx="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Days_Since_100!$H$57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Days_Since_100!$I$57:$IP$57</c:f>
              <c:numCache>
                <c:formatCode>General</c:formatCode>
                <c:ptCount val="242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Days_Since_100!$H$58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Days_Since_100!$I$58:$IQ$58</c:f>
              <c:numCache>
                <c:formatCode>General</c:formatCode>
                <c:ptCount val="243"/>
                <c:pt idx="0">
                  <c:v>113</c:v>
                </c:pt>
                <c:pt idx="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22</xdr:col>
      <xdr:colOff>192566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5301187" y="329944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25</xdr:col>
      <xdr:colOff>487604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17409259" y="337082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25</xdr:col>
      <xdr:colOff>487604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17409259" y="882120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22</xdr:col>
      <xdr:colOff>192566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15301187" y="90989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Z53"/>
  <sheetViews>
    <sheetView showGridLines="0" zoomScale="51" zoomScaleNormal="51" workbookViewId="0">
      <selection activeCell="AB30" sqref="AB30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26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6" x14ac:dyDescent="0.25">
      <c r="A2" s="48"/>
      <c r="B2" s="96" t="str">
        <f>C7&amp;" Covid-19 Active Case Projections"</f>
        <v>United Kingdom Covid-19 Active Case Projections</v>
      </c>
      <c r="C2" s="97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26" x14ac:dyDescent="0.25">
      <c r="A3" s="48"/>
      <c r="B3" s="98"/>
      <c r="C3" s="9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6" x14ac:dyDescent="0.25">
      <c r="A4" s="48"/>
      <c r="B4" s="98"/>
      <c r="C4" s="9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</row>
    <row r="5" spans="1:26" x14ac:dyDescent="0.25">
      <c r="A5" s="48"/>
      <c r="B5" s="100"/>
      <c r="C5" s="101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</row>
    <row r="6" spans="1:26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26" x14ac:dyDescent="0.25">
      <c r="A7" s="48"/>
      <c r="B7" s="83" t="s">
        <v>480</v>
      </c>
      <c r="C7" s="102" t="s">
        <v>349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26" x14ac:dyDescent="0.25">
      <c r="A8" s="48"/>
      <c r="B8" s="84"/>
      <c r="C8" s="103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</row>
    <row r="9" spans="1:26" ht="17.399999999999999" x14ac:dyDescent="0.3">
      <c r="A9" s="48"/>
      <c r="B9" s="74"/>
      <c r="C9" s="74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</row>
    <row r="10" spans="1:26" ht="15.6" customHeight="1" x14ac:dyDescent="0.25">
      <c r="A10" s="48"/>
      <c r="B10" s="83" t="s">
        <v>514</v>
      </c>
      <c r="C10" s="110">
        <f>Projections_Data!C4</f>
        <v>3296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</row>
    <row r="11" spans="1:26" ht="15.6" customHeight="1" x14ac:dyDescent="0.25">
      <c r="A11" s="48"/>
      <c r="B11" s="84"/>
      <c r="C11" s="111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  <c r="X11" s="76" t="s">
        <v>497</v>
      </c>
      <c r="Y11" s="76"/>
      <c r="Z11" s="59">
        <v>5</v>
      </c>
    </row>
    <row r="12" spans="1:26" ht="15.6" customHeight="1" x14ac:dyDescent="0.25">
      <c r="A12" s="48"/>
      <c r="B12" s="83" t="s">
        <v>515</v>
      </c>
      <c r="C12" s="108">
        <f>Projections_Data!C6</f>
        <v>3091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26" ht="15.6" customHeight="1" x14ac:dyDescent="0.25">
      <c r="A13" s="48"/>
      <c r="B13" s="84"/>
      <c r="C13" s="10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6" ht="15.6" customHeight="1" x14ac:dyDescent="0.25">
      <c r="A14" s="48"/>
      <c r="B14" s="83" t="s">
        <v>517</v>
      </c>
      <c r="C14" s="106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</row>
    <row r="15" spans="1:26" ht="15.6" customHeight="1" x14ac:dyDescent="0.25">
      <c r="A15" s="48"/>
      <c r="B15" s="84"/>
      <c r="C15" s="107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</row>
    <row r="16" spans="1:26" ht="15.6" customHeight="1" x14ac:dyDescent="0.25">
      <c r="A16" s="48"/>
      <c r="B16" s="83" t="s">
        <v>524</v>
      </c>
      <c r="C16" s="104">
        <f>Projections_Data!C8</f>
        <v>138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</row>
    <row r="17" spans="1:21" ht="15.6" customHeight="1" x14ac:dyDescent="0.25">
      <c r="A17" s="48"/>
      <c r="B17" s="84"/>
      <c r="C17" s="105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</row>
    <row r="18" spans="1:21" ht="15.6" customHeight="1" x14ac:dyDescent="0.25">
      <c r="A18" s="48"/>
      <c r="B18" s="83" t="s">
        <v>516</v>
      </c>
      <c r="C18" s="85">
        <f>Projections_Data!C14</f>
        <v>4072.8595947011081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</row>
    <row r="19" spans="1:21" ht="15.6" customHeight="1" x14ac:dyDescent="0.25">
      <c r="A19" s="48"/>
      <c r="B19" s="84"/>
      <c r="C19" s="86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</row>
    <row r="20" spans="1:21" ht="19.8" customHeight="1" x14ac:dyDescent="0.25">
      <c r="A20" s="48"/>
      <c r="B20" s="79" t="s">
        <v>539</v>
      </c>
      <c r="C20" s="81">
        <f>Projections_Data!C11</f>
        <v>0.22864377986630036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</row>
    <row r="21" spans="1:21" ht="19.8" customHeight="1" x14ac:dyDescent="0.25">
      <c r="A21" s="48"/>
      <c r="B21" s="80"/>
      <c r="C21" s="82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21" ht="19.8" customHeight="1" x14ac:dyDescent="0.25">
      <c r="A22" s="48"/>
      <c r="B22" s="94" t="s">
        <v>513</v>
      </c>
      <c r="C22" s="87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505</v>
      </c>
    </row>
    <row r="23" spans="1:21" ht="19.8" customHeight="1" x14ac:dyDescent="0.25">
      <c r="A23" s="48"/>
      <c r="B23" s="95"/>
      <c r="C23" s="8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21" ht="18.600000000000001" customHeight="1" x14ac:dyDescent="0.25">
      <c r="A24" s="48"/>
      <c r="B24" s="83" t="s">
        <v>512</v>
      </c>
      <c r="C24" s="87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21" ht="18.600000000000001" customHeight="1" x14ac:dyDescent="0.25">
      <c r="A25" s="48"/>
      <c r="B25" s="84"/>
      <c r="C25" s="88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21" ht="15.6" customHeight="1" x14ac:dyDescent="0.25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21" ht="15.6" customHeight="1" x14ac:dyDescent="0.25">
      <c r="A27" s="48"/>
      <c r="B27" s="89" t="s">
        <v>540</v>
      </c>
      <c r="C27" s="8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21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21" ht="15.6" customHeight="1" x14ac:dyDescent="0.25">
      <c r="A29" s="48"/>
      <c r="B29" s="96" t="str">
        <f>Projections_Data!B35</f>
        <v xml:space="preserve">United Kingdom critically ill projections </v>
      </c>
      <c r="C29" s="97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21" ht="15.6" customHeight="1" x14ac:dyDescent="0.25">
      <c r="A30" s="48"/>
      <c r="B30" s="98"/>
      <c r="C30" s="9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21" ht="15.6" customHeight="1" x14ac:dyDescent="0.25">
      <c r="A31" s="48"/>
      <c r="B31" s="98"/>
      <c r="C31" s="9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21" ht="15.6" customHeight="1" x14ac:dyDescent="0.25">
      <c r="A32" s="48"/>
      <c r="B32" s="100"/>
      <c r="C32" s="101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</row>
    <row r="33" spans="1:21" ht="15.6" customHeight="1" x14ac:dyDescent="0.25">
      <c r="A33" s="48"/>
      <c r="B33" s="124"/>
      <c r="C33" s="124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</row>
    <row r="34" spans="1:21" ht="15.6" customHeight="1" x14ac:dyDescent="0.25">
      <c r="A34" s="48"/>
      <c r="B34" s="78" t="s">
        <v>468</v>
      </c>
      <c r="C34" s="77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</row>
    <row r="35" spans="1:21" ht="18" customHeight="1" x14ac:dyDescent="0.25">
      <c r="A35" s="48"/>
      <c r="B35" s="78"/>
      <c r="C35" s="77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</row>
    <row r="36" spans="1:21" ht="18" customHeight="1" x14ac:dyDescent="0.25">
      <c r="A36" s="48"/>
      <c r="B36" s="90" t="s">
        <v>529</v>
      </c>
      <c r="C36" s="93">
        <f>Projections_Data!C15</f>
        <v>0.12560679611650485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</row>
    <row r="37" spans="1:21" ht="20.399999999999999" customHeight="1" x14ac:dyDescent="0.25">
      <c r="A37" s="48"/>
      <c r="B37" s="90"/>
      <c r="C37" s="93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21" ht="20.399999999999999" customHeight="1" x14ac:dyDescent="0.25">
      <c r="A38" s="48"/>
      <c r="B38" s="90" t="s">
        <v>528</v>
      </c>
      <c r="C38" s="77">
        <f>Projections!C12*Projections!C36</f>
        <v>388.25060679611653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21" ht="20.399999999999999" customHeight="1" x14ac:dyDescent="0.25">
      <c r="A39" s="48"/>
      <c r="B39" s="90"/>
      <c r="C39" s="77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</row>
    <row r="40" spans="1:21" ht="20.399999999999999" customHeight="1" x14ac:dyDescent="0.25">
      <c r="A40" s="48"/>
      <c r="B40" s="90" t="s">
        <v>491</v>
      </c>
      <c r="C40" s="92">
        <f ca="1">Projections_Data!D31</f>
        <v>43921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</row>
    <row r="41" spans="1:21" ht="20.399999999999999" customHeight="1" x14ac:dyDescent="0.25">
      <c r="A41" s="48"/>
      <c r="B41" s="90"/>
      <c r="C41" s="92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</row>
    <row r="42" spans="1:21" ht="20.399999999999999" customHeight="1" x14ac:dyDescent="0.25">
      <c r="A42" s="48"/>
      <c r="B42" s="78" t="s">
        <v>492</v>
      </c>
      <c r="C42" s="91">
        <f ca="1">IFERROR(C40-TODAY(),"N/A")</f>
        <v>11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</row>
    <row r="43" spans="1:21" ht="18" customHeight="1" x14ac:dyDescent="0.25">
      <c r="A43" s="48"/>
      <c r="B43" s="78"/>
      <c r="C43" s="91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21" ht="18" customHeight="1" x14ac:dyDescent="0.25">
      <c r="A44" s="48"/>
      <c r="B44" s="120" t="s">
        <v>554</v>
      </c>
      <c r="C44" s="12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21" ht="15.6" customHeight="1" x14ac:dyDescent="0.25">
      <c r="A45" s="48"/>
      <c r="B45" s="121"/>
      <c r="C45" s="121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</row>
    <row r="46" spans="1:21" ht="15.6" customHeight="1" x14ac:dyDescent="0.25">
      <c r="A46" s="48"/>
      <c r="B46" s="121"/>
      <c r="C46" s="121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</row>
    <row r="47" spans="1:21" ht="13.8" customHeight="1" x14ac:dyDescent="0.25">
      <c r="A47" s="48"/>
      <c r="B47" s="121"/>
      <c r="C47" s="121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</row>
    <row r="48" spans="1:21" ht="14.4" customHeight="1" x14ac:dyDescent="0.25">
      <c r="A48" s="48"/>
      <c r="B48" s="121"/>
      <c r="C48" s="121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125" t="str">
        <f>"Source: Analysis of John Hopkins University and WHO data.
Data updated: "&amp;TEXT(Projections_Data!C2,"DD/MM/YYYY")&amp;"."</f>
        <v>Source: Analysis of John Hopkins University and WHO data.
Data updated: 19/03/2020.</v>
      </c>
      <c r="C49" s="125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122"/>
      <c r="C50" s="122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122"/>
      <c r="C51" s="122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122"/>
      <c r="C52" s="122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123"/>
      <c r="C53" s="123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3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B27:C27"/>
    <mergeCell ref="B40:B41"/>
    <mergeCell ref="C42:C43"/>
    <mergeCell ref="B42:B43"/>
    <mergeCell ref="C40:C41"/>
    <mergeCell ref="C38:C39"/>
    <mergeCell ref="B38:B39"/>
    <mergeCell ref="C36:C37"/>
    <mergeCell ref="B36:B37"/>
    <mergeCell ref="B22:B23"/>
    <mergeCell ref="B29:C32"/>
    <mergeCell ref="B44:C48"/>
    <mergeCell ref="X11:Y11"/>
    <mergeCell ref="C34:C35"/>
    <mergeCell ref="B34:B35"/>
    <mergeCell ref="B20:B21"/>
    <mergeCell ref="C20:C21"/>
    <mergeCell ref="B18:B19"/>
    <mergeCell ref="C18:C19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0DB93-616E-479A-9036-102AC4BE56B0}">
  <dimension ref="A1:D12"/>
  <sheetViews>
    <sheetView tabSelected="1" workbookViewId="0">
      <selection activeCell="D24" sqref="D24"/>
    </sheetView>
  </sheetViews>
  <sheetFormatPr defaultRowHeight="14.4" x14ac:dyDescent="0.3"/>
  <cols>
    <col min="3" max="4" width="20.21875" bestFit="1" customWidth="1"/>
  </cols>
  <sheetData>
    <row r="1" spans="1:4" ht="61.8" thickBot="1" x14ac:dyDescent="0.35">
      <c r="A1" s="112" t="s">
        <v>541</v>
      </c>
      <c r="B1" s="112" t="s">
        <v>542</v>
      </c>
      <c r="C1" s="112" t="s">
        <v>543</v>
      </c>
      <c r="D1" s="112" t="s">
        <v>544</v>
      </c>
    </row>
    <row r="2" spans="1:4" ht="15" thickBot="1" x14ac:dyDescent="0.35">
      <c r="A2" s="113" t="s">
        <v>545</v>
      </c>
      <c r="B2" s="114">
        <v>1E-3</v>
      </c>
      <c r="C2" s="115">
        <v>0.05</v>
      </c>
      <c r="D2" s="114">
        <v>2.0000000000000002E-5</v>
      </c>
    </row>
    <row r="3" spans="1:4" ht="15" thickBot="1" x14ac:dyDescent="0.35">
      <c r="A3" s="113" t="s">
        <v>546</v>
      </c>
      <c r="B3" s="114">
        <v>3.0000000000000001E-3</v>
      </c>
      <c r="C3" s="115">
        <v>0.05</v>
      </c>
      <c r="D3" s="114">
        <v>6.0000000000000002E-5</v>
      </c>
    </row>
    <row r="4" spans="1:4" ht="15" thickBot="1" x14ac:dyDescent="0.35">
      <c r="A4" s="113" t="s">
        <v>547</v>
      </c>
      <c r="B4" s="114">
        <v>1.2E-2</v>
      </c>
      <c r="C4" s="115">
        <v>0.05</v>
      </c>
      <c r="D4" s="114">
        <v>2.9999999999999997E-4</v>
      </c>
    </row>
    <row r="5" spans="1:4" ht="15" thickBot="1" x14ac:dyDescent="0.35">
      <c r="A5" s="113" t="s">
        <v>548</v>
      </c>
      <c r="B5" s="114">
        <v>3.2000000000000001E-2</v>
      </c>
      <c r="C5" s="115">
        <v>0.05</v>
      </c>
      <c r="D5" s="114">
        <v>8.0000000000000004E-4</v>
      </c>
    </row>
    <row r="6" spans="1:4" ht="15" thickBot="1" x14ac:dyDescent="0.35">
      <c r="A6" s="113" t="s">
        <v>549</v>
      </c>
      <c r="B6" s="114">
        <v>4.9000000000000002E-2</v>
      </c>
      <c r="C6" s="114">
        <v>6.3E-2</v>
      </c>
      <c r="D6" s="114">
        <v>1.5E-3</v>
      </c>
    </row>
    <row r="7" spans="1:4" ht="15" thickBot="1" x14ac:dyDescent="0.35">
      <c r="A7" s="113" t="s">
        <v>550</v>
      </c>
      <c r="B7" s="114">
        <v>0.10199999999999999</v>
      </c>
      <c r="C7" s="114">
        <v>0.122</v>
      </c>
      <c r="D7" s="114">
        <v>6.0000000000000001E-3</v>
      </c>
    </row>
    <row r="8" spans="1:4" ht="15" thickBot="1" x14ac:dyDescent="0.35">
      <c r="A8" s="113" t="s">
        <v>551</v>
      </c>
      <c r="B8" s="114">
        <v>0.16600000000000001</v>
      </c>
      <c r="C8" s="114">
        <v>0.27400000000000002</v>
      </c>
      <c r="D8" s="114">
        <v>2.1999999999999999E-2</v>
      </c>
    </row>
    <row r="9" spans="1:4" ht="15" thickBot="1" x14ac:dyDescent="0.35">
      <c r="A9" s="113" t="s">
        <v>552</v>
      </c>
      <c r="B9" s="114">
        <v>0.24299999999999999</v>
      </c>
      <c r="C9" s="114">
        <v>0.432</v>
      </c>
      <c r="D9" s="114">
        <v>5.0999999999999997E-2</v>
      </c>
    </row>
    <row r="10" spans="1:4" ht="15" thickBot="1" x14ac:dyDescent="0.35">
      <c r="A10" s="116" t="s">
        <v>553</v>
      </c>
      <c r="B10" s="117">
        <v>0.27300000000000002</v>
      </c>
      <c r="C10" s="117">
        <v>0.70899999999999996</v>
      </c>
      <c r="D10" s="117">
        <v>9.2999999999999999E-2</v>
      </c>
    </row>
    <row r="11" spans="1:4" x14ac:dyDescent="0.3">
      <c r="B11" s="118">
        <f>AVERAGE(B2:B10)</f>
        <v>9.7888888888888886E-2</v>
      </c>
      <c r="C11" s="118">
        <f t="shared" ref="C11:D11" si="0">AVERAGE(C2:C10)</f>
        <v>0.19999999999999998</v>
      </c>
      <c r="D11" s="118">
        <f t="shared" si="0"/>
        <v>1.9408888888888889E-2</v>
      </c>
    </row>
    <row r="12" spans="1:4" x14ac:dyDescent="0.3">
      <c r="C12" s="126">
        <f>C11*B11</f>
        <v>1.9577777777777777E-2</v>
      </c>
      <c r="D12" s="119">
        <f>C12/D11</f>
        <v>1.0087016258300894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sqref="A1:G42"/>
    </sheetView>
  </sheetViews>
  <sheetFormatPr defaultColWidth="9" defaultRowHeight="13.2" customHeight="1" x14ac:dyDescent="0.2"/>
  <cols>
    <col min="1" max="1" width="2.21875" style="61" customWidth="1"/>
    <col min="2" max="2" width="3.88671875" style="60" customWidth="1"/>
    <col min="3" max="3" width="14" style="61" bestFit="1" customWidth="1"/>
    <col min="4" max="4" width="9.21875" style="61" customWidth="1"/>
    <col min="5" max="5" width="10.33203125" style="61" customWidth="1"/>
    <col min="6" max="6" width="11.5546875" style="60" customWidth="1"/>
    <col min="7" max="7" width="3" style="61" customWidth="1"/>
    <col min="8" max="8" width="16" style="61" customWidth="1"/>
    <col min="9" max="9" width="14" style="61" bestFit="1" customWidth="1"/>
    <col min="10" max="10" width="17.6640625" style="61" bestFit="1" customWidth="1"/>
    <col min="11" max="11" width="11.44140625" style="61" bestFit="1" customWidth="1"/>
    <col min="12" max="16384" width="9" style="61"/>
  </cols>
  <sheetData>
    <row r="1" spans="2:15" ht="13.2" customHeight="1" thickBot="1" x14ac:dyDescent="0.25"/>
    <row r="2" spans="2:15" ht="34.799999999999997" thickBot="1" x14ac:dyDescent="0.25">
      <c r="B2" s="66" t="s">
        <v>520</v>
      </c>
      <c r="C2" s="67" t="s">
        <v>480</v>
      </c>
      <c r="D2" s="67" t="s">
        <v>493</v>
      </c>
      <c r="E2" s="67" t="s">
        <v>510</v>
      </c>
      <c r="F2" s="68" t="s">
        <v>494</v>
      </c>
      <c r="H2" s="66" t="s">
        <v>511</v>
      </c>
      <c r="I2" s="67" t="s">
        <v>525</v>
      </c>
      <c r="J2" s="67" t="s">
        <v>481</v>
      </c>
      <c r="K2" s="68" t="s">
        <v>526</v>
      </c>
    </row>
    <row r="3" spans="2:15" s="62" customFormat="1" ht="13.8" customHeight="1" x14ac:dyDescent="0.3">
      <c r="B3" s="69">
        <v>1</v>
      </c>
      <c r="C3" s="65" t="s">
        <v>103</v>
      </c>
      <c r="D3" s="64">
        <f>VLOOKUP(C3,Country_Data!B:F,5,FALSE)</f>
        <v>199</v>
      </c>
      <c r="E3" s="64">
        <f>D3*Projections_Data!$C$15</f>
        <v>24.995752427184467</v>
      </c>
      <c r="F3" s="75">
        <f>IFERROR(VLOOKUP(C3,Days_Since_100!C:G,5,FALSE)-1,0)</f>
        <v>0.79279279279279269</v>
      </c>
      <c r="H3" s="72" t="str">
        <f t="shared" ref="H3:H34" si="0">IFERROR(LOG((K3/E3),1+F3),"")</f>
        <v/>
      </c>
      <c r="I3" s="71"/>
      <c r="J3" s="64">
        <f>VLOOKUP(C3,Country_Data!C:K,9,FALSE)</f>
        <v>17643054</v>
      </c>
      <c r="K3" s="63"/>
      <c r="M3" s="62">
        <f t="array" ref="M3">IF(OR(C3=$O$3:$O$21),1,0)</f>
        <v>0</v>
      </c>
      <c r="O3" s="62" t="s">
        <v>41</v>
      </c>
    </row>
    <row r="4" spans="2:15" s="62" customFormat="1" ht="13.8" customHeight="1" x14ac:dyDescent="0.3">
      <c r="B4" s="69">
        <f t="shared" ref="B4:B35" si="1">B3+1</f>
        <v>2</v>
      </c>
      <c r="C4" s="65" t="s">
        <v>99</v>
      </c>
      <c r="D4" s="64">
        <f>VLOOKUP(C4,Country_Data!B:F,5,FALSE)</f>
        <v>335</v>
      </c>
      <c r="E4" s="64">
        <f>D4*Projections_Data!$C$15</f>
        <v>42.078276699029125</v>
      </c>
      <c r="F4" s="75">
        <f>IFERROR(VLOOKUP(C4,Days_Since_100!C:G,5,FALSE)-1,0)</f>
        <v>0.54688627340769402</v>
      </c>
      <c r="H4" s="72">
        <f t="shared" si="0"/>
        <v>2.9924925405523597</v>
      </c>
      <c r="I4" s="71">
        <v>24.8</v>
      </c>
      <c r="J4" s="64">
        <f>VLOOKUP(C4,Country_Data!C:K,9,FALSE)</f>
        <v>625978</v>
      </c>
      <c r="K4" s="63">
        <f t="shared" ref="K4:K21" si="2">(J4/100000)*I4</f>
        <v>155.24254400000001</v>
      </c>
      <c r="M4" s="62">
        <f t="array" ref="M4">IF(OR(C4=$O$3:$O$21),1,0)</f>
        <v>0</v>
      </c>
      <c r="O4" s="62" t="s">
        <v>38</v>
      </c>
    </row>
    <row r="5" spans="2:15" s="62" customFormat="1" ht="13.8" customHeight="1" x14ac:dyDescent="0.3">
      <c r="B5" s="69">
        <f t="shared" si="1"/>
        <v>3</v>
      </c>
      <c r="C5" s="65" t="s">
        <v>80</v>
      </c>
      <c r="D5" s="64">
        <f>VLOOKUP(C5,Country_Data!B:F,5,FALSE)</f>
        <v>454</v>
      </c>
      <c r="E5" s="64">
        <f>D5*Projections_Data!$C$15</f>
        <v>57.025485436893206</v>
      </c>
      <c r="F5" s="75">
        <f>IFERROR(VLOOKUP(C5,Days_Since_100!C:G,5,FALSE)-1,0)</f>
        <v>0.49453347920737367</v>
      </c>
      <c r="H5" s="72" t="str">
        <f t="shared" si="0"/>
        <v/>
      </c>
      <c r="I5" s="71"/>
      <c r="J5" s="64">
        <f>VLOOKUP(C5,Country_Data!C:K,9,FALSE)</f>
        <v>220892340</v>
      </c>
      <c r="K5" s="63">
        <f t="shared" si="2"/>
        <v>0</v>
      </c>
      <c r="M5" s="62">
        <f t="array" ref="M5">IF(OR(C5=$O$3:$O$21),1,0)</f>
        <v>0</v>
      </c>
      <c r="O5" s="62" t="s">
        <v>349</v>
      </c>
    </row>
    <row r="6" spans="2:15" s="62" customFormat="1" ht="13.8" customHeight="1" x14ac:dyDescent="0.3">
      <c r="B6" s="69">
        <f t="shared" si="1"/>
        <v>4</v>
      </c>
      <c r="C6" s="65" t="s">
        <v>160</v>
      </c>
      <c r="D6" s="64">
        <f>VLOOKUP(C6,Country_Data!B:F,5,FALSE)</f>
        <v>234</v>
      </c>
      <c r="E6" s="64">
        <f>D6*Projections_Data!$C$15</f>
        <v>29.391990291262136</v>
      </c>
      <c r="F6" s="75">
        <f>IFERROR(VLOOKUP(C6,Days_Since_100!C:G,5,FALSE)-1,0)</f>
        <v>0.41421356237309515</v>
      </c>
      <c r="H6" s="72" t="str">
        <f t="shared" si="0"/>
        <v/>
      </c>
      <c r="I6" s="71"/>
      <c r="J6" s="64">
        <f>VLOOKUP(C6,Country_Data!C:K,9,FALSE)</f>
        <v>32971854</v>
      </c>
      <c r="K6" s="63">
        <f t="shared" si="2"/>
        <v>0</v>
      </c>
      <c r="M6" s="62">
        <f t="array" ref="M6">IF(OR(C6=$O$3:$O$21),1,0)</f>
        <v>0</v>
      </c>
      <c r="O6" s="62" t="s">
        <v>58</v>
      </c>
    </row>
    <row r="7" spans="2:15" s="62" customFormat="1" ht="13.8" customHeight="1" x14ac:dyDescent="0.3">
      <c r="B7" s="69">
        <f t="shared" si="1"/>
        <v>5</v>
      </c>
      <c r="C7" s="65" t="s">
        <v>38</v>
      </c>
      <c r="D7" s="64">
        <f>VLOOKUP(C7,Country_Data!B:F,5,FALSE)</f>
        <v>13677</v>
      </c>
      <c r="E7" s="64">
        <f>D7*Projections_Data!$C$15</f>
        <v>1717.9241504854369</v>
      </c>
      <c r="F7" s="75">
        <f>IFERROR(VLOOKUP(C7,Days_Since_100!C:G,5,FALSE)-1,0)</f>
        <v>0.38057861456112052</v>
      </c>
      <c r="H7" s="72">
        <f t="shared" si="0"/>
        <v>12.506645918550921</v>
      </c>
      <c r="I7" s="71">
        <v>29.3</v>
      </c>
      <c r="J7" s="64">
        <f>VLOOKUP(C7,Country_Data!C:K,9,FALSE)</f>
        <v>331002651</v>
      </c>
      <c r="K7" s="63">
        <f t="shared" si="2"/>
        <v>96983.776743000009</v>
      </c>
      <c r="M7" s="62">
        <f t="array" ref="M7">IF(OR(C7=$O$3:$O$21),1,0)</f>
        <v>1</v>
      </c>
      <c r="O7" s="62" t="s">
        <v>60</v>
      </c>
    </row>
    <row r="8" spans="2:15" s="62" customFormat="1" ht="13.8" customHeight="1" x14ac:dyDescent="0.3">
      <c r="B8" s="69">
        <f t="shared" si="1"/>
        <v>6</v>
      </c>
      <c r="C8" s="65" t="s">
        <v>108</v>
      </c>
      <c r="D8" s="64">
        <f>VLOOKUP(C8,Country_Data!B:F,5,FALSE)</f>
        <v>785</v>
      </c>
      <c r="E8" s="64">
        <f>D8*Projections_Data!$C$15</f>
        <v>98.601334951456309</v>
      </c>
      <c r="F8" s="75">
        <f>IFERROR(VLOOKUP(C8,Days_Since_100!C:G,5,FALSE)-1,0)</f>
        <v>0.35955440213552681</v>
      </c>
      <c r="H8" s="72">
        <f t="shared" si="0"/>
        <v>4.7814304611006957</v>
      </c>
      <c r="I8" s="71">
        <v>4.2</v>
      </c>
      <c r="J8" s="64">
        <f>VLOOKUP(C8,Country_Data!C:K,9,FALSE)</f>
        <v>10196709</v>
      </c>
      <c r="K8" s="63">
        <f t="shared" si="2"/>
        <v>428.26177799999999</v>
      </c>
      <c r="M8" s="62">
        <f t="array" ref="M8">IF(OR(C8=$O$3:$O$21),1,0)</f>
        <v>0</v>
      </c>
      <c r="O8" s="62" t="s">
        <v>53</v>
      </c>
    </row>
    <row r="9" spans="2:15" s="62" customFormat="1" ht="13.8" customHeight="1" x14ac:dyDescent="0.3">
      <c r="B9" s="69">
        <f t="shared" si="1"/>
        <v>7</v>
      </c>
      <c r="C9" s="65" t="s">
        <v>98</v>
      </c>
      <c r="D9" s="64">
        <f>VLOOKUP(C9,Country_Data!B:F,5,FALSE)</f>
        <v>557</v>
      </c>
      <c r="E9" s="64">
        <f>D9*Projections_Data!$C$15</f>
        <v>69.962985436893206</v>
      </c>
      <c r="F9" s="75">
        <f>IFERROR(VLOOKUP(C9,Days_Since_100!C:G,5,FALSE)-1,0)</f>
        <v>0.33984048671637046</v>
      </c>
      <c r="H9" s="72">
        <f t="shared" si="0"/>
        <v>5.2070929644915118</v>
      </c>
      <c r="I9" s="71">
        <v>6.5</v>
      </c>
      <c r="J9" s="64">
        <f>VLOOKUP(C9,Country_Data!C:K,9,FALSE)</f>
        <v>4937786</v>
      </c>
      <c r="K9" s="63">
        <f t="shared" si="2"/>
        <v>320.95609000000002</v>
      </c>
      <c r="M9" s="62">
        <f t="array" ref="M9">IF(OR(C9=$O$3:$O$21),1,0)</f>
        <v>0</v>
      </c>
    </row>
    <row r="10" spans="2:15" s="62" customFormat="1" ht="13.8" customHeight="1" x14ac:dyDescent="0.3">
      <c r="B10" s="69">
        <f t="shared" si="1"/>
        <v>8</v>
      </c>
      <c r="C10" s="65" t="s">
        <v>81</v>
      </c>
      <c r="D10" s="64">
        <f>VLOOKUP(C10,Country_Data!B:F,5,FALSE)</f>
        <v>621</v>
      </c>
      <c r="E10" s="64">
        <f>D10*Projections_Data!$C$15</f>
        <v>78.001820388349515</v>
      </c>
      <c r="F10" s="75">
        <f>IFERROR(VLOOKUP(C10,Days_Since_100!C:G,5,FALSE)-1,0)</f>
        <v>0.32685336620705097</v>
      </c>
      <c r="H10" s="72" t="str">
        <f t="shared" si="0"/>
        <v/>
      </c>
      <c r="I10" s="71"/>
      <c r="J10" s="64">
        <f>VLOOKUP(C10,Country_Data!C:K,9,FALSE)</f>
        <v>212559417</v>
      </c>
      <c r="K10" s="63">
        <f t="shared" si="2"/>
        <v>0</v>
      </c>
      <c r="M10" s="62">
        <f t="array" ref="M10">IF(OR(C10=$O$3:$O$21),1,0)</f>
        <v>0</v>
      </c>
    </row>
    <row r="11" spans="2:15" s="62" customFormat="1" ht="13.8" customHeight="1" x14ac:dyDescent="0.3">
      <c r="B11" s="69">
        <f t="shared" si="1"/>
        <v>9</v>
      </c>
      <c r="C11" s="65" t="s">
        <v>45</v>
      </c>
      <c r="D11" s="64">
        <f>VLOOKUP(C11,Country_Data!B:F,5,FALSE)</f>
        <v>800</v>
      </c>
      <c r="E11" s="64">
        <f>D11*Projections_Data!$C$15</f>
        <v>100.48543689320388</v>
      </c>
      <c r="F11" s="75">
        <f>IFERROR(VLOOKUP(C11,Days_Since_100!C:G,5,FALSE)-1,0)</f>
        <v>0.32216287774287045</v>
      </c>
      <c r="H11" s="72" t="str">
        <f t="shared" si="0"/>
        <v/>
      </c>
      <c r="I11" s="71"/>
      <c r="J11" s="64">
        <f>VLOOKUP(C11,Country_Data!C:K,9,FALSE)</f>
        <v>37742154</v>
      </c>
      <c r="K11" s="63">
        <f t="shared" si="2"/>
        <v>0</v>
      </c>
      <c r="M11" s="62">
        <f t="array" ref="M11">IF(OR(C11=$O$3:$O$21),1,0)</f>
        <v>0</v>
      </c>
    </row>
    <row r="12" spans="2:15" s="62" customFormat="1" ht="13.8" customHeight="1" x14ac:dyDescent="0.3">
      <c r="B12" s="69">
        <f t="shared" si="1"/>
        <v>10</v>
      </c>
      <c r="C12" s="65" t="s">
        <v>344</v>
      </c>
      <c r="D12" s="64">
        <f>VLOOKUP(C12,Country_Data!B:F,5,FALSE)</f>
        <v>199</v>
      </c>
      <c r="E12" s="64">
        <f>D12*Projections_Data!$C$15</f>
        <v>24.995752427184467</v>
      </c>
      <c r="F12" s="75">
        <f>IFERROR(VLOOKUP(C12,Days_Since_100!C:G,5,FALSE)-1,0)</f>
        <v>0.32121687662840559</v>
      </c>
      <c r="H12" s="72" t="str">
        <f t="shared" si="0"/>
        <v/>
      </c>
      <c r="I12" s="71"/>
      <c r="J12" s="64">
        <f>VLOOKUP(C12,Country_Data!C:K,9,FALSE)</f>
        <v>145934462</v>
      </c>
      <c r="K12" s="63">
        <f t="shared" si="2"/>
        <v>0</v>
      </c>
      <c r="M12" s="62">
        <f t="array" ref="M12">IF(OR(C12=$O$3:$O$21),1,0)</f>
        <v>0</v>
      </c>
    </row>
    <row r="13" spans="2:15" s="62" customFormat="1" ht="13.8" customHeight="1" x14ac:dyDescent="0.3">
      <c r="B13" s="69">
        <f t="shared" si="1"/>
        <v>11</v>
      </c>
      <c r="C13" s="65" t="s">
        <v>43</v>
      </c>
      <c r="D13" s="64">
        <f>VLOOKUP(C13,Country_Data!B:F,5,FALSE)</f>
        <v>900</v>
      </c>
      <c r="E13" s="64">
        <f>D13*Projections_Data!$C$15</f>
        <v>113.04611650485437</v>
      </c>
      <c r="F13" s="75">
        <f>IFERROR(VLOOKUP(C13,Days_Since_100!C:G,5,FALSE)-1,0)</f>
        <v>0.30476743991283883</v>
      </c>
      <c r="H13" s="72" t="str">
        <f t="shared" si="0"/>
        <v/>
      </c>
      <c r="I13" s="71"/>
      <c r="J13" s="64">
        <f>VLOOKUP(C13,Country_Data!C:K,9,FALSE)</f>
        <v>32365999</v>
      </c>
      <c r="K13" s="63">
        <f t="shared" si="2"/>
        <v>0</v>
      </c>
      <c r="M13" s="62">
        <f t="array" ref="M13">IF(OR(C13=$O$3:$O$21),1,0)</f>
        <v>0</v>
      </c>
    </row>
    <row r="14" spans="2:15" s="62" customFormat="1" ht="13.8" customHeight="1" x14ac:dyDescent="0.3">
      <c r="B14" s="69">
        <f t="shared" si="1"/>
        <v>12</v>
      </c>
      <c r="C14" s="65" t="s">
        <v>145</v>
      </c>
      <c r="D14" s="64">
        <f>VLOOKUP(C14,Country_Data!B:F,5,FALSE)</f>
        <v>150</v>
      </c>
      <c r="E14" s="64">
        <f>D14*Projections_Data!$C$15</f>
        <v>18.841019417475728</v>
      </c>
      <c r="F14" s="75">
        <f>IFERROR(VLOOKUP(C14,Days_Since_100!C:G,5,FALSE)-1,0)</f>
        <v>0.2931034482758621</v>
      </c>
      <c r="H14" s="72" t="str">
        <f t="shared" si="0"/>
        <v/>
      </c>
      <c r="I14" s="71"/>
      <c r="J14" s="64">
        <f>VLOOKUP(C14,Country_Data!C:K,9,FALSE)</f>
        <v>59308690</v>
      </c>
      <c r="K14" s="63">
        <f t="shared" si="2"/>
        <v>0</v>
      </c>
      <c r="M14" s="62">
        <f t="array" ref="M14">IF(OR(C14=$O$3:$O$21),1,0)</f>
        <v>0</v>
      </c>
    </row>
    <row r="15" spans="2:15" s="62" customFormat="1" ht="13.8" customHeight="1" x14ac:dyDescent="0.3">
      <c r="B15" s="69">
        <f t="shared" si="1"/>
        <v>13</v>
      </c>
      <c r="C15" s="65" t="s">
        <v>79</v>
      </c>
      <c r="D15" s="64">
        <f>VLOOKUP(C15,Country_Data!B:F,5,FALSE)</f>
        <v>677</v>
      </c>
      <c r="E15" s="64">
        <f>D15*Projections_Data!$C$15</f>
        <v>85.03580097087378</v>
      </c>
      <c r="F15" s="75">
        <f>IFERROR(VLOOKUP(C15,Days_Since_100!C:G,5,FALSE)-1,0)</f>
        <v>0.28530522175718187</v>
      </c>
      <c r="H15" s="72" t="str">
        <f t="shared" si="0"/>
        <v/>
      </c>
      <c r="I15" s="71"/>
      <c r="J15" s="64">
        <f>VLOOKUP(C15,Country_Data!C:K,9,FALSE)</f>
        <v>8655535</v>
      </c>
      <c r="K15" s="63">
        <f t="shared" si="2"/>
        <v>0</v>
      </c>
      <c r="M15" s="62">
        <f t="array" ref="M15">IF(OR(C15=$O$3:$O$21),1,0)</f>
        <v>0</v>
      </c>
    </row>
    <row r="16" spans="2:15" s="62" customFormat="1" ht="13.8" customHeight="1" x14ac:dyDescent="0.3">
      <c r="B16" s="69">
        <f t="shared" si="1"/>
        <v>14</v>
      </c>
      <c r="C16" s="65" t="s">
        <v>137</v>
      </c>
      <c r="D16" s="64">
        <f>VLOOKUP(C16,Country_Data!B:F,5,FALSE)</f>
        <v>355</v>
      </c>
      <c r="E16" s="64">
        <f>D16*Projections_Data!$C$15</f>
        <v>44.590412621359221</v>
      </c>
      <c r="F16" s="75">
        <f>IFERROR(VLOOKUP(C16,Days_Since_100!C:G,5,FALSE)-1,0)</f>
        <v>0.28079087759697474</v>
      </c>
      <c r="H16" s="72">
        <f t="shared" si="0"/>
        <v>16.446443779248174</v>
      </c>
      <c r="I16" s="71">
        <v>6.9</v>
      </c>
      <c r="J16" s="64">
        <f>VLOOKUP(C16,Country_Data!C:K,9,FALSE)</f>
        <v>37846611</v>
      </c>
      <c r="K16" s="63">
        <f t="shared" si="2"/>
        <v>2611.4161590000003</v>
      </c>
      <c r="M16" s="62">
        <f t="array" ref="M16">IF(OR(C16=$O$3:$O$21),1,0)</f>
        <v>0</v>
      </c>
    </row>
    <row r="17" spans="2:13" s="62" customFormat="1" ht="13.8" customHeight="1" x14ac:dyDescent="0.3">
      <c r="B17" s="69">
        <f t="shared" si="1"/>
        <v>15</v>
      </c>
      <c r="C17" s="65" t="s">
        <v>107</v>
      </c>
      <c r="D17" s="64">
        <f>VLOOKUP(C17,Country_Data!B:F,5,FALSE)</f>
        <v>311</v>
      </c>
      <c r="E17" s="64">
        <f>D17*Projections_Data!$C$15</f>
        <v>39.063713592233007</v>
      </c>
      <c r="F17" s="75">
        <f>IFERROR(VLOOKUP(C17,Days_Since_100!C:G,5,FALSE)-1,0)</f>
        <v>0.27686102819814895</v>
      </c>
      <c r="H17" s="72" t="str">
        <f t="shared" si="0"/>
        <v/>
      </c>
      <c r="I17" s="71"/>
      <c r="J17" s="64">
        <f>VLOOKUP(C17,Country_Data!C:K,9,FALSE)</f>
        <v>273523615</v>
      </c>
      <c r="K17" s="63">
        <f t="shared" si="2"/>
        <v>0</v>
      </c>
      <c r="M17" s="62">
        <f t="array" ref="M17">IF(OR(C17=$O$3:$O$21),1,0)</f>
        <v>0</v>
      </c>
    </row>
    <row r="18" spans="2:13" s="62" customFormat="1" ht="13.8" customHeight="1" x14ac:dyDescent="0.3">
      <c r="B18" s="69">
        <f t="shared" si="1"/>
        <v>16</v>
      </c>
      <c r="C18" s="65" t="s">
        <v>53</v>
      </c>
      <c r="D18" s="64">
        <f>VLOOKUP(C18,Country_Data!B:F,5,FALSE)</f>
        <v>15320</v>
      </c>
      <c r="E18" s="64">
        <f>D18*Projections_Data!$C$15</f>
        <v>1924.2961165048544</v>
      </c>
      <c r="F18" s="75">
        <f>IFERROR(VLOOKUP(C18,Days_Since_100!C:G,5,FALSE)-1,0)</f>
        <v>0.27286951418928918</v>
      </c>
      <c r="H18" s="72">
        <f t="shared" si="0"/>
        <v>10.538564563875694</v>
      </c>
      <c r="I18" s="71">
        <v>29.2</v>
      </c>
      <c r="J18" s="64">
        <f>VLOOKUP(C18,Country_Data!C:K,9,FALSE)</f>
        <v>83783942</v>
      </c>
      <c r="K18" s="63">
        <f t="shared" si="2"/>
        <v>24464.911064</v>
      </c>
      <c r="M18" s="62">
        <f t="array" ref="M18">IF(OR(C18=$O$3:$O$21),1,0)</f>
        <v>1</v>
      </c>
    </row>
    <row r="19" spans="2:13" s="62" customFormat="1" ht="13.8" customHeight="1" x14ac:dyDescent="0.3">
      <c r="B19" s="69">
        <f t="shared" si="1"/>
        <v>17</v>
      </c>
      <c r="C19" s="65" t="s">
        <v>78</v>
      </c>
      <c r="D19" s="64">
        <f>VLOOKUP(C19,Country_Data!B:F,5,FALSE)</f>
        <v>2013</v>
      </c>
      <c r="E19" s="64">
        <f>D19*Projections_Data!$C$15</f>
        <v>252.84648058252426</v>
      </c>
      <c r="F19" s="75">
        <f>IFERROR(VLOOKUP(C19,Days_Since_100!C:G,5,FALSE)-1,0)</f>
        <v>0.25175834390915064</v>
      </c>
      <c r="H19" s="72">
        <f t="shared" si="0"/>
        <v>9.1278322129436393</v>
      </c>
      <c r="I19" s="71">
        <v>21.8</v>
      </c>
      <c r="J19" s="64">
        <f>VLOOKUP(C19,Country_Data!C:K,9,FALSE)</f>
        <v>9006398</v>
      </c>
      <c r="K19" s="63">
        <f t="shared" si="2"/>
        <v>1963.3947640000001</v>
      </c>
      <c r="M19" s="62">
        <f t="array" ref="M19">IF(OR(C19=$O$3:$O$21),1,0)</f>
        <v>0</v>
      </c>
    </row>
    <row r="20" spans="2:13" s="62" customFormat="1" ht="13.8" customHeight="1" x14ac:dyDescent="0.3">
      <c r="B20" s="69">
        <f t="shared" si="1"/>
        <v>18</v>
      </c>
      <c r="C20" s="65" t="s">
        <v>77</v>
      </c>
      <c r="D20" s="64">
        <f>VLOOKUP(C20,Country_Data!B:F,5,FALSE)</f>
        <v>4075</v>
      </c>
      <c r="E20" s="64">
        <f>D20*Projections_Data!$C$15</f>
        <v>511.84769417475729</v>
      </c>
      <c r="F20" s="75">
        <f>IFERROR(VLOOKUP(C20,Days_Since_100!C:G,5,FALSE)-1,0)</f>
        <v>0.24560869527386497</v>
      </c>
      <c r="H20" s="72">
        <f t="shared" si="0"/>
        <v>2.8254920234109804</v>
      </c>
      <c r="I20" s="71">
        <v>11</v>
      </c>
      <c r="J20" s="64">
        <f>VLOOKUP(C20,Country_Data!C:K,9,FALSE)</f>
        <v>8654622</v>
      </c>
      <c r="K20" s="63">
        <f t="shared" si="2"/>
        <v>952.00842000000011</v>
      </c>
      <c r="M20" s="62">
        <f t="array" ref="M20">IF(OR(C20=$O$3:$O$21),1,0)</f>
        <v>0</v>
      </c>
    </row>
    <row r="21" spans="2:13" s="62" customFormat="1" ht="13.8" customHeight="1" x14ac:dyDescent="0.3">
      <c r="B21" s="69">
        <f t="shared" si="1"/>
        <v>19</v>
      </c>
      <c r="C21" s="65" t="s">
        <v>35</v>
      </c>
      <c r="D21" s="64">
        <f>VLOOKUP(C21,Country_Data!B:F,5,FALSE)</f>
        <v>272</v>
      </c>
      <c r="E21" s="64">
        <f>D21*Projections_Data!$C$15</f>
        <v>34.165048543689323</v>
      </c>
      <c r="F21" s="75">
        <f>IFERROR(VLOOKUP(C21,Days_Since_100!C:G,5,FALSE)-1,0)</f>
        <v>0.24284226329911474</v>
      </c>
      <c r="H21" s="72" t="str">
        <f t="shared" si="0"/>
        <v/>
      </c>
      <c r="I21" s="71"/>
      <c r="J21" s="64">
        <f>VLOOKUP(C21,Country_Data!C:K,9,FALSE)</f>
        <v>69799978</v>
      </c>
      <c r="K21" s="63">
        <f t="shared" si="2"/>
        <v>0</v>
      </c>
      <c r="M21" s="62">
        <f t="array" ref="M21">IF(OR(C21=$O$3:$O$21),1,0)</f>
        <v>0</v>
      </c>
    </row>
    <row r="22" spans="2:13" s="62" customFormat="1" ht="13.8" customHeight="1" x14ac:dyDescent="0.3">
      <c r="B22" s="69">
        <f t="shared" si="1"/>
        <v>20</v>
      </c>
      <c r="C22" s="65" t="s">
        <v>55</v>
      </c>
      <c r="D22" s="64">
        <f>VLOOKUP(C22,Country_Data!B:F,5,FALSE)</f>
        <v>140</v>
      </c>
      <c r="E22" s="64">
        <f>D22*Projections_Data!$C$15</f>
        <v>17.58495145631068</v>
      </c>
      <c r="F22" s="75">
        <f>IFERROR(VLOOKUP(C22,Days_Since_100!C:G,5,FALSE)-1,0)</f>
        <v>0.23893805309734506</v>
      </c>
      <c r="H22" s="72" t="str">
        <f t="shared" si="0"/>
        <v/>
      </c>
      <c r="I22" s="71"/>
      <c r="J22" s="64">
        <f>VLOOKUP(C22,Country_Data!C:K,9,FALSE)</f>
        <v>9890402</v>
      </c>
      <c r="K22" s="63"/>
      <c r="M22" s="62">
        <f t="array" ref="M22">IF(OR(C22=$O$3:$O$21),1,0)</f>
        <v>0</v>
      </c>
    </row>
    <row r="23" spans="2:13" s="62" customFormat="1" ht="13.8" customHeight="1" x14ac:dyDescent="0.3">
      <c r="B23" s="69">
        <f t="shared" si="1"/>
        <v>21</v>
      </c>
      <c r="C23" s="65" t="s">
        <v>349</v>
      </c>
      <c r="D23" s="64">
        <f>VLOOKUP(C23,Country_Data!B:F,5,FALSE)</f>
        <v>3296</v>
      </c>
      <c r="E23" s="64">
        <f>D23*Projections_Data!$C$15</f>
        <v>414</v>
      </c>
      <c r="F23" s="75">
        <f>IFERROR(VLOOKUP(C23,Days_Since_100!C:G,5,FALSE)-1,0)</f>
        <v>0.23569769256708373</v>
      </c>
      <c r="H23" s="72">
        <f t="shared" si="0"/>
        <v>11.253386195598887</v>
      </c>
      <c r="I23" s="71">
        <v>6.6</v>
      </c>
      <c r="J23" s="64">
        <f>VLOOKUP(C23,Country_Data!C:K,9,FALSE)</f>
        <v>67886011</v>
      </c>
      <c r="K23" s="63">
        <f t="shared" ref="K23:K32" si="3">(J23/100000)*I23</f>
        <v>4480.4767259999999</v>
      </c>
      <c r="M23" s="62">
        <f t="array" ref="M23">IF(OR(C23=$O$3:$O$21),1,0)</f>
        <v>1</v>
      </c>
    </row>
    <row r="24" spans="2:13" s="62" customFormat="1" ht="13.8" customHeight="1" x14ac:dyDescent="0.3">
      <c r="B24" s="69">
        <f t="shared" si="1"/>
        <v>22</v>
      </c>
      <c r="C24" s="65" t="s">
        <v>60</v>
      </c>
      <c r="D24" s="64">
        <f>VLOOKUP(C24,Country_Data!B:F,5,FALSE)</f>
        <v>17963</v>
      </c>
      <c r="E24" s="64">
        <f>D24*Projections_Data!$C$15</f>
        <v>2256.2748786407765</v>
      </c>
      <c r="F24" s="75">
        <f>IFERROR(VLOOKUP(C24,Days_Since_100!C:G,5,FALSE)-1,0)</f>
        <v>0.22959477910668946</v>
      </c>
      <c r="H24" s="72">
        <f t="shared" si="0"/>
        <v>3.377884741221687</v>
      </c>
      <c r="I24" s="71">
        <v>9.6999999999999993</v>
      </c>
      <c r="J24" s="64">
        <f>VLOOKUP(C24,Country_Data!C:K,9,FALSE)</f>
        <v>46754778</v>
      </c>
      <c r="K24" s="63">
        <f t="shared" si="3"/>
        <v>4535.2134659999992</v>
      </c>
      <c r="M24" s="62">
        <f t="array" ref="M24">IF(OR(C24=$O$3:$O$21),1,0)</f>
        <v>1</v>
      </c>
    </row>
    <row r="25" spans="2:13" s="62" customFormat="1" ht="13.8" customHeight="1" x14ac:dyDescent="0.3">
      <c r="B25" s="69">
        <f t="shared" si="1"/>
        <v>23</v>
      </c>
      <c r="C25" s="65" t="s">
        <v>48</v>
      </c>
      <c r="D25" s="64">
        <f>VLOOKUP(C25,Country_Data!B:F,5,FALSE)</f>
        <v>681</v>
      </c>
      <c r="E25" s="64">
        <f>D25*Projections_Data!$C$15</f>
        <v>85.538228155339809</v>
      </c>
      <c r="F25" s="75">
        <f>IFERROR(VLOOKUP(C25,Days_Since_100!C:G,5,FALSE)-1,0)</f>
        <v>0.22191619433549525</v>
      </c>
      <c r="H25" s="72" t="str">
        <f t="shared" si="0"/>
        <v/>
      </c>
      <c r="I25" s="71"/>
      <c r="J25" s="64">
        <f>VLOOKUP(C25,Country_Data!C:K,9,FALSE)</f>
        <v>25499884</v>
      </c>
      <c r="K25" s="63">
        <f t="shared" si="3"/>
        <v>0</v>
      </c>
      <c r="M25" s="62">
        <f t="array" ref="M25">IF(OR(C25=$O$3:$O$21),1,0)</f>
        <v>0</v>
      </c>
    </row>
    <row r="26" spans="2:13" s="62" customFormat="1" ht="13.8" customHeight="1" x14ac:dyDescent="0.3">
      <c r="B26" s="69">
        <f t="shared" si="1"/>
        <v>24</v>
      </c>
      <c r="C26" s="65" t="s">
        <v>113</v>
      </c>
      <c r="D26" s="64">
        <f>VLOOKUP(C26,Country_Data!B:F,5,FALSE)</f>
        <v>274</v>
      </c>
      <c r="E26" s="64">
        <f>D26*Projections_Data!$C$15</f>
        <v>34.416262135922331</v>
      </c>
      <c r="F26" s="75">
        <f>IFERROR(VLOOKUP(C26,Days_Since_100!C:G,5,FALSE)-1,0)</f>
        <v>0.21613746451601146</v>
      </c>
      <c r="H26" s="72" t="str">
        <f t="shared" si="0"/>
        <v/>
      </c>
      <c r="I26" s="71"/>
      <c r="J26" s="64">
        <f>VLOOKUP(C26,Country_Data!C:K,9,FALSE)</f>
        <v>34813871</v>
      </c>
      <c r="K26" s="63">
        <f t="shared" si="3"/>
        <v>0</v>
      </c>
      <c r="M26" s="62">
        <f t="array" ref="M26">IF(OR(C26=$O$3:$O$21),1,0)</f>
        <v>0</v>
      </c>
    </row>
    <row r="27" spans="2:13" s="62" customFormat="1" ht="13.8" customHeight="1" x14ac:dyDescent="0.3">
      <c r="B27" s="69">
        <f t="shared" si="1"/>
        <v>25</v>
      </c>
      <c r="C27" s="65" t="s">
        <v>63</v>
      </c>
      <c r="D27" s="64">
        <f>VLOOKUP(C27,Country_Data!B:F,5,FALSE)</f>
        <v>1795</v>
      </c>
      <c r="E27" s="64">
        <f>D27*Projections_Data!$C$15</f>
        <v>225.46419902912621</v>
      </c>
      <c r="F27" s="75">
        <f>IFERROR(VLOOKUP(C27,Days_Since_100!C:G,5,FALSE)-1,0)</f>
        <v>0.21106944243941017</v>
      </c>
      <c r="H27" s="72">
        <f t="shared" si="0"/>
        <v>10.970293444107158</v>
      </c>
      <c r="I27" s="71">
        <v>15.9</v>
      </c>
      <c r="J27" s="64">
        <f>VLOOKUP(C27,Country_Data!C:K,9,FALSE)</f>
        <v>11589623</v>
      </c>
      <c r="K27" s="63">
        <f t="shared" si="3"/>
        <v>1842.7500570000002</v>
      </c>
      <c r="M27" s="62">
        <f t="array" ref="M27">IF(OR(C27=$O$3:$O$21),1,0)</f>
        <v>0</v>
      </c>
    </row>
    <row r="28" spans="2:13" s="62" customFormat="1" ht="13.8" customHeight="1" x14ac:dyDescent="0.3">
      <c r="B28" s="69">
        <f t="shared" si="1"/>
        <v>26</v>
      </c>
      <c r="C28" s="65" t="s">
        <v>89</v>
      </c>
      <c r="D28" s="64">
        <f>VLOOKUP(C28,Country_Data!B:F,5,FALSE)</f>
        <v>2467</v>
      </c>
      <c r="E28" s="64">
        <f>D28*Projections_Data!$C$15</f>
        <v>309.87196601941747</v>
      </c>
      <c r="F28" s="75">
        <f>IFERROR(VLOOKUP(C28,Days_Since_100!C:G,5,FALSE)-1,0)</f>
        <v>0.20725445162332523</v>
      </c>
      <c r="H28" s="72" t="str">
        <f t="shared" si="0"/>
        <v/>
      </c>
      <c r="I28" s="71"/>
      <c r="J28" s="64">
        <f>VLOOKUP(C28,Country_Data!C:K,9,FALSE)</f>
        <v>17134872</v>
      </c>
      <c r="K28" s="63">
        <f t="shared" si="3"/>
        <v>0</v>
      </c>
      <c r="M28" s="62">
        <f t="array" ref="M28">IF(OR(C28=$O$3:$O$21),1,0)</f>
        <v>0</v>
      </c>
    </row>
    <row r="29" spans="2:13" s="62" customFormat="1" ht="13.8" customHeight="1" x14ac:dyDescent="0.3">
      <c r="B29" s="69">
        <f t="shared" si="1"/>
        <v>27</v>
      </c>
      <c r="C29" s="65" t="s">
        <v>41</v>
      </c>
      <c r="D29" s="64">
        <f>VLOOKUP(C29,Country_Data!B:F,5,FALSE)</f>
        <v>10947</v>
      </c>
      <c r="E29" s="64">
        <f>D29*Projections_Data!$C$15</f>
        <v>1375.0175970873786</v>
      </c>
      <c r="F29" s="75">
        <f>IFERROR(VLOOKUP(C29,Days_Since_100!C:G,5,FALSE)-1,0)</f>
        <v>0.19527492755921916</v>
      </c>
      <c r="H29" s="72">
        <f t="shared" si="0"/>
        <v>9.5638008797307137</v>
      </c>
      <c r="I29" s="71">
        <v>11.6</v>
      </c>
      <c r="J29" s="64">
        <f>VLOOKUP(C29,Country_Data!C:K,9,FALSE)</f>
        <v>65273511</v>
      </c>
      <c r="K29" s="63">
        <f t="shared" si="3"/>
        <v>7571.7272759999996</v>
      </c>
      <c r="M29" s="62">
        <f t="array" ref="M29">IF(OR(C29=$O$3:$O$21),1,0)</f>
        <v>1</v>
      </c>
    </row>
    <row r="30" spans="2:13" s="62" customFormat="1" ht="13.8" customHeight="1" x14ac:dyDescent="0.3">
      <c r="B30" s="69">
        <f t="shared" si="1"/>
        <v>28</v>
      </c>
      <c r="C30" s="65" t="s">
        <v>65</v>
      </c>
      <c r="D30" s="64">
        <f>VLOOKUP(C30,Country_Data!B:F,5,FALSE)</f>
        <v>256</v>
      </c>
      <c r="E30" s="64">
        <f>D30*Projections_Data!$C$15</f>
        <v>32.155339805825243</v>
      </c>
      <c r="F30" s="75">
        <f>IFERROR(VLOOKUP(C30,Days_Since_100!C:G,5,FALSE)-1,0)</f>
        <v>0.18621303881479401</v>
      </c>
      <c r="H30" s="72" t="str">
        <f t="shared" si="0"/>
        <v/>
      </c>
      <c r="I30" s="71"/>
      <c r="J30" s="64">
        <f>VLOOKUP(C30,Country_Data!C:K,9,FALSE)</f>
        <v>102334404</v>
      </c>
      <c r="K30" s="63">
        <f t="shared" si="3"/>
        <v>0</v>
      </c>
      <c r="M30" s="62">
        <f t="array" ref="M30">IF(OR(C30=$O$3:$O$21),1,0)</f>
        <v>0</v>
      </c>
    </row>
    <row r="31" spans="2:13" s="62" customFormat="1" ht="13.8" customHeight="1" x14ac:dyDescent="0.3">
      <c r="B31" s="69">
        <f t="shared" si="1"/>
        <v>29</v>
      </c>
      <c r="C31" s="65" t="s">
        <v>88</v>
      </c>
      <c r="D31" s="64">
        <f>VLOOKUP(C31,Country_Data!B:F,5,FALSE)</f>
        <v>267</v>
      </c>
      <c r="E31" s="64">
        <f>D31*Projections_Data!$C$15</f>
        <v>33.537014563106794</v>
      </c>
      <c r="F31" s="75">
        <f>IFERROR(VLOOKUP(C31,Days_Since_100!C:G,5,FALSE)-1,0)</f>
        <v>0.18348479926563122</v>
      </c>
      <c r="H31" s="72">
        <f t="shared" si="0"/>
        <v>10.408956119541891</v>
      </c>
      <c r="I31" s="71">
        <v>14.6</v>
      </c>
      <c r="J31" s="64">
        <f>VLOOKUP(C31,Country_Data!C:K,9,FALSE)</f>
        <v>1326535</v>
      </c>
      <c r="K31" s="63">
        <f t="shared" si="3"/>
        <v>193.67410999999998</v>
      </c>
      <c r="M31" s="62">
        <f t="array" ref="M31">IF(OR(C31=$O$3:$O$21),1,0)</f>
        <v>0</v>
      </c>
    </row>
    <row r="32" spans="2:13" s="62" customFormat="1" ht="13.8" customHeight="1" x14ac:dyDescent="0.3">
      <c r="B32" s="69">
        <f t="shared" si="1"/>
        <v>30</v>
      </c>
      <c r="C32" s="65" t="s">
        <v>86</v>
      </c>
      <c r="D32" s="64">
        <f>VLOOKUP(C32,Country_Data!B:F,5,FALSE)</f>
        <v>277</v>
      </c>
      <c r="E32" s="64">
        <f>D32*Projections_Data!$C$15</f>
        <v>34.793082524271846</v>
      </c>
      <c r="F32" s="75">
        <f>IFERROR(VLOOKUP(C32,Days_Since_100!C:G,5,FALSE)-1,0)</f>
        <v>0.17629142619078153</v>
      </c>
      <c r="H32" s="72">
        <f t="shared" si="0"/>
        <v>29.399075714558467</v>
      </c>
      <c r="I32" s="71">
        <v>21.4</v>
      </c>
      <c r="J32" s="64">
        <f>VLOOKUP(C32,Country_Data!C:K,9,FALSE)</f>
        <v>19237691</v>
      </c>
      <c r="K32" s="63">
        <f t="shared" si="3"/>
        <v>4116.8658740000001</v>
      </c>
      <c r="M32" s="62">
        <f t="array" ref="M32">IF(OR(C32=$O$3:$O$21),1,0)</f>
        <v>0</v>
      </c>
    </row>
    <row r="33" spans="2:13" s="62" customFormat="1" ht="13.8" customHeight="1" x14ac:dyDescent="0.3">
      <c r="B33" s="69">
        <f t="shared" si="1"/>
        <v>31</v>
      </c>
      <c r="C33" s="65" t="s">
        <v>162</v>
      </c>
      <c r="D33" s="64">
        <f>VLOOKUP(C33,Country_Data!B:F,5,FALSE)</f>
        <v>123</v>
      </c>
      <c r="E33" s="64">
        <f>D33*Projections_Data!$C$15</f>
        <v>15.449635922330097</v>
      </c>
      <c r="F33" s="75">
        <f>IFERROR(VLOOKUP(C33,Days_Since_100!C:G,5,FALSE)-1,0)</f>
        <v>0.17142857142857149</v>
      </c>
      <c r="H33" s="72" t="str">
        <f t="shared" si="0"/>
        <v/>
      </c>
      <c r="I33" s="71">
        <v>9.1999999999999993</v>
      </c>
      <c r="J33" s="64">
        <f>VLOOKUP(C33,Country_Data!C:K,9,FALSE)</f>
        <v>5459642</v>
      </c>
      <c r="K33" s="63"/>
      <c r="M33" s="62">
        <f t="array" ref="M33">IF(OR(C33=$O$3:$O$21),1,0)</f>
        <v>0</v>
      </c>
    </row>
    <row r="34" spans="2:13" s="62" customFormat="1" ht="13.8" customHeight="1" x14ac:dyDescent="0.3">
      <c r="B34" s="69">
        <f t="shared" si="1"/>
        <v>32</v>
      </c>
      <c r="C34" s="65" t="s">
        <v>92</v>
      </c>
      <c r="D34" s="64">
        <f>VLOOKUP(C34,Country_Data!B:F,5,FALSE)</f>
        <v>330</v>
      </c>
      <c r="E34" s="64">
        <f>D34*Projections_Data!$C$15</f>
        <v>41.450242718446603</v>
      </c>
      <c r="F34" s="75">
        <f>IFERROR(VLOOKUP(C34,Days_Since_100!C:G,5,FALSE)-1,0)</f>
        <v>0.16165687838587317</v>
      </c>
      <c r="H34" s="72" t="str">
        <f t="shared" si="0"/>
        <v/>
      </c>
      <c r="I34" s="71"/>
      <c r="J34" s="64">
        <f>VLOOKUP(C34,Country_Data!C:K,9,FALSE)</f>
        <v>341243</v>
      </c>
      <c r="K34" s="63">
        <f>(J34/100000)*I34</f>
        <v>0</v>
      </c>
      <c r="M34" s="62">
        <f t="array" ref="M34">IF(OR(C34=$O$3:$O$21),1,0)</f>
        <v>0</v>
      </c>
    </row>
    <row r="35" spans="2:13" s="62" customFormat="1" ht="13.8" customHeight="1" x14ac:dyDescent="0.2">
      <c r="B35" s="69">
        <f t="shared" si="1"/>
        <v>33</v>
      </c>
      <c r="C35" s="65" t="s">
        <v>92</v>
      </c>
      <c r="D35" s="64">
        <f>VLOOKUP(C35,Country_Data!B:F,5,FALSE)</f>
        <v>330</v>
      </c>
      <c r="E35" s="64">
        <f>D35*Projections_Data!$C$15</f>
        <v>41.450242718446603</v>
      </c>
      <c r="F35" s="75">
        <f>IFERROR(VLOOKUP(C35,Days_Since_100!C:G,5,FALSE)-1,0)</f>
        <v>0.16165687838587317</v>
      </c>
      <c r="G35" s="61"/>
      <c r="H35" s="72" t="str">
        <f t="shared" ref="H35:H65" si="4">IFERROR(LOG((K35/E35),1+F35),"")</f>
        <v/>
      </c>
      <c r="I35" s="71">
        <v>9.1</v>
      </c>
      <c r="J35" s="64">
        <f>VLOOKUP(C35,Country_Data!C:K,9,FALSE)</f>
        <v>341243</v>
      </c>
      <c r="K35" s="63"/>
      <c r="M35" s="62">
        <f t="array" ref="M35">IF(OR(C35=$O$3:$O$21),1,0)</f>
        <v>0</v>
      </c>
    </row>
    <row r="36" spans="2:13" s="62" customFormat="1" ht="13.8" customHeight="1" x14ac:dyDescent="0.3">
      <c r="B36" s="69">
        <f t="shared" ref="B36:B58" si="5">B35+1</f>
        <v>34</v>
      </c>
      <c r="C36" s="65" t="s">
        <v>124</v>
      </c>
      <c r="D36" s="64">
        <f>VLOOKUP(C36,Country_Data!B:F,5,FALSE)</f>
        <v>238</v>
      </c>
      <c r="E36" s="64">
        <f>D36*Projections_Data!$C$15</f>
        <v>29.894417475728154</v>
      </c>
      <c r="F36" s="75">
        <f>IFERROR(VLOOKUP(C36,Days_Since_100!C:G,5,FALSE)-1,0)</f>
        <v>0.15367040793564346</v>
      </c>
      <c r="H36" s="72">
        <f t="shared" si="4"/>
        <v>27.39132003798613</v>
      </c>
      <c r="I36" s="71"/>
      <c r="J36" s="64">
        <f>VLOOKUP(C36,Country_Data!C:K,9,FALSE)</f>
        <v>19116201</v>
      </c>
      <c r="K36" s="63">
        <v>1500</v>
      </c>
      <c r="M36" s="62">
        <f t="array" ref="M36">IF(OR(C36=$O$3:$O$21),1,0)</f>
        <v>0</v>
      </c>
    </row>
    <row r="37" spans="2:13" s="62" customFormat="1" ht="13.8" customHeight="1" x14ac:dyDescent="0.3">
      <c r="B37" s="69">
        <f t="shared" si="5"/>
        <v>35</v>
      </c>
      <c r="C37" s="65" t="s">
        <v>56</v>
      </c>
      <c r="D37" s="64">
        <f>VLOOKUP(C37,Country_Data!B:F,5,FALSE)</f>
        <v>217</v>
      </c>
      <c r="E37" s="64">
        <f>D37*Projections_Data!$C$15</f>
        <v>27.256674757281555</v>
      </c>
      <c r="F37" s="75">
        <f>IFERROR(VLOOKUP(C37,Days_Since_100!C:G,5,FALSE)-1,0)</f>
        <v>0.14347678257159768</v>
      </c>
      <c r="H37" s="72" t="str">
        <f t="shared" si="4"/>
        <v/>
      </c>
      <c r="I37" s="71"/>
      <c r="J37" s="64">
        <f>VLOOKUP(C37,Country_Data!C:K,9,FALSE)</f>
        <v>109581078</v>
      </c>
      <c r="K37" s="63">
        <f t="shared" ref="K37:K47" si="6">(J37/100000)*I37</f>
        <v>0</v>
      </c>
      <c r="M37" s="62">
        <f t="array" ref="M37">IF(OR(C37=$O$3:$O$21),1,0)</f>
        <v>0</v>
      </c>
    </row>
    <row r="38" spans="2:13" s="62" customFormat="1" ht="13.8" customHeight="1" x14ac:dyDescent="0.3">
      <c r="B38" s="69">
        <f t="shared" si="5"/>
        <v>36</v>
      </c>
      <c r="C38" s="65" t="s">
        <v>58</v>
      </c>
      <c r="D38" s="64">
        <f>VLOOKUP(C38,Country_Data!B:F,5,FALSE)</f>
        <v>41035</v>
      </c>
      <c r="E38" s="64">
        <f>D38*Projections_Data!$C$15</f>
        <v>5154.2748786407765</v>
      </c>
      <c r="F38" s="75">
        <f>IFERROR(VLOOKUP(C38,Days_Since_100!C:G,5,FALSE)-1,0)</f>
        <v>0.14166863623747172</v>
      </c>
      <c r="H38" s="72">
        <f t="shared" si="4"/>
        <v>2.8888337341594448</v>
      </c>
      <c r="I38" s="71">
        <v>12.5</v>
      </c>
      <c r="J38" s="64">
        <f>VLOOKUP(C38,Country_Data!C:K,9,FALSE)</f>
        <v>60461826</v>
      </c>
      <c r="K38" s="63">
        <f t="shared" si="6"/>
        <v>7557.7282499999992</v>
      </c>
      <c r="M38" s="62">
        <f t="array" ref="M38">IF(OR(C38=$O$3:$O$21),1,0)</f>
        <v>1</v>
      </c>
    </row>
    <row r="39" spans="2:13" s="62" customFormat="1" ht="13.8" customHeight="1" x14ac:dyDescent="0.3">
      <c r="B39" s="69">
        <f t="shared" si="5"/>
        <v>37</v>
      </c>
      <c r="C39" s="65" t="s">
        <v>57</v>
      </c>
      <c r="D39" s="64">
        <f>VLOOKUP(C39,Country_Data!B:F,5,FALSE)</f>
        <v>194</v>
      </c>
      <c r="E39" s="64">
        <f>D39*Projections_Data!$C$15</f>
        <v>24.367718446601941</v>
      </c>
      <c r="F39" s="75">
        <f>IFERROR(VLOOKUP(C39,Days_Since_100!C:G,5,FALSE)-1,0)</f>
        <v>0.13720906165635038</v>
      </c>
      <c r="H39" s="72">
        <f t="shared" si="4"/>
        <v>55.780373412160188</v>
      </c>
      <c r="I39" s="71">
        <v>2.2999999999999998</v>
      </c>
      <c r="J39" s="64">
        <f>VLOOKUP(C39,Country_Data!C:K,9,FALSE)</f>
        <v>1380004385</v>
      </c>
      <c r="K39" s="63">
        <f t="shared" si="6"/>
        <v>31740.100854999997</v>
      </c>
      <c r="M39" s="62">
        <f t="array" ref="M39">IF(OR(C39=$O$3:$O$21),1,0)</f>
        <v>0</v>
      </c>
    </row>
    <row r="40" spans="2:13" s="62" customFormat="1" ht="13.8" customHeight="1" x14ac:dyDescent="0.3">
      <c r="B40" s="69">
        <f t="shared" si="5"/>
        <v>38</v>
      </c>
      <c r="C40" s="65" t="s">
        <v>83</v>
      </c>
      <c r="D40" s="64">
        <f>VLOOKUP(C40,Country_Data!B:F,5,FALSE)</f>
        <v>418</v>
      </c>
      <c r="E40" s="64">
        <f>D40*Projections_Data!$C$15</f>
        <v>52.503640776699029</v>
      </c>
      <c r="F40" s="75">
        <f>IFERROR(VLOOKUP(C40,Days_Since_100!C:G,5,FALSE)-1,0)</f>
        <v>0.12888132073019753</v>
      </c>
      <c r="H40" s="72">
        <f t="shared" si="4"/>
        <v>20.436691875831393</v>
      </c>
      <c r="I40" s="71">
        <v>6</v>
      </c>
      <c r="J40" s="64">
        <f>VLOOKUP(C40,Country_Data!C:K,9,FALSE)</f>
        <v>10423054</v>
      </c>
      <c r="K40" s="63">
        <f t="shared" si="6"/>
        <v>625.38324</v>
      </c>
      <c r="M40" s="62">
        <f t="array" ref="M40">IF(OR(C40=$O$3:$O$21),1,0)</f>
        <v>0</v>
      </c>
    </row>
    <row r="41" spans="2:13" s="62" customFormat="1" ht="13.8" customHeight="1" x14ac:dyDescent="0.3">
      <c r="B41" s="69">
        <f t="shared" si="5"/>
        <v>39</v>
      </c>
      <c r="C41" s="65" t="s">
        <v>54</v>
      </c>
      <c r="D41" s="64">
        <f>VLOOKUP(C41,Country_Data!B:F,5,FALSE)</f>
        <v>400</v>
      </c>
      <c r="E41" s="64">
        <f>D41*Projections_Data!$C$15</f>
        <v>50.242718446601941</v>
      </c>
      <c r="F41" s="75">
        <f>IFERROR(VLOOKUP(C41,Days_Since_100!C:G,5,FALSE)-1,0)</f>
        <v>0.12195514544619956</v>
      </c>
      <c r="H41" s="72">
        <f t="shared" si="4"/>
        <v>16.564576602200344</v>
      </c>
      <c r="I41" s="71">
        <v>6.1</v>
      </c>
      <c r="J41" s="64">
        <f>VLOOKUP(C41,Country_Data!C:K,9,FALSE)</f>
        <v>5540720</v>
      </c>
      <c r="K41" s="63">
        <f t="shared" si="6"/>
        <v>337.98392000000001</v>
      </c>
      <c r="M41" s="62">
        <f t="array" ref="M41">IF(OR(C41=$O$3:$O$21),1,0)</f>
        <v>0</v>
      </c>
    </row>
    <row r="42" spans="2:13" s="62" customFormat="1" ht="13.8" customHeight="1" x14ac:dyDescent="0.3">
      <c r="B42" s="69">
        <f t="shared" si="5"/>
        <v>40</v>
      </c>
      <c r="C42" s="65" t="s">
        <v>70</v>
      </c>
      <c r="D42" s="64">
        <f>VLOOKUP(C42,Country_Data!B:F,5,FALSE)</f>
        <v>192</v>
      </c>
      <c r="E42" s="64">
        <f>D42*Projections_Data!$C$15</f>
        <v>24.116504854368934</v>
      </c>
      <c r="F42" s="75">
        <f>IFERROR(VLOOKUP(C42,Days_Since_100!C:G,5,FALSE)-1,0)</f>
        <v>0.1178453091456404</v>
      </c>
      <c r="H42" s="72" t="str">
        <f t="shared" si="4"/>
        <v/>
      </c>
      <c r="I42" s="71"/>
      <c r="J42" s="64">
        <f>VLOOKUP(C42,Country_Data!C:K,9,FALSE)</f>
        <v>40222493</v>
      </c>
      <c r="K42" s="63">
        <f t="shared" si="6"/>
        <v>0</v>
      </c>
      <c r="M42" s="62">
        <f t="array" ref="M42">IF(OR(C42=$O$3:$O$21),1,0)</f>
        <v>0</v>
      </c>
    </row>
    <row r="43" spans="2:13" s="62" customFormat="1" ht="13.8" customHeight="1" x14ac:dyDescent="0.3">
      <c r="B43" s="69">
        <f t="shared" si="5"/>
        <v>41</v>
      </c>
      <c r="C43" s="65" t="s">
        <v>40</v>
      </c>
      <c r="D43" s="64">
        <f>VLOOKUP(C43,Country_Data!B:F,5,FALSE)</f>
        <v>345</v>
      </c>
      <c r="E43" s="64">
        <f>D43*Projections_Data!$C$15</f>
        <v>43.334344660194176</v>
      </c>
      <c r="F43" s="75">
        <f>IFERROR(VLOOKUP(C43,Days_Since_100!C:G,5,FALSE)-1,0)</f>
        <v>0.10229197802411538</v>
      </c>
      <c r="H43" s="72" t="str">
        <f t="shared" si="4"/>
        <v/>
      </c>
      <c r="I43" s="71"/>
      <c r="J43" s="64">
        <f>VLOOKUP(C43,Country_Data!C:K,9,FALSE)</f>
        <v>5850342</v>
      </c>
      <c r="K43" s="63">
        <f t="shared" si="6"/>
        <v>0</v>
      </c>
      <c r="M43" s="62">
        <f t="array" ref="M43">IF(OR(C43=$O$3:$O$21),1,0)</f>
        <v>0</v>
      </c>
    </row>
    <row r="44" spans="2:13" s="62" customFormat="1" ht="13.8" customHeight="1" x14ac:dyDescent="0.3">
      <c r="B44" s="69">
        <f t="shared" si="5"/>
        <v>42</v>
      </c>
      <c r="C44" s="65" t="s">
        <v>85</v>
      </c>
      <c r="D44" s="64">
        <f>VLOOKUP(C44,Country_Data!B:F,5,FALSE)</f>
        <v>1746</v>
      </c>
      <c r="E44" s="64">
        <f>D44*Projections_Data!$C$15</f>
        <v>219.30946601941747</v>
      </c>
      <c r="F44" s="75">
        <f>IFERROR(VLOOKUP(C44,Days_Since_100!C:G,5,FALSE)-1,0)</f>
        <v>9.8812391233391139E-2</v>
      </c>
      <c r="H44" s="72">
        <f t="shared" si="4"/>
        <v>7.2362083959061696</v>
      </c>
      <c r="I44" s="71">
        <v>8</v>
      </c>
      <c r="J44" s="64">
        <f>VLOOKUP(C44,Country_Data!C:K,9,FALSE)</f>
        <v>5421241</v>
      </c>
      <c r="K44" s="63">
        <f t="shared" si="6"/>
        <v>433.69927999999999</v>
      </c>
      <c r="M44" s="62">
        <f t="array" ref="M44">IF(OR(C44=$O$3:$O$21),1,0)</f>
        <v>0</v>
      </c>
    </row>
    <row r="45" spans="2:13" s="62" customFormat="1" ht="13.8" customHeight="1" x14ac:dyDescent="0.3">
      <c r="B45" s="69">
        <f t="shared" si="5"/>
        <v>43</v>
      </c>
      <c r="C45" s="65" t="s">
        <v>141</v>
      </c>
      <c r="D45" s="64">
        <f>VLOOKUP(C45,Country_Data!B:F,5,FALSE)</f>
        <v>286</v>
      </c>
      <c r="E45" s="64">
        <f>D45*Projections_Data!$C$15</f>
        <v>35.92354368932039</v>
      </c>
      <c r="F45" s="75">
        <f>IFERROR(VLOOKUP(C45,Days_Since_100!C:G,5,FALSE)-1,0)</f>
        <v>9.5815632562682662E-2</v>
      </c>
      <c r="H45" s="72">
        <f t="shared" si="4"/>
        <v>14.309970677934388</v>
      </c>
      <c r="I45" s="71">
        <v>6.4</v>
      </c>
      <c r="J45" s="64">
        <f>VLOOKUP(C45,Country_Data!C:K,9,FALSE)</f>
        <v>2078938</v>
      </c>
      <c r="K45" s="63">
        <f t="shared" si="6"/>
        <v>133.05203200000003</v>
      </c>
      <c r="M45" s="62">
        <f t="array" ref="M45">IF(OR(C45=$O$3:$O$21),1,0)</f>
        <v>0</v>
      </c>
    </row>
    <row r="46" spans="2:13" s="62" customFormat="1" ht="13.8" customHeight="1" x14ac:dyDescent="0.3">
      <c r="B46" s="69">
        <f t="shared" si="5"/>
        <v>44</v>
      </c>
      <c r="C46" s="65" t="s">
        <v>67</v>
      </c>
      <c r="D46" s="64">
        <f>VLOOKUP(C46,Country_Data!B:F,5,FALSE)</f>
        <v>157</v>
      </c>
      <c r="E46" s="64">
        <f>D46*Projections_Data!$C$15</f>
        <v>19.720266990291261</v>
      </c>
      <c r="F46" s="75">
        <f>IFERROR(VLOOKUP(C46,Days_Since_100!C:G,5,FALSE)-1,0)</f>
        <v>9.3016559834612655E-2</v>
      </c>
      <c r="H46" s="72" t="str">
        <f t="shared" si="4"/>
        <v/>
      </c>
      <c r="I46" s="71"/>
      <c r="J46" s="64">
        <f>VLOOKUP(C46,Country_Data!C:K,9,FALSE)</f>
        <v>6825445</v>
      </c>
      <c r="K46" s="63">
        <f t="shared" si="6"/>
        <v>0</v>
      </c>
      <c r="M46" s="62">
        <f t="array" ref="M46">IF(OR(C46=$O$3:$O$21),1,0)</f>
        <v>0</v>
      </c>
    </row>
    <row r="47" spans="2:13" s="62" customFormat="1" ht="13.8" customHeight="1" x14ac:dyDescent="0.3">
      <c r="B47" s="69">
        <f t="shared" si="5"/>
        <v>45</v>
      </c>
      <c r="C47" s="65" t="s">
        <v>59</v>
      </c>
      <c r="D47" s="64">
        <f>VLOOKUP(C47,Country_Data!B:F,5,FALSE)</f>
        <v>1439</v>
      </c>
      <c r="E47" s="64">
        <f>D47*Projections_Data!$C$15</f>
        <v>180.74817961165047</v>
      </c>
      <c r="F47" s="75">
        <f>IFERROR(VLOOKUP(C47,Days_Since_100!C:G,5,FALSE)-1,0)</f>
        <v>8.4095349110729911E-2</v>
      </c>
      <c r="H47" s="72">
        <f t="shared" si="4"/>
        <v>14.561748129888775</v>
      </c>
      <c r="I47" s="71">
        <v>5.8</v>
      </c>
      <c r="J47" s="64">
        <f>VLOOKUP(C47,Country_Data!C:K,9,FALSE)</f>
        <v>10099265</v>
      </c>
      <c r="K47" s="63">
        <f t="shared" si="6"/>
        <v>585.75736999999992</v>
      </c>
      <c r="M47" s="62">
        <f t="array" ref="M47">IF(OR(C47=$O$3:$O$21),1,0)</f>
        <v>0</v>
      </c>
    </row>
    <row r="48" spans="2:13" s="62" customFormat="1" ht="13.8" customHeight="1" x14ac:dyDescent="0.3">
      <c r="B48" s="69">
        <f t="shared" si="5"/>
        <v>46</v>
      </c>
      <c r="C48" s="65" t="s">
        <v>342</v>
      </c>
      <c r="D48" s="64">
        <f>VLOOKUP(C48,Country_Data!B:F,5,FALSE)</f>
        <v>108</v>
      </c>
      <c r="E48" s="64">
        <f>D48*Projections_Data!$C$15</f>
        <v>13.565533980582524</v>
      </c>
      <c r="F48" s="75">
        <f>IFERROR(VLOOKUP(C48,Days_Since_100!C:G,5,FALSE)-1,0)</f>
        <v>8.0000000000000071E-2</v>
      </c>
      <c r="H48" s="72" t="str">
        <f t="shared" si="4"/>
        <v/>
      </c>
      <c r="I48" s="71"/>
      <c r="J48" s="64">
        <f>VLOOKUP(C48,Country_Data!C:K,9,FALSE)</f>
        <v>23816775</v>
      </c>
      <c r="K48" s="63"/>
      <c r="M48" s="62">
        <f t="array" ref="M48">IF(OR(C48=$O$3:$O$21),1,0)</f>
        <v>0</v>
      </c>
    </row>
    <row r="49" spans="2:13" s="62" customFormat="1" ht="13.8" customHeight="1" x14ac:dyDescent="0.3">
      <c r="B49" s="69">
        <f t="shared" si="5"/>
        <v>47</v>
      </c>
      <c r="C49" s="65" t="s">
        <v>87</v>
      </c>
      <c r="D49" s="64">
        <f>VLOOKUP(C49,Country_Data!B:F,5,FALSE)</f>
        <v>1225</v>
      </c>
      <c r="E49" s="64">
        <f>D49*Projections_Data!$C$15</f>
        <v>153.86832524271844</v>
      </c>
      <c r="F49" s="75">
        <f>IFERROR(VLOOKUP(C49,Days_Since_100!C:G,5,FALSE)-1,0)</f>
        <v>7.9408819572098777E-2</v>
      </c>
      <c r="H49" s="72">
        <f t="shared" si="4"/>
        <v>12.10660315029696</v>
      </c>
      <c r="I49" s="71">
        <v>6.7</v>
      </c>
      <c r="J49" s="64">
        <f>VLOOKUP(C49,Country_Data!C:K,9,FALSE)</f>
        <v>5792202</v>
      </c>
      <c r="K49" s="63">
        <f t="shared" ref="K49:K58" si="7">(J49/100000)*I49</f>
        <v>388.07753400000001</v>
      </c>
      <c r="M49" s="62">
        <f t="array" ref="M49">IF(OR(C49=$O$3:$O$21),1,0)</f>
        <v>0</v>
      </c>
    </row>
    <row r="50" spans="2:13" s="62" customFormat="1" ht="13.8" customHeight="1" x14ac:dyDescent="0.3">
      <c r="B50" s="69">
        <f t="shared" si="5"/>
        <v>48</v>
      </c>
      <c r="C50" s="65" t="s">
        <v>338</v>
      </c>
      <c r="D50" s="64">
        <f>VLOOKUP(C50,Country_Data!B:F,5,FALSE)</f>
        <v>18407</v>
      </c>
      <c r="E50" s="64">
        <f>D50*Projections_Data!$C$15</f>
        <v>2312.0442961165049</v>
      </c>
      <c r="F50" s="75">
        <f>IFERROR(VLOOKUP(C50,Days_Since_100!C:G,5,FALSE)-1,0)</f>
        <v>7.655877485529472E-2</v>
      </c>
      <c r="H50" s="72" t="str">
        <f t="shared" si="4"/>
        <v/>
      </c>
      <c r="I50" s="71"/>
      <c r="J50" s="64">
        <f>VLOOKUP(C50,Country_Data!C:K,9,FALSE)</f>
        <v>83992949</v>
      </c>
      <c r="K50" s="63">
        <f t="shared" si="7"/>
        <v>0</v>
      </c>
      <c r="M50" s="62">
        <f t="array" ref="M50">IF(OR(C50=$O$3:$O$21),1,0)</f>
        <v>0</v>
      </c>
    </row>
    <row r="51" spans="2:13" s="62" customFormat="1" ht="13.8" customHeight="1" x14ac:dyDescent="0.3">
      <c r="B51" s="69">
        <f t="shared" si="5"/>
        <v>49</v>
      </c>
      <c r="C51" s="65" t="s">
        <v>74</v>
      </c>
      <c r="D51" s="64">
        <f>VLOOKUP(C51,Country_Data!B:F,5,FALSE)</f>
        <v>148</v>
      </c>
      <c r="E51" s="64">
        <f>D51*Projections_Data!$C$15</f>
        <v>18.589805825242717</v>
      </c>
      <c r="F51" s="75">
        <f>IFERROR(VLOOKUP(C51,Days_Since_100!C:G,5,FALSE)-1,0)</f>
        <v>7.3113541506014013E-2</v>
      </c>
      <c r="H51" s="72" t="str">
        <f t="shared" si="4"/>
        <v/>
      </c>
      <c r="I51" s="71"/>
      <c r="J51" s="64">
        <f>VLOOKUP(C51,Country_Data!C:K,9,FALSE)</f>
        <v>4270571</v>
      </c>
      <c r="K51" s="63">
        <f t="shared" si="7"/>
        <v>0</v>
      </c>
      <c r="M51" s="62">
        <f t="array" ref="M51">IF(OR(C51=$O$3:$O$21),1,0)</f>
        <v>0</v>
      </c>
    </row>
    <row r="52" spans="2:13" s="62" customFormat="1" ht="13.8" customHeight="1" x14ac:dyDescent="0.3">
      <c r="B52" s="69">
        <f t="shared" si="5"/>
        <v>50</v>
      </c>
      <c r="C52" s="65" t="s">
        <v>101</v>
      </c>
      <c r="D52" s="64">
        <f>VLOOKUP(C52,Country_Data!B:F,5,FALSE)</f>
        <v>460</v>
      </c>
      <c r="E52" s="64">
        <f>D52*Projections_Data!$C$15</f>
        <v>57.779126213592235</v>
      </c>
      <c r="F52" s="75">
        <f>IFERROR(VLOOKUP(C52,Days_Since_100!C:G,5,FALSE)-1,0)</f>
        <v>6.4205713328435055E-2</v>
      </c>
      <c r="H52" s="72" t="str">
        <f t="shared" si="4"/>
        <v/>
      </c>
      <c r="I52" s="71"/>
      <c r="J52" s="64">
        <f>VLOOKUP(C52,Country_Data!C:K,9,FALSE)</f>
        <v>2881053</v>
      </c>
      <c r="K52" s="63">
        <f t="shared" si="7"/>
        <v>0</v>
      </c>
      <c r="M52" s="62">
        <f t="array" ref="M52">IF(OR(C52=$O$3:$O$21),1,0)</f>
        <v>0</v>
      </c>
    </row>
    <row r="53" spans="2:13" s="62" customFormat="1" ht="13.8" customHeight="1" x14ac:dyDescent="0.3">
      <c r="B53" s="69">
        <f t="shared" si="5"/>
        <v>51</v>
      </c>
      <c r="C53" s="65" t="s">
        <v>73</v>
      </c>
      <c r="D53" s="64">
        <f>VLOOKUP(C53,Country_Data!B:F,5,FALSE)</f>
        <v>278</v>
      </c>
      <c r="E53" s="64">
        <f>D53*Projections_Data!$C$15</f>
        <v>34.918689320388353</v>
      </c>
      <c r="F53" s="75">
        <f>IFERROR(VLOOKUP(C53,Days_Since_100!C:G,5,FALSE)-1,0)</f>
        <v>5.7706322148565414E-2</v>
      </c>
      <c r="H53" s="72" t="str">
        <f t="shared" si="4"/>
        <v/>
      </c>
      <c r="I53" s="71"/>
      <c r="J53" s="64">
        <f>VLOOKUP(C53,Country_Data!C:K,9,FALSE)</f>
        <v>1701575</v>
      </c>
      <c r="K53" s="63">
        <f t="shared" si="7"/>
        <v>0</v>
      </c>
      <c r="M53" s="62">
        <f t="array" ref="M53">IF(OR(C53=$O$3:$O$21),1,0)</f>
        <v>0</v>
      </c>
    </row>
    <row r="54" spans="2:13" s="62" customFormat="1" ht="13.8" customHeight="1" x14ac:dyDescent="0.3">
      <c r="B54" s="69">
        <f t="shared" si="5"/>
        <v>52</v>
      </c>
      <c r="C54" s="65" t="s">
        <v>90</v>
      </c>
      <c r="D54" s="64">
        <f>VLOOKUP(C54,Country_Data!B:F,5,FALSE)</f>
        <v>119</v>
      </c>
      <c r="E54" s="64">
        <f>D54*Projections_Data!$C$15</f>
        <v>14.947208737864077</v>
      </c>
      <c r="F54" s="75">
        <f>IFERROR(VLOOKUP(C54,Days_Since_100!C:G,5,FALSE)-1,0)</f>
        <v>4.1852880754129851E-2</v>
      </c>
      <c r="H54" s="72" t="str">
        <f t="shared" si="4"/>
        <v/>
      </c>
      <c r="I54" s="71"/>
      <c r="J54" s="64">
        <f>VLOOKUP(C54,Country_Data!C:K,9,FALSE)</f>
        <v>33931</v>
      </c>
      <c r="K54" s="63">
        <f t="shared" si="7"/>
        <v>0</v>
      </c>
      <c r="M54" s="62">
        <f t="array" ref="M54">IF(OR(C54=$O$3:$O$21),1,0)</f>
        <v>0</v>
      </c>
    </row>
    <row r="55" spans="2:13" s="62" customFormat="1" ht="13.8" customHeight="1" x14ac:dyDescent="0.3">
      <c r="B55" s="69">
        <f t="shared" si="5"/>
        <v>53</v>
      </c>
      <c r="C55" s="65" t="s">
        <v>36</v>
      </c>
      <c r="D55" s="64">
        <f>VLOOKUP(C55,Country_Data!B:F,5,FALSE)</f>
        <v>924</v>
      </c>
      <c r="E55" s="64">
        <f>D55*Projections_Data!$C$15</f>
        <v>116.06067961165049</v>
      </c>
      <c r="F55" s="75">
        <f>IFERROR(VLOOKUP(C55,Days_Since_100!C:G,5,FALSE)-1,0)</f>
        <v>3.6331014231625325E-2</v>
      </c>
      <c r="H55" s="72">
        <f t="shared" si="4"/>
        <v>122.63432025083223</v>
      </c>
      <c r="I55" s="71">
        <v>7.3</v>
      </c>
      <c r="J55" s="64">
        <f>VLOOKUP(C55,Country_Data!C:K,9,FALSE)</f>
        <v>126476461</v>
      </c>
      <c r="K55" s="63">
        <f t="shared" si="7"/>
        <v>9232.781653</v>
      </c>
      <c r="M55" s="62">
        <f t="array" ref="M55">IF(OR(C55=$O$3:$O$21),1,0)</f>
        <v>0</v>
      </c>
    </row>
    <row r="56" spans="2:13" s="62" customFormat="1" ht="13.8" customHeight="1" x14ac:dyDescent="0.3">
      <c r="B56" s="69">
        <f t="shared" si="5"/>
        <v>54</v>
      </c>
      <c r="C56" s="65" t="s">
        <v>340</v>
      </c>
      <c r="D56" s="64">
        <f>VLOOKUP(C56,Country_Data!B:F,5,FALSE)</f>
        <v>712</v>
      </c>
      <c r="E56" s="64">
        <f>D56*Projections_Data!$C$15</f>
        <v>89.432038834951456</v>
      </c>
      <c r="F56" s="75">
        <f>IFERROR(VLOOKUP(C56,Days_Since_100!C:G,5,FALSE)-1,0)</f>
        <v>4.5559973556712485E-3</v>
      </c>
      <c r="H56" s="72" t="str">
        <f t="shared" si="4"/>
        <v/>
      </c>
      <c r="I56" s="71"/>
      <c r="J56" s="64" t="e">
        <f>VLOOKUP(C56,Country_Data!C:K,9,FALSE)</f>
        <v>#N/A</v>
      </c>
      <c r="K56" s="63" t="e">
        <f t="shared" si="7"/>
        <v>#N/A</v>
      </c>
      <c r="M56" s="62">
        <f t="array" ref="M56">IF(OR(C56=$O$3:$O$21),1,0)</f>
        <v>0</v>
      </c>
    </row>
    <row r="57" spans="2:13" s="62" customFormat="1" ht="13.8" customHeight="1" x14ac:dyDescent="0.3">
      <c r="B57" s="69">
        <f t="shared" si="5"/>
        <v>55</v>
      </c>
      <c r="C57" s="65" t="s">
        <v>337</v>
      </c>
      <c r="D57" s="64">
        <f>VLOOKUP(C57,Country_Data!B:F,5,FALSE)</f>
        <v>81156</v>
      </c>
      <c r="E57" s="64">
        <f>D57*Projections_Data!$C$15</f>
        <v>10193.745145631068</v>
      </c>
      <c r="F57" s="75">
        <f>IFERROR(VLOOKUP(C57,Days_Since_100!C:G,5,FALSE)-1,0)</f>
        <v>4.417104547969064E-4</v>
      </c>
      <c r="H57" s="72">
        <f t="shared" si="4"/>
        <v>3681.7718009069722</v>
      </c>
      <c r="I57" s="71">
        <v>3.6</v>
      </c>
      <c r="J57" s="64">
        <f>VLOOKUP(C57,Country_Data!C:K,9,FALSE)</f>
        <v>1439323776</v>
      </c>
      <c r="K57" s="63">
        <f t="shared" si="7"/>
        <v>51815.655936000003</v>
      </c>
      <c r="M57" s="62">
        <f t="array" ref="M57">IF(OR(C57=$O$3:$O$21),1,0)</f>
        <v>0</v>
      </c>
    </row>
    <row r="58" spans="2:13" s="62" customFormat="1" ht="13.8" customHeight="1" x14ac:dyDescent="0.3">
      <c r="B58" s="69">
        <f t="shared" si="5"/>
        <v>56</v>
      </c>
      <c r="C58" s="65" t="s">
        <v>482</v>
      </c>
      <c r="D58" s="64">
        <f>VLOOKUP(C58,Country_Data!B:F,5,FALSE)</f>
        <v>694</v>
      </c>
      <c r="E58" s="64">
        <f>D58*Projections_Data!$C$15</f>
        <v>87.171116504854368</v>
      </c>
      <c r="F58" s="75">
        <f>IFERROR(VLOOKUP(C58,Days_Since_100!C:G,5,FALSE)-1,0)</f>
        <v>0</v>
      </c>
      <c r="H58" s="72" t="str">
        <f t="shared" si="4"/>
        <v/>
      </c>
      <c r="I58" s="71">
        <v>11.6</v>
      </c>
      <c r="J58" s="64" t="e">
        <f>VLOOKUP(C58,Country_Data!C:K,9,FALSE)</f>
        <v>#N/A</v>
      </c>
      <c r="K58" s="63" t="e">
        <f t="shared" si="7"/>
        <v>#N/A</v>
      </c>
      <c r="M58" s="62">
        <f t="array" ref="M58">IF(OR(C58=$O$3:$O$21),1,0)</f>
        <v>0</v>
      </c>
    </row>
    <row r="59" spans="2:13" ht="13.2" customHeight="1" x14ac:dyDescent="0.2">
      <c r="B59" s="69">
        <f t="shared" ref="B59:B65" si="8">B58+1</f>
        <v>57</v>
      </c>
      <c r="C59" s="65" t="s">
        <v>479</v>
      </c>
      <c r="D59" s="64">
        <f>VLOOKUP(C59,Country_Data!B:F,5,FALSE)</f>
        <v>8565</v>
      </c>
      <c r="E59" s="64">
        <f>D59*Projections_Data!$C$15</f>
        <v>1075.822208737864</v>
      </c>
      <c r="F59" s="75">
        <f>IFERROR(VLOOKUP(C59,Days_Since_100!C:G,5,FALSE)-1,0)</f>
        <v>0</v>
      </c>
      <c r="G59" s="62"/>
      <c r="H59" s="72" t="str">
        <f t="shared" si="4"/>
        <v/>
      </c>
      <c r="I59" s="71">
        <v>10.6</v>
      </c>
      <c r="J59" s="64" t="e">
        <f>VLOOKUP(C59,Country_Data!C:K,9,FALSE)</f>
        <v>#N/A</v>
      </c>
      <c r="K59" s="63">
        <v>1500</v>
      </c>
      <c r="M59" s="62">
        <f t="array" ref="M59">IF(OR(C59=$O$3:$O$21),1,0)</f>
        <v>0</v>
      </c>
    </row>
    <row r="60" spans="2:13" ht="13.2" customHeight="1" x14ac:dyDescent="0.2">
      <c r="B60" s="69">
        <f t="shared" si="8"/>
        <v>58</v>
      </c>
      <c r="C60" s="65" t="s">
        <v>199</v>
      </c>
      <c r="D60" s="64">
        <f>VLOOKUP(C60,Country_Data!B:F,5,FALSE)</f>
        <v>94</v>
      </c>
      <c r="E60" s="64">
        <f>D60*Projections_Data!$C$15</f>
        <v>11.807038834951456</v>
      </c>
      <c r="F60" s="75">
        <f>IFERROR(VLOOKUP(C60,Days_Since_100!C:G,5,FALSE)-1,0)</f>
        <v>0</v>
      </c>
      <c r="H60" s="72" t="str">
        <f t="shared" si="4"/>
        <v/>
      </c>
      <c r="I60" s="71">
        <v>12.2</v>
      </c>
      <c r="J60" s="64">
        <f>VLOOKUP(C60,Country_Data!C:K,9,FALSE)</f>
        <v>6948445</v>
      </c>
      <c r="K60" s="63"/>
      <c r="M60" s="62">
        <f t="array" ref="M60">IF(OR(C60=$O$3:$O$21),1,0)</f>
        <v>0</v>
      </c>
    </row>
    <row r="61" spans="2:13" ht="13.2" customHeight="1" x14ac:dyDescent="0.2">
      <c r="B61" s="69">
        <f t="shared" si="8"/>
        <v>59</v>
      </c>
      <c r="C61" s="65" t="s">
        <v>231</v>
      </c>
      <c r="D61" s="64">
        <f>VLOOKUP(C61,Country_Data!B:F,5,FALSE)</f>
        <v>67</v>
      </c>
      <c r="E61" s="64">
        <f>D61*Projections_Data!$C$15</f>
        <v>8.4156553398058254</v>
      </c>
      <c r="F61" s="75">
        <f>IFERROR(VLOOKUP(C61,Days_Since_100!C:G,5,FALSE)-1,0)</f>
        <v>0</v>
      </c>
      <c r="H61" s="72" t="str">
        <f t="shared" si="4"/>
        <v/>
      </c>
      <c r="I61" s="71">
        <v>11.4</v>
      </c>
      <c r="J61" s="64">
        <f>VLOOKUP(C61,Country_Data!C:K,9,FALSE)</f>
        <v>1207359</v>
      </c>
      <c r="K61" s="63"/>
      <c r="M61" s="62">
        <f t="array" ref="M61">IF(OR(C61=$O$3:$O$21),1,0)</f>
        <v>0</v>
      </c>
    </row>
    <row r="62" spans="2:13" ht="13.2" customHeight="1" x14ac:dyDescent="0.2">
      <c r="B62" s="69">
        <f t="shared" si="8"/>
        <v>60</v>
      </c>
      <c r="C62" s="65" t="s">
        <v>111</v>
      </c>
      <c r="D62" s="64">
        <f>VLOOKUP(C62,Country_Data!B:F,5,FALSE)</f>
        <v>86</v>
      </c>
      <c r="E62" s="64">
        <f>D62*Projections_Data!$C$15</f>
        <v>10.802184466019417</v>
      </c>
      <c r="F62" s="75">
        <f>IFERROR(VLOOKUP(C62,Days_Since_100!C:G,5,FALSE)-1,0)</f>
        <v>0</v>
      </c>
      <c r="H62" s="72" t="str">
        <f t="shared" si="4"/>
        <v/>
      </c>
      <c r="I62" s="71">
        <v>9.6999999999999993</v>
      </c>
      <c r="J62" s="64">
        <f>VLOOKUP(C62,Country_Data!C:K,9,FALSE)</f>
        <v>1886198</v>
      </c>
      <c r="K62" s="63"/>
      <c r="M62" s="62">
        <f t="array" ref="M62">IF(OR(C62=$O$3:$O$21),1,0)</f>
        <v>0</v>
      </c>
    </row>
    <row r="63" spans="2:13" ht="13.2" customHeight="1" x14ac:dyDescent="0.2">
      <c r="B63" s="69">
        <f t="shared" si="8"/>
        <v>61</v>
      </c>
      <c r="C63" s="65" t="s">
        <v>76</v>
      </c>
      <c r="D63" s="64"/>
      <c r="E63" s="64"/>
      <c r="F63" s="70"/>
      <c r="H63" s="72" t="str">
        <f t="shared" si="4"/>
        <v/>
      </c>
      <c r="I63" s="71">
        <v>14.7</v>
      </c>
      <c r="J63" s="64">
        <f>VLOOKUP(C63,Country_Data!C:K,9,FALSE)</f>
        <v>4105267</v>
      </c>
      <c r="K63" s="63"/>
      <c r="M63" s="62">
        <f t="array" ref="M63">IF(OR(C63=$O$3:$O$21),1,0)</f>
        <v>0</v>
      </c>
    </row>
    <row r="64" spans="2:13" ht="13.2" customHeight="1" x14ac:dyDescent="0.2">
      <c r="B64" s="69">
        <f t="shared" si="8"/>
        <v>62</v>
      </c>
      <c r="C64" s="65" t="s">
        <v>132</v>
      </c>
      <c r="D64" s="64"/>
      <c r="E64" s="64"/>
      <c r="F64" s="70"/>
      <c r="H64" s="72" t="str">
        <f t="shared" si="4"/>
        <v/>
      </c>
      <c r="I64" s="71">
        <v>13.8</v>
      </c>
      <c r="J64" s="64">
        <f>VLOOKUP(C64,Country_Data!C:K,9,FALSE)</f>
        <v>9660351</v>
      </c>
      <c r="K64" s="63"/>
      <c r="M64" s="62">
        <f t="array" ref="M64">IF(OR(C64=$O$3:$O$21),1,0)</f>
        <v>0</v>
      </c>
    </row>
    <row r="65" spans="2:13" ht="13.2" customHeight="1" x14ac:dyDescent="0.2">
      <c r="B65" s="69">
        <f t="shared" si="8"/>
        <v>63</v>
      </c>
      <c r="C65" s="65" t="s">
        <v>93</v>
      </c>
      <c r="D65" s="64"/>
      <c r="E65" s="64"/>
      <c r="F65" s="70"/>
      <c r="H65" s="72" t="str">
        <f t="shared" si="4"/>
        <v/>
      </c>
      <c r="I65" s="71">
        <v>15.5</v>
      </c>
      <c r="J65" s="64">
        <f>VLOOKUP(C65,Country_Data!C:K,9,FALSE)</f>
        <v>2722289</v>
      </c>
      <c r="K65" s="63"/>
      <c r="M65" s="62">
        <f t="array" ref="M65">IF(OR(C65=$O$3:$O$21),1,0)</f>
        <v>0</v>
      </c>
    </row>
    <row r="66" spans="2:13" ht="13.2" customHeight="1" x14ac:dyDescent="0.2">
      <c r="J66" s="64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V8" sqref="V8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U10" activePane="bottomRight" state="frozen"/>
      <selection pane="topRight" activeCell="G1" sqref="G1"/>
      <selection pane="bottomLeft" activeCell="A4" sqref="A4"/>
      <selection pane="bottomRight" activeCell="C16" sqref="C1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43909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3296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457</v>
      </c>
      <c r="C5" s="21">
        <f>COUNTIF(G5:BL5,"&gt;"&amp;0)</f>
        <v>15</v>
      </c>
      <c r="F5" s="19" t="s">
        <v>454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3091</v>
      </c>
      <c r="V5" s="21" t="e">
        <f>IF(VLOOKUP($B$2,Days_Since_100_active!$H:$KU,Projections_Data!V$4+2,FALSE)=0,#N/A,VLOOKUP($B$2,Days_Since_100_active!$H:$KU,Projections_Data!V$4+2,FALSE))</f>
        <v>#N/A</v>
      </c>
      <c r="W5" s="21" t="e">
        <f>IF(VLOOKUP($B$2,Days_Since_100_active!$H:$KU,Projections_Data!W$4+2,FALSE)=0,#N/A,VLOOKUP($B$2,Days_Since_100_active!$H:$KU,Projections_Data!W$4+2,FALSE))</f>
        <v>#N/A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515</v>
      </c>
      <c r="C6" s="21">
        <f>C4-C7-C8</f>
        <v>3091</v>
      </c>
      <c r="D6" s="19">
        <f>HLOOKUP(C5-1,G4:IN7,4,FALSE)</f>
        <v>0</v>
      </c>
      <c r="F6" s="19" t="str">
        <f>"Current Avg ("&amp;TEXT(C11,"0%")&amp;")"</f>
        <v>Current Avg (23%)</v>
      </c>
      <c r="G6" s="21">
        <f t="shared" ref="G6:BR6" si="11">IF(IF(AND(ISNA(G$5),ISNA(F$5)),F6*(1+$C$11),IF(AND(F$5&gt;0,ISNA(G$5)),F6*(1+$C$11),G$5))&gt;$C$21,$C$21,IF(AND(ISNA(G$5),ISNA(F$5)),F6*(1+$C$11),IF(AND(F$5&gt;0,ISNA(G$5)),F6*(1+$C$11),G$5)))</f>
        <v>107</v>
      </c>
      <c r="H6" s="21">
        <f t="shared" si="11"/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3091</v>
      </c>
      <c r="V6" s="21">
        <f t="shared" si="11"/>
        <v>3797.7379235667345</v>
      </c>
      <c r="W6" s="21">
        <f t="shared" si="11"/>
        <v>4666.0670773526272</v>
      </c>
      <c r="X6" s="21">
        <f t="shared" si="11"/>
        <v>5732.934291028233</v>
      </c>
      <c r="Y6" s="21">
        <f t="shared" si="11"/>
        <v>7043.7340570540573</v>
      </c>
      <c r="Z6" s="21">
        <f t="shared" si="11"/>
        <v>8654.2400362318876</v>
      </c>
      <c r="AA6" s="21">
        <f t="shared" si="11"/>
        <v>10632.978189986214</v>
      </c>
      <c r="AB6" s="21">
        <f t="shared" si="11"/>
        <v>13064.142514580595</v>
      </c>
      <c r="AC6" s="21">
        <f t="shared" si="11"/>
        <v>16051.177439826337</v>
      </c>
      <c r="AD6" s="21">
        <f t="shared" si="11"/>
        <v>19721.179320972915</v>
      </c>
      <c r="AE6" s="21">
        <f t="shared" si="11"/>
        <v>24230.30430434128</v>
      </c>
      <c r="AF6" s="21">
        <f t="shared" si="11"/>
        <v>29770.412667796558</v>
      </c>
      <c r="AG6" s="21">
        <f t="shared" si="11"/>
        <v>36577.232348341153</v>
      </c>
      <c r="AH6" s="21">
        <f t="shared" si="11"/>
        <v>44940.38900951379</v>
      </c>
      <c r="AI6" s="21">
        <f t="shared" si="11"/>
        <v>55215.729421310964</v>
      </c>
      <c r="AJ6" s="21">
        <f t="shared" si="11"/>
        <v>67840.462504274386</v>
      </c>
      <c r="AK6" s="21">
        <f t="shared" si="11"/>
        <v>83351.762279129704</v>
      </c>
      <c r="AL6" s="21">
        <f t="shared" si="11"/>
        <v>102409.62426514723</v>
      </c>
      <c r="AM6" s="21">
        <f t="shared" si="11"/>
        <v>125824.94785181808</v>
      </c>
      <c r="AN6" s="21">
        <f t="shared" si="11"/>
        <v>154594.0395301379</v>
      </c>
      <c r="AO6" s="21">
        <f t="shared" si="11"/>
        <v>189941.00507310888</v>
      </c>
      <c r="AP6" s="21">
        <f t="shared" si="11"/>
        <v>233369.83442462864</v>
      </c>
      <c r="AQ6" s="21">
        <f t="shared" si="11"/>
        <v>286728.39547424839</v>
      </c>
      <c r="AR6" s="21">
        <f t="shared" si="11"/>
        <v>352287.05961047998</v>
      </c>
      <c r="AS6" s="21">
        <f t="shared" si="11"/>
        <v>432835.30451780482</v>
      </c>
      <c r="AT6" s="21">
        <f t="shared" si="11"/>
        <v>531800.40460233681</v>
      </c>
      <c r="AU6" s="21">
        <f t="shared" si="11"/>
        <v>653393.25924504292</v>
      </c>
      <c r="AV6" s="21">
        <f t="shared" si="11"/>
        <v>802787.56377799099</v>
      </c>
      <c r="AW6" s="21">
        <f t="shared" si="11"/>
        <v>986339.94678984955</v>
      </c>
      <c r="AX6" s="21">
        <f t="shared" si="11"/>
        <v>1211860.4404570062</v>
      </c>
      <c r="AY6" s="21">
        <f t="shared" si="11"/>
        <v>1488944.7922335358</v>
      </c>
      <c r="AZ6" s="21">
        <f t="shared" si="11"/>
        <v>1829382.7575420546</v>
      </c>
      <c r="BA6" s="21">
        <f t="shared" si="11"/>
        <v>2247659.7460487057</v>
      </c>
      <c r="BB6" s="21">
        <f t="shared" si="11"/>
        <v>2761573.1662386106</v>
      </c>
      <c r="BC6" s="21">
        <f t="shared" si="11"/>
        <v>3392989.6933447537</v>
      </c>
      <c r="BD6" s="21">
        <f t="shared" si="11"/>
        <v>4168775.6818784974</v>
      </c>
      <c r="BE6" s="21">
        <f t="shared" si="11"/>
        <v>5121940.3111979105</v>
      </c>
      <c r="BF6" s="21">
        <f t="shared" si="11"/>
        <v>6293040.1041997755</v>
      </c>
      <c r="BG6" s="21">
        <f t="shared" si="11"/>
        <v>7731904.5804742286</v>
      </c>
      <c r="BH6" s="21">
        <f t="shared" si="11"/>
        <v>9499756.4693194181</v>
      </c>
      <c r="BI6" s="21">
        <f t="shared" si="11"/>
        <v>11671816.696273949</v>
      </c>
      <c r="BJ6" s="21">
        <f t="shared" si="11"/>
        <v>14340504.983616618</v>
      </c>
      <c r="BK6" s="21">
        <f t="shared" si="11"/>
        <v>17619372.248262241</v>
      </c>
      <c r="BL6" s="21">
        <f t="shared" si="11"/>
        <v>21647932.117976315</v>
      </c>
      <c r="BM6" s="21">
        <f t="shared" si="11"/>
        <v>26597597.143719506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ref="BS6:ED6" si="12">IF(IF(AND(ISNA(BS$5),ISNA(BR$5)),BR6*(1+$C$11),IF(AND(BR$5&gt;0,ISNA(BS$5)),BR6*(1+$C$11),BS$5))&gt;$C$21,$C$21,IF(AND(ISNA(BS$5),ISNA(BR$5)),BR6*(1+$C$11),IF(AND(BR$5&gt;0,ISNA(BS$5)),BR6*(1+$C$11),BS$5)))</f>
        <v>27154404.400000002</v>
      </c>
      <c r="BT6" s="21">
        <f t="shared" si="12"/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ref="EE6:GP6" si="13">IF(IF(AND(ISNA(EE$5),ISNA(ED$5)),ED6*(1+$C$11),IF(AND(ED$5&gt;0,ISNA(EE$5)),ED6*(1+$C$11),EE$5))&gt;$C$21,$C$21,IF(AND(ISNA(EE$5),ISNA(ED$5)),ED6*(1+$C$11),IF(AND(ED$5&gt;0,ISNA(EE$5)),ED6*(1+$C$11),EE$5)))</f>
        <v>27154404.400000002</v>
      </c>
      <c r="EF6" s="21">
        <f t="shared" si="13"/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ref="GQ6:IN6" si="14">IF(IF(AND(ISNA(GQ$5),ISNA(GP$5)),GP6*(1+$C$11),IF(AND(GP$5&gt;0,ISNA(GQ$5)),GP6*(1+$C$11),GQ$5))&gt;$C$21,$C$21,IF(AND(ISNA(GQ$5),ISNA(GP$5)),GP6*(1+$C$11),IF(AND(GP$5&gt;0,ISNA(GQ$5)),GP6*(1+$C$11),GQ$5)))</f>
        <v>27154404.400000002</v>
      </c>
      <c r="GR6" s="21">
        <f t="shared" si="14"/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 t="shared" si="14"/>
        <v>27154404.400000002</v>
      </c>
    </row>
    <row r="7" spans="2:248" x14ac:dyDescent="0.3">
      <c r="B7" s="19" t="s">
        <v>517</v>
      </c>
      <c r="C7" s="21">
        <f>VLOOKUP(B2,Country_Data!C:G,5,FALSE)</f>
        <v>67</v>
      </c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</row>
    <row r="8" spans="2:248" x14ac:dyDescent="0.3">
      <c r="B8" s="19" t="s">
        <v>518</v>
      </c>
      <c r="C8" s="21">
        <f>VLOOKUP(B2,Country_Data!C:H,6,FALSE)</f>
        <v>138</v>
      </c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</row>
    <row r="9" spans="2:248" x14ac:dyDescent="0.3">
      <c r="E9" s="19">
        <v>0.1</v>
      </c>
      <c r="F9" s="22" t="s">
        <v>498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 t="shared" si="15"/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3091</v>
      </c>
      <c r="V9" s="21">
        <f t="shared" si="15"/>
        <v>3400.1000000000004</v>
      </c>
      <c r="W9" s="21">
        <f t="shared" si="15"/>
        <v>3740.1100000000006</v>
      </c>
      <c r="X9" s="21">
        <f t="shared" si="15"/>
        <v>4114.121000000001</v>
      </c>
      <c r="Y9" s="21">
        <f t="shared" si="15"/>
        <v>4525.5331000000015</v>
      </c>
      <c r="Z9" s="21">
        <f t="shared" si="15"/>
        <v>4978.0864100000017</v>
      </c>
      <c r="AA9" s="21">
        <f t="shared" si="15"/>
        <v>5475.8950510000022</v>
      </c>
      <c r="AB9" s="21">
        <f t="shared" si="15"/>
        <v>6023.4845561000029</v>
      </c>
      <c r="AC9" s="21">
        <f t="shared" si="15"/>
        <v>6625.833011710004</v>
      </c>
      <c r="AD9" s="21">
        <f t="shared" si="15"/>
        <v>7288.4163128810051</v>
      </c>
      <c r="AE9" s="21">
        <f t="shared" si="15"/>
        <v>8017.2579441691059</v>
      </c>
      <c r="AF9" s="21">
        <f t="shared" si="15"/>
        <v>8818.9837385860174</v>
      </c>
      <c r="AG9" s="21">
        <f t="shared" si="15"/>
        <v>9700.8821124446204</v>
      </c>
      <c r="AH9" s="21">
        <f t="shared" si="15"/>
        <v>10670.970323689084</v>
      </c>
      <c r="AI9" s="21">
        <f t="shared" si="15"/>
        <v>11738.067356057993</v>
      </c>
      <c r="AJ9" s="21">
        <f t="shared" si="15"/>
        <v>12911.874091663793</v>
      </c>
      <c r="AK9" s="21">
        <f t="shared" si="15"/>
        <v>14203.061500830174</v>
      </c>
      <c r="AL9" s="21">
        <f t="shared" si="15"/>
        <v>15623.367650913193</v>
      </c>
      <c r="AM9" s="21">
        <f t="shared" si="15"/>
        <v>17185.704416004515</v>
      </c>
      <c r="AN9" s="21">
        <f t="shared" si="15"/>
        <v>18904.274857604967</v>
      </c>
      <c r="AO9" s="21">
        <f t="shared" si="15"/>
        <v>20794.702343365465</v>
      </c>
      <c r="AP9" s="21">
        <f t="shared" si="15"/>
        <v>22874.172577702015</v>
      </c>
      <c r="AQ9" s="21">
        <f t="shared" si="15"/>
        <v>25161.589835472219</v>
      </c>
      <c r="AR9" s="21">
        <f t="shared" si="15"/>
        <v>27677.748819019445</v>
      </c>
      <c r="AS9" s="21">
        <f t="shared" si="15"/>
        <v>30445.523700921392</v>
      </c>
      <c r="AT9" s="21">
        <f t="shared" si="15"/>
        <v>33490.076071013536</v>
      </c>
      <c r="AU9" s="21">
        <f t="shared" si="15"/>
        <v>36839.08367811489</v>
      </c>
      <c r="AV9" s="21">
        <f t="shared" si="15"/>
        <v>40522.992045926381</v>
      </c>
      <c r="AW9" s="21">
        <f t="shared" si="15"/>
        <v>44575.291250519025</v>
      </c>
      <c r="AX9" s="21">
        <f t="shared" si="15"/>
        <v>49032.820375570933</v>
      </c>
      <c r="AY9" s="21">
        <f t="shared" si="15"/>
        <v>53936.102413128028</v>
      </c>
      <c r="AZ9" s="21">
        <f t="shared" si="15"/>
        <v>59329.712654440838</v>
      </c>
      <c r="BA9" s="21">
        <f t="shared" si="15"/>
        <v>65262.683919884927</v>
      </c>
      <c r="BB9" s="21">
        <f t="shared" si="15"/>
        <v>71788.952311873421</v>
      </c>
      <c r="BC9" s="21">
        <f t="shared" si="15"/>
        <v>78967.847543060765</v>
      </c>
      <c r="BD9" s="21">
        <f t="shared" si="15"/>
        <v>86864.632297366843</v>
      </c>
      <c r="BE9" s="21">
        <f t="shared" si="15"/>
        <v>95551.095527103535</v>
      </c>
      <c r="BF9" s="21">
        <f t="shared" si="15"/>
        <v>105106.2050798139</v>
      </c>
      <c r="BG9" s="21">
        <f t="shared" si="15"/>
        <v>115616.82558779529</v>
      </c>
      <c r="BH9" s="21">
        <f t="shared" si="15"/>
        <v>127178.50814657484</v>
      </c>
      <c r="BI9" s="21">
        <f t="shared" si="15"/>
        <v>139896.35896123233</v>
      </c>
      <c r="BJ9" s="21">
        <f t="shared" si="15"/>
        <v>153885.99485735557</v>
      </c>
      <c r="BK9" s="21">
        <f t="shared" si="15"/>
        <v>169274.59434309116</v>
      </c>
      <c r="BL9" s="21">
        <f t="shared" si="15"/>
        <v>186202.05377740029</v>
      </c>
      <c r="BM9" s="21">
        <f t="shared" si="15"/>
        <v>204822.25915514035</v>
      </c>
      <c r="BN9" s="21">
        <f t="shared" si="15"/>
        <v>225304.48507065439</v>
      </c>
      <c r="BO9" s="21">
        <f t="shared" si="15"/>
        <v>247834.93357771984</v>
      </c>
      <c r="BP9" s="21">
        <f t="shared" si="15"/>
        <v>272618.42693549185</v>
      </c>
      <c r="BQ9" s="21">
        <f t="shared" si="15"/>
        <v>299880.26962904108</v>
      </c>
      <c r="BR9" s="21">
        <f t="shared" si="15"/>
        <v>329868.29659194523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362855.12625113979</v>
      </c>
      <c r="BT9" s="21">
        <f t="shared" si="16"/>
        <v>399140.6388762538</v>
      </c>
      <c r="BU9" s="21">
        <f t="shared" si="16"/>
        <v>439054.70276387921</v>
      </c>
      <c r="BV9" s="21">
        <f t="shared" si="16"/>
        <v>482960.17304026714</v>
      </c>
      <c r="BW9" s="21">
        <f t="shared" si="16"/>
        <v>531256.19034429395</v>
      </c>
      <c r="BX9" s="21">
        <f t="shared" si="16"/>
        <v>584381.80937872338</v>
      </c>
      <c r="BY9" s="21">
        <f t="shared" si="16"/>
        <v>642819.99031659577</v>
      </c>
      <c r="BZ9" s="21">
        <f t="shared" si="16"/>
        <v>707101.98934825545</v>
      </c>
      <c r="CA9" s="21">
        <f t="shared" si="16"/>
        <v>777812.18828308105</v>
      </c>
      <c r="CB9" s="21">
        <f t="shared" si="16"/>
        <v>855593.40711138921</v>
      </c>
      <c r="CC9" s="21">
        <f t="shared" si="16"/>
        <v>941152.74782252824</v>
      </c>
      <c r="CD9" s="21">
        <f t="shared" si="16"/>
        <v>1035268.0226047812</v>
      </c>
      <c r="CE9" s="21">
        <f t="shared" si="16"/>
        <v>1138794.8248652595</v>
      </c>
      <c r="CF9" s="21">
        <f t="shared" si="16"/>
        <v>1252674.3073517855</v>
      </c>
      <c r="CG9" s="21">
        <f t="shared" si="16"/>
        <v>1377941.7380869642</v>
      </c>
      <c r="CH9" s="21">
        <f t="shared" si="16"/>
        <v>1515735.9118956607</v>
      </c>
      <c r="CI9" s="21">
        <f t="shared" si="16"/>
        <v>1667309.503085227</v>
      </c>
      <c r="CJ9" s="21">
        <f t="shared" si="16"/>
        <v>1834040.4533937499</v>
      </c>
      <c r="CK9" s="21">
        <f t="shared" si="16"/>
        <v>2017444.4987331249</v>
      </c>
      <c r="CL9" s="21">
        <f t="shared" si="16"/>
        <v>2219188.9486064375</v>
      </c>
      <c r="CM9" s="21">
        <f t="shared" si="16"/>
        <v>2441107.8434670814</v>
      </c>
      <c r="CN9" s="21">
        <f t="shared" si="16"/>
        <v>2685218.62781379</v>
      </c>
      <c r="CO9" s="21">
        <f t="shared" si="16"/>
        <v>2953740.4905951694</v>
      </c>
      <c r="CP9" s="21">
        <f t="shared" si="16"/>
        <v>3249114.5396546866</v>
      </c>
      <c r="CQ9" s="21">
        <f t="shared" si="16"/>
        <v>3574025.9936201554</v>
      </c>
      <c r="CR9" s="21">
        <f t="shared" si="16"/>
        <v>3931428.5929821711</v>
      </c>
      <c r="CS9" s="21">
        <f t="shared" si="16"/>
        <v>4324571.4522803882</v>
      </c>
      <c r="CT9" s="21">
        <f t="shared" si="16"/>
        <v>4757028.5975084277</v>
      </c>
      <c r="CU9" s="21">
        <f t="shared" si="16"/>
        <v>5232731.4572592713</v>
      </c>
      <c r="CV9" s="21">
        <f t="shared" si="16"/>
        <v>5756004.6029851986</v>
      </c>
      <c r="CW9" s="21">
        <f t="shared" si="16"/>
        <v>6331605.0632837191</v>
      </c>
      <c r="CX9" s="21">
        <f t="shared" si="16"/>
        <v>6964765.5696120914</v>
      </c>
      <c r="CY9" s="21">
        <f t="shared" si="16"/>
        <v>7661242.1265733009</v>
      </c>
      <c r="CZ9" s="21">
        <f t="shared" si="16"/>
        <v>8427366.3392306324</v>
      </c>
      <c r="DA9" s="21">
        <f t="shared" si="16"/>
        <v>9270102.9731536973</v>
      </c>
      <c r="DB9" s="21">
        <f t="shared" si="16"/>
        <v>10197113.270469068</v>
      </c>
      <c r="DC9" s="21">
        <f t="shared" si="16"/>
        <v>11216824.597515976</v>
      </c>
      <c r="DD9" s="21">
        <f t="shared" si="16"/>
        <v>12338507.057267575</v>
      </c>
      <c r="DE9" s="21">
        <f t="shared" si="16"/>
        <v>13572357.762994332</v>
      </c>
      <c r="DF9" s="21">
        <f t="shared" si="16"/>
        <v>14929593.539293766</v>
      </c>
      <c r="DG9" s="21">
        <f t="shared" si="16"/>
        <v>16422552.893223144</v>
      </c>
      <c r="DH9" s="21">
        <f t="shared" si="16"/>
        <v>18064808.182545461</v>
      </c>
      <c r="DI9" s="21">
        <f t="shared" si="16"/>
        <v>19871289.00080001</v>
      </c>
      <c r="DJ9" s="21">
        <f t="shared" si="16"/>
        <v>21858417.900880013</v>
      </c>
      <c r="DK9" s="21">
        <f t="shared" si="16"/>
        <v>24044259.690968014</v>
      </c>
      <c r="DL9" s="21">
        <f t="shared" si="16"/>
        <v>26448685.660064816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537</v>
      </c>
      <c r="C11" s="23">
        <f>VLOOKUP(B2,Days_Since_100_active!C:G,5,FALSE)-1</f>
        <v>0.22864377986630036</v>
      </c>
      <c r="E11" s="19">
        <v>0.25</v>
      </c>
      <c r="F11" s="22" t="s">
        <v>502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3091</v>
      </c>
      <c r="V11" s="21">
        <f t="shared" si="19"/>
        <v>3863.75</v>
      </c>
      <c r="W11" s="21">
        <f t="shared" si="19"/>
        <v>4829.6875</v>
      </c>
      <c r="X11" s="21">
        <f t="shared" si="19"/>
        <v>6037.109375</v>
      </c>
      <c r="Y11" s="21">
        <f t="shared" si="19"/>
        <v>7546.38671875</v>
      </c>
      <c r="Z11" s="21">
        <f t="shared" si="19"/>
        <v>9432.9833984375</v>
      </c>
      <c r="AA11" s="21">
        <f t="shared" si="19"/>
        <v>11791.229248046875</v>
      </c>
      <c r="AB11" s="21">
        <f t="shared" si="19"/>
        <v>14739.036560058594</v>
      </c>
      <c r="AC11" s="21">
        <f t="shared" si="19"/>
        <v>18423.795700073242</v>
      </c>
      <c r="AD11" s="21">
        <f t="shared" si="19"/>
        <v>23029.744625091553</v>
      </c>
      <c r="AE11" s="21">
        <f t="shared" si="19"/>
        <v>28787.180781364441</v>
      </c>
      <c r="AF11" s="21">
        <f t="shared" si="19"/>
        <v>35983.975976705551</v>
      </c>
      <c r="AG11" s="21">
        <f t="shared" si="19"/>
        <v>44979.969970881939</v>
      </c>
      <c r="AH11" s="21">
        <f t="shared" si="19"/>
        <v>56224.962463602424</v>
      </c>
      <c r="AI11" s="21">
        <f t="shared" si="19"/>
        <v>70281.20307950303</v>
      </c>
      <c r="AJ11" s="21">
        <f t="shared" si="19"/>
        <v>87851.503849378787</v>
      </c>
      <c r="AK11" s="21">
        <f t="shared" si="19"/>
        <v>109814.37981172348</v>
      </c>
      <c r="AL11" s="21">
        <f t="shared" si="19"/>
        <v>137267.97476465435</v>
      </c>
      <c r="AM11" s="21">
        <f t="shared" si="19"/>
        <v>171584.96845581796</v>
      </c>
      <c r="AN11" s="21">
        <f t="shared" si="19"/>
        <v>214481.21056977246</v>
      </c>
      <c r="AO11" s="21">
        <f t="shared" si="19"/>
        <v>268101.51321221556</v>
      </c>
      <c r="AP11" s="21">
        <f t="shared" si="19"/>
        <v>335126.89151526947</v>
      </c>
      <c r="AQ11" s="21">
        <f t="shared" si="19"/>
        <v>418908.61439408682</v>
      </c>
      <c r="AR11" s="21">
        <f t="shared" si="19"/>
        <v>523635.76799260854</v>
      </c>
      <c r="AS11" s="21">
        <f t="shared" si="19"/>
        <v>654544.70999076066</v>
      </c>
      <c r="AT11" s="21">
        <f t="shared" si="19"/>
        <v>818180.88748845086</v>
      </c>
      <c r="AU11" s="21">
        <f t="shared" si="19"/>
        <v>1022726.1093605636</v>
      </c>
      <c r="AV11" s="21">
        <f t="shared" si="19"/>
        <v>1278407.6367007045</v>
      </c>
      <c r="AW11" s="21">
        <f t="shared" si="19"/>
        <v>1598009.5458758806</v>
      </c>
      <c r="AX11" s="21">
        <f t="shared" si="19"/>
        <v>1997511.9323448509</v>
      </c>
      <c r="AY11" s="21">
        <f t="shared" si="19"/>
        <v>2496889.9154310636</v>
      </c>
      <c r="AZ11" s="21">
        <f t="shared" si="19"/>
        <v>3121112.3942888295</v>
      </c>
      <c r="BA11" s="21">
        <f t="shared" si="19"/>
        <v>3901390.4928610371</v>
      </c>
      <c r="BB11" s="21">
        <f t="shared" si="19"/>
        <v>4876738.1160762962</v>
      </c>
      <c r="BC11" s="21">
        <f t="shared" si="19"/>
        <v>6095922.6450953707</v>
      </c>
      <c r="BD11" s="21">
        <f t="shared" si="19"/>
        <v>7619903.3063692134</v>
      </c>
      <c r="BE11" s="21">
        <f t="shared" si="19"/>
        <v>9524879.1329615172</v>
      </c>
      <c r="BF11" s="21">
        <f t="shared" si="19"/>
        <v>11906098.916201897</v>
      </c>
      <c r="BG11" s="21">
        <f t="shared" si="19"/>
        <v>14882623.645252371</v>
      </c>
      <c r="BH11" s="21">
        <f t="shared" si="19"/>
        <v>18603279.556565464</v>
      </c>
      <c r="BI11" s="21">
        <f t="shared" si="19"/>
        <v>23254099.445706829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538</v>
      </c>
      <c r="C12" s="44">
        <f>VLOOKUP(B2,Days_Since_100!C:G,5,FALSE)-1</f>
        <v>0.23569769256708373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E13" s="19">
        <v>0.3</v>
      </c>
      <c r="F13" s="22" t="s">
        <v>455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3091</v>
      </c>
      <c r="V13" s="21">
        <f t="shared" si="23"/>
        <v>4018.3</v>
      </c>
      <c r="W13" s="21">
        <f t="shared" si="23"/>
        <v>5223.79</v>
      </c>
      <c r="X13" s="21">
        <f t="shared" si="23"/>
        <v>6790.9270000000006</v>
      </c>
      <c r="Y13" s="21">
        <f t="shared" si="23"/>
        <v>8828.205100000001</v>
      </c>
      <c r="Z13" s="21">
        <f t="shared" si="23"/>
        <v>11476.666630000002</v>
      </c>
      <c r="AA13" s="21">
        <f t="shared" si="23"/>
        <v>14919.666619000003</v>
      </c>
      <c r="AB13" s="21">
        <f t="shared" si="23"/>
        <v>19395.566604700005</v>
      </c>
      <c r="AC13" s="21">
        <f t="shared" si="23"/>
        <v>25214.236586110008</v>
      </c>
      <c r="AD13" s="21">
        <f t="shared" si="23"/>
        <v>32778.507561943014</v>
      </c>
      <c r="AE13" s="21">
        <f t="shared" si="23"/>
        <v>42612.059830525919</v>
      </c>
      <c r="AF13" s="21">
        <f t="shared" si="23"/>
        <v>55395.677779683698</v>
      </c>
      <c r="AG13" s="21">
        <f t="shared" si="23"/>
        <v>72014.38111358881</v>
      </c>
      <c r="AH13" s="21">
        <f t="shared" si="23"/>
        <v>93618.69544766545</v>
      </c>
      <c r="AI13" s="21">
        <f t="shared" si="23"/>
        <v>121704.30408196509</v>
      </c>
      <c r="AJ13" s="21">
        <f t="shared" si="23"/>
        <v>158215.59530655463</v>
      </c>
      <c r="AK13" s="21">
        <f t="shared" si="23"/>
        <v>205680.27389852103</v>
      </c>
      <c r="AL13" s="21">
        <f t="shared" si="23"/>
        <v>267384.35606807732</v>
      </c>
      <c r="AM13" s="21">
        <f t="shared" si="23"/>
        <v>347599.66288850055</v>
      </c>
      <c r="AN13" s="21">
        <f t="shared" si="23"/>
        <v>451879.56175505073</v>
      </c>
      <c r="AO13" s="21">
        <f t="shared" si="23"/>
        <v>587443.43028156599</v>
      </c>
      <c r="AP13" s="21">
        <f t="shared" si="23"/>
        <v>763676.45936603576</v>
      </c>
      <c r="AQ13" s="21">
        <f t="shared" si="23"/>
        <v>992779.3971758465</v>
      </c>
      <c r="AR13" s="21">
        <f t="shared" si="23"/>
        <v>1290613.2163286004</v>
      </c>
      <c r="AS13" s="21">
        <f t="shared" si="23"/>
        <v>1677797.1812271806</v>
      </c>
      <c r="AT13" s="21">
        <f t="shared" si="23"/>
        <v>2181136.3355953349</v>
      </c>
      <c r="AU13" s="21">
        <f t="shared" si="23"/>
        <v>2835477.2362739355</v>
      </c>
      <c r="AV13" s="21">
        <f t="shared" si="23"/>
        <v>3686120.4071561163</v>
      </c>
      <c r="AW13" s="21">
        <f t="shared" si="23"/>
        <v>4791956.5293029509</v>
      </c>
      <c r="AX13" s="21">
        <f t="shared" si="23"/>
        <v>6229543.4880938362</v>
      </c>
      <c r="AY13" s="21">
        <f t="shared" si="23"/>
        <v>8098406.5345219877</v>
      </c>
      <c r="AZ13" s="21">
        <f t="shared" si="23"/>
        <v>10527928.494878585</v>
      </c>
      <c r="BA13" s="21">
        <f t="shared" si="23"/>
        <v>13686307.04334216</v>
      </c>
      <c r="BB13" s="21">
        <f t="shared" si="23"/>
        <v>17792199.156344809</v>
      </c>
      <c r="BC13" s="21">
        <f t="shared" si="23"/>
        <v>23129858.90324825</v>
      </c>
      <c r="BD13" s="21">
        <f t="shared" si="23"/>
        <v>27154404.400000002</v>
      </c>
      <c r="BE13" s="21">
        <f t="shared" si="23"/>
        <v>27154404.400000002</v>
      </c>
      <c r="BF13" s="21">
        <f t="shared" si="23"/>
        <v>27154404.400000002</v>
      </c>
      <c r="BG13" s="21">
        <f t="shared" si="23"/>
        <v>27154404.400000002</v>
      </c>
      <c r="BH13" s="21">
        <f t="shared" si="23"/>
        <v>27154404.400000002</v>
      </c>
      <c r="BI13" s="21">
        <f t="shared" si="23"/>
        <v>27154404.400000002</v>
      </c>
      <c r="BJ13" s="21">
        <f t="shared" si="23"/>
        <v>27154404.400000002</v>
      </c>
      <c r="BK13" s="21">
        <f t="shared" si="23"/>
        <v>27154404.400000002</v>
      </c>
      <c r="BL13" s="21">
        <f t="shared" si="23"/>
        <v>27154404.400000002</v>
      </c>
      <c r="BM13" s="21">
        <f t="shared" si="23"/>
        <v>27154404.400000002</v>
      </c>
      <c r="BN13" s="21">
        <f t="shared" si="23"/>
        <v>27154404.400000002</v>
      </c>
      <c r="BO13" s="21">
        <f t="shared" si="23"/>
        <v>27154404.400000002</v>
      </c>
      <c r="BP13" s="21">
        <f t="shared" si="23"/>
        <v>27154404.400000002</v>
      </c>
      <c r="BQ13" s="21">
        <f t="shared" si="23"/>
        <v>27154404.400000002</v>
      </c>
      <c r="BR13" s="21">
        <f t="shared" si="23"/>
        <v>27154404.400000002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27154404.400000002</v>
      </c>
      <c r="BT13" s="21">
        <f t="shared" si="24"/>
        <v>27154404.400000002</v>
      </c>
      <c r="BU13" s="21">
        <f t="shared" si="24"/>
        <v>27154404.400000002</v>
      </c>
      <c r="BV13" s="21">
        <f t="shared" si="24"/>
        <v>27154404.400000002</v>
      </c>
      <c r="BW13" s="21">
        <f t="shared" si="24"/>
        <v>27154404.400000002</v>
      </c>
      <c r="BX13" s="21">
        <f t="shared" si="24"/>
        <v>27154404.400000002</v>
      </c>
      <c r="BY13" s="21">
        <f t="shared" si="24"/>
        <v>27154404.400000002</v>
      </c>
      <c r="BZ13" s="21">
        <f t="shared" si="24"/>
        <v>27154404.400000002</v>
      </c>
      <c r="CA13" s="21">
        <f t="shared" si="24"/>
        <v>27154404.400000002</v>
      </c>
      <c r="CB13" s="21">
        <f t="shared" si="24"/>
        <v>27154404.400000002</v>
      </c>
      <c r="CC13" s="21">
        <f t="shared" si="24"/>
        <v>27154404.400000002</v>
      </c>
      <c r="CD13" s="21">
        <f t="shared" si="24"/>
        <v>27154404.400000002</v>
      </c>
      <c r="CE13" s="21">
        <f t="shared" si="24"/>
        <v>27154404.400000002</v>
      </c>
      <c r="CF13" s="21">
        <f t="shared" si="24"/>
        <v>27154404.400000002</v>
      </c>
      <c r="CG13" s="21">
        <f t="shared" si="24"/>
        <v>27154404.400000002</v>
      </c>
      <c r="CH13" s="21">
        <f t="shared" si="24"/>
        <v>27154404.400000002</v>
      </c>
      <c r="CI13" s="21">
        <f t="shared" si="24"/>
        <v>27154404.400000002</v>
      </c>
      <c r="CJ13" s="21">
        <f t="shared" si="24"/>
        <v>27154404.400000002</v>
      </c>
      <c r="CK13" s="21">
        <f t="shared" si="24"/>
        <v>27154404.400000002</v>
      </c>
      <c r="CL13" s="21">
        <f t="shared" si="24"/>
        <v>27154404.400000002</v>
      </c>
      <c r="CM13" s="21">
        <f t="shared" si="24"/>
        <v>27154404.400000002</v>
      </c>
      <c r="CN13" s="21">
        <f t="shared" si="24"/>
        <v>27154404.400000002</v>
      </c>
      <c r="CO13" s="21">
        <f t="shared" si="24"/>
        <v>27154404.400000002</v>
      </c>
      <c r="CP13" s="21">
        <f t="shared" si="24"/>
        <v>27154404.400000002</v>
      </c>
      <c r="CQ13" s="21">
        <f t="shared" si="24"/>
        <v>27154404.400000002</v>
      </c>
      <c r="CR13" s="21">
        <f t="shared" si="24"/>
        <v>27154404.400000002</v>
      </c>
      <c r="CS13" s="21">
        <f t="shared" si="24"/>
        <v>27154404.400000002</v>
      </c>
      <c r="CT13" s="21">
        <f t="shared" si="24"/>
        <v>27154404.400000002</v>
      </c>
      <c r="CU13" s="21">
        <f t="shared" si="24"/>
        <v>27154404.400000002</v>
      </c>
      <c r="CV13" s="21">
        <f t="shared" si="24"/>
        <v>27154404.400000002</v>
      </c>
      <c r="CW13" s="21">
        <f t="shared" si="24"/>
        <v>27154404.400000002</v>
      </c>
      <c r="CX13" s="21">
        <f t="shared" si="24"/>
        <v>27154404.400000002</v>
      </c>
      <c r="CY13" s="21">
        <f t="shared" si="24"/>
        <v>27154404.400000002</v>
      </c>
      <c r="CZ13" s="21">
        <f t="shared" si="24"/>
        <v>27154404.400000002</v>
      </c>
      <c r="DA13" s="21">
        <f t="shared" si="24"/>
        <v>27154404.400000002</v>
      </c>
      <c r="DB13" s="21">
        <f t="shared" si="24"/>
        <v>27154404.400000002</v>
      </c>
      <c r="DC13" s="21">
        <f t="shared" si="24"/>
        <v>27154404.400000002</v>
      </c>
      <c r="DD13" s="21">
        <f t="shared" si="24"/>
        <v>27154404.400000002</v>
      </c>
      <c r="DE13" s="21">
        <f t="shared" si="24"/>
        <v>27154404.400000002</v>
      </c>
      <c r="DF13" s="21">
        <f t="shared" si="24"/>
        <v>27154404.400000002</v>
      </c>
      <c r="DG13" s="21">
        <f t="shared" si="24"/>
        <v>27154404.400000002</v>
      </c>
      <c r="DH13" s="21">
        <f t="shared" si="24"/>
        <v>27154404.400000002</v>
      </c>
      <c r="DI13" s="21">
        <f t="shared" si="24"/>
        <v>27154404.400000002</v>
      </c>
      <c r="DJ13" s="21">
        <f t="shared" si="24"/>
        <v>27154404.400000002</v>
      </c>
      <c r="DK13" s="21">
        <f t="shared" si="24"/>
        <v>27154404.400000002</v>
      </c>
      <c r="DL13" s="21">
        <f t="shared" si="24"/>
        <v>27154404.400000002</v>
      </c>
      <c r="DM13" s="21">
        <f t="shared" si="24"/>
        <v>27154404.400000002</v>
      </c>
      <c r="DN13" s="21">
        <f t="shared" si="24"/>
        <v>27154404.400000002</v>
      </c>
      <c r="DO13" s="21">
        <f t="shared" si="24"/>
        <v>27154404.400000002</v>
      </c>
      <c r="DP13" s="21">
        <f t="shared" si="24"/>
        <v>27154404.400000002</v>
      </c>
      <c r="DQ13" s="21">
        <f t="shared" si="24"/>
        <v>27154404.400000002</v>
      </c>
      <c r="DR13" s="21">
        <f t="shared" si="24"/>
        <v>27154404.400000002</v>
      </c>
      <c r="DS13" s="21">
        <f t="shared" si="24"/>
        <v>27154404.400000002</v>
      </c>
      <c r="DT13" s="21">
        <f t="shared" si="24"/>
        <v>27154404.400000002</v>
      </c>
      <c r="DU13" s="21">
        <f t="shared" si="24"/>
        <v>27154404.400000002</v>
      </c>
      <c r="DV13" s="21">
        <f t="shared" si="24"/>
        <v>27154404.400000002</v>
      </c>
      <c r="DW13" s="21">
        <f t="shared" si="24"/>
        <v>27154404.400000002</v>
      </c>
      <c r="DX13" s="21">
        <f t="shared" si="24"/>
        <v>27154404.400000002</v>
      </c>
      <c r="DY13" s="21">
        <f t="shared" si="24"/>
        <v>27154404.400000002</v>
      </c>
      <c r="DZ13" s="21">
        <f t="shared" si="24"/>
        <v>27154404.400000002</v>
      </c>
      <c r="EA13" s="21">
        <f t="shared" si="24"/>
        <v>27154404.400000002</v>
      </c>
      <c r="EB13" s="21">
        <f t="shared" si="24"/>
        <v>27154404.400000002</v>
      </c>
      <c r="EC13" s="21">
        <f t="shared" si="24"/>
        <v>27154404.400000002</v>
      </c>
      <c r="ED13" s="21">
        <f t="shared" si="24"/>
        <v>27154404.400000002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27154404.400000002</v>
      </c>
      <c r="EF13" s="21">
        <f t="shared" si="25"/>
        <v>27154404.400000002</v>
      </c>
      <c r="EG13" s="21">
        <f t="shared" si="25"/>
        <v>27154404.400000002</v>
      </c>
      <c r="EH13" s="21">
        <f t="shared" si="25"/>
        <v>27154404.400000002</v>
      </c>
      <c r="EI13" s="21">
        <f t="shared" si="25"/>
        <v>27154404.400000002</v>
      </c>
      <c r="EJ13" s="21">
        <f t="shared" si="25"/>
        <v>27154404.400000002</v>
      </c>
      <c r="EK13" s="21">
        <f t="shared" si="25"/>
        <v>27154404.400000002</v>
      </c>
      <c r="EL13" s="21">
        <f t="shared" si="25"/>
        <v>27154404.400000002</v>
      </c>
      <c r="EM13" s="21">
        <f t="shared" si="25"/>
        <v>27154404.400000002</v>
      </c>
      <c r="EN13" s="21">
        <f t="shared" si="25"/>
        <v>27154404.400000002</v>
      </c>
      <c r="EO13" s="21">
        <f t="shared" si="25"/>
        <v>27154404.400000002</v>
      </c>
      <c r="EP13" s="21">
        <f t="shared" si="25"/>
        <v>27154404.400000002</v>
      </c>
      <c r="EQ13" s="21">
        <f t="shared" si="25"/>
        <v>27154404.400000002</v>
      </c>
      <c r="ER13" s="21">
        <f t="shared" si="25"/>
        <v>27154404.400000002</v>
      </c>
      <c r="ES13" s="21">
        <f t="shared" si="25"/>
        <v>27154404.400000002</v>
      </c>
      <c r="ET13" s="21">
        <f t="shared" si="25"/>
        <v>27154404.400000002</v>
      </c>
      <c r="EU13" s="21">
        <f t="shared" si="25"/>
        <v>27154404.400000002</v>
      </c>
      <c r="EV13" s="21">
        <f t="shared" si="25"/>
        <v>27154404.400000002</v>
      </c>
      <c r="EW13" s="21">
        <f t="shared" si="25"/>
        <v>27154404.400000002</v>
      </c>
      <c r="EX13" s="21">
        <f t="shared" si="25"/>
        <v>27154404.400000002</v>
      </c>
      <c r="EY13" s="21">
        <f t="shared" si="25"/>
        <v>27154404.400000002</v>
      </c>
      <c r="EZ13" s="21">
        <f t="shared" si="25"/>
        <v>27154404.400000002</v>
      </c>
      <c r="FA13" s="21">
        <f t="shared" si="25"/>
        <v>27154404.400000002</v>
      </c>
      <c r="FB13" s="21">
        <f t="shared" si="25"/>
        <v>27154404.400000002</v>
      </c>
      <c r="FC13" s="21">
        <f t="shared" si="25"/>
        <v>27154404.400000002</v>
      </c>
      <c r="FD13" s="21">
        <f t="shared" si="25"/>
        <v>27154404.400000002</v>
      </c>
      <c r="FE13" s="21">
        <f t="shared" si="25"/>
        <v>27154404.400000002</v>
      </c>
      <c r="FF13" s="21">
        <f t="shared" si="25"/>
        <v>27154404.400000002</v>
      </c>
      <c r="FG13" s="21">
        <f t="shared" si="25"/>
        <v>27154404.400000002</v>
      </c>
      <c r="FH13" s="21">
        <f t="shared" si="25"/>
        <v>27154404.400000002</v>
      </c>
      <c r="FI13" s="21">
        <f t="shared" si="25"/>
        <v>27154404.400000002</v>
      </c>
      <c r="FJ13" s="21">
        <f t="shared" si="25"/>
        <v>27154404.400000002</v>
      </c>
      <c r="FK13" s="21">
        <f t="shared" si="25"/>
        <v>27154404.400000002</v>
      </c>
      <c r="FL13" s="21">
        <f t="shared" si="25"/>
        <v>27154404.400000002</v>
      </c>
      <c r="FM13" s="21">
        <f t="shared" si="25"/>
        <v>27154404.400000002</v>
      </c>
      <c r="FN13" s="21">
        <f t="shared" si="25"/>
        <v>27154404.400000002</v>
      </c>
      <c r="FO13" s="21">
        <f t="shared" si="25"/>
        <v>27154404.400000002</v>
      </c>
      <c r="FP13" s="21">
        <f t="shared" si="25"/>
        <v>27154404.400000002</v>
      </c>
      <c r="FQ13" s="21">
        <f t="shared" si="25"/>
        <v>27154404.400000002</v>
      </c>
      <c r="FR13" s="21">
        <f t="shared" si="25"/>
        <v>27154404.400000002</v>
      </c>
      <c r="FS13" s="21">
        <f t="shared" si="25"/>
        <v>27154404.400000002</v>
      </c>
      <c r="FT13" s="21">
        <f t="shared" si="25"/>
        <v>27154404.400000002</v>
      </c>
      <c r="FU13" s="21">
        <f t="shared" si="25"/>
        <v>27154404.400000002</v>
      </c>
      <c r="FV13" s="21">
        <f t="shared" si="25"/>
        <v>27154404.400000002</v>
      </c>
      <c r="FW13" s="21">
        <f t="shared" si="25"/>
        <v>27154404.400000002</v>
      </c>
      <c r="FX13" s="21">
        <f t="shared" si="25"/>
        <v>27154404.400000002</v>
      </c>
      <c r="FY13" s="21">
        <f t="shared" si="25"/>
        <v>27154404.400000002</v>
      </c>
      <c r="FZ13" s="21">
        <f t="shared" si="25"/>
        <v>27154404.400000002</v>
      </c>
      <c r="GA13" s="21">
        <f t="shared" si="25"/>
        <v>27154404.400000002</v>
      </c>
      <c r="GB13" s="21">
        <f t="shared" si="25"/>
        <v>27154404.400000002</v>
      </c>
      <c r="GC13" s="21">
        <f t="shared" si="25"/>
        <v>27154404.400000002</v>
      </c>
      <c r="GD13" s="21">
        <f t="shared" si="25"/>
        <v>27154404.400000002</v>
      </c>
      <c r="GE13" s="21">
        <f t="shared" si="25"/>
        <v>27154404.400000002</v>
      </c>
      <c r="GF13" s="21">
        <f t="shared" si="25"/>
        <v>27154404.400000002</v>
      </c>
      <c r="GG13" s="21">
        <f t="shared" si="25"/>
        <v>27154404.400000002</v>
      </c>
      <c r="GH13" s="21">
        <f t="shared" si="25"/>
        <v>27154404.400000002</v>
      </c>
      <c r="GI13" s="21">
        <f t="shared" si="25"/>
        <v>27154404.400000002</v>
      </c>
      <c r="GJ13" s="21">
        <f t="shared" si="25"/>
        <v>27154404.400000002</v>
      </c>
      <c r="GK13" s="21">
        <f t="shared" si="25"/>
        <v>27154404.400000002</v>
      </c>
      <c r="GL13" s="21">
        <f t="shared" si="25"/>
        <v>27154404.400000002</v>
      </c>
      <c r="GM13" s="21">
        <f t="shared" si="25"/>
        <v>27154404.400000002</v>
      </c>
      <c r="GN13" s="21">
        <f t="shared" si="25"/>
        <v>27154404.400000002</v>
      </c>
      <c r="GO13" s="21">
        <f t="shared" si="25"/>
        <v>27154404.400000002</v>
      </c>
      <c r="GP13" s="21">
        <f t="shared" si="25"/>
        <v>27154404.400000002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27154404.400000002</v>
      </c>
      <c r="GR13" s="21">
        <f t="shared" si="26"/>
        <v>27154404.400000002</v>
      </c>
      <c r="GS13" s="21">
        <f t="shared" si="26"/>
        <v>27154404.400000002</v>
      </c>
      <c r="GT13" s="21">
        <f t="shared" si="26"/>
        <v>27154404.400000002</v>
      </c>
      <c r="GU13" s="21">
        <f t="shared" si="26"/>
        <v>27154404.400000002</v>
      </c>
      <c r="GV13" s="21">
        <f t="shared" si="26"/>
        <v>27154404.400000002</v>
      </c>
      <c r="GW13" s="21">
        <f t="shared" si="26"/>
        <v>27154404.400000002</v>
      </c>
      <c r="GX13" s="21">
        <f t="shared" si="26"/>
        <v>27154404.400000002</v>
      </c>
      <c r="GY13" s="21">
        <f t="shared" si="26"/>
        <v>27154404.400000002</v>
      </c>
      <c r="GZ13" s="21">
        <f t="shared" si="26"/>
        <v>27154404.400000002</v>
      </c>
      <c r="HA13" s="21">
        <f t="shared" si="26"/>
        <v>27154404.400000002</v>
      </c>
      <c r="HB13" s="21">
        <f t="shared" si="26"/>
        <v>27154404.400000002</v>
      </c>
      <c r="HC13" s="21">
        <f t="shared" si="26"/>
        <v>27154404.400000002</v>
      </c>
      <c r="HD13" s="21">
        <f t="shared" si="26"/>
        <v>27154404.400000002</v>
      </c>
      <c r="HE13" s="21">
        <f t="shared" si="26"/>
        <v>27154404.400000002</v>
      </c>
      <c r="HF13" s="21">
        <f t="shared" si="26"/>
        <v>27154404.400000002</v>
      </c>
      <c r="HG13" s="21">
        <f t="shared" si="26"/>
        <v>27154404.400000002</v>
      </c>
      <c r="HH13" s="21">
        <f t="shared" si="26"/>
        <v>27154404.400000002</v>
      </c>
      <c r="HI13" s="21">
        <f t="shared" si="26"/>
        <v>27154404.400000002</v>
      </c>
      <c r="HJ13" s="21">
        <f t="shared" si="26"/>
        <v>27154404.400000002</v>
      </c>
      <c r="HK13" s="21">
        <f t="shared" si="26"/>
        <v>27154404.400000002</v>
      </c>
      <c r="HL13" s="21">
        <f t="shared" si="26"/>
        <v>27154404.400000002</v>
      </c>
      <c r="HM13" s="21">
        <f t="shared" si="26"/>
        <v>27154404.400000002</v>
      </c>
      <c r="HN13" s="21">
        <f t="shared" si="26"/>
        <v>27154404.400000002</v>
      </c>
      <c r="HO13" s="21">
        <f t="shared" si="26"/>
        <v>27154404.400000002</v>
      </c>
      <c r="HP13" s="21">
        <f t="shared" si="26"/>
        <v>27154404.400000002</v>
      </c>
      <c r="HQ13" s="21">
        <f t="shared" si="26"/>
        <v>27154404.400000002</v>
      </c>
      <c r="HR13" s="21">
        <f t="shared" si="26"/>
        <v>27154404.400000002</v>
      </c>
      <c r="HS13" s="21">
        <f t="shared" si="26"/>
        <v>27154404.400000002</v>
      </c>
      <c r="HT13" s="21">
        <f t="shared" si="26"/>
        <v>27154404.400000002</v>
      </c>
      <c r="HU13" s="21">
        <f t="shared" si="26"/>
        <v>27154404.400000002</v>
      </c>
      <c r="HV13" s="21">
        <f t="shared" si="26"/>
        <v>27154404.400000002</v>
      </c>
      <c r="HW13" s="21">
        <f t="shared" si="26"/>
        <v>27154404.400000002</v>
      </c>
      <c r="HX13" s="21">
        <f t="shared" si="26"/>
        <v>27154404.400000002</v>
      </c>
      <c r="HY13" s="21">
        <f t="shared" si="26"/>
        <v>27154404.400000002</v>
      </c>
      <c r="HZ13" s="21">
        <f t="shared" si="26"/>
        <v>27154404.400000002</v>
      </c>
      <c r="IA13" s="21">
        <f t="shared" si="26"/>
        <v>27154404.400000002</v>
      </c>
      <c r="IB13" s="21">
        <f t="shared" si="26"/>
        <v>27154404.400000002</v>
      </c>
      <c r="IC13" s="21">
        <f t="shared" si="26"/>
        <v>27154404.400000002</v>
      </c>
      <c r="ID13" s="21">
        <f t="shared" si="26"/>
        <v>27154404.400000002</v>
      </c>
      <c r="IE13" s="21">
        <f t="shared" si="26"/>
        <v>27154404.400000002</v>
      </c>
      <c r="IF13" s="21">
        <f t="shared" si="26"/>
        <v>27154404.400000002</v>
      </c>
      <c r="IG13" s="21">
        <f t="shared" si="26"/>
        <v>27154404.400000002</v>
      </c>
      <c r="IH13" s="21">
        <f t="shared" si="26"/>
        <v>27154404.400000002</v>
      </c>
      <c r="II13" s="21">
        <f t="shared" si="26"/>
        <v>27154404.400000002</v>
      </c>
      <c r="IJ13" s="21">
        <f t="shared" si="26"/>
        <v>27154404.400000002</v>
      </c>
      <c r="IK13" s="21">
        <f t="shared" si="26"/>
        <v>27154404.400000002</v>
      </c>
      <c r="IL13" s="21">
        <f t="shared" si="26"/>
        <v>27154404.400000002</v>
      </c>
      <c r="IM13" s="21">
        <f t="shared" si="26"/>
        <v>27154404.400000002</v>
      </c>
      <c r="IN13" s="21">
        <f t="shared" si="26"/>
        <v>27154404.400000002</v>
      </c>
    </row>
    <row r="14" spans="2:248" x14ac:dyDescent="0.3">
      <c r="B14" s="19" t="s">
        <v>453</v>
      </c>
      <c r="C14" s="21">
        <f>C4*(1+C12)</f>
        <v>4072.8595947011081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469</v>
      </c>
      <c r="C15" s="25">
        <f>IF(VLOOKUP(B2,Country_Data!C:N,12,FALSE)=0,0.047,VLOOKUP(B2,Country_Data!C:N,12,FALSE)*3)</f>
        <v>0.12560679611650485</v>
      </c>
      <c r="E15" s="19">
        <v>0.4</v>
      </c>
      <c r="F15" s="22" t="s">
        <v>456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3091</v>
      </c>
      <c r="V15" s="21">
        <f t="shared" si="27"/>
        <v>4327.3999999999996</v>
      </c>
      <c r="W15" s="21">
        <f t="shared" si="27"/>
        <v>6058.3599999999988</v>
      </c>
      <c r="X15" s="21">
        <f t="shared" si="27"/>
        <v>8481.7039999999979</v>
      </c>
      <c r="Y15" s="21">
        <f t="shared" si="27"/>
        <v>11874.385599999996</v>
      </c>
      <c r="Z15" s="21">
        <f t="shared" si="27"/>
        <v>16624.139839999993</v>
      </c>
      <c r="AA15" s="21">
        <f t="shared" si="27"/>
        <v>23273.795775999988</v>
      </c>
      <c r="AB15" s="21">
        <f t="shared" si="27"/>
        <v>32583.31408639998</v>
      </c>
      <c r="AC15" s="21">
        <f t="shared" si="27"/>
        <v>45616.639720959967</v>
      </c>
      <c r="AD15" s="21">
        <f t="shared" si="27"/>
        <v>63863.29560934395</v>
      </c>
      <c r="AE15" s="21">
        <f t="shared" si="27"/>
        <v>89408.613853081522</v>
      </c>
      <c r="AF15" s="21">
        <f t="shared" si="27"/>
        <v>125172.05939431413</v>
      </c>
      <c r="AG15" s="21">
        <f t="shared" si="27"/>
        <v>175240.88315203978</v>
      </c>
      <c r="AH15" s="21">
        <f t="shared" si="27"/>
        <v>245337.23641285568</v>
      </c>
      <c r="AI15" s="21">
        <f t="shared" si="27"/>
        <v>343472.13097799791</v>
      </c>
      <c r="AJ15" s="21">
        <f t="shared" si="27"/>
        <v>480860.98336919706</v>
      </c>
      <c r="AK15" s="21">
        <f t="shared" si="27"/>
        <v>673205.37671687582</v>
      </c>
      <c r="AL15" s="21">
        <f t="shared" si="27"/>
        <v>942487.52740362613</v>
      </c>
      <c r="AM15" s="21">
        <f t="shared" si="27"/>
        <v>1319482.5383650765</v>
      </c>
      <c r="AN15" s="21">
        <f t="shared" si="27"/>
        <v>1847275.553711107</v>
      </c>
      <c r="AO15" s="21">
        <f t="shared" si="27"/>
        <v>2586185.7751955497</v>
      </c>
      <c r="AP15" s="21">
        <f t="shared" si="27"/>
        <v>3620660.0852737692</v>
      </c>
      <c r="AQ15" s="21">
        <f t="shared" si="27"/>
        <v>5068924.1193832764</v>
      </c>
      <c r="AR15" s="21">
        <f t="shared" si="27"/>
        <v>7096493.7671365868</v>
      </c>
      <c r="AS15" s="21">
        <f t="shared" si="27"/>
        <v>9935091.2739912216</v>
      </c>
      <c r="AT15" s="21">
        <f t="shared" si="27"/>
        <v>13909127.783587709</v>
      </c>
      <c r="AU15" s="21">
        <f t="shared" si="27"/>
        <v>19472778.897022791</v>
      </c>
      <c r="AV15" s="21">
        <f t="shared" si="27"/>
        <v>27154404.400000002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468</v>
      </c>
      <c r="C16" s="21">
        <f>VLOOKUP(B2,Country_Data!C:M,11,FALSE)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504</v>
      </c>
      <c r="C17" s="23">
        <v>2.5000000000000001E-2</v>
      </c>
      <c r="F17" s="22" t="s">
        <v>468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tr">
        <f>"Critically Ill ("&amp;TEXT(C11,"0%")&amp;" - current rate)"</f>
        <v>Critically Ill (23% - current rate)</v>
      </c>
      <c r="G18" s="24">
        <f>G6*$C$15</f>
        <v>13.43992718446602</v>
      </c>
      <c r="H18" s="24">
        <f t="shared" ref="H18:BS18" si="35">H6*$C$15</f>
        <v>19.343446601941746</v>
      </c>
      <c r="I18" s="24">
        <f t="shared" si="35"/>
        <v>23.488470873786408</v>
      </c>
      <c r="J18" s="24">
        <f t="shared" si="35"/>
        <v>31.778519417475728</v>
      </c>
      <c r="K18" s="24">
        <f t="shared" si="35"/>
        <v>37.682038834951456</v>
      </c>
      <c r="L18" s="24">
        <f t="shared" si="35"/>
        <v>45.092839805825243</v>
      </c>
      <c r="M18" s="24">
        <f t="shared" si="35"/>
        <v>54.262135922330096</v>
      </c>
      <c r="N18" s="24">
        <f t="shared" si="35"/>
        <v>70.716626213592235</v>
      </c>
      <c r="O18" s="24">
        <f t="shared" si="35"/>
        <v>97.345266990291265</v>
      </c>
      <c r="P18" s="24">
        <f t="shared" si="35"/>
        <v>138.66990291262135</v>
      </c>
      <c r="Q18" s="24">
        <f t="shared" si="35"/>
        <v>165.17293689320388</v>
      </c>
      <c r="R18" s="24">
        <f>R6*$C$15</f>
        <v>185.14441747572815</v>
      </c>
      <c r="S18" s="24">
        <f t="shared" si="35"/>
        <v>232.49817961165047</v>
      </c>
      <c r="T18" s="24">
        <f t="shared" si="35"/>
        <v>314.39381067961165</v>
      </c>
      <c r="U18" s="24">
        <f t="shared" si="35"/>
        <v>388.25060679611653</v>
      </c>
      <c r="V18" s="24">
        <f t="shared" si="35"/>
        <v>477.02169306936531</v>
      </c>
      <c r="W18" s="24">
        <f t="shared" si="35"/>
        <v>586.08973605096708</v>
      </c>
      <c r="X18" s="24">
        <f t="shared" si="35"/>
        <v>720.09550864250252</v>
      </c>
      <c r="Y18" s="24">
        <f t="shared" si="35"/>
        <v>884.74086760327054</v>
      </c>
      <c r="Z18" s="24">
        <f t="shared" si="35"/>
        <v>1087.0313637742722</v>
      </c>
      <c r="AA18" s="24">
        <f t="shared" si="35"/>
        <v>1335.5743236208411</v>
      </c>
      <c r="AB18" s="24">
        <f t="shared" si="35"/>
        <v>1640.9450852658879</v>
      </c>
      <c r="AC18" s="24">
        <f t="shared" si="35"/>
        <v>2016.1369721141091</v>
      </c>
      <c r="AD18" s="24">
        <f t="shared" si="35"/>
        <v>2477.1141501464767</v>
      </c>
      <c r="AE18" s="24">
        <f t="shared" si="35"/>
        <v>3043.490892596265</v>
      </c>
      <c r="AF18" s="24">
        <f t="shared" si="35"/>
        <v>3739.3661542681357</v>
      </c>
      <c r="AG18" s="24">
        <f t="shared" si="35"/>
        <v>4594.3489660841133</v>
      </c>
      <c r="AH18" s="24">
        <f t="shared" si="35"/>
        <v>5644.8182797144145</v>
      </c>
      <c r="AI18" s="24">
        <f t="shared" si="35"/>
        <v>6935.470867846705</v>
      </c>
      <c r="AJ18" s="24">
        <f t="shared" si="35"/>
        <v>8521.2231422237855</v>
      </c>
      <c r="AK18" s="24">
        <f t="shared" si="35"/>
        <v>10469.547810546024</v>
      </c>
      <c r="AL18" s="24">
        <f t="shared" si="35"/>
        <v>12863.344795440216</v>
      </c>
      <c r="AM18" s="24">
        <f t="shared" si="35"/>
        <v>15804.468571193169</v>
      </c>
      <c r="AN18" s="24">
        <f t="shared" si="35"/>
        <v>19418.062004088923</v>
      </c>
      <c r="AO18" s="24">
        <f t="shared" si="35"/>
        <v>23857.881098382</v>
      </c>
      <c r="AP18" s="24">
        <f t="shared" si="35"/>
        <v>29312.837212316826</v>
      </c>
      <c r="AQ18" s="24">
        <f t="shared" si="35"/>
        <v>36015.035111146492</v>
      </c>
      <c r="AR18" s="24">
        <f t="shared" si="35"/>
        <v>44249.648870976547</v>
      </c>
      <c r="AS18" s="24">
        <f t="shared" si="35"/>
        <v>54367.055846593204</v>
      </c>
      <c r="AT18" s="24">
        <f t="shared" si="35"/>
        <v>66797.744995560512</v>
      </c>
      <c r="AU18" s="24">
        <f t="shared" si="35"/>
        <v>82070.633897890701</v>
      </c>
      <c r="AV18" s="24">
        <f t="shared" si="35"/>
        <v>100835.57384832775</v>
      </c>
      <c r="AW18" s="24">
        <f t="shared" si="35"/>
        <v>123891.00059799688</v>
      </c>
      <c r="AX18" s="24">
        <f t="shared" si="35"/>
        <v>152217.90726614094</v>
      </c>
      <c r="AY18" s="24">
        <f t="shared" si="35"/>
        <v>187021.58494680942</v>
      </c>
      <c r="AZ18" s="24">
        <f t="shared" si="35"/>
        <v>229782.90704563429</v>
      </c>
      <c r="BA18" s="24">
        <f t="shared" si="35"/>
        <v>282321.33946121484</v>
      </c>
      <c r="BB18" s="24">
        <f t="shared" si="35"/>
        <v>346872.35765254393</v>
      </c>
      <c r="BC18" s="24">
        <f t="shared" si="35"/>
        <v>426182.56463735679</v>
      </c>
      <c r="BD18" s="24">
        <f t="shared" si="35"/>
        <v>523626.5571291559</v>
      </c>
      <c r="BE18" s="24">
        <f t="shared" si="35"/>
        <v>643350.51238954335</v>
      </c>
      <c r="BF18" s="24">
        <f t="shared" si="35"/>
        <v>790448.60532120964</v>
      </c>
      <c r="BG18" s="24">
        <f t="shared" si="35"/>
        <v>971179.7622318964</v>
      </c>
      <c r="BH18" s="24">
        <f t="shared" si="35"/>
        <v>1193233.9739982521</v>
      </c>
      <c r="BI18" s="24">
        <f t="shared" si="35"/>
        <v>1466059.5000780991</v>
      </c>
      <c r="BJ18" s="24">
        <f t="shared" si="35"/>
        <v>1801264.8856848544</v>
      </c>
      <c r="BK18" s="24">
        <f t="shared" si="35"/>
        <v>2213112.8976882789</v>
      </c>
      <c r="BL18" s="24">
        <f t="shared" si="35"/>
        <v>2719127.3958865884</v>
      </c>
      <c r="BM18" s="24">
        <f t="shared" si="35"/>
        <v>3340838.9616201078</v>
      </c>
      <c r="BN18" s="24">
        <f t="shared" si="35"/>
        <v>3410777.7371359225</v>
      </c>
      <c r="BO18" s="24">
        <f t="shared" si="35"/>
        <v>3410777.7371359225</v>
      </c>
      <c r="BP18" s="24">
        <f t="shared" si="35"/>
        <v>3410777.7371359225</v>
      </c>
      <c r="BQ18" s="24">
        <f t="shared" si="35"/>
        <v>3410777.7371359225</v>
      </c>
      <c r="BR18" s="24">
        <f t="shared" si="35"/>
        <v>3410777.7371359225</v>
      </c>
      <c r="BS18" s="24">
        <f t="shared" si="35"/>
        <v>3410777.7371359225</v>
      </c>
      <c r="BT18" s="24">
        <f t="shared" ref="BT18:EE18" si="36">BT6*$C$15</f>
        <v>3410777.7371359225</v>
      </c>
      <c r="BU18" s="24">
        <f t="shared" si="36"/>
        <v>3410777.7371359225</v>
      </c>
      <c r="BV18" s="24">
        <f t="shared" si="36"/>
        <v>3410777.7371359225</v>
      </c>
      <c r="BW18" s="24">
        <f t="shared" si="36"/>
        <v>3410777.7371359225</v>
      </c>
      <c r="BX18" s="24">
        <f t="shared" si="36"/>
        <v>3410777.7371359225</v>
      </c>
      <c r="BY18" s="24">
        <f t="shared" si="36"/>
        <v>3410777.7371359225</v>
      </c>
      <c r="BZ18" s="24">
        <f t="shared" si="36"/>
        <v>3410777.7371359225</v>
      </c>
      <c r="CA18" s="24">
        <f t="shared" si="36"/>
        <v>3410777.7371359225</v>
      </c>
      <c r="CB18" s="24">
        <f t="shared" si="36"/>
        <v>3410777.7371359225</v>
      </c>
      <c r="CC18" s="24">
        <f t="shared" si="36"/>
        <v>3410777.7371359225</v>
      </c>
      <c r="CD18" s="24">
        <f t="shared" si="36"/>
        <v>3410777.7371359225</v>
      </c>
      <c r="CE18" s="24">
        <f t="shared" si="36"/>
        <v>3410777.7371359225</v>
      </c>
      <c r="CF18" s="24">
        <f t="shared" si="36"/>
        <v>3410777.7371359225</v>
      </c>
      <c r="CG18" s="24">
        <f t="shared" si="36"/>
        <v>3410777.7371359225</v>
      </c>
      <c r="CH18" s="24">
        <f t="shared" si="36"/>
        <v>3410777.7371359225</v>
      </c>
      <c r="CI18" s="24">
        <f t="shared" si="36"/>
        <v>3410777.7371359225</v>
      </c>
      <c r="CJ18" s="24">
        <f t="shared" si="36"/>
        <v>3410777.7371359225</v>
      </c>
      <c r="CK18" s="24">
        <f t="shared" si="36"/>
        <v>3410777.7371359225</v>
      </c>
      <c r="CL18" s="24">
        <f t="shared" si="36"/>
        <v>3410777.7371359225</v>
      </c>
      <c r="CM18" s="24">
        <f t="shared" si="36"/>
        <v>3410777.7371359225</v>
      </c>
      <c r="CN18" s="24">
        <f t="shared" si="36"/>
        <v>3410777.7371359225</v>
      </c>
      <c r="CO18" s="24">
        <f t="shared" si="36"/>
        <v>3410777.7371359225</v>
      </c>
      <c r="CP18" s="24">
        <f t="shared" si="36"/>
        <v>3410777.7371359225</v>
      </c>
      <c r="CQ18" s="24">
        <f t="shared" si="36"/>
        <v>3410777.7371359225</v>
      </c>
      <c r="CR18" s="24">
        <f t="shared" si="36"/>
        <v>3410777.7371359225</v>
      </c>
      <c r="CS18" s="24">
        <f t="shared" si="36"/>
        <v>3410777.7371359225</v>
      </c>
      <c r="CT18" s="24">
        <f t="shared" si="36"/>
        <v>3410777.7371359225</v>
      </c>
      <c r="CU18" s="24">
        <f t="shared" si="36"/>
        <v>3410777.7371359225</v>
      </c>
      <c r="CV18" s="24">
        <f t="shared" si="36"/>
        <v>3410777.7371359225</v>
      </c>
      <c r="CW18" s="24">
        <f t="shared" si="36"/>
        <v>3410777.7371359225</v>
      </c>
      <c r="CX18" s="24">
        <f t="shared" si="36"/>
        <v>3410777.7371359225</v>
      </c>
      <c r="CY18" s="24">
        <f t="shared" si="36"/>
        <v>3410777.7371359225</v>
      </c>
      <c r="CZ18" s="24">
        <f t="shared" si="36"/>
        <v>3410777.7371359225</v>
      </c>
      <c r="DA18" s="24">
        <f t="shared" si="36"/>
        <v>3410777.7371359225</v>
      </c>
      <c r="DB18" s="24">
        <f t="shared" si="36"/>
        <v>3410777.7371359225</v>
      </c>
      <c r="DC18" s="24">
        <f t="shared" si="36"/>
        <v>3410777.7371359225</v>
      </c>
      <c r="DD18" s="24">
        <f t="shared" si="36"/>
        <v>3410777.7371359225</v>
      </c>
      <c r="DE18" s="24">
        <f t="shared" si="36"/>
        <v>3410777.7371359225</v>
      </c>
      <c r="DF18" s="24">
        <f t="shared" si="36"/>
        <v>3410777.7371359225</v>
      </c>
      <c r="DG18" s="24">
        <f t="shared" si="36"/>
        <v>3410777.7371359225</v>
      </c>
      <c r="DH18" s="24">
        <f t="shared" si="36"/>
        <v>3410777.7371359225</v>
      </c>
      <c r="DI18" s="24">
        <f t="shared" si="36"/>
        <v>3410777.7371359225</v>
      </c>
      <c r="DJ18" s="24">
        <f t="shared" si="36"/>
        <v>3410777.7371359225</v>
      </c>
      <c r="DK18" s="24">
        <f t="shared" si="36"/>
        <v>3410777.7371359225</v>
      </c>
      <c r="DL18" s="24">
        <f t="shared" si="36"/>
        <v>3410777.7371359225</v>
      </c>
      <c r="DM18" s="24">
        <f t="shared" si="36"/>
        <v>3410777.7371359225</v>
      </c>
      <c r="DN18" s="24">
        <f t="shared" si="36"/>
        <v>3410777.7371359225</v>
      </c>
      <c r="DO18" s="24">
        <f t="shared" si="36"/>
        <v>3410777.7371359225</v>
      </c>
      <c r="DP18" s="24">
        <f t="shared" si="36"/>
        <v>3410777.7371359225</v>
      </c>
      <c r="DQ18" s="24">
        <f t="shared" si="36"/>
        <v>3410777.7371359225</v>
      </c>
      <c r="DR18" s="24">
        <f t="shared" si="36"/>
        <v>3410777.7371359225</v>
      </c>
      <c r="DS18" s="24">
        <f t="shared" si="36"/>
        <v>3410777.7371359225</v>
      </c>
      <c r="DT18" s="24">
        <f t="shared" si="36"/>
        <v>3410777.7371359225</v>
      </c>
      <c r="DU18" s="24">
        <f t="shared" si="36"/>
        <v>3410777.7371359225</v>
      </c>
      <c r="DV18" s="24">
        <f t="shared" si="36"/>
        <v>3410777.7371359225</v>
      </c>
      <c r="DW18" s="24">
        <f t="shared" si="36"/>
        <v>3410777.7371359225</v>
      </c>
      <c r="DX18" s="24">
        <f t="shared" si="36"/>
        <v>3410777.7371359225</v>
      </c>
      <c r="DY18" s="24">
        <f t="shared" si="36"/>
        <v>3410777.7371359225</v>
      </c>
      <c r="DZ18" s="24">
        <f t="shared" si="36"/>
        <v>3410777.7371359225</v>
      </c>
      <c r="EA18" s="24">
        <f t="shared" si="36"/>
        <v>3410777.7371359225</v>
      </c>
      <c r="EB18" s="24">
        <f t="shared" si="36"/>
        <v>3410777.7371359225</v>
      </c>
      <c r="EC18" s="24">
        <f t="shared" si="36"/>
        <v>3410777.7371359225</v>
      </c>
      <c r="ED18" s="24">
        <f t="shared" si="36"/>
        <v>3410777.7371359225</v>
      </c>
      <c r="EE18" s="24">
        <f t="shared" si="36"/>
        <v>3410777.7371359225</v>
      </c>
      <c r="EF18" s="24">
        <f t="shared" ref="EF18:GQ18" si="37">EF6*$C$15</f>
        <v>3410777.7371359225</v>
      </c>
      <c r="EG18" s="24">
        <f t="shared" si="37"/>
        <v>3410777.7371359225</v>
      </c>
      <c r="EH18" s="24">
        <f t="shared" si="37"/>
        <v>3410777.7371359225</v>
      </c>
      <c r="EI18" s="24">
        <f t="shared" si="37"/>
        <v>3410777.7371359225</v>
      </c>
      <c r="EJ18" s="24">
        <f t="shared" si="37"/>
        <v>3410777.7371359225</v>
      </c>
      <c r="EK18" s="24">
        <f t="shared" si="37"/>
        <v>3410777.7371359225</v>
      </c>
      <c r="EL18" s="24">
        <f t="shared" si="37"/>
        <v>3410777.7371359225</v>
      </c>
      <c r="EM18" s="24">
        <f t="shared" si="37"/>
        <v>3410777.7371359225</v>
      </c>
      <c r="EN18" s="24">
        <f t="shared" si="37"/>
        <v>3410777.7371359225</v>
      </c>
      <c r="EO18" s="24">
        <f t="shared" si="37"/>
        <v>3410777.7371359225</v>
      </c>
      <c r="EP18" s="24">
        <f t="shared" si="37"/>
        <v>3410777.7371359225</v>
      </c>
      <c r="EQ18" s="24">
        <f t="shared" si="37"/>
        <v>3410777.7371359225</v>
      </c>
      <c r="ER18" s="24">
        <f t="shared" si="37"/>
        <v>3410777.7371359225</v>
      </c>
      <c r="ES18" s="24">
        <f t="shared" si="37"/>
        <v>3410777.7371359225</v>
      </c>
      <c r="ET18" s="24">
        <f t="shared" si="37"/>
        <v>3410777.7371359225</v>
      </c>
      <c r="EU18" s="24">
        <f t="shared" si="37"/>
        <v>3410777.7371359225</v>
      </c>
      <c r="EV18" s="24">
        <f t="shared" si="37"/>
        <v>3410777.7371359225</v>
      </c>
      <c r="EW18" s="24">
        <f t="shared" si="37"/>
        <v>3410777.7371359225</v>
      </c>
      <c r="EX18" s="24">
        <f t="shared" si="37"/>
        <v>3410777.7371359225</v>
      </c>
      <c r="EY18" s="24">
        <f t="shared" si="37"/>
        <v>3410777.7371359225</v>
      </c>
      <c r="EZ18" s="24">
        <f t="shared" si="37"/>
        <v>3410777.7371359225</v>
      </c>
      <c r="FA18" s="24">
        <f t="shared" si="37"/>
        <v>3410777.7371359225</v>
      </c>
      <c r="FB18" s="24">
        <f t="shared" si="37"/>
        <v>3410777.7371359225</v>
      </c>
      <c r="FC18" s="24">
        <f t="shared" si="37"/>
        <v>3410777.7371359225</v>
      </c>
      <c r="FD18" s="24">
        <f t="shared" si="37"/>
        <v>3410777.7371359225</v>
      </c>
      <c r="FE18" s="24">
        <f t="shared" si="37"/>
        <v>3410777.7371359225</v>
      </c>
      <c r="FF18" s="24">
        <f t="shared" si="37"/>
        <v>3410777.7371359225</v>
      </c>
      <c r="FG18" s="24">
        <f t="shared" si="37"/>
        <v>3410777.7371359225</v>
      </c>
      <c r="FH18" s="24">
        <f t="shared" si="37"/>
        <v>3410777.7371359225</v>
      </c>
      <c r="FI18" s="24">
        <f t="shared" si="37"/>
        <v>3410777.7371359225</v>
      </c>
      <c r="FJ18" s="24">
        <f t="shared" si="37"/>
        <v>3410777.7371359225</v>
      </c>
      <c r="FK18" s="24">
        <f t="shared" si="37"/>
        <v>3410777.7371359225</v>
      </c>
      <c r="FL18" s="24">
        <f t="shared" si="37"/>
        <v>3410777.7371359225</v>
      </c>
      <c r="FM18" s="24">
        <f t="shared" si="37"/>
        <v>3410777.7371359225</v>
      </c>
      <c r="FN18" s="24">
        <f t="shared" si="37"/>
        <v>3410777.7371359225</v>
      </c>
      <c r="FO18" s="24">
        <f t="shared" si="37"/>
        <v>3410777.7371359225</v>
      </c>
      <c r="FP18" s="24">
        <f t="shared" si="37"/>
        <v>3410777.7371359225</v>
      </c>
      <c r="FQ18" s="24">
        <f t="shared" si="37"/>
        <v>3410777.7371359225</v>
      </c>
      <c r="FR18" s="24">
        <f t="shared" si="37"/>
        <v>3410777.7371359225</v>
      </c>
      <c r="FS18" s="24">
        <f t="shared" si="37"/>
        <v>3410777.7371359225</v>
      </c>
      <c r="FT18" s="24">
        <f t="shared" si="37"/>
        <v>3410777.7371359225</v>
      </c>
      <c r="FU18" s="24">
        <f t="shared" si="37"/>
        <v>3410777.7371359225</v>
      </c>
      <c r="FV18" s="24">
        <f t="shared" si="37"/>
        <v>3410777.7371359225</v>
      </c>
      <c r="FW18" s="24">
        <f t="shared" si="37"/>
        <v>3410777.7371359225</v>
      </c>
      <c r="FX18" s="24">
        <f t="shared" si="37"/>
        <v>3410777.7371359225</v>
      </c>
      <c r="FY18" s="24">
        <f t="shared" si="37"/>
        <v>3410777.7371359225</v>
      </c>
      <c r="FZ18" s="24">
        <f t="shared" si="37"/>
        <v>3410777.7371359225</v>
      </c>
      <c r="GA18" s="24">
        <f t="shared" si="37"/>
        <v>3410777.7371359225</v>
      </c>
      <c r="GB18" s="24">
        <f t="shared" si="37"/>
        <v>3410777.7371359225</v>
      </c>
      <c r="GC18" s="24">
        <f t="shared" si="37"/>
        <v>3410777.7371359225</v>
      </c>
      <c r="GD18" s="24">
        <f t="shared" si="37"/>
        <v>3410777.7371359225</v>
      </c>
      <c r="GE18" s="24">
        <f t="shared" si="37"/>
        <v>3410777.7371359225</v>
      </c>
      <c r="GF18" s="24">
        <f t="shared" si="37"/>
        <v>3410777.7371359225</v>
      </c>
      <c r="GG18" s="24">
        <f t="shared" si="37"/>
        <v>3410777.7371359225</v>
      </c>
      <c r="GH18" s="24">
        <f t="shared" si="37"/>
        <v>3410777.7371359225</v>
      </c>
      <c r="GI18" s="24">
        <f t="shared" si="37"/>
        <v>3410777.7371359225</v>
      </c>
      <c r="GJ18" s="24">
        <f t="shared" si="37"/>
        <v>3410777.7371359225</v>
      </c>
      <c r="GK18" s="24">
        <f t="shared" si="37"/>
        <v>3410777.7371359225</v>
      </c>
      <c r="GL18" s="24">
        <f t="shared" si="37"/>
        <v>3410777.7371359225</v>
      </c>
      <c r="GM18" s="24">
        <f t="shared" si="37"/>
        <v>3410777.7371359225</v>
      </c>
      <c r="GN18" s="24">
        <f t="shared" si="37"/>
        <v>3410777.7371359225</v>
      </c>
      <c r="GO18" s="24">
        <f t="shared" si="37"/>
        <v>3410777.7371359225</v>
      </c>
      <c r="GP18" s="24">
        <f t="shared" si="37"/>
        <v>3410777.7371359225</v>
      </c>
      <c r="GQ18" s="24">
        <f t="shared" si="37"/>
        <v>3410777.7371359225</v>
      </c>
      <c r="GR18" s="24">
        <f t="shared" ref="GR18:IN18" si="38">GR6*$C$15</f>
        <v>3410777.7371359225</v>
      </c>
      <c r="GS18" s="24">
        <f t="shared" si="38"/>
        <v>3410777.7371359225</v>
      </c>
      <c r="GT18" s="24">
        <f t="shared" si="38"/>
        <v>3410777.7371359225</v>
      </c>
      <c r="GU18" s="24">
        <f t="shared" si="38"/>
        <v>3410777.7371359225</v>
      </c>
      <c r="GV18" s="24">
        <f t="shared" si="38"/>
        <v>3410777.7371359225</v>
      </c>
      <c r="GW18" s="24">
        <f t="shared" si="38"/>
        <v>3410777.7371359225</v>
      </c>
      <c r="GX18" s="24">
        <f t="shared" si="38"/>
        <v>3410777.7371359225</v>
      </c>
      <c r="GY18" s="24">
        <f t="shared" si="38"/>
        <v>3410777.7371359225</v>
      </c>
      <c r="GZ18" s="24">
        <f t="shared" si="38"/>
        <v>3410777.7371359225</v>
      </c>
      <c r="HA18" s="24">
        <f t="shared" si="38"/>
        <v>3410777.7371359225</v>
      </c>
      <c r="HB18" s="24">
        <f t="shared" si="38"/>
        <v>3410777.7371359225</v>
      </c>
      <c r="HC18" s="24">
        <f t="shared" si="38"/>
        <v>3410777.7371359225</v>
      </c>
      <c r="HD18" s="24">
        <f t="shared" si="38"/>
        <v>3410777.7371359225</v>
      </c>
      <c r="HE18" s="24">
        <f t="shared" si="38"/>
        <v>3410777.7371359225</v>
      </c>
      <c r="HF18" s="24">
        <f t="shared" si="38"/>
        <v>3410777.7371359225</v>
      </c>
      <c r="HG18" s="24">
        <f t="shared" si="38"/>
        <v>3410777.7371359225</v>
      </c>
      <c r="HH18" s="24">
        <f t="shared" si="38"/>
        <v>3410777.7371359225</v>
      </c>
      <c r="HI18" s="24">
        <f t="shared" si="38"/>
        <v>3410777.7371359225</v>
      </c>
      <c r="HJ18" s="24">
        <f t="shared" si="38"/>
        <v>3410777.7371359225</v>
      </c>
      <c r="HK18" s="24">
        <f t="shared" si="38"/>
        <v>3410777.7371359225</v>
      </c>
      <c r="HL18" s="24">
        <f t="shared" si="38"/>
        <v>3410777.7371359225</v>
      </c>
      <c r="HM18" s="24">
        <f t="shared" si="38"/>
        <v>3410777.7371359225</v>
      </c>
      <c r="HN18" s="24">
        <f t="shared" si="38"/>
        <v>3410777.7371359225</v>
      </c>
      <c r="HO18" s="24">
        <f t="shared" si="38"/>
        <v>3410777.7371359225</v>
      </c>
      <c r="HP18" s="24">
        <f t="shared" si="38"/>
        <v>3410777.7371359225</v>
      </c>
      <c r="HQ18" s="24">
        <f t="shared" si="38"/>
        <v>3410777.7371359225</v>
      </c>
      <c r="HR18" s="24">
        <f t="shared" si="38"/>
        <v>3410777.7371359225</v>
      </c>
      <c r="HS18" s="24">
        <f t="shared" si="38"/>
        <v>3410777.7371359225</v>
      </c>
      <c r="HT18" s="24">
        <f t="shared" si="38"/>
        <v>3410777.7371359225</v>
      </c>
      <c r="HU18" s="24">
        <f t="shared" si="38"/>
        <v>3410777.7371359225</v>
      </c>
      <c r="HV18" s="24">
        <f t="shared" si="38"/>
        <v>3410777.7371359225</v>
      </c>
      <c r="HW18" s="24">
        <f t="shared" si="38"/>
        <v>3410777.7371359225</v>
      </c>
      <c r="HX18" s="24">
        <f t="shared" si="38"/>
        <v>3410777.7371359225</v>
      </c>
      <c r="HY18" s="24">
        <f t="shared" si="38"/>
        <v>3410777.7371359225</v>
      </c>
      <c r="HZ18" s="24">
        <f t="shared" si="38"/>
        <v>3410777.7371359225</v>
      </c>
      <c r="IA18" s="24">
        <f t="shared" si="38"/>
        <v>3410777.7371359225</v>
      </c>
      <c r="IB18" s="24">
        <f t="shared" si="38"/>
        <v>3410777.7371359225</v>
      </c>
      <c r="IC18" s="24">
        <f t="shared" si="38"/>
        <v>3410777.7371359225</v>
      </c>
      <c r="ID18" s="24">
        <f t="shared" si="38"/>
        <v>3410777.7371359225</v>
      </c>
      <c r="IE18" s="24">
        <f t="shared" si="38"/>
        <v>3410777.7371359225</v>
      </c>
      <c r="IF18" s="24">
        <f t="shared" si="38"/>
        <v>3410777.7371359225</v>
      </c>
      <c r="IG18" s="24">
        <f t="shared" si="38"/>
        <v>3410777.7371359225</v>
      </c>
      <c r="IH18" s="24">
        <f t="shared" si="38"/>
        <v>3410777.7371359225</v>
      </c>
      <c r="II18" s="24">
        <f t="shared" si="38"/>
        <v>3410777.7371359225</v>
      </c>
      <c r="IJ18" s="24">
        <f t="shared" si="38"/>
        <v>3410777.7371359225</v>
      </c>
      <c r="IK18" s="24">
        <f t="shared" si="38"/>
        <v>3410777.7371359225</v>
      </c>
      <c r="IL18" s="24">
        <f t="shared" si="38"/>
        <v>3410777.7371359225</v>
      </c>
      <c r="IM18" s="24">
        <f t="shared" si="38"/>
        <v>3410777.7371359225</v>
      </c>
      <c r="IN18" s="24">
        <f t="shared" si="38"/>
        <v>3410777.7371359225</v>
      </c>
    </row>
    <row r="19" spans="2:248" x14ac:dyDescent="0.3">
      <c r="B19" s="19" t="s">
        <v>481</v>
      </c>
      <c r="C19" s="42">
        <f>VLOOKUP(B2,Country_Data!B:K,10,FALSE)</f>
        <v>67886011</v>
      </c>
      <c r="F19" s="22" t="s">
        <v>499</v>
      </c>
      <c r="G19" s="24">
        <f>G9*$C$15</f>
        <v>13.43992718446602</v>
      </c>
      <c r="H19" s="24">
        <f t="shared" ref="H19:BS19" si="39">H9*$C$15</f>
        <v>19.343446601941746</v>
      </c>
      <c r="I19" s="24">
        <f t="shared" si="39"/>
        <v>23.488470873786408</v>
      </c>
      <c r="J19" s="24">
        <f t="shared" si="39"/>
        <v>31.778519417475728</v>
      </c>
      <c r="K19" s="24">
        <f t="shared" si="39"/>
        <v>37.682038834951456</v>
      </c>
      <c r="L19" s="24">
        <f t="shared" si="39"/>
        <v>45.092839805825243</v>
      </c>
      <c r="M19" s="24">
        <f t="shared" si="39"/>
        <v>54.262135922330096</v>
      </c>
      <c r="N19" s="24">
        <f t="shared" si="39"/>
        <v>70.716626213592235</v>
      </c>
      <c r="O19" s="24">
        <f t="shared" si="39"/>
        <v>97.345266990291265</v>
      </c>
      <c r="P19" s="24">
        <f t="shared" si="39"/>
        <v>138.66990291262135</v>
      </c>
      <c r="Q19" s="24">
        <f t="shared" si="39"/>
        <v>165.17293689320388</v>
      </c>
      <c r="R19" s="24">
        <f t="shared" si="39"/>
        <v>185.14441747572815</v>
      </c>
      <c r="S19" s="24">
        <f t="shared" si="39"/>
        <v>232.49817961165047</v>
      </c>
      <c r="T19" s="24">
        <f t="shared" si="39"/>
        <v>314.39381067961165</v>
      </c>
      <c r="U19" s="24">
        <f t="shared" si="39"/>
        <v>388.25060679611653</v>
      </c>
      <c r="V19" s="24">
        <f t="shared" si="39"/>
        <v>427.07566747572821</v>
      </c>
      <c r="W19" s="24">
        <f t="shared" si="39"/>
        <v>469.78323422330106</v>
      </c>
      <c r="X19" s="24">
        <f t="shared" si="39"/>
        <v>516.76155764563123</v>
      </c>
      <c r="Y19" s="24">
        <f t="shared" si="39"/>
        <v>568.43771341019431</v>
      </c>
      <c r="Z19" s="24">
        <f t="shared" si="39"/>
        <v>625.28148475121384</v>
      </c>
      <c r="AA19" s="24">
        <f t="shared" si="39"/>
        <v>687.80963322633522</v>
      </c>
      <c r="AB19" s="24">
        <f t="shared" si="39"/>
        <v>756.59059654896885</v>
      </c>
      <c r="AC19" s="24">
        <f t="shared" si="39"/>
        <v>832.24965620386581</v>
      </c>
      <c r="AD19" s="24">
        <f t="shared" si="39"/>
        <v>915.47462182425249</v>
      </c>
      <c r="AE19" s="24">
        <f t="shared" si="39"/>
        <v>1007.0220840066778</v>
      </c>
      <c r="AF19" s="24">
        <f t="shared" si="39"/>
        <v>1107.7242924073457</v>
      </c>
      <c r="AG19" s="24">
        <f t="shared" si="39"/>
        <v>1218.4967216480804</v>
      </c>
      <c r="AH19" s="24">
        <f t="shared" si="39"/>
        <v>1340.3463938128884</v>
      </c>
      <c r="AI19" s="24">
        <f t="shared" si="39"/>
        <v>1474.3810331941775</v>
      </c>
      <c r="AJ19" s="24">
        <f t="shared" si="39"/>
        <v>1621.8191365135954</v>
      </c>
      <c r="AK19" s="24">
        <f t="shared" si="39"/>
        <v>1784.0010501649551</v>
      </c>
      <c r="AL19" s="24">
        <f t="shared" si="39"/>
        <v>1962.4011551814508</v>
      </c>
      <c r="AM19" s="24">
        <f t="shared" si="39"/>
        <v>2158.6412706995961</v>
      </c>
      <c r="AN19" s="24">
        <f t="shared" si="39"/>
        <v>2374.5053977695561</v>
      </c>
      <c r="AO19" s="24">
        <f t="shared" si="39"/>
        <v>2611.9559375465114</v>
      </c>
      <c r="AP19" s="24">
        <f t="shared" si="39"/>
        <v>2873.1515313011632</v>
      </c>
      <c r="AQ19" s="24">
        <f t="shared" si="39"/>
        <v>3160.4666844312801</v>
      </c>
      <c r="AR19" s="24">
        <f t="shared" si="39"/>
        <v>3476.5133528744086</v>
      </c>
      <c r="AS19" s="24">
        <f t="shared" si="39"/>
        <v>3824.1646881618494</v>
      </c>
      <c r="AT19" s="24">
        <f t="shared" si="39"/>
        <v>4206.5811569780353</v>
      </c>
      <c r="AU19" s="24">
        <f t="shared" si="39"/>
        <v>4627.2392726758389</v>
      </c>
      <c r="AV19" s="24">
        <f t="shared" si="39"/>
        <v>5089.9631999434232</v>
      </c>
      <c r="AW19" s="24">
        <f t="shared" si="39"/>
        <v>5598.9595199377663</v>
      </c>
      <c r="AX19" s="24">
        <f t="shared" si="39"/>
        <v>6158.8554719315434</v>
      </c>
      <c r="AY19" s="24">
        <f t="shared" si="39"/>
        <v>6774.7410191246981</v>
      </c>
      <c r="AZ19" s="24">
        <f t="shared" si="39"/>
        <v>7452.2151210371685</v>
      </c>
      <c r="BA19" s="24">
        <f t="shared" si="39"/>
        <v>8197.4366331408855</v>
      </c>
      <c r="BB19" s="24">
        <f t="shared" si="39"/>
        <v>9017.1802964549752</v>
      </c>
      <c r="BC19" s="24">
        <f t="shared" si="39"/>
        <v>9918.8983261004723</v>
      </c>
      <c r="BD19" s="24">
        <f t="shared" si="39"/>
        <v>10910.78815871052</v>
      </c>
      <c r="BE19" s="24">
        <f t="shared" si="39"/>
        <v>12001.866974581573</v>
      </c>
      <c r="BF19" s="24">
        <f t="shared" si="39"/>
        <v>13202.05367203973</v>
      </c>
      <c r="BG19" s="24">
        <f t="shared" si="39"/>
        <v>14522.259039243705</v>
      </c>
      <c r="BH19" s="24">
        <f t="shared" si="39"/>
        <v>15974.484943168078</v>
      </c>
      <c r="BI19" s="24">
        <f t="shared" si="39"/>
        <v>17571.933437484884</v>
      </c>
      <c r="BJ19" s="24">
        <f t="shared" si="39"/>
        <v>19329.126781233375</v>
      </c>
      <c r="BK19" s="24">
        <f t="shared" si="39"/>
        <v>21262.039459356718</v>
      </c>
      <c r="BL19" s="24">
        <f t="shared" si="39"/>
        <v>23388.243405292389</v>
      </c>
      <c r="BM19" s="24">
        <f t="shared" si="39"/>
        <v>25727.067745821634</v>
      </c>
      <c r="BN19" s="24">
        <f t="shared" si="39"/>
        <v>28299.7745204038</v>
      </c>
      <c r="BO19" s="24">
        <f t="shared" si="39"/>
        <v>31129.751972444181</v>
      </c>
      <c r="BP19" s="24">
        <f t="shared" si="39"/>
        <v>34242.727169688602</v>
      </c>
      <c r="BQ19" s="24">
        <f t="shared" si="39"/>
        <v>37666.999886657468</v>
      </c>
      <c r="BR19" s="24">
        <f t="shared" si="39"/>
        <v>41433.699875323218</v>
      </c>
      <c r="BS19" s="24">
        <f t="shared" si="39"/>
        <v>45577.069862855547</v>
      </c>
      <c r="BT19" s="24">
        <f t="shared" ref="BT19:EE19" si="40">BT9*$C$15</f>
        <v>50134.776849141104</v>
      </c>
      <c r="BU19" s="24">
        <f t="shared" si="40"/>
        <v>55148.254534055217</v>
      </c>
      <c r="BV19" s="24">
        <f t="shared" si="40"/>
        <v>60663.07998746074</v>
      </c>
      <c r="BW19" s="24">
        <f t="shared" si="40"/>
        <v>66729.387986206828</v>
      </c>
      <c r="BX19" s="24">
        <f t="shared" si="40"/>
        <v>73402.326784827514</v>
      </c>
      <c r="BY19" s="24">
        <f t="shared" si="40"/>
        <v>80742.559463310274</v>
      </c>
      <c r="BZ19" s="24">
        <f t="shared" si="40"/>
        <v>88816.815409641305</v>
      </c>
      <c r="CA19" s="24">
        <f t="shared" si="40"/>
        <v>97698.496950605448</v>
      </c>
      <c r="CB19" s="24">
        <f t="shared" si="40"/>
        <v>107468.346645666</v>
      </c>
      <c r="CC19" s="24">
        <f t="shared" si="40"/>
        <v>118215.18131023261</v>
      </c>
      <c r="CD19" s="24">
        <f t="shared" si="40"/>
        <v>130036.69944125589</v>
      </c>
      <c r="CE19" s="24">
        <f t="shared" si="40"/>
        <v>143040.36938538149</v>
      </c>
      <c r="CF19" s="24">
        <f t="shared" si="40"/>
        <v>157344.40632391965</v>
      </c>
      <c r="CG19" s="24">
        <f t="shared" si="40"/>
        <v>173078.84695631164</v>
      </c>
      <c r="CH19" s="24">
        <f t="shared" si="40"/>
        <v>190386.73165194283</v>
      </c>
      <c r="CI19" s="24">
        <f t="shared" si="40"/>
        <v>209425.40481713714</v>
      </c>
      <c r="CJ19" s="24">
        <f t="shared" si="40"/>
        <v>230367.94529885086</v>
      </c>
      <c r="CK19" s="24">
        <f t="shared" si="40"/>
        <v>253404.73982873597</v>
      </c>
      <c r="CL19" s="24">
        <f t="shared" si="40"/>
        <v>278745.21381160954</v>
      </c>
      <c r="CM19" s="24">
        <f t="shared" si="40"/>
        <v>306619.73519277055</v>
      </c>
      <c r="CN19" s="24">
        <f t="shared" si="40"/>
        <v>337281.70871204766</v>
      </c>
      <c r="CO19" s="24">
        <f t="shared" si="40"/>
        <v>371009.87958325248</v>
      </c>
      <c r="CP19" s="24">
        <f t="shared" si="40"/>
        <v>408110.86754157773</v>
      </c>
      <c r="CQ19" s="24">
        <f t="shared" si="40"/>
        <v>448921.95429573552</v>
      </c>
      <c r="CR19" s="24">
        <f t="shared" si="40"/>
        <v>493814.14972530911</v>
      </c>
      <c r="CS19" s="24">
        <f t="shared" si="40"/>
        <v>543195.56469784002</v>
      </c>
      <c r="CT19" s="24">
        <f t="shared" si="40"/>
        <v>597515.12116762414</v>
      </c>
      <c r="CU19" s="24">
        <f t="shared" si="40"/>
        <v>657266.6332843866</v>
      </c>
      <c r="CV19" s="24">
        <f t="shared" si="40"/>
        <v>722993.29661282536</v>
      </c>
      <c r="CW19" s="24">
        <f t="shared" si="40"/>
        <v>795292.62627410796</v>
      </c>
      <c r="CX19" s="24">
        <f t="shared" si="40"/>
        <v>874821.88890151877</v>
      </c>
      <c r="CY19" s="24">
        <f t="shared" si="40"/>
        <v>962304.07779167069</v>
      </c>
      <c r="CZ19" s="24">
        <f t="shared" si="40"/>
        <v>1058534.485570838</v>
      </c>
      <c r="DA19" s="24">
        <f t="shared" si="40"/>
        <v>1164387.9341279219</v>
      </c>
      <c r="DB19" s="24">
        <f t="shared" si="40"/>
        <v>1280826.7275407142</v>
      </c>
      <c r="DC19" s="24">
        <f t="shared" si="40"/>
        <v>1408909.4002947859</v>
      </c>
      <c r="DD19" s="24">
        <f t="shared" si="40"/>
        <v>1549800.3403242645</v>
      </c>
      <c r="DE19" s="24">
        <f t="shared" si="40"/>
        <v>1704780.374356691</v>
      </c>
      <c r="DF19" s="24">
        <f t="shared" si="40"/>
        <v>1875258.4117923602</v>
      </c>
      <c r="DG19" s="24">
        <f t="shared" si="40"/>
        <v>2062784.2529715963</v>
      </c>
      <c r="DH19" s="24">
        <f t="shared" si="40"/>
        <v>2269062.6782687563</v>
      </c>
      <c r="DI19" s="24">
        <f t="shared" si="40"/>
        <v>2495968.9460956324</v>
      </c>
      <c r="DJ19" s="24">
        <f t="shared" si="40"/>
        <v>2745565.8407051959</v>
      </c>
      <c r="DK19" s="24">
        <f t="shared" si="40"/>
        <v>3020122.4247757155</v>
      </c>
      <c r="DL19" s="24">
        <f t="shared" si="40"/>
        <v>3322134.667253287</v>
      </c>
      <c r="DM19" s="24">
        <f t="shared" si="40"/>
        <v>3410777.7371359225</v>
      </c>
      <c r="DN19" s="24">
        <f t="shared" si="40"/>
        <v>3410777.7371359225</v>
      </c>
      <c r="DO19" s="24">
        <f t="shared" si="40"/>
        <v>3410777.7371359225</v>
      </c>
      <c r="DP19" s="24">
        <f t="shared" si="40"/>
        <v>3410777.7371359225</v>
      </c>
      <c r="DQ19" s="24">
        <f t="shared" si="40"/>
        <v>3410777.7371359225</v>
      </c>
      <c r="DR19" s="24">
        <f t="shared" si="40"/>
        <v>3410777.7371359225</v>
      </c>
      <c r="DS19" s="24">
        <f t="shared" si="40"/>
        <v>3410777.7371359225</v>
      </c>
      <c r="DT19" s="24">
        <f t="shared" si="40"/>
        <v>3410777.7371359225</v>
      </c>
      <c r="DU19" s="24">
        <f t="shared" si="40"/>
        <v>3410777.7371359225</v>
      </c>
      <c r="DV19" s="24">
        <f t="shared" si="40"/>
        <v>3410777.7371359225</v>
      </c>
      <c r="DW19" s="24">
        <f t="shared" si="40"/>
        <v>3410777.7371359225</v>
      </c>
      <c r="DX19" s="24">
        <f t="shared" si="40"/>
        <v>3410777.7371359225</v>
      </c>
      <c r="DY19" s="24">
        <f t="shared" si="40"/>
        <v>3410777.7371359225</v>
      </c>
      <c r="DZ19" s="24">
        <f t="shared" si="40"/>
        <v>3410777.7371359225</v>
      </c>
      <c r="EA19" s="24">
        <f t="shared" si="40"/>
        <v>3410777.7371359225</v>
      </c>
      <c r="EB19" s="24">
        <f t="shared" si="40"/>
        <v>3410777.7371359225</v>
      </c>
      <c r="EC19" s="24">
        <f t="shared" si="40"/>
        <v>3410777.7371359225</v>
      </c>
      <c r="ED19" s="24">
        <f t="shared" si="40"/>
        <v>3410777.7371359225</v>
      </c>
      <c r="EE19" s="24">
        <f t="shared" si="40"/>
        <v>3410777.7371359225</v>
      </c>
      <c r="EF19" s="24">
        <f t="shared" ref="EF19:GQ19" si="41">EF9*$C$15</f>
        <v>3410777.7371359225</v>
      </c>
      <c r="EG19" s="24">
        <f t="shared" si="41"/>
        <v>3410777.7371359225</v>
      </c>
      <c r="EH19" s="24">
        <f t="shared" si="41"/>
        <v>3410777.7371359225</v>
      </c>
      <c r="EI19" s="24">
        <f t="shared" si="41"/>
        <v>3410777.7371359225</v>
      </c>
      <c r="EJ19" s="24">
        <f t="shared" si="41"/>
        <v>3410777.7371359225</v>
      </c>
      <c r="EK19" s="24">
        <f t="shared" si="41"/>
        <v>3410777.7371359225</v>
      </c>
      <c r="EL19" s="24">
        <f t="shared" si="41"/>
        <v>3410777.7371359225</v>
      </c>
      <c r="EM19" s="24">
        <f t="shared" si="41"/>
        <v>3410777.7371359225</v>
      </c>
      <c r="EN19" s="24">
        <f t="shared" si="41"/>
        <v>3410777.7371359225</v>
      </c>
      <c r="EO19" s="24">
        <f t="shared" si="41"/>
        <v>3410777.7371359225</v>
      </c>
      <c r="EP19" s="24">
        <f t="shared" si="41"/>
        <v>3410777.7371359225</v>
      </c>
      <c r="EQ19" s="24">
        <f t="shared" si="41"/>
        <v>3410777.7371359225</v>
      </c>
      <c r="ER19" s="24">
        <f t="shared" si="41"/>
        <v>3410777.7371359225</v>
      </c>
      <c r="ES19" s="24">
        <f t="shared" si="41"/>
        <v>3410777.7371359225</v>
      </c>
      <c r="ET19" s="24">
        <f t="shared" si="41"/>
        <v>3410777.7371359225</v>
      </c>
      <c r="EU19" s="24">
        <f t="shared" si="41"/>
        <v>3410777.7371359225</v>
      </c>
      <c r="EV19" s="24">
        <f t="shared" si="41"/>
        <v>3410777.7371359225</v>
      </c>
      <c r="EW19" s="24">
        <f t="shared" si="41"/>
        <v>3410777.7371359225</v>
      </c>
      <c r="EX19" s="24">
        <f t="shared" si="41"/>
        <v>3410777.7371359225</v>
      </c>
      <c r="EY19" s="24">
        <f t="shared" si="41"/>
        <v>3410777.7371359225</v>
      </c>
      <c r="EZ19" s="24">
        <f t="shared" si="41"/>
        <v>3410777.7371359225</v>
      </c>
      <c r="FA19" s="24">
        <f t="shared" si="41"/>
        <v>3410777.7371359225</v>
      </c>
      <c r="FB19" s="24">
        <f t="shared" si="41"/>
        <v>3410777.7371359225</v>
      </c>
      <c r="FC19" s="24">
        <f t="shared" si="41"/>
        <v>3410777.7371359225</v>
      </c>
      <c r="FD19" s="24">
        <f t="shared" si="41"/>
        <v>3410777.7371359225</v>
      </c>
      <c r="FE19" s="24">
        <f t="shared" si="41"/>
        <v>3410777.7371359225</v>
      </c>
      <c r="FF19" s="24">
        <f t="shared" si="41"/>
        <v>3410777.7371359225</v>
      </c>
      <c r="FG19" s="24">
        <f t="shared" si="41"/>
        <v>3410777.7371359225</v>
      </c>
      <c r="FH19" s="24">
        <f t="shared" si="41"/>
        <v>3410777.7371359225</v>
      </c>
      <c r="FI19" s="24">
        <f t="shared" si="41"/>
        <v>3410777.7371359225</v>
      </c>
      <c r="FJ19" s="24">
        <f t="shared" si="41"/>
        <v>3410777.7371359225</v>
      </c>
      <c r="FK19" s="24">
        <f t="shared" si="41"/>
        <v>3410777.7371359225</v>
      </c>
      <c r="FL19" s="24">
        <f t="shared" si="41"/>
        <v>3410777.7371359225</v>
      </c>
      <c r="FM19" s="24">
        <f t="shared" si="41"/>
        <v>3410777.7371359225</v>
      </c>
      <c r="FN19" s="24">
        <f t="shared" si="41"/>
        <v>3410777.7371359225</v>
      </c>
      <c r="FO19" s="24">
        <f t="shared" si="41"/>
        <v>3410777.7371359225</v>
      </c>
      <c r="FP19" s="24">
        <f t="shared" si="41"/>
        <v>3410777.7371359225</v>
      </c>
      <c r="FQ19" s="24">
        <f t="shared" si="41"/>
        <v>3410777.7371359225</v>
      </c>
      <c r="FR19" s="24">
        <f t="shared" si="41"/>
        <v>3410777.7371359225</v>
      </c>
      <c r="FS19" s="24">
        <f t="shared" si="41"/>
        <v>3410777.7371359225</v>
      </c>
      <c r="FT19" s="24">
        <f t="shared" si="41"/>
        <v>3410777.7371359225</v>
      </c>
      <c r="FU19" s="24">
        <f t="shared" si="41"/>
        <v>3410777.7371359225</v>
      </c>
      <c r="FV19" s="24">
        <f t="shared" si="41"/>
        <v>3410777.7371359225</v>
      </c>
      <c r="FW19" s="24">
        <f t="shared" si="41"/>
        <v>3410777.7371359225</v>
      </c>
      <c r="FX19" s="24">
        <f t="shared" si="41"/>
        <v>3410777.7371359225</v>
      </c>
      <c r="FY19" s="24">
        <f t="shared" si="41"/>
        <v>3410777.7371359225</v>
      </c>
      <c r="FZ19" s="24">
        <f t="shared" si="41"/>
        <v>3410777.7371359225</v>
      </c>
      <c r="GA19" s="24">
        <f t="shared" si="41"/>
        <v>3410777.7371359225</v>
      </c>
      <c r="GB19" s="24">
        <f t="shared" si="41"/>
        <v>3410777.7371359225</v>
      </c>
      <c r="GC19" s="24">
        <f t="shared" si="41"/>
        <v>3410777.7371359225</v>
      </c>
      <c r="GD19" s="24">
        <f t="shared" si="41"/>
        <v>3410777.7371359225</v>
      </c>
      <c r="GE19" s="24">
        <f t="shared" si="41"/>
        <v>3410777.7371359225</v>
      </c>
      <c r="GF19" s="24">
        <f t="shared" si="41"/>
        <v>3410777.7371359225</v>
      </c>
      <c r="GG19" s="24">
        <f t="shared" si="41"/>
        <v>3410777.7371359225</v>
      </c>
      <c r="GH19" s="24">
        <f t="shared" si="41"/>
        <v>3410777.7371359225</v>
      </c>
      <c r="GI19" s="24">
        <f t="shared" si="41"/>
        <v>3410777.7371359225</v>
      </c>
      <c r="GJ19" s="24">
        <f t="shared" si="41"/>
        <v>3410777.7371359225</v>
      </c>
      <c r="GK19" s="24">
        <f t="shared" si="41"/>
        <v>3410777.7371359225</v>
      </c>
      <c r="GL19" s="24">
        <f t="shared" si="41"/>
        <v>3410777.7371359225</v>
      </c>
      <c r="GM19" s="24">
        <f t="shared" si="41"/>
        <v>3410777.7371359225</v>
      </c>
      <c r="GN19" s="24">
        <f t="shared" si="41"/>
        <v>3410777.7371359225</v>
      </c>
      <c r="GO19" s="24">
        <f t="shared" si="41"/>
        <v>3410777.7371359225</v>
      </c>
      <c r="GP19" s="24">
        <f t="shared" si="41"/>
        <v>3410777.7371359225</v>
      </c>
      <c r="GQ19" s="24">
        <f t="shared" si="41"/>
        <v>3410777.7371359225</v>
      </c>
      <c r="GR19" s="24">
        <f t="shared" ref="GR19:IN19" si="42">GR9*$C$15</f>
        <v>3410777.7371359225</v>
      </c>
      <c r="GS19" s="24">
        <f t="shared" si="42"/>
        <v>3410777.7371359225</v>
      </c>
      <c r="GT19" s="24">
        <f t="shared" si="42"/>
        <v>3410777.7371359225</v>
      </c>
      <c r="GU19" s="24">
        <f t="shared" si="42"/>
        <v>3410777.7371359225</v>
      </c>
      <c r="GV19" s="24">
        <f t="shared" si="42"/>
        <v>3410777.7371359225</v>
      </c>
      <c r="GW19" s="24">
        <f t="shared" si="42"/>
        <v>3410777.7371359225</v>
      </c>
      <c r="GX19" s="24">
        <f t="shared" si="42"/>
        <v>3410777.7371359225</v>
      </c>
      <c r="GY19" s="24">
        <f t="shared" si="42"/>
        <v>3410777.7371359225</v>
      </c>
      <c r="GZ19" s="24">
        <f t="shared" si="42"/>
        <v>3410777.7371359225</v>
      </c>
      <c r="HA19" s="24">
        <f t="shared" si="42"/>
        <v>3410777.7371359225</v>
      </c>
      <c r="HB19" s="24">
        <f t="shared" si="42"/>
        <v>3410777.7371359225</v>
      </c>
      <c r="HC19" s="24">
        <f t="shared" si="42"/>
        <v>3410777.7371359225</v>
      </c>
      <c r="HD19" s="24">
        <f t="shared" si="42"/>
        <v>3410777.7371359225</v>
      </c>
      <c r="HE19" s="24">
        <f t="shared" si="42"/>
        <v>3410777.7371359225</v>
      </c>
      <c r="HF19" s="24">
        <f t="shared" si="42"/>
        <v>3410777.7371359225</v>
      </c>
      <c r="HG19" s="24">
        <f t="shared" si="42"/>
        <v>3410777.7371359225</v>
      </c>
      <c r="HH19" s="24">
        <f t="shared" si="42"/>
        <v>3410777.7371359225</v>
      </c>
      <c r="HI19" s="24">
        <f t="shared" si="42"/>
        <v>3410777.7371359225</v>
      </c>
      <c r="HJ19" s="24">
        <f t="shared" si="42"/>
        <v>3410777.7371359225</v>
      </c>
      <c r="HK19" s="24">
        <f t="shared" si="42"/>
        <v>3410777.7371359225</v>
      </c>
      <c r="HL19" s="24">
        <f t="shared" si="42"/>
        <v>3410777.7371359225</v>
      </c>
      <c r="HM19" s="24">
        <f t="shared" si="42"/>
        <v>3410777.7371359225</v>
      </c>
      <c r="HN19" s="24">
        <f t="shared" si="42"/>
        <v>3410777.7371359225</v>
      </c>
      <c r="HO19" s="24">
        <f t="shared" si="42"/>
        <v>3410777.7371359225</v>
      </c>
      <c r="HP19" s="24">
        <f t="shared" si="42"/>
        <v>3410777.7371359225</v>
      </c>
      <c r="HQ19" s="24">
        <f t="shared" si="42"/>
        <v>3410777.7371359225</v>
      </c>
      <c r="HR19" s="24">
        <f t="shared" si="42"/>
        <v>3410777.7371359225</v>
      </c>
      <c r="HS19" s="24">
        <f t="shared" si="42"/>
        <v>3410777.7371359225</v>
      </c>
      <c r="HT19" s="24">
        <f t="shared" si="42"/>
        <v>3410777.7371359225</v>
      </c>
      <c r="HU19" s="24">
        <f t="shared" si="42"/>
        <v>3410777.7371359225</v>
      </c>
      <c r="HV19" s="24">
        <f t="shared" si="42"/>
        <v>3410777.7371359225</v>
      </c>
      <c r="HW19" s="24">
        <f t="shared" si="42"/>
        <v>3410777.7371359225</v>
      </c>
      <c r="HX19" s="24">
        <f t="shared" si="42"/>
        <v>3410777.7371359225</v>
      </c>
      <c r="HY19" s="24">
        <f t="shared" si="42"/>
        <v>3410777.7371359225</v>
      </c>
      <c r="HZ19" s="24">
        <f t="shared" si="42"/>
        <v>3410777.7371359225</v>
      </c>
      <c r="IA19" s="24">
        <f t="shared" si="42"/>
        <v>3410777.7371359225</v>
      </c>
      <c r="IB19" s="24">
        <f t="shared" si="42"/>
        <v>3410777.7371359225</v>
      </c>
      <c r="IC19" s="24">
        <f t="shared" si="42"/>
        <v>3410777.7371359225</v>
      </c>
      <c r="ID19" s="24">
        <f t="shared" si="42"/>
        <v>3410777.7371359225</v>
      </c>
      <c r="IE19" s="24">
        <f t="shared" si="42"/>
        <v>3410777.7371359225</v>
      </c>
      <c r="IF19" s="24">
        <f t="shared" si="42"/>
        <v>3410777.7371359225</v>
      </c>
      <c r="IG19" s="24">
        <f t="shared" si="42"/>
        <v>3410777.7371359225</v>
      </c>
      <c r="IH19" s="24">
        <f t="shared" si="42"/>
        <v>3410777.7371359225</v>
      </c>
      <c r="II19" s="24">
        <f t="shared" si="42"/>
        <v>3410777.7371359225</v>
      </c>
      <c r="IJ19" s="24">
        <f t="shared" si="42"/>
        <v>3410777.7371359225</v>
      </c>
      <c r="IK19" s="24">
        <f t="shared" si="42"/>
        <v>3410777.7371359225</v>
      </c>
      <c r="IL19" s="24">
        <f t="shared" si="42"/>
        <v>3410777.7371359225</v>
      </c>
      <c r="IM19" s="24">
        <f t="shared" si="42"/>
        <v>3410777.7371359225</v>
      </c>
      <c r="IN19" s="24">
        <f t="shared" si="42"/>
        <v>3410777.7371359225</v>
      </c>
    </row>
    <row r="20" spans="2:248" x14ac:dyDescent="0.3">
      <c r="B20" s="19" t="s">
        <v>495</v>
      </c>
      <c r="C20" s="44">
        <v>0.4</v>
      </c>
      <c r="F20" s="22" t="s">
        <v>503</v>
      </c>
      <c r="G20" s="24">
        <f>G11*$C$15</f>
        <v>13.43992718446602</v>
      </c>
      <c r="H20" s="24">
        <f t="shared" ref="H20:BS20" si="43">H11*$C$15</f>
        <v>19.343446601941746</v>
      </c>
      <c r="I20" s="24">
        <f t="shared" si="43"/>
        <v>23.488470873786408</v>
      </c>
      <c r="J20" s="24">
        <f t="shared" si="43"/>
        <v>31.778519417475728</v>
      </c>
      <c r="K20" s="24">
        <f t="shared" si="43"/>
        <v>37.682038834951456</v>
      </c>
      <c r="L20" s="24">
        <f t="shared" si="43"/>
        <v>45.092839805825243</v>
      </c>
      <c r="M20" s="24">
        <f t="shared" si="43"/>
        <v>54.262135922330096</v>
      </c>
      <c r="N20" s="24">
        <f t="shared" si="43"/>
        <v>70.716626213592235</v>
      </c>
      <c r="O20" s="24">
        <f t="shared" si="43"/>
        <v>97.345266990291265</v>
      </c>
      <c r="P20" s="24">
        <f t="shared" si="43"/>
        <v>138.66990291262135</v>
      </c>
      <c r="Q20" s="24">
        <f t="shared" si="43"/>
        <v>165.17293689320388</v>
      </c>
      <c r="R20" s="24">
        <f t="shared" si="43"/>
        <v>185.14441747572815</v>
      </c>
      <c r="S20" s="24">
        <f t="shared" si="43"/>
        <v>232.49817961165047</v>
      </c>
      <c r="T20" s="24">
        <f t="shared" si="43"/>
        <v>314.39381067961165</v>
      </c>
      <c r="U20" s="24">
        <f t="shared" si="43"/>
        <v>388.25060679611653</v>
      </c>
      <c r="V20" s="24">
        <f t="shared" si="43"/>
        <v>485.31325849514565</v>
      </c>
      <c r="W20" s="24">
        <f t="shared" si="43"/>
        <v>606.641573118932</v>
      </c>
      <c r="X20" s="24">
        <f t="shared" si="43"/>
        <v>758.30196639866506</v>
      </c>
      <c r="Y20" s="24">
        <f t="shared" si="43"/>
        <v>947.87745799833135</v>
      </c>
      <c r="Z20" s="24">
        <f t="shared" si="43"/>
        <v>1184.8468224979142</v>
      </c>
      <c r="AA20" s="24">
        <f t="shared" si="43"/>
        <v>1481.0585281223928</v>
      </c>
      <c r="AB20" s="24">
        <f t="shared" si="43"/>
        <v>1851.3231601529908</v>
      </c>
      <c r="AC20" s="24">
        <f t="shared" si="43"/>
        <v>2314.1539501912384</v>
      </c>
      <c r="AD20" s="24">
        <f t="shared" si="43"/>
        <v>2892.6924377390483</v>
      </c>
      <c r="AE20" s="24">
        <f t="shared" si="43"/>
        <v>3615.8655471738102</v>
      </c>
      <c r="AF20" s="24">
        <f t="shared" si="43"/>
        <v>4519.8319339672626</v>
      </c>
      <c r="AG20" s="24">
        <f t="shared" si="43"/>
        <v>5649.7899174590784</v>
      </c>
      <c r="AH20" s="24">
        <f t="shared" si="43"/>
        <v>7062.237396823848</v>
      </c>
      <c r="AI20" s="24">
        <f t="shared" si="43"/>
        <v>8827.7967460298096</v>
      </c>
      <c r="AJ20" s="24">
        <f t="shared" si="43"/>
        <v>11034.745932537262</v>
      </c>
      <c r="AK20" s="24">
        <f t="shared" si="43"/>
        <v>13793.432415671577</v>
      </c>
      <c r="AL20" s="24">
        <f t="shared" si="43"/>
        <v>17241.790519589475</v>
      </c>
      <c r="AM20" s="24">
        <f t="shared" si="43"/>
        <v>21552.238149486842</v>
      </c>
      <c r="AN20" s="24">
        <f t="shared" si="43"/>
        <v>26940.297686858554</v>
      </c>
      <c r="AO20" s="24">
        <f t="shared" si="43"/>
        <v>33675.372108573196</v>
      </c>
      <c r="AP20" s="24">
        <f t="shared" si="43"/>
        <v>42094.215135716491</v>
      </c>
      <c r="AQ20" s="24">
        <f t="shared" si="43"/>
        <v>52617.768919645612</v>
      </c>
      <c r="AR20" s="24">
        <f t="shared" si="43"/>
        <v>65772.211149557013</v>
      </c>
      <c r="AS20" s="24">
        <f t="shared" si="43"/>
        <v>82215.26393694627</v>
      </c>
      <c r="AT20" s="24">
        <f t="shared" si="43"/>
        <v>102769.07992118284</v>
      </c>
      <c r="AU20" s="24">
        <f t="shared" si="43"/>
        <v>128461.34990147855</v>
      </c>
      <c r="AV20" s="24">
        <f t="shared" si="43"/>
        <v>160576.68737684819</v>
      </c>
      <c r="AW20" s="24">
        <f t="shared" si="43"/>
        <v>200720.85922106024</v>
      </c>
      <c r="AX20" s="24">
        <f t="shared" si="43"/>
        <v>250901.07402632531</v>
      </c>
      <c r="AY20" s="24">
        <f t="shared" si="43"/>
        <v>313626.34253290668</v>
      </c>
      <c r="AZ20" s="24">
        <f t="shared" si="43"/>
        <v>392032.92816613329</v>
      </c>
      <c r="BA20" s="24">
        <f t="shared" si="43"/>
        <v>490041.16020766669</v>
      </c>
      <c r="BB20" s="24">
        <f t="shared" si="43"/>
        <v>612551.4502595833</v>
      </c>
      <c r="BC20" s="24">
        <f t="shared" si="43"/>
        <v>765689.31282447919</v>
      </c>
      <c r="BD20" s="24">
        <f t="shared" si="43"/>
        <v>957111.64103059901</v>
      </c>
      <c r="BE20" s="24">
        <f t="shared" si="43"/>
        <v>1196389.5512882487</v>
      </c>
      <c r="BF20" s="24">
        <f t="shared" si="43"/>
        <v>1495486.939110311</v>
      </c>
      <c r="BG20" s="24">
        <f t="shared" si="43"/>
        <v>1869358.6738878889</v>
      </c>
      <c r="BH20" s="24">
        <f t="shared" si="43"/>
        <v>2336698.3423598609</v>
      </c>
      <c r="BI20" s="24">
        <f t="shared" si="43"/>
        <v>2920872.9279498262</v>
      </c>
      <c r="BJ20" s="24">
        <f t="shared" si="43"/>
        <v>3410777.7371359225</v>
      </c>
      <c r="BK20" s="24">
        <f t="shared" si="43"/>
        <v>3410777.7371359225</v>
      </c>
      <c r="BL20" s="24">
        <f t="shared" si="43"/>
        <v>3410777.7371359225</v>
      </c>
      <c r="BM20" s="24">
        <f t="shared" si="43"/>
        <v>3410777.7371359225</v>
      </c>
      <c r="BN20" s="24">
        <f t="shared" si="43"/>
        <v>3410777.7371359225</v>
      </c>
      <c r="BO20" s="24">
        <f t="shared" si="43"/>
        <v>3410777.7371359225</v>
      </c>
      <c r="BP20" s="24">
        <f t="shared" si="43"/>
        <v>3410777.7371359225</v>
      </c>
      <c r="BQ20" s="24">
        <f t="shared" si="43"/>
        <v>3410777.7371359225</v>
      </c>
      <c r="BR20" s="24">
        <f t="shared" si="43"/>
        <v>3410777.7371359225</v>
      </c>
      <c r="BS20" s="24">
        <f t="shared" si="43"/>
        <v>3410777.7371359225</v>
      </c>
      <c r="BT20" s="24">
        <f t="shared" ref="BT20:EE20" si="44">BT11*$C$15</f>
        <v>3410777.7371359225</v>
      </c>
      <c r="BU20" s="24">
        <f t="shared" si="44"/>
        <v>3410777.7371359225</v>
      </c>
      <c r="BV20" s="24">
        <f t="shared" si="44"/>
        <v>3410777.7371359225</v>
      </c>
      <c r="BW20" s="24">
        <f t="shared" si="44"/>
        <v>3410777.7371359225</v>
      </c>
      <c r="BX20" s="24">
        <f t="shared" si="44"/>
        <v>3410777.7371359225</v>
      </c>
      <c r="BY20" s="24">
        <f t="shared" si="44"/>
        <v>3410777.7371359225</v>
      </c>
      <c r="BZ20" s="24">
        <f t="shared" si="44"/>
        <v>3410777.7371359225</v>
      </c>
      <c r="CA20" s="24">
        <f t="shared" si="44"/>
        <v>3410777.7371359225</v>
      </c>
      <c r="CB20" s="24">
        <f t="shared" si="44"/>
        <v>3410777.7371359225</v>
      </c>
      <c r="CC20" s="24">
        <f t="shared" si="44"/>
        <v>3410777.7371359225</v>
      </c>
      <c r="CD20" s="24">
        <f t="shared" si="44"/>
        <v>3410777.7371359225</v>
      </c>
      <c r="CE20" s="24">
        <f t="shared" si="44"/>
        <v>3410777.7371359225</v>
      </c>
      <c r="CF20" s="24">
        <f t="shared" si="44"/>
        <v>3410777.7371359225</v>
      </c>
      <c r="CG20" s="24">
        <f t="shared" si="44"/>
        <v>3410777.7371359225</v>
      </c>
      <c r="CH20" s="24">
        <f t="shared" si="44"/>
        <v>3410777.7371359225</v>
      </c>
      <c r="CI20" s="24">
        <f t="shared" si="44"/>
        <v>3410777.7371359225</v>
      </c>
      <c r="CJ20" s="24">
        <f t="shared" si="44"/>
        <v>3410777.7371359225</v>
      </c>
      <c r="CK20" s="24">
        <f t="shared" si="44"/>
        <v>3410777.7371359225</v>
      </c>
      <c r="CL20" s="24">
        <f t="shared" si="44"/>
        <v>3410777.7371359225</v>
      </c>
      <c r="CM20" s="24">
        <f t="shared" si="44"/>
        <v>3410777.7371359225</v>
      </c>
      <c r="CN20" s="24">
        <f t="shared" si="44"/>
        <v>3410777.7371359225</v>
      </c>
      <c r="CO20" s="24">
        <f t="shared" si="44"/>
        <v>3410777.7371359225</v>
      </c>
      <c r="CP20" s="24">
        <f t="shared" si="44"/>
        <v>3410777.7371359225</v>
      </c>
      <c r="CQ20" s="24">
        <f t="shared" si="44"/>
        <v>3410777.7371359225</v>
      </c>
      <c r="CR20" s="24">
        <f t="shared" si="44"/>
        <v>3410777.7371359225</v>
      </c>
      <c r="CS20" s="24">
        <f t="shared" si="44"/>
        <v>3410777.7371359225</v>
      </c>
      <c r="CT20" s="24">
        <f t="shared" si="44"/>
        <v>3410777.7371359225</v>
      </c>
      <c r="CU20" s="24">
        <f t="shared" si="44"/>
        <v>3410777.7371359225</v>
      </c>
      <c r="CV20" s="24">
        <f t="shared" si="44"/>
        <v>3410777.7371359225</v>
      </c>
      <c r="CW20" s="24">
        <f t="shared" si="44"/>
        <v>3410777.7371359225</v>
      </c>
      <c r="CX20" s="24">
        <f t="shared" si="44"/>
        <v>3410777.7371359225</v>
      </c>
      <c r="CY20" s="24">
        <f t="shared" si="44"/>
        <v>3410777.7371359225</v>
      </c>
      <c r="CZ20" s="24">
        <f t="shared" si="44"/>
        <v>3410777.7371359225</v>
      </c>
      <c r="DA20" s="24">
        <f t="shared" si="44"/>
        <v>3410777.7371359225</v>
      </c>
      <c r="DB20" s="24">
        <f t="shared" si="44"/>
        <v>3410777.7371359225</v>
      </c>
      <c r="DC20" s="24">
        <f t="shared" si="44"/>
        <v>3410777.7371359225</v>
      </c>
      <c r="DD20" s="24">
        <f t="shared" si="44"/>
        <v>3410777.7371359225</v>
      </c>
      <c r="DE20" s="24">
        <f t="shared" si="44"/>
        <v>3410777.7371359225</v>
      </c>
      <c r="DF20" s="24">
        <f t="shared" si="44"/>
        <v>3410777.7371359225</v>
      </c>
      <c r="DG20" s="24">
        <f t="shared" si="44"/>
        <v>3410777.7371359225</v>
      </c>
      <c r="DH20" s="24">
        <f t="shared" si="44"/>
        <v>3410777.7371359225</v>
      </c>
      <c r="DI20" s="24">
        <f t="shared" si="44"/>
        <v>3410777.7371359225</v>
      </c>
      <c r="DJ20" s="24">
        <f t="shared" si="44"/>
        <v>3410777.7371359225</v>
      </c>
      <c r="DK20" s="24">
        <f t="shared" si="44"/>
        <v>3410777.7371359225</v>
      </c>
      <c r="DL20" s="24">
        <f t="shared" si="44"/>
        <v>3410777.7371359225</v>
      </c>
      <c r="DM20" s="24">
        <f t="shared" si="44"/>
        <v>3410777.7371359225</v>
      </c>
      <c r="DN20" s="24">
        <f t="shared" si="44"/>
        <v>3410777.7371359225</v>
      </c>
      <c r="DO20" s="24">
        <f t="shared" si="44"/>
        <v>3410777.7371359225</v>
      </c>
      <c r="DP20" s="24">
        <f t="shared" si="44"/>
        <v>3410777.7371359225</v>
      </c>
      <c r="DQ20" s="24">
        <f t="shared" si="44"/>
        <v>3410777.7371359225</v>
      </c>
      <c r="DR20" s="24">
        <f t="shared" si="44"/>
        <v>3410777.7371359225</v>
      </c>
      <c r="DS20" s="24">
        <f t="shared" si="44"/>
        <v>3410777.7371359225</v>
      </c>
      <c r="DT20" s="24">
        <f t="shared" si="44"/>
        <v>3410777.7371359225</v>
      </c>
      <c r="DU20" s="24">
        <f t="shared" si="44"/>
        <v>3410777.7371359225</v>
      </c>
      <c r="DV20" s="24">
        <f t="shared" si="44"/>
        <v>3410777.7371359225</v>
      </c>
      <c r="DW20" s="24">
        <f t="shared" si="44"/>
        <v>3410777.7371359225</v>
      </c>
      <c r="DX20" s="24">
        <f t="shared" si="44"/>
        <v>3410777.7371359225</v>
      </c>
      <c r="DY20" s="24">
        <f t="shared" si="44"/>
        <v>3410777.7371359225</v>
      </c>
      <c r="DZ20" s="24">
        <f t="shared" si="44"/>
        <v>3410777.7371359225</v>
      </c>
      <c r="EA20" s="24">
        <f t="shared" si="44"/>
        <v>3410777.7371359225</v>
      </c>
      <c r="EB20" s="24">
        <f t="shared" si="44"/>
        <v>3410777.7371359225</v>
      </c>
      <c r="EC20" s="24">
        <f t="shared" si="44"/>
        <v>3410777.7371359225</v>
      </c>
      <c r="ED20" s="24">
        <f t="shared" si="44"/>
        <v>3410777.7371359225</v>
      </c>
      <c r="EE20" s="24">
        <f t="shared" si="44"/>
        <v>3410777.7371359225</v>
      </c>
      <c r="EF20" s="24">
        <f t="shared" ref="EF20:GQ20" si="45">EF11*$C$15</f>
        <v>3410777.7371359225</v>
      </c>
      <c r="EG20" s="24">
        <f t="shared" si="45"/>
        <v>3410777.7371359225</v>
      </c>
      <c r="EH20" s="24">
        <f t="shared" si="45"/>
        <v>3410777.7371359225</v>
      </c>
      <c r="EI20" s="24">
        <f t="shared" si="45"/>
        <v>3410777.7371359225</v>
      </c>
      <c r="EJ20" s="24">
        <f t="shared" si="45"/>
        <v>3410777.7371359225</v>
      </c>
      <c r="EK20" s="24">
        <f t="shared" si="45"/>
        <v>3410777.7371359225</v>
      </c>
      <c r="EL20" s="24">
        <f t="shared" si="45"/>
        <v>3410777.7371359225</v>
      </c>
      <c r="EM20" s="24">
        <f t="shared" si="45"/>
        <v>3410777.7371359225</v>
      </c>
      <c r="EN20" s="24">
        <f t="shared" si="45"/>
        <v>3410777.7371359225</v>
      </c>
      <c r="EO20" s="24">
        <f t="shared" si="45"/>
        <v>3410777.7371359225</v>
      </c>
      <c r="EP20" s="24">
        <f t="shared" si="45"/>
        <v>3410777.7371359225</v>
      </c>
      <c r="EQ20" s="24">
        <f t="shared" si="45"/>
        <v>3410777.7371359225</v>
      </c>
      <c r="ER20" s="24">
        <f t="shared" si="45"/>
        <v>3410777.7371359225</v>
      </c>
      <c r="ES20" s="24">
        <f t="shared" si="45"/>
        <v>3410777.7371359225</v>
      </c>
      <c r="ET20" s="24">
        <f t="shared" si="45"/>
        <v>3410777.7371359225</v>
      </c>
      <c r="EU20" s="24">
        <f t="shared" si="45"/>
        <v>3410777.7371359225</v>
      </c>
      <c r="EV20" s="24">
        <f t="shared" si="45"/>
        <v>3410777.7371359225</v>
      </c>
      <c r="EW20" s="24">
        <f t="shared" si="45"/>
        <v>3410777.7371359225</v>
      </c>
      <c r="EX20" s="24">
        <f t="shared" si="45"/>
        <v>3410777.7371359225</v>
      </c>
      <c r="EY20" s="24">
        <f t="shared" si="45"/>
        <v>3410777.7371359225</v>
      </c>
      <c r="EZ20" s="24">
        <f t="shared" si="45"/>
        <v>3410777.7371359225</v>
      </c>
      <c r="FA20" s="24">
        <f t="shared" si="45"/>
        <v>3410777.7371359225</v>
      </c>
      <c r="FB20" s="24">
        <f t="shared" si="45"/>
        <v>3410777.7371359225</v>
      </c>
      <c r="FC20" s="24">
        <f t="shared" si="45"/>
        <v>3410777.7371359225</v>
      </c>
      <c r="FD20" s="24">
        <f t="shared" si="45"/>
        <v>3410777.7371359225</v>
      </c>
      <c r="FE20" s="24">
        <f t="shared" si="45"/>
        <v>3410777.7371359225</v>
      </c>
      <c r="FF20" s="24">
        <f t="shared" si="45"/>
        <v>3410777.7371359225</v>
      </c>
      <c r="FG20" s="24">
        <f t="shared" si="45"/>
        <v>3410777.7371359225</v>
      </c>
      <c r="FH20" s="24">
        <f t="shared" si="45"/>
        <v>3410777.7371359225</v>
      </c>
      <c r="FI20" s="24">
        <f t="shared" si="45"/>
        <v>3410777.7371359225</v>
      </c>
      <c r="FJ20" s="24">
        <f t="shared" si="45"/>
        <v>3410777.7371359225</v>
      </c>
      <c r="FK20" s="24">
        <f t="shared" si="45"/>
        <v>3410777.7371359225</v>
      </c>
      <c r="FL20" s="24">
        <f t="shared" si="45"/>
        <v>3410777.7371359225</v>
      </c>
      <c r="FM20" s="24">
        <f t="shared" si="45"/>
        <v>3410777.7371359225</v>
      </c>
      <c r="FN20" s="24">
        <f t="shared" si="45"/>
        <v>3410777.7371359225</v>
      </c>
      <c r="FO20" s="24">
        <f t="shared" si="45"/>
        <v>3410777.7371359225</v>
      </c>
      <c r="FP20" s="24">
        <f t="shared" si="45"/>
        <v>3410777.7371359225</v>
      </c>
      <c r="FQ20" s="24">
        <f t="shared" si="45"/>
        <v>3410777.7371359225</v>
      </c>
      <c r="FR20" s="24">
        <f t="shared" si="45"/>
        <v>3410777.7371359225</v>
      </c>
      <c r="FS20" s="24">
        <f t="shared" si="45"/>
        <v>3410777.7371359225</v>
      </c>
      <c r="FT20" s="24">
        <f t="shared" si="45"/>
        <v>3410777.7371359225</v>
      </c>
      <c r="FU20" s="24">
        <f t="shared" si="45"/>
        <v>3410777.7371359225</v>
      </c>
      <c r="FV20" s="24">
        <f t="shared" si="45"/>
        <v>3410777.7371359225</v>
      </c>
      <c r="FW20" s="24">
        <f t="shared" si="45"/>
        <v>3410777.7371359225</v>
      </c>
      <c r="FX20" s="24">
        <f t="shared" si="45"/>
        <v>3410777.7371359225</v>
      </c>
      <c r="FY20" s="24">
        <f t="shared" si="45"/>
        <v>3410777.7371359225</v>
      </c>
      <c r="FZ20" s="24">
        <f t="shared" si="45"/>
        <v>3410777.7371359225</v>
      </c>
      <c r="GA20" s="24">
        <f t="shared" si="45"/>
        <v>3410777.7371359225</v>
      </c>
      <c r="GB20" s="24">
        <f t="shared" si="45"/>
        <v>3410777.7371359225</v>
      </c>
      <c r="GC20" s="24">
        <f t="shared" si="45"/>
        <v>3410777.7371359225</v>
      </c>
      <c r="GD20" s="24">
        <f t="shared" si="45"/>
        <v>3410777.7371359225</v>
      </c>
      <c r="GE20" s="24">
        <f t="shared" si="45"/>
        <v>3410777.7371359225</v>
      </c>
      <c r="GF20" s="24">
        <f t="shared" si="45"/>
        <v>3410777.7371359225</v>
      </c>
      <c r="GG20" s="24">
        <f t="shared" si="45"/>
        <v>3410777.7371359225</v>
      </c>
      <c r="GH20" s="24">
        <f t="shared" si="45"/>
        <v>3410777.7371359225</v>
      </c>
      <c r="GI20" s="24">
        <f t="shared" si="45"/>
        <v>3410777.7371359225</v>
      </c>
      <c r="GJ20" s="24">
        <f t="shared" si="45"/>
        <v>3410777.7371359225</v>
      </c>
      <c r="GK20" s="24">
        <f t="shared" si="45"/>
        <v>3410777.7371359225</v>
      </c>
      <c r="GL20" s="24">
        <f t="shared" si="45"/>
        <v>3410777.7371359225</v>
      </c>
      <c r="GM20" s="24">
        <f t="shared" si="45"/>
        <v>3410777.7371359225</v>
      </c>
      <c r="GN20" s="24">
        <f t="shared" si="45"/>
        <v>3410777.7371359225</v>
      </c>
      <c r="GO20" s="24">
        <f t="shared" si="45"/>
        <v>3410777.7371359225</v>
      </c>
      <c r="GP20" s="24">
        <f t="shared" si="45"/>
        <v>3410777.7371359225</v>
      </c>
      <c r="GQ20" s="24">
        <f t="shared" si="45"/>
        <v>3410777.7371359225</v>
      </c>
      <c r="GR20" s="24">
        <f t="shared" ref="GR20:IN20" si="46">GR11*$C$15</f>
        <v>3410777.7371359225</v>
      </c>
      <c r="GS20" s="24">
        <f t="shared" si="46"/>
        <v>3410777.7371359225</v>
      </c>
      <c r="GT20" s="24">
        <f t="shared" si="46"/>
        <v>3410777.7371359225</v>
      </c>
      <c r="GU20" s="24">
        <f t="shared" si="46"/>
        <v>3410777.7371359225</v>
      </c>
      <c r="GV20" s="24">
        <f t="shared" si="46"/>
        <v>3410777.7371359225</v>
      </c>
      <c r="GW20" s="24">
        <f t="shared" si="46"/>
        <v>3410777.7371359225</v>
      </c>
      <c r="GX20" s="24">
        <f t="shared" si="46"/>
        <v>3410777.7371359225</v>
      </c>
      <c r="GY20" s="24">
        <f t="shared" si="46"/>
        <v>3410777.7371359225</v>
      </c>
      <c r="GZ20" s="24">
        <f t="shared" si="46"/>
        <v>3410777.7371359225</v>
      </c>
      <c r="HA20" s="24">
        <f t="shared" si="46"/>
        <v>3410777.7371359225</v>
      </c>
      <c r="HB20" s="24">
        <f t="shared" si="46"/>
        <v>3410777.7371359225</v>
      </c>
      <c r="HC20" s="24">
        <f t="shared" si="46"/>
        <v>3410777.7371359225</v>
      </c>
      <c r="HD20" s="24">
        <f t="shared" si="46"/>
        <v>3410777.7371359225</v>
      </c>
      <c r="HE20" s="24">
        <f t="shared" si="46"/>
        <v>3410777.7371359225</v>
      </c>
      <c r="HF20" s="24">
        <f t="shared" si="46"/>
        <v>3410777.7371359225</v>
      </c>
      <c r="HG20" s="24">
        <f t="shared" si="46"/>
        <v>3410777.7371359225</v>
      </c>
      <c r="HH20" s="24">
        <f t="shared" si="46"/>
        <v>3410777.7371359225</v>
      </c>
      <c r="HI20" s="24">
        <f t="shared" si="46"/>
        <v>3410777.7371359225</v>
      </c>
      <c r="HJ20" s="24">
        <f t="shared" si="46"/>
        <v>3410777.7371359225</v>
      </c>
      <c r="HK20" s="24">
        <f t="shared" si="46"/>
        <v>3410777.7371359225</v>
      </c>
      <c r="HL20" s="24">
        <f t="shared" si="46"/>
        <v>3410777.7371359225</v>
      </c>
      <c r="HM20" s="24">
        <f t="shared" si="46"/>
        <v>3410777.7371359225</v>
      </c>
      <c r="HN20" s="24">
        <f t="shared" si="46"/>
        <v>3410777.7371359225</v>
      </c>
      <c r="HO20" s="24">
        <f t="shared" si="46"/>
        <v>3410777.7371359225</v>
      </c>
      <c r="HP20" s="24">
        <f t="shared" si="46"/>
        <v>3410777.7371359225</v>
      </c>
      <c r="HQ20" s="24">
        <f t="shared" si="46"/>
        <v>3410777.7371359225</v>
      </c>
      <c r="HR20" s="24">
        <f t="shared" si="46"/>
        <v>3410777.7371359225</v>
      </c>
      <c r="HS20" s="24">
        <f t="shared" si="46"/>
        <v>3410777.7371359225</v>
      </c>
      <c r="HT20" s="24">
        <f t="shared" si="46"/>
        <v>3410777.7371359225</v>
      </c>
      <c r="HU20" s="24">
        <f t="shared" si="46"/>
        <v>3410777.7371359225</v>
      </c>
      <c r="HV20" s="24">
        <f t="shared" si="46"/>
        <v>3410777.7371359225</v>
      </c>
      <c r="HW20" s="24">
        <f t="shared" si="46"/>
        <v>3410777.7371359225</v>
      </c>
      <c r="HX20" s="24">
        <f t="shared" si="46"/>
        <v>3410777.7371359225</v>
      </c>
      <c r="HY20" s="24">
        <f t="shared" si="46"/>
        <v>3410777.7371359225</v>
      </c>
      <c r="HZ20" s="24">
        <f t="shared" si="46"/>
        <v>3410777.7371359225</v>
      </c>
      <c r="IA20" s="24">
        <f t="shared" si="46"/>
        <v>3410777.7371359225</v>
      </c>
      <c r="IB20" s="24">
        <f t="shared" si="46"/>
        <v>3410777.7371359225</v>
      </c>
      <c r="IC20" s="24">
        <f t="shared" si="46"/>
        <v>3410777.7371359225</v>
      </c>
      <c r="ID20" s="24">
        <f t="shared" si="46"/>
        <v>3410777.7371359225</v>
      </c>
      <c r="IE20" s="24">
        <f t="shared" si="46"/>
        <v>3410777.7371359225</v>
      </c>
      <c r="IF20" s="24">
        <f t="shared" si="46"/>
        <v>3410777.7371359225</v>
      </c>
      <c r="IG20" s="24">
        <f t="shared" si="46"/>
        <v>3410777.7371359225</v>
      </c>
      <c r="IH20" s="24">
        <f t="shared" si="46"/>
        <v>3410777.7371359225</v>
      </c>
      <c r="II20" s="24">
        <f t="shared" si="46"/>
        <v>3410777.7371359225</v>
      </c>
      <c r="IJ20" s="24">
        <f t="shared" si="46"/>
        <v>3410777.7371359225</v>
      </c>
      <c r="IK20" s="24">
        <f t="shared" si="46"/>
        <v>3410777.7371359225</v>
      </c>
      <c r="IL20" s="24">
        <f t="shared" si="46"/>
        <v>3410777.7371359225</v>
      </c>
      <c r="IM20" s="24">
        <f t="shared" si="46"/>
        <v>3410777.7371359225</v>
      </c>
      <c r="IN20" s="24">
        <f t="shared" si="46"/>
        <v>3410777.7371359225</v>
      </c>
    </row>
    <row r="21" spans="2:248" x14ac:dyDescent="0.3">
      <c r="B21" s="19" t="s">
        <v>496</v>
      </c>
      <c r="C21" s="42">
        <f>C20*C19</f>
        <v>27154404.400000002</v>
      </c>
      <c r="F21" s="22" t="s">
        <v>500</v>
      </c>
      <c r="G21" s="24">
        <f>G13*$C$15</f>
        <v>13.43992718446602</v>
      </c>
      <c r="H21" s="24">
        <f t="shared" ref="H21:BS21" si="47">H13*$C$15</f>
        <v>19.343446601941746</v>
      </c>
      <c r="I21" s="24">
        <f t="shared" si="47"/>
        <v>23.488470873786408</v>
      </c>
      <c r="J21" s="24">
        <f t="shared" si="47"/>
        <v>31.778519417475728</v>
      </c>
      <c r="K21" s="24">
        <f t="shared" si="47"/>
        <v>37.682038834951456</v>
      </c>
      <c r="L21" s="24">
        <f t="shared" si="47"/>
        <v>45.092839805825243</v>
      </c>
      <c r="M21" s="24">
        <f t="shared" si="47"/>
        <v>54.262135922330096</v>
      </c>
      <c r="N21" s="24">
        <f t="shared" si="47"/>
        <v>70.716626213592235</v>
      </c>
      <c r="O21" s="24">
        <f t="shared" si="47"/>
        <v>97.345266990291265</v>
      </c>
      <c r="P21" s="24">
        <f t="shared" si="47"/>
        <v>138.66990291262135</v>
      </c>
      <c r="Q21" s="24">
        <f t="shared" si="47"/>
        <v>165.17293689320388</v>
      </c>
      <c r="R21" s="24">
        <f t="shared" si="47"/>
        <v>185.14441747572815</v>
      </c>
      <c r="S21" s="24">
        <f t="shared" si="47"/>
        <v>232.49817961165047</v>
      </c>
      <c r="T21" s="24">
        <f t="shared" si="47"/>
        <v>314.39381067961165</v>
      </c>
      <c r="U21" s="24">
        <f t="shared" si="47"/>
        <v>388.25060679611653</v>
      </c>
      <c r="V21" s="24">
        <f t="shared" si="47"/>
        <v>504.72578883495146</v>
      </c>
      <c r="W21" s="24">
        <f t="shared" si="47"/>
        <v>656.14352548543684</v>
      </c>
      <c r="X21" s="24">
        <f t="shared" si="47"/>
        <v>852.98658313106807</v>
      </c>
      <c r="Y21" s="24">
        <f t="shared" si="47"/>
        <v>1108.8825580703885</v>
      </c>
      <c r="Z21" s="24">
        <f t="shared" si="47"/>
        <v>1441.547325491505</v>
      </c>
      <c r="AA21" s="24">
        <f t="shared" si="47"/>
        <v>1874.0115231389568</v>
      </c>
      <c r="AB21" s="24">
        <f t="shared" si="47"/>
        <v>2436.2149800806437</v>
      </c>
      <c r="AC21" s="24">
        <f t="shared" si="47"/>
        <v>3167.0794741048371</v>
      </c>
      <c r="AD21" s="24">
        <f t="shared" si="47"/>
        <v>4117.2033163362885</v>
      </c>
      <c r="AE21" s="24">
        <f t="shared" si="47"/>
        <v>5352.3643112371756</v>
      </c>
      <c r="AF21" s="24">
        <f t="shared" si="47"/>
        <v>6958.0736046083284</v>
      </c>
      <c r="AG21" s="24">
        <f t="shared" si="47"/>
        <v>9045.495685990827</v>
      </c>
      <c r="AH21" s="24">
        <f t="shared" si="47"/>
        <v>11759.144391788075</v>
      </c>
      <c r="AI21" s="24">
        <f t="shared" si="47"/>
        <v>15286.887709324499</v>
      </c>
      <c r="AJ21" s="24">
        <f t="shared" si="47"/>
        <v>19872.954022121849</v>
      </c>
      <c r="AK21" s="24">
        <f t="shared" si="47"/>
        <v>25834.840228758407</v>
      </c>
      <c r="AL21" s="24">
        <f t="shared" si="47"/>
        <v>33585.292297385924</v>
      </c>
      <c r="AM21" s="24">
        <f t="shared" si="47"/>
        <v>43660.879986601707</v>
      </c>
      <c r="AN21" s="24">
        <f t="shared" si="47"/>
        <v>56759.143982582224</v>
      </c>
      <c r="AO21" s="24">
        <f t="shared" si="47"/>
        <v>73786.887177356897</v>
      </c>
      <c r="AP21" s="24">
        <f t="shared" si="47"/>
        <v>95922.953330563963</v>
      </c>
      <c r="AQ21" s="24">
        <f t="shared" si="47"/>
        <v>124699.83932973315</v>
      </c>
      <c r="AR21" s="24">
        <f t="shared" si="47"/>
        <v>162109.79112865307</v>
      </c>
      <c r="AS21" s="24">
        <f t="shared" si="47"/>
        <v>210742.72846724902</v>
      </c>
      <c r="AT21" s="24">
        <f t="shared" si="47"/>
        <v>273965.54700742371</v>
      </c>
      <c r="AU21" s="24">
        <f t="shared" si="47"/>
        <v>356155.2111096509</v>
      </c>
      <c r="AV21" s="24">
        <f t="shared" si="47"/>
        <v>463001.77444254619</v>
      </c>
      <c r="AW21" s="24">
        <f t="shared" si="47"/>
        <v>601902.30677530996</v>
      </c>
      <c r="AX21" s="24">
        <f t="shared" si="47"/>
        <v>782472.99880790291</v>
      </c>
      <c r="AY21" s="24">
        <f t="shared" si="47"/>
        <v>1017214.8984502739</v>
      </c>
      <c r="AZ21" s="24">
        <f t="shared" si="47"/>
        <v>1322379.3679853561</v>
      </c>
      <c r="BA21" s="24">
        <f t="shared" si="47"/>
        <v>1719093.1783809632</v>
      </c>
      <c r="BB21" s="24">
        <f t="shared" si="47"/>
        <v>2234821.131895252</v>
      </c>
      <c r="BC21" s="24">
        <f t="shared" si="47"/>
        <v>2905267.4714638274</v>
      </c>
      <c r="BD21" s="24">
        <f t="shared" si="47"/>
        <v>3410777.7371359225</v>
      </c>
      <c r="BE21" s="24">
        <f t="shared" si="47"/>
        <v>3410777.7371359225</v>
      </c>
      <c r="BF21" s="24">
        <f t="shared" si="47"/>
        <v>3410777.7371359225</v>
      </c>
      <c r="BG21" s="24">
        <f t="shared" si="47"/>
        <v>3410777.7371359225</v>
      </c>
      <c r="BH21" s="24">
        <f t="shared" si="47"/>
        <v>3410777.7371359225</v>
      </c>
      <c r="BI21" s="24">
        <f t="shared" si="47"/>
        <v>3410777.7371359225</v>
      </c>
      <c r="BJ21" s="24">
        <f t="shared" si="47"/>
        <v>3410777.7371359225</v>
      </c>
      <c r="BK21" s="24">
        <f t="shared" si="47"/>
        <v>3410777.7371359225</v>
      </c>
      <c r="BL21" s="24">
        <f t="shared" si="47"/>
        <v>3410777.7371359225</v>
      </c>
      <c r="BM21" s="24">
        <f t="shared" si="47"/>
        <v>3410777.7371359225</v>
      </c>
      <c r="BN21" s="24">
        <f t="shared" si="47"/>
        <v>3410777.7371359225</v>
      </c>
      <c r="BO21" s="24">
        <f t="shared" si="47"/>
        <v>3410777.7371359225</v>
      </c>
      <c r="BP21" s="24">
        <f t="shared" si="47"/>
        <v>3410777.7371359225</v>
      </c>
      <c r="BQ21" s="24">
        <f t="shared" si="47"/>
        <v>3410777.7371359225</v>
      </c>
      <c r="BR21" s="24">
        <f t="shared" si="47"/>
        <v>3410777.7371359225</v>
      </c>
      <c r="BS21" s="24">
        <f t="shared" si="47"/>
        <v>3410777.7371359225</v>
      </c>
      <c r="BT21" s="24">
        <f t="shared" ref="BT21:EE21" si="48">BT13*$C$15</f>
        <v>3410777.7371359225</v>
      </c>
      <c r="BU21" s="24">
        <f t="shared" si="48"/>
        <v>3410777.7371359225</v>
      </c>
      <c r="BV21" s="24">
        <f t="shared" si="48"/>
        <v>3410777.7371359225</v>
      </c>
      <c r="BW21" s="24">
        <f t="shared" si="48"/>
        <v>3410777.7371359225</v>
      </c>
      <c r="BX21" s="24">
        <f t="shared" si="48"/>
        <v>3410777.7371359225</v>
      </c>
      <c r="BY21" s="24">
        <f t="shared" si="48"/>
        <v>3410777.7371359225</v>
      </c>
      <c r="BZ21" s="24">
        <f t="shared" si="48"/>
        <v>3410777.7371359225</v>
      </c>
      <c r="CA21" s="24">
        <f t="shared" si="48"/>
        <v>3410777.7371359225</v>
      </c>
      <c r="CB21" s="24">
        <f t="shared" si="48"/>
        <v>3410777.7371359225</v>
      </c>
      <c r="CC21" s="24">
        <f t="shared" si="48"/>
        <v>3410777.7371359225</v>
      </c>
      <c r="CD21" s="24">
        <f t="shared" si="48"/>
        <v>3410777.7371359225</v>
      </c>
      <c r="CE21" s="24">
        <f t="shared" si="48"/>
        <v>3410777.7371359225</v>
      </c>
      <c r="CF21" s="24">
        <f t="shared" si="48"/>
        <v>3410777.7371359225</v>
      </c>
      <c r="CG21" s="24">
        <f t="shared" si="48"/>
        <v>3410777.7371359225</v>
      </c>
      <c r="CH21" s="24">
        <f t="shared" si="48"/>
        <v>3410777.7371359225</v>
      </c>
      <c r="CI21" s="24">
        <f t="shared" si="48"/>
        <v>3410777.7371359225</v>
      </c>
      <c r="CJ21" s="24">
        <f t="shared" si="48"/>
        <v>3410777.7371359225</v>
      </c>
      <c r="CK21" s="24">
        <f t="shared" si="48"/>
        <v>3410777.7371359225</v>
      </c>
      <c r="CL21" s="24">
        <f t="shared" si="48"/>
        <v>3410777.7371359225</v>
      </c>
      <c r="CM21" s="24">
        <f t="shared" si="48"/>
        <v>3410777.7371359225</v>
      </c>
      <c r="CN21" s="24">
        <f t="shared" si="48"/>
        <v>3410777.7371359225</v>
      </c>
      <c r="CO21" s="24">
        <f t="shared" si="48"/>
        <v>3410777.7371359225</v>
      </c>
      <c r="CP21" s="24">
        <f t="shared" si="48"/>
        <v>3410777.7371359225</v>
      </c>
      <c r="CQ21" s="24">
        <f t="shared" si="48"/>
        <v>3410777.7371359225</v>
      </c>
      <c r="CR21" s="24">
        <f t="shared" si="48"/>
        <v>3410777.7371359225</v>
      </c>
      <c r="CS21" s="24">
        <f t="shared" si="48"/>
        <v>3410777.7371359225</v>
      </c>
      <c r="CT21" s="24">
        <f t="shared" si="48"/>
        <v>3410777.7371359225</v>
      </c>
      <c r="CU21" s="24">
        <f t="shared" si="48"/>
        <v>3410777.7371359225</v>
      </c>
      <c r="CV21" s="24">
        <f t="shared" si="48"/>
        <v>3410777.7371359225</v>
      </c>
      <c r="CW21" s="24">
        <f t="shared" si="48"/>
        <v>3410777.7371359225</v>
      </c>
      <c r="CX21" s="24">
        <f t="shared" si="48"/>
        <v>3410777.7371359225</v>
      </c>
      <c r="CY21" s="24">
        <f t="shared" si="48"/>
        <v>3410777.7371359225</v>
      </c>
      <c r="CZ21" s="24">
        <f t="shared" si="48"/>
        <v>3410777.7371359225</v>
      </c>
      <c r="DA21" s="24">
        <f t="shared" si="48"/>
        <v>3410777.7371359225</v>
      </c>
      <c r="DB21" s="24">
        <f t="shared" si="48"/>
        <v>3410777.7371359225</v>
      </c>
      <c r="DC21" s="24">
        <f t="shared" si="48"/>
        <v>3410777.7371359225</v>
      </c>
      <c r="DD21" s="24">
        <f t="shared" si="48"/>
        <v>3410777.7371359225</v>
      </c>
      <c r="DE21" s="24">
        <f t="shared" si="48"/>
        <v>3410777.7371359225</v>
      </c>
      <c r="DF21" s="24">
        <f t="shared" si="48"/>
        <v>3410777.7371359225</v>
      </c>
      <c r="DG21" s="24">
        <f t="shared" si="48"/>
        <v>3410777.7371359225</v>
      </c>
      <c r="DH21" s="24">
        <f t="shared" si="48"/>
        <v>3410777.7371359225</v>
      </c>
      <c r="DI21" s="24">
        <f t="shared" si="48"/>
        <v>3410777.7371359225</v>
      </c>
      <c r="DJ21" s="24">
        <f t="shared" si="48"/>
        <v>3410777.7371359225</v>
      </c>
      <c r="DK21" s="24">
        <f t="shared" si="48"/>
        <v>3410777.7371359225</v>
      </c>
      <c r="DL21" s="24">
        <f t="shared" si="48"/>
        <v>3410777.7371359225</v>
      </c>
      <c r="DM21" s="24">
        <f t="shared" si="48"/>
        <v>3410777.7371359225</v>
      </c>
      <c r="DN21" s="24">
        <f t="shared" si="48"/>
        <v>3410777.7371359225</v>
      </c>
      <c r="DO21" s="24">
        <f t="shared" si="48"/>
        <v>3410777.7371359225</v>
      </c>
      <c r="DP21" s="24">
        <f t="shared" si="48"/>
        <v>3410777.7371359225</v>
      </c>
      <c r="DQ21" s="24">
        <f t="shared" si="48"/>
        <v>3410777.7371359225</v>
      </c>
      <c r="DR21" s="24">
        <f t="shared" si="48"/>
        <v>3410777.7371359225</v>
      </c>
      <c r="DS21" s="24">
        <f t="shared" si="48"/>
        <v>3410777.7371359225</v>
      </c>
      <c r="DT21" s="24">
        <f t="shared" si="48"/>
        <v>3410777.7371359225</v>
      </c>
      <c r="DU21" s="24">
        <f t="shared" si="48"/>
        <v>3410777.7371359225</v>
      </c>
      <c r="DV21" s="24">
        <f t="shared" si="48"/>
        <v>3410777.7371359225</v>
      </c>
      <c r="DW21" s="24">
        <f t="shared" si="48"/>
        <v>3410777.7371359225</v>
      </c>
      <c r="DX21" s="24">
        <f t="shared" si="48"/>
        <v>3410777.7371359225</v>
      </c>
      <c r="DY21" s="24">
        <f t="shared" si="48"/>
        <v>3410777.7371359225</v>
      </c>
      <c r="DZ21" s="24">
        <f t="shared" si="48"/>
        <v>3410777.7371359225</v>
      </c>
      <c r="EA21" s="24">
        <f t="shared" si="48"/>
        <v>3410777.7371359225</v>
      </c>
      <c r="EB21" s="24">
        <f t="shared" si="48"/>
        <v>3410777.7371359225</v>
      </c>
      <c r="EC21" s="24">
        <f t="shared" si="48"/>
        <v>3410777.7371359225</v>
      </c>
      <c r="ED21" s="24">
        <f t="shared" si="48"/>
        <v>3410777.7371359225</v>
      </c>
      <c r="EE21" s="24">
        <f t="shared" si="48"/>
        <v>3410777.7371359225</v>
      </c>
      <c r="EF21" s="24">
        <f t="shared" ref="EF21:GQ21" si="49">EF13*$C$15</f>
        <v>3410777.7371359225</v>
      </c>
      <c r="EG21" s="24">
        <f t="shared" si="49"/>
        <v>3410777.7371359225</v>
      </c>
      <c r="EH21" s="24">
        <f t="shared" si="49"/>
        <v>3410777.7371359225</v>
      </c>
      <c r="EI21" s="24">
        <f t="shared" si="49"/>
        <v>3410777.7371359225</v>
      </c>
      <c r="EJ21" s="24">
        <f t="shared" si="49"/>
        <v>3410777.7371359225</v>
      </c>
      <c r="EK21" s="24">
        <f t="shared" si="49"/>
        <v>3410777.7371359225</v>
      </c>
      <c r="EL21" s="24">
        <f t="shared" si="49"/>
        <v>3410777.7371359225</v>
      </c>
      <c r="EM21" s="24">
        <f t="shared" si="49"/>
        <v>3410777.7371359225</v>
      </c>
      <c r="EN21" s="24">
        <f t="shared" si="49"/>
        <v>3410777.7371359225</v>
      </c>
      <c r="EO21" s="24">
        <f t="shared" si="49"/>
        <v>3410777.7371359225</v>
      </c>
      <c r="EP21" s="24">
        <f t="shared" si="49"/>
        <v>3410777.7371359225</v>
      </c>
      <c r="EQ21" s="24">
        <f t="shared" si="49"/>
        <v>3410777.7371359225</v>
      </c>
      <c r="ER21" s="24">
        <f t="shared" si="49"/>
        <v>3410777.7371359225</v>
      </c>
      <c r="ES21" s="24">
        <f t="shared" si="49"/>
        <v>3410777.7371359225</v>
      </c>
      <c r="ET21" s="24">
        <f t="shared" si="49"/>
        <v>3410777.7371359225</v>
      </c>
      <c r="EU21" s="24">
        <f t="shared" si="49"/>
        <v>3410777.7371359225</v>
      </c>
      <c r="EV21" s="24">
        <f t="shared" si="49"/>
        <v>3410777.7371359225</v>
      </c>
      <c r="EW21" s="24">
        <f t="shared" si="49"/>
        <v>3410777.7371359225</v>
      </c>
      <c r="EX21" s="24">
        <f t="shared" si="49"/>
        <v>3410777.7371359225</v>
      </c>
      <c r="EY21" s="24">
        <f t="shared" si="49"/>
        <v>3410777.7371359225</v>
      </c>
      <c r="EZ21" s="24">
        <f t="shared" si="49"/>
        <v>3410777.7371359225</v>
      </c>
      <c r="FA21" s="24">
        <f t="shared" si="49"/>
        <v>3410777.7371359225</v>
      </c>
      <c r="FB21" s="24">
        <f t="shared" si="49"/>
        <v>3410777.7371359225</v>
      </c>
      <c r="FC21" s="24">
        <f t="shared" si="49"/>
        <v>3410777.7371359225</v>
      </c>
      <c r="FD21" s="24">
        <f t="shared" si="49"/>
        <v>3410777.7371359225</v>
      </c>
      <c r="FE21" s="24">
        <f t="shared" si="49"/>
        <v>3410777.7371359225</v>
      </c>
      <c r="FF21" s="24">
        <f t="shared" si="49"/>
        <v>3410777.7371359225</v>
      </c>
      <c r="FG21" s="24">
        <f t="shared" si="49"/>
        <v>3410777.7371359225</v>
      </c>
      <c r="FH21" s="24">
        <f t="shared" si="49"/>
        <v>3410777.7371359225</v>
      </c>
      <c r="FI21" s="24">
        <f t="shared" si="49"/>
        <v>3410777.7371359225</v>
      </c>
      <c r="FJ21" s="24">
        <f t="shared" si="49"/>
        <v>3410777.7371359225</v>
      </c>
      <c r="FK21" s="24">
        <f t="shared" si="49"/>
        <v>3410777.7371359225</v>
      </c>
      <c r="FL21" s="24">
        <f t="shared" si="49"/>
        <v>3410777.7371359225</v>
      </c>
      <c r="FM21" s="24">
        <f t="shared" si="49"/>
        <v>3410777.7371359225</v>
      </c>
      <c r="FN21" s="24">
        <f t="shared" si="49"/>
        <v>3410777.7371359225</v>
      </c>
      <c r="FO21" s="24">
        <f t="shared" si="49"/>
        <v>3410777.7371359225</v>
      </c>
      <c r="FP21" s="24">
        <f t="shared" si="49"/>
        <v>3410777.7371359225</v>
      </c>
      <c r="FQ21" s="24">
        <f t="shared" si="49"/>
        <v>3410777.7371359225</v>
      </c>
      <c r="FR21" s="24">
        <f t="shared" si="49"/>
        <v>3410777.7371359225</v>
      </c>
      <c r="FS21" s="24">
        <f t="shared" si="49"/>
        <v>3410777.7371359225</v>
      </c>
      <c r="FT21" s="24">
        <f t="shared" si="49"/>
        <v>3410777.7371359225</v>
      </c>
      <c r="FU21" s="24">
        <f t="shared" si="49"/>
        <v>3410777.7371359225</v>
      </c>
      <c r="FV21" s="24">
        <f t="shared" si="49"/>
        <v>3410777.7371359225</v>
      </c>
      <c r="FW21" s="24">
        <f t="shared" si="49"/>
        <v>3410777.7371359225</v>
      </c>
      <c r="FX21" s="24">
        <f t="shared" si="49"/>
        <v>3410777.7371359225</v>
      </c>
      <c r="FY21" s="24">
        <f t="shared" si="49"/>
        <v>3410777.7371359225</v>
      </c>
      <c r="FZ21" s="24">
        <f t="shared" si="49"/>
        <v>3410777.7371359225</v>
      </c>
      <c r="GA21" s="24">
        <f t="shared" si="49"/>
        <v>3410777.7371359225</v>
      </c>
      <c r="GB21" s="24">
        <f t="shared" si="49"/>
        <v>3410777.7371359225</v>
      </c>
      <c r="GC21" s="24">
        <f t="shared" si="49"/>
        <v>3410777.7371359225</v>
      </c>
      <c r="GD21" s="24">
        <f t="shared" si="49"/>
        <v>3410777.7371359225</v>
      </c>
      <c r="GE21" s="24">
        <f t="shared" si="49"/>
        <v>3410777.7371359225</v>
      </c>
      <c r="GF21" s="24">
        <f t="shared" si="49"/>
        <v>3410777.7371359225</v>
      </c>
      <c r="GG21" s="24">
        <f t="shared" si="49"/>
        <v>3410777.7371359225</v>
      </c>
      <c r="GH21" s="24">
        <f t="shared" si="49"/>
        <v>3410777.7371359225</v>
      </c>
      <c r="GI21" s="24">
        <f t="shared" si="49"/>
        <v>3410777.7371359225</v>
      </c>
      <c r="GJ21" s="24">
        <f t="shared" si="49"/>
        <v>3410777.7371359225</v>
      </c>
      <c r="GK21" s="24">
        <f t="shared" si="49"/>
        <v>3410777.7371359225</v>
      </c>
      <c r="GL21" s="24">
        <f t="shared" si="49"/>
        <v>3410777.7371359225</v>
      </c>
      <c r="GM21" s="24">
        <f t="shared" si="49"/>
        <v>3410777.7371359225</v>
      </c>
      <c r="GN21" s="24">
        <f t="shared" si="49"/>
        <v>3410777.7371359225</v>
      </c>
      <c r="GO21" s="24">
        <f t="shared" si="49"/>
        <v>3410777.7371359225</v>
      </c>
      <c r="GP21" s="24">
        <f t="shared" si="49"/>
        <v>3410777.7371359225</v>
      </c>
      <c r="GQ21" s="24">
        <f t="shared" si="49"/>
        <v>3410777.7371359225</v>
      </c>
      <c r="GR21" s="24">
        <f t="shared" ref="GR21:IN21" si="50">GR13*$C$15</f>
        <v>3410777.7371359225</v>
      </c>
      <c r="GS21" s="24">
        <f t="shared" si="50"/>
        <v>3410777.7371359225</v>
      </c>
      <c r="GT21" s="24">
        <f t="shared" si="50"/>
        <v>3410777.7371359225</v>
      </c>
      <c r="GU21" s="24">
        <f t="shared" si="50"/>
        <v>3410777.7371359225</v>
      </c>
      <c r="GV21" s="24">
        <f t="shared" si="50"/>
        <v>3410777.7371359225</v>
      </c>
      <c r="GW21" s="24">
        <f t="shared" si="50"/>
        <v>3410777.7371359225</v>
      </c>
      <c r="GX21" s="24">
        <f t="shared" si="50"/>
        <v>3410777.7371359225</v>
      </c>
      <c r="GY21" s="24">
        <f t="shared" si="50"/>
        <v>3410777.7371359225</v>
      </c>
      <c r="GZ21" s="24">
        <f t="shared" si="50"/>
        <v>3410777.7371359225</v>
      </c>
      <c r="HA21" s="24">
        <f t="shared" si="50"/>
        <v>3410777.7371359225</v>
      </c>
      <c r="HB21" s="24">
        <f t="shared" si="50"/>
        <v>3410777.7371359225</v>
      </c>
      <c r="HC21" s="24">
        <f t="shared" si="50"/>
        <v>3410777.7371359225</v>
      </c>
      <c r="HD21" s="24">
        <f t="shared" si="50"/>
        <v>3410777.7371359225</v>
      </c>
      <c r="HE21" s="24">
        <f t="shared" si="50"/>
        <v>3410777.7371359225</v>
      </c>
      <c r="HF21" s="24">
        <f t="shared" si="50"/>
        <v>3410777.7371359225</v>
      </c>
      <c r="HG21" s="24">
        <f t="shared" si="50"/>
        <v>3410777.7371359225</v>
      </c>
      <c r="HH21" s="24">
        <f t="shared" si="50"/>
        <v>3410777.7371359225</v>
      </c>
      <c r="HI21" s="24">
        <f t="shared" si="50"/>
        <v>3410777.7371359225</v>
      </c>
      <c r="HJ21" s="24">
        <f t="shared" si="50"/>
        <v>3410777.7371359225</v>
      </c>
      <c r="HK21" s="24">
        <f t="shared" si="50"/>
        <v>3410777.7371359225</v>
      </c>
      <c r="HL21" s="24">
        <f t="shared" si="50"/>
        <v>3410777.7371359225</v>
      </c>
      <c r="HM21" s="24">
        <f t="shared" si="50"/>
        <v>3410777.7371359225</v>
      </c>
      <c r="HN21" s="24">
        <f t="shared" si="50"/>
        <v>3410777.7371359225</v>
      </c>
      <c r="HO21" s="24">
        <f t="shared" si="50"/>
        <v>3410777.7371359225</v>
      </c>
      <c r="HP21" s="24">
        <f t="shared" si="50"/>
        <v>3410777.7371359225</v>
      </c>
      <c r="HQ21" s="24">
        <f t="shared" si="50"/>
        <v>3410777.7371359225</v>
      </c>
      <c r="HR21" s="24">
        <f t="shared" si="50"/>
        <v>3410777.7371359225</v>
      </c>
      <c r="HS21" s="24">
        <f t="shared" si="50"/>
        <v>3410777.7371359225</v>
      </c>
      <c r="HT21" s="24">
        <f t="shared" si="50"/>
        <v>3410777.7371359225</v>
      </c>
      <c r="HU21" s="24">
        <f t="shared" si="50"/>
        <v>3410777.7371359225</v>
      </c>
      <c r="HV21" s="24">
        <f t="shared" si="50"/>
        <v>3410777.7371359225</v>
      </c>
      <c r="HW21" s="24">
        <f t="shared" si="50"/>
        <v>3410777.7371359225</v>
      </c>
      <c r="HX21" s="24">
        <f t="shared" si="50"/>
        <v>3410777.7371359225</v>
      </c>
      <c r="HY21" s="24">
        <f t="shared" si="50"/>
        <v>3410777.7371359225</v>
      </c>
      <c r="HZ21" s="24">
        <f t="shared" si="50"/>
        <v>3410777.7371359225</v>
      </c>
      <c r="IA21" s="24">
        <f t="shared" si="50"/>
        <v>3410777.7371359225</v>
      </c>
      <c r="IB21" s="24">
        <f t="shared" si="50"/>
        <v>3410777.7371359225</v>
      </c>
      <c r="IC21" s="24">
        <f t="shared" si="50"/>
        <v>3410777.7371359225</v>
      </c>
      <c r="ID21" s="24">
        <f t="shared" si="50"/>
        <v>3410777.7371359225</v>
      </c>
      <c r="IE21" s="24">
        <f t="shared" si="50"/>
        <v>3410777.7371359225</v>
      </c>
      <c r="IF21" s="24">
        <f t="shared" si="50"/>
        <v>3410777.7371359225</v>
      </c>
      <c r="IG21" s="24">
        <f t="shared" si="50"/>
        <v>3410777.7371359225</v>
      </c>
      <c r="IH21" s="24">
        <f t="shared" si="50"/>
        <v>3410777.7371359225</v>
      </c>
      <c r="II21" s="24">
        <f t="shared" si="50"/>
        <v>3410777.7371359225</v>
      </c>
      <c r="IJ21" s="24">
        <f t="shared" si="50"/>
        <v>3410777.7371359225</v>
      </c>
      <c r="IK21" s="24">
        <f t="shared" si="50"/>
        <v>3410777.7371359225</v>
      </c>
      <c r="IL21" s="24">
        <f t="shared" si="50"/>
        <v>3410777.7371359225</v>
      </c>
      <c r="IM21" s="24">
        <f t="shared" si="50"/>
        <v>3410777.7371359225</v>
      </c>
      <c r="IN21" s="24">
        <f t="shared" si="50"/>
        <v>3410777.7371359225</v>
      </c>
    </row>
    <row r="22" spans="2:248" x14ac:dyDescent="0.3">
      <c r="C22" s="42"/>
      <c r="F22" s="22" t="s">
        <v>501</v>
      </c>
      <c r="G22" s="24">
        <f>G15*$C$15</f>
        <v>13.43992718446602</v>
      </c>
      <c r="H22" s="24">
        <f t="shared" ref="H22:BS22" si="51">H15*$C$15</f>
        <v>19.343446601941746</v>
      </c>
      <c r="I22" s="24">
        <f t="shared" si="51"/>
        <v>23.488470873786408</v>
      </c>
      <c r="J22" s="24">
        <f t="shared" si="51"/>
        <v>31.778519417475728</v>
      </c>
      <c r="K22" s="24">
        <f t="shared" si="51"/>
        <v>37.682038834951456</v>
      </c>
      <c r="L22" s="24">
        <f t="shared" si="51"/>
        <v>45.092839805825243</v>
      </c>
      <c r="M22" s="24">
        <f t="shared" si="51"/>
        <v>54.262135922330096</v>
      </c>
      <c r="N22" s="24">
        <f t="shared" si="51"/>
        <v>70.716626213592235</v>
      </c>
      <c r="O22" s="24">
        <f t="shared" si="51"/>
        <v>97.345266990291265</v>
      </c>
      <c r="P22" s="24">
        <f t="shared" si="51"/>
        <v>138.66990291262135</v>
      </c>
      <c r="Q22" s="24">
        <f t="shared" si="51"/>
        <v>165.17293689320388</v>
      </c>
      <c r="R22" s="24">
        <f t="shared" si="51"/>
        <v>185.14441747572815</v>
      </c>
      <c r="S22" s="24">
        <f t="shared" si="51"/>
        <v>232.49817961165047</v>
      </c>
      <c r="T22" s="24">
        <f t="shared" si="51"/>
        <v>314.39381067961165</v>
      </c>
      <c r="U22" s="24">
        <f t="shared" si="51"/>
        <v>388.25060679611653</v>
      </c>
      <c r="V22" s="24">
        <f t="shared" si="51"/>
        <v>543.55084951456308</v>
      </c>
      <c r="W22" s="24">
        <f t="shared" si="51"/>
        <v>760.97118932038825</v>
      </c>
      <c r="X22" s="24">
        <f t="shared" si="51"/>
        <v>1065.3596650485433</v>
      </c>
      <c r="Y22" s="24">
        <f t="shared" si="51"/>
        <v>1491.5035310679607</v>
      </c>
      <c r="Z22" s="24">
        <f t="shared" si="51"/>
        <v>2088.1049434951447</v>
      </c>
      <c r="AA22" s="24">
        <f t="shared" si="51"/>
        <v>2923.3469208932024</v>
      </c>
      <c r="AB22" s="24">
        <f t="shared" si="51"/>
        <v>4092.6856892504829</v>
      </c>
      <c r="AC22" s="24">
        <f t="shared" si="51"/>
        <v>5729.7599649506756</v>
      </c>
      <c r="AD22" s="24">
        <f t="shared" si="51"/>
        <v>8021.6639509309452</v>
      </c>
      <c r="AE22" s="24">
        <f t="shared" si="51"/>
        <v>11230.329531303323</v>
      </c>
      <c r="AF22" s="24">
        <f t="shared" si="51"/>
        <v>15722.461343824651</v>
      </c>
      <c r="AG22" s="24">
        <f t="shared" si="51"/>
        <v>22011.44588135451</v>
      </c>
      <c r="AH22" s="24">
        <f t="shared" si="51"/>
        <v>30816.024233896314</v>
      </c>
      <c r="AI22" s="24">
        <f t="shared" si="51"/>
        <v>43142.433927454833</v>
      </c>
      <c r="AJ22" s="24">
        <f t="shared" si="51"/>
        <v>60399.407498436769</v>
      </c>
      <c r="AK22" s="24">
        <f t="shared" si="51"/>
        <v>84559.170497811472</v>
      </c>
      <c r="AL22" s="24">
        <f t="shared" si="51"/>
        <v>118382.83869693604</v>
      </c>
      <c r="AM22" s="24">
        <f t="shared" si="51"/>
        <v>165735.97417571046</v>
      </c>
      <c r="AN22" s="24">
        <f t="shared" si="51"/>
        <v>232030.36384599464</v>
      </c>
      <c r="AO22" s="24">
        <f t="shared" si="51"/>
        <v>324842.50938439247</v>
      </c>
      <c r="AP22" s="24">
        <f t="shared" si="51"/>
        <v>454779.5131381494</v>
      </c>
      <c r="AQ22" s="24">
        <f t="shared" si="51"/>
        <v>636691.31839340914</v>
      </c>
      <c r="AR22" s="24">
        <f t="shared" si="51"/>
        <v>891367.84575077274</v>
      </c>
      <c r="AS22" s="24">
        <f t="shared" si="51"/>
        <v>1247914.9840510818</v>
      </c>
      <c r="AT22" s="24">
        <f t="shared" si="51"/>
        <v>1747080.9776715145</v>
      </c>
      <c r="AU22" s="24">
        <f t="shared" si="51"/>
        <v>2445913.36874012</v>
      </c>
      <c r="AV22" s="24">
        <f t="shared" si="51"/>
        <v>3410777.7371359225</v>
      </c>
      <c r="AW22" s="24">
        <f t="shared" si="51"/>
        <v>3410777.7371359225</v>
      </c>
      <c r="AX22" s="24">
        <f t="shared" si="51"/>
        <v>3410777.7371359225</v>
      </c>
      <c r="AY22" s="24">
        <f t="shared" si="51"/>
        <v>3410777.7371359225</v>
      </c>
      <c r="AZ22" s="24">
        <f t="shared" si="51"/>
        <v>3410777.7371359225</v>
      </c>
      <c r="BA22" s="24">
        <f t="shared" si="51"/>
        <v>3410777.7371359225</v>
      </c>
      <c r="BB22" s="24">
        <f t="shared" si="51"/>
        <v>3410777.7371359225</v>
      </c>
      <c r="BC22" s="24">
        <f t="shared" si="51"/>
        <v>3410777.7371359225</v>
      </c>
      <c r="BD22" s="24">
        <f t="shared" si="51"/>
        <v>3410777.7371359225</v>
      </c>
      <c r="BE22" s="24">
        <f t="shared" si="51"/>
        <v>3410777.7371359225</v>
      </c>
      <c r="BF22" s="24">
        <f t="shared" si="51"/>
        <v>3410777.7371359225</v>
      </c>
      <c r="BG22" s="24">
        <f t="shared" si="51"/>
        <v>3410777.7371359225</v>
      </c>
      <c r="BH22" s="24">
        <f t="shared" si="51"/>
        <v>3410777.7371359225</v>
      </c>
      <c r="BI22" s="24">
        <f t="shared" si="51"/>
        <v>3410777.7371359225</v>
      </c>
      <c r="BJ22" s="24">
        <f t="shared" si="51"/>
        <v>3410777.7371359225</v>
      </c>
      <c r="BK22" s="24">
        <f t="shared" si="51"/>
        <v>3410777.7371359225</v>
      </c>
      <c r="BL22" s="24">
        <f t="shared" si="51"/>
        <v>3410777.7371359225</v>
      </c>
      <c r="BM22" s="24">
        <f t="shared" si="51"/>
        <v>3410777.7371359225</v>
      </c>
      <c r="BN22" s="24">
        <f t="shared" si="51"/>
        <v>3410777.7371359225</v>
      </c>
      <c r="BO22" s="24">
        <f t="shared" si="51"/>
        <v>3410777.7371359225</v>
      </c>
      <c r="BP22" s="24">
        <f t="shared" si="51"/>
        <v>3410777.7371359225</v>
      </c>
      <c r="BQ22" s="24">
        <f t="shared" si="51"/>
        <v>3410777.7371359225</v>
      </c>
      <c r="BR22" s="24">
        <f t="shared" si="51"/>
        <v>3410777.7371359225</v>
      </c>
      <c r="BS22" s="24">
        <f t="shared" si="51"/>
        <v>3410777.7371359225</v>
      </c>
      <c r="BT22" s="24">
        <f t="shared" ref="BT22:EE22" si="52">BT15*$C$15</f>
        <v>3410777.7371359225</v>
      </c>
      <c r="BU22" s="24">
        <f t="shared" si="52"/>
        <v>3410777.7371359225</v>
      </c>
      <c r="BV22" s="24">
        <f t="shared" si="52"/>
        <v>3410777.7371359225</v>
      </c>
      <c r="BW22" s="24">
        <f t="shared" si="52"/>
        <v>3410777.7371359225</v>
      </c>
      <c r="BX22" s="24">
        <f t="shared" si="52"/>
        <v>3410777.7371359225</v>
      </c>
      <c r="BY22" s="24">
        <f t="shared" si="52"/>
        <v>3410777.7371359225</v>
      </c>
      <c r="BZ22" s="24">
        <f t="shared" si="52"/>
        <v>3410777.7371359225</v>
      </c>
      <c r="CA22" s="24">
        <f t="shared" si="52"/>
        <v>3410777.7371359225</v>
      </c>
      <c r="CB22" s="24">
        <f t="shared" si="52"/>
        <v>3410777.7371359225</v>
      </c>
      <c r="CC22" s="24">
        <f t="shared" si="52"/>
        <v>3410777.7371359225</v>
      </c>
      <c r="CD22" s="24">
        <f t="shared" si="52"/>
        <v>3410777.7371359225</v>
      </c>
      <c r="CE22" s="24">
        <f t="shared" si="52"/>
        <v>3410777.7371359225</v>
      </c>
      <c r="CF22" s="24">
        <f t="shared" si="52"/>
        <v>3410777.7371359225</v>
      </c>
      <c r="CG22" s="24">
        <f t="shared" si="52"/>
        <v>3410777.7371359225</v>
      </c>
      <c r="CH22" s="24">
        <f t="shared" si="52"/>
        <v>3410777.7371359225</v>
      </c>
      <c r="CI22" s="24">
        <f t="shared" si="52"/>
        <v>3410777.7371359225</v>
      </c>
      <c r="CJ22" s="24">
        <f t="shared" si="52"/>
        <v>3410777.7371359225</v>
      </c>
      <c r="CK22" s="24">
        <f t="shared" si="52"/>
        <v>3410777.7371359225</v>
      </c>
      <c r="CL22" s="24">
        <f t="shared" si="52"/>
        <v>3410777.7371359225</v>
      </c>
      <c r="CM22" s="24">
        <f t="shared" si="52"/>
        <v>3410777.7371359225</v>
      </c>
      <c r="CN22" s="24">
        <f t="shared" si="52"/>
        <v>3410777.7371359225</v>
      </c>
      <c r="CO22" s="24">
        <f t="shared" si="52"/>
        <v>3410777.7371359225</v>
      </c>
      <c r="CP22" s="24">
        <f t="shared" si="52"/>
        <v>3410777.7371359225</v>
      </c>
      <c r="CQ22" s="24">
        <f t="shared" si="52"/>
        <v>3410777.7371359225</v>
      </c>
      <c r="CR22" s="24">
        <f t="shared" si="52"/>
        <v>3410777.7371359225</v>
      </c>
      <c r="CS22" s="24">
        <f t="shared" si="52"/>
        <v>3410777.7371359225</v>
      </c>
      <c r="CT22" s="24">
        <f t="shared" si="52"/>
        <v>3410777.7371359225</v>
      </c>
      <c r="CU22" s="24">
        <f t="shared" si="52"/>
        <v>3410777.7371359225</v>
      </c>
      <c r="CV22" s="24">
        <f t="shared" si="52"/>
        <v>3410777.7371359225</v>
      </c>
      <c r="CW22" s="24">
        <f t="shared" si="52"/>
        <v>3410777.7371359225</v>
      </c>
      <c r="CX22" s="24">
        <f t="shared" si="52"/>
        <v>3410777.7371359225</v>
      </c>
      <c r="CY22" s="24">
        <f t="shared" si="52"/>
        <v>3410777.7371359225</v>
      </c>
      <c r="CZ22" s="24">
        <f t="shared" si="52"/>
        <v>3410777.7371359225</v>
      </c>
      <c r="DA22" s="24">
        <f t="shared" si="52"/>
        <v>3410777.7371359225</v>
      </c>
      <c r="DB22" s="24">
        <f t="shared" si="52"/>
        <v>3410777.7371359225</v>
      </c>
      <c r="DC22" s="24">
        <f t="shared" si="52"/>
        <v>3410777.7371359225</v>
      </c>
      <c r="DD22" s="24">
        <f t="shared" si="52"/>
        <v>3410777.7371359225</v>
      </c>
      <c r="DE22" s="24">
        <f t="shared" si="52"/>
        <v>3410777.7371359225</v>
      </c>
      <c r="DF22" s="24">
        <f t="shared" si="52"/>
        <v>3410777.7371359225</v>
      </c>
      <c r="DG22" s="24">
        <f t="shared" si="52"/>
        <v>3410777.7371359225</v>
      </c>
      <c r="DH22" s="24">
        <f t="shared" si="52"/>
        <v>3410777.7371359225</v>
      </c>
      <c r="DI22" s="24">
        <f t="shared" si="52"/>
        <v>3410777.7371359225</v>
      </c>
      <c r="DJ22" s="24">
        <f t="shared" si="52"/>
        <v>3410777.7371359225</v>
      </c>
      <c r="DK22" s="24">
        <f t="shared" si="52"/>
        <v>3410777.7371359225</v>
      </c>
      <c r="DL22" s="24">
        <f t="shared" si="52"/>
        <v>3410777.7371359225</v>
      </c>
      <c r="DM22" s="24">
        <f t="shared" si="52"/>
        <v>3410777.7371359225</v>
      </c>
      <c r="DN22" s="24">
        <f t="shared" si="52"/>
        <v>3410777.7371359225</v>
      </c>
      <c r="DO22" s="24">
        <f t="shared" si="52"/>
        <v>3410777.7371359225</v>
      </c>
      <c r="DP22" s="24">
        <f t="shared" si="52"/>
        <v>3410777.7371359225</v>
      </c>
      <c r="DQ22" s="24">
        <f t="shared" si="52"/>
        <v>3410777.7371359225</v>
      </c>
      <c r="DR22" s="24">
        <f t="shared" si="52"/>
        <v>3410777.7371359225</v>
      </c>
      <c r="DS22" s="24">
        <f t="shared" si="52"/>
        <v>3410777.7371359225</v>
      </c>
      <c r="DT22" s="24">
        <f t="shared" si="52"/>
        <v>3410777.7371359225</v>
      </c>
      <c r="DU22" s="24">
        <f t="shared" si="52"/>
        <v>3410777.7371359225</v>
      </c>
      <c r="DV22" s="24">
        <f t="shared" si="52"/>
        <v>3410777.7371359225</v>
      </c>
      <c r="DW22" s="24">
        <f t="shared" si="52"/>
        <v>3410777.7371359225</v>
      </c>
      <c r="DX22" s="24">
        <f t="shared" si="52"/>
        <v>3410777.7371359225</v>
      </c>
      <c r="DY22" s="24">
        <f t="shared" si="52"/>
        <v>3410777.7371359225</v>
      </c>
      <c r="DZ22" s="24">
        <f t="shared" si="52"/>
        <v>3410777.7371359225</v>
      </c>
      <c r="EA22" s="24">
        <f t="shared" si="52"/>
        <v>3410777.7371359225</v>
      </c>
      <c r="EB22" s="24">
        <f t="shared" si="52"/>
        <v>3410777.7371359225</v>
      </c>
      <c r="EC22" s="24">
        <f t="shared" si="52"/>
        <v>3410777.7371359225</v>
      </c>
      <c r="ED22" s="24">
        <f t="shared" si="52"/>
        <v>3410777.7371359225</v>
      </c>
      <c r="EE22" s="24">
        <f t="shared" si="52"/>
        <v>3410777.7371359225</v>
      </c>
      <c r="EF22" s="24">
        <f t="shared" ref="EF22:GQ22" si="53">EF15*$C$15</f>
        <v>3410777.7371359225</v>
      </c>
      <c r="EG22" s="24">
        <f t="shared" si="53"/>
        <v>3410777.7371359225</v>
      </c>
      <c r="EH22" s="24">
        <f t="shared" si="53"/>
        <v>3410777.7371359225</v>
      </c>
      <c r="EI22" s="24">
        <f t="shared" si="53"/>
        <v>3410777.7371359225</v>
      </c>
      <c r="EJ22" s="24">
        <f t="shared" si="53"/>
        <v>3410777.7371359225</v>
      </c>
      <c r="EK22" s="24">
        <f t="shared" si="53"/>
        <v>3410777.7371359225</v>
      </c>
      <c r="EL22" s="24">
        <f t="shared" si="53"/>
        <v>3410777.7371359225</v>
      </c>
      <c r="EM22" s="24">
        <f t="shared" si="53"/>
        <v>3410777.7371359225</v>
      </c>
      <c r="EN22" s="24">
        <f t="shared" si="53"/>
        <v>3410777.7371359225</v>
      </c>
      <c r="EO22" s="24">
        <f t="shared" si="53"/>
        <v>3410777.7371359225</v>
      </c>
      <c r="EP22" s="24">
        <f t="shared" si="53"/>
        <v>3410777.7371359225</v>
      </c>
      <c r="EQ22" s="24">
        <f t="shared" si="53"/>
        <v>3410777.7371359225</v>
      </c>
      <c r="ER22" s="24">
        <f t="shared" si="53"/>
        <v>3410777.7371359225</v>
      </c>
      <c r="ES22" s="24">
        <f t="shared" si="53"/>
        <v>3410777.7371359225</v>
      </c>
      <c r="ET22" s="24">
        <f t="shared" si="53"/>
        <v>3410777.7371359225</v>
      </c>
      <c r="EU22" s="24">
        <f t="shared" si="53"/>
        <v>3410777.7371359225</v>
      </c>
      <c r="EV22" s="24">
        <f t="shared" si="53"/>
        <v>3410777.7371359225</v>
      </c>
      <c r="EW22" s="24">
        <f t="shared" si="53"/>
        <v>3410777.7371359225</v>
      </c>
      <c r="EX22" s="24">
        <f t="shared" si="53"/>
        <v>3410777.7371359225</v>
      </c>
      <c r="EY22" s="24">
        <f t="shared" si="53"/>
        <v>3410777.7371359225</v>
      </c>
      <c r="EZ22" s="24">
        <f t="shared" si="53"/>
        <v>3410777.7371359225</v>
      </c>
      <c r="FA22" s="24">
        <f t="shared" si="53"/>
        <v>3410777.7371359225</v>
      </c>
      <c r="FB22" s="24">
        <f t="shared" si="53"/>
        <v>3410777.7371359225</v>
      </c>
      <c r="FC22" s="24">
        <f t="shared" si="53"/>
        <v>3410777.7371359225</v>
      </c>
      <c r="FD22" s="24">
        <f t="shared" si="53"/>
        <v>3410777.7371359225</v>
      </c>
      <c r="FE22" s="24">
        <f t="shared" si="53"/>
        <v>3410777.7371359225</v>
      </c>
      <c r="FF22" s="24">
        <f t="shared" si="53"/>
        <v>3410777.7371359225</v>
      </c>
      <c r="FG22" s="24">
        <f t="shared" si="53"/>
        <v>3410777.7371359225</v>
      </c>
      <c r="FH22" s="24">
        <f t="shared" si="53"/>
        <v>3410777.7371359225</v>
      </c>
      <c r="FI22" s="24">
        <f t="shared" si="53"/>
        <v>3410777.7371359225</v>
      </c>
      <c r="FJ22" s="24">
        <f t="shared" si="53"/>
        <v>3410777.7371359225</v>
      </c>
      <c r="FK22" s="24">
        <f t="shared" si="53"/>
        <v>3410777.7371359225</v>
      </c>
      <c r="FL22" s="24">
        <f t="shared" si="53"/>
        <v>3410777.7371359225</v>
      </c>
      <c r="FM22" s="24">
        <f t="shared" si="53"/>
        <v>3410777.7371359225</v>
      </c>
      <c r="FN22" s="24">
        <f t="shared" si="53"/>
        <v>3410777.7371359225</v>
      </c>
      <c r="FO22" s="24">
        <f t="shared" si="53"/>
        <v>3410777.7371359225</v>
      </c>
      <c r="FP22" s="24">
        <f t="shared" si="53"/>
        <v>3410777.7371359225</v>
      </c>
      <c r="FQ22" s="24">
        <f t="shared" si="53"/>
        <v>3410777.7371359225</v>
      </c>
      <c r="FR22" s="24">
        <f t="shared" si="53"/>
        <v>3410777.7371359225</v>
      </c>
      <c r="FS22" s="24">
        <f t="shared" si="53"/>
        <v>3410777.7371359225</v>
      </c>
      <c r="FT22" s="24">
        <f t="shared" si="53"/>
        <v>3410777.7371359225</v>
      </c>
      <c r="FU22" s="24">
        <f t="shared" si="53"/>
        <v>3410777.7371359225</v>
      </c>
      <c r="FV22" s="24">
        <f t="shared" si="53"/>
        <v>3410777.7371359225</v>
      </c>
      <c r="FW22" s="24">
        <f t="shared" si="53"/>
        <v>3410777.7371359225</v>
      </c>
      <c r="FX22" s="24">
        <f t="shared" si="53"/>
        <v>3410777.7371359225</v>
      </c>
      <c r="FY22" s="24">
        <f t="shared" si="53"/>
        <v>3410777.7371359225</v>
      </c>
      <c r="FZ22" s="24">
        <f t="shared" si="53"/>
        <v>3410777.7371359225</v>
      </c>
      <c r="GA22" s="24">
        <f t="shared" si="53"/>
        <v>3410777.7371359225</v>
      </c>
      <c r="GB22" s="24">
        <f t="shared" si="53"/>
        <v>3410777.7371359225</v>
      </c>
      <c r="GC22" s="24">
        <f t="shared" si="53"/>
        <v>3410777.7371359225</v>
      </c>
      <c r="GD22" s="24">
        <f t="shared" si="53"/>
        <v>3410777.7371359225</v>
      </c>
      <c r="GE22" s="24">
        <f t="shared" si="53"/>
        <v>3410777.7371359225</v>
      </c>
      <c r="GF22" s="24">
        <f t="shared" si="53"/>
        <v>3410777.7371359225</v>
      </c>
      <c r="GG22" s="24">
        <f t="shared" si="53"/>
        <v>3410777.7371359225</v>
      </c>
      <c r="GH22" s="24">
        <f t="shared" si="53"/>
        <v>3410777.7371359225</v>
      </c>
      <c r="GI22" s="24">
        <f t="shared" si="53"/>
        <v>3410777.7371359225</v>
      </c>
      <c r="GJ22" s="24">
        <f t="shared" si="53"/>
        <v>3410777.7371359225</v>
      </c>
      <c r="GK22" s="24">
        <f t="shared" si="53"/>
        <v>3410777.7371359225</v>
      </c>
      <c r="GL22" s="24">
        <f t="shared" si="53"/>
        <v>3410777.7371359225</v>
      </c>
      <c r="GM22" s="24">
        <f t="shared" si="53"/>
        <v>3410777.7371359225</v>
      </c>
      <c r="GN22" s="24">
        <f t="shared" si="53"/>
        <v>3410777.7371359225</v>
      </c>
      <c r="GO22" s="24">
        <f t="shared" si="53"/>
        <v>3410777.7371359225</v>
      </c>
      <c r="GP22" s="24">
        <f t="shared" si="53"/>
        <v>3410777.7371359225</v>
      </c>
      <c r="GQ22" s="24">
        <f t="shared" si="53"/>
        <v>3410777.7371359225</v>
      </c>
      <c r="GR22" s="24">
        <f t="shared" ref="GR22:IN22" si="54">GR15*$C$15</f>
        <v>3410777.7371359225</v>
      </c>
      <c r="GS22" s="24">
        <f t="shared" si="54"/>
        <v>3410777.7371359225</v>
      </c>
      <c r="GT22" s="24">
        <f t="shared" si="54"/>
        <v>3410777.7371359225</v>
      </c>
      <c r="GU22" s="24">
        <f t="shared" si="54"/>
        <v>3410777.7371359225</v>
      </c>
      <c r="GV22" s="24">
        <f t="shared" si="54"/>
        <v>3410777.7371359225</v>
      </c>
      <c r="GW22" s="24">
        <f t="shared" si="54"/>
        <v>3410777.7371359225</v>
      </c>
      <c r="GX22" s="24">
        <f t="shared" si="54"/>
        <v>3410777.7371359225</v>
      </c>
      <c r="GY22" s="24">
        <f t="shared" si="54"/>
        <v>3410777.7371359225</v>
      </c>
      <c r="GZ22" s="24">
        <f t="shared" si="54"/>
        <v>3410777.7371359225</v>
      </c>
      <c r="HA22" s="24">
        <f t="shared" si="54"/>
        <v>3410777.7371359225</v>
      </c>
      <c r="HB22" s="24">
        <f t="shared" si="54"/>
        <v>3410777.7371359225</v>
      </c>
      <c r="HC22" s="24">
        <f t="shared" si="54"/>
        <v>3410777.7371359225</v>
      </c>
      <c r="HD22" s="24">
        <f t="shared" si="54"/>
        <v>3410777.7371359225</v>
      </c>
      <c r="HE22" s="24">
        <f t="shared" si="54"/>
        <v>3410777.7371359225</v>
      </c>
      <c r="HF22" s="24">
        <f t="shared" si="54"/>
        <v>3410777.7371359225</v>
      </c>
      <c r="HG22" s="24">
        <f t="shared" si="54"/>
        <v>3410777.7371359225</v>
      </c>
      <c r="HH22" s="24">
        <f t="shared" si="54"/>
        <v>3410777.7371359225</v>
      </c>
      <c r="HI22" s="24">
        <f t="shared" si="54"/>
        <v>3410777.7371359225</v>
      </c>
      <c r="HJ22" s="24">
        <f t="shared" si="54"/>
        <v>3410777.7371359225</v>
      </c>
      <c r="HK22" s="24">
        <f t="shared" si="54"/>
        <v>3410777.7371359225</v>
      </c>
      <c r="HL22" s="24">
        <f t="shared" si="54"/>
        <v>3410777.7371359225</v>
      </c>
      <c r="HM22" s="24">
        <f t="shared" si="54"/>
        <v>3410777.7371359225</v>
      </c>
      <c r="HN22" s="24">
        <f t="shared" si="54"/>
        <v>3410777.7371359225</v>
      </c>
      <c r="HO22" s="24">
        <f t="shared" si="54"/>
        <v>3410777.7371359225</v>
      </c>
      <c r="HP22" s="24">
        <f t="shared" si="54"/>
        <v>3410777.7371359225</v>
      </c>
      <c r="HQ22" s="24">
        <f t="shared" si="54"/>
        <v>3410777.7371359225</v>
      </c>
      <c r="HR22" s="24">
        <f t="shared" si="54"/>
        <v>3410777.7371359225</v>
      </c>
      <c r="HS22" s="24">
        <f t="shared" si="54"/>
        <v>3410777.7371359225</v>
      </c>
      <c r="HT22" s="24">
        <f t="shared" si="54"/>
        <v>3410777.7371359225</v>
      </c>
      <c r="HU22" s="24">
        <f t="shared" si="54"/>
        <v>3410777.7371359225</v>
      </c>
      <c r="HV22" s="24">
        <f t="shared" si="54"/>
        <v>3410777.7371359225</v>
      </c>
      <c r="HW22" s="24">
        <f t="shared" si="54"/>
        <v>3410777.7371359225</v>
      </c>
      <c r="HX22" s="24">
        <f t="shared" si="54"/>
        <v>3410777.7371359225</v>
      </c>
      <c r="HY22" s="24">
        <f t="shared" si="54"/>
        <v>3410777.7371359225</v>
      </c>
      <c r="HZ22" s="24">
        <f t="shared" si="54"/>
        <v>3410777.7371359225</v>
      </c>
      <c r="IA22" s="24">
        <f t="shared" si="54"/>
        <v>3410777.7371359225</v>
      </c>
      <c r="IB22" s="24">
        <f t="shared" si="54"/>
        <v>3410777.7371359225</v>
      </c>
      <c r="IC22" s="24">
        <f t="shared" si="54"/>
        <v>3410777.7371359225</v>
      </c>
      <c r="ID22" s="24">
        <f t="shared" si="54"/>
        <v>3410777.7371359225</v>
      </c>
      <c r="IE22" s="24">
        <f t="shared" si="54"/>
        <v>3410777.7371359225</v>
      </c>
      <c r="IF22" s="24">
        <f t="shared" si="54"/>
        <v>3410777.7371359225</v>
      </c>
      <c r="IG22" s="24">
        <f t="shared" si="54"/>
        <v>3410777.7371359225</v>
      </c>
      <c r="IH22" s="24">
        <f t="shared" si="54"/>
        <v>3410777.7371359225</v>
      </c>
      <c r="II22" s="24">
        <f t="shared" si="54"/>
        <v>3410777.7371359225</v>
      </c>
      <c r="IJ22" s="24">
        <f t="shared" si="54"/>
        <v>3410777.7371359225</v>
      </c>
      <c r="IK22" s="24">
        <f t="shared" si="54"/>
        <v>3410777.7371359225</v>
      </c>
      <c r="IL22" s="24">
        <f t="shared" si="54"/>
        <v>3410777.7371359225</v>
      </c>
      <c r="IM22" s="24">
        <f t="shared" si="54"/>
        <v>3410777.7371359225</v>
      </c>
      <c r="IN22" s="24">
        <f t="shared" si="54"/>
        <v>3410777.7371359225</v>
      </c>
    </row>
    <row r="23" spans="2:248" x14ac:dyDescent="0.3">
      <c r="B23" s="19" t="s">
        <v>507</v>
      </c>
      <c r="C23" s="56">
        <f>IF(VLOOKUP(B2,Country_Data!C:J,8,FALSE)="","Not initiated",VLOOKUP(B2,Country_Data!C:J,8,FALSE))</f>
        <v>43904</v>
      </c>
      <c r="F23" s="22" t="s">
        <v>477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1</v>
      </c>
      <c r="W23" s="27">
        <f t="shared" ca="1" si="55"/>
        <v>-1000</v>
      </c>
      <c r="X23" s="27">
        <f t="shared" ca="1" si="55"/>
        <v>-1000</v>
      </c>
      <c r="Y23" s="27">
        <f t="shared" ca="1" si="55"/>
        <v>-1000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506</v>
      </c>
      <c r="C24" s="56">
        <f>IF(VLOOKUP(B2,Country_Data!C:I,7,FALSE)="","Not initiated",VLOOKUP(B2,Country_Data!C:I,7,FALSE))</f>
        <v>43910</v>
      </c>
      <c r="F24" s="22" t="s">
        <v>478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0</v>
      </c>
      <c r="AG24" s="26">
        <f t="shared" si="60"/>
        <v>1</v>
      </c>
      <c r="AH24" s="26">
        <f t="shared" si="60"/>
        <v>0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t="shared" ca="1" si="64"/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0.22864377986630036</v>
      </c>
      <c r="V25" s="55" t="e">
        <f t="shared" ca="1" si="64"/>
        <v>#N/A</v>
      </c>
      <c r="W25" s="55" t="e">
        <f t="shared" ca="1" si="64"/>
        <v>#N/A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512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9273</v>
      </c>
      <c r="D27" s="24">
        <f>C16*1.5</f>
        <v>6720.7150889999994</v>
      </c>
      <c r="F27" s="22" t="s">
        <v>509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458</v>
      </c>
      <c r="C30" s="20">
        <f ca="1">MIN(IF(Projections!$Z$11="",xMin2+C5+5,xMin2+Projections!$Z$11+C5),MAX(3:3))</f>
        <v>43915</v>
      </c>
      <c r="D30" s="20">
        <f ca="1">IFERROR(OFFSET(G24,-21,MATCH(1,G24:KU24,0))+3,xMax2+3)</f>
        <v>43925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43921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Z8" sqref="Z8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AO2" si="5">I2*1.5</f>
        <v>150</v>
      </c>
      <c r="K2" s="10">
        <f t="shared" si="5"/>
        <v>225</v>
      </c>
      <c r="L2" s="10">
        <f t="shared" si="5"/>
        <v>337.5</v>
      </c>
      <c r="M2" s="10">
        <f t="shared" si="5"/>
        <v>506.25</v>
      </c>
      <c r="N2" s="10">
        <f t="shared" si="5"/>
        <v>759.375</v>
      </c>
      <c r="O2" s="10">
        <f t="shared" si="5"/>
        <v>1139.0625</v>
      </c>
      <c r="P2" s="10">
        <f t="shared" si="5"/>
        <v>1708.59375</v>
      </c>
      <c r="Q2" s="10">
        <f t="shared" si="5"/>
        <v>2562.890625</v>
      </c>
      <c r="R2" s="10">
        <f t="shared" si="5"/>
        <v>3844.3359375</v>
      </c>
      <c r="S2" s="10">
        <f t="shared" si="5"/>
        <v>5766.50390625</v>
      </c>
      <c r="T2" s="10">
        <f t="shared" si="5"/>
        <v>8649.755859375</v>
      </c>
      <c r="U2" s="10">
        <f t="shared" si="5"/>
        <v>12974.6337890625</v>
      </c>
      <c r="V2" s="10">
        <f t="shared" si="5"/>
        <v>19461.95068359375</v>
      </c>
      <c r="W2" s="10">
        <f t="shared" si="5"/>
        <v>29192.926025390625</v>
      </c>
      <c r="X2" s="10">
        <f t="shared" si="5"/>
        <v>43789.389038085938</v>
      </c>
      <c r="Y2" s="10">
        <f t="shared" si="5"/>
        <v>65684.083557128906</v>
      </c>
      <c r="Z2" s="10">
        <f t="shared" si="5"/>
        <v>98526.125335693359</v>
      </c>
      <c r="AA2" s="10">
        <f t="shared" si="5"/>
        <v>147789.18800354004</v>
      </c>
      <c r="AB2" s="10">
        <f t="shared" si="5"/>
        <v>221683.78200531006</v>
      </c>
      <c r="AC2" s="10">
        <f t="shared" si="5"/>
        <v>332525.67300796509</v>
      </c>
      <c r="AD2" s="10">
        <f t="shared" si="5"/>
        <v>498788.50951194763</v>
      </c>
      <c r="AE2" s="10">
        <f t="shared" si="5"/>
        <v>748182.76426792145</v>
      </c>
      <c r="AF2" s="10">
        <f t="shared" si="5"/>
        <v>1122274.1464018822</v>
      </c>
      <c r="AG2" s="10">
        <f t="shared" si="5"/>
        <v>1683411.2196028233</v>
      </c>
      <c r="AH2" s="10">
        <f t="shared" si="5"/>
        <v>2525116.8294042349</v>
      </c>
      <c r="AI2" s="10">
        <f t="shared" si="5"/>
        <v>3787675.2441063523</v>
      </c>
      <c r="AJ2" s="10">
        <f t="shared" si="5"/>
        <v>5681512.8661595285</v>
      </c>
      <c r="AK2" s="10">
        <f t="shared" si="5"/>
        <v>8522269.2992392927</v>
      </c>
      <c r="AL2" s="10">
        <f t="shared" si="5"/>
        <v>12783403.948858939</v>
      </c>
      <c r="AM2" s="10">
        <f t="shared" si="5"/>
        <v>19175105.923288409</v>
      </c>
      <c r="AN2" s="10">
        <f t="shared" si="5"/>
        <v>28762658.884932615</v>
      </c>
      <c r="AO2" s="10">
        <f t="shared" si="5"/>
        <v>43143988.327398926</v>
      </c>
      <c r="AP2" s="10">
        <f t="shared" ref="AP2:BH2" si="6">AO2*1.5</f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AO3" si="8">I3*1.4</f>
        <v>140</v>
      </c>
      <c r="K3" s="10">
        <f t="shared" si="8"/>
        <v>196</v>
      </c>
      <c r="L3" s="10">
        <f t="shared" si="8"/>
        <v>274.39999999999998</v>
      </c>
      <c r="M3" s="10">
        <f t="shared" si="8"/>
        <v>384.15999999999997</v>
      </c>
      <c r="N3" s="10">
        <f t="shared" si="8"/>
        <v>537.82399999999996</v>
      </c>
      <c r="O3" s="10">
        <f t="shared" si="8"/>
        <v>752.95359999999994</v>
      </c>
      <c r="P3" s="10">
        <f t="shared" si="8"/>
        <v>1054.1350399999999</v>
      </c>
      <c r="Q3" s="10">
        <f t="shared" si="8"/>
        <v>1475.7890559999998</v>
      </c>
      <c r="R3" s="10">
        <f t="shared" si="8"/>
        <v>2066.1046783999996</v>
      </c>
      <c r="S3" s="10">
        <f t="shared" si="8"/>
        <v>2892.5465497599994</v>
      </c>
      <c r="T3" s="10">
        <f t="shared" si="8"/>
        <v>4049.5651696639989</v>
      </c>
      <c r="U3" s="10">
        <f t="shared" si="8"/>
        <v>5669.3912375295977</v>
      </c>
      <c r="V3" s="10">
        <f t="shared" si="8"/>
        <v>7937.1477325414362</v>
      </c>
      <c r="W3" s="10">
        <f t="shared" si="8"/>
        <v>11112.00682555801</v>
      </c>
      <c r="X3" s="10">
        <f t="shared" si="8"/>
        <v>15556.809555781212</v>
      </c>
      <c r="Y3" s="10">
        <f t="shared" si="8"/>
        <v>21779.533378093696</v>
      </c>
      <c r="Z3" s="10">
        <f t="shared" si="8"/>
        <v>30491.346729331173</v>
      </c>
      <c r="AA3" s="10">
        <f t="shared" si="8"/>
        <v>42687.885421063642</v>
      </c>
      <c r="AB3" s="10">
        <f t="shared" si="8"/>
        <v>59763.039589489097</v>
      </c>
      <c r="AC3" s="10">
        <f t="shared" si="8"/>
        <v>83668.255425284733</v>
      </c>
      <c r="AD3" s="10">
        <f t="shared" si="8"/>
        <v>117135.55759539861</v>
      </c>
      <c r="AE3" s="10">
        <f t="shared" si="8"/>
        <v>163989.78063355805</v>
      </c>
      <c r="AF3" s="10">
        <f t="shared" si="8"/>
        <v>229585.69288698127</v>
      </c>
      <c r="AG3" s="10">
        <f t="shared" si="8"/>
        <v>321419.97004177375</v>
      </c>
      <c r="AH3" s="10">
        <f t="shared" si="8"/>
        <v>449987.9580584832</v>
      </c>
      <c r="AI3" s="10">
        <f t="shared" si="8"/>
        <v>629983.14128187648</v>
      </c>
      <c r="AJ3" s="10">
        <f t="shared" si="8"/>
        <v>881976.397794627</v>
      </c>
      <c r="AK3" s="10">
        <f t="shared" si="8"/>
        <v>1234766.9569124777</v>
      </c>
      <c r="AL3" s="10">
        <f t="shared" si="8"/>
        <v>1728673.7396774688</v>
      </c>
      <c r="AM3" s="10">
        <f t="shared" si="8"/>
        <v>2420143.2355484562</v>
      </c>
      <c r="AN3" s="10">
        <f t="shared" si="8"/>
        <v>3388200.5297678383</v>
      </c>
      <c r="AO3" s="10">
        <f t="shared" si="8"/>
        <v>4743480.7416749736</v>
      </c>
      <c r="AP3" s="10">
        <f t="shared" ref="AP3:BH3" si="9">AO3*1.4</f>
        <v>6640873.0383449625</v>
      </c>
      <c r="AQ3" s="10">
        <f t="shared" si="9"/>
        <v>9297222.2536829468</v>
      </c>
      <c r="AR3" s="10">
        <f t="shared" si="9"/>
        <v>13016111.155156124</v>
      </c>
      <c r="AS3" s="10">
        <f t="shared" si="9"/>
        <v>18222555.617218573</v>
      </c>
      <c r="AT3" s="10">
        <f t="shared" si="9"/>
        <v>25511577.864105999</v>
      </c>
      <c r="AU3" s="10">
        <f t="shared" si="9"/>
        <v>35716209.009748399</v>
      </c>
      <c r="AV3" s="10">
        <f t="shared" si="9"/>
        <v>50002692.613647759</v>
      </c>
      <c r="AW3" s="10">
        <f t="shared" si="9"/>
        <v>70003769.659106866</v>
      </c>
      <c r="AX3" s="10">
        <f t="shared" si="9"/>
        <v>98005277.522749603</v>
      </c>
      <c r="AY3" s="10">
        <f t="shared" si="9"/>
        <v>137207388.53184944</v>
      </c>
      <c r="AZ3" s="10">
        <f t="shared" si="9"/>
        <v>192090343.9445892</v>
      </c>
      <c r="BA3" s="10">
        <f t="shared" si="9"/>
        <v>268926481.52242488</v>
      </c>
      <c r="BB3" s="10">
        <f t="shared" si="9"/>
        <v>376497074.1313948</v>
      </c>
      <c r="BC3" s="10">
        <f t="shared" si="9"/>
        <v>527095903.78395271</v>
      </c>
      <c r="BD3" s="10">
        <f t="shared" si="9"/>
        <v>737934265.29753375</v>
      </c>
      <c r="BE3" s="10">
        <f t="shared" si="9"/>
        <v>1033107971.4165472</v>
      </c>
      <c r="BF3" s="10">
        <f t="shared" si="9"/>
        <v>1446351159.983166</v>
      </c>
      <c r="BG3" s="10">
        <f t="shared" si="9"/>
        <v>2024891623.9764323</v>
      </c>
      <c r="BH3" s="10">
        <f t="shared" si="9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 t="shared" ref="J4:AO4" si="10">I4*1.3</f>
        <v>130</v>
      </c>
      <c r="K4" s="10">
        <f t="shared" si="10"/>
        <v>169</v>
      </c>
      <c r="L4" s="10">
        <f t="shared" si="10"/>
        <v>219.70000000000002</v>
      </c>
      <c r="M4" s="10">
        <f t="shared" si="10"/>
        <v>285.61</v>
      </c>
      <c r="N4" s="10">
        <f t="shared" si="10"/>
        <v>371.29300000000001</v>
      </c>
      <c r="O4" s="10">
        <f t="shared" si="10"/>
        <v>482.68090000000001</v>
      </c>
      <c r="P4" s="10">
        <f t="shared" si="10"/>
        <v>627.48517000000004</v>
      </c>
      <c r="Q4" s="10">
        <f t="shared" si="10"/>
        <v>815.73072100000013</v>
      </c>
      <c r="R4" s="10">
        <f t="shared" si="10"/>
        <v>1060.4499373000001</v>
      </c>
      <c r="S4" s="10">
        <f t="shared" si="10"/>
        <v>1378.5849184900003</v>
      </c>
      <c r="T4" s="10">
        <f t="shared" si="10"/>
        <v>1792.1603940370005</v>
      </c>
      <c r="U4" s="10">
        <f t="shared" si="10"/>
        <v>2329.8085122481007</v>
      </c>
      <c r="V4" s="10">
        <f t="shared" si="10"/>
        <v>3028.7510659225309</v>
      </c>
      <c r="W4" s="10">
        <f t="shared" si="10"/>
        <v>3937.37638569929</v>
      </c>
      <c r="X4" s="10">
        <f t="shared" si="10"/>
        <v>5118.5893014090771</v>
      </c>
      <c r="Y4" s="10">
        <f t="shared" si="10"/>
        <v>6654.1660918318003</v>
      </c>
      <c r="Z4" s="10">
        <f t="shared" si="10"/>
        <v>8650.4159193813412</v>
      </c>
      <c r="AA4" s="10">
        <f t="shared" si="10"/>
        <v>11245.540695195745</v>
      </c>
      <c r="AB4" s="10">
        <f t="shared" si="10"/>
        <v>14619.202903754469</v>
      </c>
      <c r="AC4" s="10">
        <f t="shared" si="10"/>
        <v>19004.963774880809</v>
      </c>
      <c r="AD4" s="10">
        <f t="shared" si="10"/>
        <v>24706.452907345054</v>
      </c>
      <c r="AE4" s="10">
        <f t="shared" si="10"/>
        <v>32118.388779548572</v>
      </c>
      <c r="AF4" s="10">
        <f t="shared" si="10"/>
        <v>41753.905413413144</v>
      </c>
      <c r="AG4" s="10">
        <f t="shared" si="10"/>
        <v>54280.077037437091</v>
      </c>
      <c r="AH4" s="10">
        <f t="shared" si="10"/>
        <v>70564.100148668222</v>
      </c>
      <c r="AI4" s="10">
        <f t="shared" si="10"/>
        <v>91733.330193268688</v>
      </c>
      <c r="AJ4" s="10">
        <f t="shared" si="10"/>
        <v>119253.32925124929</v>
      </c>
      <c r="AK4" s="10">
        <f t="shared" si="10"/>
        <v>155029.32802662408</v>
      </c>
      <c r="AL4" s="10">
        <f t="shared" si="10"/>
        <v>201538.1264346113</v>
      </c>
      <c r="AM4" s="10">
        <f t="shared" si="10"/>
        <v>261999.5643649947</v>
      </c>
      <c r="AN4" s="10">
        <f t="shared" si="10"/>
        <v>340599.43367449311</v>
      </c>
      <c r="AO4" s="10">
        <f t="shared" si="10"/>
        <v>442779.26377684105</v>
      </c>
      <c r="AP4" s="10">
        <f t="shared" ref="AP4:BH4" si="11">AO4*1.3</f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81156</v>
      </c>
      <c r="E5" s="6">
        <f>IF(COUNTIF(I5:XFD5,"&gt;"&amp;0)=0,,HLOOKUP(COUNTIF(I5:XFD5,"&gt;"&amp;0)-1,I$1:XFD5,A5+1,FALSE))</f>
        <v>81156</v>
      </c>
      <c r="F5" s="7">
        <f>IF(COUNTIF(I5:XFD5,"&gt;"&amp;0)=0,,HLOOKUP(COUNTIF(I5:XFD5,"&gt;"&amp;0)-MIN($F$1+1,COUNTIF(I5:XFD5,"&gt;"&amp;0)),I$1:XFD5,A5+1,FALSE))</f>
        <v>80977</v>
      </c>
      <c r="G5" s="8">
        <f>IF(COUNTIF(I5:XFD5,"&gt;"&amp;0)=0,,(E5/F5)^(1/MIN(COUNTIF(I5:XFD5,"&gt;"&amp;0)-1,$F$1)))</f>
        <v>1.0004417104547969</v>
      </c>
      <c r="H5" s="15" t="s">
        <v>337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  <c r="BM5" s="9">
        <v>81102</v>
      </c>
      <c r="BN5" s="9">
        <v>81156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2">IF(H6="","",H6)</f>
        <v>Italy</v>
      </c>
      <c r="D6" s="6">
        <f t="shared" ref="D6:D69" si="13">MAX(I6:CL6)</f>
        <v>41035</v>
      </c>
      <c r="E6" s="6">
        <f>IF(COUNTIF(I6:XFD6,"&gt;"&amp;0)=0,,HLOOKUP(COUNTIF(I6:XFD6,"&gt;"&amp;0)-1,I$1:XFD6,A6+1,FALSE))</f>
        <v>41035</v>
      </c>
      <c r="F6" s="7">
        <f>IF(COUNTIF(I6:XFD6,"&gt;"&amp;0)=0,,HLOOKUP(COUNTIF(I6:XFD6,"&gt;"&amp;0)-MIN($F$1+1,COUNTIF(I6:XFD6,"&gt;"&amp;0)),I$1:XFD6,A6+1,FALSE))</f>
        <v>21157</v>
      </c>
      <c r="G6" s="8">
        <f t="shared" ref="G6:G69" si="14">IF(COUNTIF(I6:XFD6,"&gt;"&amp;0)=0,,(E6/F6)^(1/MIN(COUNTIF(I6:XFD6,"&gt;"&amp;0)-1,$F$1)))</f>
        <v>1.1416686362374717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1</v>
      </c>
      <c r="C7" s="9" t="str">
        <f t="shared" si="12"/>
        <v>Germany</v>
      </c>
      <c r="D7" s="6">
        <f t="shared" si="13"/>
        <v>15320</v>
      </c>
      <c r="E7" s="6">
        <f>IF(COUNTIF(I7:XFD7,"&gt;"&amp;0)=0,,HLOOKUP(COUNTIF(I7:XFD7,"&gt;"&amp;0)-1,I$1:XFD7,A7+1,FALSE))</f>
        <v>15320</v>
      </c>
      <c r="F7" s="7">
        <f>IF(COUNTIF(I7:XFD7,"&gt;"&amp;0)=0,,HLOOKUP(COUNTIF(I7:XFD7,"&gt;"&amp;0)-MIN($F$1+1,COUNTIF(I7:XFD7,"&gt;"&amp;0)),I$1:XFD7,A7+1,FALSE))</f>
        <v>4585</v>
      </c>
      <c r="G7" s="8">
        <f t="shared" si="14"/>
        <v>1.2728695141892892</v>
      </c>
      <c r="H7" s="13" t="s">
        <v>53</v>
      </c>
      <c r="I7" s="9">
        <v>130</v>
      </c>
      <c r="J7" s="9">
        <v>159</v>
      </c>
      <c r="K7" s="9">
        <v>196</v>
      </c>
      <c r="L7" s="9">
        <v>262</v>
      </c>
      <c r="M7" s="9">
        <v>482</v>
      </c>
      <c r="N7" s="9">
        <v>670</v>
      </c>
      <c r="O7" s="9">
        <v>799</v>
      </c>
      <c r="P7" s="9">
        <v>1040</v>
      </c>
      <c r="Q7" s="9">
        <v>1176</v>
      </c>
      <c r="R7" s="9">
        <v>1457</v>
      </c>
      <c r="S7" s="9">
        <v>1908</v>
      </c>
      <c r="T7" s="9">
        <v>2078</v>
      </c>
      <c r="U7" s="9">
        <v>3675</v>
      </c>
      <c r="V7" s="9">
        <v>4585</v>
      </c>
      <c r="W7" s="9">
        <v>5795</v>
      </c>
      <c r="X7" s="9">
        <v>7272</v>
      </c>
      <c r="Y7" s="9">
        <v>9257</v>
      </c>
      <c r="Z7" s="9">
        <v>12327</v>
      </c>
      <c r="AA7" s="9">
        <v>15320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2"/>
        <v>US</v>
      </c>
      <c r="D8" s="6">
        <f t="shared" si="13"/>
        <v>13677</v>
      </c>
      <c r="E8" s="6">
        <f>IF(COUNTIF(I8:XFD8,"&gt;"&amp;0)=0,,HLOOKUP(COUNTIF(I8:XFD8,"&gt;"&amp;0)-1,I$1:XFD8,A8+1,FALSE))</f>
        <v>13677</v>
      </c>
      <c r="F8" s="7">
        <f>IF(COUNTIF(I8:XFD8,"&gt;"&amp;0)=0,,HLOOKUP(COUNTIF(I8:XFD8,"&gt;"&amp;0)-MIN($F$1+1,COUNTIF(I8:XFD8,"&gt;"&amp;0)),I$1:XFD8,A8+1,FALSE))</f>
        <v>2727</v>
      </c>
      <c r="G8" s="8">
        <f t="shared" si="14"/>
        <v>1.3805786145611205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2"/>
        <v>France</v>
      </c>
      <c r="D9" s="6">
        <f t="shared" si="13"/>
        <v>10947</v>
      </c>
      <c r="E9" s="6">
        <f>IF(COUNTIF(I9:XFD9,"&gt;"&amp;0)=0,,HLOOKUP(COUNTIF(I9:XFD9,"&gt;"&amp;0)-1,I$1:XFD9,A9+1,FALSE))</f>
        <v>10947</v>
      </c>
      <c r="F9" s="7">
        <f>IF(COUNTIF(I9:XFD9,"&gt;"&amp;0)=0,,HLOOKUP(COUNTIF(I9:XFD9,"&gt;"&amp;0)-MIN($F$1+1,COUNTIF(I9:XFD9,"&gt;"&amp;0)),I$1:XFD9,A9+1,FALSE))</f>
        <v>4487</v>
      </c>
      <c r="G9" s="8">
        <f t="shared" si="14"/>
        <v>1.1952749275592192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2"/>
        <v>Korea, South</v>
      </c>
      <c r="D10" s="6">
        <f t="shared" si="13"/>
        <v>8565</v>
      </c>
      <c r="E10" s="6">
        <f>IF(COUNTIF(I10:XFD10,"&gt;"&amp;0)=0,,HLOOKUP(COUNTIF(I10:XFD10,"&gt;"&amp;0)-1,I$1:XFD10,A10+1,FALSE))</f>
        <v>8565</v>
      </c>
      <c r="F10" s="7">
        <f>IF(COUNTIF(I10:XFD10,"&gt;"&amp;0)=0,,HLOOKUP(COUNTIF(I10:XFD10,"&gt;"&amp;0)-MIN($F$1+1,COUNTIF(I10:XFD10,"&gt;"&amp;0)),I$1:XFD10,A10+1,FALSE))</f>
        <v>8086</v>
      </c>
      <c r="G10" s="8">
        <f t="shared" si="14"/>
        <v>1.0115764869441488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2"/>
        <v>United Kingdom</v>
      </c>
      <c r="D11" s="6">
        <f t="shared" si="13"/>
        <v>3296</v>
      </c>
      <c r="E11" s="6">
        <f>IF(COUNTIF(I11:XFD11,"&gt;"&amp;0)=0,,HLOOKUP(COUNTIF(I11:XFD11,"&gt;"&amp;0)-1,I$1:XFD11,A11+1,FALSE))</f>
        <v>3296</v>
      </c>
      <c r="F11" s="7">
        <f>IF(COUNTIF(I11:XFD11,"&gt;"&amp;0)=0,,HLOOKUP(COUNTIF(I11:XFD11,"&gt;"&amp;0)-MIN($F$1+1,COUNTIF(I11:XFD11,"&gt;"&amp;0)),I$1:XFD11,A11+1,FALSE))</f>
        <v>1144</v>
      </c>
      <c r="G11" s="8">
        <f t="shared" si="14"/>
        <v>1.2356976925670837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3296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2"/>
        <v>Japan</v>
      </c>
      <c r="D12" s="6">
        <f t="shared" si="13"/>
        <v>924</v>
      </c>
      <c r="E12" s="6">
        <f>IF(COUNTIF(I12:XFD12,"&gt;"&amp;0)=0,,HLOOKUP(COUNTIF(I12:XFD12,"&gt;"&amp;0)-1,I$1:XFD12,A12+1,FALSE))</f>
        <v>924</v>
      </c>
      <c r="F12" s="7">
        <f>IF(COUNTIF(I12:XFD12,"&gt;"&amp;0)=0,,HLOOKUP(COUNTIF(I12:XFD12,"&gt;"&amp;0)-MIN($F$1+1,COUNTIF(I12:XFD12,"&gt;"&amp;0)),I$1:XFD12,A12+1,FALSE))</f>
        <v>773</v>
      </c>
      <c r="G12" s="8">
        <f t="shared" si="14"/>
        <v>1.0363310142316253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2"/>
        <v>Iran</v>
      </c>
      <c r="D13" s="6">
        <f t="shared" si="13"/>
        <v>18407</v>
      </c>
      <c r="E13" s="6">
        <f>IF(COUNTIF(I13:XFD13,"&gt;"&amp;0)=0,,HLOOKUP(COUNTIF(I13:XFD13,"&gt;"&amp;0)-1,I$1:XFD13,A13+1,FALSE))</f>
        <v>18407</v>
      </c>
      <c r="F13" s="7">
        <f>IF(COUNTIF(I13:XFD13,"&gt;"&amp;0)=0,,HLOOKUP(COUNTIF(I13:XFD13,"&gt;"&amp;0)-MIN($F$1+1,COUNTIF(I13:XFD13,"&gt;"&amp;0)),I$1:XFD13,A13+1,FALSE))</f>
        <v>12729</v>
      </c>
      <c r="G13" s="8">
        <f t="shared" si="14"/>
        <v>1.0765587748552947</v>
      </c>
      <c r="H13" s="13" t="s">
        <v>338</v>
      </c>
      <c r="I13" s="9">
        <v>139</v>
      </c>
      <c r="J13" s="9">
        <v>245</v>
      </c>
      <c r="K13" s="9">
        <v>388</v>
      </c>
      <c r="L13" s="9">
        <v>593</v>
      </c>
      <c r="M13" s="9">
        <v>978</v>
      </c>
      <c r="N13" s="9">
        <v>1501</v>
      </c>
      <c r="O13" s="9">
        <v>2336</v>
      </c>
      <c r="P13" s="9">
        <v>2922</v>
      </c>
      <c r="Q13" s="9">
        <v>3513</v>
      </c>
      <c r="R13" s="9">
        <v>4747</v>
      </c>
      <c r="S13" s="9">
        <v>5823</v>
      </c>
      <c r="T13" s="9">
        <v>6566</v>
      </c>
      <c r="U13" s="9">
        <v>7161</v>
      </c>
      <c r="V13" s="9">
        <v>8042</v>
      </c>
      <c r="W13" s="9">
        <v>9000</v>
      </c>
      <c r="X13" s="9">
        <v>10075</v>
      </c>
      <c r="Y13" s="9">
        <v>11364</v>
      </c>
      <c r="Z13" s="9">
        <v>12729</v>
      </c>
      <c r="AA13" s="9">
        <v>13938</v>
      </c>
      <c r="AB13" s="9">
        <v>14991</v>
      </c>
      <c r="AC13" s="9">
        <v>16169</v>
      </c>
      <c r="AD13" s="9">
        <v>17361</v>
      </c>
      <c r="AE13" s="9">
        <v>18407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2"/>
        <v>Spain</v>
      </c>
      <c r="D14" s="6">
        <f t="shared" si="13"/>
        <v>17963</v>
      </c>
      <c r="E14" s="6">
        <f>IF(COUNTIF(I14:XFD14,"&gt;"&amp;0)=0,,HLOOKUP(COUNTIF(I14:XFD14,"&gt;"&amp;0)-1,I$1:XFD14,A14+1,FALSE))</f>
        <v>17963</v>
      </c>
      <c r="F14" s="7">
        <f>IF(COUNTIF(I14:XFD14,"&gt;"&amp;0)=0,,HLOOKUP(COUNTIF(I14:XFD14,"&gt;"&amp;0)-MIN($F$1+1,COUNTIF(I14:XFD14,"&gt;"&amp;0)),I$1:XFD14,A14+1,FALSE))</f>
        <v>6391</v>
      </c>
      <c r="G14" s="8">
        <f t="shared" si="14"/>
        <v>1.2295947791066895</v>
      </c>
      <c r="H14" s="13" t="s">
        <v>60</v>
      </c>
      <c r="I14" s="9">
        <v>120</v>
      </c>
      <c r="J14" s="9">
        <v>165</v>
      </c>
      <c r="K14" s="9">
        <v>222</v>
      </c>
      <c r="L14" s="9">
        <v>259</v>
      </c>
      <c r="M14" s="9">
        <v>400</v>
      </c>
      <c r="N14" s="9">
        <v>500</v>
      </c>
      <c r="O14" s="9">
        <v>673</v>
      </c>
      <c r="P14" s="9">
        <v>1073</v>
      </c>
      <c r="Q14" s="9">
        <v>1695</v>
      </c>
      <c r="R14" s="9">
        <v>2277</v>
      </c>
      <c r="S14" s="9">
        <v>2277</v>
      </c>
      <c r="T14" s="9">
        <v>5232</v>
      </c>
      <c r="U14" s="9">
        <v>6391</v>
      </c>
      <c r="V14" s="9">
        <v>7798</v>
      </c>
      <c r="W14" s="9">
        <v>9942</v>
      </c>
      <c r="X14" s="9">
        <v>11748</v>
      </c>
      <c r="Y14" s="9">
        <v>13910</v>
      </c>
      <c r="Z14" s="9">
        <v>17963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2"/>
        <v>Switzerland</v>
      </c>
      <c r="D15" s="6">
        <f t="shared" si="13"/>
        <v>4075</v>
      </c>
      <c r="E15" s="6">
        <f>IF(COUNTIF(I15:XFD15,"&gt;"&amp;0)=0,,HLOOKUP(COUNTIF(I15:XFD15,"&gt;"&amp;0)-1,I$1:XFD15,A15+1,FALSE))</f>
        <v>4075</v>
      </c>
      <c r="F15" s="7">
        <f>IF(COUNTIF(I15:XFD15,"&gt;"&amp;0)=0,,HLOOKUP(COUNTIF(I15:XFD15,"&gt;"&amp;0)-MIN($F$1+1,COUNTIF(I15:XFD15,"&gt;"&amp;0)),I$1:XFD15,A15+1,FALSE))</f>
        <v>1359</v>
      </c>
      <c r="G15" s="8">
        <f t="shared" si="14"/>
        <v>1.245608695273865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2"/>
        <v>Netherlands</v>
      </c>
      <c r="D16" s="6">
        <f t="shared" si="13"/>
        <v>2467</v>
      </c>
      <c r="E16" s="6">
        <f>IF(COUNTIF(I16:XFD16,"&gt;"&amp;0)=0,,HLOOKUP(COUNTIF(I16:XFD16,"&gt;"&amp;0)-1,I$1:XFD16,A16+1,FALSE))</f>
        <v>2467</v>
      </c>
      <c r="F16" s="7">
        <f>IF(COUNTIF(I16:XFD16,"&gt;"&amp;0)=0,,HLOOKUP(COUNTIF(I16:XFD16,"&gt;"&amp;0)-MIN($F$1+1,COUNTIF(I16:XFD16,"&gt;"&amp;0)),I$1:XFD16,A16+1,FALSE))</f>
        <v>962</v>
      </c>
      <c r="G16" s="8">
        <f t="shared" si="14"/>
        <v>1.2072544516233252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</row>
    <row r="17" spans="1:47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2"/>
        <v>Austria</v>
      </c>
      <c r="D17" s="6">
        <f t="shared" si="13"/>
        <v>2013</v>
      </c>
      <c r="E17" s="6">
        <f>IF(COUNTIF(I17:XFD17,"&gt;"&amp;0)=0,,HLOOKUP(COUNTIF(I17:XFD17,"&gt;"&amp;0)-1,I$1:XFD17,A17+1,FALSE))</f>
        <v>2013</v>
      </c>
      <c r="F17" s="7">
        <f>IF(COUNTIF(I17:XFD17,"&gt;"&amp;0)=0,,HLOOKUP(COUNTIF(I17:XFD17,"&gt;"&amp;0)-MIN($F$1+1,COUNTIF(I17:XFD17,"&gt;"&amp;0)),I$1:XFD17,A17+1,FALSE))</f>
        <v>655</v>
      </c>
      <c r="G17" s="8">
        <f t="shared" si="14"/>
        <v>1.2517583439091506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</row>
    <row r="18" spans="1:47" x14ac:dyDescent="0.25">
      <c r="A18" s="9">
        <f t="shared" si="7"/>
        <v>17</v>
      </c>
      <c r="B18" s="9">
        <f t="array" ref="B18">IF(C18="",0,IF(OR(C18=Country_Comparison!$S$10:$S$29),1,0))</f>
        <v>0</v>
      </c>
      <c r="C18" s="9" t="str">
        <f t="shared" si="12"/>
        <v>Belgium</v>
      </c>
      <c r="D18" s="6">
        <f t="shared" si="13"/>
        <v>1795</v>
      </c>
      <c r="E18" s="6">
        <f>IF(COUNTIF(I18:XFD18,"&gt;"&amp;0)=0,,HLOOKUP(COUNTIF(I18:XFD18,"&gt;"&amp;0)-1,I$1:XFD18,A18+1,FALSE))</f>
        <v>1795</v>
      </c>
      <c r="F18" s="7">
        <f>IF(COUNTIF(I18:XFD18,"&gt;"&amp;0)=0,,HLOOKUP(COUNTIF(I18:XFD18,"&gt;"&amp;0)-MIN($F$1+1,COUNTIF(I18:XFD18,"&gt;"&amp;0)),I$1:XFD18,A18+1,FALSE))</f>
        <v>689</v>
      </c>
      <c r="G18" s="8">
        <f t="shared" si="14"/>
        <v>1.2110694424394102</v>
      </c>
      <c r="H18" s="13" t="s">
        <v>63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  <c r="U18" s="9">
        <v>1486</v>
      </c>
      <c r="V18" s="9">
        <v>1795</v>
      </c>
    </row>
    <row r="19" spans="1:47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2"/>
        <v>Norway</v>
      </c>
      <c r="D19" s="6">
        <f t="shared" si="13"/>
        <v>1746</v>
      </c>
      <c r="E19" s="6">
        <f>IF(COUNTIF(I19:XFD19,"&gt;"&amp;0)=0,,HLOOKUP(COUNTIF(I19:XFD19,"&gt;"&amp;0)-1,I$1:XFD19,A19+1,FALSE))</f>
        <v>1746</v>
      </c>
      <c r="F19" s="7">
        <f>IF(COUNTIF(I19:XFD19,"&gt;"&amp;0)=0,,HLOOKUP(COUNTIF(I19:XFD19,"&gt;"&amp;0)-MIN($F$1+1,COUNTIF(I19:XFD19,"&gt;"&amp;0)),I$1:XFD19,A19+1,FALSE))</f>
        <v>1090</v>
      </c>
      <c r="G19" s="8">
        <f t="shared" si="14"/>
        <v>1.0988123912333911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</row>
    <row r="20" spans="1:47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2"/>
        <v>Sweden</v>
      </c>
      <c r="D20" s="6">
        <f t="shared" si="13"/>
        <v>1439</v>
      </c>
      <c r="E20" s="6">
        <f>IF(COUNTIF(I20:XFD20,"&gt;"&amp;0)=0,,HLOOKUP(COUNTIF(I20:XFD20,"&gt;"&amp;0)-1,I$1:XFD20,A20+1,FALSE))</f>
        <v>1439</v>
      </c>
      <c r="F20" s="7">
        <f>IF(COUNTIF(I20:XFD20,"&gt;"&amp;0)=0,,HLOOKUP(COUNTIF(I20:XFD20,"&gt;"&amp;0)-MIN($F$1+1,COUNTIF(I20:XFD20,"&gt;"&amp;0)),I$1:XFD20,A20+1,FALSE))</f>
        <v>961</v>
      </c>
      <c r="G20" s="8">
        <f t="shared" si="14"/>
        <v>1.0840953491107299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</row>
    <row r="21" spans="1:47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2"/>
        <v>Denmark</v>
      </c>
      <c r="D21" s="6">
        <f t="shared" si="13"/>
        <v>1225</v>
      </c>
      <c r="E21" s="6">
        <f>IF(COUNTIF(I21:XFD21,"&gt;"&amp;0)=0,,HLOOKUP(COUNTIF(I21:XFD21,"&gt;"&amp;0)-1,I$1:XFD21,A21+1,FALSE))</f>
        <v>1225</v>
      </c>
      <c r="F21" s="7">
        <f>IF(COUNTIF(I21:XFD21,"&gt;"&amp;0)=0,,HLOOKUP(COUNTIF(I21:XFD21,"&gt;"&amp;0)-MIN($F$1+1,COUNTIF(I21:XFD21,"&gt;"&amp;0)),I$1:XFD21,A21+1,FALSE))</f>
        <v>836</v>
      </c>
      <c r="G21" s="8">
        <f t="shared" si="14"/>
        <v>1.0794088195720988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</row>
    <row r="22" spans="1:47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2"/>
        <v>Malaysia</v>
      </c>
      <c r="D22" s="6">
        <f t="shared" si="13"/>
        <v>900</v>
      </c>
      <c r="E22" s="6">
        <f>IF(COUNTIF(I22:XFD22,"&gt;"&amp;0)=0,,HLOOKUP(COUNTIF(I22:XFD22,"&gt;"&amp;0)-1,I$1:XFD22,A22+1,FALSE))</f>
        <v>900</v>
      </c>
      <c r="F22" s="7">
        <f>IF(COUNTIF(I22:XFD22,"&gt;"&amp;0)=0,,HLOOKUP(COUNTIF(I22:XFD22,"&gt;"&amp;0)-MIN($F$1+1,COUNTIF(I22:XFD22,"&gt;"&amp;0)),I$1:XFD22,A22+1,FALSE))</f>
        <v>238</v>
      </c>
      <c r="G22" s="8">
        <f t="shared" si="14"/>
        <v>1.3047674399128388</v>
      </c>
      <c r="H22" s="13" t="s">
        <v>43</v>
      </c>
      <c r="I22" s="9">
        <v>117</v>
      </c>
      <c r="J22" s="9">
        <v>129</v>
      </c>
      <c r="K22" s="9">
        <v>149</v>
      </c>
      <c r="L22" s="9">
        <v>149</v>
      </c>
      <c r="M22" s="9">
        <v>197</v>
      </c>
      <c r="N22" s="9">
        <v>238</v>
      </c>
      <c r="O22" s="9">
        <v>428</v>
      </c>
      <c r="P22" s="9">
        <v>566</v>
      </c>
      <c r="Q22" s="9">
        <v>673</v>
      </c>
      <c r="R22" s="9">
        <v>790</v>
      </c>
      <c r="S22" s="9">
        <v>900</v>
      </c>
    </row>
    <row r="23" spans="1:47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2"/>
        <v>Canada</v>
      </c>
      <c r="D23" s="6">
        <f t="shared" si="13"/>
        <v>800</v>
      </c>
      <c r="E23" s="6">
        <f>IF(COUNTIF(I23:XFD23,"&gt;"&amp;0)=0,,HLOOKUP(COUNTIF(I23:XFD23,"&gt;"&amp;0)-1,I$1:XFD23,A23+1,FALSE))</f>
        <v>800</v>
      </c>
      <c r="F23" s="7">
        <f>IF(COUNTIF(I23:XFD23,"&gt;"&amp;0)=0,,HLOOKUP(COUNTIF(I23:XFD23,"&gt;"&amp;0)-MIN($F$1+1,COUNTIF(I23:XFD23,"&gt;"&amp;0)),I$1:XFD23,A23+1,FALSE))</f>
        <v>198</v>
      </c>
      <c r="G23" s="8">
        <f t="shared" si="14"/>
        <v>1.3221628777428704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</row>
    <row r="24" spans="1:47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2"/>
        <v>Portugal</v>
      </c>
      <c r="D24" s="6">
        <f t="shared" si="13"/>
        <v>785</v>
      </c>
      <c r="E24" s="6">
        <f>IF(COUNTIF(I24:XFD24,"&gt;"&amp;0)=0,,HLOOKUP(COUNTIF(I24:XFD24,"&gt;"&amp;0)-1,I$1:XFD24,A24+1,FALSE))</f>
        <v>785</v>
      </c>
      <c r="F24" s="7">
        <f>IF(COUNTIF(I24:XFD24,"&gt;"&amp;0)=0,,HLOOKUP(COUNTIF(I24:XFD24,"&gt;"&amp;0)-MIN($F$1+1,COUNTIF(I24:XFD24,"&gt;"&amp;0)),I$1:XFD24,A24+1,FALSE))</f>
        <v>169</v>
      </c>
      <c r="G24" s="8">
        <f t="shared" si="14"/>
        <v>1.3595544021355268</v>
      </c>
      <c r="H24" s="13" t="s">
        <v>108</v>
      </c>
      <c r="I24" s="9">
        <v>112</v>
      </c>
      <c r="J24" s="9">
        <v>169</v>
      </c>
      <c r="K24" s="9">
        <v>245</v>
      </c>
      <c r="L24" s="9">
        <v>331</v>
      </c>
      <c r="M24" s="9">
        <v>448</v>
      </c>
      <c r="N24" s="9">
        <v>448</v>
      </c>
      <c r="O24" s="9">
        <v>785</v>
      </c>
    </row>
    <row r="25" spans="1:47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2"/>
        <v>Cruise Ship</v>
      </c>
      <c r="D25" s="6">
        <f t="shared" si="13"/>
        <v>712</v>
      </c>
      <c r="E25" s="6">
        <f>IF(COUNTIF(I25:XFD25,"&gt;"&amp;0)=0,,HLOOKUP(COUNTIF(I25:XFD25,"&gt;"&amp;0)-1,I$1:XFD25,A25+1,FALSE))</f>
        <v>712</v>
      </c>
      <c r="F25" s="7">
        <f>IF(COUNTIF(I25:XFD25,"&gt;"&amp;0)=0,,HLOOKUP(COUNTIF(I25:XFD25,"&gt;"&amp;0)-MIN($F$1+1,COUNTIF(I25:XFD25,"&gt;"&amp;0)),I$1:XFD25,A25+1,FALSE))</f>
        <v>696</v>
      </c>
      <c r="G25" s="8">
        <f t="shared" si="14"/>
        <v>1.0045559973556712</v>
      </c>
      <c r="H25" s="13" t="s">
        <v>340</v>
      </c>
      <c r="I25" s="9">
        <v>135</v>
      </c>
      <c r="J25" s="9">
        <v>135</v>
      </c>
      <c r="K25" s="9">
        <v>175</v>
      </c>
      <c r="L25" s="9">
        <v>175</v>
      </c>
      <c r="M25" s="9">
        <v>218</v>
      </c>
      <c r="N25" s="9">
        <v>285</v>
      </c>
      <c r="O25" s="9">
        <v>355</v>
      </c>
      <c r="P25" s="9">
        <v>454</v>
      </c>
      <c r="Q25" s="9">
        <v>542</v>
      </c>
      <c r="R25" s="9">
        <v>621</v>
      </c>
      <c r="S25" s="9">
        <v>634</v>
      </c>
      <c r="T25" s="9">
        <v>634</v>
      </c>
      <c r="U25" s="9">
        <v>634</v>
      </c>
      <c r="V25" s="9">
        <v>691</v>
      </c>
      <c r="W25" s="9">
        <v>691</v>
      </c>
      <c r="X25" s="9">
        <v>691</v>
      </c>
      <c r="Y25" s="9">
        <v>705</v>
      </c>
      <c r="Z25" s="9">
        <v>705</v>
      </c>
      <c r="AA25" s="9">
        <v>705</v>
      </c>
      <c r="AB25" s="9">
        <v>705</v>
      </c>
      <c r="AC25" s="9">
        <v>705</v>
      </c>
      <c r="AD25" s="9">
        <v>705</v>
      </c>
      <c r="AE25" s="9">
        <v>706</v>
      </c>
      <c r="AF25" s="9">
        <v>706</v>
      </c>
      <c r="AG25" s="9">
        <v>706</v>
      </c>
      <c r="AH25" s="9">
        <v>696</v>
      </c>
      <c r="AI25" s="9">
        <v>696</v>
      </c>
      <c r="AJ25" s="9">
        <v>696</v>
      </c>
      <c r="AK25" s="9">
        <v>696</v>
      </c>
      <c r="AL25" s="9">
        <v>696</v>
      </c>
      <c r="AM25" s="9">
        <v>696</v>
      </c>
      <c r="AN25" s="9">
        <v>696</v>
      </c>
      <c r="AO25" s="9">
        <v>696</v>
      </c>
      <c r="AP25" s="9">
        <v>696</v>
      </c>
      <c r="AQ25" s="9">
        <v>696</v>
      </c>
      <c r="AR25" s="9">
        <v>696</v>
      </c>
      <c r="AS25" s="9">
        <v>696</v>
      </c>
      <c r="AT25" s="9">
        <v>712</v>
      </c>
      <c r="AU25" s="9">
        <v>712</v>
      </c>
    </row>
    <row r="26" spans="1:47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2"/>
        <v>Czechia</v>
      </c>
      <c r="D26" s="6">
        <f t="shared" si="13"/>
        <v>694</v>
      </c>
      <c r="E26" s="6">
        <f>IF(COUNTIF(I26:XFD26,"&gt;"&amp;0)=0,,HLOOKUP(COUNTIF(I26:XFD26,"&gt;"&amp;0)-1,I$1:XFD26,A26+1,FALSE))</f>
        <v>694</v>
      </c>
      <c r="F26" s="7">
        <f>IF(COUNTIF(I26:XFD26,"&gt;"&amp;0)=0,,HLOOKUP(COUNTIF(I26:XFD26,"&gt;"&amp;0)-MIN($F$1+1,COUNTIF(I26:XFD26,"&gt;"&amp;0)),I$1:XFD26,A26+1,FALSE))</f>
        <v>189</v>
      </c>
      <c r="G26" s="8">
        <f t="shared" si="14"/>
        <v>1.2971181410106798</v>
      </c>
      <c r="H26" s="13" t="s">
        <v>341</v>
      </c>
      <c r="I26" s="9">
        <v>141</v>
      </c>
      <c r="J26" s="9">
        <v>189</v>
      </c>
      <c r="K26" s="9">
        <v>253</v>
      </c>
      <c r="L26" s="9">
        <v>298</v>
      </c>
      <c r="M26" s="9">
        <v>396</v>
      </c>
      <c r="N26" s="9">
        <v>464</v>
      </c>
      <c r="O26" s="9">
        <v>694</v>
      </c>
    </row>
    <row r="27" spans="1:47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2"/>
        <v>Australia</v>
      </c>
      <c r="D27" s="6">
        <f t="shared" si="13"/>
        <v>681</v>
      </c>
      <c r="E27" s="6">
        <f>IF(COUNTIF(I27:XFD27,"&gt;"&amp;0)=0,,HLOOKUP(COUNTIF(I27:XFD27,"&gt;"&amp;0)-1,I$1:XFD27,A27+1,FALSE))</f>
        <v>681</v>
      </c>
      <c r="F27" s="7">
        <f>IF(COUNTIF(I27:XFD27,"&gt;"&amp;0)=0,,HLOOKUP(COUNTIF(I27:XFD27,"&gt;"&amp;0)-MIN($F$1+1,COUNTIF(I27:XFD27,"&gt;"&amp;0)),I$1:XFD27,A27+1,FALSE))</f>
        <v>250</v>
      </c>
      <c r="G27" s="8">
        <f t="shared" si="14"/>
        <v>1.2219161943354953</v>
      </c>
      <c r="H27" s="13" t="s">
        <v>48</v>
      </c>
      <c r="I27" s="9">
        <v>107</v>
      </c>
      <c r="J27" s="9">
        <v>128</v>
      </c>
      <c r="K27" s="9">
        <v>128</v>
      </c>
      <c r="L27" s="9">
        <v>200</v>
      </c>
      <c r="M27" s="9">
        <v>250</v>
      </c>
      <c r="N27" s="9">
        <v>297</v>
      </c>
      <c r="O27" s="9">
        <v>377</v>
      </c>
      <c r="P27" s="9">
        <v>452</v>
      </c>
      <c r="Q27" s="9">
        <v>568</v>
      </c>
      <c r="R27" s="9">
        <v>681</v>
      </c>
    </row>
    <row r="28" spans="1:47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2"/>
        <v>Israel</v>
      </c>
      <c r="D28" s="6">
        <f t="shared" si="13"/>
        <v>677</v>
      </c>
      <c r="E28" s="6">
        <f>IF(COUNTIF(I28:XFD28,"&gt;"&amp;0)=0,,HLOOKUP(COUNTIF(I28:XFD28,"&gt;"&amp;0)-1,I$1:XFD28,A28+1,FALSE))</f>
        <v>677</v>
      </c>
      <c r="F28" s="7">
        <f>IF(COUNTIF(I28:XFD28,"&gt;"&amp;0)=0,,HLOOKUP(COUNTIF(I28:XFD28,"&gt;"&amp;0)-MIN($F$1+1,COUNTIF(I28:XFD28,"&gt;"&amp;0)),I$1:XFD28,A28+1,FALSE))</f>
        <v>193</v>
      </c>
      <c r="G28" s="8">
        <f t="shared" si="14"/>
        <v>1.2853052217571819</v>
      </c>
      <c r="H28" s="13" t="s">
        <v>79</v>
      </c>
      <c r="I28" s="9">
        <v>109</v>
      </c>
      <c r="J28" s="9">
        <v>131</v>
      </c>
      <c r="K28" s="9">
        <v>161</v>
      </c>
      <c r="L28" s="9">
        <v>193</v>
      </c>
      <c r="M28" s="9">
        <v>251</v>
      </c>
      <c r="N28" s="9">
        <v>255</v>
      </c>
      <c r="O28" s="9">
        <v>337</v>
      </c>
      <c r="P28" s="9">
        <v>433</v>
      </c>
      <c r="Q28" s="9">
        <v>677</v>
      </c>
    </row>
    <row r="29" spans="1:47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2"/>
        <v>Brazil</v>
      </c>
      <c r="D29" s="6">
        <f t="shared" si="13"/>
        <v>621</v>
      </c>
      <c r="E29" s="6">
        <f>IF(COUNTIF(I29:XFD29,"&gt;"&amp;0)=0,,HLOOKUP(COUNTIF(I29:XFD29,"&gt;"&amp;0)-1,I$1:XFD29,A29+1,FALSE))</f>
        <v>621</v>
      </c>
      <c r="F29" s="7">
        <f>IF(COUNTIF(I29:XFD29,"&gt;"&amp;0)=0,,HLOOKUP(COUNTIF(I29:XFD29,"&gt;"&amp;0)-MIN($F$1+1,COUNTIF(I29:XFD29,"&gt;"&amp;0)),I$1:XFD29,A29+1,FALSE))</f>
        <v>151</v>
      </c>
      <c r="G29" s="8">
        <f t="shared" si="14"/>
        <v>1.326853366207051</v>
      </c>
      <c r="H29" s="13" t="s">
        <v>81</v>
      </c>
      <c r="I29" s="9">
        <v>151</v>
      </c>
      <c r="J29" s="9">
        <v>151</v>
      </c>
      <c r="K29" s="9">
        <v>162</v>
      </c>
      <c r="L29" s="9">
        <v>200</v>
      </c>
      <c r="M29" s="9">
        <v>321</v>
      </c>
      <c r="N29" s="9">
        <v>372</v>
      </c>
      <c r="O29" s="9">
        <v>621</v>
      </c>
    </row>
    <row r="30" spans="1:47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2"/>
        <v>Ireland</v>
      </c>
      <c r="D30" s="6">
        <f t="shared" si="13"/>
        <v>557</v>
      </c>
      <c r="E30" s="6">
        <f>IF(COUNTIF(I30:XFD30,"&gt;"&amp;0)=0,,HLOOKUP(COUNTIF(I30:XFD30,"&gt;"&amp;0)-1,I$1:XFD30,A30+1,FALSE))</f>
        <v>557</v>
      </c>
      <c r="F30" s="7">
        <f>IF(COUNTIF(I30:XFD30,"&gt;"&amp;0)=0,,HLOOKUP(COUNTIF(I30:XFD30,"&gt;"&amp;0)-MIN($F$1+1,COUNTIF(I30:XFD30,"&gt;"&amp;0)),I$1:XFD30,A30+1,FALSE))</f>
        <v>129</v>
      </c>
      <c r="G30" s="8">
        <f t="shared" si="14"/>
        <v>1.3398404867163705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</row>
    <row r="31" spans="1:47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2"/>
        <v>Qatar</v>
      </c>
      <c r="D31" s="6">
        <f t="shared" si="13"/>
        <v>460</v>
      </c>
      <c r="E31" s="6">
        <f>IF(COUNTIF(I31:XFD31,"&gt;"&amp;0)=0,,HLOOKUP(COUNTIF(I31:XFD31,"&gt;"&amp;0)-1,I$1:XFD31,A31+1,FALSE))</f>
        <v>460</v>
      </c>
      <c r="F31" s="7">
        <f>IF(COUNTIF(I31:XFD31,"&gt;"&amp;0)=0,,HLOOKUP(COUNTIF(I31:XFD31,"&gt;"&amp;0)-MIN($F$1+1,COUNTIF(I31:XFD31,"&gt;"&amp;0)),I$1:XFD31,A31+1,FALSE))</f>
        <v>337</v>
      </c>
      <c r="G31" s="8">
        <f t="shared" si="14"/>
        <v>1.0642057133284351</v>
      </c>
      <c r="H31" s="13" t="s">
        <v>101</v>
      </c>
      <c r="I31" s="9">
        <v>262</v>
      </c>
      <c r="J31" s="9">
        <v>262</v>
      </c>
      <c r="K31" s="9">
        <v>320</v>
      </c>
      <c r="L31" s="9">
        <v>337</v>
      </c>
      <c r="M31" s="9">
        <v>401</v>
      </c>
      <c r="N31" s="9">
        <v>439</v>
      </c>
      <c r="O31" s="9">
        <v>439</v>
      </c>
      <c r="P31" s="9">
        <v>452</v>
      </c>
      <c r="Q31" s="9">
        <v>460</v>
      </c>
    </row>
    <row r="32" spans="1:47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2"/>
        <v>Pakistan</v>
      </c>
      <c r="D32" s="6">
        <f t="shared" si="13"/>
        <v>454</v>
      </c>
      <c r="E32" s="6">
        <f>IF(COUNTIF(I32:XFD32,"&gt;"&amp;0)=0,,HLOOKUP(COUNTIF(I32:XFD32,"&gt;"&amp;0)-1,I$1:XFD32,A32+1,FALSE))</f>
        <v>454</v>
      </c>
      <c r="F32" s="7">
        <f>IF(COUNTIF(I32:XFD32,"&gt;"&amp;0)=0,,HLOOKUP(COUNTIF(I32:XFD32,"&gt;"&amp;0)-MIN($F$1+1,COUNTIF(I32:XFD32,"&gt;"&amp;0)),I$1:XFD32,A32+1,FALSE))</f>
        <v>136</v>
      </c>
      <c r="G32" s="8">
        <f t="shared" si="14"/>
        <v>1.4945334792073737</v>
      </c>
      <c r="H32" s="13" t="s">
        <v>80</v>
      </c>
      <c r="I32" s="9">
        <v>136</v>
      </c>
      <c r="J32" s="9">
        <v>236</v>
      </c>
      <c r="K32" s="9">
        <v>299</v>
      </c>
      <c r="L32" s="9">
        <v>454</v>
      </c>
    </row>
    <row r="33" spans="1:2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2"/>
        <v>Greece</v>
      </c>
      <c r="D33" s="6">
        <f t="shared" si="13"/>
        <v>418</v>
      </c>
      <c r="E33" s="6">
        <f>IF(COUNTIF(I33:XFD33,"&gt;"&amp;0)=0,,HLOOKUP(COUNTIF(I33:XFD33,"&gt;"&amp;0)-1,I$1:XFD33,A33+1,FALSE))</f>
        <v>418</v>
      </c>
      <c r="F33" s="7">
        <f>IF(COUNTIF(I33:XFD33,"&gt;"&amp;0)=0,,HLOOKUP(COUNTIF(I33:XFD33,"&gt;"&amp;0)-MIN($F$1+1,COUNTIF(I33:XFD33,"&gt;"&amp;0)),I$1:XFD33,A33+1,FALSE))</f>
        <v>228</v>
      </c>
      <c r="G33" s="8">
        <f t="shared" si="14"/>
        <v>1.1288813207301975</v>
      </c>
      <c r="H33" s="13" t="s">
        <v>83</v>
      </c>
      <c r="I33" s="9">
        <v>190</v>
      </c>
      <c r="J33" s="9">
        <v>228</v>
      </c>
      <c r="K33" s="9">
        <v>331</v>
      </c>
      <c r="L33" s="9">
        <v>331</v>
      </c>
      <c r="M33" s="9">
        <v>387</v>
      </c>
      <c r="N33" s="9">
        <v>418</v>
      </c>
      <c r="O33" s="9">
        <v>418</v>
      </c>
    </row>
    <row r="34" spans="1:2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2"/>
        <v>Finland</v>
      </c>
      <c r="D34" s="6">
        <f t="shared" si="13"/>
        <v>400</v>
      </c>
      <c r="E34" s="6">
        <f>IF(COUNTIF(I34:XFD34,"&gt;"&amp;0)=0,,HLOOKUP(COUNTIF(I34:XFD34,"&gt;"&amp;0)-1,I$1:XFD34,A34+1,FALSE))</f>
        <v>400</v>
      </c>
      <c r="F34" s="7">
        <f>IF(COUNTIF(I34:XFD34,"&gt;"&amp;0)=0,,HLOOKUP(COUNTIF(I34:XFD34,"&gt;"&amp;0)-MIN($F$1+1,COUNTIF(I34:XFD34,"&gt;"&amp;0)),I$1:XFD34,A34+1,FALSE))</f>
        <v>225</v>
      </c>
      <c r="G34" s="8">
        <f t="shared" si="14"/>
        <v>1.1219551454461996</v>
      </c>
      <c r="H34" s="13" t="s">
        <v>54</v>
      </c>
      <c r="I34" s="9">
        <v>155</v>
      </c>
      <c r="J34" s="9">
        <v>225</v>
      </c>
      <c r="K34" s="9">
        <v>244</v>
      </c>
      <c r="L34" s="9">
        <v>277</v>
      </c>
      <c r="M34" s="9">
        <v>321</v>
      </c>
      <c r="N34" s="9">
        <v>336</v>
      </c>
      <c r="O34" s="9">
        <v>400</v>
      </c>
    </row>
    <row r="35" spans="1:2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2"/>
        <v>Poland</v>
      </c>
      <c r="D35" s="6">
        <f t="shared" si="13"/>
        <v>355</v>
      </c>
      <c r="E35" s="6">
        <f>IF(COUNTIF(I35:XFD35,"&gt;"&amp;0)=0,,HLOOKUP(COUNTIF(I35:XFD35,"&gt;"&amp;0)-1,I$1:XFD35,A35+1,FALSE))</f>
        <v>355</v>
      </c>
      <c r="F35" s="7">
        <f>IF(COUNTIF(I35:XFD35,"&gt;"&amp;0)=0,,HLOOKUP(COUNTIF(I35:XFD35,"&gt;"&amp;0)-MIN($F$1+1,COUNTIF(I35:XFD35,"&gt;"&amp;0)),I$1:XFD35,A35+1,FALSE))</f>
        <v>103</v>
      </c>
      <c r="G35" s="8">
        <f t="shared" si="14"/>
        <v>1.2807908775969747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</row>
    <row r="36" spans="1:2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2"/>
        <v>Singapore</v>
      </c>
      <c r="D36" s="6">
        <f t="shared" si="13"/>
        <v>345</v>
      </c>
      <c r="E36" s="6">
        <f>IF(COUNTIF(I36:XFD36,"&gt;"&amp;0)=0,,HLOOKUP(COUNTIF(I36:XFD36,"&gt;"&amp;0)-1,I$1:XFD36,A36+1,FALSE))</f>
        <v>345</v>
      </c>
      <c r="F36" s="7">
        <f>IF(COUNTIF(I36:XFD36,"&gt;"&amp;0)=0,,HLOOKUP(COUNTIF(I36:XFD36,"&gt;"&amp;0)-MIN($F$1+1,COUNTIF(I36:XFD36,"&gt;"&amp;0)),I$1:XFD36,A36+1,FALSE))</f>
        <v>212</v>
      </c>
      <c r="G36" s="8">
        <f t="shared" si="14"/>
        <v>1.1022919780241154</v>
      </c>
      <c r="H36" s="13" t="s">
        <v>40</v>
      </c>
      <c r="I36" s="9">
        <v>102</v>
      </c>
      <c r="J36" s="9">
        <v>106</v>
      </c>
      <c r="K36" s="9">
        <v>108</v>
      </c>
      <c r="L36" s="9">
        <v>110</v>
      </c>
      <c r="M36" s="9">
        <v>110</v>
      </c>
      <c r="N36" s="9">
        <v>117</v>
      </c>
      <c r="O36" s="9">
        <v>130</v>
      </c>
      <c r="P36" s="9">
        <v>138</v>
      </c>
      <c r="Q36" s="9">
        <v>150</v>
      </c>
      <c r="R36" s="9">
        <v>150</v>
      </c>
      <c r="S36" s="9">
        <v>160</v>
      </c>
      <c r="T36" s="9">
        <v>178</v>
      </c>
      <c r="U36" s="9">
        <v>178</v>
      </c>
      <c r="V36" s="9">
        <v>200</v>
      </c>
      <c r="W36" s="9">
        <v>212</v>
      </c>
      <c r="X36" s="9">
        <v>226</v>
      </c>
      <c r="Y36" s="9">
        <v>243</v>
      </c>
      <c r="Z36" s="9">
        <v>266</v>
      </c>
      <c r="AA36" s="9">
        <v>313</v>
      </c>
      <c r="AB36" s="9">
        <v>345</v>
      </c>
    </row>
    <row r="37" spans="1:2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2"/>
        <v>Luxembourg</v>
      </c>
      <c r="D37" s="6">
        <f t="shared" si="13"/>
        <v>335</v>
      </c>
      <c r="E37" s="6">
        <f>IF(COUNTIF(I37:XFD37,"&gt;"&amp;0)=0,,HLOOKUP(COUNTIF(I37:XFD37,"&gt;"&amp;0)-1,I$1:XFD37,A37+1,FALSE))</f>
        <v>335</v>
      </c>
      <c r="F37" s="7">
        <f>IF(COUNTIF(I37:XFD37,"&gt;"&amp;0)=0,,HLOOKUP(COUNTIF(I37:XFD37,"&gt;"&amp;0)-MIN($F$1+1,COUNTIF(I37:XFD37,"&gt;"&amp;0)),I$1:XFD37,A37+1,FALSE))</f>
        <v>140</v>
      </c>
      <c r="G37" s="8">
        <f t="shared" si="14"/>
        <v>1.546886273407694</v>
      </c>
      <c r="H37" s="13" t="s">
        <v>99</v>
      </c>
      <c r="I37" s="9">
        <v>140</v>
      </c>
      <c r="J37" s="9">
        <v>203</v>
      </c>
      <c r="K37" s="9">
        <v>335</v>
      </c>
    </row>
    <row r="38" spans="1:2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2"/>
        <v>Iceland</v>
      </c>
      <c r="D38" s="6">
        <f t="shared" si="13"/>
        <v>330</v>
      </c>
      <c r="E38" s="6">
        <f>IF(COUNTIF(I38:XFD38,"&gt;"&amp;0)=0,,HLOOKUP(COUNTIF(I38:XFD38,"&gt;"&amp;0)-1,I$1:XFD38,A38+1,FALSE))</f>
        <v>330</v>
      </c>
      <c r="F38" s="7">
        <f>IF(COUNTIF(I38:XFD38,"&gt;"&amp;0)=0,,HLOOKUP(COUNTIF(I38:XFD38,"&gt;"&amp;0)-MIN($F$1+1,COUNTIF(I38:XFD38,"&gt;"&amp;0)),I$1:XFD38,A38+1,FALSE))</f>
        <v>156</v>
      </c>
      <c r="G38" s="8">
        <f t="shared" si="14"/>
        <v>1.1616568783858732</v>
      </c>
      <c r="H38" s="13" t="s">
        <v>92</v>
      </c>
      <c r="I38" s="9">
        <v>103</v>
      </c>
      <c r="J38" s="9">
        <v>134</v>
      </c>
      <c r="K38" s="9">
        <v>156</v>
      </c>
      <c r="L38" s="9">
        <v>171</v>
      </c>
      <c r="M38" s="9">
        <v>180</v>
      </c>
      <c r="N38" s="9">
        <v>220</v>
      </c>
      <c r="O38" s="9">
        <v>250</v>
      </c>
      <c r="P38" s="9">
        <v>330</v>
      </c>
    </row>
    <row r="39" spans="1:2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2"/>
        <v>Indonesia</v>
      </c>
      <c r="D39" s="6">
        <f t="shared" si="13"/>
        <v>311</v>
      </c>
      <c r="E39" s="6">
        <f>IF(COUNTIF(I39:XFD39,"&gt;"&amp;0)=0,,HLOOKUP(COUNTIF(I39:XFD39,"&gt;"&amp;0)-1,I$1:XFD39,A39+1,FALSE))</f>
        <v>311</v>
      </c>
      <c r="F39" s="7">
        <f>IF(COUNTIF(I39:XFD39,"&gt;"&amp;0)=0,,HLOOKUP(COUNTIF(I39:XFD39,"&gt;"&amp;0)-MIN($F$1+1,COUNTIF(I39:XFD39,"&gt;"&amp;0)),I$1:XFD39,A39+1,FALSE))</f>
        <v>117</v>
      </c>
      <c r="G39" s="8">
        <f t="shared" si="14"/>
        <v>1.276861028198149</v>
      </c>
      <c r="H39" s="13" t="s">
        <v>107</v>
      </c>
      <c r="I39" s="9">
        <v>117</v>
      </c>
      <c r="J39" s="9">
        <v>134</v>
      </c>
      <c r="K39" s="9">
        <v>172</v>
      </c>
      <c r="L39" s="9">
        <v>227</v>
      </c>
      <c r="M39" s="9">
        <v>311</v>
      </c>
    </row>
    <row r="40" spans="1:2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2"/>
        <v>Slovenia</v>
      </c>
      <c r="D40" s="6">
        <f t="shared" si="13"/>
        <v>286</v>
      </c>
      <c r="E40" s="6">
        <f>IF(COUNTIF(I40:XFD40,"&gt;"&amp;0)=0,,HLOOKUP(COUNTIF(I40:XFD40,"&gt;"&amp;0)-1,I$1:XFD40,A40+1,FALSE))</f>
        <v>286</v>
      </c>
      <c r="F40" s="7">
        <f>IF(COUNTIF(I40:XFD40,"&gt;"&amp;0)=0,,HLOOKUP(COUNTIF(I40:XFD40,"&gt;"&amp;0)-MIN($F$1+1,COUNTIF(I40:XFD40,"&gt;"&amp;0)),I$1:XFD40,A40+1,FALSE))</f>
        <v>181</v>
      </c>
      <c r="G40" s="8">
        <f t="shared" si="14"/>
        <v>1.0958156325626827</v>
      </c>
      <c r="H40" s="13" t="s">
        <v>141</v>
      </c>
      <c r="I40" s="9">
        <v>141</v>
      </c>
      <c r="J40" s="9">
        <v>181</v>
      </c>
      <c r="K40" s="9">
        <v>219</v>
      </c>
      <c r="L40" s="9">
        <v>253</v>
      </c>
      <c r="M40" s="9">
        <v>275</v>
      </c>
      <c r="N40" s="9">
        <v>275</v>
      </c>
      <c r="O40" s="9">
        <v>286</v>
      </c>
    </row>
    <row r="41" spans="1:2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2"/>
        <v>Bahrain</v>
      </c>
      <c r="D41" s="6">
        <f t="shared" si="13"/>
        <v>278</v>
      </c>
      <c r="E41" s="6">
        <f>IF(COUNTIF(I41:XFD41,"&gt;"&amp;0)=0,,HLOOKUP(COUNTIF(I41:XFD41,"&gt;"&amp;0)-1,I$1:XFD41,A41+1,FALSE))</f>
        <v>278</v>
      </c>
      <c r="F41" s="7">
        <f>IF(COUNTIF(I41:XFD41,"&gt;"&amp;0)=0,,HLOOKUP(COUNTIF(I41:XFD41,"&gt;"&amp;0)-MIN($F$1+1,COUNTIF(I41:XFD41,"&gt;"&amp;0)),I$1:XFD41,A41+1,FALSE))</f>
        <v>210</v>
      </c>
      <c r="G41" s="8">
        <f t="shared" si="14"/>
        <v>1.0577063221485654</v>
      </c>
      <c r="H41" s="13" t="s">
        <v>73</v>
      </c>
      <c r="I41" s="9">
        <v>110</v>
      </c>
      <c r="J41" s="9">
        <v>195</v>
      </c>
      <c r="K41" s="9">
        <v>195</v>
      </c>
      <c r="L41" s="9">
        <v>189</v>
      </c>
      <c r="M41" s="9">
        <v>210</v>
      </c>
      <c r="N41" s="9">
        <v>214</v>
      </c>
      <c r="O41" s="9">
        <v>214</v>
      </c>
      <c r="P41" s="9">
        <v>228</v>
      </c>
      <c r="Q41" s="9">
        <v>256</v>
      </c>
      <c r="R41" s="9">
        <v>278</v>
      </c>
    </row>
    <row r="42" spans="1:2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2"/>
        <v>Romania</v>
      </c>
      <c r="D42" s="6">
        <f t="shared" si="13"/>
        <v>277</v>
      </c>
      <c r="E42" s="6">
        <f>IF(COUNTIF(I42:XFD42,"&gt;"&amp;0)=0,,HLOOKUP(COUNTIF(I42:XFD42,"&gt;"&amp;0)-1,I$1:XFD42,A42+1,FALSE))</f>
        <v>277</v>
      </c>
      <c r="F42" s="7">
        <f>IF(COUNTIF(I42:XFD42,"&gt;"&amp;0)=0,,HLOOKUP(COUNTIF(I42:XFD42,"&gt;"&amp;0)-MIN($F$1+1,COUNTIF(I42:XFD42,"&gt;"&amp;0)),I$1:XFD42,A42+1,FALSE))</f>
        <v>123</v>
      </c>
      <c r="G42" s="8">
        <f t="shared" si="14"/>
        <v>1.1762914261907815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</row>
    <row r="43" spans="1:2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2"/>
        <v>Saudi Arabia</v>
      </c>
      <c r="D43" s="6">
        <f t="shared" si="13"/>
        <v>274</v>
      </c>
      <c r="E43" s="6">
        <f>IF(COUNTIF(I43:XFD43,"&gt;"&amp;0)=0,,HLOOKUP(COUNTIF(I43:XFD43,"&gt;"&amp;0)-1,I$1:XFD43,A43+1,FALSE))</f>
        <v>274</v>
      </c>
      <c r="F43" s="7">
        <f>IF(COUNTIF(I43:XFD43,"&gt;"&amp;0)=0,,HLOOKUP(COUNTIF(I43:XFD43,"&gt;"&amp;0)-MIN($F$1+1,COUNTIF(I43:XFD43,"&gt;"&amp;0)),I$1:XFD43,A43+1,FALSE))</f>
        <v>103</v>
      </c>
      <c r="G43" s="8">
        <f t="shared" si="14"/>
        <v>1.2161374645160115</v>
      </c>
      <c r="H43" s="13" t="s">
        <v>113</v>
      </c>
      <c r="I43" s="9">
        <v>103</v>
      </c>
      <c r="J43" s="9">
        <v>103</v>
      </c>
      <c r="K43" s="9">
        <v>118</v>
      </c>
      <c r="L43" s="9">
        <v>171</v>
      </c>
      <c r="M43" s="9">
        <v>171</v>
      </c>
      <c r="N43" s="9">
        <v>274</v>
      </c>
    </row>
    <row r="44" spans="1:2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2"/>
        <v>Thailand</v>
      </c>
      <c r="D44" s="6">
        <f t="shared" si="13"/>
        <v>272</v>
      </c>
      <c r="E44" s="6">
        <f>IF(COUNTIF(I44:XFD44,"&gt;"&amp;0)=0,,HLOOKUP(COUNTIF(I44:XFD44,"&gt;"&amp;0)-1,I$1:XFD44,A44+1,FALSE))</f>
        <v>272</v>
      </c>
      <c r="F44" s="7">
        <f>IF(COUNTIF(I44:XFD44,"&gt;"&amp;0)=0,,HLOOKUP(COUNTIF(I44:XFD44,"&gt;"&amp;0)-MIN($F$1+1,COUNTIF(I44:XFD44,"&gt;"&amp;0)),I$1:XFD44,A44+1,FALSE))</f>
        <v>114</v>
      </c>
      <c r="G44" s="8">
        <f t="shared" si="14"/>
        <v>1.2428422632991147</v>
      </c>
      <c r="H44" s="13" t="s">
        <v>35</v>
      </c>
      <c r="I44" s="9">
        <v>114</v>
      </c>
      <c r="J44" s="9">
        <v>147</v>
      </c>
      <c r="K44" s="9">
        <v>177</v>
      </c>
      <c r="L44" s="9">
        <v>212</v>
      </c>
      <c r="M44" s="9">
        <v>272</v>
      </c>
    </row>
    <row r="45" spans="1:2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2"/>
        <v>Estonia</v>
      </c>
      <c r="D45" s="6">
        <f t="shared" si="13"/>
        <v>267</v>
      </c>
      <c r="E45" s="6">
        <f>IF(COUNTIF(I45:XFD45,"&gt;"&amp;0)=0,,HLOOKUP(COUNTIF(I45:XFD45,"&gt;"&amp;0)-1,I$1:XFD45,A45+1,FALSE))</f>
        <v>267</v>
      </c>
      <c r="F45" s="7">
        <f>IF(COUNTIF(I45:XFD45,"&gt;"&amp;0)=0,,HLOOKUP(COUNTIF(I45:XFD45,"&gt;"&amp;0)-MIN($F$1+1,COUNTIF(I45:XFD45,"&gt;"&amp;0)),I$1:XFD45,A45+1,FALSE))</f>
        <v>115</v>
      </c>
      <c r="G45" s="8">
        <f t="shared" si="14"/>
        <v>1.1834847992656312</v>
      </c>
      <c r="H45" s="13" t="s">
        <v>88</v>
      </c>
      <c r="I45" s="9">
        <v>115</v>
      </c>
      <c r="J45" s="9">
        <v>171</v>
      </c>
      <c r="K45" s="9">
        <v>205</v>
      </c>
      <c r="L45" s="9">
        <v>225</v>
      </c>
      <c r="M45" s="9">
        <v>258</v>
      </c>
      <c r="N45" s="9">
        <v>267</v>
      </c>
    </row>
    <row r="46" spans="1:2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2"/>
        <v>Egypt</v>
      </c>
      <c r="D46" s="6">
        <f t="shared" si="13"/>
        <v>256</v>
      </c>
      <c r="E46" s="6">
        <f>IF(COUNTIF(I46:XFD46,"&gt;"&amp;0)=0,,HLOOKUP(COUNTIF(I46:XFD46,"&gt;"&amp;0)-1,I$1:XFD46,A46+1,FALSE))</f>
        <v>256</v>
      </c>
      <c r="F46" s="7">
        <f>IF(COUNTIF(I46:XFD46,"&gt;"&amp;0)=0,,HLOOKUP(COUNTIF(I46:XFD46,"&gt;"&amp;0)-MIN($F$1+1,COUNTIF(I46:XFD46,"&gt;"&amp;0)),I$1:XFD46,A46+1,FALSE))</f>
        <v>109</v>
      </c>
      <c r="G46" s="8">
        <f t="shared" si="14"/>
        <v>1.186213038814794</v>
      </c>
      <c r="H46" s="13" t="s">
        <v>65</v>
      </c>
      <c r="I46" s="9">
        <v>109</v>
      </c>
      <c r="J46" s="9">
        <v>110</v>
      </c>
      <c r="K46" s="9">
        <v>150</v>
      </c>
      <c r="L46" s="9">
        <v>196</v>
      </c>
      <c r="M46" s="9">
        <v>196</v>
      </c>
      <c r="N46" s="9">
        <v>256</v>
      </c>
    </row>
    <row r="47" spans="1:2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2"/>
        <v>Chile</v>
      </c>
      <c r="D47" s="6">
        <f t="shared" si="13"/>
        <v>238</v>
      </c>
      <c r="E47" s="6">
        <f>IF(COUNTIF(I47:XFD47,"&gt;"&amp;0)=0,,HLOOKUP(COUNTIF(I47:XFD47,"&gt;"&amp;0)-1,I$1:XFD47,A47+1,FALSE))</f>
        <v>238</v>
      </c>
      <c r="F47" s="7">
        <f>IF(COUNTIF(I47:XFD47,"&gt;"&amp;0)=0,,HLOOKUP(COUNTIF(I47:XFD47,"&gt;"&amp;0)-MIN($F$1+1,COUNTIF(I47:XFD47,"&gt;"&amp;0)),I$1:XFD47,A47+1,FALSE))</f>
        <v>155</v>
      </c>
      <c r="G47" s="8">
        <f t="shared" si="14"/>
        <v>1.1536704079356435</v>
      </c>
      <c r="H47" s="15" t="s">
        <v>124</v>
      </c>
      <c r="I47" s="9">
        <v>155</v>
      </c>
      <c r="J47" s="9">
        <v>201</v>
      </c>
      <c r="K47" s="9">
        <v>238</v>
      </c>
      <c r="L47" s="9">
        <v>238</v>
      </c>
    </row>
    <row r="48" spans="1:2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2"/>
        <v>Peru</v>
      </c>
      <c r="D48" s="6">
        <f t="shared" si="13"/>
        <v>234</v>
      </c>
      <c r="E48" s="6">
        <f>IF(COUNTIF(I48:XFD48,"&gt;"&amp;0)=0,,HLOOKUP(COUNTIF(I48:XFD48,"&gt;"&amp;0)-1,I$1:XFD48,A48+1,FALSE))</f>
        <v>234</v>
      </c>
      <c r="F48" s="7">
        <f>IF(COUNTIF(I48:XFD48,"&gt;"&amp;0)=0,,HLOOKUP(COUNTIF(I48:XFD48,"&gt;"&amp;0)-MIN($F$1+1,COUNTIF(I48:XFD48,"&gt;"&amp;0)),I$1:XFD48,A48+1,FALSE))</f>
        <v>117</v>
      </c>
      <c r="G48" s="8">
        <f t="shared" si="14"/>
        <v>1.4142135623730951</v>
      </c>
      <c r="H48" s="13" t="s">
        <v>160</v>
      </c>
      <c r="I48" s="9">
        <v>117</v>
      </c>
      <c r="J48" s="9">
        <v>145</v>
      </c>
      <c r="K48" s="9">
        <v>234</v>
      </c>
    </row>
    <row r="49" spans="1:15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2"/>
        <v>Philippines</v>
      </c>
      <c r="D49" s="6">
        <f t="shared" si="13"/>
        <v>217</v>
      </c>
      <c r="E49" s="6">
        <f>IF(COUNTIF(I49:XFD49,"&gt;"&amp;0)=0,,HLOOKUP(COUNTIF(I49:XFD49,"&gt;"&amp;0)-1,I$1:XFD49,A49+1,FALSE))</f>
        <v>217</v>
      </c>
      <c r="F49" s="7">
        <f>IF(COUNTIF(I49:XFD49,"&gt;"&amp;0)=0,,HLOOKUP(COUNTIF(I49:XFD49,"&gt;"&amp;0)-MIN($F$1+1,COUNTIF(I49:XFD49,"&gt;"&amp;0)),I$1:XFD49,A49+1,FALSE))</f>
        <v>111</v>
      </c>
      <c r="G49" s="8">
        <f t="shared" si="14"/>
        <v>1.1434767825715977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</row>
    <row r="50" spans="1:15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2"/>
        <v>Russia</v>
      </c>
      <c r="D50" s="6">
        <f t="shared" si="13"/>
        <v>199</v>
      </c>
      <c r="E50" s="6">
        <f>IF(COUNTIF(I50:XFD50,"&gt;"&amp;0)=0,,HLOOKUP(COUNTIF(I50:XFD50,"&gt;"&amp;0)-1,I$1:XFD50,A50+1,FALSE))</f>
        <v>199</v>
      </c>
      <c r="F50" s="7">
        <f>IF(COUNTIF(I50:XFD50,"&gt;"&amp;0)=0,,HLOOKUP(COUNTIF(I50:XFD50,"&gt;"&amp;0)-MIN($F$1+1,COUNTIF(I50:XFD50,"&gt;"&amp;0)),I$1:XFD50,A50+1,FALSE))</f>
        <v>114</v>
      </c>
      <c r="G50" s="8">
        <f t="shared" si="14"/>
        <v>1.3212168766284056</v>
      </c>
      <c r="H50" s="13" t="s">
        <v>344</v>
      </c>
      <c r="I50" s="9">
        <v>114</v>
      </c>
      <c r="J50" s="9">
        <v>147</v>
      </c>
      <c r="K50" s="9">
        <v>199</v>
      </c>
    </row>
    <row r="51" spans="1:15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2"/>
        <v>Ecuador</v>
      </c>
      <c r="D51" s="6">
        <f t="shared" si="13"/>
        <v>199</v>
      </c>
      <c r="E51" s="6">
        <f>IF(COUNTIF(I51:XFD51,"&gt;"&amp;0)=0,,HLOOKUP(COUNTIF(I51:XFD51,"&gt;"&amp;0)-1,I$1:XFD51,A51+1,FALSE))</f>
        <v>199</v>
      </c>
      <c r="F51" s="7">
        <f>IF(COUNTIF(I51:XFD51,"&gt;"&amp;0)=0,,HLOOKUP(COUNTIF(I51:XFD51,"&gt;"&amp;0)-MIN($F$1+1,COUNTIF(I51:XFD51,"&gt;"&amp;0)),I$1:XFD51,A51+1,FALSE))</f>
        <v>111</v>
      </c>
      <c r="G51" s="8">
        <f t="shared" si="14"/>
        <v>1.7927927927927927</v>
      </c>
      <c r="H51" s="13" t="s">
        <v>103</v>
      </c>
      <c r="I51" s="9">
        <v>111</v>
      </c>
      <c r="J51" s="9">
        <v>199</v>
      </c>
    </row>
    <row r="52" spans="1:15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2"/>
        <v>India</v>
      </c>
      <c r="D52" s="6">
        <f t="shared" si="13"/>
        <v>194</v>
      </c>
      <c r="E52" s="6">
        <f>IF(COUNTIF(I52:XFD52,"&gt;"&amp;0)=0,,HLOOKUP(COUNTIF(I52:XFD52,"&gt;"&amp;0)-1,I$1:XFD52,A52+1,FALSE))</f>
        <v>194</v>
      </c>
      <c r="F52" s="7">
        <f>IF(COUNTIF(I52:XFD52,"&gt;"&amp;0)=0,,HLOOKUP(COUNTIF(I52:XFD52,"&gt;"&amp;0)-MIN($F$1+1,COUNTIF(I52:XFD52,"&gt;"&amp;0)),I$1:XFD52,A52+1,FALSE))</f>
        <v>102</v>
      </c>
      <c r="G52" s="8">
        <f t="shared" si="14"/>
        <v>1.1372090616563504</v>
      </c>
      <c r="H52" s="15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</row>
    <row r="53" spans="1:15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2"/>
        <v>Iraq</v>
      </c>
      <c r="D53" s="6">
        <f t="shared" si="13"/>
        <v>192</v>
      </c>
      <c r="E53" s="6">
        <f>IF(COUNTIF(I53:XFD53,"&gt;"&amp;0)=0,,HLOOKUP(COUNTIF(I53:XFD53,"&gt;"&amp;0)-1,I$1:XFD53,A53+1,FALSE))</f>
        <v>192</v>
      </c>
      <c r="F53" s="7">
        <f>IF(COUNTIF(I53:XFD53,"&gt;"&amp;0)=0,,HLOOKUP(COUNTIF(I53:XFD53,"&gt;"&amp;0)-MIN($F$1+1,COUNTIF(I53:XFD53,"&gt;"&amp;0)),I$1:XFD53,A53+1,FALSE))</f>
        <v>110</v>
      </c>
      <c r="G53" s="8">
        <f t="shared" si="14"/>
        <v>1.1178453091456404</v>
      </c>
      <c r="H53" s="13" t="s">
        <v>70</v>
      </c>
      <c r="I53" s="9">
        <v>101</v>
      </c>
      <c r="J53" s="9">
        <v>110</v>
      </c>
      <c r="K53" s="9">
        <v>116</v>
      </c>
      <c r="L53" s="9">
        <v>124</v>
      </c>
      <c r="M53" s="9">
        <v>154</v>
      </c>
      <c r="N53" s="9">
        <v>164</v>
      </c>
      <c r="O53" s="9">
        <v>192</v>
      </c>
    </row>
    <row r="54" spans="1:15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2"/>
        <v>Turkey</v>
      </c>
      <c r="D54" s="6">
        <f t="shared" si="13"/>
        <v>192</v>
      </c>
      <c r="E54" s="6">
        <f>IF(COUNTIF(I54:XFD54,"&gt;"&amp;0)=0,,HLOOKUP(COUNTIF(I54:XFD54,"&gt;"&amp;0)-1,I$1:XFD54,A54+1,FALSE))</f>
        <v>192</v>
      </c>
      <c r="F54" s="7">
        <f>IF(COUNTIF(I54:XFD54,"&gt;"&amp;0)=0,,HLOOKUP(COUNTIF(I54:XFD54,"&gt;"&amp;0)-MIN($F$1+1,COUNTIF(I54:XFD54,"&gt;"&amp;0)),I$1:XFD54,A54+1,FALSE))</f>
        <v>192</v>
      </c>
      <c r="G54" s="8" t="e">
        <f t="shared" si="14"/>
        <v>#DIV/0!</v>
      </c>
      <c r="H54" s="13" t="s">
        <v>355</v>
      </c>
      <c r="I54" s="9">
        <v>192</v>
      </c>
    </row>
    <row r="55" spans="1:15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2"/>
        <v>Lebanon</v>
      </c>
      <c r="D55" s="6">
        <f t="shared" si="13"/>
        <v>157</v>
      </c>
      <c r="E55" s="6">
        <f>IF(COUNTIF(I55:XFD55,"&gt;"&amp;0)=0,,HLOOKUP(COUNTIF(I55:XFD55,"&gt;"&amp;0)-1,I$1:XFD55,A55+1,FALSE))</f>
        <v>157</v>
      </c>
      <c r="F55" s="7">
        <f>IF(COUNTIF(I55:XFD55,"&gt;"&amp;0)=0,,HLOOKUP(COUNTIF(I55:XFD55,"&gt;"&amp;0)-MIN($F$1+1,COUNTIF(I55:XFD55,"&gt;"&amp;0)),I$1:XFD55,A55+1,FALSE))</f>
        <v>110</v>
      </c>
      <c r="G55" s="8">
        <f t="shared" si="14"/>
        <v>1.0930165598346127</v>
      </c>
      <c r="H55" s="13" t="s">
        <v>67</v>
      </c>
      <c r="I55" s="9">
        <v>110</v>
      </c>
      <c r="J55" s="9">
        <v>99</v>
      </c>
      <c r="K55" s="9">
        <v>120</v>
      </c>
      <c r="L55" s="9">
        <v>133</v>
      </c>
      <c r="M55" s="9">
        <v>157</v>
      </c>
    </row>
    <row r="56" spans="1:15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2"/>
        <v>South Africa</v>
      </c>
      <c r="D56" s="6">
        <f t="shared" si="13"/>
        <v>150</v>
      </c>
      <c r="E56" s="6">
        <f>IF(COUNTIF(I56:XFD56,"&gt;"&amp;0)=0,,HLOOKUP(COUNTIF(I56:XFD56,"&gt;"&amp;0)-1,I$1:XFD56,A56+1,FALSE))</f>
        <v>150</v>
      </c>
      <c r="F56" s="7">
        <f>IF(COUNTIF(I56:XFD56,"&gt;"&amp;0)=0,,HLOOKUP(COUNTIF(I56:XFD56,"&gt;"&amp;0)-MIN($F$1+1,COUNTIF(I56:XFD56,"&gt;"&amp;0)),I$1:XFD56,A56+1,FALSE))</f>
        <v>116</v>
      </c>
      <c r="G56" s="8">
        <f t="shared" si="14"/>
        <v>1.2931034482758621</v>
      </c>
      <c r="H56" s="13" t="s">
        <v>145</v>
      </c>
      <c r="I56" s="9">
        <v>116</v>
      </c>
      <c r="J56" s="9">
        <v>150</v>
      </c>
    </row>
    <row r="57" spans="1:15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2"/>
        <v>Kuwait</v>
      </c>
      <c r="D57" s="6">
        <f t="shared" si="13"/>
        <v>148</v>
      </c>
      <c r="E57" s="6">
        <f>IF(COUNTIF(I57:XFD57,"&gt;"&amp;0)=0,,HLOOKUP(COUNTIF(I57:XFD57,"&gt;"&amp;0)-1,I$1:XFD57,A57+1,FALSE))</f>
        <v>148</v>
      </c>
      <c r="F57" s="7">
        <f>IF(COUNTIF(I57:XFD57,"&gt;"&amp;0)=0,,HLOOKUP(COUNTIF(I57:XFD57,"&gt;"&amp;0)-MIN($F$1+1,COUNTIF(I57:XFD57,"&gt;"&amp;0)),I$1:XFD57,A57+1,FALSE))</f>
        <v>104</v>
      </c>
      <c r="G57" s="8">
        <f t="shared" si="14"/>
        <v>1.073113541506014</v>
      </c>
      <c r="H57" s="13" t="s">
        <v>74</v>
      </c>
      <c r="I57" s="9">
        <v>104</v>
      </c>
      <c r="J57" s="9">
        <v>112</v>
      </c>
      <c r="K57" s="9">
        <v>123</v>
      </c>
      <c r="L57" s="9">
        <v>130</v>
      </c>
      <c r="M57" s="9">
        <v>142</v>
      </c>
      <c r="N57" s="9">
        <v>148</v>
      </c>
    </row>
    <row r="58" spans="1:15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2"/>
        <v>United Arab Emirates</v>
      </c>
      <c r="D58" s="6">
        <f t="shared" si="13"/>
        <v>140</v>
      </c>
      <c r="E58" s="6">
        <f>IF(COUNTIF(I58:XFD58,"&gt;"&amp;0)=0,,HLOOKUP(COUNTIF(I58:XFD58,"&gt;"&amp;0)-1,I$1:XFD58,A58+1,FALSE))</f>
        <v>140</v>
      </c>
      <c r="F58" s="7">
        <f>IF(COUNTIF(I58:XFD58,"&gt;"&amp;0)=0,,HLOOKUP(COUNTIF(I58:XFD58,"&gt;"&amp;0)-MIN($F$1+1,COUNTIF(I58:XFD58,"&gt;"&amp;0)),I$1:XFD58,A58+1,FALSE))</f>
        <v>113</v>
      </c>
      <c r="G58" s="8">
        <f t="shared" si="14"/>
        <v>1.2389380530973451</v>
      </c>
      <c r="H58" s="13" t="s">
        <v>55</v>
      </c>
      <c r="I58" s="9">
        <v>113</v>
      </c>
      <c r="J58" s="9">
        <v>140</v>
      </c>
    </row>
    <row r="59" spans="1:15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2"/>
        <v>Slovakia</v>
      </c>
      <c r="D59" s="6">
        <f t="shared" si="13"/>
        <v>123</v>
      </c>
      <c r="E59" s="6">
        <f>IF(COUNTIF(I59:XFD59,"&gt;"&amp;0)=0,,HLOOKUP(COUNTIF(I59:XFD59,"&gt;"&amp;0)-1,I$1:XFD59,A59+1,FALSE))</f>
        <v>123</v>
      </c>
      <c r="F59" s="7">
        <f>IF(COUNTIF(I59:XFD59,"&gt;"&amp;0)=0,,HLOOKUP(COUNTIF(I59:XFD59,"&gt;"&amp;0)-MIN($F$1+1,COUNTIF(I59:XFD59,"&gt;"&amp;0)),I$1:XFD59,A59+1,FALSE))</f>
        <v>105</v>
      </c>
      <c r="G59" s="8">
        <f t="shared" si="14"/>
        <v>1.1714285714285715</v>
      </c>
      <c r="H59" s="13" t="s">
        <v>162</v>
      </c>
      <c r="I59" s="9">
        <v>105</v>
      </c>
      <c r="J59" s="9">
        <v>123</v>
      </c>
    </row>
    <row r="60" spans="1:15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2"/>
        <v>San Marino</v>
      </c>
      <c r="D60" s="6">
        <f t="shared" si="13"/>
        <v>119</v>
      </c>
      <c r="E60" s="6">
        <f>IF(COUNTIF(I60:XFD60,"&gt;"&amp;0)=0,,HLOOKUP(COUNTIF(I60:XFD60,"&gt;"&amp;0)-1,I$1:XFD60,A60+1,FALSE))</f>
        <v>119</v>
      </c>
      <c r="F60" s="7">
        <f>IF(COUNTIF(I60:XFD60,"&gt;"&amp;0)=0,,HLOOKUP(COUNTIF(I60:XFD60,"&gt;"&amp;0)-MIN($F$1+1,COUNTIF(I60:XFD60,"&gt;"&amp;0)),I$1:XFD60,A60+1,FALSE))</f>
        <v>101</v>
      </c>
      <c r="G60" s="8">
        <f t="shared" si="14"/>
        <v>1.0418528807541299</v>
      </c>
      <c r="H60" s="13" t="s">
        <v>90</v>
      </c>
      <c r="I60" s="9">
        <v>101</v>
      </c>
      <c r="J60" s="9">
        <v>109</v>
      </c>
      <c r="K60" s="9">
        <v>109</v>
      </c>
      <c r="L60" s="9">
        <v>119</v>
      </c>
      <c r="M60" s="9">
        <v>119</v>
      </c>
    </row>
    <row r="61" spans="1:15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2"/>
        <v>Mexico</v>
      </c>
      <c r="D61" s="6">
        <f t="shared" si="13"/>
        <v>118</v>
      </c>
      <c r="E61" s="6">
        <f>IF(COUNTIF(I61:XFD61,"&gt;"&amp;0)=0,,HLOOKUP(COUNTIF(I61:XFD61,"&gt;"&amp;0)-1,I$1:XFD61,A61+1,FALSE))</f>
        <v>118</v>
      </c>
      <c r="F61" s="7">
        <f>IF(COUNTIF(I61:XFD61,"&gt;"&amp;0)=0,,HLOOKUP(COUNTIF(I61:XFD61,"&gt;"&amp;0)-MIN($F$1+1,COUNTIF(I61:XFD61,"&gt;"&amp;0)),I$1:XFD61,A61+1,FALSE))</f>
        <v>118</v>
      </c>
      <c r="G61" s="8" t="e">
        <f t="shared" si="14"/>
        <v>#DIV/0!</v>
      </c>
      <c r="H61" s="13" t="s">
        <v>94</v>
      </c>
      <c r="I61" s="9">
        <v>118</v>
      </c>
    </row>
    <row r="62" spans="1:15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2"/>
        <v>Armenia</v>
      </c>
      <c r="D62" s="6">
        <f t="shared" si="13"/>
        <v>115</v>
      </c>
      <c r="E62" s="6">
        <f>IF(COUNTIF(I62:XFD62,"&gt;"&amp;0)=0,,HLOOKUP(COUNTIF(I62:XFD62,"&gt;"&amp;0)-1,I$1:XFD62,A62+1,FALSE))</f>
        <v>115</v>
      </c>
      <c r="F62" s="7">
        <f>IF(COUNTIF(I62:XFD62,"&gt;"&amp;0)=0,,HLOOKUP(COUNTIF(I62:XFD62,"&gt;"&amp;0)-MIN($F$1+1,COUNTIF(I62:XFD62,"&gt;"&amp;0)),I$1:XFD62,A62+1,FALSE))</f>
        <v>115</v>
      </c>
      <c r="G62" s="8" t="e">
        <f t="shared" si="14"/>
        <v>#DIV/0!</v>
      </c>
      <c r="H62" s="13" t="s">
        <v>105</v>
      </c>
      <c r="I62" s="9">
        <v>115</v>
      </c>
    </row>
    <row r="63" spans="1:15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2"/>
        <v>Panama</v>
      </c>
      <c r="D63" s="6">
        <f t="shared" si="13"/>
        <v>109</v>
      </c>
      <c r="E63" s="6">
        <f>IF(COUNTIF(I63:XFD63,"&gt;"&amp;0)=0,,HLOOKUP(COUNTIF(I63:XFD63,"&gt;"&amp;0)-1,I$1:XFD63,A63+1,FALSE))</f>
        <v>109</v>
      </c>
      <c r="F63" s="7">
        <f>IF(COUNTIF(I63:XFD63,"&gt;"&amp;0)=0,,HLOOKUP(COUNTIF(I63:XFD63,"&gt;"&amp;0)-MIN($F$1+1,COUNTIF(I63:XFD63,"&gt;"&amp;0)),I$1:XFD63,A63+1,FALSE))</f>
        <v>109</v>
      </c>
      <c r="G63" s="8" t="e">
        <f t="shared" si="14"/>
        <v>#DIV/0!</v>
      </c>
      <c r="H63" s="13" t="s">
        <v>283</v>
      </c>
      <c r="I63" s="9">
        <v>109</v>
      </c>
    </row>
    <row r="64" spans="1:15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2"/>
        <v>Taiwan*</v>
      </c>
      <c r="D64" s="6">
        <f t="shared" si="13"/>
        <v>108</v>
      </c>
      <c r="E64" s="6">
        <f>IF(COUNTIF(I64:XFD64,"&gt;"&amp;0)=0,,HLOOKUP(COUNTIF(I64:XFD64,"&gt;"&amp;0)-1,I$1:XFD64,A64+1,FALSE))</f>
        <v>108</v>
      </c>
      <c r="F64" s="7">
        <f>IF(COUNTIF(I64:XFD64,"&gt;"&amp;0)=0,,HLOOKUP(COUNTIF(I64:XFD64,"&gt;"&amp;0)-MIN($F$1+1,COUNTIF(I64:XFD64,"&gt;"&amp;0)),I$1:XFD64,A64+1,FALSE))</f>
        <v>100</v>
      </c>
      <c r="G64" s="8">
        <f t="shared" si="14"/>
        <v>1.08</v>
      </c>
      <c r="H64" s="13" t="s">
        <v>342</v>
      </c>
      <c r="I64" s="9">
        <v>100</v>
      </c>
      <c r="J64" s="9">
        <v>108</v>
      </c>
    </row>
    <row r="65" spans="1:9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2"/>
        <v>Croatia</v>
      </c>
      <c r="D65" s="6">
        <f t="shared" si="13"/>
        <v>105</v>
      </c>
      <c r="E65" s="6">
        <f>IF(COUNTIF(I65:XFD65,"&gt;"&amp;0)=0,,HLOOKUP(COUNTIF(I65:XFD65,"&gt;"&amp;0)-1,I$1:XFD65,A65+1,FALSE))</f>
        <v>105</v>
      </c>
      <c r="F65" s="7">
        <f>IF(COUNTIF(I65:XFD65,"&gt;"&amp;0)=0,,HLOOKUP(COUNTIF(I65:XFD65,"&gt;"&amp;0)-MIN($F$1+1,COUNTIF(I65:XFD65,"&gt;"&amp;0)),I$1:XFD65,A65+1,FALSE))</f>
        <v>105</v>
      </c>
      <c r="G65" s="8" t="e">
        <f t="shared" si="14"/>
        <v>#DIV/0!</v>
      </c>
      <c r="H65" s="13" t="s">
        <v>76</v>
      </c>
      <c r="I65" s="9">
        <v>105</v>
      </c>
    </row>
    <row r="66" spans="1:9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2"/>
        <v>Serbia</v>
      </c>
      <c r="D66" s="6">
        <f t="shared" si="13"/>
        <v>103</v>
      </c>
      <c r="E66" s="6">
        <f>IF(COUNTIF(I66:XFD66,"&gt;"&amp;0)=0,,HLOOKUP(COUNTIF(I66:XFD66,"&gt;"&amp;0)-1,I$1:XFD66,A66+1,FALSE))</f>
        <v>103</v>
      </c>
      <c r="F66" s="7">
        <f>IF(COUNTIF(I66:XFD66,"&gt;"&amp;0)=0,,HLOOKUP(COUNTIF(I66:XFD66,"&gt;"&amp;0)-MIN($F$1+1,COUNTIF(I66:XFD66,"&gt;"&amp;0)),I$1:XFD66,A66+1,FALSE))</f>
        <v>103</v>
      </c>
      <c r="G66" s="8" t="e">
        <f t="shared" si="14"/>
        <v>#DIV/0!</v>
      </c>
      <c r="H66" s="13" t="s">
        <v>161</v>
      </c>
      <c r="I66" s="9">
        <v>103</v>
      </c>
    </row>
    <row r="67" spans="1:9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2"/>
        <v>Colombia</v>
      </c>
      <c r="D67" s="6">
        <f t="shared" si="13"/>
        <v>102</v>
      </c>
      <c r="E67" s="6">
        <f>IF(COUNTIF(I67:XFD67,"&gt;"&amp;0)=0,,HLOOKUP(COUNTIF(I67:XFD67,"&gt;"&amp;0)-1,I$1:XFD67,A67+1,FALSE))</f>
        <v>102</v>
      </c>
      <c r="F67" s="7">
        <f>IF(COUNTIF(I67:XFD67,"&gt;"&amp;0)=0,,HLOOKUP(COUNTIF(I67:XFD67,"&gt;"&amp;0)-MIN($F$1+1,COUNTIF(I67:XFD67,"&gt;"&amp;0)),I$1:XFD67,A67+1,FALSE))</f>
        <v>102</v>
      </c>
      <c r="G67" s="8" t="e">
        <f t="shared" si="14"/>
        <v>#DIV/0!</v>
      </c>
      <c r="H67" s="13" t="s">
        <v>158</v>
      </c>
      <c r="I67" s="9">
        <v>102</v>
      </c>
    </row>
    <row r="68" spans="1:9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2"/>
        <v/>
      </c>
      <c r="D68" s="6">
        <f t="shared" si="13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14"/>
        <v>0</v>
      </c>
    </row>
    <row r="69" spans="1:9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2"/>
        <v/>
      </c>
      <c r="D69" s="6">
        <f t="shared" si="13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14"/>
        <v>0</v>
      </c>
    </row>
    <row r="70" spans="1:9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5">IF(H70="","",H70)</f>
        <v/>
      </c>
      <c r="D70" s="6">
        <f t="shared" ref="D70:D133" si="16">MAX(I70:CL70)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ref="G70:G133" si="17">IF(COUNTIF(I70:XFD70,"&gt;"&amp;0)=0,,(E70/F70)^(1/MIN(COUNTIF(I70:XFD70,"&gt;"&amp;0)-1,$F$1)))</f>
        <v>0</v>
      </c>
    </row>
    <row r="71" spans="1:9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5"/>
        <v/>
      </c>
      <c r="D71" s="6">
        <f t="shared" si="16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7"/>
        <v>0</v>
      </c>
    </row>
    <row r="72" spans="1:9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5"/>
        <v/>
      </c>
      <c r="D72" s="6">
        <f t="shared" si="16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7"/>
        <v>0</v>
      </c>
    </row>
    <row r="73" spans="1:9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5"/>
        <v/>
      </c>
      <c r="D73" s="6">
        <f t="shared" si="16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7"/>
        <v>0</v>
      </c>
    </row>
    <row r="74" spans="1:9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5"/>
        <v/>
      </c>
      <c r="D74" s="6">
        <f t="shared" si="16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7"/>
        <v>0</v>
      </c>
    </row>
    <row r="75" spans="1:9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5"/>
        <v/>
      </c>
      <c r="D75" s="6">
        <f t="shared" si="16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7"/>
        <v>0</v>
      </c>
    </row>
    <row r="76" spans="1:9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5"/>
        <v/>
      </c>
      <c r="D76" s="6">
        <f t="shared" si="16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7"/>
        <v>0</v>
      </c>
    </row>
    <row r="77" spans="1:9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5"/>
        <v/>
      </c>
      <c r="D77" s="6">
        <f t="shared" si="16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7"/>
        <v>0</v>
      </c>
    </row>
    <row r="78" spans="1:9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5"/>
        <v/>
      </c>
      <c r="D78" s="6">
        <f t="shared" si="16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7"/>
        <v>0</v>
      </c>
    </row>
    <row r="79" spans="1:9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5"/>
        <v/>
      </c>
      <c r="D79" s="6">
        <f t="shared" si="16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7"/>
        <v>0</v>
      </c>
    </row>
    <row r="80" spans="1:9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5"/>
        <v/>
      </c>
      <c r="D80" s="6">
        <f t="shared" si="16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7"/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5"/>
        <v/>
      </c>
      <c r="D81" s="6">
        <f t="shared" si="16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7"/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5"/>
        <v/>
      </c>
      <c r="D82" s="6">
        <f t="shared" si="16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7"/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5"/>
        <v/>
      </c>
      <c r="D83" s="6">
        <f t="shared" si="16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7"/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5"/>
        <v/>
      </c>
      <c r="D84" s="6">
        <f t="shared" si="16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7"/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5"/>
        <v/>
      </c>
      <c r="D85" s="6">
        <f t="shared" si="16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7"/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5"/>
        <v/>
      </c>
      <c r="D86" s="6">
        <f t="shared" si="16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7"/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5"/>
        <v/>
      </c>
      <c r="D87" s="6">
        <f t="shared" si="16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7"/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5"/>
        <v/>
      </c>
      <c r="D88" s="6">
        <f t="shared" si="16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7"/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5"/>
        <v/>
      </c>
      <c r="D89" s="6">
        <f t="shared" si="16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7"/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5"/>
        <v/>
      </c>
      <c r="D90" s="6">
        <f t="shared" si="16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7"/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5"/>
        <v/>
      </c>
      <c r="D91" s="6">
        <f t="shared" si="16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7"/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5"/>
        <v/>
      </c>
      <c r="D92" s="6">
        <f t="shared" si="16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7"/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5"/>
        <v/>
      </c>
      <c r="D93" s="6">
        <f t="shared" si="16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7"/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5"/>
        <v/>
      </c>
      <c r="D94" s="6">
        <f t="shared" si="16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7"/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5"/>
        <v/>
      </c>
      <c r="D95" s="6">
        <f t="shared" si="16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7"/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5"/>
        <v/>
      </c>
      <c r="D96" s="6">
        <f t="shared" si="16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7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5"/>
        <v/>
      </c>
      <c r="D97" s="6">
        <f t="shared" si="16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7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5"/>
        <v/>
      </c>
      <c r="D98" s="6">
        <f t="shared" si="16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7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5"/>
        <v/>
      </c>
      <c r="D99" s="6">
        <f t="shared" si="16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7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5"/>
        <v/>
      </c>
      <c r="D100" s="6">
        <f t="shared" si="16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7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5"/>
        <v/>
      </c>
      <c r="D101" s="6">
        <f t="shared" si="16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7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5"/>
        <v/>
      </c>
      <c r="D102" s="6">
        <f t="shared" si="1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7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5"/>
        <v/>
      </c>
      <c r="D103" s="6">
        <f t="shared" si="1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7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5"/>
        <v/>
      </c>
      <c r="D104" s="6">
        <f t="shared" si="1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7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5"/>
        <v/>
      </c>
      <c r="D105" s="6">
        <f t="shared" si="1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7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5"/>
        <v/>
      </c>
      <c r="D106" s="6">
        <f t="shared" si="1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7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5"/>
        <v/>
      </c>
      <c r="D107" s="6">
        <f t="shared" si="1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7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5"/>
        <v/>
      </c>
      <c r="D108" s="6">
        <f t="shared" si="1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7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5"/>
        <v/>
      </c>
      <c r="D109" s="6">
        <f t="shared" si="1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7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5"/>
        <v/>
      </c>
      <c r="D110" s="6">
        <f t="shared" si="1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7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5"/>
        <v/>
      </c>
      <c r="D111" s="6">
        <f t="shared" si="1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7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5"/>
        <v/>
      </c>
      <c r="D112" s="6">
        <f t="shared" si="1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7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5"/>
        <v/>
      </c>
      <c r="D113" s="6">
        <f t="shared" si="1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7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5"/>
        <v/>
      </c>
      <c r="D114" s="6">
        <f t="shared" si="1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7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5"/>
        <v/>
      </c>
      <c r="D115" s="6">
        <f t="shared" si="1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7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5"/>
        <v/>
      </c>
      <c r="D116" s="6">
        <f t="shared" si="1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7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5"/>
        <v/>
      </c>
      <c r="D117" s="6">
        <f t="shared" si="1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7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5"/>
        <v/>
      </c>
      <c r="D118" s="6">
        <f t="shared" si="1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7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5"/>
        <v/>
      </c>
      <c r="D119" s="6">
        <f t="shared" si="1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7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5"/>
        <v/>
      </c>
      <c r="D120" s="6">
        <f t="shared" si="1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7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5"/>
        <v/>
      </c>
      <c r="D121" s="6">
        <f t="shared" si="1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7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5"/>
        <v/>
      </c>
      <c r="D122" s="6">
        <f t="shared" si="1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7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5"/>
        <v/>
      </c>
      <c r="D123" s="6">
        <f t="shared" si="1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7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5"/>
        <v/>
      </c>
      <c r="D124" s="6">
        <f t="shared" si="1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7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5"/>
        <v/>
      </c>
      <c r="D125" s="6">
        <f t="shared" si="1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7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5"/>
        <v/>
      </c>
      <c r="D126" s="6">
        <f t="shared" si="1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7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5"/>
        <v/>
      </c>
      <c r="D127" s="6">
        <f t="shared" si="1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7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5"/>
        <v/>
      </c>
      <c r="D128" s="6">
        <f t="shared" si="1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7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5"/>
        <v/>
      </c>
      <c r="D129" s="6">
        <f t="shared" si="1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7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5"/>
        <v/>
      </c>
      <c r="D130" s="6">
        <f t="shared" si="1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7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5"/>
        <v/>
      </c>
      <c r="D131" s="6">
        <f t="shared" si="1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7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5"/>
        <v/>
      </c>
      <c r="D132" s="6">
        <f t="shared" si="1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7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5"/>
        <v/>
      </c>
      <c r="D133" s="6">
        <f t="shared" si="16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7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8">IF(H134="","",H134)</f>
        <v/>
      </c>
      <c r="D134" s="6">
        <f t="shared" ref="D134:D197" si="19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0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8"/>
        <v/>
      </c>
      <c r="D135" s="6">
        <f t="shared" si="19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0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8"/>
        <v/>
      </c>
      <c r="D136" s="6">
        <f t="shared" si="19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0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8"/>
        <v/>
      </c>
      <c r="D137" s="6">
        <f t="shared" si="19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0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8"/>
        <v/>
      </c>
      <c r="D138" s="6">
        <f t="shared" si="19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0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8"/>
        <v/>
      </c>
      <c r="D139" s="6">
        <f t="shared" si="19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0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8"/>
        <v/>
      </c>
      <c r="D140" s="6">
        <f t="shared" si="19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0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8"/>
        <v/>
      </c>
      <c r="D141" s="6">
        <f t="shared" si="19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0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8"/>
        <v/>
      </c>
      <c r="D142" s="6">
        <f t="shared" si="19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0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8"/>
        <v/>
      </c>
      <c r="D143" s="6">
        <f t="shared" si="19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0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8"/>
        <v/>
      </c>
      <c r="D144" s="6">
        <f t="shared" si="19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0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8"/>
        <v/>
      </c>
      <c r="D145" s="6">
        <f t="shared" si="19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0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8"/>
        <v/>
      </c>
      <c r="D146" s="6">
        <f t="shared" si="19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0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8"/>
        <v/>
      </c>
      <c r="D147" s="6">
        <f t="shared" si="19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0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8"/>
        <v/>
      </c>
      <c r="D148" s="6">
        <f t="shared" si="19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0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8"/>
        <v/>
      </c>
      <c r="D149" s="6">
        <f t="shared" si="19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0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8"/>
        <v/>
      </c>
      <c r="D150" s="6">
        <f t="shared" si="19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0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8"/>
        <v/>
      </c>
      <c r="D151" s="6">
        <f t="shared" si="19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0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8"/>
        <v/>
      </c>
      <c r="D152" s="6">
        <f t="shared" si="19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0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8"/>
        <v/>
      </c>
      <c r="D153" s="6">
        <f t="shared" si="19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0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8"/>
        <v/>
      </c>
      <c r="D154" s="6">
        <f t="shared" si="19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0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8"/>
        <v/>
      </c>
      <c r="D155" s="6">
        <f t="shared" si="19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0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8"/>
        <v/>
      </c>
      <c r="D156" s="6">
        <f t="shared" si="19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0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8"/>
        <v/>
      </c>
      <c r="D157" s="6">
        <f t="shared" si="19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0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8"/>
        <v/>
      </c>
      <c r="D158" s="6">
        <f t="shared" si="19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0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8"/>
        <v/>
      </c>
      <c r="D159" s="6">
        <f t="shared" si="19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0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8"/>
        <v/>
      </c>
      <c r="D160" s="6">
        <f t="shared" si="19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0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8"/>
        <v/>
      </c>
      <c r="D161" s="6">
        <f t="shared" si="19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0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8"/>
        <v/>
      </c>
      <c r="D162" s="6">
        <f t="shared" si="19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0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8"/>
        <v/>
      </c>
      <c r="D163" s="6">
        <f t="shared" si="19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0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8"/>
        <v/>
      </c>
      <c r="D164" s="6">
        <f t="shared" si="19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0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8"/>
        <v/>
      </c>
      <c r="D165" s="6">
        <f t="shared" si="19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0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8"/>
        <v/>
      </c>
      <c r="D166" s="6">
        <f t="shared" si="1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0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8"/>
        <v/>
      </c>
      <c r="D167" s="6">
        <f t="shared" si="1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0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8"/>
        <v/>
      </c>
      <c r="D168" s="6">
        <f t="shared" si="1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0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8"/>
        <v/>
      </c>
      <c r="D169" s="6">
        <f t="shared" si="1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0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8"/>
        <v/>
      </c>
      <c r="D170" s="6">
        <f t="shared" si="1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0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8"/>
        <v/>
      </c>
      <c r="D171" s="6">
        <f t="shared" si="1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0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8"/>
        <v/>
      </c>
      <c r="D172" s="6">
        <f t="shared" si="1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0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8"/>
        <v/>
      </c>
      <c r="D173" s="6">
        <f t="shared" si="1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0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8"/>
        <v/>
      </c>
      <c r="D174" s="6">
        <f t="shared" si="1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0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8"/>
        <v/>
      </c>
      <c r="D175" s="6">
        <f t="shared" si="1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0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8"/>
        <v/>
      </c>
      <c r="D176" s="6">
        <f t="shared" si="1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0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8"/>
        <v/>
      </c>
      <c r="D177" s="6">
        <f t="shared" si="1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0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8"/>
        <v/>
      </c>
      <c r="D178" s="6">
        <f t="shared" si="1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0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8"/>
        <v/>
      </c>
      <c r="D179" s="6">
        <f t="shared" si="1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0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8"/>
        <v/>
      </c>
      <c r="D180" s="6">
        <f t="shared" si="1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0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8"/>
        <v/>
      </c>
      <c r="D181" s="6">
        <f t="shared" si="1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0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8"/>
        <v/>
      </c>
      <c r="D182" s="6">
        <f t="shared" si="1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0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8"/>
        <v/>
      </c>
      <c r="D183" s="6">
        <f t="shared" si="1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0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8"/>
        <v/>
      </c>
      <c r="D184" s="6">
        <f t="shared" si="1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0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8"/>
        <v/>
      </c>
      <c r="D185" s="6">
        <f t="shared" si="1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0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8"/>
        <v/>
      </c>
      <c r="D186" s="6">
        <f t="shared" si="1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0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8"/>
        <v/>
      </c>
      <c r="D187" s="6">
        <f t="shared" si="1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0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8"/>
        <v/>
      </c>
      <c r="D188" s="6">
        <f t="shared" si="1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0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8"/>
        <v/>
      </c>
      <c r="D189" s="6">
        <f t="shared" si="1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0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8"/>
        <v/>
      </c>
      <c r="D190" s="6">
        <f t="shared" si="1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0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8"/>
        <v/>
      </c>
      <c r="D191" s="6">
        <f t="shared" si="1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0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8"/>
        <v/>
      </c>
      <c r="D192" s="6">
        <f t="shared" si="1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0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8"/>
        <v/>
      </c>
      <c r="D193" s="6">
        <f t="shared" si="1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0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8"/>
        <v/>
      </c>
      <c r="D194" s="6">
        <f t="shared" si="1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0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8"/>
        <v/>
      </c>
      <c r="D195" s="6">
        <f t="shared" si="1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8"/>
        <v/>
      </c>
      <c r="D196" s="6">
        <f t="shared" si="1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8"/>
        <v/>
      </c>
      <c r="D197" s="6">
        <f t="shared" si="1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1">IF(H198="","",H198)</f>
        <v/>
      </c>
      <c r="D198" s="6">
        <f t="shared" ref="D198:D200" si="22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3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1"/>
        <v/>
      </c>
      <c r="D199" s="6">
        <f t="shared" si="22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3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1"/>
        <v/>
      </c>
      <c r="D200" s="6">
        <f t="shared" si="22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3"/>
        <v>0</v>
      </c>
    </row>
  </sheetData>
  <autoFilter ref="B1:CU1" xr:uid="{A13DDBA3-FED6-4D82-BBD5-9B71C68B67F1}">
    <sortState xmlns:xlrd2="http://schemas.microsoft.com/office/spreadsheetml/2017/richdata2" ref="B2:CU138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>
      <selection activeCell="T22" sqref="T22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" si="6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7">I2*1.5</f>
        <v>150</v>
      </c>
      <c r="K2" s="10">
        <f t="shared" si="7"/>
        <v>225</v>
      </c>
      <c r="L2" s="10">
        <f t="shared" si="7"/>
        <v>337.5</v>
      </c>
      <c r="M2" s="10">
        <f t="shared" si="7"/>
        <v>506.25</v>
      </c>
      <c r="N2" s="10">
        <f t="shared" si="7"/>
        <v>759.375</v>
      </c>
      <c r="O2" s="10">
        <f t="shared" si="7"/>
        <v>1139.0625</v>
      </c>
      <c r="P2" s="10">
        <f t="shared" si="7"/>
        <v>1708.59375</v>
      </c>
      <c r="Q2" s="10">
        <f t="shared" si="7"/>
        <v>2562.890625</v>
      </c>
      <c r="R2" s="10">
        <f t="shared" si="7"/>
        <v>3844.3359375</v>
      </c>
      <c r="S2" s="10">
        <f t="shared" si="7"/>
        <v>5766.50390625</v>
      </c>
      <c r="T2" s="10">
        <f t="shared" si="7"/>
        <v>8649.755859375</v>
      </c>
      <c r="U2" s="10">
        <f t="shared" si="7"/>
        <v>12974.6337890625</v>
      </c>
      <c r="V2" s="10">
        <f t="shared" si="7"/>
        <v>19461.95068359375</v>
      </c>
      <c r="W2" s="10">
        <f t="shared" si="7"/>
        <v>29192.926025390625</v>
      </c>
      <c r="X2" s="10">
        <f t="shared" si="7"/>
        <v>43789.389038085938</v>
      </c>
      <c r="Y2" s="10">
        <f t="shared" si="7"/>
        <v>65684.083557128906</v>
      </c>
      <c r="Z2" s="10">
        <f t="shared" si="7"/>
        <v>98526.125335693359</v>
      </c>
      <c r="AA2" s="10">
        <f t="shared" si="7"/>
        <v>147789.18800354004</v>
      </c>
      <c r="AB2" s="10">
        <f t="shared" si="7"/>
        <v>221683.78200531006</v>
      </c>
      <c r="AC2" s="10">
        <f t="shared" si="7"/>
        <v>332525.67300796509</v>
      </c>
      <c r="AD2" s="10">
        <f t="shared" si="7"/>
        <v>498788.50951194763</v>
      </c>
      <c r="AE2" s="10">
        <f t="shared" si="7"/>
        <v>748182.76426792145</v>
      </c>
      <c r="AF2" s="10">
        <f t="shared" si="7"/>
        <v>1122274.1464018822</v>
      </c>
      <c r="AG2" s="10">
        <f t="shared" si="7"/>
        <v>1683411.2196028233</v>
      </c>
      <c r="AH2" s="10">
        <f t="shared" si="7"/>
        <v>2525116.8294042349</v>
      </c>
      <c r="AI2" s="10">
        <f t="shared" si="7"/>
        <v>3787675.2441063523</v>
      </c>
      <c r="AJ2" s="10">
        <f t="shared" si="7"/>
        <v>5681512.8661595285</v>
      </c>
      <c r="AK2" s="10">
        <f t="shared" si="7"/>
        <v>8522269.2992392927</v>
      </c>
      <c r="AL2" s="10">
        <f t="shared" si="7"/>
        <v>12783403.948858939</v>
      </c>
      <c r="AM2" s="10">
        <f t="shared" si="7"/>
        <v>19175105.923288409</v>
      </c>
      <c r="AN2" s="10">
        <f t="shared" si="7"/>
        <v>28762658.884932615</v>
      </c>
      <c r="AO2" s="10">
        <f t="shared" si="7"/>
        <v>43143988.327398926</v>
      </c>
      <c r="AP2" s="10">
        <f t="shared" si="7"/>
        <v>64715982.491098389</v>
      </c>
      <c r="AQ2" s="10">
        <f t="shared" si="7"/>
        <v>97073973.736647576</v>
      </c>
      <c r="AR2" s="10">
        <f t="shared" si="7"/>
        <v>145610960.60497135</v>
      </c>
      <c r="AS2" s="10">
        <f t="shared" si="7"/>
        <v>218416440.90745702</v>
      </c>
      <c r="AT2" s="10">
        <f t="shared" si="7"/>
        <v>327624661.36118555</v>
      </c>
      <c r="AU2" s="10">
        <f t="shared" si="7"/>
        <v>491436992.04177833</v>
      </c>
      <c r="AV2" s="10">
        <f t="shared" si="7"/>
        <v>737155488.06266749</v>
      </c>
      <c r="AW2" s="10">
        <f t="shared" si="7"/>
        <v>1105733232.0940013</v>
      </c>
      <c r="AX2" s="10">
        <f t="shared" si="7"/>
        <v>1658599848.1410019</v>
      </c>
      <c r="AY2" s="10">
        <f t="shared" si="7"/>
        <v>2487899772.211503</v>
      </c>
      <c r="AZ2" s="10">
        <f t="shared" si="7"/>
        <v>3731849658.3172545</v>
      </c>
      <c r="BA2" s="10">
        <f t="shared" si="7"/>
        <v>5597774487.4758816</v>
      </c>
      <c r="BB2" s="10">
        <f t="shared" si="7"/>
        <v>8396661731.2138224</v>
      </c>
      <c r="BC2" s="10">
        <f t="shared" si="7"/>
        <v>12594992596.820734</v>
      </c>
      <c r="BD2" s="10">
        <f t="shared" si="7"/>
        <v>18892488895.231102</v>
      </c>
      <c r="BE2" s="10">
        <f t="shared" si="7"/>
        <v>28338733342.846653</v>
      </c>
      <c r="BF2" s="10">
        <f t="shared" si="7"/>
        <v>42508100014.269981</v>
      </c>
      <c r="BG2" s="10">
        <f t="shared" si="7"/>
        <v>63762150021.404968</v>
      </c>
      <c r="BH2" s="10">
        <f t="shared" si="7"/>
        <v>95643225032.107452</v>
      </c>
    </row>
    <row r="3" spans="1:307" x14ac:dyDescent="0.25">
      <c r="A3" s="9">
        <f t="shared" ref="A3:A200" si="8">A2+1</f>
        <v>2</v>
      </c>
      <c r="B3" s="9">
        <v>1</v>
      </c>
      <c r="C3" s="9" t="str">
        <f>H3</f>
        <v>40% Daily Increase</v>
      </c>
      <c r="D3" s="6">
        <f t="shared" ref="D3:D5" si="9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10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1">I3*1.4</f>
        <v>140</v>
      </c>
      <c r="K3" s="10">
        <f t="shared" si="11"/>
        <v>196</v>
      </c>
      <c r="L3" s="10">
        <f t="shared" si="11"/>
        <v>274.39999999999998</v>
      </c>
      <c r="M3" s="10">
        <f t="shared" si="11"/>
        <v>384.15999999999997</v>
      </c>
      <c r="N3" s="10">
        <f t="shared" si="11"/>
        <v>537.82399999999996</v>
      </c>
      <c r="O3" s="10">
        <f t="shared" si="11"/>
        <v>752.95359999999994</v>
      </c>
      <c r="P3" s="10">
        <f t="shared" si="11"/>
        <v>1054.1350399999999</v>
      </c>
      <c r="Q3" s="10">
        <f t="shared" si="11"/>
        <v>1475.7890559999998</v>
      </c>
      <c r="R3" s="10">
        <f t="shared" si="11"/>
        <v>2066.1046783999996</v>
      </c>
      <c r="S3" s="10">
        <f t="shared" si="11"/>
        <v>2892.5465497599994</v>
      </c>
      <c r="T3" s="10">
        <f t="shared" si="11"/>
        <v>4049.5651696639989</v>
      </c>
      <c r="U3" s="10">
        <f t="shared" si="11"/>
        <v>5669.3912375295977</v>
      </c>
      <c r="V3" s="10">
        <f t="shared" si="11"/>
        <v>7937.1477325414362</v>
      </c>
      <c r="W3" s="10">
        <f t="shared" si="11"/>
        <v>11112.00682555801</v>
      </c>
      <c r="X3" s="10">
        <f t="shared" si="11"/>
        <v>15556.809555781212</v>
      </c>
      <c r="Y3" s="10">
        <f t="shared" si="11"/>
        <v>21779.533378093696</v>
      </c>
      <c r="Z3" s="10">
        <f t="shared" si="11"/>
        <v>30491.346729331173</v>
      </c>
      <c r="AA3" s="10">
        <f t="shared" si="11"/>
        <v>42687.885421063642</v>
      </c>
      <c r="AB3" s="10">
        <f t="shared" si="11"/>
        <v>59763.039589489097</v>
      </c>
      <c r="AC3" s="10">
        <f t="shared" si="11"/>
        <v>83668.255425284733</v>
      </c>
      <c r="AD3" s="10">
        <f t="shared" si="11"/>
        <v>117135.55759539861</v>
      </c>
      <c r="AE3" s="10">
        <f t="shared" si="11"/>
        <v>163989.78063355805</v>
      </c>
      <c r="AF3" s="10">
        <f t="shared" si="11"/>
        <v>229585.69288698127</v>
      </c>
      <c r="AG3" s="10">
        <f t="shared" si="11"/>
        <v>321419.97004177375</v>
      </c>
      <c r="AH3" s="10">
        <f t="shared" si="11"/>
        <v>449987.9580584832</v>
      </c>
      <c r="AI3" s="10">
        <f t="shared" si="11"/>
        <v>629983.14128187648</v>
      </c>
      <c r="AJ3" s="10">
        <f t="shared" si="11"/>
        <v>881976.397794627</v>
      </c>
      <c r="AK3" s="10">
        <f t="shared" si="11"/>
        <v>1234766.9569124777</v>
      </c>
      <c r="AL3" s="10">
        <f t="shared" si="11"/>
        <v>1728673.7396774688</v>
      </c>
      <c r="AM3" s="10">
        <f t="shared" si="11"/>
        <v>2420143.2355484562</v>
      </c>
      <c r="AN3" s="10">
        <f t="shared" si="11"/>
        <v>3388200.5297678383</v>
      </c>
      <c r="AO3" s="10">
        <f t="shared" si="11"/>
        <v>4743480.7416749736</v>
      </c>
      <c r="AP3" s="10">
        <f t="shared" si="11"/>
        <v>6640873.0383449625</v>
      </c>
      <c r="AQ3" s="10">
        <f t="shared" si="11"/>
        <v>9297222.2536829468</v>
      </c>
      <c r="AR3" s="10">
        <f t="shared" si="11"/>
        <v>13016111.155156124</v>
      </c>
      <c r="AS3" s="10">
        <f t="shared" si="11"/>
        <v>18222555.617218573</v>
      </c>
      <c r="AT3" s="10">
        <f t="shared" si="11"/>
        <v>25511577.864105999</v>
      </c>
      <c r="AU3" s="10">
        <f t="shared" si="11"/>
        <v>35716209.009748399</v>
      </c>
      <c r="AV3" s="10">
        <f t="shared" si="11"/>
        <v>50002692.613647759</v>
      </c>
      <c r="AW3" s="10">
        <f t="shared" si="11"/>
        <v>70003769.659106866</v>
      </c>
      <c r="AX3" s="10">
        <f t="shared" si="11"/>
        <v>98005277.522749603</v>
      </c>
      <c r="AY3" s="10">
        <f t="shared" si="11"/>
        <v>137207388.53184944</v>
      </c>
      <c r="AZ3" s="10">
        <f t="shared" si="11"/>
        <v>192090343.9445892</v>
      </c>
      <c r="BA3" s="10">
        <f t="shared" si="11"/>
        <v>268926481.52242488</v>
      </c>
      <c r="BB3" s="10">
        <f t="shared" si="11"/>
        <v>376497074.1313948</v>
      </c>
      <c r="BC3" s="10">
        <f t="shared" si="11"/>
        <v>527095903.78395271</v>
      </c>
      <c r="BD3" s="10">
        <f t="shared" si="11"/>
        <v>737934265.29753375</v>
      </c>
      <c r="BE3" s="10">
        <f t="shared" si="11"/>
        <v>1033107971.4165472</v>
      </c>
      <c r="BF3" s="10">
        <f t="shared" si="11"/>
        <v>1446351159.983166</v>
      </c>
      <c r="BG3" s="10">
        <f t="shared" si="11"/>
        <v>2024891623.9764323</v>
      </c>
      <c r="BH3" s="10">
        <f t="shared" si="11"/>
        <v>2834848273.5670052</v>
      </c>
    </row>
    <row r="4" spans="1:307" x14ac:dyDescent="0.25">
      <c r="A4" s="9">
        <f t="shared" si="8"/>
        <v>3</v>
      </c>
      <c r="B4" s="9">
        <v>1</v>
      </c>
      <c r="C4" s="9" t="str">
        <f>H4</f>
        <v>30% Daily Increase</v>
      </c>
      <c r="D4" s="6">
        <f t="shared" si="9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10"/>
        <v>1.3</v>
      </c>
      <c r="H4" s="15" t="s">
        <v>432</v>
      </c>
      <c r="I4" s="9">
        <v>100</v>
      </c>
      <c r="J4" s="10">
        <f t="shared" ref="J4:BH4" si="12">I4*1.3</f>
        <v>130</v>
      </c>
      <c r="K4" s="10">
        <f t="shared" si="12"/>
        <v>169</v>
      </c>
      <c r="L4" s="10">
        <f t="shared" si="12"/>
        <v>219.70000000000002</v>
      </c>
      <c r="M4" s="10">
        <f t="shared" si="12"/>
        <v>285.61</v>
      </c>
      <c r="N4" s="10">
        <f t="shared" si="12"/>
        <v>371.29300000000001</v>
      </c>
      <c r="O4" s="10">
        <f t="shared" si="12"/>
        <v>482.68090000000001</v>
      </c>
      <c r="P4" s="10">
        <f t="shared" si="12"/>
        <v>627.48517000000004</v>
      </c>
      <c r="Q4" s="10">
        <f t="shared" si="12"/>
        <v>815.73072100000013</v>
      </c>
      <c r="R4" s="10">
        <f t="shared" si="12"/>
        <v>1060.4499373000001</v>
      </c>
      <c r="S4" s="10">
        <f t="shared" si="12"/>
        <v>1378.5849184900003</v>
      </c>
      <c r="T4" s="10">
        <f t="shared" si="12"/>
        <v>1792.1603940370005</v>
      </c>
      <c r="U4" s="10">
        <f t="shared" si="12"/>
        <v>2329.8085122481007</v>
      </c>
      <c r="V4" s="10">
        <f t="shared" si="12"/>
        <v>3028.7510659225309</v>
      </c>
      <c r="W4" s="10">
        <f t="shared" si="12"/>
        <v>3937.37638569929</v>
      </c>
      <c r="X4" s="10">
        <f t="shared" si="12"/>
        <v>5118.5893014090771</v>
      </c>
      <c r="Y4" s="10">
        <f t="shared" si="12"/>
        <v>6654.1660918318003</v>
      </c>
      <c r="Z4" s="10">
        <f t="shared" si="12"/>
        <v>8650.4159193813412</v>
      </c>
      <c r="AA4" s="10">
        <f t="shared" si="12"/>
        <v>11245.540695195745</v>
      </c>
      <c r="AB4" s="10">
        <f t="shared" si="12"/>
        <v>14619.202903754469</v>
      </c>
      <c r="AC4" s="10">
        <f t="shared" si="12"/>
        <v>19004.963774880809</v>
      </c>
      <c r="AD4" s="10">
        <f t="shared" si="12"/>
        <v>24706.452907345054</v>
      </c>
      <c r="AE4" s="10">
        <f t="shared" si="12"/>
        <v>32118.388779548572</v>
      </c>
      <c r="AF4" s="10">
        <f t="shared" si="12"/>
        <v>41753.905413413144</v>
      </c>
      <c r="AG4" s="10">
        <f t="shared" si="12"/>
        <v>54280.077037437091</v>
      </c>
      <c r="AH4" s="10">
        <f t="shared" si="12"/>
        <v>70564.100148668222</v>
      </c>
      <c r="AI4" s="10">
        <f t="shared" si="12"/>
        <v>91733.330193268688</v>
      </c>
      <c r="AJ4" s="10">
        <f t="shared" si="12"/>
        <v>119253.32925124929</v>
      </c>
      <c r="AK4" s="10">
        <f t="shared" si="12"/>
        <v>155029.32802662408</v>
      </c>
      <c r="AL4" s="10">
        <f t="shared" si="12"/>
        <v>201538.1264346113</v>
      </c>
      <c r="AM4" s="10">
        <f t="shared" si="12"/>
        <v>261999.5643649947</v>
      </c>
      <c r="AN4" s="10">
        <f t="shared" si="12"/>
        <v>340599.43367449311</v>
      </c>
      <c r="AO4" s="10">
        <f t="shared" si="12"/>
        <v>442779.26377684105</v>
      </c>
      <c r="AP4" s="10">
        <f t="shared" si="12"/>
        <v>575613.04290989344</v>
      </c>
      <c r="AQ4" s="10">
        <f t="shared" si="12"/>
        <v>748296.95578286145</v>
      </c>
      <c r="AR4" s="10">
        <f t="shared" si="12"/>
        <v>972786.04251771991</v>
      </c>
      <c r="AS4" s="10">
        <f t="shared" si="12"/>
        <v>1264621.8552730358</v>
      </c>
      <c r="AT4" s="10">
        <f t="shared" si="12"/>
        <v>1644008.4118549465</v>
      </c>
      <c r="AU4" s="10">
        <f t="shared" si="12"/>
        <v>2137210.9354114304</v>
      </c>
      <c r="AV4" s="10">
        <f t="shared" si="12"/>
        <v>2778374.2160348599</v>
      </c>
      <c r="AW4" s="10">
        <f t="shared" si="12"/>
        <v>3611886.4808453182</v>
      </c>
      <c r="AX4" s="10">
        <f t="shared" si="12"/>
        <v>4695452.4250989137</v>
      </c>
      <c r="AY4" s="10">
        <f t="shared" si="12"/>
        <v>6104088.1526285885</v>
      </c>
      <c r="AZ4" s="10">
        <f t="shared" si="12"/>
        <v>7935314.5984171657</v>
      </c>
      <c r="BA4" s="10">
        <f t="shared" si="12"/>
        <v>10315908.977942316</v>
      </c>
      <c r="BB4" s="10">
        <f t="shared" si="12"/>
        <v>13410681.671325011</v>
      </c>
      <c r="BC4" s="10">
        <f t="shared" si="12"/>
        <v>17433886.172722515</v>
      </c>
      <c r="BD4" s="10">
        <f t="shared" si="12"/>
        <v>22664052.02453927</v>
      </c>
      <c r="BE4" s="10">
        <f t="shared" si="12"/>
        <v>29463267.631901052</v>
      </c>
      <c r="BF4" s="10">
        <f t="shared" si="12"/>
        <v>38302247.921471372</v>
      </c>
      <c r="BG4" s="10">
        <f t="shared" si="12"/>
        <v>49792922.297912784</v>
      </c>
      <c r="BH4" s="10">
        <f t="shared" si="12"/>
        <v>64730798.98728662</v>
      </c>
    </row>
    <row r="5" spans="1:307" x14ac:dyDescent="0.25">
      <c r="A5" s="9">
        <f t="shared" si="8"/>
        <v>4</v>
      </c>
      <c r="B5" s="9">
        <f t="array" ref="B5">IF(C5="",0,IF(OR(C5=Country_Comparison!$S$10:$S$29),1,0))</f>
        <v>1</v>
      </c>
      <c r="C5" s="9" t="str">
        <f t="shared" ref="C5" si="13">IF(H5="","",H5)</f>
        <v>China</v>
      </c>
      <c r="D5" s="6">
        <f t="shared" si="9"/>
        <v>58108</v>
      </c>
      <c r="E5" s="6">
        <f>IF(COUNTIF(I5:XFD5,"&gt;"&amp;0)=0,,HLOOKUP(COUNTIF(I5:XFD5,"&gt;"&amp;0)-1,I$1:XFD5,A5+1,FALSE))</f>
        <v>7372</v>
      </c>
      <c r="F5" s="7">
        <f>IF(COUNTIF(I5:XFD5,"&gt;"&amp;0)=0,,HLOOKUP(COUNTIF(I5:XFD5,"&gt;"&amp;0)-MIN($F$1+1,COUNTIF(I5:XFD5,"&gt;"&amp;0)),I$1:XFD5,A5+1,FALSE))</f>
        <v>12124</v>
      </c>
      <c r="G5" s="8">
        <f t="shared" si="10"/>
        <v>0.90529032658001662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</row>
    <row r="6" spans="1:307" x14ac:dyDescent="0.25">
      <c r="A6" s="9">
        <f t="shared" si="8"/>
        <v>5</v>
      </c>
      <c r="B6" s="9">
        <f t="array" ref="B6">IF(C6="",0,IF(OR(C6=Country_Comparison!$S$10:$S$29),1,0))</f>
        <v>1</v>
      </c>
      <c r="C6" s="9" t="str">
        <f t="shared" ref="C6:C69" si="14">IF(H6="","",H6)</f>
        <v>Italy</v>
      </c>
      <c r="D6" s="6">
        <f t="shared" ref="D6:D69" si="15">MAX(I6:CL6)</f>
        <v>33190</v>
      </c>
      <c r="E6" s="6">
        <f>IF(COUNTIF(I6:XFD6,"&gt;"&amp;0)=0,,HLOOKUP(COUNTIF(I6:XFD6,"&gt;"&amp;0)-1,I$1:XFD6,A6+1,FALSE))</f>
        <v>33190</v>
      </c>
      <c r="F6" s="7">
        <f>IF(COUNTIF(I6:XFD6,"&gt;"&amp;0)=0,,HLOOKUP(COUNTIF(I6:XFD6,"&gt;"&amp;0)-MIN($F$1+1,COUNTIF(I6:XFD6,"&gt;"&amp;0)),I$1:XFD6,A6+1,FALSE))</f>
        <v>17750</v>
      </c>
      <c r="G6" s="8">
        <f t="shared" ref="G6:G69" si="16">IF(COUNTIF(I6:XFD6,"&gt;"&amp;0)=0,,(E6/F6)^(1/MIN(COUNTIF(I6:XFD6,"&gt;"&amp;0)-1,$F$1)))</f>
        <v>1.1333440762600799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</row>
    <row r="7" spans="1:307" x14ac:dyDescent="0.25">
      <c r="A7" s="9">
        <f t="shared" si="8"/>
        <v>6</v>
      </c>
      <c r="B7" s="9">
        <f t="array" ref="B7">IF(C7="",0,IF(OR(C7=Country_Comparison!$S$10:$S$29),1,0))</f>
        <v>0</v>
      </c>
      <c r="C7" s="9" t="str">
        <f t="shared" si="14"/>
        <v>Iran</v>
      </c>
      <c r="D7" s="6">
        <f t="shared" si="15"/>
        <v>11413</v>
      </c>
      <c r="E7" s="6">
        <f>IF(COUNTIF(I7:XFD7,"&gt;"&amp;0)=0,,HLOOKUP(COUNTIF(I7:XFD7,"&gt;"&amp;0)-1,I$1:XFD7,A7+1,FALSE))</f>
        <v>11413</v>
      </c>
      <c r="F7" s="7">
        <f>IF(COUNTIF(I7:XFD7,"&gt;"&amp;0)=0,,HLOOKUP(COUNTIF(I7:XFD7,"&gt;"&amp;0)-MIN($F$1+1,COUNTIF(I7:XFD7,"&gt;"&amp;0)),I$1:XFD7,A7+1,FALSE))</f>
        <v>9159</v>
      </c>
      <c r="G7" s="8">
        <f t="shared" si="16"/>
        <v>1.0449857101546529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</row>
    <row r="8" spans="1:307" x14ac:dyDescent="0.25">
      <c r="A8" s="9">
        <f t="shared" si="8"/>
        <v>7</v>
      </c>
      <c r="B8" s="9">
        <f t="array" ref="B8">IF(C8="",0,IF(OR(C8=Country_Comparison!$S$10:$S$29),1,0))</f>
        <v>1</v>
      </c>
      <c r="C8" s="9" t="str">
        <f t="shared" si="14"/>
        <v>Korea, South</v>
      </c>
      <c r="D8" s="6">
        <f t="shared" si="15"/>
        <v>7577</v>
      </c>
      <c r="E8" s="6">
        <f>IF(COUNTIF(I8:XFD8,"&gt;"&amp;0)=0,,HLOOKUP(COUNTIF(I8:XFD8,"&gt;"&amp;0)-1,I$1:XFD8,A8+1,FALSE))</f>
        <v>6934</v>
      </c>
      <c r="F8" s="7">
        <f>IF(COUNTIF(I8:XFD8,"&gt;"&amp;0)=0,,HLOOKUP(COUNTIF(I8:XFD8,"&gt;"&amp;0)-MIN($F$1+1,COUNTIF(I8:XFD8,"&gt;"&amp;0)),I$1:XFD8,A8+1,FALSE))</f>
        <v>7504</v>
      </c>
      <c r="G8" s="8">
        <f t="shared" si="16"/>
        <v>0.98432429032236113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</row>
    <row r="9" spans="1:307" x14ac:dyDescent="0.25">
      <c r="A9" s="9">
        <f t="shared" si="8"/>
        <v>8</v>
      </c>
      <c r="B9" s="9">
        <f t="array" ref="B9">IF(C9="",0,IF(OR(C9=Country_Comparison!$S$10:$S$29),1,0))</f>
        <v>0</v>
      </c>
      <c r="C9" s="9" t="str">
        <f t="shared" si="14"/>
        <v>Spain</v>
      </c>
      <c r="D9" s="6">
        <f t="shared" si="15"/>
        <v>16026</v>
      </c>
      <c r="E9" s="6">
        <f>IF(COUNTIF(I9:XFD9,"&gt;"&amp;0)=0,,HLOOKUP(COUNTIF(I9:XFD9,"&gt;"&amp;0)-1,I$1:XFD9,A9+1,FALSE))</f>
        <v>16026</v>
      </c>
      <c r="F9" s="7">
        <f>IF(COUNTIF(I9:XFD9,"&gt;"&amp;0)=0,,HLOOKUP(COUNTIF(I9:XFD9,"&gt;"&amp;0)-MIN($F$1+1,COUNTIF(I9:XFD9,"&gt;"&amp;0)),I$1:XFD9,A9+1,FALSE))</f>
        <v>5679</v>
      </c>
      <c r="G9" s="8">
        <f t="shared" si="16"/>
        <v>1.2305822710800822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</row>
    <row r="10" spans="1:307" x14ac:dyDescent="0.25">
      <c r="A10" s="9">
        <f t="shared" si="8"/>
        <v>9</v>
      </c>
      <c r="B10" s="9">
        <f t="array" ref="B10">IF(C10="",0,IF(OR(C10=Country_Comparison!$S$10:$S$29),1,0))</f>
        <v>1</v>
      </c>
      <c r="C10" s="9" t="str">
        <f t="shared" si="14"/>
        <v>Germany</v>
      </c>
      <c r="D10" s="6">
        <f t="shared" si="15"/>
        <v>15163</v>
      </c>
      <c r="E10" s="6">
        <f>IF(COUNTIF(I10:XFD10,"&gt;"&amp;0)=0,,HLOOKUP(COUNTIF(I10:XFD10,"&gt;"&amp;0)-1,I$1:XFD10,A10+1,FALSE))</f>
        <v>15163</v>
      </c>
      <c r="F10" s="7">
        <f>IF(COUNTIF(I10:XFD10,"&gt;"&amp;0)=0,,HLOOKUP(COUNTIF(I10:XFD10,"&gt;"&amp;0)-MIN($F$1+1,COUNTIF(I10:XFD10,"&gt;"&amp;0)),I$1:XFD10,A10+1,FALSE))</f>
        <v>4530</v>
      </c>
      <c r="G10" s="8">
        <f t="shared" si="16"/>
        <v>1.2733194898742521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</row>
    <row r="11" spans="1:307" x14ac:dyDescent="0.25">
      <c r="A11" s="9">
        <f t="shared" si="8"/>
        <v>10</v>
      </c>
      <c r="B11" s="9">
        <f t="array" ref="B11">IF(C11="",0,IF(OR(C11=Country_Comparison!$S$10:$S$29),1,0))</f>
        <v>1</v>
      </c>
      <c r="C11" s="9" t="str">
        <f t="shared" si="14"/>
        <v>France</v>
      </c>
      <c r="D11" s="6">
        <f t="shared" si="15"/>
        <v>10692</v>
      </c>
      <c r="E11" s="6">
        <f>IF(COUNTIF(I11:XFD11,"&gt;"&amp;0)=0,,HLOOKUP(COUNTIF(I11:XFD11,"&gt;"&amp;0)-1,I$1:XFD11,A11+1,FALSE))</f>
        <v>10692</v>
      </c>
      <c r="F11" s="7">
        <f>IF(COUNTIF(I11:XFD11,"&gt;"&amp;0)=0,,HLOOKUP(COUNTIF(I11:XFD11,"&gt;"&amp;0)-MIN($F$1+1,COUNTIF(I11:XFD11,"&gt;"&amp;0)),I$1:XFD11,A11+1,FALSE))</f>
        <v>4384</v>
      </c>
      <c r="G11" s="8">
        <f t="shared" si="16"/>
        <v>1.1951920093136597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</row>
    <row r="12" spans="1:307" x14ac:dyDescent="0.25">
      <c r="A12" s="9">
        <f t="shared" si="8"/>
        <v>11</v>
      </c>
      <c r="B12" s="9">
        <f t="array" ref="B12">IF(C12="",0,IF(OR(C12=Country_Comparison!$S$10:$S$29),1,0))</f>
        <v>1</v>
      </c>
      <c r="C12" s="9" t="str">
        <f t="shared" si="14"/>
        <v>US</v>
      </c>
      <c r="D12" s="6">
        <f t="shared" si="15"/>
        <v>13477</v>
      </c>
      <c r="E12" s="6">
        <f>IF(COUNTIF(I12:XFD12,"&gt;"&amp;0)=0,,HLOOKUP(COUNTIF(I12:XFD12,"&gt;"&amp;0)-1,I$1:XFD12,A12+1,FALSE))</f>
        <v>13477</v>
      </c>
      <c r="F12" s="7">
        <f>IF(COUNTIF(I12:XFD12,"&gt;"&amp;0)=0,,HLOOKUP(COUNTIF(I12:XFD12,"&gt;"&amp;0)-MIN($F$1+1,COUNTIF(I12:XFD12,"&gt;"&amp;0)),I$1:XFD12,A12+1,FALSE))</f>
        <v>2661</v>
      </c>
      <c r="G12" s="8">
        <f t="shared" si="16"/>
        <v>1.3832786398821668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</row>
    <row r="13" spans="1:307" x14ac:dyDescent="0.25">
      <c r="A13" s="9">
        <f t="shared" si="8"/>
        <v>12</v>
      </c>
      <c r="B13" s="9">
        <f t="array" ref="B13">IF(C13="",0,IF(OR(C13=Country_Comparison!$S$10:$S$29),1,0))</f>
        <v>0</v>
      </c>
      <c r="C13" s="9" t="str">
        <f t="shared" si="14"/>
        <v>Switzerland</v>
      </c>
      <c r="D13" s="6">
        <f t="shared" si="15"/>
        <v>4019</v>
      </c>
      <c r="E13" s="6">
        <f>IF(COUNTIF(I13:XFD13,"&gt;"&amp;0)=0,,HLOOKUP(COUNTIF(I13:XFD13,"&gt;"&amp;0)-1,I$1:XFD13,A13+1,FALSE))</f>
        <v>4019</v>
      </c>
      <c r="F13" s="7">
        <f>IF(COUNTIF(I13:XFD13,"&gt;"&amp;0)=0,,HLOOKUP(COUNTIF(I13:XFD13,"&gt;"&amp;0)-MIN($F$1+1,COUNTIF(I13:XFD13,"&gt;"&amp;0)),I$1:XFD13,A13+1,FALSE))</f>
        <v>1342</v>
      </c>
      <c r="G13" s="8">
        <f t="shared" si="16"/>
        <v>1.2452974479328003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</row>
    <row r="14" spans="1:307" x14ac:dyDescent="0.25">
      <c r="A14" s="9">
        <f t="shared" si="8"/>
        <v>13</v>
      </c>
      <c r="B14" s="9">
        <f t="array" ref="B14">IF(C14="",0,IF(OR(C14=Country_Comparison!$S$10:$S$29),1,0))</f>
        <v>0</v>
      </c>
      <c r="C14" s="9" t="str">
        <f t="shared" si="14"/>
        <v>Norway</v>
      </c>
      <c r="D14" s="6">
        <f t="shared" si="15"/>
        <v>1738</v>
      </c>
      <c r="E14" s="6">
        <f>IF(COUNTIF(I14:XFD14,"&gt;"&amp;0)=0,,HLOOKUP(COUNTIF(I14:XFD14,"&gt;"&amp;0)-1,I$1:XFD14,A14+1,FALSE))</f>
        <v>1738</v>
      </c>
      <c r="F14" s="7">
        <f>IF(COUNTIF(I14:XFD14,"&gt;"&amp;0)=0,,HLOOKUP(COUNTIF(I14:XFD14,"&gt;"&amp;0)-MIN($F$1+1,COUNTIF(I14:XFD14,"&gt;"&amp;0)),I$1:XFD14,A14+1,FALSE))</f>
        <v>1086</v>
      </c>
      <c r="G14" s="8">
        <f t="shared" si="16"/>
        <v>1.0986111169433501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</row>
    <row r="15" spans="1:307" x14ac:dyDescent="0.25">
      <c r="A15" s="9">
        <f t="shared" si="8"/>
        <v>14</v>
      </c>
      <c r="B15" s="9">
        <f t="array" ref="B15">IF(C15="",0,IF(OR(C15=Country_Comparison!$S$10:$S$29),1,0))</f>
        <v>0</v>
      </c>
      <c r="C15" s="9" t="str">
        <f t="shared" si="14"/>
        <v>Sweden</v>
      </c>
      <c r="D15" s="6">
        <f t="shared" si="15"/>
        <v>1412</v>
      </c>
      <c r="E15" s="6">
        <f>IF(COUNTIF(I15:XFD15,"&gt;"&amp;0)=0,,HLOOKUP(COUNTIF(I15:XFD15,"&gt;"&amp;0)-1,I$1:XFD15,A15+1,FALSE))</f>
        <v>1412</v>
      </c>
      <c r="F15" s="7">
        <f>IF(COUNTIF(I15:XFD15,"&gt;"&amp;0)=0,,HLOOKUP(COUNTIF(I15:XFD15,"&gt;"&amp;0)-MIN($F$1+1,COUNTIF(I15:XFD15,"&gt;"&amp;0)),I$1:XFD15,A15+1,FALSE))</f>
        <v>958</v>
      </c>
      <c r="G15" s="8">
        <f t="shared" si="16"/>
        <v>1.0806718467154404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</row>
    <row r="16" spans="1:307" x14ac:dyDescent="0.25">
      <c r="A16" s="9">
        <f t="shared" si="8"/>
        <v>15</v>
      </c>
      <c r="B16" s="9">
        <f t="array" ref="B16">IF(C16="",0,IF(OR(C16=Country_Comparison!$S$10:$S$29),1,0))</f>
        <v>0</v>
      </c>
      <c r="C16" s="9" t="str">
        <f t="shared" si="14"/>
        <v>Denmark</v>
      </c>
      <c r="D16" s="6">
        <f t="shared" si="15"/>
        <v>1218</v>
      </c>
      <c r="E16" s="6">
        <f>IF(COUNTIF(I16:XFD16,"&gt;"&amp;0)=0,,HLOOKUP(COUNTIF(I16:XFD16,"&gt;"&amp;0)-1,I$1:XFD16,A16+1,FALSE))</f>
        <v>1218</v>
      </c>
      <c r="F16" s="7">
        <f>IF(COUNTIF(I16:XFD16,"&gt;"&amp;0)=0,,HLOOKUP(COUNTIF(I16:XFD16,"&gt;"&amp;0)-MIN($F$1+1,COUNTIF(I16:XFD16,"&gt;"&amp;0)),I$1:XFD16,A16+1,FALSE))</f>
        <v>834</v>
      </c>
      <c r="G16" s="8">
        <f t="shared" si="16"/>
        <v>1.0786889938459419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</row>
    <row r="17" spans="1:47" x14ac:dyDescent="0.25">
      <c r="A17" s="9">
        <f t="shared" si="8"/>
        <v>16</v>
      </c>
      <c r="B17" s="9">
        <f t="array" ref="B17">IF(C17="",0,IF(OR(C17=Country_Comparison!$S$10:$S$29),1,0))</f>
        <v>0</v>
      </c>
      <c r="C17" s="9" t="str">
        <f t="shared" si="14"/>
        <v>Netherlands</v>
      </c>
      <c r="D17" s="6">
        <f t="shared" si="15"/>
        <v>2388</v>
      </c>
      <c r="E17" s="6">
        <f>IF(COUNTIF(I17:XFD17,"&gt;"&amp;0)=0,,HLOOKUP(COUNTIF(I17:XFD17,"&gt;"&amp;0)-1,I$1:XFD17,A17+1,FALSE))</f>
        <v>2388</v>
      </c>
      <c r="F17" s="7">
        <f>IF(COUNTIF(I17:XFD17,"&gt;"&amp;0)=0,,HLOOKUP(COUNTIF(I17:XFD17,"&gt;"&amp;0)-MIN($F$1+1,COUNTIF(I17:XFD17,"&gt;"&amp;0)),I$1:XFD17,A17+1,FALSE))</f>
        <v>948</v>
      </c>
      <c r="G17" s="8">
        <f t="shared" si="16"/>
        <v>1.2029434091542188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</row>
    <row r="18" spans="1:47" x14ac:dyDescent="0.25">
      <c r="A18" s="9">
        <f t="shared" si="8"/>
        <v>17</v>
      </c>
      <c r="B18" s="9">
        <f t="array" ref="B18">IF(C18="",0,IF(OR(C18=Country_Comparison!$S$10:$S$29),1,0))</f>
        <v>1</v>
      </c>
      <c r="C18" s="9" t="str">
        <f t="shared" si="14"/>
        <v>United Kingdom</v>
      </c>
      <c r="D18" s="6">
        <f t="shared" si="15"/>
        <v>3091</v>
      </c>
      <c r="E18" s="6">
        <f>IF(COUNTIF(I18:XFD18,"&gt;"&amp;0)=0,,HLOOKUP(COUNTIF(I18:XFD18,"&gt;"&amp;0)-1,I$1:XFD18,A18+1,FALSE))</f>
        <v>3091</v>
      </c>
      <c r="F18" s="7">
        <f>IF(COUNTIF(I18:XFD18,"&gt;"&amp;0)=0,,HLOOKUP(COUNTIF(I18:XFD18,"&gt;"&amp;0)-MIN($F$1+1,COUNTIF(I18:XFD18,"&gt;"&amp;0)),I$1:XFD18,A18+1,FALSE))</f>
        <v>1104</v>
      </c>
      <c r="G18" s="8">
        <f t="shared" si="16"/>
        <v>1.2286437798663004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3091</v>
      </c>
    </row>
    <row r="19" spans="1:47" x14ac:dyDescent="0.25">
      <c r="A19" s="9">
        <f t="shared" si="8"/>
        <v>18</v>
      </c>
      <c r="B19" s="9">
        <f t="array" ref="B19">IF(C19="",0,IF(OR(C19=Country_Comparison!$S$10:$S$29),1,0))</f>
        <v>1</v>
      </c>
      <c r="C19" s="9" t="str">
        <f t="shared" si="14"/>
        <v>Japan</v>
      </c>
      <c r="D19" s="6">
        <f t="shared" si="15"/>
        <v>745</v>
      </c>
      <c r="E19" s="6">
        <f>IF(COUNTIF(I19:XFD19,"&gt;"&amp;0)=0,,HLOOKUP(COUNTIF(I19:XFD19,"&gt;"&amp;0)-1,I$1:XFD19,A19+1,FALSE))</f>
        <v>745</v>
      </c>
      <c r="F19" s="7">
        <f>IF(COUNTIF(I19:XFD19,"&gt;"&amp;0)=0,,HLOOKUP(COUNTIF(I19:XFD19,"&gt;"&amp;0)-MIN($F$1+1,COUNTIF(I19:XFD19,"&gt;"&amp;0)),I$1:XFD19,A19+1,FALSE))</f>
        <v>633</v>
      </c>
      <c r="G19" s="8">
        <f t="shared" si="16"/>
        <v>1.0331193897889441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</row>
    <row r="20" spans="1:47" x14ac:dyDescent="0.25">
      <c r="A20" s="9">
        <f t="shared" si="8"/>
        <v>19</v>
      </c>
      <c r="B20" s="9">
        <f t="array" ref="B20">IF(C20="",0,IF(OR(C20=Country_Comparison!$S$10:$S$29),1,0))</f>
        <v>0</v>
      </c>
      <c r="C20" s="9" t="str">
        <f t="shared" si="14"/>
        <v>Cruise Ship</v>
      </c>
      <c r="D20" s="6">
        <f t="shared" si="15"/>
        <v>691</v>
      </c>
      <c r="E20" s="6">
        <f>IF(COUNTIF(I20:XFD20,"&gt;"&amp;0)=0,,HLOOKUP(COUNTIF(I20:XFD20,"&gt;"&amp;0)-1,I$1:XFD20,A20+1,FALSE))</f>
        <v>380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6"/>
        <v>1.0086405932917746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</row>
    <row r="21" spans="1:47" x14ac:dyDescent="0.25">
      <c r="A21" s="9">
        <f t="shared" si="8"/>
        <v>20</v>
      </c>
      <c r="B21" s="9">
        <f t="array" ref="B21">IF(C21="",0,IF(OR(C21=Country_Comparison!$S$10:$S$29),1,0))</f>
        <v>0</v>
      </c>
      <c r="C21" s="9" t="str">
        <f t="shared" si="14"/>
        <v>Belgium</v>
      </c>
      <c r="D21" s="6">
        <f t="shared" si="15"/>
        <v>1743</v>
      </c>
      <c r="E21" s="6">
        <f>IF(COUNTIF(I21:XFD21,"&gt;"&amp;0)=0,,HLOOKUP(COUNTIF(I21:XFD21,"&gt;"&amp;0)-1,I$1:XFD21,A21+1,FALSE))</f>
        <v>1743</v>
      </c>
      <c r="F21" s="7">
        <f>IF(COUNTIF(I21:XFD21,"&gt;"&amp;0)=0,,HLOOKUP(COUNTIF(I21:XFD21,"&gt;"&amp;0)-MIN($F$1+1,COUNTIF(I21:XFD21,"&gt;"&amp;0)),I$1:XFD21,A21+1,FALSE))</f>
        <v>684</v>
      </c>
      <c r="G21" s="8">
        <f t="shared" si="16"/>
        <v>1.2057249756570154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</row>
    <row r="22" spans="1:47" x14ac:dyDescent="0.25">
      <c r="A22" s="9">
        <f t="shared" si="8"/>
        <v>21</v>
      </c>
      <c r="B22" s="9">
        <f t="array" ref="B22">IF(C22="",0,IF(OR(C22=Country_Comparison!$S$10:$S$29),1,0))</f>
        <v>0</v>
      </c>
      <c r="C22" s="9" t="str">
        <f t="shared" si="14"/>
        <v>Austria</v>
      </c>
      <c r="D22" s="6">
        <f t="shared" si="15"/>
        <v>1998</v>
      </c>
      <c r="E22" s="6">
        <f>IF(COUNTIF(I22:XFD22,"&gt;"&amp;0)=0,,HLOOKUP(COUNTIF(I22:XFD22,"&gt;"&amp;0)-1,I$1:XFD22,A22+1,FALSE))</f>
        <v>1998</v>
      </c>
      <c r="F22" s="7">
        <f>IF(COUNTIF(I22:XFD22,"&gt;"&amp;0)=0,,HLOOKUP(COUNTIF(I22:XFD22,"&gt;"&amp;0)-MIN($F$1+1,COUNTIF(I22:XFD22,"&gt;"&amp;0)),I$1:XFD22,A22+1,FALSE))</f>
        <v>648</v>
      </c>
      <c r="G22" s="8">
        <f t="shared" si="16"/>
        <v>1.2525760272967901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</row>
    <row r="23" spans="1:47" x14ac:dyDescent="0.25">
      <c r="A23" s="9">
        <f t="shared" si="8"/>
        <v>22</v>
      </c>
      <c r="B23" s="9">
        <f t="array" ref="B23">IF(C23="",0,IF(OR(C23=Country_Comparison!$S$10:$S$29),1,0))</f>
        <v>0</v>
      </c>
      <c r="C23" s="9" t="str">
        <f t="shared" si="14"/>
        <v>Qatar</v>
      </c>
      <c r="D23" s="6">
        <f t="shared" si="15"/>
        <v>456</v>
      </c>
      <c r="E23" s="6">
        <f>IF(COUNTIF(I23:XFD23,"&gt;"&amp;0)=0,,HLOOKUP(COUNTIF(I23:XFD23,"&gt;"&amp;0)-1,I$1:XFD23,A23+1,FALSE))</f>
        <v>456</v>
      </c>
      <c r="F23" s="7">
        <f>IF(COUNTIF(I23:XFD23,"&gt;"&amp;0)=0,,HLOOKUP(COUNTIF(I23:XFD23,"&gt;"&amp;0)-MIN($F$1+1,COUNTIF(I23:XFD23,"&gt;"&amp;0)),I$1:XFD23,A23+1,FALSE))</f>
        <v>333</v>
      </c>
      <c r="G23" s="8">
        <f t="shared" si="16"/>
        <v>1.0648884627948918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</row>
    <row r="24" spans="1:47" x14ac:dyDescent="0.25">
      <c r="A24" s="9">
        <f t="shared" si="8"/>
        <v>23</v>
      </c>
      <c r="B24" s="9">
        <f t="array" ref="B24">IF(C24="",0,IF(OR(C24=Country_Comparison!$S$10:$S$29),1,0))</f>
        <v>0</v>
      </c>
      <c r="C24" s="9" t="str">
        <f t="shared" si="14"/>
        <v>Australia</v>
      </c>
      <c r="D24" s="6">
        <f t="shared" si="15"/>
        <v>649</v>
      </c>
      <c r="E24" s="6">
        <f>IF(COUNTIF(I24:XFD24,"&gt;"&amp;0)=0,,HLOOKUP(COUNTIF(I24:XFD24,"&gt;"&amp;0)-1,I$1:XFD24,A24+1,FALSE))</f>
        <v>649</v>
      </c>
      <c r="F24" s="7">
        <f>IF(COUNTIF(I24:XFD24,"&gt;"&amp;0)=0,,HLOOKUP(COUNTIF(I24:XFD24,"&gt;"&amp;0)-MIN($F$1+1,COUNTIF(I24:XFD24,"&gt;"&amp;0)),I$1:XFD24,A24+1,FALSE))</f>
        <v>224</v>
      </c>
      <c r="G24" s="8">
        <f t="shared" si="16"/>
        <v>1.2370844152152467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</row>
    <row r="25" spans="1:47" x14ac:dyDescent="0.25">
      <c r="A25" s="9">
        <f t="shared" si="8"/>
        <v>24</v>
      </c>
      <c r="B25" s="9">
        <f t="array" ref="B25">IF(C25="",0,IF(OR(C25=Country_Comparison!$S$10:$S$29),1,0))</f>
        <v>0</v>
      </c>
      <c r="C25" s="9" t="str">
        <f t="shared" si="14"/>
        <v>Singapore</v>
      </c>
      <c r="D25" s="6">
        <f t="shared" si="15"/>
        <v>231</v>
      </c>
      <c r="E25" s="6">
        <f>IF(COUNTIF(I25:XFD25,"&gt;"&amp;0)=0,,HLOOKUP(COUNTIF(I25:XFD25,"&gt;"&amp;0)-1,I$1:XFD25,A25+1,FALSE))</f>
        <v>231</v>
      </c>
      <c r="F25" s="7">
        <f>IF(COUNTIF(I25:XFD25,"&gt;"&amp;0)=0,,HLOOKUP(COUNTIF(I25:XFD25,"&gt;"&amp;0)-MIN($F$1+1,COUNTIF(I25:XFD25,"&gt;"&amp;0)),I$1:XFD25,A25+1,FALSE))</f>
        <v>107</v>
      </c>
      <c r="G25" s="8">
        <f t="shared" si="16"/>
        <v>1.1663949762557091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</row>
    <row r="26" spans="1:47" x14ac:dyDescent="0.25">
      <c r="A26" s="9">
        <f t="shared" si="8"/>
        <v>25</v>
      </c>
      <c r="B26" s="9">
        <f t="array" ref="B26">IF(C26="",0,IF(OR(C26=Country_Comparison!$S$10:$S$29),1,0))</f>
        <v>0</v>
      </c>
      <c r="C26" s="9" t="str">
        <f t="shared" si="14"/>
        <v>Malaysia</v>
      </c>
      <c r="D26" s="6">
        <f t="shared" si="15"/>
        <v>823</v>
      </c>
      <c r="E26" s="6">
        <f>IF(COUNTIF(I26:XFD26,"&gt;"&amp;0)=0,,HLOOKUP(COUNTIF(I26:XFD26,"&gt;"&amp;0)-1,I$1:XFD26,A26+1,FALSE))</f>
        <v>823</v>
      </c>
      <c r="F26" s="7">
        <f>IF(COUNTIF(I26:XFD26,"&gt;"&amp;0)=0,,HLOOKUP(COUNTIF(I26:XFD26,"&gt;"&amp;0)-MIN($F$1+1,COUNTIF(I26:XFD26,"&gt;"&amp;0)),I$1:XFD26,A26+1,FALSE))</f>
        <v>203</v>
      </c>
      <c r="G26" s="8">
        <f t="shared" si="16"/>
        <v>1.3230637161482237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</row>
    <row r="27" spans="1:47" x14ac:dyDescent="0.25">
      <c r="A27" s="9">
        <f t="shared" si="8"/>
        <v>26</v>
      </c>
      <c r="B27" s="9">
        <f t="array" ref="B27">IF(C27="",0,IF(OR(C27=Country_Comparison!$S$10:$S$29),1,0))</f>
        <v>0</v>
      </c>
      <c r="C27" s="9" t="str">
        <f t="shared" si="14"/>
        <v>Canada</v>
      </c>
      <c r="D27" s="6">
        <f t="shared" si="15"/>
        <v>782</v>
      </c>
      <c r="E27" s="6">
        <f>IF(COUNTIF(I27:XFD27,"&gt;"&amp;0)=0,,HLOOKUP(COUNTIF(I27:XFD27,"&gt;"&amp;0)-1,I$1:XFD27,A27+1,FALSE))</f>
        <v>782</v>
      </c>
      <c r="F27" s="7">
        <f>IF(COUNTIF(I27:XFD27,"&gt;"&amp;0)=0,,HLOOKUP(COUNTIF(I27:XFD27,"&gt;"&amp;0)-MIN($F$1+1,COUNTIF(I27:XFD27,"&gt;"&amp;0)),I$1:XFD27,A27+1,FALSE))</f>
        <v>189</v>
      </c>
      <c r="G27" s="8">
        <f t="shared" si="16"/>
        <v>1.3284615522776491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</row>
    <row r="28" spans="1:47" x14ac:dyDescent="0.25">
      <c r="A28" s="9">
        <f t="shared" si="8"/>
        <v>27</v>
      </c>
      <c r="B28" s="9">
        <f t="array" ref="B28">IF(C28="",0,IF(OR(C28=Country_Comparison!$S$10:$S$29),1,0))</f>
        <v>0</v>
      </c>
      <c r="C28" s="9" t="str">
        <f t="shared" si="14"/>
        <v>Greece</v>
      </c>
      <c r="D28" s="6">
        <f t="shared" si="15"/>
        <v>405</v>
      </c>
      <c r="E28" s="6">
        <f>IF(COUNTIF(I28:XFD28,"&gt;"&amp;0)=0,,HLOOKUP(COUNTIF(I28:XFD28,"&gt;"&amp;0)-1,I$1:XFD28,A28+1,FALSE))</f>
        <v>404</v>
      </c>
      <c r="F28" s="7">
        <f>IF(COUNTIF(I28:XFD28,"&gt;"&amp;0)=0,,HLOOKUP(COUNTIF(I28:XFD28,"&gt;"&amp;0)-MIN($F$1+1,COUNTIF(I28:XFD28,"&gt;"&amp;0)),I$1:XFD28,A28+1,FALSE))</f>
        <v>217</v>
      </c>
      <c r="G28" s="8">
        <f t="shared" si="16"/>
        <v>1.1323594954881628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</row>
    <row r="29" spans="1:47" x14ac:dyDescent="0.25">
      <c r="A29" s="9">
        <f t="shared" si="8"/>
        <v>28</v>
      </c>
      <c r="B29" s="9">
        <f t="array" ref="B29">IF(C29="",0,IF(OR(C29=Country_Comparison!$S$10:$S$29),1,0))</f>
        <v>0</v>
      </c>
      <c r="C29" s="9" t="str">
        <f t="shared" si="14"/>
        <v>Bahrain</v>
      </c>
      <c r="D29" s="6">
        <f t="shared" si="15"/>
        <v>177</v>
      </c>
      <c r="E29" s="6">
        <f>IF(COUNTIF(I29:XFD29,"&gt;"&amp;0)=0,,HLOOKUP(COUNTIF(I29:XFD29,"&gt;"&amp;0)-1,I$1:XFD29,A29+1,FALSE))</f>
        <v>177</v>
      </c>
      <c r="F29" s="7">
        <f>IF(COUNTIF(I29:XFD29,"&gt;"&amp;0)=0,,HLOOKUP(COUNTIF(I29:XFD29,"&gt;"&amp;0)-MIN($F$1+1,COUNTIF(I29:XFD29,"&gt;"&amp;0)),I$1:XFD29,A29+1,FALSE))</f>
        <v>166</v>
      </c>
      <c r="G29" s="8">
        <f t="shared" si="16"/>
        <v>1.0129150772632696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</row>
    <row r="30" spans="1:47" x14ac:dyDescent="0.25">
      <c r="A30" s="9">
        <f t="shared" si="8"/>
        <v>29</v>
      </c>
      <c r="B30" s="9">
        <f t="array" ref="B30">IF(C30="",0,IF(OR(C30=Country_Comparison!$S$10:$S$29),1,0))</f>
        <v>0</v>
      </c>
      <c r="C30" s="9" t="str">
        <f t="shared" si="14"/>
        <v>Israel</v>
      </c>
      <c r="D30" s="6">
        <f t="shared" si="15"/>
        <v>666</v>
      </c>
      <c r="E30" s="6">
        <f>IF(COUNTIF(I30:XFD30,"&gt;"&amp;0)=0,,HLOOKUP(COUNTIF(I30:XFD30,"&gt;"&amp;0)-1,I$1:XFD30,A30+1,FALSE))</f>
        <v>666</v>
      </c>
      <c r="F30" s="7">
        <f>IF(COUNTIF(I30:XFD30,"&gt;"&amp;0)=0,,HLOOKUP(COUNTIF(I30:XFD30,"&gt;"&amp;0)-MIN($F$1+1,COUNTIF(I30:XFD30,"&gt;"&amp;0)),I$1:XFD30,A30+1,FALSE))</f>
        <v>189</v>
      </c>
      <c r="G30" s="8">
        <f t="shared" si="16"/>
        <v>1.2864783591376392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</row>
    <row r="31" spans="1:47" x14ac:dyDescent="0.25">
      <c r="A31" s="9">
        <f t="shared" si="8"/>
        <v>30</v>
      </c>
      <c r="B31" s="9">
        <f t="array" ref="B31">IF(C31="",0,IF(OR(C31=Country_Comparison!$S$10:$S$29),1,0))</f>
        <v>0</v>
      </c>
      <c r="C31" s="9" t="str">
        <f t="shared" si="14"/>
        <v>Finland</v>
      </c>
      <c r="D31" s="6">
        <f t="shared" si="15"/>
        <v>390</v>
      </c>
      <c r="E31" s="6">
        <f>IF(COUNTIF(I31:XFD31,"&gt;"&amp;0)=0,,HLOOKUP(COUNTIF(I31:XFD31,"&gt;"&amp;0)-1,I$1:XFD31,A31+1,FALSE))</f>
        <v>390</v>
      </c>
      <c r="F31" s="7">
        <f>IF(COUNTIF(I31:XFD31,"&gt;"&amp;0)=0,,HLOOKUP(COUNTIF(I31:XFD31,"&gt;"&amp;0)-MIN($F$1+1,COUNTIF(I31:XFD31,"&gt;"&amp;0)),I$1:XFD31,A31+1,FALSE))</f>
        <v>224</v>
      </c>
      <c r="G31" s="8">
        <f t="shared" si="16"/>
        <v>1.1172833265253117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</row>
    <row r="32" spans="1:47" x14ac:dyDescent="0.25">
      <c r="A32" s="9">
        <f t="shared" si="8"/>
        <v>31</v>
      </c>
      <c r="B32" s="9">
        <f t="array" ref="B32">IF(C32="",0,IF(OR(C32=Country_Comparison!$S$10:$S$29),1,0))</f>
        <v>0</v>
      </c>
      <c r="C32" s="9" t="str">
        <f t="shared" si="14"/>
        <v>Brazil</v>
      </c>
      <c r="D32" s="6">
        <f t="shared" si="15"/>
        <v>613</v>
      </c>
      <c r="E32" s="6">
        <f>IF(COUNTIF(I32:XFD32,"&gt;"&amp;0)=0,,HLOOKUP(COUNTIF(I32:XFD32,"&gt;"&amp;0)-1,I$1:XFD32,A32+1,FALSE))</f>
        <v>613</v>
      </c>
      <c r="F32" s="7">
        <f>IF(COUNTIF(I32:XFD32,"&gt;"&amp;0)=0,,HLOOKUP(COUNTIF(I32:XFD32,"&gt;"&amp;0)-MIN($F$1+1,COUNTIF(I32:XFD32,"&gt;"&amp;0)),I$1:XFD32,A32+1,FALSE))</f>
        <v>151</v>
      </c>
      <c r="G32" s="8">
        <f t="shared" si="16"/>
        <v>1.3234169888971563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</row>
    <row r="33" spans="1:16" x14ac:dyDescent="0.25">
      <c r="A33" s="9">
        <f t="shared" si="8"/>
        <v>32</v>
      </c>
      <c r="B33" s="9">
        <f t="array" ref="B33">IF(C33="",0,IF(OR(C33=Country_Comparison!$S$10:$S$29),1,0))</f>
        <v>0</v>
      </c>
      <c r="C33" s="9" t="str">
        <f t="shared" si="14"/>
        <v>Czechia</v>
      </c>
      <c r="D33" s="6">
        <f t="shared" si="15"/>
        <v>691</v>
      </c>
      <c r="E33" s="6">
        <f>IF(COUNTIF(I33:XFD33,"&gt;"&amp;0)=0,,HLOOKUP(COUNTIF(I33:XFD33,"&gt;"&amp;0)-1,I$1:XFD33,A33+1,FALSE))</f>
        <v>691</v>
      </c>
      <c r="F33" s="7">
        <f>IF(COUNTIF(I33:XFD33,"&gt;"&amp;0)=0,,HLOOKUP(COUNTIF(I33:XFD33,"&gt;"&amp;0)-MIN($F$1+1,COUNTIF(I33:XFD33,"&gt;"&amp;0)),I$1:XFD33,A33+1,FALSE))</f>
        <v>189</v>
      </c>
      <c r="G33" s="8">
        <f t="shared" si="16"/>
        <v>1.2959947691102898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</row>
    <row r="34" spans="1:16" x14ac:dyDescent="0.25">
      <c r="A34" s="9">
        <f t="shared" si="8"/>
        <v>33</v>
      </c>
      <c r="B34" s="9">
        <f t="array" ref="B34">IF(C34="",0,IF(OR(C34=Country_Comparison!$S$10:$S$29),1,0))</f>
        <v>0</v>
      </c>
      <c r="C34" s="9" t="str">
        <f t="shared" si="14"/>
        <v>Slovenia</v>
      </c>
      <c r="D34" s="6">
        <f t="shared" si="15"/>
        <v>285</v>
      </c>
      <c r="E34" s="6">
        <f>IF(COUNTIF(I34:XFD34,"&gt;"&amp;0)=0,,HLOOKUP(COUNTIF(I34:XFD34,"&gt;"&amp;0)-1,I$1:XFD34,A34+1,FALSE))</f>
        <v>285</v>
      </c>
      <c r="F34" s="7">
        <f>IF(COUNTIF(I34:XFD34,"&gt;"&amp;0)=0,,HLOOKUP(COUNTIF(I34:XFD34,"&gt;"&amp;0)-MIN($F$1+1,COUNTIF(I34:XFD34,"&gt;"&amp;0)),I$1:XFD34,A34+1,FALSE))</f>
        <v>180</v>
      </c>
      <c r="G34" s="8">
        <f t="shared" si="16"/>
        <v>1.0962622793529542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</row>
    <row r="35" spans="1:16" x14ac:dyDescent="0.25">
      <c r="A35" s="9">
        <f t="shared" si="8"/>
        <v>34</v>
      </c>
      <c r="B35" s="9">
        <f t="array" ref="B35">IF(C35="",0,IF(OR(C35=Country_Comparison!$S$10:$S$29),1,0))</f>
        <v>0</v>
      </c>
      <c r="C35" s="9" t="str">
        <f t="shared" si="14"/>
        <v>Iceland</v>
      </c>
      <c r="D35" s="6">
        <f t="shared" si="15"/>
        <v>324</v>
      </c>
      <c r="E35" s="6">
        <f>IF(COUNTIF(I35:XFD35,"&gt;"&amp;0)=0,,HLOOKUP(COUNTIF(I35:XFD35,"&gt;"&amp;0)-1,I$1:XFD35,A35+1,FALSE))</f>
        <v>324</v>
      </c>
      <c r="F35" s="7">
        <f>IF(COUNTIF(I35:XFD35,"&gt;"&amp;0)=0,,HLOOKUP(COUNTIF(I35:XFD35,"&gt;"&amp;0)-MIN($F$1+1,COUNTIF(I35:XFD35,"&gt;"&amp;0)),I$1:XFD35,A35+1,FALSE))</f>
        <v>155</v>
      </c>
      <c r="G35" s="8">
        <f t="shared" si="16"/>
        <v>1.1588911928760408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</row>
    <row r="36" spans="1:16" x14ac:dyDescent="0.25">
      <c r="A36" s="9">
        <f t="shared" si="8"/>
        <v>35</v>
      </c>
      <c r="B36" s="9">
        <f t="array" ref="B36">IF(C36="",0,IF(OR(C36=Country_Comparison!$S$10:$S$29),1,0))</f>
        <v>0</v>
      </c>
      <c r="C36" s="9" t="str">
        <f t="shared" si="14"/>
        <v>Portugal</v>
      </c>
      <c r="D36" s="6">
        <f t="shared" si="15"/>
        <v>779</v>
      </c>
      <c r="E36" s="6">
        <f>IF(COUNTIF(I36:XFD36,"&gt;"&amp;0)=0,,HLOOKUP(COUNTIF(I36:XFD36,"&gt;"&amp;0)-1,I$1:XFD36,A36+1,FALSE))</f>
        <v>779</v>
      </c>
      <c r="F36" s="7">
        <f>IF(COUNTIF(I36:XFD36,"&gt;"&amp;0)=0,,HLOOKUP(COUNTIF(I36:XFD36,"&gt;"&amp;0)-MIN($F$1+1,COUNTIF(I36:XFD36,"&gt;"&amp;0)),I$1:XFD36,A36+1,FALSE))</f>
        <v>167</v>
      </c>
      <c r="G36" s="8">
        <f t="shared" si="16"/>
        <v>1.3607056788608107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</row>
    <row r="37" spans="1:16" x14ac:dyDescent="0.25">
      <c r="A37" s="9">
        <f t="shared" si="8"/>
        <v>36</v>
      </c>
      <c r="B37" s="9">
        <f t="array" ref="B37">IF(C37="",0,IF(OR(C37=Country_Comparison!$S$10:$S$29),1,0))</f>
        <v>0</v>
      </c>
      <c r="C37" s="9" t="str">
        <f t="shared" si="14"/>
        <v>Iraq</v>
      </c>
      <c r="D37" s="6">
        <f t="shared" si="15"/>
        <v>136</v>
      </c>
      <c r="E37" s="6">
        <f>IF(COUNTIF(I37:XFD37,"&gt;"&amp;0)=0,,HLOOKUP(COUNTIF(I37:XFD37,"&gt;"&amp;0)-1,I$1:XFD37,A37+1,FALSE))</f>
        <v>136</v>
      </c>
      <c r="F37" s="7">
        <f>IF(COUNTIF(I37:XFD37,"&gt;"&amp;0)=0,,HLOOKUP(COUNTIF(I37:XFD37,"&gt;"&amp;0)-MIN($F$1+1,COUNTIF(I37:XFD37,"&gt;"&amp;0)),I$1:XFD37,A37+1,FALSE))</f>
        <v>74</v>
      </c>
      <c r="G37" s="8">
        <f t="shared" si="16"/>
        <v>1.1294355091763042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</row>
    <row r="38" spans="1:16" x14ac:dyDescent="0.25">
      <c r="A38" s="9">
        <f t="shared" si="8"/>
        <v>37</v>
      </c>
      <c r="B38" s="9">
        <f t="array" ref="B38">IF(C38="",0,IF(OR(C38=Country_Comparison!$S$10:$S$29),1,0))</f>
        <v>0</v>
      </c>
      <c r="C38" s="9" t="str">
        <f t="shared" si="14"/>
        <v>Ireland</v>
      </c>
      <c r="D38" s="6">
        <f t="shared" si="15"/>
        <v>549</v>
      </c>
      <c r="E38" s="6">
        <f>IF(COUNTIF(I38:XFD38,"&gt;"&amp;0)=0,,HLOOKUP(COUNTIF(I38:XFD38,"&gt;"&amp;0)-1,I$1:XFD38,A38+1,FALSE))</f>
        <v>549</v>
      </c>
      <c r="F38" s="7">
        <f>IF(COUNTIF(I38:XFD38,"&gt;"&amp;0)=0,,HLOOKUP(COUNTIF(I38:XFD38,"&gt;"&amp;0)-MIN($F$1+1,COUNTIF(I38:XFD38,"&gt;"&amp;0)),I$1:XFD38,A38+1,FALSE))</f>
        <v>127</v>
      </c>
      <c r="G38" s="8">
        <f t="shared" si="16"/>
        <v>1.3401509689471711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</row>
    <row r="39" spans="1:16" x14ac:dyDescent="0.25">
      <c r="A39" s="9">
        <f t="shared" si="8"/>
        <v>38</v>
      </c>
      <c r="B39" s="9">
        <f t="array" ref="B39">IF(C39="",0,IF(OR(C39=Country_Comparison!$S$10:$S$29),1,0))</f>
        <v>0</v>
      </c>
      <c r="C39" s="9" t="str">
        <f t="shared" si="14"/>
        <v>Romania</v>
      </c>
      <c r="D39" s="6">
        <f t="shared" si="15"/>
        <v>252</v>
      </c>
      <c r="E39" s="6">
        <f>IF(COUNTIF(I39:XFD39,"&gt;"&amp;0)=0,,HLOOKUP(COUNTIF(I39:XFD39,"&gt;"&amp;0)-1,I$1:XFD39,A39+1,FALSE))</f>
        <v>252</v>
      </c>
      <c r="F39" s="7">
        <f>IF(COUNTIF(I39:XFD39,"&gt;"&amp;0)=0,,HLOOKUP(COUNTIF(I39:XFD39,"&gt;"&amp;0)-MIN($F$1+1,COUNTIF(I39:XFD39,"&gt;"&amp;0)),I$1:XFD39,A39+1,FALSE))</f>
        <v>114</v>
      </c>
      <c r="G39" s="8">
        <f t="shared" si="16"/>
        <v>1.1719231622944535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</row>
    <row r="40" spans="1:16" x14ac:dyDescent="0.25">
      <c r="A40" s="9">
        <f t="shared" si="8"/>
        <v>39</v>
      </c>
      <c r="B40" s="9">
        <f t="array" ref="B40">IF(C40="",0,IF(OR(C40=Country_Comparison!$S$10:$S$29),1,0))</f>
        <v>0</v>
      </c>
      <c r="C40" s="9" t="str">
        <f t="shared" si="14"/>
        <v>Saudi Arabia</v>
      </c>
      <c r="D40" s="6">
        <f t="shared" si="15"/>
        <v>268</v>
      </c>
      <c r="E40" s="6">
        <f>IF(COUNTIF(I40:XFD40,"&gt;"&amp;0)=0,,HLOOKUP(COUNTIF(I40:XFD40,"&gt;"&amp;0)-1,I$1:XFD40,A40+1,FALSE))</f>
        <v>268</v>
      </c>
      <c r="F40" s="7">
        <f>IF(COUNTIF(I40:XFD40,"&gt;"&amp;0)=0,,HLOOKUP(COUNTIF(I40:XFD40,"&gt;"&amp;0)-MIN($F$1+1,COUNTIF(I40:XFD40,"&gt;"&amp;0)),I$1:XFD40,A40+1,FALSE))</f>
        <v>102</v>
      </c>
      <c r="G40" s="8">
        <f t="shared" si="16"/>
        <v>1.2131288316664339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</row>
    <row r="41" spans="1:16" x14ac:dyDescent="0.25">
      <c r="A41" s="9">
        <f t="shared" si="8"/>
        <v>40</v>
      </c>
      <c r="B41" s="9">
        <f t="array" ref="B41">IF(C41="",0,IF(OR(C41=Country_Comparison!$S$10:$S$29),1,0))</f>
        <v>0</v>
      </c>
      <c r="C41" s="9" t="str">
        <f t="shared" si="14"/>
        <v>United Arab Emirates</v>
      </c>
      <c r="D41" s="6">
        <f t="shared" si="15"/>
        <v>109</v>
      </c>
      <c r="E41" s="6">
        <f>IF(COUNTIF(I41:XFD41,"&gt;"&amp;0)=0,,HLOOKUP(COUNTIF(I41:XFD41,"&gt;"&amp;0)-1,I$1:XFD41,A41+1,FALSE))</f>
        <v>109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6"/>
        <v>1.2528735632183907</v>
      </c>
      <c r="H41" s="13" t="s">
        <v>55</v>
      </c>
      <c r="I41" s="9">
        <v>87</v>
      </c>
      <c r="J41" s="9">
        <v>109</v>
      </c>
    </row>
    <row r="42" spans="1:16" x14ac:dyDescent="0.25">
      <c r="A42" s="9">
        <f t="shared" si="8"/>
        <v>41</v>
      </c>
      <c r="B42" s="9">
        <f t="array" ref="B42">IF(C42="",0,IF(OR(C42=Country_Comparison!$S$10:$S$29),1,0))</f>
        <v>0</v>
      </c>
      <c r="C42" s="9" t="str">
        <f t="shared" si="14"/>
        <v>India</v>
      </c>
      <c r="D42" s="6">
        <f t="shared" si="15"/>
        <v>175</v>
      </c>
      <c r="E42" s="6">
        <f>IF(COUNTIF(I42:XFD42,"&gt;"&amp;0)=0,,HLOOKUP(COUNTIF(I42:XFD42,"&gt;"&amp;0)-1,I$1:XFD42,A42+1,FALSE))</f>
        <v>175</v>
      </c>
      <c r="F42" s="7">
        <f>IF(COUNTIF(I42:XFD42,"&gt;"&amp;0)=0,,HLOOKUP(COUNTIF(I42:XFD42,"&gt;"&amp;0)-MIN($F$1+1,COUNTIF(I42:XFD42,"&gt;"&amp;0)),I$1:XFD42,A42+1,FALSE))</f>
        <v>96</v>
      </c>
      <c r="G42" s="8">
        <f t="shared" si="16"/>
        <v>1.1275955755693663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</row>
    <row r="43" spans="1:16" x14ac:dyDescent="0.25">
      <c r="A43" s="9">
        <f t="shared" si="8"/>
        <v>42</v>
      </c>
      <c r="B43" s="9">
        <f t="array" ref="B43">IF(C43="",0,IF(OR(C43=Country_Comparison!$S$10:$S$29),1,0))</f>
        <v>0</v>
      </c>
      <c r="C43" s="9" t="str">
        <f t="shared" si="14"/>
        <v>Egypt</v>
      </c>
      <c r="D43" s="6">
        <f t="shared" si="15"/>
        <v>218</v>
      </c>
      <c r="E43" s="6">
        <f>IF(COUNTIF(I43:XFD43,"&gt;"&amp;0)=0,,HLOOKUP(COUNTIF(I43:XFD43,"&gt;"&amp;0)-1,I$1:XFD43,A43+1,FALSE))</f>
        <v>218</v>
      </c>
      <c r="F43" s="7">
        <f>IF(COUNTIF(I43:XFD43,"&gt;"&amp;0)=0,,HLOOKUP(COUNTIF(I43:XFD43,"&gt;"&amp;0)-MIN($F$1+1,COUNTIF(I43:XFD43,"&gt;"&amp;0)),I$1:XFD43,A43+1,FALSE))</f>
        <v>80</v>
      </c>
      <c r="G43" s="8">
        <f t="shared" si="16"/>
        <v>1.2220058960098092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</row>
    <row r="44" spans="1:16" x14ac:dyDescent="0.25">
      <c r="A44" s="9">
        <f t="shared" si="8"/>
        <v>43</v>
      </c>
      <c r="B44" s="9">
        <f t="array" ref="B44">IF(C44="",0,IF(OR(C44=Country_Comparison!$S$10:$S$29),1,0))</f>
        <v>0</v>
      </c>
      <c r="C44" s="9" t="str">
        <f t="shared" si="14"/>
        <v>Kuwait</v>
      </c>
      <c r="D44" s="6">
        <f t="shared" si="15"/>
        <v>130</v>
      </c>
      <c r="E44" s="6">
        <f>IF(COUNTIF(I44:XFD44,"&gt;"&amp;0)=0,,HLOOKUP(COUNTIF(I44:XFD44,"&gt;"&amp;0)-1,I$1:XFD44,A44+1,FALSE))</f>
        <v>130</v>
      </c>
      <c r="F44" s="7">
        <f>IF(COUNTIF(I44:XFD44,"&gt;"&amp;0)=0,,HLOOKUP(COUNTIF(I44:XFD44,"&gt;"&amp;0)-MIN($F$1+1,COUNTIF(I44:XFD44,"&gt;"&amp;0)),I$1:XFD44,A44+1,FALSE))</f>
        <v>99</v>
      </c>
      <c r="G44" s="8">
        <f t="shared" si="16"/>
        <v>1.0559944399424535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</row>
    <row r="45" spans="1:16" x14ac:dyDescent="0.25">
      <c r="A45" s="9">
        <f t="shared" si="8"/>
        <v>44</v>
      </c>
      <c r="B45" s="9">
        <f t="array" ref="B45">IF(C45="",0,IF(OR(C45=Country_Comparison!$S$10:$S$29),1,0))</f>
        <v>0</v>
      </c>
      <c r="C45" s="9" t="str">
        <f t="shared" si="14"/>
        <v>San Marino</v>
      </c>
      <c r="D45" s="6">
        <f t="shared" si="15"/>
        <v>104</v>
      </c>
      <c r="E45" s="6">
        <f>IF(COUNTIF(I45:XFD45,"&gt;"&amp;0)=0,,HLOOKUP(COUNTIF(I45:XFD45,"&gt;"&amp;0)-1,I$1:XFD45,A45+1,FALSE))</f>
        <v>104</v>
      </c>
      <c r="F45" s="7">
        <f>IF(COUNTIF(I45:XFD45,"&gt;"&amp;0)=0,,HLOOKUP(COUNTIF(I45:XFD45,"&gt;"&amp;0)-MIN($F$1+1,COUNTIF(I45:XFD45,"&gt;"&amp;0)),I$1:XFD45,A45+1,FALSE))</f>
        <v>92</v>
      </c>
      <c r="G45" s="8">
        <f t="shared" si="16"/>
        <v>1.0311251457230541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</row>
    <row r="46" spans="1:16" x14ac:dyDescent="0.25">
      <c r="A46" s="9">
        <f t="shared" si="8"/>
        <v>45</v>
      </c>
      <c r="B46" s="9">
        <f t="array" ref="B46">IF(C46="",0,IF(OR(C46=Country_Comparison!$S$10:$S$29),1,0))</f>
        <v>0</v>
      </c>
      <c r="C46" s="9" t="str">
        <f t="shared" si="14"/>
        <v>Estonia</v>
      </c>
      <c r="D46" s="6">
        <f t="shared" si="15"/>
        <v>266</v>
      </c>
      <c r="E46" s="6">
        <f>IF(COUNTIF(I46:XFD46,"&gt;"&amp;0)=0,,HLOOKUP(COUNTIF(I46:XFD46,"&gt;"&amp;0)-1,I$1:XFD46,A46+1,FALSE))</f>
        <v>266</v>
      </c>
      <c r="F46" s="7">
        <f>IF(COUNTIF(I46:XFD46,"&gt;"&amp;0)=0,,HLOOKUP(COUNTIF(I46:XFD46,"&gt;"&amp;0)-MIN($F$1+1,COUNTIF(I46:XFD46,"&gt;"&amp;0)),I$1:XFD46,A46+1,FALSE))</f>
        <v>115</v>
      </c>
      <c r="G46" s="8">
        <f t="shared" si="16"/>
        <v>1.182596962707601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</row>
    <row r="47" spans="1:16" x14ac:dyDescent="0.25">
      <c r="A47" s="9">
        <f t="shared" si="8"/>
        <v>46</v>
      </c>
      <c r="B47" s="9">
        <f t="array" ref="B47">IF(C47="",0,IF(OR(C47=Country_Comparison!$S$10:$S$29),1,0))</f>
        <v>0</v>
      </c>
      <c r="C47" s="9" t="str">
        <f t="shared" si="14"/>
        <v>Lebanon</v>
      </c>
      <c r="D47" s="6">
        <f t="shared" si="15"/>
        <v>149</v>
      </c>
      <c r="E47" s="6">
        <f>IF(COUNTIF(I47:XFD47,"&gt;"&amp;0)=0,,HLOOKUP(COUNTIF(I47:XFD47,"&gt;"&amp;0)-1,I$1:XFD47,A47+1,FALSE))</f>
        <v>149</v>
      </c>
      <c r="F47" s="7">
        <f>IF(COUNTIF(I47:XFD47,"&gt;"&amp;0)=0,,HLOOKUP(COUNTIF(I47:XFD47,"&gt;"&amp;0)-MIN($F$1+1,COUNTIF(I47:XFD47,"&gt;"&amp;0)),I$1:XFD47,A47+1,FALSE))</f>
        <v>106</v>
      </c>
      <c r="G47" s="8">
        <f t="shared" si="16"/>
        <v>1.0888551279963656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</row>
    <row r="48" spans="1:16" x14ac:dyDescent="0.25">
      <c r="A48" s="9">
        <f t="shared" si="8"/>
        <v>47</v>
      </c>
      <c r="B48" s="9">
        <f t="array" ref="B48">IF(C48="",0,IF(OR(C48=Country_Comparison!$S$10:$S$29),1,0))</f>
        <v>0</v>
      </c>
      <c r="C48" s="9" t="str">
        <f t="shared" si="14"/>
        <v>Thailand</v>
      </c>
      <c r="D48" s="6">
        <f t="shared" si="15"/>
        <v>229</v>
      </c>
      <c r="E48" s="6">
        <f>IF(COUNTIF(I48:XFD48,"&gt;"&amp;0)=0,,HLOOKUP(COUNTIF(I48:XFD48,"&gt;"&amp;0)-1,I$1:XFD48,A48+1,FALSE))</f>
        <v>229</v>
      </c>
      <c r="F48" s="7">
        <f>IF(COUNTIF(I48:XFD48,"&gt;"&amp;0)=0,,HLOOKUP(COUNTIF(I48:XFD48,"&gt;"&amp;0)-MIN($F$1+1,COUNTIF(I48:XFD48,"&gt;"&amp;0)),I$1:XFD48,A48+1,FALSE))</f>
        <v>78</v>
      </c>
      <c r="G48" s="8">
        <f t="shared" si="16"/>
        <v>1.308986657808511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</row>
    <row r="49" spans="1:14" x14ac:dyDescent="0.25">
      <c r="A49" s="9">
        <f t="shared" si="8"/>
        <v>48</v>
      </c>
      <c r="B49" s="9">
        <f t="array" ref="B49">IF(C49="",0,IF(OR(C49=Country_Comparison!$S$10:$S$29),1,0))</f>
        <v>0</v>
      </c>
      <c r="C49" s="9" t="str">
        <f t="shared" si="14"/>
        <v>Indonesia</v>
      </c>
      <c r="D49" s="6">
        <f t="shared" si="15"/>
        <v>275</v>
      </c>
      <c r="E49" s="6">
        <f>IF(COUNTIF(I49:XFD49,"&gt;"&amp;0)=0,,HLOOKUP(COUNTIF(I49:XFD49,"&gt;"&amp;0)-1,I$1:XFD49,A49+1,FALSE))</f>
        <v>275</v>
      </c>
      <c r="F49" s="7">
        <f>IF(COUNTIF(I49:XFD49,"&gt;"&amp;0)=0,,HLOOKUP(COUNTIF(I49:XFD49,"&gt;"&amp;0)-MIN($F$1+1,COUNTIF(I49:XFD49,"&gt;"&amp;0)),I$1:XFD49,A49+1,FALSE))</f>
        <v>104</v>
      </c>
      <c r="G49" s="8">
        <f t="shared" si="16"/>
        <v>1.2751898246810069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</row>
    <row r="50" spans="1:14" x14ac:dyDescent="0.25">
      <c r="A50" s="9">
        <f t="shared" si="8"/>
        <v>49</v>
      </c>
      <c r="B50" s="9">
        <f t="array" ref="B50">IF(C50="",0,IF(OR(C50=Country_Comparison!$S$10:$S$29),1,0))</f>
        <v>0</v>
      </c>
      <c r="C50" s="9" t="str">
        <f t="shared" si="14"/>
        <v>Poland</v>
      </c>
      <c r="D50" s="6">
        <f t="shared" si="15"/>
        <v>349</v>
      </c>
      <c r="E50" s="6">
        <f>IF(COUNTIF(I50:XFD50,"&gt;"&amp;0)=0,,HLOOKUP(COUNTIF(I50:XFD50,"&gt;"&amp;0)-1,I$1:XFD50,A50+1,FALSE))</f>
        <v>349</v>
      </c>
      <c r="F50" s="7">
        <f>IF(COUNTIF(I50:XFD50,"&gt;"&amp;0)=0,,HLOOKUP(COUNTIF(I50:XFD50,"&gt;"&amp;0)-MIN($F$1+1,COUNTIF(I50:XFD50,"&gt;"&amp;0)),I$1:XFD50,A50+1,FALSE))</f>
        <v>100</v>
      </c>
      <c r="G50" s="8">
        <f t="shared" si="16"/>
        <v>1.2840001822960385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</row>
    <row r="51" spans="1:14" x14ac:dyDescent="0.25">
      <c r="A51" s="9">
        <f t="shared" si="8"/>
        <v>50</v>
      </c>
      <c r="B51" s="9">
        <f t="array" ref="B51">IF(C51="",0,IF(OR(C51=Country_Comparison!$S$10:$S$29),1,0))</f>
        <v>0</v>
      </c>
      <c r="C51" s="9" t="str">
        <f t="shared" si="14"/>
        <v>Philippines</v>
      </c>
      <c r="D51" s="6">
        <f t="shared" si="15"/>
        <v>192</v>
      </c>
      <c r="E51" s="6">
        <f>IF(COUNTIF(I51:XFD51,"&gt;"&amp;0)=0,,HLOOKUP(COUNTIF(I51:XFD51,"&gt;"&amp;0)-1,I$1:XFD51,A51+1,FALSE))</f>
        <v>192</v>
      </c>
      <c r="F51" s="7">
        <f>IF(COUNTIF(I51:XFD51,"&gt;"&amp;0)=0,,HLOOKUP(COUNTIF(I51:XFD51,"&gt;"&amp;0)-MIN($F$1+1,COUNTIF(I51:XFD51,"&gt;"&amp;0)),I$1:XFD51,A51+1,FALSE))</f>
        <v>101</v>
      </c>
      <c r="G51" s="8">
        <f t="shared" si="16"/>
        <v>1.1370929606777527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</row>
    <row r="52" spans="1:14" x14ac:dyDescent="0.25">
      <c r="A52" s="9">
        <f t="shared" si="8"/>
        <v>51</v>
      </c>
      <c r="B52" s="9">
        <f t="array" ref="B52">IF(C52="",0,IF(OR(C52=Country_Comparison!$S$10:$S$29),1,0))</f>
        <v>0</v>
      </c>
      <c r="C52" s="9" t="str">
        <f t="shared" si="14"/>
        <v>Taiwan*</v>
      </c>
      <c r="D52" s="6">
        <f t="shared" si="15"/>
        <v>81</v>
      </c>
      <c r="E52" s="6">
        <f>IF(COUNTIF(I52:XFD52,"&gt;"&amp;0)=0,,HLOOKUP(COUNTIF(I52:XFD52,"&gt;"&amp;0)-1,I$1:XFD52,A52+1,FALSE))</f>
        <v>81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6"/>
        <v>1.051948051948052</v>
      </c>
      <c r="H52" s="13" t="s">
        <v>342</v>
      </c>
      <c r="I52" s="9">
        <v>77</v>
      </c>
      <c r="J52" s="9">
        <v>81</v>
      </c>
    </row>
    <row r="53" spans="1:14" x14ac:dyDescent="0.25">
      <c r="A53" s="9">
        <f t="shared" si="8"/>
        <v>52</v>
      </c>
      <c r="B53" s="9">
        <f t="array" ref="B53">IF(C53="",0,IF(OR(C53=Country_Comparison!$S$10:$S$29),1,0))</f>
        <v>0</v>
      </c>
      <c r="C53" s="9" t="str">
        <f t="shared" si="14"/>
        <v>Russia</v>
      </c>
      <c r="D53" s="6">
        <f t="shared" si="15"/>
        <v>189</v>
      </c>
      <c r="E53" s="6">
        <f>IF(COUNTIF(I53:XFD53,"&gt;"&amp;0)=0,,HLOOKUP(COUNTIF(I53:XFD53,"&gt;"&amp;0)-1,I$1:XFD53,A53+1,FALSE))</f>
        <v>189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6"/>
        <v>1.3352972957077867</v>
      </c>
      <c r="H53" s="15" t="s">
        <v>344</v>
      </c>
      <c r="I53" s="9">
        <v>106</v>
      </c>
      <c r="J53" s="9">
        <v>139</v>
      </c>
      <c r="K53" s="9">
        <v>189</v>
      </c>
    </row>
    <row r="54" spans="1:14" x14ac:dyDescent="0.25">
      <c r="A54" s="9">
        <f t="shared" si="8"/>
        <v>53</v>
      </c>
      <c r="B54" s="9">
        <f t="array" ref="B54">IF(C54="",0,IF(OR(C54=Country_Comparison!$S$10:$S$29),1,0))</f>
        <v>0</v>
      </c>
      <c r="C54" s="9" t="str">
        <f t="shared" si="14"/>
        <v>Chile</v>
      </c>
      <c r="D54" s="6">
        <f t="shared" si="15"/>
        <v>238</v>
      </c>
      <c r="E54" s="6">
        <f>IF(COUNTIF(I54:XFD54,"&gt;"&amp;0)=0,,HLOOKUP(COUNTIF(I54:XFD54,"&gt;"&amp;0)-1,I$1:XFD54,A54+1,FALSE))</f>
        <v>238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6"/>
        <v>1.1536704079356435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</row>
    <row r="55" spans="1:14" x14ac:dyDescent="0.25">
      <c r="A55" s="9">
        <f t="shared" si="8"/>
        <v>54</v>
      </c>
      <c r="B55" s="9">
        <f t="array" ref="B55">IF(C55="",0,IF(OR(C55=Country_Comparison!$S$10:$S$29),1,0))</f>
        <v>0</v>
      </c>
      <c r="C55" s="9" t="str">
        <f t="shared" si="14"/>
        <v>Serbia</v>
      </c>
      <c r="D55" s="6">
        <f t="shared" si="15"/>
        <v>102</v>
      </c>
      <c r="E55" s="6">
        <f>IF(COUNTIF(I55:XFD55,"&gt;"&amp;0)=0,,HLOOKUP(COUNTIF(I55:XFD55,"&gt;"&amp;0)-1,I$1:XFD55,A55+1,FALSE))</f>
        <v>102</v>
      </c>
      <c r="F55" s="7">
        <f>IF(COUNTIF(I55:XFD55,"&gt;"&amp;0)=0,,HLOOKUP(COUNTIF(I55:XFD55,"&gt;"&amp;0)-MIN($F$1+1,COUNTIF(I55:XFD55,"&gt;"&amp;0)),I$1:XFD55,A55+1,FALSE))</f>
        <v>102</v>
      </c>
      <c r="G55" s="8" t="e">
        <f t="shared" si="16"/>
        <v>#DIV/0!</v>
      </c>
      <c r="H55" s="13" t="s">
        <v>161</v>
      </c>
      <c r="I55" s="9">
        <v>102</v>
      </c>
    </row>
    <row r="56" spans="1:14" x14ac:dyDescent="0.25">
      <c r="A56" s="9">
        <f t="shared" si="8"/>
        <v>55</v>
      </c>
      <c r="B56" s="9">
        <f t="array" ref="B56">IF(C56="",0,IF(OR(C56=Country_Comparison!$S$10:$S$29),1,0))</f>
        <v>0</v>
      </c>
      <c r="C56" s="9" t="str">
        <f t="shared" si="14"/>
        <v>Luxembourg</v>
      </c>
      <c r="D56" s="6">
        <f t="shared" si="15"/>
        <v>331</v>
      </c>
      <c r="E56" s="6">
        <f>IF(COUNTIF(I56:XFD56,"&gt;"&amp;0)=0,,HLOOKUP(COUNTIF(I56:XFD56,"&gt;"&amp;0)-1,I$1:XFD56,A56+1,FALSE))</f>
        <v>331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6"/>
        <v>1.5431445052323443</v>
      </c>
      <c r="H56" s="13" t="s">
        <v>99</v>
      </c>
      <c r="I56" s="9">
        <v>139</v>
      </c>
      <c r="J56" s="9">
        <v>201</v>
      </c>
      <c r="K56" s="9">
        <v>331</v>
      </c>
    </row>
    <row r="57" spans="1:14" x14ac:dyDescent="0.25">
      <c r="A57" s="9">
        <f t="shared" si="8"/>
        <v>56</v>
      </c>
      <c r="B57" s="9">
        <f t="array" ref="B57">IF(C57="",0,IF(OR(C57=Country_Comparison!$S$10:$S$29),1,0))</f>
        <v>0</v>
      </c>
      <c r="C57" s="9" t="str">
        <f t="shared" si="14"/>
        <v>Croatia</v>
      </c>
      <c r="D57" s="6">
        <f t="shared" si="15"/>
        <v>99</v>
      </c>
      <c r="E57" s="6">
        <f>IF(COUNTIF(I57:XFD57,"&gt;"&amp;0)=0,,HLOOKUP(COUNTIF(I57:XFD57,"&gt;"&amp;0)-1,I$1:XFD57,A57+1,FALSE))</f>
        <v>99</v>
      </c>
      <c r="F57" s="7">
        <f>IF(COUNTIF(I57:XFD57,"&gt;"&amp;0)=0,,HLOOKUP(COUNTIF(I57:XFD57,"&gt;"&amp;0)-MIN($F$1+1,COUNTIF(I57:XFD57,"&gt;"&amp;0)),I$1:XFD57,A57+1,FALSE))</f>
        <v>99</v>
      </c>
      <c r="G57" s="8" t="e">
        <f t="shared" si="16"/>
        <v>#DIV/0!</v>
      </c>
      <c r="H57" s="13" t="s">
        <v>76</v>
      </c>
      <c r="I57" s="9">
        <v>99</v>
      </c>
    </row>
    <row r="58" spans="1:14" x14ac:dyDescent="0.25">
      <c r="A58" s="9">
        <f t="shared" si="8"/>
        <v>57</v>
      </c>
      <c r="B58" s="9">
        <f t="array" ref="B58">IF(C58="",0,IF(OR(C58=Country_Comparison!$S$10:$S$29),1,0))</f>
        <v>0</v>
      </c>
      <c r="C58" s="9" t="str">
        <f t="shared" si="14"/>
        <v>Slovakia</v>
      </c>
      <c r="D58" s="6">
        <f t="shared" si="15"/>
        <v>122</v>
      </c>
      <c r="E58" s="6">
        <f>IF(COUNTIF(I58:XFD58,"&gt;"&amp;0)=0,,HLOOKUP(COUNTIF(I58:XFD58,"&gt;"&amp;0)-1,I$1:XFD58,A58+1,FALSE))</f>
        <v>122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6"/>
        <v>1.1730769230769231</v>
      </c>
      <c r="H58" s="13" t="s">
        <v>162</v>
      </c>
      <c r="I58" s="9">
        <v>104</v>
      </c>
      <c r="J58" s="9">
        <v>122</v>
      </c>
    </row>
    <row r="59" spans="1:14" x14ac:dyDescent="0.25">
      <c r="A59" s="9">
        <f t="shared" si="8"/>
        <v>58</v>
      </c>
      <c r="B59" s="9">
        <f t="array" ref="B59">IF(C59="",0,IF(OR(C59=Country_Comparison!$S$10:$S$29),1,0))</f>
        <v>0</v>
      </c>
      <c r="C59" s="9" t="str">
        <f t="shared" si="14"/>
        <v>Pakistan</v>
      </c>
      <c r="D59" s="6">
        <f t="shared" si="15"/>
        <v>439</v>
      </c>
      <c r="E59" s="6">
        <f>IF(COUNTIF(I59:XFD59,"&gt;"&amp;0)=0,,HLOOKUP(COUNTIF(I59:XFD59,"&gt;"&amp;0)-1,I$1:XFD59,A59+1,FALSE))</f>
        <v>439</v>
      </c>
      <c r="F59" s="7">
        <f>IF(COUNTIF(I59:XFD59,"&gt;"&amp;0)=0,,HLOOKUP(COUNTIF(I59:XFD59,"&gt;"&amp;0)-MIN($F$1+1,COUNTIF(I59:XFD59,"&gt;"&amp;0)),I$1:XFD59,A59+1,FALSE))</f>
        <v>134</v>
      </c>
      <c r="G59" s="8">
        <f t="shared" si="16"/>
        <v>1.4852055859278537</v>
      </c>
      <c r="H59" s="13" t="s">
        <v>80</v>
      </c>
      <c r="I59" s="9">
        <v>134</v>
      </c>
      <c r="J59" s="9">
        <v>234</v>
      </c>
      <c r="K59" s="9">
        <v>297</v>
      </c>
      <c r="L59" s="9">
        <v>439</v>
      </c>
    </row>
    <row r="60" spans="1:14" x14ac:dyDescent="0.25">
      <c r="A60" s="9">
        <f t="shared" si="8"/>
        <v>59</v>
      </c>
      <c r="B60" s="9">
        <f t="array" ref="B60">IF(C60="",0,IF(OR(C60=Country_Comparison!$S$10:$S$29),1,0))</f>
        <v>0</v>
      </c>
      <c r="C60" s="9" t="str">
        <f t="shared" si="14"/>
        <v>Peru</v>
      </c>
      <c r="D60" s="6">
        <f t="shared" si="15"/>
        <v>233</v>
      </c>
      <c r="E60" s="6">
        <f>IF(COUNTIF(I60:XFD60,"&gt;"&amp;0)=0,,HLOOKUP(COUNTIF(I60:XFD60,"&gt;"&amp;0)-1,I$1:XFD60,A60+1,FALSE))</f>
        <v>233</v>
      </c>
      <c r="F60" s="7">
        <f>IF(COUNTIF(I60:XFD60,"&gt;"&amp;0)=0,,HLOOKUP(COUNTIF(I60:XFD60,"&gt;"&amp;0)-MIN($F$1+1,COUNTIF(I60:XFD60,"&gt;"&amp;0)),I$1:XFD60,A60+1,FALSE))</f>
        <v>116</v>
      </c>
      <c r="G60" s="8">
        <f t="shared" si="16"/>
        <v>1.4172581591422124</v>
      </c>
      <c r="H60" s="13" t="s">
        <v>160</v>
      </c>
      <c r="I60" s="9">
        <v>116</v>
      </c>
      <c r="J60" s="9">
        <v>144</v>
      </c>
      <c r="K60" s="9">
        <v>233</v>
      </c>
    </row>
    <row r="61" spans="1:14" x14ac:dyDescent="0.25">
      <c r="A61" s="9">
        <f t="shared" si="8"/>
        <v>60</v>
      </c>
      <c r="B61" s="9">
        <f t="array" ref="B61">IF(C61="",0,IF(OR(C61=Country_Comparison!$S$10:$S$29),1,0))</f>
        <v>0</v>
      </c>
      <c r="C61" s="9" t="str">
        <f t="shared" si="14"/>
        <v>Panama</v>
      </c>
      <c r="D61" s="6">
        <f t="shared" si="15"/>
        <v>108</v>
      </c>
      <c r="E61" s="6">
        <f>IF(COUNTIF(I61:XFD61,"&gt;"&amp;0)=0,,HLOOKUP(COUNTIF(I61:XFD61,"&gt;"&amp;0)-1,I$1:XFD61,A61+1,FALSE))</f>
        <v>108</v>
      </c>
      <c r="F61" s="7">
        <f>IF(COUNTIF(I61:XFD61,"&gt;"&amp;0)=0,,HLOOKUP(COUNTIF(I61:XFD61,"&gt;"&amp;0)-MIN($F$1+1,COUNTIF(I61:XFD61,"&gt;"&amp;0)),I$1:XFD61,A61+1,FALSE))</f>
        <v>108</v>
      </c>
      <c r="G61" s="8" t="e">
        <f t="shared" si="16"/>
        <v>#DIV/0!</v>
      </c>
      <c r="H61" s="13" t="s">
        <v>283</v>
      </c>
      <c r="I61" s="9">
        <v>108</v>
      </c>
    </row>
    <row r="62" spans="1:14" x14ac:dyDescent="0.25">
      <c r="A62" s="9">
        <f t="shared" si="8"/>
        <v>61</v>
      </c>
      <c r="B62" s="9">
        <f t="array" ref="B62">IF(C62="",0,IF(OR(C62=Country_Comparison!$S$10:$S$29),1,0))</f>
        <v>0</v>
      </c>
      <c r="C62" s="9" t="str">
        <f t="shared" si="14"/>
        <v>South Africa</v>
      </c>
      <c r="D62" s="6">
        <f t="shared" si="15"/>
        <v>150</v>
      </c>
      <c r="E62" s="6">
        <f>IF(COUNTIF(I62:XFD62,"&gt;"&amp;0)=0,,HLOOKUP(COUNTIF(I62:XFD62,"&gt;"&amp;0)-1,I$1:XFD62,A62+1,FALSE))</f>
        <v>150</v>
      </c>
      <c r="F62" s="7">
        <f>IF(COUNTIF(I62:XFD62,"&gt;"&amp;0)=0,,HLOOKUP(COUNTIF(I62:XFD62,"&gt;"&amp;0)-MIN($F$1+1,COUNTIF(I62:XFD62,"&gt;"&amp;0)),I$1:XFD62,A62+1,FALSE))</f>
        <v>116</v>
      </c>
      <c r="G62" s="8">
        <f t="shared" si="16"/>
        <v>1.2931034482758621</v>
      </c>
      <c r="H62" s="13" t="s">
        <v>145</v>
      </c>
      <c r="I62" s="9">
        <v>116</v>
      </c>
      <c r="J62" s="9">
        <v>150</v>
      </c>
    </row>
    <row r="63" spans="1:14" x14ac:dyDescent="0.25">
      <c r="A63" s="9">
        <f t="shared" si="8"/>
        <v>62</v>
      </c>
      <c r="B63" s="9">
        <f t="array" ref="B63">IF(C63="",0,IF(OR(C63=Country_Comparison!$S$10:$S$29),1,0))</f>
        <v>0</v>
      </c>
      <c r="C63" s="9" t="str">
        <f t="shared" si="14"/>
        <v>Ecuador</v>
      </c>
      <c r="D63" s="6">
        <f t="shared" si="15"/>
        <v>196</v>
      </c>
      <c r="E63" s="6">
        <f>IF(COUNTIF(I63:XFD63,"&gt;"&amp;0)=0,,HLOOKUP(COUNTIF(I63:XFD63,"&gt;"&amp;0)-1,I$1:XFD63,A63+1,FALSE))</f>
        <v>196</v>
      </c>
      <c r="F63" s="7">
        <f>IF(COUNTIF(I63:XFD63,"&gt;"&amp;0)=0,,HLOOKUP(COUNTIF(I63:XFD63,"&gt;"&amp;0)-MIN($F$1+1,COUNTIF(I63:XFD63,"&gt;"&amp;0)),I$1:XFD63,A63+1,FALSE))</f>
        <v>109</v>
      </c>
      <c r="G63" s="8">
        <f t="shared" si="16"/>
        <v>1.798165137614679</v>
      </c>
      <c r="H63" s="13" t="s">
        <v>103</v>
      </c>
      <c r="I63" s="9">
        <v>109</v>
      </c>
      <c r="J63" s="9">
        <v>196</v>
      </c>
    </row>
    <row r="64" spans="1:14" x14ac:dyDescent="0.25">
      <c r="A64" s="9">
        <f t="shared" si="8"/>
        <v>63</v>
      </c>
      <c r="B64" s="9">
        <f t="array" ref="B64">IF(C64="",0,IF(OR(C64=Country_Comparison!$S$10:$S$29),1,0))</f>
        <v>0</v>
      </c>
      <c r="C64" s="9" t="str">
        <f t="shared" si="14"/>
        <v>Colombia</v>
      </c>
      <c r="D64" s="6">
        <f t="shared" si="15"/>
        <v>101</v>
      </c>
      <c r="E64" s="6">
        <f>IF(COUNTIF(I64:XFD64,"&gt;"&amp;0)=0,,HLOOKUP(COUNTIF(I64:XFD64,"&gt;"&amp;0)-1,I$1:XFD64,A64+1,FALSE))</f>
        <v>101</v>
      </c>
      <c r="F64" s="7">
        <f>IF(COUNTIF(I64:XFD64,"&gt;"&amp;0)=0,,HLOOKUP(COUNTIF(I64:XFD64,"&gt;"&amp;0)-MIN($F$1+1,COUNTIF(I64:XFD64,"&gt;"&amp;0)),I$1:XFD64,A64+1,FALSE))</f>
        <v>101</v>
      </c>
      <c r="G64" s="8" t="e">
        <f t="shared" si="16"/>
        <v>#DIV/0!</v>
      </c>
      <c r="H64" s="13" t="s">
        <v>158</v>
      </c>
      <c r="I64" s="9">
        <v>101</v>
      </c>
    </row>
    <row r="65" spans="1:9" x14ac:dyDescent="0.25">
      <c r="A65" s="9">
        <f t="shared" si="8"/>
        <v>64</v>
      </c>
      <c r="B65" s="9">
        <f t="array" ref="B65">IF(C65="",0,IF(OR(C65=Country_Comparison!$S$10:$S$29),1,0))</f>
        <v>0</v>
      </c>
      <c r="C65" s="9" t="str">
        <f t="shared" si="14"/>
        <v>Mexico</v>
      </c>
      <c r="D65" s="6">
        <f t="shared" si="15"/>
        <v>113</v>
      </c>
      <c r="E65" s="6">
        <f>IF(COUNTIF(I65:XFD65,"&gt;"&amp;0)=0,,HLOOKUP(COUNTIF(I65:XFD65,"&gt;"&amp;0)-1,I$1:XFD65,A65+1,FALSE))</f>
        <v>113</v>
      </c>
      <c r="F65" s="7">
        <f>IF(COUNTIF(I65:XFD65,"&gt;"&amp;0)=0,,HLOOKUP(COUNTIF(I65:XFD65,"&gt;"&amp;0)-MIN($F$1+1,COUNTIF(I65:XFD65,"&gt;"&amp;0)),I$1:XFD65,A65+1,FALSE))</f>
        <v>113</v>
      </c>
      <c r="G65" s="8" t="e">
        <f t="shared" si="16"/>
        <v>#DIV/0!</v>
      </c>
      <c r="H65" s="13" t="s">
        <v>94</v>
      </c>
      <c r="I65" s="9">
        <v>113</v>
      </c>
    </row>
    <row r="66" spans="1:9" x14ac:dyDescent="0.25">
      <c r="A66" s="9">
        <f t="shared" si="8"/>
        <v>65</v>
      </c>
      <c r="B66" s="9">
        <f t="array" ref="B66">IF(C66="",0,IF(OR(C66=Country_Comparison!$S$10:$S$29),1,0))</f>
        <v>0</v>
      </c>
      <c r="C66" s="9" t="str">
        <f t="shared" si="14"/>
        <v>Armenia</v>
      </c>
      <c r="D66" s="6">
        <f t="shared" si="15"/>
        <v>114</v>
      </c>
      <c r="E66" s="6">
        <f>IF(COUNTIF(I66:XFD66,"&gt;"&amp;0)=0,,HLOOKUP(COUNTIF(I66:XFD66,"&gt;"&amp;0)-1,I$1:XFD66,A66+1,FALSE))</f>
        <v>114</v>
      </c>
      <c r="F66" s="7">
        <f>IF(COUNTIF(I66:XFD66,"&gt;"&amp;0)=0,,HLOOKUP(COUNTIF(I66:XFD66,"&gt;"&amp;0)-MIN($F$1+1,COUNTIF(I66:XFD66,"&gt;"&amp;0)),I$1:XFD66,A66+1,FALSE))</f>
        <v>114</v>
      </c>
      <c r="G66" s="8" t="e">
        <f t="shared" si="16"/>
        <v>#DIV/0!</v>
      </c>
      <c r="H66" s="13" t="s">
        <v>105</v>
      </c>
      <c r="I66" s="9">
        <v>114</v>
      </c>
    </row>
    <row r="67" spans="1:9" x14ac:dyDescent="0.25">
      <c r="A67" s="9">
        <f t="shared" si="8"/>
        <v>66</v>
      </c>
      <c r="B67" s="9">
        <f t="array" ref="B67">IF(C67="",0,IF(OR(C67=Country_Comparison!$S$10:$S$29),1,0))</f>
        <v>0</v>
      </c>
      <c r="C67" s="9" t="str">
        <f t="shared" si="14"/>
        <v>Turkey</v>
      </c>
      <c r="D67" s="6">
        <f t="shared" si="15"/>
        <v>189</v>
      </c>
      <c r="E67" s="6">
        <f>IF(COUNTIF(I67:XFD67,"&gt;"&amp;0)=0,,HLOOKUP(COUNTIF(I67:XFD67,"&gt;"&amp;0)-1,I$1:XFD67,A67+1,FALSE))</f>
        <v>189</v>
      </c>
      <c r="F67" s="7">
        <f>IF(COUNTIF(I67:XFD67,"&gt;"&amp;0)=0,,HLOOKUP(COUNTIF(I67:XFD67,"&gt;"&amp;0)-MIN($F$1+1,COUNTIF(I67:XFD67,"&gt;"&amp;0)),I$1:XFD67,A67+1,FALSE))</f>
        <v>189</v>
      </c>
      <c r="G67" s="8" t="e">
        <f t="shared" si="16"/>
        <v>#DIV/0!</v>
      </c>
      <c r="H67" s="13" t="s">
        <v>355</v>
      </c>
      <c r="I67" s="9">
        <v>189</v>
      </c>
    </row>
    <row r="68" spans="1:9" x14ac:dyDescent="0.25">
      <c r="A68" s="9">
        <f t="shared" si="8"/>
        <v>67</v>
      </c>
      <c r="B68" s="9">
        <f t="array" ref="B68">IF(C68="",0,IF(OR(C68=Country_Comparison!$S$10:$S$29),1,0))</f>
        <v>0</v>
      </c>
      <c r="C68" s="9" t="str">
        <f t="shared" si="14"/>
        <v/>
      </c>
      <c r="D68" s="6">
        <f t="shared" si="15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16"/>
        <v>0</v>
      </c>
    </row>
    <row r="69" spans="1:9" x14ac:dyDescent="0.25">
      <c r="A69" s="9">
        <f t="shared" si="8"/>
        <v>68</v>
      </c>
      <c r="B69" s="9">
        <f t="array" ref="B69">IF(C69="",0,IF(OR(C69=Country_Comparison!$S$10:$S$29),1,0))</f>
        <v>0</v>
      </c>
      <c r="C69" s="9" t="str">
        <f t="shared" si="14"/>
        <v/>
      </c>
      <c r="D69" s="6">
        <f t="shared" si="15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16"/>
        <v>0</v>
      </c>
    </row>
    <row r="70" spans="1:9" x14ac:dyDescent="0.25">
      <c r="A70" s="9">
        <f t="shared" si="8"/>
        <v>69</v>
      </c>
      <c r="B70" s="9">
        <f t="array" ref="B70">IF(C70="",0,IF(OR(C70=Country_Comparison!$S$10:$S$29),1,0))</f>
        <v>0</v>
      </c>
      <c r="C70" s="9" t="str">
        <f t="shared" ref="C70:C133" si="17">IF(H70="","",H70)</f>
        <v/>
      </c>
      <c r="D70" s="6">
        <f t="shared" ref="D70:D133" si="18">MAX(I70:CL70)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ref="G70:G133" si="19">IF(COUNTIF(I70:XFD70,"&gt;"&amp;0)=0,,(E70/F70)^(1/MIN(COUNTIF(I70:XFD70,"&gt;"&amp;0)-1,$F$1)))</f>
        <v>0</v>
      </c>
    </row>
    <row r="71" spans="1:9" x14ac:dyDescent="0.25">
      <c r="A71" s="9">
        <f t="shared" si="8"/>
        <v>70</v>
      </c>
      <c r="B71" s="9">
        <f t="array" ref="B71">IF(C71="",0,IF(OR(C71=Country_Comparison!$S$10:$S$29),1,0))</f>
        <v>0</v>
      </c>
      <c r="C71" s="9" t="str">
        <f t="shared" si="17"/>
        <v/>
      </c>
      <c r="D71" s="6">
        <f t="shared" si="18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9"/>
        <v>0</v>
      </c>
    </row>
    <row r="72" spans="1:9" x14ac:dyDescent="0.25">
      <c r="A72" s="9">
        <f t="shared" si="8"/>
        <v>71</v>
      </c>
      <c r="B72" s="9">
        <f t="array" ref="B72">IF(C72="",0,IF(OR(C72=Country_Comparison!$S$10:$S$29),1,0))</f>
        <v>0</v>
      </c>
      <c r="C72" s="9" t="str">
        <f t="shared" si="17"/>
        <v/>
      </c>
      <c r="D72" s="6">
        <f t="shared" si="18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9"/>
        <v>0</v>
      </c>
    </row>
    <row r="73" spans="1:9" x14ac:dyDescent="0.25">
      <c r="A73" s="9">
        <f t="shared" si="8"/>
        <v>72</v>
      </c>
      <c r="B73" s="9">
        <f t="array" ref="B73">IF(C73="",0,IF(OR(C73=Country_Comparison!$S$10:$S$29),1,0))</f>
        <v>0</v>
      </c>
      <c r="C73" s="9" t="str">
        <f t="shared" si="17"/>
        <v/>
      </c>
      <c r="D73" s="6">
        <f t="shared" si="18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9"/>
        <v>0</v>
      </c>
    </row>
    <row r="74" spans="1:9" x14ac:dyDescent="0.25">
      <c r="A74" s="9">
        <f t="shared" si="8"/>
        <v>73</v>
      </c>
      <c r="B74" s="9">
        <f t="array" ref="B74">IF(C74="",0,IF(OR(C74=Country_Comparison!$S$10:$S$29),1,0))</f>
        <v>0</v>
      </c>
      <c r="C74" s="9" t="str">
        <f t="shared" si="17"/>
        <v/>
      </c>
      <c r="D74" s="6">
        <f t="shared" si="18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9"/>
        <v>0</v>
      </c>
    </row>
    <row r="75" spans="1:9" x14ac:dyDescent="0.25">
      <c r="A75" s="9">
        <f t="shared" si="8"/>
        <v>74</v>
      </c>
      <c r="B75" s="9">
        <f t="array" ref="B75">IF(C75="",0,IF(OR(C75=Country_Comparison!$S$10:$S$29),1,0))</f>
        <v>0</v>
      </c>
      <c r="C75" s="9" t="str">
        <f t="shared" si="17"/>
        <v/>
      </c>
      <c r="D75" s="6">
        <f t="shared" si="18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9"/>
        <v>0</v>
      </c>
    </row>
    <row r="76" spans="1:9" x14ac:dyDescent="0.25">
      <c r="A76" s="9">
        <f t="shared" si="8"/>
        <v>75</v>
      </c>
      <c r="B76" s="9">
        <f t="array" ref="B76">IF(C76="",0,IF(OR(C76=Country_Comparison!$S$10:$S$29),1,0))</f>
        <v>0</v>
      </c>
      <c r="C76" s="9" t="str">
        <f t="shared" si="17"/>
        <v/>
      </c>
      <c r="D76" s="6">
        <f t="shared" si="18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9"/>
        <v>0</v>
      </c>
    </row>
    <row r="77" spans="1:9" x14ac:dyDescent="0.25">
      <c r="A77" s="9">
        <f t="shared" si="8"/>
        <v>76</v>
      </c>
      <c r="B77" s="9">
        <f t="array" ref="B77">IF(C77="",0,IF(OR(C77=Country_Comparison!$S$10:$S$29),1,0))</f>
        <v>0</v>
      </c>
      <c r="C77" s="9" t="str">
        <f t="shared" si="17"/>
        <v/>
      </c>
      <c r="D77" s="6">
        <f t="shared" si="18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9"/>
        <v>0</v>
      </c>
    </row>
    <row r="78" spans="1:9" x14ac:dyDescent="0.25">
      <c r="A78" s="9">
        <f t="shared" si="8"/>
        <v>77</v>
      </c>
      <c r="B78" s="9">
        <f t="array" ref="B78">IF(C78="",0,IF(OR(C78=Country_Comparison!$S$10:$S$29),1,0))</f>
        <v>0</v>
      </c>
      <c r="C78" s="9" t="str">
        <f t="shared" si="17"/>
        <v/>
      </c>
      <c r="D78" s="6">
        <f t="shared" si="18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9"/>
        <v>0</v>
      </c>
    </row>
    <row r="79" spans="1:9" x14ac:dyDescent="0.25">
      <c r="A79" s="9">
        <f t="shared" si="8"/>
        <v>78</v>
      </c>
      <c r="B79" s="9">
        <f t="array" ref="B79">IF(C79="",0,IF(OR(C79=Country_Comparison!$S$10:$S$29),1,0))</f>
        <v>0</v>
      </c>
      <c r="C79" s="9" t="str">
        <f t="shared" si="17"/>
        <v/>
      </c>
      <c r="D79" s="6">
        <f t="shared" si="18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9"/>
        <v>0</v>
      </c>
    </row>
    <row r="80" spans="1:9" x14ac:dyDescent="0.25">
      <c r="A80" s="9">
        <f t="shared" si="8"/>
        <v>79</v>
      </c>
      <c r="B80" s="9">
        <f t="array" ref="B80">IF(C80="",0,IF(OR(C80=Country_Comparison!$S$10:$S$29),1,0))</f>
        <v>0</v>
      </c>
      <c r="C80" s="9" t="str">
        <f t="shared" si="17"/>
        <v/>
      </c>
      <c r="D80" s="6">
        <f t="shared" si="18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9"/>
        <v>0</v>
      </c>
    </row>
    <row r="81" spans="1:7" x14ac:dyDescent="0.25">
      <c r="A81" s="9">
        <f t="shared" si="8"/>
        <v>80</v>
      </c>
      <c r="B81" s="9">
        <f t="array" ref="B81">IF(C81="",0,IF(OR(C81=Country_Comparison!$S$10:$S$29),1,0))</f>
        <v>0</v>
      </c>
      <c r="C81" s="9" t="str">
        <f t="shared" si="17"/>
        <v/>
      </c>
      <c r="D81" s="6">
        <f t="shared" si="18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9"/>
        <v>0</v>
      </c>
    </row>
    <row r="82" spans="1:7" x14ac:dyDescent="0.25">
      <c r="A82" s="9">
        <f t="shared" si="8"/>
        <v>81</v>
      </c>
      <c r="B82" s="9">
        <f t="array" ref="B82">IF(C82="",0,IF(OR(C82=Country_Comparison!$S$10:$S$29),1,0))</f>
        <v>0</v>
      </c>
      <c r="C82" s="9" t="str">
        <f t="shared" si="17"/>
        <v/>
      </c>
      <c r="D82" s="6">
        <f t="shared" si="18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9"/>
        <v>0</v>
      </c>
    </row>
    <row r="83" spans="1:7" x14ac:dyDescent="0.25">
      <c r="A83" s="9">
        <f t="shared" si="8"/>
        <v>82</v>
      </c>
      <c r="B83" s="9">
        <f t="array" ref="B83">IF(C83="",0,IF(OR(C83=Country_Comparison!$S$10:$S$29),1,0))</f>
        <v>0</v>
      </c>
      <c r="C83" s="9" t="str">
        <f t="shared" si="17"/>
        <v/>
      </c>
      <c r="D83" s="6">
        <f t="shared" si="18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9"/>
        <v>0</v>
      </c>
    </row>
    <row r="84" spans="1:7" x14ac:dyDescent="0.25">
      <c r="A84" s="9">
        <f t="shared" si="8"/>
        <v>83</v>
      </c>
      <c r="B84" s="9">
        <f t="array" ref="B84">IF(C84="",0,IF(OR(C84=Country_Comparison!$S$10:$S$29),1,0))</f>
        <v>0</v>
      </c>
      <c r="C84" s="9" t="str">
        <f t="shared" si="17"/>
        <v/>
      </c>
      <c r="D84" s="6">
        <f t="shared" si="18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9"/>
        <v>0</v>
      </c>
    </row>
    <row r="85" spans="1:7" x14ac:dyDescent="0.25">
      <c r="A85" s="9">
        <f t="shared" si="8"/>
        <v>84</v>
      </c>
      <c r="B85" s="9">
        <f t="array" ref="B85">IF(C85="",0,IF(OR(C85=Country_Comparison!$S$10:$S$29),1,0))</f>
        <v>0</v>
      </c>
      <c r="C85" s="9" t="str">
        <f t="shared" si="17"/>
        <v/>
      </c>
      <c r="D85" s="6">
        <f t="shared" si="18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9"/>
        <v>0</v>
      </c>
    </row>
    <row r="86" spans="1:7" x14ac:dyDescent="0.25">
      <c r="A86" s="9">
        <f t="shared" si="8"/>
        <v>85</v>
      </c>
      <c r="B86" s="9">
        <f t="array" ref="B86">IF(C86="",0,IF(OR(C86=Country_Comparison!$S$10:$S$29),1,0))</f>
        <v>0</v>
      </c>
      <c r="C86" s="9" t="str">
        <f t="shared" si="17"/>
        <v/>
      </c>
      <c r="D86" s="6">
        <f t="shared" si="18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9"/>
        <v>0</v>
      </c>
    </row>
    <row r="87" spans="1:7" x14ac:dyDescent="0.25">
      <c r="A87" s="9">
        <f t="shared" si="8"/>
        <v>86</v>
      </c>
      <c r="B87" s="9">
        <f t="array" ref="B87">IF(C87="",0,IF(OR(C87=Country_Comparison!$S$10:$S$29),1,0))</f>
        <v>0</v>
      </c>
      <c r="C87" s="9" t="str">
        <f t="shared" si="17"/>
        <v/>
      </c>
      <c r="D87" s="6">
        <f t="shared" si="18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9"/>
        <v>0</v>
      </c>
    </row>
    <row r="88" spans="1:7" x14ac:dyDescent="0.25">
      <c r="A88" s="9">
        <f t="shared" si="8"/>
        <v>87</v>
      </c>
      <c r="B88" s="9">
        <f t="array" ref="B88">IF(C88="",0,IF(OR(C88=Country_Comparison!$S$10:$S$29),1,0))</f>
        <v>0</v>
      </c>
      <c r="C88" s="9" t="str">
        <f t="shared" si="17"/>
        <v/>
      </c>
      <c r="D88" s="6">
        <f t="shared" si="18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9"/>
        <v>0</v>
      </c>
    </row>
    <row r="89" spans="1:7" x14ac:dyDescent="0.25">
      <c r="A89" s="9">
        <f t="shared" si="8"/>
        <v>88</v>
      </c>
      <c r="B89" s="9">
        <f t="array" ref="B89">IF(C89="",0,IF(OR(C89=Country_Comparison!$S$10:$S$29),1,0))</f>
        <v>0</v>
      </c>
      <c r="C89" s="9" t="str">
        <f t="shared" si="17"/>
        <v/>
      </c>
      <c r="D89" s="6">
        <f t="shared" si="18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9"/>
        <v>0</v>
      </c>
    </row>
    <row r="90" spans="1:7" x14ac:dyDescent="0.25">
      <c r="A90" s="9">
        <f t="shared" si="8"/>
        <v>89</v>
      </c>
      <c r="B90" s="9">
        <f t="array" ref="B90">IF(C90="",0,IF(OR(C90=Country_Comparison!$S$10:$S$29),1,0))</f>
        <v>0</v>
      </c>
      <c r="C90" s="9" t="str">
        <f t="shared" si="17"/>
        <v/>
      </c>
      <c r="D90" s="6">
        <f t="shared" si="18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9"/>
        <v>0</v>
      </c>
    </row>
    <row r="91" spans="1:7" x14ac:dyDescent="0.25">
      <c r="A91" s="9">
        <f t="shared" si="8"/>
        <v>90</v>
      </c>
      <c r="B91" s="9">
        <f t="array" ref="B91">IF(C91="",0,IF(OR(C91=Country_Comparison!$S$10:$S$29),1,0))</f>
        <v>0</v>
      </c>
      <c r="C91" s="9" t="str">
        <f t="shared" si="17"/>
        <v/>
      </c>
      <c r="D91" s="6">
        <f t="shared" si="18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9"/>
        <v>0</v>
      </c>
    </row>
    <row r="92" spans="1:7" x14ac:dyDescent="0.25">
      <c r="A92" s="9">
        <f t="shared" si="8"/>
        <v>91</v>
      </c>
      <c r="B92" s="9">
        <f t="array" ref="B92">IF(C92="",0,IF(OR(C92=Country_Comparison!$S$10:$S$29),1,0))</f>
        <v>0</v>
      </c>
      <c r="C92" s="9" t="str">
        <f t="shared" si="17"/>
        <v/>
      </c>
      <c r="D92" s="6">
        <f t="shared" si="18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9"/>
        <v>0</v>
      </c>
    </row>
    <row r="93" spans="1:7" x14ac:dyDescent="0.25">
      <c r="A93" s="9">
        <f t="shared" si="8"/>
        <v>92</v>
      </c>
      <c r="B93" s="9">
        <f t="array" ref="B93">IF(C93="",0,IF(OR(C93=Country_Comparison!$S$10:$S$29),1,0))</f>
        <v>0</v>
      </c>
      <c r="C93" s="9" t="str">
        <f t="shared" si="17"/>
        <v/>
      </c>
      <c r="D93" s="6">
        <f t="shared" si="18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9"/>
        <v>0</v>
      </c>
    </row>
    <row r="94" spans="1:7" x14ac:dyDescent="0.25">
      <c r="A94" s="9">
        <f t="shared" si="8"/>
        <v>93</v>
      </c>
      <c r="B94" s="9">
        <f t="array" ref="B94">IF(C94="",0,IF(OR(C94=Country_Comparison!$S$10:$S$29),1,0))</f>
        <v>0</v>
      </c>
      <c r="C94" s="9" t="str">
        <f t="shared" si="17"/>
        <v/>
      </c>
      <c r="D94" s="6">
        <f t="shared" si="18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9"/>
        <v>0</v>
      </c>
    </row>
    <row r="95" spans="1:7" x14ac:dyDescent="0.25">
      <c r="A95" s="9">
        <f t="shared" si="8"/>
        <v>94</v>
      </c>
      <c r="B95" s="9">
        <f t="array" ref="B95">IF(C95="",0,IF(OR(C95=Country_Comparison!$S$10:$S$29),1,0))</f>
        <v>0</v>
      </c>
      <c r="C95" s="9" t="str">
        <f t="shared" si="17"/>
        <v/>
      </c>
      <c r="D95" s="6">
        <f t="shared" si="18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9"/>
        <v>0</v>
      </c>
    </row>
    <row r="96" spans="1:7" x14ac:dyDescent="0.25">
      <c r="A96" s="9">
        <f t="shared" si="8"/>
        <v>95</v>
      </c>
      <c r="B96" s="9">
        <f t="array" ref="B96">IF(C96="",0,IF(OR(C96=Country_Comparison!$S$10:$S$29),1,0))</f>
        <v>0</v>
      </c>
      <c r="C96" s="9" t="str">
        <f t="shared" si="17"/>
        <v/>
      </c>
      <c r="D96" s="6">
        <f t="shared" si="18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9"/>
        <v>0</v>
      </c>
    </row>
    <row r="97" spans="1:7" x14ac:dyDescent="0.25">
      <c r="A97" s="9">
        <f t="shared" si="8"/>
        <v>96</v>
      </c>
      <c r="B97" s="9">
        <f t="array" ref="B97">IF(C97="",0,IF(OR(C97=Country_Comparison!$S$10:$S$29),1,0))</f>
        <v>0</v>
      </c>
      <c r="C97" s="9" t="str">
        <f t="shared" si="17"/>
        <v/>
      </c>
      <c r="D97" s="6">
        <f t="shared" si="18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9"/>
        <v>0</v>
      </c>
    </row>
    <row r="98" spans="1:7" x14ac:dyDescent="0.25">
      <c r="A98" s="9">
        <f t="shared" si="8"/>
        <v>97</v>
      </c>
      <c r="B98" s="9">
        <f t="array" ref="B98">IF(C98="",0,IF(OR(C98=Country_Comparison!$S$10:$S$29),1,0))</f>
        <v>0</v>
      </c>
      <c r="C98" s="9" t="str">
        <f t="shared" si="17"/>
        <v/>
      </c>
      <c r="D98" s="6">
        <f t="shared" si="18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9"/>
        <v>0</v>
      </c>
    </row>
    <row r="99" spans="1:7" x14ac:dyDescent="0.25">
      <c r="A99" s="9">
        <f t="shared" si="8"/>
        <v>98</v>
      </c>
      <c r="B99" s="9">
        <f t="array" ref="B99">IF(C99="",0,IF(OR(C99=Country_Comparison!$S$10:$S$29),1,0))</f>
        <v>0</v>
      </c>
      <c r="C99" s="9" t="str">
        <f t="shared" si="17"/>
        <v/>
      </c>
      <c r="D99" s="6">
        <f t="shared" si="18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9"/>
        <v>0</v>
      </c>
    </row>
    <row r="100" spans="1:7" x14ac:dyDescent="0.25">
      <c r="A100" s="9">
        <f t="shared" si="8"/>
        <v>99</v>
      </c>
      <c r="B100" s="9">
        <f t="array" ref="B100">IF(C100="",0,IF(OR(C100=Country_Comparison!$S$10:$S$29),1,0))</f>
        <v>0</v>
      </c>
      <c r="C100" s="9" t="str">
        <f t="shared" si="17"/>
        <v/>
      </c>
      <c r="D100" s="6">
        <f t="shared" si="18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9"/>
        <v>0</v>
      </c>
    </row>
    <row r="101" spans="1:7" x14ac:dyDescent="0.25">
      <c r="A101" s="9">
        <f t="shared" si="8"/>
        <v>100</v>
      </c>
      <c r="B101" s="9">
        <f t="array" ref="B101">IF(C101="",0,IF(OR(C101=Country_Comparison!$S$10:$S$29),1,0))</f>
        <v>0</v>
      </c>
      <c r="C101" s="9" t="str">
        <f t="shared" si="17"/>
        <v/>
      </c>
      <c r="D101" s="6">
        <f t="shared" si="18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9"/>
        <v>0</v>
      </c>
    </row>
    <row r="102" spans="1:7" x14ac:dyDescent="0.25">
      <c r="A102" s="9">
        <f t="shared" si="8"/>
        <v>101</v>
      </c>
      <c r="B102" s="9">
        <f t="array" ref="B102">IF(C102="",0,IF(OR(C102=Country_Comparison!$S$10:$S$29),1,0))</f>
        <v>0</v>
      </c>
      <c r="C102" s="9" t="str">
        <f t="shared" si="17"/>
        <v/>
      </c>
      <c r="D102" s="6">
        <f t="shared" si="18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9"/>
        <v>0</v>
      </c>
    </row>
    <row r="103" spans="1:7" x14ac:dyDescent="0.25">
      <c r="A103" s="9">
        <f t="shared" si="8"/>
        <v>102</v>
      </c>
      <c r="B103" s="9">
        <f t="array" ref="B103">IF(C103="",0,IF(OR(C103=Country_Comparison!$S$10:$S$29),1,0))</f>
        <v>0</v>
      </c>
      <c r="C103" s="9" t="str">
        <f t="shared" si="17"/>
        <v/>
      </c>
      <c r="D103" s="6">
        <f t="shared" si="18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9"/>
        <v>0</v>
      </c>
    </row>
    <row r="104" spans="1:7" x14ac:dyDescent="0.25">
      <c r="A104" s="9">
        <f t="shared" si="8"/>
        <v>103</v>
      </c>
      <c r="B104" s="9">
        <f t="array" ref="B104">IF(C104="",0,IF(OR(C104=Country_Comparison!$S$10:$S$29),1,0))</f>
        <v>0</v>
      </c>
      <c r="C104" s="9" t="str">
        <f t="shared" si="17"/>
        <v/>
      </c>
      <c r="D104" s="6">
        <f t="shared" si="18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9"/>
        <v>0</v>
      </c>
    </row>
    <row r="105" spans="1:7" x14ac:dyDescent="0.25">
      <c r="A105" s="9">
        <f t="shared" si="8"/>
        <v>104</v>
      </c>
      <c r="B105" s="9">
        <f t="array" ref="B105">IF(C105="",0,IF(OR(C105=Country_Comparison!$S$10:$S$29),1,0))</f>
        <v>0</v>
      </c>
      <c r="C105" s="9" t="str">
        <f t="shared" si="17"/>
        <v/>
      </c>
      <c r="D105" s="6">
        <f t="shared" si="18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9"/>
        <v>0</v>
      </c>
    </row>
    <row r="106" spans="1:7" x14ac:dyDescent="0.25">
      <c r="A106" s="9">
        <f t="shared" si="8"/>
        <v>105</v>
      </c>
      <c r="B106" s="9">
        <f t="array" ref="B106">IF(C106="",0,IF(OR(C106=Country_Comparison!$S$10:$S$29),1,0))</f>
        <v>0</v>
      </c>
      <c r="C106" s="9" t="str">
        <f t="shared" si="17"/>
        <v/>
      </c>
      <c r="D106" s="6">
        <f t="shared" si="18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9"/>
        <v>0</v>
      </c>
    </row>
    <row r="107" spans="1:7" x14ac:dyDescent="0.25">
      <c r="A107" s="9">
        <f t="shared" si="8"/>
        <v>106</v>
      </c>
      <c r="B107" s="9">
        <f t="array" ref="B107">IF(C107="",0,IF(OR(C107=Country_Comparison!$S$10:$S$29),1,0))</f>
        <v>0</v>
      </c>
      <c r="C107" s="9" t="str">
        <f t="shared" si="17"/>
        <v/>
      </c>
      <c r="D107" s="6">
        <f t="shared" si="18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9"/>
        <v>0</v>
      </c>
    </row>
    <row r="108" spans="1:7" x14ac:dyDescent="0.25">
      <c r="A108" s="9">
        <f t="shared" si="8"/>
        <v>107</v>
      </c>
      <c r="B108" s="9">
        <f t="array" ref="B108">IF(C108="",0,IF(OR(C108=Country_Comparison!$S$10:$S$29),1,0))</f>
        <v>0</v>
      </c>
      <c r="C108" s="9" t="str">
        <f t="shared" si="17"/>
        <v/>
      </c>
      <c r="D108" s="6">
        <f t="shared" si="18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9"/>
        <v>0</v>
      </c>
    </row>
    <row r="109" spans="1:7" x14ac:dyDescent="0.25">
      <c r="A109" s="9">
        <f t="shared" si="8"/>
        <v>108</v>
      </c>
      <c r="B109" s="9">
        <f t="array" ref="B109">IF(C109="",0,IF(OR(C109=Country_Comparison!$S$10:$S$29),1,0))</f>
        <v>0</v>
      </c>
      <c r="C109" s="9" t="str">
        <f t="shared" si="17"/>
        <v/>
      </c>
      <c r="D109" s="6">
        <f t="shared" si="18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9"/>
        <v>0</v>
      </c>
    </row>
    <row r="110" spans="1:7" x14ac:dyDescent="0.25">
      <c r="A110" s="9">
        <f t="shared" si="8"/>
        <v>109</v>
      </c>
      <c r="B110" s="9">
        <f t="array" ref="B110">IF(C110="",0,IF(OR(C110=Country_Comparison!$S$10:$S$29),1,0))</f>
        <v>0</v>
      </c>
      <c r="C110" s="9" t="str">
        <f t="shared" si="17"/>
        <v/>
      </c>
      <c r="D110" s="6">
        <f t="shared" si="18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9"/>
        <v>0</v>
      </c>
    </row>
    <row r="111" spans="1:7" x14ac:dyDescent="0.25">
      <c r="A111" s="9">
        <f t="shared" si="8"/>
        <v>110</v>
      </c>
      <c r="B111" s="9">
        <f t="array" ref="B111">IF(C111="",0,IF(OR(C111=Country_Comparison!$S$10:$S$29),1,0))</f>
        <v>0</v>
      </c>
      <c r="C111" s="9" t="str">
        <f t="shared" si="17"/>
        <v/>
      </c>
      <c r="D111" s="6">
        <f t="shared" si="18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9"/>
        <v>0</v>
      </c>
    </row>
    <row r="112" spans="1:7" x14ac:dyDescent="0.25">
      <c r="A112" s="9">
        <f t="shared" si="8"/>
        <v>111</v>
      </c>
      <c r="B112" s="9">
        <f t="array" ref="B112">IF(C112="",0,IF(OR(C112=Country_Comparison!$S$10:$S$29),1,0))</f>
        <v>0</v>
      </c>
      <c r="C112" s="9" t="str">
        <f t="shared" si="17"/>
        <v/>
      </c>
      <c r="D112" s="6">
        <f t="shared" si="18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9"/>
        <v>0</v>
      </c>
    </row>
    <row r="113" spans="1:7" x14ac:dyDescent="0.25">
      <c r="A113" s="9">
        <f t="shared" si="8"/>
        <v>112</v>
      </c>
      <c r="B113" s="9">
        <f t="array" ref="B113">IF(C113="",0,IF(OR(C113=Country_Comparison!$S$10:$S$29),1,0))</f>
        <v>0</v>
      </c>
      <c r="C113" s="9" t="str">
        <f t="shared" si="17"/>
        <v/>
      </c>
      <c r="D113" s="6">
        <f t="shared" si="18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9"/>
        <v>0</v>
      </c>
    </row>
    <row r="114" spans="1:7" x14ac:dyDescent="0.25">
      <c r="A114" s="9">
        <f t="shared" si="8"/>
        <v>113</v>
      </c>
      <c r="B114" s="9">
        <f t="array" ref="B114">IF(C114="",0,IF(OR(C114=Country_Comparison!$S$10:$S$29),1,0))</f>
        <v>0</v>
      </c>
      <c r="C114" s="9" t="str">
        <f t="shared" si="17"/>
        <v/>
      </c>
      <c r="D114" s="6">
        <f t="shared" si="18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9"/>
        <v>0</v>
      </c>
    </row>
    <row r="115" spans="1:7" x14ac:dyDescent="0.25">
      <c r="A115" s="9">
        <f t="shared" si="8"/>
        <v>114</v>
      </c>
      <c r="B115" s="9">
        <f t="array" ref="B115">IF(C115="",0,IF(OR(C115=Country_Comparison!$S$10:$S$29),1,0))</f>
        <v>0</v>
      </c>
      <c r="C115" s="9" t="str">
        <f t="shared" si="17"/>
        <v/>
      </c>
      <c r="D115" s="6">
        <f t="shared" si="18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9"/>
        <v>0</v>
      </c>
    </row>
    <row r="116" spans="1:7" x14ac:dyDescent="0.25">
      <c r="A116" s="9">
        <f t="shared" si="8"/>
        <v>115</v>
      </c>
      <c r="B116" s="9">
        <f t="array" ref="B116">IF(C116="",0,IF(OR(C116=Country_Comparison!$S$10:$S$29),1,0))</f>
        <v>0</v>
      </c>
      <c r="C116" s="9" t="str">
        <f t="shared" si="17"/>
        <v/>
      </c>
      <c r="D116" s="6">
        <f t="shared" si="18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9"/>
        <v>0</v>
      </c>
    </row>
    <row r="117" spans="1:7" x14ac:dyDescent="0.25">
      <c r="A117" s="9">
        <f t="shared" si="8"/>
        <v>116</v>
      </c>
      <c r="B117" s="9">
        <f t="array" ref="B117">IF(C117="",0,IF(OR(C117=Country_Comparison!$S$10:$S$29),1,0))</f>
        <v>0</v>
      </c>
      <c r="C117" s="9" t="str">
        <f t="shared" si="17"/>
        <v/>
      </c>
      <c r="D117" s="6">
        <f t="shared" si="18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9"/>
        <v>0</v>
      </c>
    </row>
    <row r="118" spans="1:7" x14ac:dyDescent="0.25">
      <c r="A118" s="9">
        <f t="shared" si="8"/>
        <v>117</v>
      </c>
      <c r="B118" s="9">
        <f t="array" ref="B118">IF(C118="",0,IF(OR(C118=Country_Comparison!$S$10:$S$29),1,0))</f>
        <v>0</v>
      </c>
      <c r="C118" s="9" t="str">
        <f t="shared" si="17"/>
        <v/>
      </c>
      <c r="D118" s="6">
        <f t="shared" si="18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9"/>
        <v>0</v>
      </c>
    </row>
    <row r="119" spans="1:7" x14ac:dyDescent="0.25">
      <c r="A119" s="9">
        <f t="shared" si="8"/>
        <v>118</v>
      </c>
      <c r="B119" s="9">
        <f t="array" ref="B119">IF(C119="",0,IF(OR(C119=Country_Comparison!$S$10:$S$29),1,0))</f>
        <v>0</v>
      </c>
      <c r="C119" s="9" t="str">
        <f t="shared" si="17"/>
        <v/>
      </c>
      <c r="D119" s="6">
        <f t="shared" si="18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9"/>
        <v>0</v>
      </c>
    </row>
    <row r="120" spans="1:7" x14ac:dyDescent="0.25">
      <c r="A120" s="9">
        <f t="shared" si="8"/>
        <v>119</v>
      </c>
      <c r="B120" s="9">
        <f t="array" ref="B120">IF(C120="",0,IF(OR(C120=Country_Comparison!$S$10:$S$29),1,0))</f>
        <v>0</v>
      </c>
      <c r="C120" s="9" t="str">
        <f t="shared" si="17"/>
        <v/>
      </c>
      <c r="D120" s="6">
        <f t="shared" si="18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9"/>
        <v>0</v>
      </c>
    </row>
    <row r="121" spans="1:7" x14ac:dyDescent="0.25">
      <c r="A121" s="9">
        <f t="shared" si="8"/>
        <v>120</v>
      </c>
      <c r="B121" s="9">
        <f t="array" ref="B121">IF(C121="",0,IF(OR(C121=Country_Comparison!$S$10:$S$29),1,0))</f>
        <v>0</v>
      </c>
      <c r="C121" s="9" t="str">
        <f t="shared" si="17"/>
        <v/>
      </c>
      <c r="D121" s="6">
        <f t="shared" si="18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9"/>
        <v>0</v>
      </c>
    </row>
    <row r="122" spans="1:7" x14ac:dyDescent="0.25">
      <c r="A122" s="9">
        <f t="shared" si="8"/>
        <v>121</v>
      </c>
      <c r="B122" s="9">
        <f t="array" ref="B122">IF(C122="",0,IF(OR(C122=Country_Comparison!$S$10:$S$29),1,0))</f>
        <v>0</v>
      </c>
      <c r="C122" s="9" t="str">
        <f t="shared" si="17"/>
        <v/>
      </c>
      <c r="D122" s="6">
        <f t="shared" si="18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9"/>
        <v>0</v>
      </c>
    </row>
    <row r="123" spans="1:7" x14ac:dyDescent="0.25">
      <c r="A123" s="9">
        <f t="shared" si="8"/>
        <v>122</v>
      </c>
      <c r="B123" s="9">
        <f t="array" ref="B123">IF(C123="",0,IF(OR(C123=Country_Comparison!$S$10:$S$29),1,0))</f>
        <v>0</v>
      </c>
      <c r="C123" s="9" t="str">
        <f t="shared" si="17"/>
        <v/>
      </c>
      <c r="D123" s="6">
        <f t="shared" si="18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9"/>
        <v>0</v>
      </c>
    </row>
    <row r="124" spans="1:7" x14ac:dyDescent="0.25">
      <c r="A124" s="9">
        <f t="shared" si="8"/>
        <v>123</v>
      </c>
      <c r="B124" s="9">
        <f t="array" ref="B124">IF(C124="",0,IF(OR(C124=Country_Comparison!$S$10:$S$29),1,0))</f>
        <v>0</v>
      </c>
      <c r="C124" s="9" t="str">
        <f t="shared" si="17"/>
        <v/>
      </c>
      <c r="D124" s="6">
        <f t="shared" si="18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9"/>
        <v>0</v>
      </c>
    </row>
    <row r="125" spans="1:7" x14ac:dyDescent="0.25">
      <c r="A125" s="9">
        <f t="shared" si="8"/>
        <v>124</v>
      </c>
      <c r="B125" s="9">
        <f t="array" ref="B125">IF(C125="",0,IF(OR(C125=Country_Comparison!$S$10:$S$29),1,0))</f>
        <v>0</v>
      </c>
      <c r="C125" s="9" t="str">
        <f t="shared" si="17"/>
        <v/>
      </c>
      <c r="D125" s="6">
        <f t="shared" si="18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9"/>
        <v>0</v>
      </c>
    </row>
    <row r="126" spans="1:7" x14ac:dyDescent="0.25">
      <c r="A126" s="9">
        <f t="shared" si="8"/>
        <v>125</v>
      </c>
      <c r="B126" s="9">
        <f t="array" ref="B126">IF(C126="",0,IF(OR(C126=Country_Comparison!$S$10:$S$29),1,0))</f>
        <v>0</v>
      </c>
      <c r="C126" s="9" t="str">
        <f t="shared" si="17"/>
        <v/>
      </c>
      <c r="D126" s="6">
        <f t="shared" si="18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9"/>
        <v>0</v>
      </c>
    </row>
    <row r="127" spans="1:7" x14ac:dyDescent="0.25">
      <c r="A127" s="9">
        <f t="shared" si="8"/>
        <v>126</v>
      </c>
      <c r="B127" s="9">
        <f t="array" ref="B127">IF(C127="",0,IF(OR(C127=Country_Comparison!$S$10:$S$29),1,0))</f>
        <v>0</v>
      </c>
      <c r="C127" s="9" t="str">
        <f t="shared" si="17"/>
        <v/>
      </c>
      <c r="D127" s="6">
        <f t="shared" si="18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9"/>
        <v>0</v>
      </c>
    </row>
    <row r="128" spans="1:7" x14ac:dyDescent="0.25">
      <c r="A128" s="9">
        <f t="shared" si="8"/>
        <v>127</v>
      </c>
      <c r="B128" s="9">
        <f t="array" ref="B128">IF(C128="",0,IF(OR(C128=Country_Comparison!$S$10:$S$29),1,0))</f>
        <v>0</v>
      </c>
      <c r="C128" s="9" t="str">
        <f t="shared" si="17"/>
        <v/>
      </c>
      <c r="D128" s="6">
        <f t="shared" si="18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9"/>
        <v>0</v>
      </c>
    </row>
    <row r="129" spans="1:7" x14ac:dyDescent="0.25">
      <c r="A129" s="9">
        <f t="shared" si="8"/>
        <v>128</v>
      </c>
      <c r="B129" s="9">
        <f t="array" ref="B129">IF(C129="",0,IF(OR(C129=Country_Comparison!$S$10:$S$29),1,0))</f>
        <v>0</v>
      </c>
      <c r="C129" s="9" t="str">
        <f t="shared" si="17"/>
        <v/>
      </c>
      <c r="D129" s="6">
        <f t="shared" si="18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9"/>
        <v>0</v>
      </c>
    </row>
    <row r="130" spans="1:7" x14ac:dyDescent="0.25">
      <c r="A130" s="9">
        <f t="shared" si="8"/>
        <v>129</v>
      </c>
      <c r="B130" s="9">
        <f t="array" ref="B130">IF(C130="",0,IF(OR(C130=Country_Comparison!$S$10:$S$29),1,0))</f>
        <v>0</v>
      </c>
      <c r="C130" s="9" t="str">
        <f t="shared" si="17"/>
        <v/>
      </c>
      <c r="D130" s="6">
        <f t="shared" si="18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9"/>
        <v>0</v>
      </c>
    </row>
    <row r="131" spans="1:7" x14ac:dyDescent="0.25">
      <c r="A131" s="9">
        <f t="shared" si="8"/>
        <v>130</v>
      </c>
      <c r="B131" s="9">
        <f t="array" ref="B131">IF(C131="",0,IF(OR(C131=Country_Comparison!$S$10:$S$29),1,0))</f>
        <v>0</v>
      </c>
      <c r="C131" s="9" t="str">
        <f t="shared" si="17"/>
        <v/>
      </c>
      <c r="D131" s="6">
        <f t="shared" si="18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9"/>
        <v>0</v>
      </c>
    </row>
    <row r="132" spans="1:7" x14ac:dyDescent="0.25">
      <c r="A132" s="9">
        <f t="shared" si="8"/>
        <v>131</v>
      </c>
      <c r="B132" s="9">
        <f t="array" ref="B132">IF(C132="",0,IF(OR(C132=Country_Comparison!$S$10:$S$29),1,0))</f>
        <v>0</v>
      </c>
      <c r="C132" s="9" t="str">
        <f t="shared" si="17"/>
        <v/>
      </c>
      <c r="D132" s="6">
        <f t="shared" si="18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9"/>
        <v>0</v>
      </c>
    </row>
    <row r="133" spans="1:7" x14ac:dyDescent="0.25">
      <c r="A133" s="9">
        <f t="shared" si="8"/>
        <v>132</v>
      </c>
      <c r="B133" s="9">
        <f t="array" ref="B133">IF(C133="",0,IF(OR(C133=Country_Comparison!$S$10:$S$29),1,0))</f>
        <v>0</v>
      </c>
      <c r="C133" s="9" t="str">
        <f t="shared" si="17"/>
        <v/>
      </c>
      <c r="D133" s="6">
        <f t="shared" si="18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9"/>
        <v>0</v>
      </c>
    </row>
    <row r="134" spans="1:7" x14ac:dyDescent="0.25">
      <c r="A134" s="9">
        <f t="shared" si="8"/>
        <v>133</v>
      </c>
      <c r="B134" s="9">
        <f t="array" ref="B134">IF(C134="",0,IF(OR(C134=Country_Comparison!$S$10:$S$29),1,0))</f>
        <v>0</v>
      </c>
      <c r="C134" s="9" t="str">
        <f t="shared" ref="C134:C197" si="20">IF(H134="","",H134)</f>
        <v/>
      </c>
      <c r="D134" s="6">
        <f t="shared" ref="D134:D197" si="21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2">IF(COUNTIF(I134:XFD134,"&gt;"&amp;0)=0,,(E134/F134)^(1/MIN(COUNTIF(I134:XFD134,"&gt;"&amp;0)-1,$F$1)))</f>
        <v>0</v>
      </c>
    </row>
    <row r="135" spans="1:7" x14ac:dyDescent="0.25">
      <c r="A135" s="9">
        <f t="shared" si="8"/>
        <v>134</v>
      </c>
      <c r="B135" s="9">
        <f t="array" ref="B135">IF(C135="",0,IF(OR(C135=Country_Comparison!$S$10:$S$29),1,0))</f>
        <v>0</v>
      </c>
      <c r="C135" s="9" t="str">
        <f t="shared" si="20"/>
        <v/>
      </c>
      <c r="D135" s="6">
        <f t="shared" si="21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2"/>
        <v>0</v>
      </c>
    </row>
    <row r="136" spans="1:7" x14ac:dyDescent="0.25">
      <c r="A136" s="9">
        <f t="shared" si="8"/>
        <v>135</v>
      </c>
      <c r="B136" s="9">
        <f t="array" ref="B136">IF(C136="",0,IF(OR(C136=Country_Comparison!$S$10:$S$29),1,0))</f>
        <v>0</v>
      </c>
      <c r="C136" s="9" t="str">
        <f t="shared" si="20"/>
        <v/>
      </c>
      <c r="D136" s="6">
        <f t="shared" si="21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2"/>
        <v>0</v>
      </c>
    </row>
    <row r="137" spans="1:7" x14ac:dyDescent="0.25">
      <c r="A137" s="9">
        <f t="shared" si="8"/>
        <v>136</v>
      </c>
      <c r="B137" s="9">
        <f t="array" ref="B137">IF(C137="",0,IF(OR(C137=Country_Comparison!$S$10:$S$29),1,0))</f>
        <v>0</v>
      </c>
      <c r="C137" s="9" t="str">
        <f t="shared" si="20"/>
        <v/>
      </c>
      <c r="D137" s="6">
        <f t="shared" si="21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2"/>
        <v>0</v>
      </c>
    </row>
    <row r="138" spans="1:7" x14ac:dyDescent="0.25">
      <c r="A138" s="9">
        <f t="shared" si="8"/>
        <v>137</v>
      </c>
      <c r="B138" s="9">
        <f t="array" ref="B138">IF(C138="",0,IF(OR(C138=Country_Comparison!$S$10:$S$29),1,0))</f>
        <v>0</v>
      </c>
      <c r="C138" s="9" t="str">
        <f t="shared" si="20"/>
        <v/>
      </c>
      <c r="D138" s="6">
        <f t="shared" si="21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2"/>
        <v>0</v>
      </c>
    </row>
    <row r="139" spans="1:7" x14ac:dyDescent="0.25">
      <c r="A139" s="9">
        <f t="shared" si="8"/>
        <v>138</v>
      </c>
      <c r="B139" s="9">
        <f t="array" ref="B139">IF(C139="",0,IF(OR(C139=Country_Comparison!$S$10:$S$29),1,0))</f>
        <v>0</v>
      </c>
      <c r="C139" s="9" t="str">
        <f t="shared" si="20"/>
        <v/>
      </c>
      <c r="D139" s="6">
        <f t="shared" si="21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2"/>
        <v>0</v>
      </c>
    </row>
    <row r="140" spans="1:7" x14ac:dyDescent="0.25">
      <c r="A140" s="9">
        <f t="shared" si="8"/>
        <v>139</v>
      </c>
      <c r="B140" s="9">
        <f t="array" ref="B140">IF(C140="",0,IF(OR(C140=Country_Comparison!$S$10:$S$29),1,0))</f>
        <v>0</v>
      </c>
      <c r="C140" s="9" t="str">
        <f t="shared" si="20"/>
        <v/>
      </c>
      <c r="D140" s="6">
        <f t="shared" si="21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2"/>
        <v>0</v>
      </c>
    </row>
    <row r="141" spans="1:7" x14ac:dyDescent="0.25">
      <c r="A141" s="9">
        <f t="shared" si="8"/>
        <v>140</v>
      </c>
      <c r="B141" s="9">
        <f t="array" ref="B141">IF(C141="",0,IF(OR(C141=Country_Comparison!$S$10:$S$29),1,0))</f>
        <v>0</v>
      </c>
      <c r="C141" s="9" t="str">
        <f t="shared" si="20"/>
        <v/>
      </c>
      <c r="D141" s="6">
        <f t="shared" si="21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2"/>
        <v>0</v>
      </c>
    </row>
    <row r="142" spans="1:7" x14ac:dyDescent="0.25">
      <c r="A142" s="9">
        <f t="shared" si="8"/>
        <v>141</v>
      </c>
      <c r="B142" s="9">
        <f t="array" ref="B142">IF(C142="",0,IF(OR(C142=Country_Comparison!$S$10:$S$29),1,0))</f>
        <v>0</v>
      </c>
      <c r="C142" s="9" t="str">
        <f t="shared" si="20"/>
        <v/>
      </c>
      <c r="D142" s="6">
        <f t="shared" si="21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2"/>
        <v>0</v>
      </c>
    </row>
    <row r="143" spans="1:7" x14ac:dyDescent="0.25">
      <c r="A143" s="9">
        <f t="shared" si="8"/>
        <v>142</v>
      </c>
      <c r="B143" s="9">
        <f t="array" ref="B143">IF(C143="",0,IF(OR(C143=Country_Comparison!$S$10:$S$29),1,0))</f>
        <v>0</v>
      </c>
      <c r="C143" s="9" t="str">
        <f t="shared" si="20"/>
        <v/>
      </c>
      <c r="D143" s="6">
        <f t="shared" si="21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2"/>
        <v>0</v>
      </c>
    </row>
    <row r="144" spans="1:7" x14ac:dyDescent="0.25">
      <c r="A144" s="9">
        <f t="shared" si="8"/>
        <v>143</v>
      </c>
      <c r="B144" s="9">
        <f t="array" ref="B144">IF(C144="",0,IF(OR(C144=Country_Comparison!$S$10:$S$29),1,0))</f>
        <v>0</v>
      </c>
      <c r="C144" s="9" t="str">
        <f t="shared" si="20"/>
        <v/>
      </c>
      <c r="D144" s="6">
        <f t="shared" si="21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2"/>
        <v>0</v>
      </c>
    </row>
    <row r="145" spans="1:7" x14ac:dyDescent="0.25">
      <c r="A145" s="9">
        <f t="shared" si="8"/>
        <v>144</v>
      </c>
      <c r="B145" s="9">
        <f t="array" ref="B145">IF(C145="",0,IF(OR(C145=Country_Comparison!$S$10:$S$29),1,0))</f>
        <v>0</v>
      </c>
      <c r="C145" s="9" t="str">
        <f t="shared" si="20"/>
        <v/>
      </c>
      <c r="D145" s="6">
        <f t="shared" si="21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2"/>
        <v>0</v>
      </c>
    </row>
    <row r="146" spans="1:7" x14ac:dyDescent="0.25">
      <c r="A146" s="9">
        <f t="shared" si="8"/>
        <v>145</v>
      </c>
      <c r="B146" s="9">
        <f t="array" ref="B146">IF(C146="",0,IF(OR(C146=Country_Comparison!$S$10:$S$29),1,0))</f>
        <v>0</v>
      </c>
      <c r="C146" s="9" t="str">
        <f t="shared" si="20"/>
        <v/>
      </c>
      <c r="D146" s="6">
        <f t="shared" si="21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2"/>
        <v>0</v>
      </c>
    </row>
    <row r="147" spans="1:7" x14ac:dyDescent="0.25">
      <c r="A147" s="9">
        <f t="shared" si="8"/>
        <v>146</v>
      </c>
      <c r="B147" s="9">
        <f t="array" ref="B147">IF(C147="",0,IF(OR(C147=Country_Comparison!$S$10:$S$29),1,0))</f>
        <v>0</v>
      </c>
      <c r="C147" s="9" t="str">
        <f t="shared" si="20"/>
        <v/>
      </c>
      <c r="D147" s="6">
        <f t="shared" si="21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2"/>
        <v>0</v>
      </c>
    </row>
    <row r="148" spans="1:7" x14ac:dyDescent="0.25">
      <c r="A148" s="9">
        <f t="shared" si="8"/>
        <v>147</v>
      </c>
      <c r="B148" s="9">
        <f t="array" ref="B148">IF(C148="",0,IF(OR(C148=Country_Comparison!$S$10:$S$29),1,0))</f>
        <v>0</v>
      </c>
      <c r="C148" s="9" t="str">
        <f t="shared" si="20"/>
        <v/>
      </c>
      <c r="D148" s="6">
        <f t="shared" si="21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2"/>
        <v>0</v>
      </c>
    </row>
    <row r="149" spans="1:7" x14ac:dyDescent="0.25">
      <c r="A149" s="9">
        <f t="shared" si="8"/>
        <v>148</v>
      </c>
      <c r="B149" s="9">
        <f t="array" ref="B149">IF(C149="",0,IF(OR(C149=Country_Comparison!$S$10:$S$29),1,0))</f>
        <v>0</v>
      </c>
      <c r="C149" s="9" t="str">
        <f t="shared" si="20"/>
        <v/>
      </c>
      <c r="D149" s="6">
        <f t="shared" si="21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2"/>
        <v>0</v>
      </c>
    </row>
    <row r="150" spans="1:7" x14ac:dyDescent="0.25">
      <c r="A150" s="9">
        <f t="shared" si="8"/>
        <v>149</v>
      </c>
      <c r="B150" s="9">
        <f t="array" ref="B150">IF(C150="",0,IF(OR(C150=Country_Comparison!$S$10:$S$29),1,0))</f>
        <v>0</v>
      </c>
      <c r="C150" s="9" t="str">
        <f t="shared" si="20"/>
        <v/>
      </c>
      <c r="D150" s="6">
        <f t="shared" si="21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2"/>
        <v>0</v>
      </c>
    </row>
    <row r="151" spans="1:7" x14ac:dyDescent="0.25">
      <c r="A151" s="9">
        <f t="shared" si="8"/>
        <v>150</v>
      </c>
      <c r="B151" s="9">
        <f t="array" ref="B151">IF(C151="",0,IF(OR(C151=Country_Comparison!$S$10:$S$29),1,0))</f>
        <v>0</v>
      </c>
      <c r="C151" s="9" t="str">
        <f t="shared" si="20"/>
        <v/>
      </c>
      <c r="D151" s="6">
        <f t="shared" si="21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2"/>
        <v>0</v>
      </c>
    </row>
    <row r="152" spans="1:7" x14ac:dyDescent="0.25">
      <c r="A152" s="9">
        <f t="shared" si="8"/>
        <v>151</v>
      </c>
      <c r="B152" s="9">
        <f t="array" ref="B152">IF(C152="",0,IF(OR(C152=Country_Comparison!$S$10:$S$29),1,0))</f>
        <v>0</v>
      </c>
      <c r="C152" s="9" t="str">
        <f t="shared" si="20"/>
        <v/>
      </c>
      <c r="D152" s="6">
        <f t="shared" si="21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2"/>
        <v>0</v>
      </c>
    </row>
    <row r="153" spans="1:7" x14ac:dyDescent="0.25">
      <c r="A153" s="9">
        <f t="shared" si="8"/>
        <v>152</v>
      </c>
      <c r="B153" s="9">
        <f t="array" ref="B153">IF(C153="",0,IF(OR(C153=Country_Comparison!$S$10:$S$29),1,0))</f>
        <v>0</v>
      </c>
      <c r="C153" s="9" t="str">
        <f t="shared" si="20"/>
        <v/>
      </c>
      <c r="D153" s="6">
        <f t="shared" si="21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2"/>
        <v>0</v>
      </c>
    </row>
    <row r="154" spans="1:7" x14ac:dyDescent="0.25">
      <c r="A154" s="9">
        <f t="shared" si="8"/>
        <v>153</v>
      </c>
      <c r="B154" s="9">
        <f t="array" ref="B154">IF(C154="",0,IF(OR(C154=Country_Comparison!$S$10:$S$29),1,0))</f>
        <v>0</v>
      </c>
      <c r="C154" s="9" t="str">
        <f t="shared" si="20"/>
        <v/>
      </c>
      <c r="D154" s="6">
        <f t="shared" si="21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2"/>
        <v>0</v>
      </c>
    </row>
    <row r="155" spans="1:7" x14ac:dyDescent="0.25">
      <c r="A155" s="9">
        <f t="shared" si="8"/>
        <v>154</v>
      </c>
      <c r="B155" s="9">
        <f t="array" ref="B155">IF(C155="",0,IF(OR(C155=Country_Comparison!$S$10:$S$29),1,0))</f>
        <v>0</v>
      </c>
      <c r="C155" s="9" t="str">
        <f t="shared" si="20"/>
        <v/>
      </c>
      <c r="D155" s="6">
        <f t="shared" si="21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2"/>
        <v>0</v>
      </c>
    </row>
    <row r="156" spans="1:7" x14ac:dyDescent="0.25">
      <c r="A156" s="9">
        <f t="shared" si="8"/>
        <v>155</v>
      </c>
      <c r="B156" s="9">
        <f t="array" ref="B156">IF(C156="",0,IF(OR(C156=Country_Comparison!$S$10:$S$29),1,0))</f>
        <v>0</v>
      </c>
      <c r="C156" s="9" t="str">
        <f t="shared" si="20"/>
        <v/>
      </c>
      <c r="D156" s="6">
        <f t="shared" si="21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2"/>
        <v>0</v>
      </c>
    </row>
    <row r="157" spans="1:7" x14ac:dyDescent="0.25">
      <c r="A157" s="9">
        <f t="shared" si="8"/>
        <v>156</v>
      </c>
      <c r="B157" s="9">
        <f t="array" ref="B157">IF(C157="",0,IF(OR(C157=Country_Comparison!$S$10:$S$29),1,0))</f>
        <v>0</v>
      </c>
      <c r="C157" s="9" t="str">
        <f t="shared" si="20"/>
        <v/>
      </c>
      <c r="D157" s="6">
        <f t="shared" si="21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2"/>
        <v>0</v>
      </c>
    </row>
    <row r="158" spans="1:7" x14ac:dyDescent="0.25">
      <c r="A158" s="9">
        <f t="shared" si="8"/>
        <v>157</v>
      </c>
      <c r="B158" s="9">
        <f t="array" ref="B158">IF(C158="",0,IF(OR(C158=Country_Comparison!$S$10:$S$29),1,0))</f>
        <v>0</v>
      </c>
      <c r="C158" s="9" t="str">
        <f t="shared" si="20"/>
        <v/>
      </c>
      <c r="D158" s="6">
        <f t="shared" si="21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2"/>
        <v>0</v>
      </c>
    </row>
    <row r="159" spans="1:7" x14ac:dyDescent="0.25">
      <c r="A159" s="9">
        <f t="shared" si="8"/>
        <v>158</v>
      </c>
      <c r="B159" s="9">
        <f t="array" ref="B159">IF(C159="",0,IF(OR(C159=Country_Comparison!$S$10:$S$29),1,0))</f>
        <v>0</v>
      </c>
      <c r="C159" s="9" t="str">
        <f t="shared" si="20"/>
        <v/>
      </c>
      <c r="D159" s="6">
        <f t="shared" si="21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2"/>
        <v>0</v>
      </c>
    </row>
    <row r="160" spans="1:7" x14ac:dyDescent="0.25">
      <c r="A160" s="9">
        <f t="shared" si="8"/>
        <v>159</v>
      </c>
      <c r="B160" s="9">
        <f t="array" ref="B160">IF(C160="",0,IF(OR(C160=Country_Comparison!$S$10:$S$29),1,0))</f>
        <v>0</v>
      </c>
      <c r="C160" s="9" t="str">
        <f t="shared" si="20"/>
        <v/>
      </c>
      <c r="D160" s="6">
        <f t="shared" si="21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2"/>
        <v>0</v>
      </c>
    </row>
    <row r="161" spans="1:7" x14ac:dyDescent="0.25">
      <c r="A161" s="9">
        <f t="shared" si="8"/>
        <v>160</v>
      </c>
      <c r="B161" s="9">
        <f t="array" ref="B161">IF(C161="",0,IF(OR(C161=Country_Comparison!$S$10:$S$29),1,0))</f>
        <v>0</v>
      </c>
      <c r="C161" s="9" t="str">
        <f t="shared" si="20"/>
        <v/>
      </c>
      <c r="D161" s="6">
        <f t="shared" si="21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2"/>
        <v>0</v>
      </c>
    </row>
    <row r="162" spans="1:7" x14ac:dyDescent="0.25">
      <c r="A162" s="9">
        <f t="shared" si="8"/>
        <v>161</v>
      </c>
      <c r="B162" s="9">
        <f t="array" ref="B162">IF(C162="",0,IF(OR(C162=Country_Comparison!$S$10:$S$29),1,0))</f>
        <v>0</v>
      </c>
      <c r="C162" s="9" t="str">
        <f t="shared" si="20"/>
        <v/>
      </c>
      <c r="D162" s="6">
        <f t="shared" si="21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2"/>
        <v>0</v>
      </c>
    </row>
    <row r="163" spans="1:7" x14ac:dyDescent="0.25">
      <c r="A163" s="9">
        <f t="shared" si="8"/>
        <v>162</v>
      </c>
      <c r="B163" s="9">
        <f t="array" ref="B163">IF(C163="",0,IF(OR(C163=Country_Comparison!$S$10:$S$29),1,0))</f>
        <v>0</v>
      </c>
      <c r="C163" s="9" t="str">
        <f t="shared" si="20"/>
        <v/>
      </c>
      <c r="D163" s="6">
        <f t="shared" si="21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2"/>
        <v>0</v>
      </c>
    </row>
    <row r="164" spans="1:7" x14ac:dyDescent="0.25">
      <c r="A164" s="9">
        <f t="shared" si="8"/>
        <v>163</v>
      </c>
      <c r="B164" s="9">
        <f t="array" ref="B164">IF(C164="",0,IF(OR(C164=Country_Comparison!$S$10:$S$29),1,0))</f>
        <v>0</v>
      </c>
      <c r="C164" s="9" t="str">
        <f t="shared" si="20"/>
        <v/>
      </c>
      <c r="D164" s="6">
        <f t="shared" si="21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2"/>
        <v>0</v>
      </c>
    </row>
    <row r="165" spans="1:7" x14ac:dyDescent="0.25">
      <c r="A165" s="9">
        <f t="shared" si="8"/>
        <v>164</v>
      </c>
      <c r="B165" s="9">
        <f t="array" ref="B165">IF(C165="",0,IF(OR(C165=Country_Comparison!$S$10:$S$29),1,0))</f>
        <v>0</v>
      </c>
      <c r="C165" s="9" t="str">
        <f t="shared" si="20"/>
        <v/>
      </c>
      <c r="D165" s="6">
        <f t="shared" si="21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2"/>
        <v>0</v>
      </c>
    </row>
    <row r="166" spans="1:7" x14ac:dyDescent="0.25">
      <c r="A166" s="9">
        <f t="shared" si="8"/>
        <v>165</v>
      </c>
      <c r="B166" s="9">
        <f t="array" ref="B166">IF(C166="",0,IF(OR(C166=Country_Comparison!$S$10:$S$29),1,0))</f>
        <v>0</v>
      </c>
      <c r="C166" s="9" t="str">
        <f t="shared" si="20"/>
        <v/>
      </c>
      <c r="D166" s="6">
        <f t="shared" si="21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2"/>
        <v>0</v>
      </c>
    </row>
    <row r="167" spans="1:7" x14ac:dyDescent="0.25">
      <c r="A167" s="9">
        <f t="shared" si="8"/>
        <v>166</v>
      </c>
      <c r="B167" s="9">
        <f t="array" ref="B167">IF(C167="",0,IF(OR(C167=Country_Comparison!$S$10:$S$29),1,0))</f>
        <v>0</v>
      </c>
      <c r="C167" s="9" t="str">
        <f t="shared" si="20"/>
        <v/>
      </c>
      <c r="D167" s="6">
        <f t="shared" si="21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2"/>
        <v>0</v>
      </c>
    </row>
    <row r="168" spans="1:7" x14ac:dyDescent="0.25">
      <c r="A168" s="9">
        <f t="shared" si="8"/>
        <v>167</v>
      </c>
      <c r="B168" s="9">
        <f t="array" ref="B168">IF(C168="",0,IF(OR(C168=Country_Comparison!$S$10:$S$29),1,0))</f>
        <v>0</v>
      </c>
      <c r="C168" s="9" t="str">
        <f t="shared" si="20"/>
        <v/>
      </c>
      <c r="D168" s="6">
        <f t="shared" si="21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2"/>
        <v>0</v>
      </c>
    </row>
    <row r="169" spans="1:7" x14ac:dyDescent="0.25">
      <c r="A169" s="9">
        <f t="shared" si="8"/>
        <v>168</v>
      </c>
      <c r="B169" s="9">
        <f t="array" ref="B169">IF(C169="",0,IF(OR(C169=Country_Comparison!$S$10:$S$29),1,0))</f>
        <v>0</v>
      </c>
      <c r="C169" s="9" t="str">
        <f t="shared" si="20"/>
        <v/>
      </c>
      <c r="D169" s="6">
        <f t="shared" si="21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2"/>
        <v>0</v>
      </c>
    </row>
    <row r="170" spans="1:7" x14ac:dyDescent="0.25">
      <c r="A170" s="9">
        <f t="shared" si="8"/>
        <v>169</v>
      </c>
      <c r="B170" s="9">
        <f t="array" ref="B170">IF(C170="",0,IF(OR(C170=Country_Comparison!$S$10:$S$29),1,0))</f>
        <v>0</v>
      </c>
      <c r="C170" s="9" t="str">
        <f t="shared" si="20"/>
        <v/>
      </c>
      <c r="D170" s="6">
        <f t="shared" si="21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2"/>
        <v>0</v>
      </c>
    </row>
    <row r="171" spans="1:7" x14ac:dyDescent="0.25">
      <c r="A171" s="9">
        <f t="shared" si="8"/>
        <v>170</v>
      </c>
      <c r="B171" s="9">
        <f t="array" ref="B171">IF(C171="",0,IF(OR(C171=Country_Comparison!$S$10:$S$29),1,0))</f>
        <v>0</v>
      </c>
      <c r="C171" s="9" t="str">
        <f t="shared" si="20"/>
        <v/>
      </c>
      <c r="D171" s="6">
        <f t="shared" si="21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2"/>
        <v>0</v>
      </c>
    </row>
    <row r="172" spans="1:7" x14ac:dyDescent="0.25">
      <c r="A172" s="9">
        <f t="shared" si="8"/>
        <v>171</v>
      </c>
      <c r="B172" s="9">
        <f t="array" ref="B172">IF(C172="",0,IF(OR(C172=Country_Comparison!$S$10:$S$29),1,0))</f>
        <v>0</v>
      </c>
      <c r="C172" s="9" t="str">
        <f t="shared" si="20"/>
        <v/>
      </c>
      <c r="D172" s="6">
        <f t="shared" si="21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2"/>
        <v>0</v>
      </c>
    </row>
    <row r="173" spans="1:7" x14ac:dyDescent="0.25">
      <c r="A173" s="9">
        <f t="shared" si="8"/>
        <v>172</v>
      </c>
      <c r="B173" s="9">
        <f t="array" ref="B173">IF(C173="",0,IF(OR(C173=Country_Comparison!$S$10:$S$29),1,0))</f>
        <v>0</v>
      </c>
      <c r="C173" s="9" t="str">
        <f t="shared" si="20"/>
        <v/>
      </c>
      <c r="D173" s="6">
        <f t="shared" si="21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2"/>
        <v>0</v>
      </c>
    </row>
    <row r="174" spans="1:7" x14ac:dyDescent="0.25">
      <c r="A174" s="9">
        <f t="shared" si="8"/>
        <v>173</v>
      </c>
      <c r="B174" s="9">
        <f t="array" ref="B174">IF(C174="",0,IF(OR(C174=Country_Comparison!$S$10:$S$29),1,0))</f>
        <v>0</v>
      </c>
      <c r="C174" s="9" t="str">
        <f t="shared" si="20"/>
        <v/>
      </c>
      <c r="D174" s="6">
        <f t="shared" si="21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2"/>
        <v>0</v>
      </c>
    </row>
    <row r="175" spans="1:7" x14ac:dyDescent="0.25">
      <c r="A175" s="9">
        <f t="shared" si="8"/>
        <v>174</v>
      </c>
      <c r="B175" s="9">
        <f t="array" ref="B175">IF(C175="",0,IF(OR(C175=Country_Comparison!$S$10:$S$29),1,0))</f>
        <v>0</v>
      </c>
      <c r="C175" s="9" t="str">
        <f t="shared" si="20"/>
        <v/>
      </c>
      <c r="D175" s="6">
        <f t="shared" si="21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2"/>
        <v>0</v>
      </c>
    </row>
    <row r="176" spans="1:7" x14ac:dyDescent="0.25">
      <c r="A176" s="9">
        <f t="shared" si="8"/>
        <v>175</v>
      </c>
      <c r="B176" s="9">
        <f t="array" ref="B176">IF(C176="",0,IF(OR(C176=Country_Comparison!$S$10:$S$29),1,0))</f>
        <v>0</v>
      </c>
      <c r="C176" s="9" t="str">
        <f t="shared" si="20"/>
        <v/>
      </c>
      <c r="D176" s="6">
        <f t="shared" si="21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2"/>
        <v>0</v>
      </c>
    </row>
    <row r="177" spans="1:7" x14ac:dyDescent="0.25">
      <c r="A177" s="9">
        <f t="shared" si="8"/>
        <v>176</v>
      </c>
      <c r="B177" s="9">
        <f t="array" ref="B177">IF(C177="",0,IF(OR(C177=Country_Comparison!$S$10:$S$29),1,0))</f>
        <v>0</v>
      </c>
      <c r="C177" s="9" t="str">
        <f t="shared" si="20"/>
        <v/>
      </c>
      <c r="D177" s="6">
        <f t="shared" si="21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2"/>
        <v>0</v>
      </c>
    </row>
    <row r="178" spans="1:7" x14ac:dyDescent="0.25">
      <c r="A178" s="9">
        <f t="shared" si="8"/>
        <v>177</v>
      </c>
      <c r="B178" s="9">
        <f t="array" ref="B178">IF(C178="",0,IF(OR(C178=Country_Comparison!$S$10:$S$29),1,0))</f>
        <v>0</v>
      </c>
      <c r="C178" s="9" t="str">
        <f t="shared" si="20"/>
        <v/>
      </c>
      <c r="D178" s="6">
        <f t="shared" si="21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2"/>
        <v>0</v>
      </c>
    </row>
    <row r="179" spans="1:7" x14ac:dyDescent="0.25">
      <c r="A179" s="9">
        <f t="shared" si="8"/>
        <v>178</v>
      </c>
      <c r="B179" s="9">
        <f t="array" ref="B179">IF(C179="",0,IF(OR(C179=Country_Comparison!$S$10:$S$29),1,0))</f>
        <v>0</v>
      </c>
      <c r="C179" s="9" t="str">
        <f t="shared" si="20"/>
        <v/>
      </c>
      <c r="D179" s="6">
        <f t="shared" si="21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2"/>
        <v>0</v>
      </c>
    </row>
    <row r="180" spans="1:7" x14ac:dyDescent="0.25">
      <c r="A180" s="9">
        <f t="shared" si="8"/>
        <v>179</v>
      </c>
      <c r="B180" s="9">
        <f t="array" ref="B180">IF(C180="",0,IF(OR(C180=Country_Comparison!$S$10:$S$29),1,0))</f>
        <v>0</v>
      </c>
      <c r="C180" s="9" t="str">
        <f t="shared" si="20"/>
        <v/>
      </c>
      <c r="D180" s="6">
        <f t="shared" si="21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2"/>
        <v>0</v>
      </c>
    </row>
    <row r="181" spans="1:7" x14ac:dyDescent="0.25">
      <c r="A181" s="9">
        <f t="shared" si="8"/>
        <v>180</v>
      </c>
      <c r="B181" s="9">
        <f t="array" ref="B181">IF(C181="",0,IF(OR(C181=Country_Comparison!$S$10:$S$29),1,0))</f>
        <v>0</v>
      </c>
      <c r="C181" s="9" t="str">
        <f t="shared" si="20"/>
        <v/>
      </c>
      <c r="D181" s="6">
        <f t="shared" si="21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2"/>
        <v>0</v>
      </c>
    </row>
    <row r="182" spans="1:7" x14ac:dyDescent="0.25">
      <c r="A182" s="9">
        <f t="shared" si="8"/>
        <v>181</v>
      </c>
      <c r="B182" s="9">
        <f t="array" ref="B182">IF(C182="",0,IF(OR(C182=Country_Comparison!$S$10:$S$29),1,0))</f>
        <v>0</v>
      </c>
      <c r="C182" s="9" t="str">
        <f t="shared" si="20"/>
        <v/>
      </c>
      <c r="D182" s="6">
        <f t="shared" si="21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2"/>
        <v>0</v>
      </c>
    </row>
    <row r="183" spans="1:7" x14ac:dyDescent="0.25">
      <c r="A183" s="9">
        <f t="shared" si="8"/>
        <v>182</v>
      </c>
      <c r="B183" s="9">
        <f t="array" ref="B183">IF(C183="",0,IF(OR(C183=Country_Comparison!$S$10:$S$29),1,0))</f>
        <v>0</v>
      </c>
      <c r="C183" s="9" t="str">
        <f t="shared" si="20"/>
        <v/>
      </c>
      <c r="D183" s="6">
        <f t="shared" si="21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2"/>
        <v>0</v>
      </c>
    </row>
    <row r="184" spans="1:7" x14ac:dyDescent="0.25">
      <c r="A184" s="9">
        <f t="shared" si="8"/>
        <v>183</v>
      </c>
      <c r="B184" s="9">
        <f t="array" ref="B184">IF(C184="",0,IF(OR(C184=Country_Comparison!$S$10:$S$29),1,0))</f>
        <v>0</v>
      </c>
      <c r="C184" s="9" t="str">
        <f t="shared" si="20"/>
        <v/>
      </c>
      <c r="D184" s="6">
        <f t="shared" si="21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2"/>
        <v>0</v>
      </c>
    </row>
    <row r="185" spans="1:7" x14ac:dyDescent="0.25">
      <c r="A185" s="9">
        <f t="shared" si="8"/>
        <v>184</v>
      </c>
      <c r="B185" s="9">
        <f t="array" ref="B185">IF(C185="",0,IF(OR(C185=Country_Comparison!$S$10:$S$29),1,0))</f>
        <v>0</v>
      </c>
      <c r="C185" s="9" t="str">
        <f t="shared" si="20"/>
        <v/>
      </c>
      <c r="D185" s="6">
        <f t="shared" si="21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2"/>
        <v>0</v>
      </c>
    </row>
    <row r="186" spans="1:7" x14ac:dyDescent="0.25">
      <c r="A186" s="9">
        <f t="shared" si="8"/>
        <v>185</v>
      </c>
      <c r="B186" s="9">
        <f t="array" ref="B186">IF(C186="",0,IF(OR(C186=Country_Comparison!$S$10:$S$29),1,0))</f>
        <v>0</v>
      </c>
      <c r="C186" s="9" t="str">
        <f t="shared" si="20"/>
        <v/>
      </c>
      <c r="D186" s="6">
        <f t="shared" si="21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2"/>
        <v>0</v>
      </c>
    </row>
    <row r="187" spans="1:7" x14ac:dyDescent="0.25">
      <c r="A187" s="9">
        <f t="shared" si="8"/>
        <v>186</v>
      </c>
      <c r="B187" s="9">
        <f t="array" ref="B187">IF(C187="",0,IF(OR(C187=Country_Comparison!$S$10:$S$29),1,0))</f>
        <v>0</v>
      </c>
      <c r="C187" s="9" t="str">
        <f t="shared" si="20"/>
        <v/>
      </c>
      <c r="D187" s="6">
        <f t="shared" si="21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2"/>
        <v>0</v>
      </c>
    </row>
    <row r="188" spans="1:7" x14ac:dyDescent="0.25">
      <c r="A188" s="9">
        <f t="shared" si="8"/>
        <v>187</v>
      </c>
      <c r="B188" s="9">
        <f t="array" ref="B188">IF(C188="",0,IF(OR(C188=Country_Comparison!$S$10:$S$29),1,0))</f>
        <v>0</v>
      </c>
      <c r="C188" s="9" t="str">
        <f t="shared" si="20"/>
        <v/>
      </c>
      <c r="D188" s="6">
        <f t="shared" si="21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2"/>
        <v>0</v>
      </c>
    </row>
    <row r="189" spans="1:7" x14ac:dyDescent="0.25">
      <c r="A189" s="9">
        <f t="shared" si="8"/>
        <v>188</v>
      </c>
      <c r="B189" s="9">
        <f t="array" ref="B189">IF(C189="",0,IF(OR(C189=Country_Comparison!$S$10:$S$29),1,0))</f>
        <v>0</v>
      </c>
      <c r="C189" s="9" t="str">
        <f t="shared" si="20"/>
        <v/>
      </c>
      <c r="D189" s="6">
        <f t="shared" si="21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2"/>
        <v>0</v>
      </c>
    </row>
    <row r="190" spans="1:7" x14ac:dyDescent="0.25">
      <c r="A190" s="9">
        <f t="shared" si="8"/>
        <v>189</v>
      </c>
      <c r="B190" s="9">
        <f t="array" ref="B190">IF(C190="",0,IF(OR(C190=Country_Comparison!$S$10:$S$29),1,0))</f>
        <v>0</v>
      </c>
      <c r="C190" s="9" t="str">
        <f t="shared" si="20"/>
        <v/>
      </c>
      <c r="D190" s="6">
        <f t="shared" si="21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2"/>
        <v>0</v>
      </c>
    </row>
    <row r="191" spans="1:7" x14ac:dyDescent="0.25">
      <c r="A191" s="9">
        <f t="shared" si="8"/>
        <v>190</v>
      </c>
      <c r="B191" s="9">
        <f t="array" ref="B191">IF(C191="",0,IF(OR(C191=Country_Comparison!$S$10:$S$29),1,0))</f>
        <v>0</v>
      </c>
      <c r="C191" s="9" t="str">
        <f t="shared" si="20"/>
        <v/>
      </c>
      <c r="D191" s="6">
        <f t="shared" si="21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2"/>
        <v>0</v>
      </c>
    </row>
    <row r="192" spans="1:7" x14ac:dyDescent="0.25">
      <c r="A192" s="9">
        <f t="shared" si="8"/>
        <v>191</v>
      </c>
      <c r="B192" s="9">
        <f t="array" ref="B192">IF(C192="",0,IF(OR(C192=Country_Comparison!$S$10:$S$29),1,0))</f>
        <v>0</v>
      </c>
      <c r="C192" s="9" t="str">
        <f t="shared" si="20"/>
        <v/>
      </c>
      <c r="D192" s="6">
        <f t="shared" si="21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2"/>
        <v>0</v>
      </c>
    </row>
    <row r="193" spans="1:7" x14ac:dyDescent="0.25">
      <c r="A193" s="9">
        <f t="shared" si="8"/>
        <v>192</v>
      </c>
      <c r="B193" s="9">
        <f t="array" ref="B193">IF(C193="",0,IF(OR(C193=Country_Comparison!$S$10:$S$29),1,0))</f>
        <v>0</v>
      </c>
      <c r="C193" s="9" t="str">
        <f t="shared" si="20"/>
        <v/>
      </c>
      <c r="D193" s="6">
        <f t="shared" si="21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2"/>
        <v>0</v>
      </c>
    </row>
    <row r="194" spans="1:7" x14ac:dyDescent="0.25">
      <c r="A194" s="9">
        <f t="shared" si="8"/>
        <v>193</v>
      </c>
      <c r="B194" s="9">
        <f t="array" ref="B194">IF(C194="",0,IF(OR(C194=Country_Comparison!$S$10:$S$29),1,0))</f>
        <v>0</v>
      </c>
      <c r="C194" s="9" t="str">
        <f t="shared" si="20"/>
        <v/>
      </c>
      <c r="D194" s="6">
        <f t="shared" si="21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2"/>
        <v>0</v>
      </c>
    </row>
    <row r="195" spans="1:7" x14ac:dyDescent="0.25">
      <c r="A195" s="9">
        <f t="shared" si="8"/>
        <v>194</v>
      </c>
      <c r="B195" s="9">
        <f t="array" ref="B195">IF(C195="",0,IF(OR(C195=Country_Comparison!$S$10:$S$29),1,0))</f>
        <v>0</v>
      </c>
      <c r="C195" s="9" t="str">
        <f t="shared" si="20"/>
        <v/>
      </c>
      <c r="D195" s="6">
        <f t="shared" si="21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2"/>
        <v>0</v>
      </c>
    </row>
    <row r="196" spans="1:7" x14ac:dyDescent="0.25">
      <c r="A196" s="9">
        <f t="shared" si="8"/>
        <v>195</v>
      </c>
      <c r="B196" s="9">
        <f t="array" ref="B196">IF(C196="",0,IF(OR(C196=Country_Comparison!$S$10:$S$29),1,0))</f>
        <v>0</v>
      </c>
      <c r="C196" s="9" t="str">
        <f t="shared" si="20"/>
        <v/>
      </c>
      <c r="D196" s="6">
        <f t="shared" si="21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2"/>
        <v>0</v>
      </c>
    </row>
    <row r="197" spans="1:7" x14ac:dyDescent="0.25">
      <c r="A197" s="9">
        <f t="shared" si="8"/>
        <v>196</v>
      </c>
      <c r="B197" s="9">
        <f t="array" ref="B197">IF(C197="",0,IF(OR(C197=Country_Comparison!$S$10:$S$29),1,0))</f>
        <v>0</v>
      </c>
      <c r="C197" s="9" t="str">
        <f t="shared" si="20"/>
        <v/>
      </c>
      <c r="D197" s="6">
        <f t="shared" si="21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2"/>
        <v>0</v>
      </c>
    </row>
    <row r="198" spans="1:7" x14ac:dyDescent="0.25">
      <c r="A198" s="9">
        <f t="shared" si="8"/>
        <v>197</v>
      </c>
      <c r="B198" s="9">
        <f t="array" ref="B198">IF(C198="",0,IF(OR(C198=Country_Comparison!$S$10:$S$29),1,0))</f>
        <v>0</v>
      </c>
      <c r="C198" s="9" t="str">
        <f t="shared" ref="C198:C200" si="23">IF(H198="","",H198)</f>
        <v/>
      </c>
      <c r="D198" s="6">
        <f t="shared" ref="D198:D200" si="24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5">IF(COUNTIF(I198:XFD198,"&gt;"&amp;0)=0,,(E198/F198)^(1/MIN(COUNTIF(I198:XFD198,"&gt;"&amp;0)-1,$F$1)))</f>
        <v>0</v>
      </c>
    </row>
    <row r="199" spans="1:7" x14ac:dyDescent="0.25">
      <c r="A199" s="9">
        <f t="shared" si="8"/>
        <v>198</v>
      </c>
      <c r="B199" s="9">
        <f t="array" ref="B199">IF(C199="",0,IF(OR(C199=Country_Comparison!$S$10:$S$29),1,0))</f>
        <v>0</v>
      </c>
      <c r="C199" s="9" t="str">
        <f t="shared" si="23"/>
        <v/>
      </c>
      <c r="D199" s="6">
        <f t="shared" si="2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5"/>
        <v>0</v>
      </c>
    </row>
    <row r="200" spans="1:7" x14ac:dyDescent="0.25">
      <c r="A200" s="9">
        <f t="shared" si="8"/>
        <v>199</v>
      </c>
      <c r="B200" s="9">
        <f t="array" ref="B200">IF(C200="",0,IF(OR(C200=Country_Comparison!$S$10:$S$29),1,0))</f>
        <v>0</v>
      </c>
      <c r="C200" s="9" t="str">
        <f t="shared" si="23"/>
        <v/>
      </c>
      <c r="D200" s="6">
        <f t="shared" si="2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5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G2" sqref="G2:G12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480</v>
      </c>
      <c r="D1" s="54">
        <v>100</v>
      </c>
      <c r="E1" s="54" t="s">
        <v>490</v>
      </c>
      <c r="F1" s="54" t="s">
        <v>450</v>
      </c>
      <c r="G1" s="54" t="s">
        <v>517</v>
      </c>
      <c r="H1" s="54" t="s">
        <v>518</v>
      </c>
      <c r="I1" s="54" t="s">
        <v>512</v>
      </c>
      <c r="J1" s="54" t="s">
        <v>508</v>
      </c>
      <c r="K1" s="43" t="s">
        <v>522</v>
      </c>
      <c r="L1" s="54" t="s">
        <v>523</v>
      </c>
      <c r="M1" s="54" t="s">
        <v>468</v>
      </c>
      <c r="N1" s="54" t="s">
        <v>527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81156</v>
      </c>
      <c r="G2" s="43">
        <f>MAX(CumulativeRecovered!2:2)</f>
        <v>70535</v>
      </c>
      <c r="H2" s="43">
        <f>MAX(CumulativeDead!2:2)</f>
        <v>3249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3">
        <f>H2/F2</f>
        <v>4.0034008576075704E-2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41035</v>
      </c>
      <c r="G3" s="43">
        <f>MAX(CumulativeRecovered!3:3)</f>
        <v>4440</v>
      </c>
      <c r="H3" s="43">
        <f>MAX(CumulativeDead!3:3)</f>
        <v>3405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3">
        <f t="shared" ref="N3:N66" si="0">H3/F3</f>
        <v>8.297794565614719E-2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18407</v>
      </c>
      <c r="G4" s="43">
        <f>MAX(CumulativeRecovered!4:4)</f>
        <v>5710</v>
      </c>
      <c r="H4" s="43">
        <f>MAX(CumulativeDead!4:4)</f>
        <v>1284</v>
      </c>
      <c r="K4" s="43">
        <v>83992949</v>
      </c>
      <c r="L4" s="54">
        <v>0</v>
      </c>
      <c r="M4" s="43">
        <v>0</v>
      </c>
      <c r="N4" s="73">
        <f t="shared" si="0"/>
        <v>6.9756071059922861E-2</v>
      </c>
    </row>
    <row r="5" spans="1:14" x14ac:dyDescent="0.3">
      <c r="A5" s="54">
        <v>4</v>
      </c>
      <c r="B5" s="57" t="s">
        <v>479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8565</v>
      </c>
      <c r="G5" s="43">
        <f>MAX(CumulativeRecovered!5:5)</f>
        <v>1540</v>
      </c>
      <c r="H5" s="43">
        <f>MAX(CumulativeDead!5:5)</f>
        <v>91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3">
        <f t="shared" si="0"/>
        <v>1.0624635143023935E-2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17963</v>
      </c>
      <c r="G6" s="43">
        <f>MAX(CumulativeRecovered!6:6)</f>
        <v>1107</v>
      </c>
      <c r="H6" s="43">
        <f>MAX(CumulativeDead!6:6)</f>
        <v>830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3">
        <f t="shared" si="0"/>
        <v>4.6206090296721035E-2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15320</v>
      </c>
      <c r="G7" s="43">
        <f>MAX(CumulativeRecovered!7:7)</f>
        <v>113</v>
      </c>
      <c r="H7" s="43">
        <f>MAX(CumulativeDead!7:7)</f>
        <v>44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3">
        <f t="shared" si="0"/>
        <v>2.8720626631853785E-3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10947</v>
      </c>
      <c r="G8" s="43">
        <f>MAX(CumulativeRecovered!8:8)</f>
        <v>12</v>
      </c>
      <c r="H8" s="43">
        <f>MAX(CumulativeDead!8:8)</f>
        <v>243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3">
        <f t="shared" si="0"/>
        <v>2.2197862428062484E-2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13677</v>
      </c>
      <c r="G9" s="43">
        <f>MAX(CumulativeRecovered!9:9)</f>
        <v>17</v>
      </c>
      <c r="H9" s="43">
        <f>MAX(CumulativeDead!9:9)</f>
        <v>200</v>
      </c>
      <c r="J9" s="58">
        <v>43904</v>
      </c>
      <c r="K9" s="43">
        <v>331002651</v>
      </c>
      <c r="L9" s="54">
        <v>29.3</v>
      </c>
      <c r="M9" s="43">
        <v>96983.776743000009</v>
      </c>
      <c r="N9" s="73">
        <f t="shared" si="0"/>
        <v>1.4623089858887182E-2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4075</v>
      </c>
      <c r="G10" s="43">
        <f>MAX(CumulativeRecovered!10:10)</f>
        <v>15</v>
      </c>
      <c r="H10" s="43">
        <f>MAX(CumulativeDead!10:10)</f>
        <v>41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3">
        <f t="shared" si="0"/>
        <v>1.0061349693251533E-2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1746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3">
        <f t="shared" si="0"/>
        <v>4.0091638029782356E-3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1439</v>
      </c>
      <c r="G12" s="43">
        <f>MAX(CumulativeRecovered!12:12)</f>
        <v>16</v>
      </c>
      <c r="H12" s="43">
        <f>MAX(CumulativeDead!12:12)</f>
        <v>11</v>
      </c>
      <c r="K12" s="43">
        <v>10099265</v>
      </c>
      <c r="L12" s="54">
        <v>5.8</v>
      </c>
      <c r="M12" s="43">
        <v>585.75736999999992</v>
      </c>
      <c r="N12" s="73">
        <f t="shared" si="0"/>
        <v>7.6441973592772756E-3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1225</v>
      </c>
      <c r="G13" s="43">
        <f>MAX(CumulativeRecovered!13:13)</f>
        <v>1</v>
      </c>
      <c r="H13" s="43">
        <f>MAX(CumulativeDead!13:13)</f>
        <v>6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3">
        <f t="shared" si="0"/>
        <v>4.8979591836734691E-3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2467</v>
      </c>
      <c r="G14" s="43">
        <f>MAX(CumulativeRecovered!14:14)</f>
        <v>2</v>
      </c>
      <c r="H14" s="43">
        <f>MAX(CumulativeDead!14:14)</f>
        <v>77</v>
      </c>
      <c r="K14" s="43">
        <v>17134872</v>
      </c>
      <c r="L14" s="54">
        <v>0</v>
      </c>
      <c r="M14" s="43">
        <v>0</v>
      </c>
      <c r="N14" s="73">
        <f t="shared" si="0"/>
        <v>3.1211998378597488E-2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3296</v>
      </c>
      <c r="G15" s="43">
        <f>MAX(CumulativeRecovered!15:15)</f>
        <v>67</v>
      </c>
      <c r="H15" s="43">
        <f>MAX(CumulativeDead!15:15)</f>
        <v>138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3">
        <f t="shared" si="0"/>
        <v>4.1868932038834954E-2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924</v>
      </c>
      <c r="G16" s="43">
        <f>MAX(CumulativeRecovered!16:16)</f>
        <v>150</v>
      </c>
      <c r="H16" s="43">
        <f>MAX(CumulativeDead!16:16)</f>
        <v>29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3">
        <f t="shared" si="0"/>
        <v>3.1385281385281384E-2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7</v>
      </c>
      <c r="K17" s="43" t="e">
        <v>#N/A</v>
      </c>
      <c r="L17" s="54">
        <v>0</v>
      </c>
      <c r="M17" s="43" t="e">
        <v>#N/A</v>
      </c>
      <c r="N17" s="73">
        <f t="shared" si="0"/>
        <v>9.8314606741573031E-3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1795</v>
      </c>
      <c r="G18" s="43">
        <f>MAX(CumulativeRecovered!18:18)</f>
        <v>31</v>
      </c>
      <c r="H18" s="43">
        <f>MAX(CumulativeDead!18:18)</f>
        <v>21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3">
        <f t="shared" si="0"/>
        <v>1.16991643454039E-2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2013</v>
      </c>
      <c r="G19" s="43">
        <f>MAX(CumulativeRecovered!19:19)</f>
        <v>9</v>
      </c>
      <c r="H19" s="43">
        <f>MAX(CumulativeDead!19:19)</f>
        <v>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3">
        <f t="shared" si="0"/>
        <v>2.9806259314456036E-3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460</v>
      </c>
      <c r="G20" s="43">
        <f>MAX(CumulativeRecovered!20:20)</f>
        <v>4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3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681</v>
      </c>
      <c r="G21" s="43">
        <f>MAX(CumulativeRecovered!21:21)</f>
        <v>26</v>
      </c>
      <c r="H21" s="43">
        <f>MAX(CumulativeDead!21:21)</f>
        <v>6</v>
      </c>
      <c r="K21" s="43">
        <v>25499884</v>
      </c>
      <c r="L21" s="54">
        <v>0</v>
      </c>
      <c r="M21" s="43">
        <v>0</v>
      </c>
      <c r="N21" s="73">
        <f t="shared" si="0"/>
        <v>8.8105726872246704E-3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345</v>
      </c>
      <c r="G22" s="43">
        <f>MAX(CumulativeRecovered!22:22)</f>
        <v>114</v>
      </c>
      <c r="H22" s="43">
        <f>MAX(CumulativeDead!22:22)</f>
        <v>0</v>
      </c>
      <c r="K22" s="43">
        <v>5850342</v>
      </c>
      <c r="L22" s="54">
        <v>0</v>
      </c>
      <c r="M22" s="43">
        <v>0</v>
      </c>
      <c r="N22" s="73">
        <f t="shared" si="0"/>
        <v>0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900</v>
      </c>
      <c r="G23" s="43">
        <f>MAX(CumulativeRecovered!23:23)</f>
        <v>75</v>
      </c>
      <c r="H23" s="43">
        <f>MAX(CumulativeDead!23:23)</f>
        <v>2</v>
      </c>
      <c r="K23" s="43">
        <v>32365999</v>
      </c>
      <c r="L23" s="54">
        <v>0</v>
      </c>
      <c r="M23" s="43">
        <v>0</v>
      </c>
      <c r="N23" s="73">
        <f t="shared" si="0"/>
        <v>2.2222222222222222E-3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800</v>
      </c>
      <c r="G24" s="43">
        <f>MAX(CumulativeRecovered!24:24)</f>
        <v>9</v>
      </c>
      <c r="H24" s="43">
        <f>MAX(CumulativeDead!24:24)</f>
        <v>9</v>
      </c>
      <c r="K24" s="43">
        <v>37742154</v>
      </c>
      <c r="L24" s="54">
        <v>0</v>
      </c>
      <c r="M24" s="43">
        <v>0</v>
      </c>
      <c r="N24" s="73">
        <f t="shared" si="0"/>
        <v>1.125E-2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418</v>
      </c>
      <c r="G25" s="43">
        <f>MAX(CumulativeRecovered!25:25)</f>
        <v>8</v>
      </c>
      <c r="H25" s="43">
        <f>MAX(CumulativeDead!25:25)</f>
        <v>6</v>
      </c>
      <c r="K25" s="43">
        <v>10423054</v>
      </c>
      <c r="L25" s="54">
        <v>6</v>
      </c>
      <c r="M25" s="43">
        <v>625.38324</v>
      </c>
      <c r="N25" s="73">
        <f t="shared" si="0"/>
        <v>1.4354066985645933E-2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278</v>
      </c>
      <c r="G26" s="43">
        <f>MAX(CumulativeRecovered!26:26)</f>
        <v>100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3">
        <f t="shared" si="0"/>
        <v>3.5971223021582736E-3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677</v>
      </c>
      <c r="G27" s="43">
        <f>MAX(CumulativeRecovered!27:27)</f>
        <v>11</v>
      </c>
      <c r="H27" s="43">
        <f>MAX(CumulativeDead!27:27)</f>
        <v>0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3">
        <f t="shared" si="0"/>
        <v>0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400</v>
      </c>
      <c r="G28" s="43">
        <f>MAX(CumulativeRecovered!28:28)</f>
        <v>10</v>
      </c>
      <c r="H28" s="43">
        <f>MAX(CumulativeDead!28:28)</f>
        <v>0</v>
      </c>
      <c r="K28" s="43">
        <v>5540720</v>
      </c>
      <c r="L28" s="54">
        <v>6.1</v>
      </c>
      <c r="M28" s="43">
        <v>337.98392000000001</v>
      </c>
      <c r="N28" s="73">
        <f t="shared" si="0"/>
        <v>0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621</v>
      </c>
      <c r="G29" s="43">
        <f>MAX(CumulativeRecovered!29:29)</f>
        <v>2</v>
      </c>
      <c r="H29" s="43">
        <f>MAX(CumulativeDead!29:29)</f>
        <v>6</v>
      </c>
      <c r="K29" s="43">
        <v>212559417</v>
      </c>
      <c r="L29" s="54">
        <v>0</v>
      </c>
      <c r="M29" s="43">
        <v>0</v>
      </c>
      <c r="N29" s="73">
        <f t="shared" si="0"/>
        <v>9.6618357487922701E-3</v>
      </c>
    </row>
    <row r="30" spans="1:14" x14ac:dyDescent="0.3">
      <c r="A30" s="54">
        <v>29</v>
      </c>
      <c r="B30" s="57" t="s">
        <v>482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694</v>
      </c>
      <c r="G30" s="43">
        <f>MAX(CumulativeRecovered!30:30)</f>
        <v>3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3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286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3">
        <f t="shared" si="0"/>
        <v>3.4965034965034965E-3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330</v>
      </c>
      <c r="G32" s="43">
        <f>MAX(CumulativeRecovered!32:32)</f>
        <v>8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3">
        <f t="shared" si="0"/>
        <v>1.5151515151515152E-2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785</v>
      </c>
      <c r="G33" s="43">
        <f>MAX(CumulativeRecovered!33:33)</f>
        <v>3</v>
      </c>
      <c r="H33" s="43">
        <f>MAX(CumulativeDead!33:33)</f>
        <v>3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3">
        <f t="shared" si="0"/>
        <v>3.821656050955414E-3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192</v>
      </c>
      <c r="G34" s="43">
        <f>MAX(CumulativeRecovered!34:34)</f>
        <v>43</v>
      </c>
      <c r="H34" s="43">
        <f>MAX(CumulativeDead!34:34)</f>
        <v>13</v>
      </c>
      <c r="K34" s="43">
        <v>40222493</v>
      </c>
      <c r="L34" s="54">
        <v>0</v>
      </c>
      <c r="M34" s="43">
        <v>0</v>
      </c>
      <c r="N34" s="73">
        <f t="shared" si="0"/>
        <v>6.7708333333333329E-2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557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3">
        <f t="shared" si="0"/>
        <v>5.3859964093357273E-3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277</v>
      </c>
      <c r="G36" s="43">
        <f>MAX(CumulativeRecovered!36:36)</f>
        <v>25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3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274</v>
      </c>
      <c r="G37" s="43">
        <f>MAX(CumulativeRecovered!37:37)</f>
        <v>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3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140</v>
      </c>
      <c r="G38" s="43">
        <f>MAX(CumulativeRecovered!38:38)</f>
        <v>31</v>
      </c>
      <c r="H38" s="43">
        <f>MAX(CumulativeDead!38:38)</f>
        <v>0</v>
      </c>
      <c r="K38" s="43">
        <v>9890402</v>
      </c>
      <c r="L38" s="54">
        <v>0</v>
      </c>
      <c r="M38" s="43">
        <v>0</v>
      </c>
      <c r="N38" s="73">
        <f t="shared" si="0"/>
        <v>0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194</v>
      </c>
      <c r="G39" s="43">
        <f>MAX(CumulativeRecovered!39:39)</f>
        <v>15</v>
      </c>
      <c r="H39" s="43">
        <f>MAX(CumulativeDead!39:39)</f>
        <v>4</v>
      </c>
      <c r="K39" s="43">
        <v>1380004385</v>
      </c>
      <c r="L39" s="54">
        <v>2.2999999999999998</v>
      </c>
      <c r="M39" s="43">
        <v>31740.100854999997</v>
      </c>
      <c r="N39" s="73">
        <f t="shared" si="0"/>
        <v>2.0618556701030927E-2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256</v>
      </c>
      <c r="G40" s="43">
        <f>MAX(CumulativeRecovered!40:40)</f>
        <v>32</v>
      </c>
      <c r="H40" s="43">
        <f>MAX(CumulativeDead!40:40)</f>
        <v>6</v>
      </c>
      <c r="K40" s="43">
        <v>102334404</v>
      </c>
      <c r="L40" s="54">
        <v>0</v>
      </c>
      <c r="M40" s="43">
        <v>0</v>
      </c>
      <c r="N40" s="73">
        <f t="shared" si="0"/>
        <v>2.34375E-2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148</v>
      </c>
      <c r="G41" s="43">
        <f>MAX(CumulativeRecovered!41:41)</f>
        <v>18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3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119</v>
      </c>
      <c r="G42" s="43">
        <f>MAX(CumulativeRecovered!42:42)</f>
        <v>4</v>
      </c>
      <c r="H42" s="43">
        <f>MAX(CumulativeDead!42:42)</f>
        <v>11</v>
      </c>
      <c r="K42" s="43">
        <v>33931</v>
      </c>
      <c r="L42" s="54">
        <v>0</v>
      </c>
      <c r="M42" s="43">
        <v>0</v>
      </c>
      <c r="N42" s="73">
        <f t="shared" si="0"/>
        <v>9.2436974789915971E-2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267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3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157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3">
        <f t="shared" si="0"/>
        <v>2.5477707006369428E-2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272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3">
        <f t="shared" si="0"/>
        <v>3.6764705882352941E-3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311</v>
      </c>
      <c r="G46" s="43">
        <f>MAX(CumulativeRecovered!46:46)</f>
        <v>11</v>
      </c>
      <c r="H46" s="43">
        <f>MAX(CumulativeDead!46:46)</f>
        <v>25</v>
      </c>
      <c r="K46" s="43">
        <v>273523615</v>
      </c>
      <c r="L46" s="54">
        <v>0</v>
      </c>
      <c r="M46" s="43">
        <v>0</v>
      </c>
      <c r="N46" s="73">
        <f t="shared" si="0"/>
        <v>8.0385852090032156E-2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355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3">
        <f t="shared" si="0"/>
        <v>1.4084507042253521E-2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217</v>
      </c>
      <c r="G48" s="43">
        <f>MAX(CumulativeRecovered!48:48)</f>
        <v>8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3">
        <f t="shared" si="0"/>
        <v>8.755760368663594E-2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108</v>
      </c>
      <c r="G49" s="43">
        <f>MAX(CumulativeRecovered!49:49)</f>
        <v>26</v>
      </c>
      <c r="H49" s="43">
        <f>MAX(CumulativeDead!49:49)</f>
        <v>1</v>
      </c>
      <c r="K49" s="43">
        <v>23816775</v>
      </c>
      <c r="L49" s="54">
        <v>0</v>
      </c>
      <c r="M49" s="43">
        <v>0</v>
      </c>
      <c r="N49" s="73">
        <f t="shared" si="0"/>
        <v>9.2592592592592587E-3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85</v>
      </c>
      <c r="G50" s="43">
        <f>MAX(CumulativeRecovered!50:50)</f>
        <v>16</v>
      </c>
      <c r="H50" s="43">
        <f>MAX(CumulativeDead!50:50)</f>
        <v>0</v>
      </c>
      <c r="K50" s="43">
        <v>97338579</v>
      </c>
      <c r="L50" s="54" t="s">
        <v>521</v>
      </c>
      <c r="M50" s="43" t="e">
        <v>#VALUE!</v>
      </c>
      <c r="N50" s="73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199</v>
      </c>
      <c r="G51" s="43">
        <f>MAX(CumulativeRecovered!51:51)</f>
        <v>9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3">
        <f t="shared" si="0"/>
        <v>5.0251256281407036E-3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238</v>
      </c>
      <c r="G52" s="43">
        <f>MAX(CumulativeRecovered!52:52)</f>
        <v>0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3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75</v>
      </c>
      <c r="G53" s="43">
        <f>MAX(CumulativeRecovered!53:53)</f>
        <v>0</v>
      </c>
      <c r="H53" s="43">
        <f>MAX(CumulativeDead!53:53)</f>
        <v>0</v>
      </c>
      <c r="K53" s="43">
        <v>437479</v>
      </c>
      <c r="L53" s="54" t="s">
        <v>521</v>
      </c>
      <c r="M53" s="43" t="e">
        <v>#VALUE!</v>
      </c>
      <c r="N53" s="73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103</v>
      </c>
      <c r="G54" s="43">
        <f>MAX(CumulativeRecovered!54:54)</f>
        <v>1</v>
      </c>
      <c r="H54" s="43">
        <f>MAX(CumulativeDead!54:54)</f>
        <v>0</v>
      </c>
      <c r="K54" s="43">
        <v>8737371</v>
      </c>
      <c r="L54" s="54" t="s">
        <v>521</v>
      </c>
      <c r="M54" s="43" t="e">
        <v>#VALUE!</v>
      </c>
      <c r="N54" s="73">
        <f t="shared" si="0"/>
        <v>0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335</v>
      </c>
      <c r="G55" s="43">
        <f>MAX(CumulativeRecovered!55:55)</f>
        <v>0</v>
      </c>
      <c r="H55" s="43">
        <f>MAX(CumulativeDead!55:55)</f>
        <v>4</v>
      </c>
      <c r="K55" s="43">
        <v>625978</v>
      </c>
      <c r="L55" s="54">
        <v>24.8</v>
      </c>
      <c r="M55" s="43">
        <v>155.24254400000001</v>
      </c>
      <c r="N55" s="73">
        <f t="shared" si="0"/>
        <v>1.1940298507462687E-2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64</v>
      </c>
      <c r="G56" s="43">
        <f>MAX(CumulativeRecovered!56:56)</f>
        <v>0</v>
      </c>
      <c r="H56" s="43">
        <f>MAX(CumulativeDead!56:56)</f>
        <v>2</v>
      </c>
      <c r="K56" s="43">
        <v>2877797</v>
      </c>
      <c r="L56" s="54" t="s">
        <v>521</v>
      </c>
      <c r="M56" s="43" t="e">
        <v>#VALUE!</v>
      </c>
      <c r="N56" s="73">
        <f t="shared" si="0"/>
        <v>3.125E-2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105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3">
        <f t="shared" si="0"/>
        <v>9.5238095238095247E-3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123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3">
        <f t="shared" si="0"/>
        <v>8.130081300813009E-3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 t="e">
        <f>VLOOKUP(C59,Days_Since_100!H:I,2,FALSE)</f>
        <v>#N/A</v>
      </c>
      <c r="E59" s="58" t="e">
        <f ca="1">OFFSET(CumulativeConfirmed!A59,-A59,MATCH(Country_Data!D59,CumulativeConfirmed!B59:BT59,0))</f>
        <v>#N/A</v>
      </c>
      <c r="F59" s="43">
        <f>MAX(CumulativeConfirmed!59:59)</f>
        <v>97</v>
      </c>
      <c r="G59" s="43">
        <f>MAX(CumulativeRecovered!59:59)</f>
        <v>3</v>
      </c>
      <c r="H59" s="43">
        <f>MAX(CumulativeDead!59:59)</f>
        <v>3</v>
      </c>
      <c r="K59" s="43">
        <v>45195774</v>
      </c>
      <c r="L59" s="54" t="s">
        <v>521</v>
      </c>
      <c r="M59" s="43" t="e">
        <v>#VALUE!</v>
      </c>
      <c r="N59" s="73">
        <f t="shared" si="0"/>
        <v>3.0927835051546393E-2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454</v>
      </c>
      <c r="G60" s="43">
        <f>MAX(CumulativeRecovered!60:60)</f>
        <v>13</v>
      </c>
      <c r="H60" s="43">
        <f>MAX(CumulativeDead!60:60)</f>
        <v>2</v>
      </c>
      <c r="K60" s="43">
        <v>220892340</v>
      </c>
      <c r="L60" s="54">
        <v>0</v>
      </c>
      <c r="M60" s="43">
        <v>0</v>
      </c>
      <c r="N60" s="73">
        <f t="shared" si="0"/>
        <v>4.4052863436123352E-3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234</v>
      </c>
      <c r="G61" s="43">
        <f>MAX(CumulativeRecovered!61:61)</f>
        <v>1</v>
      </c>
      <c r="H61" s="43">
        <f>MAX(CumulativeDead!61:61)</f>
        <v>0</v>
      </c>
      <c r="K61" s="43">
        <v>32971854</v>
      </c>
      <c r="L61" s="54">
        <v>0</v>
      </c>
      <c r="M61" s="43">
        <v>0</v>
      </c>
      <c r="N61" s="73">
        <f t="shared" si="0"/>
        <v>0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51</v>
      </c>
      <c r="G62" s="43">
        <f>MAX(CumulativeRecovered!62:62)</f>
        <v>5</v>
      </c>
      <c r="H62" s="43">
        <f>MAX(CumulativeDead!62:62)</f>
        <v>0</v>
      </c>
      <c r="K62" s="43">
        <v>9449323</v>
      </c>
      <c r="L62" s="54" t="s">
        <v>521</v>
      </c>
      <c r="M62" s="43" t="e">
        <v>#VALUE!</v>
      </c>
      <c r="N62" s="73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109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521</v>
      </c>
      <c r="M63" s="43" t="e">
        <v>#VALUE!</v>
      </c>
      <c r="N63" s="73">
        <f t="shared" si="0"/>
        <v>9.1743119266055051E-3</v>
      </c>
    </row>
    <row r="64" spans="1:14" x14ac:dyDescent="0.3">
      <c r="A64" s="54">
        <v>63</v>
      </c>
      <c r="B64" s="57" t="s">
        <v>75</v>
      </c>
      <c r="C64" s="57" t="s">
        <v>75</v>
      </c>
      <c r="D64" s="54" t="e">
        <f>VLOOKUP(C64,Days_Since_100!H:I,2,FALSE)</f>
        <v>#N/A</v>
      </c>
      <c r="E64" s="58" t="e">
        <f ca="1">OFFSET(CumulativeConfirmed!A64,-A64,MATCH(Country_Data!D64,CumulativeConfirmed!B64:BT64,0))</f>
        <v>#N/A</v>
      </c>
      <c r="F64" s="43">
        <f>MAX(CumulativeConfirmed!64:64)</f>
        <v>87</v>
      </c>
      <c r="G64" s="43">
        <f>MAX(CumulativeRecovered!64:64)</f>
        <v>32</v>
      </c>
      <c r="H64" s="43">
        <f>MAX(CumulativeDead!64:64)</f>
        <v>9</v>
      </c>
      <c r="K64" s="43">
        <v>43851044</v>
      </c>
      <c r="L64" s="54" t="s">
        <v>521</v>
      </c>
      <c r="M64" s="43" t="e">
        <v>#VALUE!</v>
      </c>
      <c r="N64" s="73">
        <f t="shared" si="0"/>
        <v>0.10344827586206896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40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521</v>
      </c>
      <c r="M65" s="43" t="e">
        <v>#VALUE!</v>
      </c>
      <c r="N65" s="73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150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3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 t="e">
        <f>VLOOKUP(C67,Days_Since_100!H:I,2,FALSE)</f>
        <v>#N/A</v>
      </c>
      <c r="E67" s="58" t="e">
        <f ca="1">OFFSET(CumulativeConfirmed!A67,-A67,MATCH(Country_Data!D67,CumulativeConfirmed!B67:BT67,0))</f>
        <v>#N/A</v>
      </c>
      <c r="F67" s="43">
        <f>MAX(CumulativeConfirmed!67:67)</f>
        <v>94</v>
      </c>
      <c r="G67" s="43">
        <f>MAX(CumulativeRecovered!67:67)</f>
        <v>0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3">
        <f t="shared" ref="N67:N127" si="1">H67/F67</f>
        <v>3.1914893617021274E-2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 t="e">
        <f>VLOOKUP(C68,Days_Since_100!H:I,2,FALSE)</f>
        <v>#N/A</v>
      </c>
      <c r="E68" s="58" t="e">
        <f ca="1">OFFSET(CumulativeConfirmed!A68,-A68,MATCH(Country_Data!D68,CumulativeConfirmed!B68:BT68,0))</f>
        <v>#N/A</v>
      </c>
      <c r="F68" s="43">
        <f>MAX(CumulativeConfirmed!68:68)</f>
        <v>69</v>
      </c>
      <c r="G68" s="43">
        <f>MAX(CumulativeRecovered!68:68)</f>
        <v>0</v>
      </c>
      <c r="H68" s="43">
        <f>MAX(CumulativeDead!68:68)</f>
        <v>1</v>
      </c>
      <c r="K68" s="43">
        <v>5094118</v>
      </c>
      <c r="L68" s="54" t="s">
        <v>521</v>
      </c>
      <c r="M68" s="43" t="e">
        <v>#VALUE!</v>
      </c>
      <c r="N68" s="73">
        <f t="shared" si="1"/>
        <v>1.4492753623188406E-2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 t="e">
        <f>VLOOKUP(C69,Days_Since_100!H:I,2,FALSE)</f>
        <v>#N/A</v>
      </c>
      <c r="E69" s="58" t="e">
        <f ca="1">OFFSET(CumulativeConfirmed!A69,-A69,MATCH(Country_Data!D69,CumulativeConfirmed!B69:BT69,0))</f>
        <v>#N/A</v>
      </c>
      <c r="F69" s="43">
        <f>MAX(CumulativeConfirmed!69:69)</f>
        <v>73</v>
      </c>
      <c r="G69" s="43">
        <f>MAX(CumulativeRecovered!69:69)</f>
        <v>2</v>
      </c>
      <c r="H69" s="43">
        <f>MAX(CumulativeDead!69:69)</f>
        <v>1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3">
        <f t="shared" si="1"/>
        <v>1.3698630136986301E-2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48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521</v>
      </c>
      <c r="M70" s="43" t="e">
        <v>#VALUE!</v>
      </c>
      <c r="N70" s="73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199</v>
      </c>
      <c r="G71" s="43">
        <f>MAX(CumulativeRecovered!71:71)</f>
        <v>0</v>
      </c>
      <c r="H71" s="43">
        <f>MAX(CumulativeDead!71:71)</f>
        <v>3</v>
      </c>
      <c r="K71" s="43">
        <v>17643054</v>
      </c>
      <c r="L71" s="54">
        <v>0</v>
      </c>
      <c r="M71" s="43">
        <v>0</v>
      </c>
      <c r="N71" s="73">
        <f t="shared" si="1"/>
        <v>1.507537688442211E-2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 t="e">
        <f>VLOOKUP(C72,Days_Since_100!H:I,2,FALSE)</f>
        <v>#N/A</v>
      </c>
      <c r="E72" s="58" t="e">
        <f ca="1">OFFSET(CumulativeConfirmed!A72,-A72,MATCH(Country_Data!D72,CumulativeConfirmed!B72:BT72,0))</f>
        <v>#N/A</v>
      </c>
      <c r="F72" s="43">
        <f>MAX(CumulativeConfirmed!72:72)</f>
        <v>86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3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39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521</v>
      </c>
      <c r="M73" s="43" t="e">
        <v>#VALUE!</v>
      </c>
      <c r="N73" s="73">
        <f t="shared" si="1"/>
        <v>2.564102564102564E-2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44</v>
      </c>
      <c r="G74" s="43">
        <f>MAX(CumulativeRecovered!74:74)</f>
        <v>6</v>
      </c>
      <c r="H74" s="43">
        <f>MAX(CumulativeDead!74:74)</f>
        <v>1</v>
      </c>
      <c r="K74" s="43">
        <v>10139177</v>
      </c>
      <c r="L74" s="54" t="s">
        <v>521</v>
      </c>
      <c r="M74" s="43" t="e">
        <v>#VALUE!</v>
      </c>
      <c r="N74" s="73">
        <f t="shared" si="1"/>
        <v>2.2727272727272728E-2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67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3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48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521</v>
      </c>
      <c r="M76" s="43" t="e">
        <v>#VALUE!</v>
      </c>
      <c r="N76" s="73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63</v>
      </c>
      <c r="G77" s="43">
        <f>MAX(CumulativeRecovered!77:77)</f>
        <v>2</v>
      </c>
      <c r="H77" s="43">
        <f>MAX(CumulativeDead!77:77)</f>
        <v>0</v>
      </c>
      <c r="K77" s="43">
        <v>3280819</v>
      </c>
      <c r="L77" s="54" t="s">
        <v>521</v>
      </c>
      <c r="M77" s="43" t="e">
        <v>#VALUE!</v>
      </c>
      <c r="N77" s="73">
        <f t="shared" si="1"/>
        <v>0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102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521</v>
      </c>
      <c r="M78" s="43" t="e">
        <v>#VALUE!</v>
      </c>
      <c r="N78" s="73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53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521</v>
      </c>
      <c r="M79" s="43" t="e">
        <v>#VALUE!</v>
      </c>
      <c r="N79" s="73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118</v>
      </c>
      <c r="G80" s="43">
        <f>MAX(CumulativeRecovered!80:80)</f>
        <v>4</v>
      </c>
      <c r="H80" s="43">
        <f>MAX(CumulativeDead!80:80)</f>
        <v>1</v>
      </c>
      <c r="K80" s="43">
        <v>128932753</v>
      </c>
      <c r="L80" s="54" t="s">
        <v>521</v>
      </c>
      <c r="M80" s="43" t="e">
        <v>#VALUE!</v>
      </c>
      <c r="N80" s="73">
        <f t="shared" si="1"/>
        <v>8.4745762711864406E-3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31</v>
      </c>
      <c r="G81" s="43">
        <f>MAX(CumulativeRecovered!81:81)</f>
        <v>2</v>
      </c>
      <c r="H81" s="43">
        <f>MAX(CumulativeDead!81:81)</f>
        <v>0</v>
      </c>
      <c r="K81" s="43">
        <v>16743927</v>
      </c>
      <c r="L81" s="54" t="s">
        <v>521</v>
      </c>
      <c r="M81" s="43" t="e">
        <v>#VALUE!</v>
      </c>
      <c r="N81" s="73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521</v>
      </c>
      <c r="M82" s="43" t="e">
        <v>#VALUE!</v>
      </c>
      <c r="N82" s="73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115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521</v>
      </c>
      <c r="M83" s="43" t="e">
        <v>#VALUE!</v>
      </c>
      <c r="N83" s="73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15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521</v>
      </c>
      <c r="M84" s="43" t="e">
        <v>#VALUE!</v>
      </c>
      <c r="N84" s="73">
        <f t="shared" si="1"/>
        <v>6.6666666666666666E-2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22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521</v>
      </c>
      <c r="M85" s="43" t="e">
        <v>#VALUE!</v>
      </c>
      <c r="N85" s="73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63</v>
      </c>
      <c r="G86" s="43">
        <f>MAX(CumulativeRecovered!86:86)</f>
        <v>1</v>
      </c>
      <c r="H86" s="43">
        <f>MAX(CumulativeDead!86:86)</f>
        <v>2</v>
      </c>
      <c r="K86" s="43">
        <v>36910560</v>
      </c>
      <c r="L86" s="54" t="s">
        <v>521</v>
      </c>
      <c r="M86" s="43" t="e">
        <v>#VALUE!</v>
      </c>
      <c r="N86" s="73">
        <f t="shared" si="1"/>
        <v>3.1746031746031744E-2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36</v>
      </c>
      <c r="G87" s="43">
        <f>MAX(CumulativeRecovered!87:87)</f>
        <v>1</v>
      </c>
      <c r="H87" s="43">
        <f>MAX(CumulativeDead!87:87)</f>
        <v>0</v>
      </c>
      <c r="K87" s="43">
        <v>2722289</v>
      </c>
      <c r="L87" s="54">
        <v>15.5</v>
      </c>
      <c r="M87" s="43">
        <v>421.95479499999999</v>
      </c>
      <c r="N87" s="73">
        <f t="shared" si="1"/>
        <v>0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49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521</v>
      </c>
      <c r="M88" s="43" t="e">
        <v>#VALUE!</v>
      </c>
      <c r="N88" s="73">
        <f t="shared" si="1"/>
        <v>2.0408163265306121E-2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11</v>
      </c>
      <c r="G89" s="43">
        <f>MAX(CumulativeRecovered!89:89)</f>
        <v>0</v>
      </c>
      <c r="H89" s="43">
        <f>MAX(CumulativeDead!89:89)</f>
        <v>0</v>
      </c>
      <c r="K89" s="43">
        <v>7132538</v>
      </c>
      <c r="L89" s="54" t="s">
        <v>521</v>
      </c>
      <c r="M89" s="43" t="e">
        <v>#VALUE!</v>
      </c>
      <c r="N89" s="73">
        <f t="shared" si="1"/>
        <v>0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60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521</v>
      </c>
      <c r="M90" s="43" t="e">
        <v>#VALUE!</v>
      </c>
      <c r="N90" s="73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37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521</v>
      </c>
      <c r="M91" s="43" t="e">
        <v>#VALUE!</v>
      </c>
      <c r="N91" s="73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 t="e">
        <f>VLOOKUP(C92,Days_Since_100!H:I,2,FALSE)</f>
        <v>#N/A</v>
      </c>
      <c r="E92" s="58" t="e">
        <f ca="1">OFFSET(CumulativeConfirmed!A92,-A92,MATCH(Country_Data!D92,CumulativeConfirmed!B92:BT92,0))</f>
        <v>#N/A</v>
      </c>
      <c r="F92" s="43">
        <f>MAX(CumulativeConfirmed!92:92)</f>
        <v>34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521</v>
      </c>
      <c r="M92" s="43" t="e">
        <v>#VALUE!</v>
      </c>
      <c r="N92" s="73">
        <f t="shared" si="1"/>
        <v>5.8823529411764705E-2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521</v>
      </c>
      <c r="M93" s="43" t="e">
        <v>#VALUE!</v>
      </c>
      <c r="N93" s="73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28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521</v>
      </c>
      <c r="M94" s="43" t="e">
        <v>#VALUE!</v>
      </c>
      <c r="N94" s="73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521</v>
      </c>
      <c r="M95" s="43" t="e">
        <v>#N/A</v>
      </c>
      <c r="N95" s="73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192</v>
      </c>
      <c r="G96" s="43">
        <f>MAX(CumulativeRecovered!96:96)</f>
        <v>0</v>
      </c>
      <c r="H96" s="43">
        <f>MAX(CumulativeDead!96:96)</f>
        <v>3</v>
      </c>
      <c r="K96" s="43">
        <v>84339067</v>
      </c>
      <c r="L96" s="54" t="s">
        <v>521</v>
      </c>
      <c r="M96" s="43" t="e">
        <v>#VALUE!</v>
      </c>
      <c r="N96" s="73">
        <f t="shared" si="1"/>
        <v>1.5625E-2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11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521</v>
      </c>
      <c r="M97" s="43" t="e">
        <v>#VALUE!</v>
      </c>
      <c r="N97" s="73">
        <f t="shared" si="1"/>
        <v>9.0909090909090912E-2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44</v>
      </c>
      <c r="G98" s="43">
        <f>MAX(CumulativeRecovered!98:98)</f>
        <v>0</v>
      </c>
      <c r="H98" s="43">
        <f>MAX(CumulativeDead!98:98)</f>
        <v>0</v>
      </c>
      <c r="K98" s="43">
        <v>18776707</v>
      </c>
      <c r="L98" s="54" t="s">
        <v>521</v>
      </c>
      <c r="M98" s="43" t="e">
        <v>#VALUE!</v>
      </c>
      <c r="N98" s="73">
        <f t="shared" si="1"/>
        <v>0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17</v>
      </c>
      <c r="G99" s="43">
        <f>MAX(CumulativeRecovered!99:99)</f>
        <v>3</v>
      </c>
      <c r="H99" s="43">
        <f>MAX(CumulativeDead!99:99)</f>
        <v>1</v>
      </c>
      <c r="K99" s="43">
        <v>164689383</v>
      </c>
      <c r="L99" s="54" t="s">
        <v>521</v>
      </c>
      <c r="M99" s="43" t="e">
        <v>#VALUE!</v>
      </c>
      <c r="N99" s="73">
        <f t="shared" si="1"/>
        <v>5.8823529411764705E-2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12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521</v>
      </c>
      <c r="M100" s="43" t="e">
        <v>#VALUE!</v>
      </c>
      <c r="N100" s="73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23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521</v>
      </c>
      <c r="M101" s="43" t="e">
        <v>#VALUE!</v>
      </c>
      <c r="N101" s="73">
        <f t="shared" si="1"/>
        <v>4.3478260869565216E-2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16</v>
      </c>
      <c r="G102" s="43">
        <f>MAX(CumulativeRecovered!102:102)</f>
        <v>0</v>
      </c>
      <c r="H102" s="43">
        <f>MAX(CumulativeDead!102:102)</f>
        <v>2</v>
      </c>
      <c r="K102" s="43">
        <v>43733762</v>
      </c>
      <c r="L102" s="54" t="s">
        <v>521</v>
      </c>
      <c r="M102" s="43" t="e">
        <v>#VALUE!</v>
      </c>
      <c r="N102" s="73">
        <f t="shared" si="1"/>
        <v>0.125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521</v>
      </c>
      <c r="M103" s="43" t="e">
        <v>#VALUE!</v>
      </c>
      <c r="N103" s="73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33</v>
      </c>
      <c r="G104" s="43">
        <f>MAX(CumulativeRecovered!104:104)</f>
        <v>0</v>
      </c>
      <c r="H104" s="43">
        <f>MAX(CumulativeDead!104:104)</f>
        <v>1</v>
      </c>
      <c r="K104" s="43">
        <v>20903273</v>
      </c>
      <c r="L104" s="54" t="s">
        <v>521</v>
      </c>
      <c r="M104" s="43" t="e">
        <v>#VALUE!</v>
      </c>
      <c r="N104" s="73">
        <f t="shared" si="1"/>
        <v>3.0303030303030304E-2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13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521</v>
      </c>
      <c r="M105" s="43" t="e">
        <v>#VALUE!</v>
      </c>
      <c r="N105" s="73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14</v>
      </c>
      <c r="G106" s="43">
        <f>MAX(CumulativeRecovered!106:106)</f>
        <v>0</v>
      </c>
      <c r="H106" s="43">
        <f>MAX(CumulativeDead!106:106)</f>
        <v>0</v>
      </c>
      <c r="K106" s="43" t="e">
        <v>#N/A</v>
      </c>
      <c r="L106" s="54" t="s">
        <v>521</v>
      </c>
      <c r="M106" s="43" t="e">
        <v>#N/A</v>
      </c>
      <c r="N106" s="73">
        <f t="shared" si="1"/>
        <v>0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12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521</v>
      </c>
      <c r="M107" s="43" t="e">
        <v>#VALUE!</v>
      </c>
      <c r="N107" s="73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7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521</v>
      </c>
      <c r="M108" s="43" t="e">
        <v>#VALUE!</v>
      </c>
      <c r="N108" s="73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8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521</v>
      </c>
      <c r="M109" s="43" t="e">
        <v>#VALUE!</v>
      </c>
      <c r="N109" s="73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53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521</v>
      </c>
      <c r="M110" s="43" t="e">
        <v>#VALUE!</v>
      </c>
      <c r="N110" s="73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521</v>
      </c>
      <c r="M111" s="43" t="e">
        <v>#VALUE!</v>
      </c>
      <c r="N111" s="73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1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521</v>
      </c>
      <c r="M112" s="43" t="e">
        <v>#VALUE!</v>
      </c>
      <c r="N112" s="73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521</v>
      </c>
      <c r="M113" s="43" t="e">
        <v>#VALUE!</v>
      </c>
      <c r="N113" s="73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9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521</v>
      </c>
      <c r="M114" s="43" t="e">
        <v>#N/A</v>
      </c>
      <c r="N114" s="73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6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521</v>
      </c>
      <c r="M115" s="43" t="e">
        <v>#VALUE!</v>
      </c>
      <c r="N115" s="73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521</v>
      </c>
      <c r="M116" s="43" t="e">
        <v>#VALUE!</v>
      </c>
      <c r="N116" s="73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1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521</v>
      </c>
      <c r="M117" s="43" t="e">
        <v>#VALUE!</v>
      </c>
      <c r="N117" s="73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521</v>
      </c>
      <c r="M118" s="43" t="e">
        <v>#VALUE!</v>
      </c>
      <c r="N118" s="73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521</v>
      </c>
      <c r="M119" s="43" t="e">
        <v>#VALUE!</v>
      </c>
      <c r="N119" s="73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69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521</v>
      </c>
      <c r="M120" s="43" t="e">
        <v>#VALUE!</v>
      </c>
      <c r="N120" s="73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521</v>
      </c>
      <c r="M121" s="43" t="e">
        <v>#VALUE!</v>
      </c>
      <c r="N121" s="73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28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521</v>
      </c>
      <c r="M122" s="43" t="e">
        <v>#VALUE!</v>
      </c>
      <c r="N122" s="73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6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521</v>
      </c>
      <c r="M123" s="43" t="e">
        <v>#VALUE!</v>
      </c>
      <c r="N123" s="73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521</v>
      </c>
      <c r="M124" s="43" t="e">
        <v>#VALUE!</v>
      </c>
      <c r="N124" s="73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521</v>
      </c>
      <c r="M125" s="43" t="e">
        <v>#VALUE!</v>
      </c>
      <c r="N125" s="73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</v>
      </c>
      <c r="G126" s="43">
        <f>MAX(CumulativeRecovered!126:126)</f>
        <v>0</v>
      </c>
      <c r="H126" s="43">
        <f>MAX(CumulativeDead!126:126)</f>
        <v>0</v>
      </c>
      <c r="K126" s="43" t="e">
        <v>#N/A</v>
      </c>
      <c r="L126" s="54" t="s">
        <v>521</v>
      </c>
      <c r="M126" s="43" t="e">
        <v>#N/A</v>
      </c>
      <c r="N126" s="73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521</v>
      </c>
      <c r="M127" s="43" t="e">
        <v>#VALUE!</v>
      </c>
      <c r="N127" s="73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0</v>
      </c>
      <c r="BI2">
        <f>CumulativeConfirmed!BI2-CumulativeRecovered!BI2-CumulativeDead!BI2</f>
        <v>0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0</v>
      </c>
      <c r="BI3">
        <f>CumulativeConfirmed!BI3-CumulativeRecovered!BI3-CumulativeDead!BI3</f>
        <v>0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0</v>
      </c>
      <c r="BI4">
        <f>CumulativeConfirmed!BI4-CumulativeRecovered!BI4-CumulativeDead!BI4</f>
        <v>0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0</v>
      </c>
      <c r="BI5">
        <f>CumulativeConfirmed!BI5-CumulativeRecovered!BI5-CumulativeDead!BI5</f>
        <v>0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0</v>
      </c>
      <c r="BI6">
        <f>CumulativeConfirmed!BI6-CumulativeRecovered!BI6-CumulativeDead!BI6</f>
        <v>0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0</v>
      </c>
      <c r="BI7">
        <f>CumulativeConfirmed!BI7-CumulativeRecovered!BI7-CumulativeDead!BI7</f>
        <v>0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0</v>
      </c>
      <c r="BI8">
        <f>CumulativeConfirmed!BI8-CumulativeRecovered!BI8-CumulativeDead!BI8</f>
        <v>0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0</v>
      </c>
      <c r="BI9">
        <f>CumulativeConfirmed!BI9-CumulativeRecovered!BI9-CumulativeDead!BI9</f>
        <v>0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0</v>
      </c>
      <c r="BI10">
        <f>CumulativeConfirmed!BI10-CumulativeRecovered!BI10-CumulativeDead!BI10</f>
        <v>0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0</v>
      </c>
      <c r="BI11">
        <f>CumulativeConfirmed!BI11-CumulativeRecovered!BI11-CumulativeDead!BI11</f>
        <v>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0</v>
      </c>
      <c r="BI12">
        <f>CumulativeConfirmed!BI12-CumulativeRecovered!BI12-CumulativeDead!BI12</f>
        <v>0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0</v>
      </c>
      <c r="BI13">
        <f>CumulativeConfirmed!BI13-CumulativeRecovered!BI13-CumulativeDead!BI13</f>
        <v>0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0</v>
      </c>
      <c r="BI14">
        <f>CumulativeConfirmed!BI14-CumulativeRecovered!BI14-CumulativeDead!BI14</f>
        <v>0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3091</v>
      </c>
      <c r="BH15">
        <f>CumulativeConfirmed!BH15-CumulativeRecovered!BH15-CumulativeDead!BH15</f>
        <v>0</v>
      </c>
      <c r="BI15">
        <f>CumulativeConfirmed!BI15-CumulativeRecovered!BI15-CumulativeDead!BI15</f>
        <v>0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0</v>
      </c>
      <c r="BI16">
        <f>CumulativeConfirmed!BI16-CumulativeRecovered!BI16-CumulativeDead!BI16</f>
        <v>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0</v>
      </c>
      <c r="BI17">
        <f>CumulativeConfirmed!BI17-CumulativeRecovered!BI17-CumulativeDead!BI17</f>
        <v>0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0</v>
      </c>
      <c r="BI18">
        <f>CumulativeConfirmed!BI18-CumulativeRecovered!BI18-CumulativeDead!BI18</f>
        <v>0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0</v>
      </c>
      <c r="BI19">
        <f>CumulativeConfirmed!BI19-CumulativeRecovered!BI19-CumulativeDead!BI19</f>
        <v>0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0</v>
      </c>
      <c r="BI20">
        <f>CumulativeConfirmed!BI20-CumulativeRecovered!BI20-CumulativeDead!BI20</f>
        <v>0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0</v>
      </c>
      <c r="BI21">
        <f>CumulativeConfirmed!BI21-CumulativeRecovered!BI21-CumulativeDead!BI21</f>
        <v>0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0</v>
      </c>
      <c r="BI22">
        <f>CumulativeConfirmed!BI22-CumulativeRecovered!BI22-CumulativeDead!BI22</f>
        <v>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0</v>
      </c>
      <c r="BI23">
        <f>CumulativeConfirmed!BI23-CumulativeRecovered!BI23-CumulativeDead!BI23</f>
        <v>0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0</v>
      </c>
      <c r="BI24">
        <f>CumulativeConfirmed!BI24-CumulativeRecovered!BI24-CumulativeDead!BI24</f>
        <v>0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0</v>
      </c>
      <c r="BI25">
        <f>CumulativeConfirmed!BI25-CumulativeRecovered!BI25-CumulativeDead!BI25</f>
        <v>0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0</v>
      </c>
      <c r="BI26">
        <f>CumulativeConfirmed!BI26-CumulativeRecovered!BI26-CumulativeDead!BI26</f>
        <v>0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0</v>
      </c>
      <c r="BI27">
        <f>CumulativeConfirmed!BI27-CumulativeRecovered!BI27-CumulativeDead!BI27</f>
        <v>0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0</v>
      </c>
      <c r="BI28">
        <f>CumulativeConfirmed!BI28-CumulativeRecovered!BI28-CumulativeDead!BI28</f>
        <v>0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0</v>
      </c>
      <c r="BI29">
        <f>CumulativeConfirmed!BI29-CumulativeRecovered!BI29-CumulativeDead!BI29</f>
        <v>0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0</v>
      </c>
      <c r="BI30">
        <f>CumulativeConfirmed!BI30-CumulativeRecovered!BI30-CumulativeDead!BI30</f>
        <v>0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0</v>
      </c>
      <c r="BI31">
        <f>CumulativeConfirmed!BI31-CumulativeRecovered!BI31-CumulativeDead!BI31</f>
        <v>0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0</v>
      </c>
      <c r="BI32">
        <f>CumulativeConfirmed!BI32-CumulativeRecovered!BI32-CumulativeDead!BI32</f>
        <v>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0</v>
      </c>
      <c r="BI33">
        <f>CumulativeConfirmed!BI33-CumulativeRecovered!BI33-CumulativeDead!BI33</f>
        <v>0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0</v>
      </c>
      <c r="BI34">
        <f>CumulativeConfirmed!BI34-CumulativeRecovered!BI34-CumulativeDead!BI34</f>
        <v>0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0</v>
      </c>
      <c r="BI35">
        <f>CumulativeConfirmed!BI35-CumulativeRecovered!BI35-CumulativeDead!BI35</f>
        <v>0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0</v>
      </c>
      <c r="BI36">
        <f>CumulativeConfirmed!BI36-CumulativeRecovered!BI36-CumulativeDead!BI36</f>
        <v>0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0</v>
      </c>
      <c r="BI37">
        <f>CumulativeConfirmed!BI37-CumulativeRecovered!BI37-CumulativeDead!BI37</f>
        <v>0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0</v>
      </c>
      <c r="BI38">
        <f>CumulativeConfirmed!BI38-CumulativeRecovered!BI38-CumulativeDead!BI38</f>
        <v>0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0</v>
      </c>
      <c r="BI39">
        <f>CumulativeConfirmed!BI39-CumulativeRecovered!BI39-CumulativeDead!BI39</f>
        <v>0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0</v>
      </c>
      <c r="BI40">
        <f>CumulativeConfirmed!BI40-CumulativeRecovered!BI40-CumulativeDead!BI40</f>
        <v>0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0</v>
      </c>
      <c r="BI41">
        <f>CumulativeConfirmed!BI41-CumulativeRecovered!BI41-CumulativeDead!BI41</f>
        <v>0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0</v>
      </c>
      <c r="BI42">
        <f>CumulativeConfirmed!BI42-CumulativeRecovered!BI42-CumulativeDead!BI42</f>
        <v>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0</v>
      </c>
      <c r="BI43">
        <f>CumulativeConfirmed!BI43-CumulativeRecovered!BI43-CumulativeDead!BI43</f>
        <v>0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0</v>
      </c>
      <c r="BI44">
        <f>CumulativeConfirmed!BI44-CumulativeRecovered!BI44-CumulativeDead!BI44</f>
        <v>0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0</v>
      </c>
      <c r="BI45">
        <f>CumulativeConfirmed!BI45-CumulativeRecovered!BI45-CumulativeDead!BI45</f>
        <v>0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0</v>
      </c>
      <c r="BI46">
        <f>CumulativeConfirmed!BI46-CumulativeRecovered!BI46-CumulativeDead!BI46</f>
        <v>0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0</v>
      </c>
      <c r="BI47">
        <f>CumulativeConfirmed!BI47-CumulativeRecovered!BI47-CumulativeDead!BI47</f>
        <v>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0</v>
      </c>
      <c r="BI48">
        <f>CumulativeConfirmed!BI48-CumulativeRecovered!BI48-CumulativeDead!BI48</f>
        <v>0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0</v>
      </c>
      <c r="BI49">
        <f>CumulativeConfirmed!BI49-CumulativeRecovered!BI49-CumulativeDead!BI49</f>
        <v>0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0</v>
      </c>
      <c r="BI50">
        <f>CumulativeConfirmed!BI50-CumulativeRecovered!BI50-CumulativeDead!BI50</f>
        <v>0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0</v>
      </c>
      <c r="BI51">
        <f>CumulativeConfirmed!BI51-CumulativeRecovered!BI51-CumulativeDead!BI51</f>
        <v>0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0</v>
      </c>
      <c r="BI52">
        <f>CumulativeConfirmed!BI52-CumulativeRecovered!BI52-CumulativeDead!BI52</f>
        <v>0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0</v>
      </c>
      <c r="BI53">
        <f>CumulativeConfirmed!BI53-CumulativeRecovered!BI53-CumulativeDead!BI53</f>
        <v>0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0</v>
      </c>
      <c r="BI54">
        <f>CumulativeConfirmed!BI54-CumulativeRecovered!BI54-CumulativeDead!BI54</f>
        <v>0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0</v>
      </c>
      <c r="BI55">
        <f>CumulativeConfirmed!BI55-CumulativeRecovered!BI55-CumulativeDead!BI55</f>
        <v>0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0</v>
      </c>
      <c r="BI56">
        <f>CumulativeConfirmed!BI56-CumulativeRecovered!BI56-CumulativeDead!BI56</f>
        <v>0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0</v>
      </c>
      <c r="BI57">
        <f>CumulativeConfirmed!BI57-CumulativeRecovered!BI57-CumulativeDead!BI57</f>
        <v>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0</v>
      </c>
      <c r="BI58">
        <f>CumulativeConfirmed!BI58-CumulativeRecovered!BI58-CumulativeDead!BI58</f>
        <v>0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0</v>
      </c>
      <c r="BI59">
        <f>CumulativeConfirmed!BI59-CumulativeRecovered!BI59-CumulativeDead!BI59</f>
        <v>0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0</v>
      </c>
      <c r="BI60">
        <f>CumulativeConfirmed!BI60-CumulativeRecovered!BI60-CumulativeDead!BI60</f>
        <v>0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0</v>
      </c>
      <c r="BI61">
        <f>CumulativeConfirmed!BI61-CumulativeRecovered!BI61-CumulativeDead!BI61</f>
        <v>0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0</v>
      </c>
      <c r="BI62">
        <f>CumulativeConfirmed!BI62-CumulativeRecovered!BI62-CumulativeDead!BI62</f>
        <v>0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0</v>
      </c>
      <c r="BI63">
        <f>CumulativeConfirmed!BI63-CumulativeRecovered!BI63-CumulativeDead!BI63</f>
        <v>0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0</v>
      </c>
      <c r="BI64">
        <f>CumulativeConfirmed!BI64-CumulativeRecovered!BI64-CumulativeDead!BI64</f>
        <v>0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0</v>
      </c>
      <c r="BI65">
        <f>CumulativeConfirmed!BI65-CumulativeRecovered!BI65-CumulativeDead!BI65</f>
        <v>0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0</v>
      </c>
      <c r="BI66">
        <f>CumulativeConfirmed!BI66-CumulativeRecovered!BI66-CumulativeDead!BI66</f>
        <v>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0</v>
      </c>
      <c r="BI67">
        <f>CumulativeConfirmed!BI67-CumulativeRecovered!BI67-CumulativeDead!BI67</f>
        <v>0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0</v>
      </c>
      <c r="BI68">
        <f>CumulativeConfirmed!BI68-CumulativeRecovered!BI68-CumulativeDead!BI68</f>
        <v>0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0</v>
      </c>
      <c r="BI69">
        <f>CumulativeConfirmed!BI69-CumulativeRecovered!BI69-CumulativeDead!BI69</f>
        <v>0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0</v>
      </c>
      <c r="BI70">
        <f>CumulativeConfirmed!BI70-CumulativeRecovered!BI70-CumulativeDead!BI70</f>
        <v>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0</v>
      </c>
      <c r="BI71">
        <f>CumulativeConfirmed!BI71-CumulativeRecovered!BI71-CumulativeDead!BI71</f>
        <v>0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0</v>
      </c>
      <c r="BI72">
        <f>CumulativeConfirmed!BI72-CumulativeRecovered!BI72-CumulativeDead!BI72</f>
        <v>0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0</v>
      </c>
      <c r="BI73">
        <f>CumulativeConfirmed!BI73-CumulativeRecovered!BI73-CumulativeDead!BI73</f>
        <v>0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0</v>
      </c>
      <c r="BI74">
        <f>CumulativeConfirmed!BI74-CumulativeRecovered!BI74-CumulativeDead!BI74</f>
        <v>0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0</v>
      </c>
      <c r="BI75">
        <f>CumulativeConfirmed!BI75-CumulativeRecovered!BI75-CumulativeDead!BI75</f>
        <v>0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0</v>
      </c>
      <c r="BI76">
        <f>CumulativeConfirmed!BI76-CumulativeRecovered!BI76-CumulativeDead!BI76</f>
        <v>0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0</v>
      </c>
      <c r="BI77">
        <f>CumulativeConfirmed!BI77-CumulativeRecovered!BI77-CumulativeDead!BI77</f>
        <v>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0</v>
      </c>
      <c r="BI78">
        <f>CumulativeConfirmed!BI78-CumulativeRecovered!BI78-CumulativeDead!BI78</f>
        <v>0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0</v>
      </c>
      <c r="BI79">
        <f>CumulativeConfirmed!BI79-CumulativeRecovered!BI79-CumulativeDead!BI79</f>
        <v>0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0</v>
      </c>
      <c r="BI80">
        <f>CumulativeConfirmed!BI80-CumulativeRecovered!BI80-CumulativeDead!BI80</f>
        <v>0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0</v>
      </c>
      <c r="BI81">
        <f>CumulativeConfirmed!BI81-CumulativeRecovered!BI81-CumulativeDead!BI81</f>
        <v>0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0</v>
      </c>
      <c r="BI82">
        <f>CumulativeConfirmed!BI82-CumulativeRecovered!BI82-CumulativeDead!BI82</f>
        <v>0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0</v>
      </c>
      <c r="BI83">
        <f>CumulativeConfirmed!BI83-CumulativeRecovered!BI83-CumulativeDead!BI83</f>
        <v>0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0</v>
      </c>
      <c r="BI84">
        <f>CumulativeConfirmed!BI84-CumulativeRecovered!BI84-CumulativeDead!BI84</f>
        <v>0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0</v>
      </c>
      <c r="BI85">
        <f>CumulativeConfirmed!BI85-CumulativeRecovered!BI85-CumulativeDead!BI85</f>
        <v>0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0</v>
      </c>
      <c r="BI86">
        <f>CumulativeConfirmed!BI86-CumulativeRecovered!BI86-CumulativeDead!BI86</f>
        <v>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0</v>
      </c>
      <c r="BI87">
        <f>CumulativeConfirmed!BI87-CumulativeRecovered!BI87-CumulativeDead!BI87</f>
        <v>0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0</v>
      </c>
      <c r="BI88">
        <f>CumulativeConfirmed!BI88-CumulativeRecovered!BI88-CumulativeDead!BI88</f>
        <v>0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0</v>
      </c>
      <c r="BI89">
        <f>CumulativeConfirmed!BI89-CumulativeRecovered!BI89-CumulativeDead!BI89</f>
        <v>0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0</v>
      </c>
      <c r="BI90">
        <f>CumulativeConfirmed!BI90-CumulativeRecovered!BI90-CumulativeDead!BI90</f>
        <v>0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0</v>
      </c>
      <c r="BI91">
        <f>CumulativeConfirmed!BI91-CumulativeRecovered!BI91-CumulativeDead!BI91</f>
        <v>0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0</v>
      </c>
      <c r="BI92">
        <f>CumulativeConfirmed!BI92-CumulativeRecovered!BI92-CumulativeDead!BI92</f>
        <v>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0</v>
      </c>
      <c r="BI94">
        <f>CumulativeConfirmed!BI94-CumulativeRecovered!BI94-CumulativeDead!BI94</f>
        <v>0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0</v>
      </c>
      <c r="BI96">
        <f>CumulativeConfirmed!BI96-CumulativeRecovered!BI96-CumulativeDead!BI96</f>
        <v>0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0</v>
      </c>
      <c r="BI97">
        <f>CumulativeConfirmed!BI97-CumulativeRecovered!BI97-CumulativeDead!BI97</f>
        <v>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0</v>
      </c>
      <c r="BI98">
        <f>CumulativeConfirmed!BI98-CumulativeRecovered!BI98-CumulativeDead!BI98</f>
        <v>0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0</v>
      </c>
      <c r="BI99">
        <f>CumulativeConfirmed!BI99-CumulativeRecovered!BI99-CumulativeDead!BI99</f>
        <v>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0</v>
      </c>
      <c r="BI100">
        <f>CumulativeConfirmed!BI100-CumulativeRecovered!BI100-CumulativeDead!BI100</f>
        <v>0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0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0</v>
      </c>
      <c r="BI102">
        <f>CumulativeConfirmed!BI102-CumulativeRecovered!BI102-CumulativeDead!BI102</f>
        <v>0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0</v>
      </c>
      <c r="BI104">
        <f>CumulativeConfirmed!BI104-CumulativeRecovered!BI104-CumulativeDead!BI104</f>
        <v>0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0</v>
      </c>
      <c r="BI105">
        <f>CumulativeConfirmed!BI105-CumulativeRecovered!BI105-CumulativeDead!BI105</f>
        <v>0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0</v>
      </c>
      <c r="BI106">
        <f>CumulativeConfirmed!BI106-CumulativeRecovered!BI106-CumulativeDead!BI106</f>
        <v>0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0</v>
      </c>
      <c r="BI107">
        <f>CumulativeConfirmed!BI107-CumulativeRecovered!BI107-CumulativeDead!BI107</f>
        <v>0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0</v>
      </c>
      <c r="BI108">
        <f>CumulativeConfirmed!BI108-CumulativeRecovered!BI108-CumulativeDead!BI108</f>
        <v>0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0</v>
      </c>
      <c r="BI109">
        <f>CumulativeConfirmed!BI109-CumulativeRecovered!BI109-CumulativeDead!BI109</f>
        <v>0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0</v>
      </c>
      <c r="BI110">
        <f>CumulativeConfirmed!BI110-CumulativeRecovered!BI110-CumulativeDead!BI110</f>
        <v>0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0</v>
      </c>
      <c r="BI111">
        <f>CumulativeConfirmed!BI111-CumulativeRecovered!BI111-CumulativeDead!BI111</f>
        <v>0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0</v>
      </c>
      <c r="BI112">
        <f>CumulativeConfirmed!BI112-CumulativeRecovered!BI112-CumulativeDead!BI112</f>
        <v>0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0</v>
      </c>
      <c r="BI114">
        <f>CumulativeConfirmed!BI114-CumulativeRecovered!BI114-CumulativeDead!BI114</f>
        <v>0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0</v>
      </c>
      <c r="BI115">
        <f>CumulativeConfirmed!BI115-CumulativeRecovered!BI115-CumulativeDead!BI115</f>
        <v>0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0</v>
      </c>
      <c r="BI117">
        <f>CumulativeConfirmed!BI117-CumulativeRecovered!BI117-CumulativeDead!BI117</f>
        <v>0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0</v>
      </c>
      <c r="BI118">
        <f>CumulativeConfirmed!BI118-CumulativeRecovered!BI118-CumulativeDead!BI118</f>
        <v>0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0</v>
      </c>
      <c r="BI119">
        <f>CumulativeConfirmed!BI119-CumulativeRecovered!BI119-CumulativeDead!BI119</f>
        <v>0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0</v>
      </c>
      <c r="BI120">
        <f>CumulativeConfirmed!BI120-CumulativeRecovered!BI120-CumulativeDead!BI120</f>
        <v>0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0</v>
      </c>
      <c r="BI121">
        <f>CumulativeConfirmed!BI121-CumulativeRecovered!BI121-CumulativeDead!BI121</f>
        <v>0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0</v>
      </c>
      <c r="BI122">
        <f>CumulativeConfirmed!BI122-CumulativeRecovered!BI122-CumulativeDead!BI122</f>
        <v>0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0</v>
      </c>
      <c r="BI123">
        <f>CumulativeConfirmed!BI123-CumulativeRecovered!BI123-CumulativeDead!BI123</f>
        <v>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0</v>
      </c>
      <c r="BI125">
        <f>CumulativeConfirmed!BI125-CumulativeRecovered!BI125-CumulativeDead!BI125</f>
        <v>0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0</v>
      </c>
      <c r="BI126">
        <f>CumulativeConfirmed!BI126-CumulativeRecovered!BI126-CumulativeDead!BI126</f>
        <v>0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0</v>
      </c>
      <c r="BI2">
        <f>SUMIF(ConfirmedRaw!$B:$B,$A2,ConfirmedRaw!BL:BL)</f>
        <v>0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0</v>
      </c>
      <c r="BI3">
        <f>SUMIF(ConfirmedRaw!$B:$B,$A3,ConfirmedRaw!BL:BL)</f>
        <v>0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0</v>
      </c>
      <c r="BI4">
        <f>SUMIF(ConfirmedRaw!$B:$B,$A4,ConfirmedRaw!BL:BL)</f>
        <v>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0</v>
      </c>
      <c r="BI5">
        <f>SUMIF(ConfirmedRaw!$B:$B,$A5,ConfirmedRaw!BL:BL)</f>
        <v>0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0</v>
      </c>
      <c r="BI6">
        <f>SUMIF(ConfirmedRaw!$B:$B,$A6,ConfirmedRaw!BL:BL)</f>
        <v>0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0</v>
      </c>
      <c r="BI7">
        <f>SUMIF(ConfirmedRaw!$B:$B,$A7,ConfirmedRaw!BL:BL)</f>
        <v>0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0</v>
      </c>
      <c r="BI8">
        <f>SUMIF(ConfirmedRaw!$B:$B,$A8,ConfirmedRaw!BL:BL)</f>
        <v>0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0</v>
      </c>
      <c r="BI9">
        <f>SUMIF(ConfirmedRaw!$B:$B,$A9,ConfirmedRaw!BL:BL)</f>
        <v>0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0</v>
      </c>
      <c r="BI10">
        <f>SUMIF(ConfirmedRaw!$B:$B,$A10,ConfirmedRaw!BL:BL)</f>
        <v>0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0</v>
      </c>
      <c r="BI11">
        <f>SUMIF(ConfirmedRaw!$B:$B,$A11,ConfirmedRaw!BL:BL)</f>
        <v>0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0</v>
      </c>
      <c r="BI12">
        <f>SUMIF(ConfirmedRaw!$B:$B,$A12,ConfirmedRaw!BL:BL)</f>
        <v>0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0</v>
      </c>
      <c r="BI13">
        <f>SUMIF(ConfirmedRaw!$B:$B,$A13,ConfirmedRaw!BL:BL)</f>
        <v>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0</v>
      </c>
      <c r="BI14">
        <f>SUMIF(ConfirmedRaw!$B:$B,$A14,ConfirmedRaw!BL:BL)</f>
        <v>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3296</v>
      </c>
      <c r="BH15">
        <f>SUMIF(ConfirmedRaw!$B:$B,$A15,ConfirmedRaw!BK:BK)</f>
        <v>0</v>
      </c>
      <c r="BI15">
        <f>SUMIF(ConfirmedRaw!$B:$B,$A15,ConfirmedRaw!BL:BL)</f>
        <v>0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0</v>
      </c>
      <c r="BI16">
        <f>SUMIF(ConfirmedRaw!$B:$B,$A16,ConfirmedRaw!BL:BL)</f>
        <v>0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0</v>
      </c>
      <c r="BI18">
        <f>SUMIF(ConfirmedRaw!$B:$B,$A18,ConfirmedRaw!BL:BL)</f>
        <v>0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0</v>
      </c>
      <c r="BI19">
        <f>SUMIF(ConfirmedRaw!$B:$B,$A19,ConfirmedRaw!BL:BL)</f>
        <v>0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0</v>
      </c>
      <c r="BI20">
        <f>SUMIF(ConfirmedRaw!$B:$B,$A20,ConfirmedRaw!BL:BL)</f>
        <v>0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0</v>
      </c>
      <c r="BI21">
        <f>SUMIF(ConfirmedRaw!$B:$B,$A21,ConfirmedRaw!BL:BL)</f>
        <v>0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0</v>
      </c>
      <c r="BI22">
        <f>SUMIF(ConfirmedRaw!$B:$B,$A22,ConfirmedRaw!BL:BL)</f>
        <v>0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0</v>
      </c>
      <c r="BI23">
        <f>SUMIF(ConfirmedRaw!$B:$B,$A23,ConfirmedRaw!BL:BL)</f>
        <v>0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0</v>
      </c>
      <c r="BI24">
        <f>SUMIF(ConfirmedRaw!$B:$B,$A24,ConfirmedRaw!BL:BL)</f>
        <v>0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0</v>
      </c>
      <c r="BI25">
        <f>SUMIF(ConfirmedRaw!$B:$B,$A25,ConfirmedRaw!BL:BL)</f>
        <v>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0</v>
      </c>
      <c r="BI26">
        <f>SUMIF(ConfirmedRaw!$B:$B,$A26,ConfirmedRaw!BL:BL)</f>
        <v>0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0</v>
      </c>
      <c r="BI27">
        <f>SUMIF(ConfirmedRaw!$B:$B,$A27,ConfirmedRaw!BL:BL)</f>
        <v>0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0</v>
      </c>
      <c r="BI28">
        <f>SUMIF(ConfirmedRaw!$B:$B,$A28,ConfirmedRaw!BL:BL)</f>
        <v>0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0</v>
      </c>
      <c r="BI29">
        <f>SUMIF(ConfirmedRaw!$B:$B,$A29,ConfirmedRaw!BL:BL)</f>
        <v>0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0</v>
      </c>
      <c r="BI30">
        <f>SUMIF(ConfirmedRaw!$B:$B,$A30,ConfirmedRaw!BL:BL)</f>
        <v>0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0</v>
      </c>
      <c r="BI31">
        <f>SUMIF(ConfirmedRaw!$B:$B,$A31,ConfirmedRaw!BL:BL)</f>
        <v>0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0</v>
      </c>
      <c r="BI32">
        <f>SUMIF(ConfirmedRaw!$B:$B,$A32,ConfirmedRaw!BL:BL)</f>
        <v>0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0</v>
      </c>
      <c r="BI33">
        <f>SUMIF(ConfirmedRaw!$B:$B,$A33,ConfirmedRaw!BL:BL)</f>
        <v>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0</v>
      </c>
      <c r="BI34">
        <f>SUMIF(ConfirmedRaw!$B:$B,$A34,ConfirmedRaw!BL:BL)</f>
        <v>0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0</v>
      </c>
      <c r="BI35">
        <f>SUMIF(ConfirmedRaw!$B:$B,$A35,ConfirmedRaw!BL:BL)</f>
        <v>0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0</v>
      </c>
      <c r="BI36">
        <f>SUMIF(ConfirmedRaw!$B:$B,$A36,ConfirmedRaw!BL:BL)</f>
        <v>0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0</v>
      </c>
      <c r="BI37">
        <f>SUMIF(ConfirmedRaw!$B:$B,$A37,ConfirmedRaw!BL:BL)</f>
        <v>0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0</v>
      </c>
      <c r="BI38">
        <f>SUMIF(ConfirmedRaw!$B:$B,$A38,ConfirmedRaw!BL:BL)</f>
        <v>0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0</v>
      </c>
      <c r="BI39">
        <f>SUMIF(ConfirmedRaw!$B:$B,$A39,ConfirmedRaw!BL:BL)</f>
        <v>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0</v>
      </c>
      <c r="BI40">
        <f>SUMIF(ConfirmedRaw!$B:$B,$A40,ConfirmedRaw!BL:BL)</f>
        <v>0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0</v>
      </c>
      <c r="BI41">
        <f>SUMIF(ConfirmedRaw!$B:$B,$A41,ConfirmedRaw!BL:BL)</f>
        <v>0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0</v>
      </c>
      <c r="BI42">
        <f>SUMIF(ConfirmedRaw!$B:$B,$A42,ConfirmedRaw!BL:BL)</f>
        <v>0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0</v>
      </c>
      <c r="BI43">
        <f>SUMIF(ConfirmedRaw!$B:$B,$A43,ConfirmedRaw!BL:BL)</f>
        <v>0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0</v>
      </c>
      <c r="BI44">
        <f>SUMIF(ConfirmedRaw!$B:$B,$A44,ConfirmedRaw!BL:BL)</f>
        <v>0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0</v>
      </c>
      <c r="BI45">
        <f>SUMIF(ConfirmedRaw!$B:$B,$A45,ConfirmedRaw!BL:BL)</f>
        <v>0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0</v>
      </c>
      <c r="BI46">
        <f>SUMIF(ConfirmedRaw!$B:$B,$A46,ConfirmedRaw!BL:BL)</f>
        <v>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0</v>
      </c>
      <c r="BI47">
        <f>SUMIF(ConfirmedRaw!$B:$B,$A47,ConfirmedRaw!BL:BL)</f>
        <v>0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0</v>
      </c>
      <c r="BI48">
        <f>SUMIF(ConfirmedRaw!$B:$B,$A48,ConfirmedRaw!BL:BL)</f>
        <v>0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0</v>
      </c>
      <c r="BI49">
        <f>SUMIF(ConfirmedRaw!$B:$B,$A49,ConfirmedRaw!BL:BL)</f>
        <v>0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0</v>
      </c>
      <c r="BI50">
        <f>SUMIF(ConfirmedRaw!$B:$B,$A50,ConfirmedRaw!BL:BL)</f>
        <v>0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0</v>
      </c>
      <c r="BI51">
        <f>SUMIF(ConfirmedRaw!$B:$B,$A51,ConfirmedRaw!BL:BL)</f>
        <v>0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0</v>
      </c>
      <c r="BI52">
        <f>SUMIF(ConfirmedRaw!$B:$B,$A52,ConfirmedRaw!BL:BL)</f>
        <v>0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0</v>
      </c>
      <c r="BI53">
        <f>SUMIF(ConfirmedRaw!$B:$B,$A53,ConfirmedRaw!BL:BL)</f>
        <v>0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0</v>
      </c>
      <c r="BI54">
        <f>SUMIF(ConfirmedRaw!$B:$B,$A54,ConfirmedRaw!BL:BL)</f>
        <v>0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0</v>
      </c>
      <c r="BI55">
        <f>SUMIF(ConfirmedRaw!$B:$B,$A55,ConfirmedRaw!BL:BL)</f>
        <v>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0</v>
      </c>
      <c r="BI56">
        <f>SUMIF(ConfirmedRaw!$B:$B,$A56,ConfirmedRaw!BL:BL)</f>
        <v>0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0</v>
      </c>
      <c r="BI57">
        <f>SUMIF(ConfirmedRaw!$B:$B,$A57,ConfirmedRaw!BL:BL)</f>
        <v>0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0</v>
      </c>
      <c r="BI58">
        <f>SUMIF(ConfirmedRaw!$B:$B,$A58,ConfirmedRaw!BL:BL)</f>
        <v>0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0</v>
      </c>
      <c r="BI59">
        <f>SUMIF(ConfirmedRaw!$B:$B,$A59,ConfirmedRaw!BL:BL)</f>
        <v>0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0</v>
      </c>
      <c r="BI60">
        <f>SUMIF(ConfirmedRaw!$B:$B,$A60,ConfirmedRaw!BL:BL)</f>
        <v>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0</v>
      </c>
      <c r="BI61">
        <f>SUMIF(ConfirmedRaw!$B:$B,$A61,ConfirmedRaw!BL:BL)</f>
        <v>0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0</v>
      </c>
      <c r="BI62">
        <f>SUMIF(ConfirmedRaw!$B:$B,$A62,ConfirmedRaw!BL:BL)</f>
        <v>0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0</v>
      </c>
      <c r="BI63">
        <f>SUMIF(ConfirmedRaw!$B:$B,$A63,ConfirmedRaw!BL:BL)</f>
        <v>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0</v>
      </c>
      <c r="BI64">
        <f>SUMIF(ConfirmedRaw!$B:$B,$A64,ConfirmedRaw!BL:BL)</f>
        <v>0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0</v>
      </c>
      <c r="BI65">
        <f>SUMIF(ConfirmedRaw!$B:$B,$A65,ConfirmedRaw!BL:BL)</f>
        <v>0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0</v>
      </c>
      <c r="BI66">
        <f>SUMIF(ConfirmedRaw!$B:$B,$A66,ConfirmedRaw!BL:BL)</f>
        <v>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0</v>
      </c>
      <c r="BI67">
        <f>SUMIF(ConfirmedRaw!$B:$B,$A67,ConfirmedRaw!BL:BL)</f>
        <v>0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0</v>
      </c>
      <c r="BI68">
        <f>SUMIF(ConfirmedRaw!$B:$B,$A68,ConfirmedRaw!BL:BL)</f>
        <v>0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0</v>
      </c>
      <c r="BI69">
        <f>SUMIF(ConfirmedRaw!$B:$B,$A69,ConfirmedRaw!BL:BL)</f>
        <v>0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0</v>
      </c>
      <c r="BI70">
        <f>SUMIF(ConfirmedRaw!$B:$B,$A70,ConfirmedRaw!BL:BL)</f>
        <v>0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0</v>
      </c>
      <c r="BI71">
        <f>SUMIF(ConfirmedRaw!$B:$B,$A71,ConfirmedRaw!BL:BL)</f>
        <v>0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0</v>
      </c>
      <c r="BI72">
        <f>SUMIF(ConfirmedRaw!$B:$B,$A72,ConfirmedRaw!BL:BL)</f>
        <v>0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0</v>
      </c>
      <c r="BI73">
        <f>SUMIF(ConfirmedRaw!$B:$B,$A73,ConfirmedRaw!BL:BL)</f>
        <v>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0</v>
      </c>
      <c r="BI74">
        <f>SUMIF(ConfirmedRaw!$B:$B,$A74,ConfirmedRaw!BL:BL)</f>
        <v>0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0</v>
      </c>
      <c r="BI75">
        <f>SUMIF(ConfirmedRaw!$B:$B,$A75,ConfirmedRaw!BL:BL)</f>
        <v>0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0</v>
      </c>
      <c r="BI76">
        <f>SUMIF(ConfirmedRaw!$B:$B,$A76,ConfirmedRaw!BL:BL)</f>
        <v>0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0</v>
      </c>
      <c r="BI77">
        <f>SUMIF(ConfirmedRaw!$B:$B,$A77,ConfirmedRaw!BL:BL)</f>
        <v>0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0</v>
      </c>
      <c r="BI78">
        <f>SUMIF(ConfirmedRaw!$B:$B,$A78,ConfirmedRaw!BL:BL)</f>
        <v>0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0</v>
      </c>
      <c r="BI79">
        <f>SUMIF(ConfirmedRaw!$B:$B,$A79,ConfirmedRaw!BL:BL)</f>
        <v>0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0</v>
      </c>
      <c r="BI80">
        <f>SUMIF(ConfirmedRaw!$B:$B,$A80,ConfirmedRaw!BL:BL)</f>
        <v>0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0</v>
      </c>
      <c r="BI81">
        <f>SUMIF(ConfirmedRaw!$B:$B,$A81,ConfirmedRaw!BL:BL)</f>
        <v>0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0</v>
      </c>
      <c r="BI82">
        <f>SUMIF(ConfirmedRaw!$B:$B,$A82,ConfirmedRaw!BL:BL)</f>
        <v>0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0</v>
      </c>
      <c r="BI83">
        <f>SUMIF(ConfirmedRaw!$B:$B,$A83,ConfirmedRaw!BL:BL)</f>
        <v>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0</v>
      </c>
      <c r="BI84">
        <f>SUMIF(ConfirmedRaw!$B:$B,$A84,ConfirmedRaw!BL:BL)</f>
        <v>0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0</v>
      </c>
      <c r="BI85">
        <f>SUMIF(ConfirmedRaw!$B:$B,$A85,ConfirmedRaw!BL:BL)</f>
        <v>0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0</v>
      </c>
      <c r="BI86">
        <f>SUMIF(ConfirmedRaw!$B:$B,$A86,ConfirmedRaw!BL:BL)</f>
        <v>0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0</v>
      </c>
      <c r="BI87">
        <f>SUMIF(ConfirmedRaw!$B:$B,$A87,ConfirmedRaw!BL:BL)</f>
        <v>0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0</v>
      </c>
      <c r="BI88">
        <f>SUMIF(ConfirmedRaw!$B:$B,$A88,ConfirmedRaw!BL:BL)</f>
        <v>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0</v>
      </c>
      <c r="BI89">
        <f>SUMIF(ConfirmedRaw!$B:$B,$A89,ConfirmedRaw!BL:BL)</f>
        <v>0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0</v>
      </c>
      <c r="BI90">
        <f>SUMIF(ConfirmedRaw!$B:$B,$A90,ConfirmedRaw!BL:BL)</f>
        <v>0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0</v>
      </c>
      <c r="BI91">
        <f>SUMIF(ConfirmedRaw!$B:$B,$A91,ConfirmedRaw!BL:BL)</f>
        <v>0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0</v>
      </c>
      <c r="BI92">
        <f>SUMIF(ConfirmedRaw!$B:$B,$A92,ConfirmedRaw!BL:BL)</f>
        <v>0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0</v>
      </c>
      <c r="BI94">
        <f>SUMIF(ConfirmedRaw!$B:$B,$A94,ConfirmedRaw!BL:BL)</f>
        <v>0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0</v>
      </c>
      <c r="BI96">
        <f>SUMIF(ConfirmedRaw!$B:$B,$A96,ConfirmedRaw!BL:BL)</f>
        <v>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0</v>
      </c>
      <c r="BI97">
        <f>SUMIF(ConfirmedRaw!$B:$B,$A97,ConfirmedRaw!BL:BL)</f>
        <v>0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0</v>
      </c>
      <c r="BI98">
        <f>SUMIF(ConfirmedRaw!$B:$B,$A98,ConfirmedRaw!BL:BL)</f>
        <v>0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0</v>
      </c>
      <c r="BI99">
        <f>SUMIF(ConfirmedRaw!$B:$B,$A99,ConfirmedRaw!BL:BL)</f>
        <v>0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0</v>
      </c>
      <c r="BI100">
        <f>SUMIF(ConfirmedRaw!$B:$B,$A100,ConfirmedRaw!BL:BL)</f>
        <v>0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0</v>
      </c>
      <c r="BI102">
        <f>SUMIF(ConfirmedRaw!$B:$B,$A102,ConfirmedRaw!BL:BL)</f>
        <v>0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0</v>
      </c>
      <c r="BI104">
        <f>SUMIF(ConfirmedRaw!$B:$B,$A104,ConfirmedRaw!BL:BL)</f>
        <v>0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0</v>
      </c>
      <c r="BI105">
        <f>SUMIF(ConfirmedRaw!$B:$B,$A105,ConfirmedRaw!BL:BL)</f>
        <v>0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0</v>
      </c>
      <c r="BI106">
        <f>SUMIF(ConfirmedRaw!$B:$B,$A106,ConfirmedRaw!BL:BL)</f>
        <v>0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0</v>
      </c>
      <c r="BI107">
        <f>SUMIF(ConfirmedRaw!$B:$B,$A107,ConfirmedRaw!BL:BL)</f>
        <v>0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0</v>
      </c>
      <c r="BI108">
        <f>SUMIF(ConfirmedRaw!$B:$B,$A108,ConfirmedRaw!BL:BL)</f>
        <v>0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0</v>
      </c>
      <c r="BI109">
        <f>SUMIF(ConfirmedRaw!$B:$B,$A109,ConfirmedRaw!BL:BL)</f>
        <v>0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0</v>
      </c>
      <c r="BI110">
        <f>SUMIF(ConfirmedRaw!$B:$B,$A110,ConfirmedRaw!BL:BL)</f>
        <v>0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0</v>
      </c>
      <c r="BI111">
        <f>SUMIF(ConfirmedRaw!$B:$B,$A111,ConfirmedRaw!BL:BL)</f>
        <v>0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0</v>
      </c>
      <c r="BI112">
        <f>SUMIF(ConfirmedRaw!$B:$B,$A112,ConfirmedRaw!BL:BL)</f>
        <v>0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0</v>
      </c>
      <c r="BI114">
        <f>SUMIF(ConfirmedRaw!$B:$B,$A114,ConfirmedRaw!BL:BL)</f>
        <v>0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0</v>
      </c>
      <c r="BI115">
        <f>SUMIF(ConfirmedRaw!$B:$B,$A115,ConfirmedRaw!BL:BL)</f>
        <v>0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0</v>
      </c>
      <c r="BI117">
        <f>SUMIF(ConfirmedRaw!$B:$B,$A117,ConfirmedRaw!BL:BL)</f>
        <v>0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0</v>
      </c>
      <c r="BI118">
        <f>SUMIF(ConfirmedRaw!$B:$B,$A118,ConfirmedRaw!BL:BL)</f>
        <v>0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0</v>
      </c>
      <c r="BI119">
        <f>SUMIF(ConfirmedRaw!$B:$B,$A119,ConfirmedRaw!BL:BL)</f>
        <v>0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0</v>
      </c>
      <c r="BI120">
        <f>SUMIF(ConfirmedRaw!$B:$B,$A120,ConfirmedRaw!BL:BL)</f>
        <v>0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0</v>
      </c>
      <c r="BI121">
        <f>SUMIF(ConfirmedRaw!$B:$B,$A121,ConfirmedRaw!BL:BL)</f>
        <v>0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0</v>
      </c>
      <c r="BI122">
        <f>SUMIF(ConfirmedRaw!$B:$B,$A122,ConfirmedRaw!BL:BL)</f>
        <v>0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0</v>
      </c>
      <c r="BI123">
        <f>SUMIF(ConfirmedRaw!$B:$B,$A123,ConfirmedRaw!BL:BL)</f>
        <v>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0</v>
      </c>
      <c r="BI124">
        <f>SUMIF(ConfirmedRaw!$B:$B,$A124,ConfirmedRaw!BL:BL)</f>
        <v>0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0</v>
      </c>
      <c r="BI125">
        <f>SUMIF(ConfirmedRaw!$B:$B,$A125,ConfirmedRaw!BL:BL)</f>
        <v>0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0</v>
      </c>
      <c r="BI126">
        <f>SUMIF(ConfirmedRaw!$B:$B,$A126,ConfirmedRaw!BL:BL)</f>
        <v>0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0</v>
      </c>
      <c r="BI2">
        <f>SUMIF(RecoveredRaw!$B:$B,$A2,RecoveredRaw!BL:BL)</f>
        <v>0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0</v>
      </c>
      <c r="BI3">
        <f>SUMIF(RecoveredRaw!$B:$B,$A3,RecoveredRaw!BL:BL)</f>
        <v>0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0</v>
      </c>
      <c r="BI4">
        <f>SUMIF(RecoveredRaw!$B:$B,$A4,RecoveredRaw!BL:BL)</f>
        <v>0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0</v>
      </c>
      <c r="BI5">
        <f>SUMIF(RecoveredRaw!$B:$B,$A5,RecoveredRaw!BL:BL)</f>
        <v>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0</v>
      </c>
      <c r="BI6">
        <f>SUMIF(RecoveredRaw!$B:$B,$A6,RecoveredRaw!BL:BL)</f>
        <v>0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0</v>
      </c>
      <c r="BI7">
        <f>SUMIF(RecoveredRaw!$B:$B,$A7,RecoveredRaw!BL:BL)</f>
        <v>0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0</v>
      </c>
      <c r="BI8">
        <f>SUMIF(RecoveredRaw!$B:$B,$A8,RecoveredRaw!BL:BL)</f>
        <v>0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0</v>
      </c>
      <c r="BI10">
        <f>SUMIF(RecoveredRaw!$B:$B,$A10,RecoveredRaw!BL:BL)</f>
        <v>0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0</v>
      </c>
      <c r="BI11">
        <f>SUMIF(RecoveredRaw!$B:$B,$A11,RecoveredRaw!BL:BL)</f>
        <v>0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0</v>
      </c>
      <c r="BI12">
        <f>SUMIF(RecoveredRaw!$B:$B,$A12,RecoveredRaw!BL:BL)</f>
        <v>0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0</v>
      </c>
      <c r="BI13">
        <f>SUMIF(RecoveredRaw!$B:$B,$A13,RecoveredRaw!BL:BL)</f>
        <v>0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0</v>
      </c>
      <c r="BI14">
        <f>SUMIF(RecoveredRaw!$B:$B,$A14,RecoveredRaw!BL:BL)</f>
        <v>0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0</v>
      </c>
      <c r="BI15">
        <f>SUMIF(RecoveredRaw!$B:$B,$A15,RecoveredRaw!BL:BL)</f>
        <v>0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0</v>
      </c>
      <c r="BI16">
        <f>SUMIF(RecoveredRaw!$B:$B,$A16,RecoveredRaw!BL:BL)</f>
        <v>0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0</v>
      </c>
      <c r="BI17">
        <f>SUMIF(RecoveredRaw!$B:$B,$A17,RecoveredRaw!BL:BL)</f>
        <v>0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0</v>
      </c>
      <c r="BI18">
        <f>SUMIF(RecoveredRaw!$B:$B,$A18,RecoveredRaw!BL:BL)</f>
        <v>0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0</v>
      </c>
      <c r="BI19">
        <f>SUMIF(RecoveredRaw!$B:$B,$A19,RecoveredRaw!BL:BL)</f>
        <v>0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0</v>
      </c>
      <c r="BI20">
        <f>SUMIF(RecoveredRaw!$B:$B,$A20,RecoveredRaw!BL:BL)</f>
        <v>0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0</v>
      </c>
      <c r="BI21">
        <f>SUMIF(RecoveredRaw!$B:$B,$A21,RecoveredRaw!BL:BL)</f>
        <v>0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0</v>
      </c>
      <c r="BI22">
        <f>SUMIF(RecoveredRaw!$B:$B,$A22,RecoveredRaw!BL:BL)</f>
        <v>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0</v>
      </c>
      <c r="BI23">
        <f>SUMIF(RecoveredRaw!$B:$B,$A23,RecoveredRaw!BL:BL)</f>
        <v>0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0</v>
      </c>
      <c r="BI24">
        <f>SUMIF(RecoveredRaw!$B:$B,$A24,RecoveredRaw!BL:BL)</f>
        <v>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0</v>
      </c>
      <c r="BI25">
        <f>SUMIF(RecoveredRaw!$B:$B,$A25,RecoveredRaw!BL:BL)</f>
        <v>0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0</v>
      </c>
      <c r="BI26">
        <f>SUMIF(RecoveredRaw!$B:$B,$A26,RecoveredRaw!BL:BL)</f>
        <v>0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0</v>
      </c>
      <c r="BI27">
        <f>SUMIF(RecoveredRaw!$B:$B,$A27,RecoveredRaw!BL:BL)</f>
        <v>0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0</v>
      </c>
      <c r="BI28">
        <f>SUMIF(RecoveredRaw!$B:$B,$A28,RecoveredRaw!BL:BL)</f>
        <v>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0</v>
      </c>
      <c r="BI29">
        <f>SUMIF(RecoveredRaw!$B:$B,$A29,RecoveredRaw!BL:BL)</f>
        <v>0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0</v>
      </c>
      <c r="BI30">
        <f>SUMIF(RecoveredRaw!$B:$B,$A30,RecoveredRaw!BL:BL)</f>
        <v>0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0</v>
      </c>
      <c r="BI32">
        <f>SUMIF(RecoveredRaw!$B:$B,$A32,RecoveredRaw!BL:BL)</f>
        <v>0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0</v>
      </c>
      <c r="BI33">
        <f>SUMIF(RecoveredRaw!$B:$B,$A33,RecoveredRaw!BL:BL)</f>
        <v>0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0</v>
      </c>
      <c r="BI34">
        <f>SUMIF(RecoveredRaw!$B:$B,$A34,RecoveredRaw!BL:BL)</f>
        <v>0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0</v>
      </c>
      <c r="BI35">
        <f>SUMIF(RecoveredRaw!$B:$B,$A35,RecoveredRaw!BL:BL)</f>
        <v>0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0</v>
      </c>
      <c r="BI36">
        <f>SUMIF(RecoveredRaw!$B:$B,$A36,RecoveredRaw!BL:BL)</f>
        <v>0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0</v>
      </c>
      <c r="BI37">
        <f>SUMIF(RecoveredRaw!$B:$B,$A37,RecoveredRaw!BL:BL)</f>
        <v>0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0</v>
      </c>
      <c r="BI38">
        <f>SUMIF(RecoveredRaw!$B:$B,$A38,RecoveredRaw!BL:BL)</f>
        <v>0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0</v>
      </c>
      <c r="BI39">
        <f>SUMIF(RecoveredRaw!$B:$B,$A39,RecoveredRaw!BL:BL)</f>
        <v>0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0</v>
      </c>
      <c r="BI40">
        <f>SUMIF(RecoveredRaw!$B:$B,$A40,RecoveredRaw!BL:BL)</f>
        <v>0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0</v>
      </c>
      <c r="BI41">
        <f>SUMIF(RecoveredRaw!$B:$B,$A41,RecoveredRaw!BL:BL)</f>
        <v>0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0</v>
      </c>
      <c r="BI42">
        <f>SUMIF(RecoveredRaw!$B:$B,$A42,RecoveredRaw!BL:BL)</f>
        <v>0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0</v>
      </c>
      <c r="BI43">
        <f>SUMIF(RecoveredRaw!$B:$B,$A43,RecoveredRaw!BL:BL)</f>
        <v>0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0</v>
      </c>
      <c r="BI44">
        <f>SUMIF(RecoveredRaw!$B:$B,$A44,RecoveredRaw!BL:BL)</f>
        <v>0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0</v>
      </c>
      <c r="BI45">
        <f>SUMIF(RecoveredRaw!$B:$B,$A45,RecoveredRaw!BL:BL)</f>
        <v>0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0</v>
      </c>
      <c r="BI46">
        <f>SUMIF(RecoveredRaw!$B:$B,$A46,RecoveredRaw!BL:BL)</f>
        <v>0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0</v>
      </c>
      <c r="BI47">
        <f>SUMIF(RecoveredRaw!$B:$B,$A47,RecoveredRaw!BL:BL)</f>
        <v>0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0</v>
      </c>
      <c r="BI48">
        <f>SUMIF(RecoveredRaw!$B:$B,$A48,RecoveredRaw!BL:BL)</f>
        <v>0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0</v>
      </c>
      <c r="BI49">
        <f>SUMIF(RecoveredRaw!$B:$B,$A49,RecoveredRaw!BL:BL)</f>
        <v>0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0</v>
      </c>
      <c r="BI50">
        <f>SUMIF(RecoveredRaw!$B:$B,$A50,RecoveredRaw!BL:BL)</f>
        <v>0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0</v>
      </c>
      <c r="BI51">
        <f>SUMIF(RecoveredRaw!$B:$B,$A51,RecoveredRaw!BL:BL)</f>
        <v>0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0</v>
      </c>
      <c r="BI52">
        <f>SUMIF(RecoveredRaw!$B:$B,$A52,RecoveredRaw!BL:BL)</f>
        <v>0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0</v>
      </c>
      <c r="BI53">
        <f>SUMIF(RecoveredRaw!$B:$B,$A53,RecoveredRaw!BL:BL)</f>
        <v>0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0</v>
      </c>
      <c r="BI54">
        <f>SUMIF(RecoveredRaw!$B:$B,$A54,RecoveredRaw!BL:BL)</f>
        <v>0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0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0</v>
      </c>
      <c r="BI57">
        <f>SUMIF(RecoveredRaw!$B:$B,$A57,RecoveredRaw!BL:BL)</f>
        <v>0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0</v>
      </c>
      <c r="BI59">
        <f>SUMIF(RecoveredRaw!$B:$B,$A59,RecoveredRaw!BL:BL)</f>
        <v>0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0</v>
      </c>
      <c r="BI60">
        <f>SUMIF(RecoveredRaw!$B:$B,$A60,RecoveredRaw!BL:BL)</f>
        <v>0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0</v>
      </c>
      <c r="BI61">
        <f>SUMIF(RecoveredRaw!$B:$B,$A61,RecoveredRaw!BL:BL)</f>
        <v>0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0</v>
      </c>
      <c r="BI62">
        <f>SUMIF(RecoveredRaw!$B:$B,$A62,RecoveredRaw!BL:BL)</f>
        <v>0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0</v>
      </c>
      <c r="BI64">
        <f>SUMIF(RecoveredRaw!$B:$B,$A64,RecoveredRaw!BL:BL)</f>
        <v>0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0</v>
      </c>
      <c r="BI65">
        <f>SUMIF(RecoveredRaw!$B:$B,$A65,RecoveredRaw!BL:BL)</f>
        <v>0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0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0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0</v>
      </c>
      <c r="BI69">
        <f>SUMIF(RecoveredRaw!$B:$B,$A69,RecoveredRaw!BL:BL)</f>
        <v>0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0</v>
      </c>
      <c r="BI70">
        <f>SUMIF(RecoveredRaw!$B:$B,$A70,RecoveredRaw!BL:BL)</f>
        <v>0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0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0</v>
      </c>
      <c r="BI72">
        <f>SUMIF(RecoveredRaw!$B:$B,$A72,RecoveredRaw!BL:BL)</f>
        <v>0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0</v>
      </c>
      <c r="BI74">
        <f>SUMIF(RecoveredRaw!$B:$B,$A74,RecoveredRaw!BL:BL)</f>
        <v>0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0</v>
      </c>
      <c r="BI76">
        <f>SUMIF(RecoveredRaw!$B:$B,$A76,RecoveredRaw!BL:BL)</f>
        <v>0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0</v>
      </c>
      <c r="BI77">
        <f>SUMIF(RecoveredRaw!$B:$B,$A77,RecoveredRaw!BL:BL)</f>
        <v>0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0</v>
      </c>
      <c r="BI78">
        <f>SUMIF(RecoveredRaw!$B:$B,$A78,RecoveredRaw!BL:BL)</f>
        <v>0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0</v>
      </c>
      <c r="BI79">
        <f>SUMIF(RecoveredRaw!$B:$B,$A79,RecoveredRaw!BL:BL)</f>
        <v>0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0</v>
      </c>
      <c r="BI80">
        <f>SUMIF(RecoveredRaw!$B:$B,$A80,RecoveredRaw!BL:BL)</f>
        <v>0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0</v>
      </c>
      <c r="BI81">
        <f>SUMIF(RecoveredRaw!$B:$B,$A81,RecoveredRaw!BL:BL)</f>
        <v>0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0</v>
      </c>
      <c r="BI83">
        <f>SUMIF(RecoveredRaw!$B:$B,$A83,RecoveredRaw!BL:BL)</f>
        <v>0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0</v>
      </c>
      <c r="BI84">
        <f>SUMIF(RecoveredRaw!$B:$B,$A84,RecoveredRaw!BL:BL)</f>
        <v>0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0</v>
      </c>
      <c r="BI85">
        <f>SUMIF(RecoveredRaw!$B:$B,$A85,RecoveredRaw!BL:BL)</f>
        <v>0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0</v>
      </c>
      <c r="BI86">
        <f>SUMIF(RecoveredRaw!$B:$B,$A86,RecoveredRaw!BL:BL)</f>
        <v>0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0</v>
      </c>
      <c r="BI87">
        <f>SUMIF(RecoveredRaw!$B:$B,$A87,RecoveredRaw!BL:BL)</f>
        <v>0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0</v>
      </c>
      <c r="BI88">
        <f>SUMIF(RecoveredRaw!$B:$B,$A88,RecoveredRaw!BL:BL)</f>
        <v>0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0</v>
      </c>
      <c r="BI90">
        <f>SUMIF(RecoveredRaw!$B:$B,$A90,RecoveredRaw!BL:BL)</f>
        <v>0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0</v>
      </c>
      <c r="BI91">
        <f>SUMIF(RecoveredRaw!$B:$B,$A91,RecoveredRaw!BL:BL)</f>
        <v>0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0</v>
      </c>
      <c r="BI99">
        <f>SUMIF(RecoveredRaw!$B:$B,$A99,RecoveredRaw!BL:BL)</f>
        <v>0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0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0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0</v>
      </c>
      <c r="BI109">
        <f>SUMIF(RecoveredRaw!$B:$B,$A109,RecoveredRaw!BL:BL)</f>
        <v>0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0</v>
      </c>
      <c r="BI110">
        <f>SUMIF(RecoveredRaw!$B:$B,$A110,RecoveredRaw!BL:BL)</f>
        <v>0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0</v>
      </c>
      <c r="BI114">
        <f>SUMIF(RecoveredRaw!$B:$B,$A114,RecoveredRaw!BL:BL)</f>
        <v>0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0</v>
      </c>
      <c r="BI120">
        <f>SUMIF(RecoveredRaw!$B:$B,$A120,RecoveredRaw!BL:BL)</f>
        <v>0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0</v>
      </c>
      <c r="BI124">
        <f>SUMIF(RecoveredRaw!$B:$B,$A124,RecoveredRaw!BL:BL)</f>
        <v>0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0</v>
      </c>
      <c r="BI126">
        <f>SUMIF(RecoveredRaw!$B:$B,$A126,RecoveredRaw!BL:BL)</f>
        <v>0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0</v>
      </c>
      <c r="BI2">
        <f>SUMIF(DeadRaw!$B:$B,$A2,DeadRaw!BL:BL)</f>
        <v>0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0</v>
      </c>
      <c r="BI3">
        <f>SUMIF(DeadRaw!$B:$B,$A3,DeadRaw!BL:BL)</f>
        <v>0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0</v>
      </c>
      <c r="BI4">
        <f>SUMIF(DeadRaw!$B:$B,$A4,DeadRaw!BL:BL)</f>
        <v>0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0</v>
      </c>
      <c r="BI5">
        <f>SUMIF(DeadRaw!$B:$B,$A5,DeadRaw!BL:BL)</f>
        <v>0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0</v>
      </c>
      <c r="BI6">
        <f>SUMIF(DeadRaw!$B:$B,$A6,DeadRaw!BL:BL)</f>
        <v>0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0</v>
      </c>
      <c r="BI7">
        <f>SUMIF(DeadRaw!$B:$B,$A7,DeadRaw!BL:BL)</f>
        <v>0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0</v>
      </c>
      <c r="BI8">
        <f>SUMIF(DeadRaw!$B:$B,$A8,DeadRaw!BL:BL)</f>
        <v>0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0</v>
      </c>
      <c r="BI9">
        <f>SUMIF(DeadRaw!$B:$B,$A9,DeadRaw!BL:BL)</f>
        <v>0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0</v>
      </c>
      <c r="BI10">
        <f>SUMIF(DeadRaw!$B:$B,$A10,DeadRaw!BL:BL)</f>
        <v>0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0</v>
      </c>
      <c r="BI11">
        <f>SUMIF(DeadRaw!$B:$B,$A11,DeadRaw!BL:BL)</f>
        <v>0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0</v>
      </c>
      <c r="BI12">
        <f>SUMIF(DeadRaw!$B:$B,$A12,DeadRaw!BL:BL)</f>
        <v>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0</v>
      </c>
      <c r="BI13">
        <f>SUMIF(DeadRaw!$B:$B,$A13,DeadRaw!BL:BL)</f>
        <v>0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0</v>
      </c>
      <c r="BI14">
        <f>SUMIF(DeadRaw!$B:$B,$A14,DeadRaw!BL:BL)</f>
        <v>0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0</v>
      </c>
      <c r="BI15">
        <f>SUMIF(DeadRaw!$B:$B,$A15,DeadRaw!BL:BL)</f>
        <v>0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0</v>
      </c>
      <c r="BI16">
        <f>SUMIF(DeadRaw!$B:$B,$A16,DeadRaw!BL:BL)</f>
        <v>0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0</v>
      </c>
      <c r="BI18">
        <f>SUMIF(DeadRaw!$B:$B,$A18,DeadRaw!BL:BL)</f>
        <v>0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0</v>
      </c>
      <c r="BI19">
        <f>SUMIF(DeadRaw!$B:$B,$A19,DeadRaw!BL:BL)</f>
        <v>0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0</v>
      </c>
      <c r="BI21">
        <f>SUMIF(DeadRaw!$B:$B,$A21,DeadRaw!BL:BL)</f>
        <v>0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0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0</v>
      </c>
      <c r="BI23">
        <f>SUMIF(DeadRaw!$B:$B,$A23,DeadRaw!BL:BL)</f>
        <v>0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0</v>
      </c>
      <c r="BI24">
        <f>SUMIF(DeadRaw!$B:$B,$A24,DeadRaw!BL:BL)</f>
        <v>0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0</v>
      </c>
      <c r="BI25">
        <f>SUMIF(DeadRaw!$B:$B,$A25,DeadRaw!BL:BL)</f>
        <v>0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0</v>
      </c>
      <c r="BI26">
        <f>SUMIF(DeadRaw!$B:$B,$A26,DeadRaw!BL:BL)</f>
        <v>0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0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0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0</v>
      </c>
      <c r="BI29">
        <f>SUMIF(DeadRaw!$B:$B,$A29,DeadRaw!BL:BL)</f>
        <v>0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0</v>
      </c>
      <c r="BI31">
        <f>SUMIF(DeadRaw!$B:$B,$A31,DeadRaw!BL:BL)</f>
        <v>0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0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0</v>
      </c>
      <c r="BI33">
        <f>SUMIF(DeadRaw!$B:$B,$A33,DeadRaw!BL:BL)</f>
        <v>0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0</v>
      </c>
      <c r="BI34">
        <f>SUMIF(DeadRaw!$B:$B,$A34,DeadRaw!BL:BL)</f>
        <v>0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0</v>
      </c>
      <c r="BI35">
        <f>SUMIF(DeadRaw!$B:$B,$A35,DeadRaw!BL:BL)</f>
        <v>0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0</v>
      </c>
      <c r="BI38">
        <f>SUMIF(DeadRaw!$B:$B,$A38,DeadRaw!BL:BL)</f>
        <v>0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0</v>
      </c>
      <c r="BI39">
        <f>SUMIF(DeadRaw!$B:$B,$A39,DeadRaw!BL:BL)</f>
        <v>0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0</v>
      </c>
      <c r="BI40">
        <f>SUMIF(DeadRaw!$B:$B,$A40,DeadRaw!BL:BL)</f>
        <v>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0</v>
      </c>
      <c r="BI42">
        <f>SUMIF(DeadRaw!$B:$B,$A42,DeadRaw!BL:BL)</f>
        <v>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0</v>
      </c>
      <c r="BI44">
        <f>SUMIF(DeadRaw!$B:$B,$A44,DeadRaw!BL:BL)</f>
        <v>0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0</v>
      </c>
      <c r="BI45">
        <f>SUMIF(DeadRaw!$B:$B,$A45,DeadRaw!BL:BL)</f>
        <v>0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0</v>
      </c>
      <c r="BI46">
        <f>SUMIF(DeadRaw!$B:$B,$A46,DeadRaw!BL:BL)</f>
        <v>0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0</v>
      </c>
      <c r="BI47">
        <f>SUMIF(DeadRaw!$B:$B,$A47,DeadRaw!BL:BL)</f>
        <v>0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0</v>
      </c>
      <c r="BI48">
        <f>SUMIF(DeadRaw!$B:$B,$A48,DeadRaw!BL:BL)</f>
        <v>0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0</v>
      </c>
      <c r="BI49">
        <f>SUMIF(DeadRaw!$B:$B,$A49,DeadRaw!BL:BL)</f>
        <v>0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0</v>
      </c>
      <c r="BI51">
        <f>SUMIF(DeadRaw!$B:$B,$A51,DeadRaw!BL:BL)</f>
        <v>0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0</v>
      </c>
      <c r="BI54">
        <f>SUMIF(DeadRaw!$B:$B,$A54,DeadRaw!BL:BL)</f>
        <v>0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0</v>
      </c>
      <c r="BI55">
        <f>SUMIF(DeadRaw!$B:$B,$A55,DeadRaw!BL:BL)</f>
        <v>0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0</v>
      </c>
      <c r="BI56">
        <f>SUMIF(DeadRaw!$B:$B,$A56,DeadRaw!BL:BL)</f>
        <v>0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0</v>
      </c>
      <c r="BI57">
        <f>SUMIF(DeadRaw!$B:$B,$A57,DeadRaw!BL:BL)</f>
        <v>0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0</v>
      </c>
      <c r="BI58">
        <f>SUMIF(DeadRaw!$B:$B,$A58,DeadRaw!BL:BL)</f>
        <v>0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0</v>
      </c>
      <c r="BI59">
        <f>SUMIF(DeadRaw!$B:$B,$A59,DeadRaw!BL:BL)</f>
        <v>0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0</v>
      </c>
      <c r="BI60">
        <f>SUMIF(DeadRaw!$B:$B,$A60,DeadRaw!BL:BL)</f>
        <v>0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0</v>
      </c>
      <c r="BI61">
        <f>SUMIF(DeadRaw!$B:$B,$A61,DeadRaw!BL:BL)</f>
        <v>0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0</v>
      </c>
      <c r="BI63">
        <f>SUMIF(DeadRaw!$B:$B,$A63,DeadRaw!BL:BL)</f>
        <v>0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0</v>
      </c>
      <c r="BI64">
        <f>SUMIF(DeadRaw!$B:$B,$A64,DeadRaw!BL:BL)</f>
        <v>0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0</v>
      </c>
      <c r="BI67">
        <f>SUMIF(DeadRaw!$B:$B,$A67,DeadRaw!BL:BL)</f>
        <v>0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0</v>
      </c>
      <c r="BI68">
        <f>SUMIF(DeadRaw!$B:$B,$A68,DeadRaw!BL:BL)</f>
        <v>0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0</v>
      </c>
      <c r="BI69">
        <f>SUMIF(DeadRaw!$B:$B,$A69,DeadRaw!BL:BL)</f>
        <v>0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0</v>
      </c>
      <c r="BI71">
        <f>SUMIF(DeadRaw!$B:$B,$A71,DeadRaw!BL:BL)</f>
        <v>0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0</v>
      </c>
      <c r="BI73">
        <f>SUMIF(DeadRaw!$B:$B,$A73,DeadRaw!BL:BL)</f>
        <v>0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0</v>
      </c>
      <c r="BI74">
        <f>SUMIF(DeadRaw!$B:$B,$A74,DeadRaw!BL:BL)</f>
        <v>0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0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0</v>
      </c>
      <c r="BI80">
        <f>SUMIF(DeadRaw!$B:$B,$A80,DeadRaw!BL:BL)</f>
        <v>0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0</v>
      </c>
      <c r="BI84">
        <f>SUMIF(DeadRaw!$B:$B,$A84,DeadRaw!BL:BL)</f>
        <v>0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0</v>
      </c>
      <c r="BI86">
        <f>SUMIF(DeadRaw!$B:$B,$A86,DeadRaw!BL:BL)</f>
        <v>0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0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0</v>
      </c>
      <c r="BI88">
        <f>SUMIF(DeadRaw!$B:$B,$A88,DeadRaw!BL:BL)</f>
        <v>0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0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0</v>
      </c>
      <c r="BI92">
        <f>SUMIF(DeadRaw!$B:$B,$A92,DeadRaw!BL:BL)</f>
        <v>0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0</v>
      </c>
      <c r="BI96">
        <f>SUMIF(DeadRaw!$B:$B,$A96,DeadRaw!BL:BL)</f>
        <v>0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0</v>
      </c>
      <c r="BI97">
        <f>SUMIF(DeadRaw!$B:$B,$A97,DeadRaw!BL:BL)</f>
        <v>0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0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0</v>
      </c>
      <c r="BI99">
        <f>SUMIF(DeadRaw!$B:$B,$A99,DeadRaw!BL:BL)</f>
        <v>0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0</v>
      </c>
      <c r="BI102">
        <f>SUMIF(DeadRaw!$B:$B,$A102,DeadRaw!BL:BL)</f>
        <v>0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0</v>
      </c>
      <c r="BI104">
        <f>SUMIF(DeadRaw!$B:$B,$A104,DeadRaw!BL:BL)</f>
        <v>0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0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0</v>
      </c>
      <c r="BI118">
        <f>SUMIF(DeadRaw!$B:$B,$A118,DeadRaw!BL:BL)</f>
        <v>0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0</v>
      </c>
      <c r="BI125">
        <f>SUMIF(DeadRaw!$B:$B,$A125,DeadRaw!BL:BL)</f>
        <v>0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J469"/>
  <sheetViews>
    <sheetView topLeftCell="AR395" workbookViewId="0">
      <selection activeCell="BJ406" sqref="BJ406"/>
    </sheetView>
  </sheetViews>
  <sheetFormatPr defaultRowHeight="14.4" x14ac:dyDescent="0.3"/>
  <cols>
    <col min="5" max="62" width="10.5546875" bestFit="1" customWidth="1"/>
  </cols>
  <sheetData>
    <row r="1" spans="1:6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</row>
    <row r="2" spans="1:62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</row>
    <row r="3" spans="1:62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</row>
    <row r="158" spans="1:62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</row>
    <row r="192" spans="1:62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3269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</row>
    <row r="412" spans="1:62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</row>
    <row r="413" spans="1:62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</row>
    <row r="414" spans="1:62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</row>
    <row r="460" spans="1:62" x14ac:dyDescent="0.3">
      <c r="B460" t="s">
        <v>519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</row>
    <row r="462" spans="1:62" x14ac:dyDescent="0.3">
      <c r="B462" t="s">
        <v>530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</row>
    <row r="464" spans="1:62" x14ac:dyDescent="0.3">
      <c r="A464" t="s">
        <v>531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</row>
    <row r="465" spans="1:62" x14ac:dyDescent="0.3">
      <c r="A465" t="s">
        <v>532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</row>
    <row r="466" spans="1:62" x14ac:dyDescent="0.3">
      <c r="B466" t="s">
        <v>533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</row>
    <row r="467" spans="1:62" x14ac:dyDescent="0.3">
      <c r="B467" t="s">
        <v>534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</row>
    <row r="468" spans="1:62" x14ac:dyDescent="0.3">
      <c r="B468" t="s">
        <v>535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</row>
    <row r="469" spans="1:62" x14ac:dyDescent="0.3">
      <c r="B469" t="s">
        <v>536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J469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</row>
    <row r="2" spans="1:62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</row>
    <row r="3" spans="1:62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</row>
    <row r="158" spans="1:62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</row>
    <row r="192" spans="1:62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</row>
    <row r="412" spans="1:62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</row>
    <row r="413" spans="1:62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</row>
    <row r="414" spans="1:62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</row>
    <row r="460" spans="1:62" x14ac:dyDescent="0.3">
      <c r="B460" t="s">
        <v>519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</row>
    <row r="462" spans="1:62" x14ac:dyDescent="0.3">
      <c r="B462" t="s">
        <v>530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</row>
    <row r="464" spans="1:62" x14ac:dyDescent="0.3">
      <c r="A464" t="s">
        <v>531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</row>
    <row r="465" spans="1:62" x14ac:dyDescent="0.3">
      <c r="A465" t="s">
        <v>532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</row>
    <row r="466" spans="1:62" x14ac:dyDescent="0.3">
      <c r="B466" t="s">
        <v>533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</row>
    <row r="467" spans="1:62" x14ac:dyDescent="0.3">
      <c r="B467" t="s">
        <v>534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</row>
    <row r="468" spans="1:62" x14ac:dyDescent="0.3">
      <c r="B468" t="s">
        <v>535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</row>
    <row r="469" spans="1:62" x14ac:dyDescent="0.3">
      <c r="B469" t="s">
        <v>536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J469"/>
  <sheetViews>
    <sheetView topLeftCell="AM1" workbookViewId="0">
      <selection sqref="A1:CA1000"/>
    </sheetView>
  </sheetViews>
  <sheetFormatPr defaultRowHeight="14.4" x14ac:dyDescent="0.3"/>
  <sheetData>
    <row r="1" spans="1:6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</row>
    <row r="2" spans="1:62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</row>
    <row r="3" spans="1:62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</row>
    <row r="4" spans="1:62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</row>
    <row r="5" spans="1:62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</row>
    <row r="6" spans="1:62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</row>
    <row r="7" spans="1:62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</row>
    <row r="8" spans="1:62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</row>
    <row r="9" spans="1:62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</row>
    <row r="10" spans="1:62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</row>
    <row r="11" spans="1:62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</row>
    <row r="12" spans="1:62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</row>
    <row r="13" spans="1:62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</row>
    <row r="14" spans="1:62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</row>
    <row r="15" spans="1:62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</row>
    <row r="16" spans="1:62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</row>
    <row r="17" spans="1:62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</row>
    <row r="18" spans="1:62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</row>
    <row r="19" spans="1:62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</row>
    <row r="20" spans="1:62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</row>
    <row r="21" spans="1:62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</row>
    <row r="22" spans="1:62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</row>
    <row r="23" spans="1:62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</row>
    <row r="24" spans="1:62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</row>
    <row r="26" spans="1:62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</row>
    <row r="27" spans="1:62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</row>
    <row r="28" spans="1:62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</row>
    <row r="29" spans="1:62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</row>
    <row r="30" spans="1:62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</row>
    <row r="31" spans="1:62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</row>
    <row r="32" spans="1:62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</row>
    <row r="33" spans="2:62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</row>
    <row r="34" spans="2:62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</row>
    <row r="35" spans="2:62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</row>
    <row r="36" spans="2:62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</row>
    <row r="37" spans="2:62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</row>
    <row r="38" spans="2:62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</row>
    <row r="39" spans="2:62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</row>
    <row r="40" spans="2:62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</row>
    <row r="41" spans="2:62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</row>
    <row r="42" spans="2:62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</row>
    <row r="43" spans="2:62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</row>
    <row r="44" spans="2:62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</row>
    <row r="45" spans="2:62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</row>
    <row r="46" spans="2:62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</row>
    <row r="47" spans="2:62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</row>
    <row r="48" spans="2:62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</row>
    <row r="49" spans="1:62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</row>
    <row r="50" spans="1:62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</row>
    <row r="51" spans="1:62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</row>
    <row r="52" spans="1:62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</row>
    <row r="53" spans="1:62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</row>
    <row r="54" spans="1:62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</row>
    <row r="55" spans="1:62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</row>
    <row r="56" spans="1:62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</row>
    <row r="57" spans="1:62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</row>
    <row r="58" spans="1:62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</row>
    <row r="59" spans="1:62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</row>
    <row r="60" spans="1:62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</row>
    <row r="61" spans="1:62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</row>
    <row r="62" spans="1:62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</row>
    <row r="63" spans="1:62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</row>
    <row r="64" spans="1:62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</row>
    <row r="65" spans="1:62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</row>
    <row r="66" spans="1:62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</row>
    <row r="67" spans="1:62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</row>
    <row r="68" spans="1:62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</row>
    <row r="69" spans="1:62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</row>
    <row r="70" spans="1:62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</row>
    <row r="71" spans="1:62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</row>
    <row r="72" spans="1:62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</row>
    <row r="73" spans="1:62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</row>
    <row r="74" spans="1:62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</row>
    <row r="75" spans="1:62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</row>
    <row r="76" spans="1:62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</row>
    <row r="77" spans="1:62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</row>
    <row r="78" spans="1:62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</row>
    <row r="79" spans="1:62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</row>
    <row r="80" spans="1:62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</row>
    <row r="81" spans="1:62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</row>
    <row r="82" spans="1:62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</row>
    <row r="83" spans="1:62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</row>
    <row r="84" spans="1:62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</row>
    <row r="85" spans="1:62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</row>
    <row r="86" spans="1:62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</row>
    <row r="87" spans="1:62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</row>
    <row r="88" spans="1:62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</row>
    <row r="89" spans="1:62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</row>
    <row r="90" spans="1:62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</row>
    <row r="91" spans="1:62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</row>
    <row r="92" spans="1:62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</row>
    <row r="93" spans="1:62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</row>
    <row r="94" spans="1:62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</row>
    <row r="95" spans="1:62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</row>
    <row r="96" spans="1:62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</row>
    <row r="97" spans="1:62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</row>
    <row r="98" spans="1:62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</row>
    <row r="99" spans="1:62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</row>
    <row r="100" spans="1:62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</row>
    <row r="101" spans="1:62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</row>
    <row r="102" spans="1:62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</row>
    <row r="103" spans="1:62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</row>
    <row r="104" spans="1:62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</row>
    <row r="105" spans="1:62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</row>
    <row r="106" spans="1:62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</row>
    <row r="107" spans="1:62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</row>
    <row r="108" spans="1:62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</row>
    <row r="109" spans="1:62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</row>
    <row r="110" spans="1:62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</row>
    <row r="111" spans="1:62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</row>
    <row r="112" spans="1:62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</row>
    <row r="113" spans="1:62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</row>
    <row r="114" spans="1:62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</row>
    <row r="115" spans="1:62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</row>
    <row r="116" spans="1:62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</row>
    <row r="117" spans="1:62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</row>
    <row r="118" spans="1:62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</row>
    <row r="119" spans="1:62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</row>
    <row r="120" spans="1:62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</row>
    <row r="121" spans="1:62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</row>
    <row r="122" spans="1:62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</row>
    <row r="123" spans="1:62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</row>
    <row r="124" spans="1:62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</row>
    <row r="125" spans="1:62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</row>
    <row r="126" spans="1:62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</row>
    <row r="127" spans="1:62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</row>
    <row r="128" spans="1:62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</row>
    <row r="129" spans="1:62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</row>
    <row r="130" spans="1:62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</row>
    <row r="131" spans="1:62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</row>
    <row r="132" spans="1:62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</row>
    <row r="133" spans="1:62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</row>
    <row r="134" spans="1:62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</row>
    <row r="135" spans="1:62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</row>
    <row r="136" spans="1:62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</row>
    <row r="137" spans="1:62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</row>
    <row r="138" spans="1:62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</row>
    <row r="139" spans="1:62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</row>
    <row r="140" spans="1:62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</row>
    <row r="141" spans="1:62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</row>
    <row r="142" spans="1:62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</row>
    <row r="143" spans="1:62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</row>
    <row r="144" spans="1:62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</row>
    <row r="145" spans="1:62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</row>
    <row r="146" spans="1:62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</row>
    <row r="147" spans="1:62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</row>
    <row r="148" spans="1:62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</row>
    <row r="149" spans="1:62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</row>
    <row r="150" spans="1:62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</row>
    <row r="151" spans="1:62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</row>
    <row r="152" spans="1:62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</row>
    <row r="153" spans="1:62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</row>
    <row r="154" spans="1:62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</row>
    <row r="155" spans="1:62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</row>
    <row r="156" spans="1:62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</row>
    <row r="157" spans="1:62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</row>
    <row r="158" spans="1:62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</row>
    <row r="159" spans="1:62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</row>
    <row r="160" spans="1:62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</row>
    <row r="161" spans="1:62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</row>
    <row r="162" spans="1:62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</row>
    <row r="163" spans="1:62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</row>
    <row r="164" spans="1:62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</row>
    <row r="165" spans="1:62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</row>
    <row r="166" spans="1:62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</row>
    <row r="167" spans="1:62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</row>
    <row r="168" spans="1:62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</row>
    <row r="169" spans="1:62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</row>
    <row r="170" spans="1:62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</row>
    <row r="171" spans="1:62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</row>
    <row r="172" spans="1:62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</row>
    <row r="173" spans="1:62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</row>
    <row r="174" spans="1:62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</row>
    <row r="175" spans="1:62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</row>
    <row r="176" spans="1:62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</row>
    <row r="177" spans="1:62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</row>
    <row r="178" spans="1:62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</row>
    <row r="179" spans="1:62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</row>
    <row r="180" spans="1:62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</row>
    <row r="181" spans="1:62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</row>
    <row r="182" spans="1:62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</row>
    <row r="183" spans="1:62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</row>
    <row r="184" spans="1:62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</row>
    <row r="185" spans="1:62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</row>
    <row r="186" spans="1:62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</row>
    <row r="187" spans="1:62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</row>
    <row r="188" spans="1:62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</row>
    <row r="189" spans="1:62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</row>
    <row r="190" spans="1:62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</row>
    <row r="191" spans="1:62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</row>
    <row r="192" spans="1:62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</row>
    <row r="193" spans="1:62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</row>
    <row r="194" spans="1:62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</row>
    <row r="195" spans="1:62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</row>
    <row r="196" spans="1:62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</row>
    <row r="197" spans="1:62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</row>
    <row r="198" spans="1:62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</row>
    <row r="199" spans="1:62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</row>
    <row r="200" spans="1:62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</row>
    <row r="201" spans="1:62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</row>
    <row r="202" spans="1:62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</row>
    <row r="203" spans="1:62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</row>
    <row r="204" spans="1:62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</row>
    <row r="205" spans="1:62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</row>
    <row r="206" spans="1:62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</row>
    <row r="207" spans="1:62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</row>
    <row r="208" spans="1:62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</row>
    <row r="209" spans="1:62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</row>
    <row r="210" spans="1:62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</row>
    <row r="211" spans="1:62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</row>
    <row r="212" spans="1:62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</row>
    <row r="213" spans="1:62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</row>
    <row r="214" spans="1:62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</row>
    <row r="215" spans="1:62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</row>
    <row r="216" spans="1:62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</row>
    <row r="217" spans="1:62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</row>
    <row r="218" spans="1:62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</row>
    <row r="219" spans="1:62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</row>
    <row r="220" spans="1:62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</row>
    <row r="221" spans="1:62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</row>
    <row r="222" spans="1:62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</row>
    <row r="223" spans="1:62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</row>
    <row r="224" spans="1:62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</row>
    <row r="225" spans="1:62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</row>
    <row r="226" spans="1:62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</row>
    <row r="227" spans="1:62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</row>
    <row r="228" spans="1:62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</row>
    <row r="229" spans="1:62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</row>
    <row r="230" spans="1:62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</row>
    <row r="231" spans="1:62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</row>
    <row r="232" spans="1:62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</row>
    <row r="233" spans="1:62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</row>
    <row r="234" spans="1:62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</row>
    <row r="235" spans="1:62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</row>
    <row r="236" spans="1:62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</row>
    <row r="237" spans="1:62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</row>
    <row r="238" spans="1:62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</row>
    <row r="239" spans="1:62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</row>
    <row r="240" spans="1:62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</row>
    <row r="241" spans="1:62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</row>
    <row r="242" spans="1:62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</row>
    <row r="243" spans="1:62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</row>
    <row r="244" spans="1:62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</row>
    <row r="245" spans="1:62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</row>
    <row r="246" spans="1:62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</row>
    <row r="247" spans="1:62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</row>
    <row r="248" spans="1:62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</row>
    <row r="249" spans="1:62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</row>
    <row r="250" spans="1:62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</row>
    <row r="251" spans="1:62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</row>
    <row r="252" spans="1:62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</row>
    <row r="253" spans="1:62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</row>
    <row r="254" spans="1:62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</row>
    <row r="255" spans="1:62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</row>
    <row r="256" spans="1:62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</row>
    <row r="257" spans="1:62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</row>
    <row r="258" spans="1:62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</row>
    <row r="259" spans="1:62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</row>
    <row r="260" spans="1:62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</row>
    <row r="261" spans="1:62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</row>
    <row r="262" spans="1:62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</row>
    <row r="263" spans="1:62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</row>
    <row r="264" spans="1:62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</row>
    <row r="265" spans="1:62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</row>
    <row r="266" spans="1:62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</row>
    <row r="267" spans="1:62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</row>
    <row r="268" spans="1:62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</row>
    <row r="269" spans="1:62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</row>
    <row r="270" spans="1:62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</row>
    <row r="271" spans="1:62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</row>
    <row r="272" spans="1:62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</row>
    <row r="273" spans="1:62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</row>
    <row r="274" spans="1:62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</row>
    <row r="275" spans="1:62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</row>
    <row r="276" spans="1:62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</row>
    <row r="277" spans="1:62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</row>
    <row r="278" spans="1:62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</row>
    <row r="279" spans="1:62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</row>
    <row r="280" spans="1:62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</row>
    <row r="281" spans="1:62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</row>
    <row r="282" spans="1:62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</row>
    <row r="283" spans="1:62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</row>
    <row r="284" spans="1:62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</row>
    <row r="285" spans="1:62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</row>
    <row r="286" spans="1:62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</row>
    <row r="287" spans="1:62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</row>
    <row r="288" spans="1:62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</row>
    <row r="289" spans="1:62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</row>
    <row r="290" spans="1:62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</row>
    <row r="291" spans="1:62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</row>
    <row r="292" spans="1:62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</row>
    <row r="293" spans="1:62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</row>
    <row r="294" spans="1:62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</row>
    <row r="295" spans="1:62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</row>
    <row r="296" spans="1:62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</row>
    <row r="297" spans="1:62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</row>
    <row r="298" spans="1:62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</row>
    <row r="299" spans="1:62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</row>
    <row r="300" spans="1:62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</row>
    <row r="301" spans="1:62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</row>
    <row r="302" spans="1:62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</row>
    <row r="303" spans="1:62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</row>
    <row r="304" spans="1:62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</row>
    <row r="305" spans="1:62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</row>
    <row r="306" spans="1:62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</row>
    <row r="307" spans="1:62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</row>
    <row r="308" spans="1:62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</row>
    <row r="309" spans="1:62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</row>
    <row r="310" spans="1:62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</row>
    <row r="311" spans="1:62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</row>
    <row r="312" spans="1:62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</row>
    <row r="313" spans="1:62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</row>
    <row r="314" spans="1:62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</row>
    <row r="315" spans="1:62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</row>
    <row r="316" spans="1:62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</row>
    <row r="317" spans="1:62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</row>
    <row r="318" spans="1:62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</row>
    <row r="319" spans="1:62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</row>
    <row r="320" spans="1:62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</row>
    <row r="321" spans="1:62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</row>
    <row r="322" spans="1:62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</row>
    <row r="323" spans="1:62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</row>
    <row r="324" spans="1:62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</row>
    <row r="325" spans="1:62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</row>
    <row r="326" spans="1:62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</row>
    <row r="327" spans="1:62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</row>
    <row r="328" spans="1:62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</row>
    <row r="329" spans="1:62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</row>
    <row r="330" spans="1:62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</row>
    <row r="331" spans="1:62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</row>
    <row r="332" spans="1:62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</row>
    <row r="333" spans="1:62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</row>
    <row r="334" spans="1:62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</row>
    <row r="335" spans="1:62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</row>
    <row r="336" spans="1:62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</row>
    <row r="337" spans="1:62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</row>
    <row r="338" spans="1:62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</row>
    <row r="339" spans="1:62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</row>
    <row r="340" spans="1:62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</row>
    <row r="341" spans="1:62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</row>
    <row r="342" spans="1:62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</row>
    <row r="343" spans="1:62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</row>
    <row r="344" spans="1:62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</row>
    <row r="345" spans="1:62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</row>
    <row r="346" spans="1:62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</row>
    <row r="347" spans="1:62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</row>
    <row r="348" spans="1:62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</row>
    <row r="349" spans="1:62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2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</row>
    <row r="351" spans="1:62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</row>
    <row r="352" spans="1:62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</row>
    <row r="353" spans="1:62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</row>
    <row r="354" spans="1:62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</row>
    <row r="355" spans="1:62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</row>
    <row r="356" spans="1:62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</row>
    <row r="357" spans="1:62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</row>
    <row r="358" spans="1:62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</row>
    <row r="359" spans="1:62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</row>
    <row r="360" spans="1:62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</row>
    <row r="361" spans="1:62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</row>
    <row r="362" spans="1:62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</row>
    <row r="363" spans="1:62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</row>
    <row r="364" spans="1:62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</row>
    <row r="365" spans="1:62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</row>
    <row r="366" spans="1:62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</row>
    <row r="367" spans="1:62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</row>
    <row r="368" spans="1:62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</row>
    <row r="369" spans="1:62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</row>
    <row r="370" spans="1:62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</row>
    <row r="371" spans="1:62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</row>
    <row r="372" spans="1:62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</row>
    <row r="373" spans="1:62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</row>
    <row r="374" spans="1:62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</row>
    <row r="375" spans="1:62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</row>
    <row r="376" spans="1:62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</row>
    <row r="377" spans="1:62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</row>
    <row r="378" spans="1:62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</row>
    <row r="379" spans="1:62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</row>
    <row r="380" spans="1:62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</row>
    <row r="381" spans="1:62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</row>
    <row r="382" spans="1:62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</row>
    <row r="383" spans="1:62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</row>
    <row r="384" spans="1:62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</row>
    <row r="385" spans="1:62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</row>
    <row r="386" spans="1:62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</row>
    <row r="387" spans="1:62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</row>
    <row r="388" spans="1:62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</row>
    <row r="389" spans="1:62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</row>
    <row r="390" spans="1:62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</row>
    <row r="391" spans="1:62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</row>
    <row r="392" spans="1:62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</row>
    <row r="393" spans="1:62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</row>
    <row r="394" spans="1:62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</row>
    <row r="395" spans="1:62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</row>
    <row r="396" spans="1:62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</row>
    <row r="397" spans="1:62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</row>
    <row r="398" spans="1:62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</row>
    <row r="399" spans="1:62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</row>
    <row r="400" spans="1:62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</row>
    <row r="401" spans="1:62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</row>
    <row r="402" spans="1:62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</row>
    <row r="403" spans="1:62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</row>
    <row r="404" spans="1:62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</row>
    <row r="405" spans="1:62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</row>
    <row r="406" spans="1:62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</row>
    <row r="407" spans="1:62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</row>
    <row r="408" spans="1:62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</row>
    <row r="409" spans="1:62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</row>
    <row r="410" spans="1:62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</row>
    <row r="411" spans="1:62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</row>
    <row r="412" spans="1:62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</row>
    <row r="413" spans="1:62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</row>
    <row r="414" spans="1:62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</row>
    <row r="415" spans="1:62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</row>
    <row r="416" spans="1:62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</row>
    <row r="417" spans="1:62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</row>
    <row r="418" spans="1:62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</row>
    <row r="419" spans="1:62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</row>
    <row r="420" spans="1:62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</row>
    <row r="421" spans="1:62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</row>
    <row r="422" spans="1:62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</row>
    <row r="423" spans="1:62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</row>
    <row r="424" spans="1:62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</row>
    <row r="425" spans="1:62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</row>
    <row r="426" spans="1:62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</row>
    <row r="427" spans="1:62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</row>
    <row r="428" spans="1:62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</row>
    <row r="429" spans="1:62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</row>
    <row r="430" spans="1:62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</row>
    <row r="431" spans="1:62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</row>
    <row r="432" spans="1:62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</row>
    <row r="433" spans="1:62" x14ac:dyDescent="0.3">
      <c r="A433" t="s">
        <v>459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</row>
    <row r="434" spans="1:62" x14ac:dyDescent="0.3">
      <c r="B434" t="s">
        <v>460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</row>
    <row r="435" spans="1:62" x14ac:dyDescent="0.3">
      <c r="A435" t="s">
        <v>461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</row>
    <row r="436" spans="1:62" x14ac:dyDescent="0.3">
      <c r="A436" t="s">
        <v>462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</row>
    <row r="437" spans="1:62" x14ac:dyDescent="0.3">
      <c r="B437" t="s">
        <v>463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</row>
    <row r="438" spans="1:62" x14ac:dyDescent="0.3">
      <c r="B438" t="s">
        <v>464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</row>
    <row r="439" spans="1:62" x14ac:dyDescent="0.3">
      <c r="B439" t="s">
        <v>465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</row>
    <row r="440" spans="1:62" x14ac:dyDescent="0.3">
      <c r="A440" t="s">
        <v>466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</row>
    <row r="441" spans="1:62" x14ac:dyDescent="0.3">
      <c r="B441" t="s">
        <v>467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</row>
    <row r="442" spans="1:62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</row>
    <row r="443" spans="1:62" x14ac:dyDescent="0.3">
      <c r="A443" t="s">
        <v>470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</row>
    <row r="444" spans="1:62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</row>
    <row r="445" spans="1:62" x14ac:dyDescent="0.3">
      <c r="B445" t="s">
        <v>471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</row>
    <row r="446" spans="1:62" x14ac:dyDescent="0.3">
      <c r="B446" t="s">
        <v>473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</row>
    <row r="447" spans="1:62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</row>
    <row r="448" spans="1:62" x14ac:dyDescent="0.3">
      <c r="B448" t="s">
        <v>474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</row>
    <row r="449" spans="1:62" x14ac:dyDescent="0.3">
      <c r="B449" t="s">
        <v>475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</row>
    <row r="450" spans="1:62" x14ac:dyDescent="0.3">
      <c r="A450" t="s">
        <v>476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</row>
    <row r="451" spans="1:62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</row>
    <row r="452" spans="1:62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</row>
    <row r="453" spans="1:62" x14ac:dyDescent="0.3">
      <c r="B453" t="s">
        <v>488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x14ac:dyDescent="0.3">
      <c r="B454" t="s">
        <v>487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</row>
    <row r="455" spans="1:62" x14ac:dyDescent="0.3">
      <c r="B455" t="s">
        <v>484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</row>
    <row r="456" spans="1:62" x14ac:dyDescent="0.3">
      <c r="B456" t="s">
        <v>485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</row>
    <row r="457" spans="1:62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</row>
    <row r="458" spans="1:62" x14ac:dyDescent="0.3">
      <c r="B458" t="s">
        <v>483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</row>
    <row r="459" spans="1:62" x14ac:dyDescent="0.3">
      <c r="B459" t="s">
        <v>486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</row>
    <row r="460" spans="1:62" x14ac:dyDescent="0.3">
      <c r="B460" t="s">
        <v>519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</row>
    <row r="461" spans="1:62" x14ac:dyDescent="0.3">
      <c r="A461" t="s">
        <v>489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</row>
    <row r="462" spans="1:62" x14ac:dyDescent="0.3">
      <c r="B462" t="s">
        <v>530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</row>
    <row r="463" spans="1:62" x14ac:dyDescent="0.3">
      <c r="A463" t="s">
        <v>472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</row>
    <row r="464" spans="1:62" x14ac:dyDescent="0.3">
      <c r="A464" t="s">
        <v>531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</row>
    <row r="465" spans="1:62" x14ac:dyDescent="0.3">
      <c r="A465" t="s">
        <v>532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</row>
    <row r="466" spans="1:62" x14ac:dyDescent="0.3">
      <c r="B466" t="s">
        <v>533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</row>
    <row r="467" spans="1:62" x14ac:dyDescent="0.3">
      <c r="B467" t="s">
        <v>534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</row>
    <row r="468" spans="1:62" x14ac:dyDescent="0.3">
      <c r="B468" t="s">
        <v>535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</row>
    <row r="469" spans="1:62" x14ac:dyDescent="0.3">
      <c r="B469" t="s">
        <v>536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Projections</vt:lpstr>
      <vt:lpstr>Sheet1</vt:lpstr>
      <vt:lpstr>Country_Rates</vt:lpstr>
      <vt:lpstr>Country_Comparison</vt:lpstr>
      <vt:lpstr>Projections_Data</vt:lpstr>
      <vt:lpstr>Days_Since_100</vt:lpstr>
      <vt:lpstr>Days_Since_100_active</vt:lpstr>
      <vt:lpstr>Country_Data</vt:lpstr>
      <vt:lpstr>CumulativeActive</vt:lpstr>
      <vt:lpstr>CumulativeConfirmed</vt:lpstr>
      <vt:lpstr>CumulativeRecovered</vt:lpstr>
      <vt:lpstr>CumulativeDead</vt:lpstr>
      <vt:lpstr>ConfirmedRaw</vt:lpstr>
      <vt:lpstr>RecoveredRaw</vt:lpstr>
      <vt:lpstr>DeadRaw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2020-03-20T21:50:35Z</dcterms:modified>
</cp:coreProperties>
</file>