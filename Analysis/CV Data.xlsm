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8AA8A8B0-6057-4BB5-B8E8-77AF8FB3AAE6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Country_Data" sheetId="14" r:id="rId7"/>
    <sheet name="CumulativeActive" sheetId="22" state="hidden" r:id="rId8"/>
    <sheet name="CumulativeConfirmed" sheetId="3" state="hidden" r:id="rId9"/>
    <sheet name="CumulativeRecovered" sheetId="18" state="hidden" r:id="rId10"/>
    <sheet name="CumulativeDead" sheetId="19" state="hidden" r:id="rId11"/>
    <sheet name="ConfirmedRaw" sheetId="2" state="hidden" r:id="rId12"/>
    <sheet name="RecoveredRaw" sheetId="17" state="hidden" r:id="rId13"/>
    <sheet name="DeadRaw" sheetId="16" state="hidden" r:id="rId14"/>
  </sheets>
  <definedNames>
    <definedName name="_xlnm._FilterDatabase" localSheetId="1" hidden="1">Country_Rates!$D$2:$K$2</definedName>
    <definedName name="_xlnm._FilterDatabase" localSheetId="8" hidden="1">CumulativeConfirmed!$A$1:$BA$1</definedName>
    <definedName name="_xlnm._FilterDatabase" localSheetId="4" hidden="1">Days_Since_100!$B$1:$CU$1</definedName>
    <definedName name="_xlnm._FilterDatabase" localSheetId="0" hidden="1">Projections!$B$7:$C$8</definedName>
    <definedName name="_xlnm._FilterDatabase" localSheetId="3" hidden="1">Country_Rates!$C$2:$K$2</definedName>
    <definedName name="country">Projections!$C$7</definedName>
    <definedName name="image_jpg">Projections!$A$1:$U$53</definedName>
    <definedName name="xMax">Country_Comparison!$S$8</definedName>
    <definedName name="xMax2">Projections_Data!$C$30</definedName>
    <definedName name="xMax3">Projections_Data!$D$30</definedName>
    <definedName name="xMin">Country_Comparison!$S$7</definedName>
    <definedName name="xMin2">Projections_Data!$C$29</definedName>
    <definedName name="xMin3">Projections_Data!$D$29</definedName>
    <definedName name="yMax">Country_Comparison!$S$5</definedName>
    <definedName name="yMax2">Projections_Data!$C$27</definedName>
    <definedName name="yMax3">Projections_Data!$D$27</definedName>
    <definedName name="yMin">Country_Comparison!$S$4</definedName>
    <definedName name="yMin2">Projections_Data!$C$26</definedName>
    <definedName name="yMin3">Projections_Data!$D$26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4" i="15" l="1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C30" i="21"/>
  <c r="B30" i="21" s="1" a="1"/>
  <c r="B30" i="21" s="1"/>
  <c r="D30" i="21"/>
  <c r="C31" i="21"/>
  <c r="B31" i="21" s="1" a="1"/>
  <c r="B31" i="21" s="1"/>
  <c r="D31" i="21"/>
  <c r="C32" i="21"/>
  <c r="B32" i="21" s="1" a="1"/>
  <c r="B32" i="21" s="1"/>
  <c r="D32" i="21"/>
  <c r="C33" i="21"/>
  <c r="B33" i="21" s="1" a="1"/>
  <c r="B33" i="21" s="1"/>
  <c r="D33" i="21"/>
  <c r="C34" i="21"/>
  <c r="B34" i="21" s="1" a="1"/>
  <c r="B34" i="21" s="1"/>
  <c r="D34" i="21"/>
  <c r="C35" i="21"/>
  <c r="B35" i="21" s="1" a="1"/>
  <c r="B35" i="21" s="1"/>
  <c r="D35" i="21"/>
  <c r="C36" i="21"/>
  <c r="B36" i="21" s="1" a="1"/>
  <c r="B36" i="21" s="1"/>
  <c r="D36" i="21"/>
  <c r="C37" i="21"/>
  <c r="B37" i="21" s="1" a="1"/>
  <c r="B37" i="21" s="1"/>
  <c r="D37" i="21"/>
  <c r="C38" i="21"/>
  <c r="B38" i="21" s="1" a="1"/>
  <c r="B38" i="21" s="1"/>
  <c r="D38" i="21"/>
  <c r="C39" i="21"/>
  <c r="B39" i="21" s="1" a="1"/>
  <c r="B39" i="21" s="1"/>
  <c r="D39" i="21"/>
  <c r="C40" i="21"/>
  <c r="B40" i="21" s="1" a="1"/>
  <c r="B40" i="21" s="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C55" i="21"/>
  <c r="B55" i="21" s="1" a="1"/>
  <c r="B55" i="21" s="1"/>
  <c r="D55" i="21"/>
  <c r="C56" i="21"/>
  <c r="B56" i="21" s="1" a="1"/>
  <c r="B56" i="21" s="1"/>
  <c r="D56" i="21"/>
  <c r="C57" i="21"/>
  <c r="B57" i="21" s="1" a="1"/>
  <c r="B57" i="21" s="1"/>
  <c r="D57" i="21"/>
  <c r="C58" i="21"/>
  <c r="B58" i="21" s="1" a="1"/>
  <c r="B58" i="21" s="1"/>
  <c r="D58" i="21"/>
  <c r="C59" i="21"/>
  <c r="B59" i="21" s="1" a="1"/>
  <c r="B59" i="21" s="1"/>
  <c r="D59" i="21"/>
  <c r="C60" i="21"/>
  <c r="B60" i="21" s="1" a="1"/>
  <c r="B60" i="21" s="1"/>
  <c r="D60" i="21"/>
  <c r="C61" i="21"/>
  <c r="B61" i="21" s="1" a="1"/>
  <c r="B61" i="21" s="1"/>
  <c r="D61" i="21"/>
  <c r="C62" i="21"/>
  <c r="B62" i="21" s="1" a="1"/>
  <c r="B62" i="21" s="1"/>
  <c r="D62" i="21"/>
  <c r="C63" i="21"/>
  <c r="B63" i="21" s="1" a="1"/>
  <c r="B63" i="21" s="1"/>
  <c r="D63" i="21"/>
  <c r="C64" i="21"/>
  <c r="B64" i="21" s="1" a="1"/>
  <c r="B64" i="21" s="1"/>
  <c r="D64" i="21"/>
  <c r="C65" i="21"/>
  <c r="B65" i="21" s="1" a="1"/>
  <c r="B65" i="21" s="1"/>
  <c r="D65" i="21"/>
  <c r="C66" i="21"/>
  <c r="B66" i="21" s="1" a="1"/>
  <c r="B66" i="21" s="1"/>
  <c r="D66" i="21"/>
  <c r="C67" i="21"/>
  <c r="B67" i="21" s="1" a="1"/>
  <c r="B67" i="21" s="1"/>
  <c r="D67" i="21"/>
  <c r="C68" i="21"/>
  <c r="B68" i="21" s="1" a="1"/>
  <c r="B68" i="21" s="1"/>
  <c r="D68" i="21"/>
  <c r="C69" i="21"/>
  <c r="B69" i="21" s="1" a="1"/>
  <c r="B69" i="21" s="1"/>
  <c r="D69" i="21"/>
  <c r="C70" i="21"/>
  <c r="B70" i="21" s="1" a="1"/>
  <c r="B70" i="21" s="1"/>
  <c r="D70" i="21"/>
  <c r="C71" i="21"/>
  <c r="B71" i="21" s="1" a="1"/>
  <c r="B71" i="21" s="1"/>
  <c r="D71" i="21"/>
  <c r="E71" i="21"/>
  <c r="F71" i="21"/>
  <c r="G71" i="21"/>
  <c r="C72" i="21"/>
  <c r="B72" i="21" s="1" a="1"/>
  <c r="B72" i="21" s="1"/>
  <c r="D72" i="21"/>
  <c r="E72" i="21"/>
  <c r="F72" i="21"/>
  <c r="G72" i="21"/>
  <c r="C73" i="21"/>
  <c r="B73" i="21" s="1" a="1"/>
  <c r="B73" i="21" s="1"/>
  <c r="D73" i="21"/>
  <c r="E73" i="21"/>
  <c r="F73" i="21"/>
  <c r="G73" i="21"/>
  <c r="C74" i="21"/>
  <c r="B74" i="21" s="1" a="1"/>
  <c r="B74" i="21" s="1"/>
  <c r="D74" i="21"/>
  <c r="E74" i="21"/>
  <c r="F74" i="21"/>
  <c r="G74" i="21"/>
  <c r="C75" i="21"/>
  <c r="B75" i="21" s="1" a="1"/>
  <c r="B75" i="21" s="1"/>
  <c r="D75" i="21"/>
  <c r="E75" i="21"/>
  <c r="F75" i="21"/>
  <c r="G75" i="21"/>
  <c r="C76" i="21"/>
  <c r="B76" i="21" s="1" a="1"/>
  <c r="B76" i="21" s="1"/>
  <c r="D76" i="21"/>
  <c r="E76" i="21"/>
  <c r="F76" i="21"/>
  <c r="G76" i="21"/>
  <c r="C77" i="21"/>
  <c r="B77" i="21" s="1" a="1"/>
  <c r="B77" i="21" s="1"/>
  <c r="D77" i="21"/>
  <c r="E77" i="21"/>
  <c r="F77" i="21"/>
  <c r="G77" i="21"/>
  <c r="C78" i="21"/>
  <c r="B78" i="21" s="1" a="1"/>
  <c r="B78" i="21" s="1"/>
  <c r="D78" i="21"/>
  <c r="E78" i="21"/>
  <c r="F78" i="21"/>
  <c r="G78" i="21"/>
  <c r="C79" i="21"/>
  <c r="B79" i="21" s="1" a="1"/>
  <c r="B79" i="21" s="1"/>
  <c r="D79" i="21"/>
  <c r="E79" i="21"/>
  <c r="F79" i="21"/>
  <c r="G79" i="21"/>
  <c r="C80" i="21"/>
  <c r="B80" i="21" s="1" a="1"/>
  <c r="B80" i="21" s="1"/>
  <c r="D80" i="21"/>
  <c r="E80" i="21"/>
  <c r="F80" i="21"/>
  <c r="G80" i="21"/>
  <c r="C81" i="21"/>
  <c r="B81" i="21" s="1" a="1"/>
  <c r="B81" i="21" s="1"/>
  <c r="D81" i="21"/>
  <c r="E81" i="21"/>
  <c r="F81" i="21"/>
  <c r="G81" i="21"/>
  <c r="B82" i="21" a="1"/>
  <c r="B82" i="21" s="1"/>
  <c r="C82" i="21"/>
  <c r="D82" i="21"/>
  <c r="E82" i="21"/>
  <c r="F82" i="21"/>
  <c r="G82" i="21"/>
  <c r="C83" i="21"/>
  <c r="B83" i="21" s="1" a="1"/>
  <c r="B83" i="21" s="1"/>
  <c r="D83" i="21"/>
  <c r="E83" i="21"/>
  <c r="F83" i="21"/>
  <c r="G83" i="21"/>
  <c r="B84" i="21" a="1"/>
  <c r="B84" i="21" s="1"/>
  <c r="C84" i="21"/>
  <c r="D84" i="21"/>
  <c r="E84" i="21"/>
  <c r="F84" i="21"/>
  <c r="G84" i="21"/>
  <c r="B85" i="21" a="1"/>
  <c r="B85" i="21" s="1"/>
  <c r="C85" i="21"/>
  <c r="D85" i="21"/>
  <c r="E85" i="21"/>
  <c r="F85" i="21"/>
  <c r="G85" i="21"/>
  <c r="B86" i="21" a="1"/>
  <c r="B86" i="21" s="1"/>
  <c r="C86" i="21"/>
  <c r="D86" i="21"/>
  <c r="E86" i="21"/>
  <c r="F86" i="21"/>
  <c r="G86" i="21"/>
  <c r="C87" i="21"/>
  <c r="B87" i="21" s="1" a="1"/>
  <c r="B87" i="21" s="1"/>
  <c r="D87" i="21"/>
  <c r="E87" i="21"/>
  <c r="F87" i="21"/>
  <c r="G87" i="21"/>
  <c r="B88" i="21" a="1"/>
  <c r="B88" i="21" s="1"/>
  <c r="C88" i="21"/>
  <c r="D88" i="21"/>
  <c r="E88" i="21"/>
  <c r="F88" i="21"/>
  <c r="G88" i="21"/>
  <c r="C89" i="21"/>
  <c r="B89" i="21" s="1" a="1"/>
  <c r="B89" i="21" s="1"/>
  <c r="D89" i="21"/>
  <c r="E89" i="21"/>
  <c r="F89" i="21"/>
  <c r="G89" i="21"/>
  <c r="B90" i="21" a="1"/>
  <c r="B90" i="21" s="1"/>
  <c r="C90" i="21"/>
  <c r="D90" i="21"/>
  <c r="E90" i="21"/>
  <c r="F90" i="21"/>
  <c r="G90" i="21"/>
  <c r="B91" i="21" a="1"/>
  <c r="B91" i="21"/>
  <c r="C91" i="21"/>
  <c r="D91" i="21"/>
  <c r="E91" i="21"/>
  <c r="F91" i="21"/>
  <c r="G91" i="21"/>
  <c r="B92" i="21" a="1"/>
  <c r="B92" i="21"/>
  <c r="C92" i="21"/>
  <c r="D92" i="21"/>
  <c r="E92" i="21"/>
  <c r="F92" i="21"/>
  <c r="G92" i="21"/>
  <c r="B93" i="21" a="1"/>
  <c r="B93" i="21"/>
  <c r="C93" i="21"/>
  <c r="D93" i="21"/>
  <c r="E93" i="21"/>
  <c r="F93" i="21"/>
  <c r="G93" i="21"/>
  <c r="B94" i="21" a="1"/>
  <c r="B94" i="21"/>
  <c r="C94" i="21"/>
  <c r="D94" i="21"/>
  <c r="E94" i="21"/>
  <c r="F94" i="21"/>
  <c r="G94" i="21"/>
  <c r="B95" i="21" a="1"/>
  <c r="B95" i="21"/>
  <c r="C95" i="21"/>
  <c r="D95" i="21"/>
  <c r="E95" i="21"/>
  <c r="F95" i="21"/>
  <c r="G95" i="21"/>
  <c r="B96" i="21" a="1"/>
  <c r="B96" i="21"/>
  <c r="C96" i="21"/>
  <c r="D96" i="21"/>
  <c r="E96" i="21"/>
  <c r="F96" i="21"/>
  <c r="G96" i="21"/>
  <c r="B97" i="21" a="1"/>
  <c r="B97" i="21"/>
  <c r="C97" i="21"/>
  <c r="D97" i="21"/>
  <c r="E97" i="21"/>
  <c r="F97" i="21"/>
  <c r="G97" i="21"/>
  <c r="B98" i="21" a="1"/>
  <c r="B98" i="21"/>
  <c r="C98" i="21"/>
  <c r="D98" i="21"/>
  <c r="E98" i="21"/>
  <c r="F98" i="21"/>
  <c r="G98" i="21"/>
  <c r="B99" i="21" a="1"/>
  <c r="B99" i="21"/>
  <c r="C99" i="21"/>
  <c r="D99" i="21"/>
  <c r="E99" i="21"/>
  <c r="F99" i="21"/>
  <c r="G99" i="21"/>
  <c r="B100" i="21" a="1"/>
  <c r="B100" i="21"/>
  <c r="C100" i="21"/>
  <c r="D100" i="21"/>
  <c r="E100" i="21"/>
  <c r="F100" i="21"/>
  <c r="G100" i="21"/>
  <c r="B101" i="21" a="1"/>
  <c r="B101" i="21"/>
  <c r="C101" i="21"/>
  <c r="D101" i="21"/>
  <c r="E101" i="21"/>
  <c r="F101" i="21"/>
  <c r="G101" i="21"/>
  <c r="B102" i="21" a="1"/>
  <c r="B102" i="21"/>
  <c r="C102" i="21"/>
  <c r="D102" i="21"/>
  <c r="E102" i="21"/>
  <c r="F102" i="21"/>
  <c r="G102" i="21"/>
  <c r="B103" i="21" a="1"/>
  <c r="B103" i="21"/>
  <c r="C103" i="21"/>
  <c r="D103" i="21"/>
  <c r="E103" i="21"/>
  <c r="F103" i="21"/>
  <c r="G103" i="21"/>
  <c r="B104" i="21" a="1"/>
  <c r="B104" i="21"/>
  <c r="C104" i="21"/>
  <c r="D104" i="21"/>
  <c r="E104" i="21"/>
  <c r="F104" i="21"/>
  <c r="G104" i="21"/>
  <c r="B105" i="21" a="1"/>
  <c r="B105" i="21"/>
  <c r="C105" i="21"/>
  <c r="D105" i="21"/>
  <c r="E105" i="21"/>
  <c r="F105" i="21"/>
  <c r="G105" i="21"/>
  <c r="B106" i="21" a="1"/>
  <c r="B106" i="21"/>
  <c r="C106" i="21"/>
  <c r="D106" i="21"/>
  <c r="E106" i="21"/>
  <c r="F106" i="21"/>
  <c r="G106" i="21"/>
  <c r="B107" i="21" a="1"/>
  <c r="B107" i="21"/>
  <c r="C107" i="21"/>
  <c r="D107" i="21"/>
  <c r="E107" i="21"/>
  <c r="F107" i="21"/>
  <c r="G107" i="21"/>
  <c r="B108" i="21" a="1"/>
  <c r="B108" i="21"/>
  <c r="C108" i="21"/>
  <c r="D108" i="21"/>
  <c r="E108" i="21"/>
  <c r="F108" i="21"/>
  <c r="G108" i="21"/>
  <c r="B109" i="21" a="1"/>
  <c r="B109" i="21"/>
  <c r="C109" i="21"/>
  <c r="D109" i="21"/>
  <c r="E109" i="21"/>
  <c r="F109" i="21"/>
  <c r="G109" i="21"/>
  <c r="B110" i="21" a="1"/>
  <c r="B110" i="21"/>
  <c r="C110" i="21"/>
  <c r="D110" i="21"/>
  <c r="E110" i="21"/>
  <c r="F110" i="21"/>
  <c r="G110" i="21"/>
  <c r="B111" i="21" a="1"/>
  <c r="B111" i="21"/>
  <c r="C111" i="21"/>
  <c r="D111" i="21"/>
  <c r="E111" i="21"/>
  <c r="F111" i="21"/>
  <c r="G111" i="21"/>
  <c r="B112" i="21" a="1"/>
  <c r="B112" i="21"/>
  <c r="C112" i="21"/>
  <c r="D112" i="21"/>
  <c r="E112" i="21"/>
  <c r="F112" i="21"/>
  <c r="G112" i="21"/>
  <c r="B113" i="21" a="1"/>
  <c r="B113" i="21"/>
  <c r="C113" i="21"/>
  <c r="D113" i="21"/>
  <c r="E113" i="21"/>
  <c r="F113" i="21"/>
  <c r="G113" i="21"/>
  <c r="B114" i="21" a="1"/>
  <c r="B114" i="21"/>
  <c r="C114" i="21"/>
  <c r="D114" i="21"/>
  <c r="E114" i="21"/>
  <c r="F114" i="21"/>
  <c r="G114" i="21"/>
  <c r="B115" i="21" a="1"/>
  <c r="B115" i="21"/>
  <c r="C115" i="21"/>
  <c r="D115" i="21"/>
  <c r="E115" i="21"/>
  <c r="F115" i="21"/>
  <c r="G115" i="21"/>
  <c r="B116" i="21" a="1"/>
  <c r="B116" i="21"/>
  <c r="C116" i="21"/>
  <c r="D116" i="21"/>
  <c r="E116" i="21"/>
  <c r="F116" i="21"/>
  <c r="G116" i="21"/>
  <c r="B117" i="21" a="1"/>
  <c r="B117" i="21"/>
  <c r="C117" i="21"/>
  <c r="D117" i="21"/>
  <c r="E117" i="21"/>
  <c r="F117" i="21"/>
  <c r="G117" i="21"/>
  <c r="B118" i="21" a="1"/>
  <c r="B118" i="21"/>
  <c r="C118" i="21"/>
  <c r="D118" i="21"/>
  <c r="E118" i="21"/>
  <c r="F118" i="21"/>
  <c r="G118" i="21"/>
  <c r="B119" i="21" a="1"/>
  <c r="B119" i="21"/>
  <c r="C119" i="21"/>
  <c r="D119" i="21"/>
  <c r="E119" i="21"/>
  <c r="F119" i="21"/>
  <c r="G119" i="21"/>
  <c r="B120" i="21" a="1"/>
  <c r="B120" i="21"/>
  <c r="C120" i="21"/>
  <c r="D120" i="21"/>
  <c r="E120" i="21"/>
  <c r="F120" i="21"/>
  <c r="G120" i="21"/>
  <c r="B121" i="21" a="1"/>
  <c r="B121" i="21"/>
  <c r="C121" i="21"/>
  <c r="D121" i="21"/>
  <c r="E121" i="21"/>
  <c r="F121" i="21"/>
  <c r="G121" i="21"/>
  <c r="B122" i="21" a="1"/>
  <c r="B122" i="21"/>
  <c r="C122" i="21"/>
  <c r="D122" i="21"/>
  <c r="E122" i="21"/>
  <c r="F122" i="21"/>
  <c r="G122" i="21"/>
  <c r="B123" i="21" a="1"/>
  <c r="B123" i="21"/>
  <c r="C123" i="21"/>
  <c r="D123" i="21"/>
  <c r="E123" i="21"/>
  <c r="F123" i="21"/>
  <c r="G123" i="21"/>
  <c r="B124" i="21" a="1"/>
  <c r="B124" i="21"/>
  <c r="C124" i="21"/>
  <c r="D124" i="21"/>
  <c r="E124" i="21"/>
  <c r="F124" i="21"/>
  <c r="G124" i="21"/>
  <c r="B125" i="21" a="1"/>
  <c r="B125" i="21"/>
  <c r="C125" i="21"/>
  <c r="D125" i="21"/>
  <c r="E125" i="21"/>
  <c r="F125" i="21"/>
  <c r="G125" i="21"/>
  <c r="B126" i="21" a="1"/>
  <c r="B126" i="21"/>
  <c r="C126" i="21"/>
  <c r="D126" i="21"/>
  <c r="E126" i="21"/>
  <c r="F126" i="21"/>
  <c r="G126" i="21"/>
  <c r="B127" i="21" a="1"/>
  <c r="B127" i="21"/>
  <c r="C127" i="21"/>
  <c r="D127" i="21"/>
  <c r="E127" i="21"/>
  <c r="F127" i="21"/>
  <c r="G127" i="21"/>
  <c r="B128" i="21" a="1"/>
  <c r="B128" i="21"/>
  <c r="C128" i="21"/>
  <c r="D128" i="21"/>
  <c r="E128" i="21"/>
  <c r="F128" i="21"/>
  <c r="G128" i="21"/>
  <c r="B129" i="21" a="1"/>
  <c r="B129" i="21"/>
  <c r="C129" i="21"/>
  <c r="D129" i="21"/>
  <c r="E129" i="21"/>
  <c r="F129" i="21"/>
  <c r="G129" i="21"/>
  <c r="B130" i="21" a="1"/>
  <c r="B130" i="21"/>
  <c r="C130" i="21"/>
  <c r="D130" i="21"/>
  <c r="E130" i="21"/>
  <c r="F130" i="21"/>
  <c r="G130" i="21"/>
  <c r="B131" i="21" a="1"/>
  <c r="B131" i="21"/>
  <c r="C131" i="21"/>
  <c r="D131" i="21"/>
  <c r="E131" i="21"/>
  <c r="F131" i="21"/>
  <c r="G131" i="21"/>
  <c r="B132" i="21" a="1"/>
  <c r="B132" i="21"/>
  <c r="C132" i="21"/>
  <c r="D132" i="21"/>
  <c r="E132" i="21"/>
  <c r="F132" i="21"/>
  <c r="G132" i="21"/>
  <c r="B133" i="21" a="1"/>
  <c r="B133" i="21"/>
  <c r="C133" i="21"/>
  <c r="D133" i="21"/>
  <c r="E133" i="21"/>
  <c r="F133" i="21"/>
  <c r="G133" i="21"/>
  <c r="B134" i="21" a="1"/>
  <c r="B134" i="21"/>
  <c r="C134" i="21"/>
  <c r="D134" i="21"/>
  <c r="E134" i="21"/>
  <c r="F134" i="21"/>
  <c r="G134" i="21"/>
  <c r="B135" i="21" a="1"/>
  <c r="B135" i="21" s="1"/>
  <c r="C135" i="21"/>
  <c r="D135" i="21"/>
  <c r="E135" i="21"/>
  <c r="F135" i="21"/>
  <c r="G135" i="21"/>
  <c r="B136" i="21" a="1"/>
  <c r="B136" i="21" s="1"/>
  <c r="C136" i="21"/>
  <c r="D136" i="21"/>
  <c r="E136" i="21"/>
  <c r="F136" i="21"/>
  <c r="G136" i="21"/>
  <c r="B137" i="21" a="1"/>
  <c r="B137" i="21" s="1"/>
  <c r="C137" i="21"/>
  <c r="D137" i="21"/>
  <c r="E137" i="21"/>
  <c r="F137" i="21"/>
  <c r="G137" i="21"/>
  <c r="B138" i="21" a="1"/>
  <c r="B138" i="21" s="1"/>
  <c r="C138" i="21"/>
  <c r="D138" i="21"/>
  <c r="E138" i="21"/>
  <c r="F138" i="21"/>
  <c r="G138" i="21"/>
  <c r="B139" i="21" a="1"/>
  <c r="B139" i="21" s="1"/>
  <c r="C139" i="21"/>
  <c r="D139" i="21"/>
  <c r="E139" i="21"/>
  <c r="F139" i="21"/>
  <c r="G139" i="21"/>
  <c r="B140" i="21" a="1"/>
  <c r="B140" i="21" s="1"/>
  <c r="C140" i="21"/>
  <c r="D140" i="21"/>
  <c r="E140" i="21"/>
  <c r="F140" i="21"/>
  <c r="G140" i="21"/>
  <c r="B141" i="21" a="1"/>
  <c r="B141" i="21" s="1"/>
  <c r="C141" i="21"/>
  <c r="D141" i="21"/>
  <c r="E141" i="21"/>
  <c r="F141" i="21"/>
  <c r="G141" i="21"/>
  <c r="B142" i="21" a="1"/>
  <c r="B142" i="21" s="1"/>
  <c r="C142" i="21"/>
  <c r="D142" i="21"/>
  <c r="E142" i="21"/>
  <c r="F142" i="21"/>
  <c r="G142" i="21"/>
  <c r="B143" i="21" a="1"/>
  <c r="B143" i="21" s="1"/>
  <c r="C143" i="21"/>
  <c r="D143" i="21"/>
  <c r="E143" i="21"/>
  <c r="F143" i="21"/>
  <c r="G143" i="21"/>
  <c r="B144" i="21" a="1"/>
  <c r="B144" i="21" s="1"/>
  <c r="C144" i="21"/>
  <c r="D144" i="21"/>
  <c r="E144" i="21"/>
  <c r="F144" i="21"/>
  <c r="G144" i="21"/>
  <c r="B145" i="21" a="1"/>
  <c r="B145" i="21" s="1"/>
  <c r="C145" i="21"/>
  <c r="D145" i="21"/>
  <c r="E145" i="21"/>
  <c r="F145" i="21"/>
  <c r="G145" i="21"/>
  <c r="B146" i="21" a="1"/>
  <c r="B146" i="21" s="1"/>
  <c r="C146" i="21"/>
  <c r="D146" i="21"/>
  <c r="E146" i="21"/>
  <c r="F146" i="21"/>
  <c r="G146" i="21"/>
  <c r="B147" i="21" a="1"/>
  <c r="B147" i="21" s="1"/>
  <c r="C147" i="21"/>
  <c r="D147" i="21"/>
  <c r="E147" i="21"/>
  <c r="F147" i="21"/>
  <c r="G147" i="21"/>
  <c r="B148" i="21" a="1"/>
  <c r="B148" i="21" s="1"/>
  <c r="C148" i="21"/>
  <c r="D148" i="21"/>
  <c r="E148" i="21"/>
  <c r="F148" i="21"/>
  <c r="G148" i="21"/>
  <c r="B149" i="21" a="1"/>
  <c r="B149" i="21" s="1"/>
  <c r="C149" i="21"/>
  <c r="D149" i="21"/>
  <c r="E149" i="21"/>
  <c r="F149" i="21"/>
  <c r="G149" i="21"/>
  <c r="B150" i="21" a="1"/>
  <c r="B150" i="21" s="1"/>
  <c r="C150" i="21"/>
  <c r="D150" i="21"/>
  <c r="E150" i="21"/>
  <c r="F150" i="21"/>
  <c r="G150" i="21"/>
  <c r="B151" i="21" a="1"/>
  <c r="B151" i="21" s="1"/>
  <c r="C151" i="21"/>
  <c r="D151" i="21"/>
  <c r="E151" i="21"/>
  <c r="F151" i="21"/>
  <c r="G151" i="21"/>
  <c r="B152" i="21" a="1"/>
  <c r="B152" i="21"/>
  <c r="C152" i="21"/>
  <c r="D152" i="21"/>
  <c r="E152" i="21"/>
  <c r="F152" i="21"/>
  <c r="G152" i="21"/>
  <c r="B153" i="21" a="1"/>
  <c r="B153" i="21"/>
  <c r="C153" i="21"/>
  <c r="D153" i="21"/>
  <c r="E153" i="21"/>
  <c r="F153" i="21"/>
  <c r="G153" i="21"/>
  <c r="B154" i="21" a="1"/>
  <c r="B154" i="21"/>
  <c r="C154" i="21"/>
  <c r="D154" i="21"/>
  <c r="E154" i="21"/>
  <c r="F154" i="21"/>
  <c r="G154" i="21"/>
  <c r="B155" i="21" a="1"/>
  <c r="B155" i="21" s="1"/>
  <c r="C155" i="21"/>
  <c r="D155" i="21"/>
  <c r="E155" i="21"/>
  <c r="F155" i="21"/>
  <c r="G155" i="21"/>
  <c r="B156" i="21" a="1"/>
  <c r="B156" i="21" s="1"/>
  <c r="C156" i="21"/>
  <c r="D156" i="21"/>
  <c r="E156" i="21"/>
  <c r="F156" i="21"/>
  <c r="G156" i="21"/>
  <c r="B157" i="21" a="1"/>
  <c r="B157" i="21"/>
  <c r="C157" i="21"/>
  <c r="D157" i="21"/>
  <c r="E157" i="21"/>
  <c r="F157" i="21"/>
  <c r="G157" i="21"/>
  <c r="B158" i="21" a="1"/>
  <c r="B158" i="21"/>
  <c r="C158" i="21"/>
  <c r="D158" i="21"/>
  <c r="E158" i="21"/>
  <c r="F158" i="21"/>
  <c r="G158" i="21"/>
  <c r="B159" i="21" a="1"/>
  <c r="B159" i="21" s="1"/>
  <c r="C159" i="21"/>
  <c r="D159" i="21"/>
  <c r="E159" i="21"/>
  <c r="F159" i="21"/>
  <c r="G159" i="21"/>
  <c r="B160" i="21" a="1"/>
  <c r="B160" i="21"/>
  <c r="C160" i="21"/>
  <c r="D160" i="21"/>
  <c r="E160" i="21"/>
  <c r="F160" i="21"/>
  <c r="G160" i="21"/>
  <c r="B161" i="21" a="1"/>
  <c r="B161" i="21"/>
  <c r="C161" i="21"/>
  <c r="D161" i="21"/>
  <c r="E161" i="21"/>
  <c r="F161" i="21"/>
  <c r="G161" i="21"/>
  <c r="B162" i="21" a="1"/>
  <c r="B162" i="21"/>
  <c r="C162" i="21"/>
  <c r="D162" i="21"/>
  <c r="E162" i="21"/>
  <c r="F162" i="21"/>
  <c r="G162" i="21"/>
  <c r="B163" i="21" a="1"/>
  <c r="B163" i="21" s="1"/>
  <c r="C163" i="21"/>
  <c r="D163" i="21"/>
  <c r="E163" i="21"/>
  <c r="F163" i="21"/>
  <c r="G163" i="21"/>
  <c r="B164" i="21" a="1"/>
  <c r="B164" i="21" s="1"/>
  <c r="C164" i="21"/>
  <c r="D164" i="21"/>
  <c r="E164" i="21"/>
  <c r="F164" i="21"/>
  <c r="G164" i="21"/>
  <c r="B165" i="21" a="1"/>
  <c r="B165" i="21"/>
  <c r="C165" i="21"/>
  <c r="D165" i="21"/>
  <c r="E165" i="21"/>
  <c r="F165" i="21"/>
  <c r="G165" i="21"/>
  <c r="B166" i="21" a="1"/>
  <c r="B166" i="21"/>
  <c r="C166" i="21"/>
  <c r="D166" i="21"/>
  <c r="E166" i="21"/>
  <c r="F166" i="21"/>
  <c r="G166" i="21"/>
  <c r="B167" i="21" a="1"/>
  <c r="B167" i="21" s="1"/>
  <c r="C167" i="21"/>
  <c r="D167" i="21"/>
  <c r="E167" i="21"/>
  <c r="F167" i="21"/>
  <c r="G167" i="21"/>
  <c r="B168" i="21" a="1"/>
  <c r="B168" i="21"/>
  <c r="C168" i="21"/>
  <c r="D168" i="21"/>
  <c r="E168" i="21"/>
  <c r="F168" i="21"/>
  <c r="G168" i="21"/>
  <c r="B169" i="21" a="1"/>
  <c r="B169" i="21"/>
  <c r="C169" i="21"/>
  <c r="D169" i="21"/>
  <c r="E169" i="21"/>
  <c r="F169" i="21"/>
  <c r="G169" i="21"/>
  <c r="B170" i="21" a="1"/>
  <c r="B170" i="21"/>
  <c r="C170" i="21"/>
  <c r="D170" i="21"/>
  <c r="E170" i="21"/>
  <c r="F170" i="21"/>
  <c r="G170" i="21"/>
  <c r="B171" i="21" a="1"/>
  <c r="B171" i="21" s="1"/>
  <c r="C171" i="21"/>
  <c r="D171" i="21"/>
  <c r="E171" i="21"/>
  <c r="F171" i="21"/>
  <c r="G171" i="21"/>
  <c r="B172" i="21" a="1"/>
  <c r="B172" i="21" s="1"/>
  <c r="C172" i="21"/>
  <c r="D172" i="21"/>
  <c r="E172" i="21"/>
  <c r="F172" i="21"/>
  <c r="G172" i="21"/>
  <c r="B173" i="21" a="1"/>
  <c r="B173" i="21"/>
  <c r="C173" i="21"/>
  <c r="D173" i="21"/>
  <c r="E173" i="21"/>
  <c r="F173" i="21"/>
  <c r="G173" i="21"/>
  <c r="B174" i="21" a="1"/>
  <c r="B174" i="21"/>
  <c r="C174" i="21"/>
  <c r="D174" i="21"/>
  <c r="E174" i="21"/>
  <c r="F174" i="21"/>
  <c r="G174" i="21"/>
  <c r="B175" i="21" a="1"/>
  <c r="B175" i="21" s="1"/>
  <c r="C175" i="21"/>
  <c r="D175" i="21"/>
  <c r="E175" i="21"/>
  <c r="F175" i="21"/>
  <c r="G175" i="21"/>
  <c r="B176" i="21" a="1"/>
  <c r="B176" i="21"/>
  <c r="C176" i="21"/>
  <c r="D176" i="21"/>
  <c r="E176" i="21"/>
  <c r="F176" i="21"/>
  <c r="G176" i="21"/>
  <c r="B177" i="21" a="1"/>
  <c r="B177" i="21"/>
  <c r="C177" i="21"/>
  <c r="D177" i="21"/>
  <c r="E177" i="21"/>
  <c r="F177" i="21"/>
  <c r="G177" i="21"/>
  <c r="B178" i="21" a="1"/>
  <c r="B178" i="21"/>
  <c r="C178" i="21"/>
  <c r="D178" i="21"/>
  <c r="E178" i="21"/>
  <c r="F178" i="21"/>
  <c r="G178" i="21"/>
  <c r="B179" i="21" a="1"/>
  <c r="B179" i="21" s="1"/>
  <c r="C179" i="21"/>
  <c r="D179" i="21"/>
  <c r="E179" i="21"/>
  <c r="F179" i="21"/>
  <c r="G179" i="21"/>
  <c r="B180" i="21" a="1"/>
  <c r="B180" i="21" s="1"/>
  <c r="C180" i="21"/>
  <c r="D180" i="21"/>
  <c r="E180" i="21"/>
  <c r="F180" i="21"/>
  <c r="G180" i="21"/>
  <c r="B181" i="21" a="1"/>
  <c r="B181" i="21"/>
  <c r="C181" i="21"/>
  <c r="D181" i="21"/>
  <c r="E181" i="21"/>
  <c r="F181" i="21"/>
  <c r="G181" i="21"/>
  <c r="C182" i="21"/>
  <c r="B182" i="21" s="1" a="1"/>
  <c r="B182" i="21" s="1"/>
  <c r="D182" i="21"/>
  <c r="E182" i="21"/>
  <c r="F182" i="21"/>
  <c r="G182" i="21"/>
  <c r="B183" i="21" a="1"/>
  <c r="B183" i="21" s="1"/>
  <c r="C183" i="21"/>
  <c r="D183" i="21"/>
  <c r="E183" i="21"/>
  <c r="F183" i="21"/>
  <c r="G183" i="21"/>
  <c r="B184" i="21"/>
  <c r="C184" i="21"/>
  <c r="B184" i="21" s="1" a="1"/>
  <c r="D184" i="21"/>
  <c r="E184" i="21"/>
  <c r="F184" i="21"/>
  <c r="G184" i="21"/>
  <c r="C185" i="21"/>
  <c r="B185" i="21" s="1" a="1"/>
  <c r="B185" i="21" s="1"/>
  <c r="D185" i="21"/>
  <c r="E185" i="21"/>
  <c r="F185" i="21"/>
  <c r="G185" i="21"/>
  <c r="C186" i="21"/>
  <c r="B186" i="21" s="1" a="1"/>
  <c r="B186" i="21" s="1"/>
  <c r="D186" i="21"/>
  <c r="E186" i="21"/>
  <c r="F186" i="21"/>
  <c r="G186" i="21"/>
  <c r="B187" i="21" a="1"/>
  <c r="B187" i="21" s="1"/>
  <c r="C187" i="21"/>
  <c r="D187" i="21"/>
  <c r="E187" i="21"/>
  <c r="F187" i="21"/>
  <c r="G187" i="21"/>
  <c r="B188" i="21" a="1"/>
  <c r="B188" i="21" s="1"/>
  <c r="C188" i="21"/>
  <c r="D188" i="21"/>
  <c r="E188" i="21"/>
  <c r="F188" i="21"/>
  <c r="G188" i="21"/>
  <c r="B189" i="21" a="1"/>
  <c r="B189" i="21"/>
  <c r="C189" i="21"/>
  <c r="D189" i="21"/>
  <c r="E189" i="21"/>
  <c r="F189" i="21"/>
  <c r="G189" i="21"/>
  <c r="C190" i="21"/>
  <c r="B190" i="21" s="1" a="1"/>
  <c r="B190" i="21" s="1"/>
  <c r="D190" i="21"/>
  <c r="E190" i="21"/>
  <c r="F190" i="21"/>
  <c r="G190" i="21"/>
  <c r="B191" i="21" a="1"/>
  <c r="B191" i="21" s="1"/>
  <c r="C191" i="21"/>
  <c r="D191" i="21"/>
  <c r="E191" i="21"/>
  <c r="F191" i="21"/>
  <c r="G191" i="21"/>
  <c r="C192" i="21"/>
  <c r="B192" i="21" s="1" a="1"/>
  <c r="B192" i="21" s="1"/>
  <c r="D192" i="21"/>
  <c r="E192" i="21"/>
  <c r="F192" i="21"/>
  <c r="G192" i="21"/>
  <c r="C193" i="21"/>
  <c r="B193" i="21" s="1" a="1"/>
  <c r="B193" i="21" s="1"/>
  <c r="D193" i="21"/>
  <c r="E193" i="21"/>
  <c r="F193" i="21"/>
  <c r="G193" i="21"/>
  <c r="C194" i="21"/>
  <c r="B194" i="21" s="1" a="1"/>
  <c r="B194" i="21" s="1"/>
  <c r="D194" i="21"/>
  <c r="E194" i="21"/>
  <c r="F194" i="21"/>
  <c r="G194" i="21"/>
  <c r="B195" i="21" a="1"/>
  <c r="B195" i="21" s="1"/>
  <c r="C195" i="21"/>
  <c r="D195" i="21"/>
  <c r="E195" i="21"/>
  <c r="F195" i="21"/>
  <c r="G195" i="21"/>
  <c r="B196" i="21" a="1"/>
  <c r="B196" i="21" s="1"/>
  <c r="C196" i="21"/>
  <c r="D196" i="21"/>
  <c r="E196" i="21"/>
  <c r="F196" i="21"/>
  <c r="G196" i="21"/>
  <c r="B197" i="21" a="1"/>
  <c r="B197" i="21"/>
  <c r="C197" i="21"/>
  <c r="D197" i="21"/>
  <c r="E197" i="21"/>
  <c r="F197" i="21"/>
  <c r="G197" i="21"/>
  <c r="C198" i="21"/>
  <c r="B198" i="21" s="1" a="1"/>
  <c r="B198" i="21" s="1"/>
  <c r="D198" i="21"/>
  <c r="E198" i="21"/>
  <c r="F198" i="21"/>
  <c r="G198" i="21"/>
  <c r="B199" i="21" a="1"/>
  <c r="B199" i="21" s="1"/>
  <c r="C199" i="21"/>
  <c r="D199" i="21"/>
  <c r="E199" i="21"/>
  <c r="F199" i="21"/>
  <c r="G199" i="21"/>
  <c r="B200" i="21"/>
  <c r="C200" i="21"/>
  <c r="B200" i="21" s="1" a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B9" i="8" a="1"/>
  <c r="B9" i="8" s="1"/>
  <c r="C9" i="8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B16" i="8" a="1"/>
  <c r="B16" i="8" s="1"/>
  <c r="C16" i="8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B25" i="8" a="1"/>
  <c r="B25" i="8" s="1"/>
  <c r="C25" i="8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B32" i="8" a="1"/>
  <c r="B32" i="8" s="1"/>
  <c r="C32" i="8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B36" i="8" a="1"/>
  <c r="B36" i="8" s="1"/>
  <c r="C36" i="8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B43" i="8"/>
  <c r="C43" i="8"/>
  <c r="B43" i="8" s="1" a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B49" i="8"/>
  <c r="C49" i="8"/>
  <c r="B49" i="8" s="1" a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B61" i="8"/>
  <c r="C61" i="8"/>
  <c r="B61" i="8" s="1" a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E71" i="8"/>
  <c r="F71" i="8"/>
  <c r="G71" i="8"/>
  <c r="C72" i="8"/>
  <c r="B72" i="8" s="1" a="1"/>
  <c r="B72" i="8" s="1"/>
  <c r="D72" i="8"/>
  <c r="E72" i="8"/>
  <c r="F72" i="8"/>
  <c r="G72" i="8"/>
  <c r="C73" i="8"/>
  <c r="B73" i="8" s="1" a="1"/>
  <c r="B73" i="8" s="1"/>
  <c r="D73" i="8"/>
  <c r="E73" i="8"/>
  <c r="F73" i="8"/>
  <c r="G73" i="8"/>
  <c r="C74" i="8"/>
  <c r="B74" i="8" s="1" a="1"/>
  <c r="B74" i="8" s="1"/>
  <c r="D74" i="8"/>
  <c r="E74" i="8"/>
  <c r="F74" i="8"/>
  <c r="G74" i="8"/>
  <c r="C75" i="8"/>
  <c r="B75" i="8" s="1" a="1"/>
  <c r="B75" i="8" s="1"/>
  <c r="D75" i="8"/>
  <c r="E75" i="8"/>
  <c r="F75" i="8"/>
  <c r="G75" i="8"/>
  <c r="C76" i="8"/>
  <c r="B76" i="8" s="1" a="1"/>
  <c r="B76" i="8" s="1"/>
  <c r="D76" i="8"/>
  <c r="E76" i="8"/>
  <c r="F76" i="8"/>
  <c r="G76" i="8"/>
  <c r="C77" i="8"/>
  <c r="B77" i="8" s="1" a="1"/>
  <c r="B77" i="8" s="1"/>
  <c r="D77" i="8"/>
  <c r="E77" i="8"/>
  <c r="F77" i="8"/>
  <c r="G77" i="8"/>
  <c r="C78" i="8"/>
  <c r="B78" i="8" s="1" a="1"/>
  <c r="B78" i="8" s="1"/>
  <c r="D78" i="8"/>
  <c r="E78" i="8"/>
  <c r="F78" i="8"/>
  <c r="G78" i="8"/>
  <c r="C79" i="8"/>
  <c r="B79" i="8" s="1" a="1"/>
  <c r="B79" i="8" s="1"/>
  <c r="D79" i="8"/>
  <c r="E79" i="8"/>
  <c r="F79" i="8"/>
  <c r="G79" i="8"/>
  <c r="C80" i="8"/>
  <c r="B80" i="8" s="1" a="1"/>
  <c r="B80" i="8" s="1"/>
  <c r="D80" i="8"/>
  <c r="E80" i="8"/>
  <c r="F80" i="8"/>
  <c r="G80" i="8"/>
  <c r="C81" i="8"/>
  <c r="B81" i="8" s="1" a="1"/>
  <c r="B81" i="8" s="1"/>
  <c r="D81" i="8"/>
  <c r="E81" i="8"/>
  <c r="F81" i="8"/>
  <c r="G81" i="8"/>
  <c r="C82" i="8"/>
  <c r="B82" i="8" s="1" a="1"/>
  <c r="B82" i="8" s="1"/>
  <c r="D82" i="8"/>
  <c r="E82" i="8"/>
  <c r="F82" i="8"/>
  <c r="G82" i="8"/>
  <c r="C83" i="8"/>
  <c r="B83" i="8" s="1" a="1"/>
  <c r="B83" i="8" s="1"/>
  <c r="D83" i="8"/>
  <c r="E83" i="8"/>
  <c r="F83" i="8"/>
  <c r="G83" i="8"/>
  <c r="C84" i="8"/>
  <c r="B84" i="8" s="1" a="1"/>
  <c r="B84" i="8" s="1"/>
  <c r="D84" i="8"/>
  <c r="E84" i="8"/>
  <c r="F84" i="8"/>
  <c r="G84" i="8"/>
  <c r="C85" i="8"/>
  <c r="B85" i="8" s="1" a="1"/>
  <c r="B85" i="8" s="1"/>
  <c r="D85" i="8"/>
  <c r="E85" i="8"/>
  <c r="F85" i="8"/>
  <c r="G85" i="8"/>
  <c r="C86" i="8"/>
  <c r="B86" i="8" s="1" a="1"/>
  <c r="B86" i="8" s="1"/>
  <c r="D86" i="8"/>
  <c r="E86" i="8"/>
  <c r="F86" i="8"/>
  <c r="G86" i="8"/>
  <c r="C87" i="8"/>
  <c r="B87" i="8" s="1" a="1"/>
  <c r="B87" i="8" s="1"/>
  <c r="D87" i="8"/>
  <c r="E87" i="8"/>
  <c r="F87" i="8"/>
  <c r="G87" i="8"/>
  <c r="C88" i="8"/>
  <c r="B88" i="8" s="1" a="1"/>
  <c r="B88" i="8" s="1"/>
  <c r="D88" i="8"/>
  <c r="E88" i="8"/>
  <c r="F88" i="8"/>
  <c r="G88" i="8"/>
  <c r="C89" i="8"/>
  <c r="B89" i="8" s="1" a="1"/>
  <c r="B89" i="8" s="1"/>
  <c r="D89" i="8"/>
  <c r="E89" i="8"/>
  <c r="F89" i="8"/>
  <c r="G89" i="8"/>
  <c r="C90" i="8"/>
  <c r="B90" i="8" s="1" a="1"/>
  <c r="B90" i="8" s="1"/>
  <c r="D90" i="8"/>
  <c r="E90" i="8"/>
  <c r="F90" i="8"/>
  <c r="G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C94" i="8"/>
  <c r="B94" i="8" s="1" a="1"/>
  <c r="B94" i="8" s="1"/>
  <c r="D94" i="8"/>
  <c r="E94" i="8"/>
  <c r="F94" i="8"/>
  <c r="G94" i="8"/>
  <c r="C95" i="8"/>
  <c r="B95" i="8" s="1" a="1"/>
  <c r="B95" i="8" s="1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C99" i="8"/>
  <c r="B99" i="8" s="1" a="1"/>
  <c r="B99" i="8" s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C102" i="8"/>
  <c r="B102" i="8" s="1" a="1"/>
  <c r="B102" i="8" s="1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B111" i="8"/>
  <c r="C111" i="8"/>
  <c r="B111" i="8" s="1" a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B173" i="8" a="1"/>
  <c r="B173" i="8" s="1"/>
  <c r="C173" i="8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B180" i="8" a="1"/>
  <c r="B180" i="8" s="1"/>
  <c r="C180" i="8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B190" i="8" a="1"/>
  <c r="B190" i="8" s="1"/>
  <c r="C190" i="8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B193" i="8" a="1"/>
  <c r="B193" i="8" s="1"/>
  <c r="C193" i="8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G127" i="14" l="1"/>
  <c r="H127" i="14"/>
  <c r="C5" i="21"/>
  <c r="B5" i="21" s="1" a="1"/>
  <c r="B5" i="21" s="1"/>
  <c r="J4" i="21"/>
  <c r="C4" i="21"/>
  <c r="J3" i="21"/>
  <c r="C3" i="21"/>
  <c r="J2" i="21"/>
  <c r="K2" i="21" s="1"/>
  <c r="L2" i="21" s="1"/>
  <c r="M2" i="21" s="1"/>
  <c r="N2" i="21" s="1"/>
  <c r="C2" i="21"/>
  <c r="A2" i="21"/>
  <c r="A3" i="21" s="1"/>
  <c r="A4" i="21" s="1"/>
  <c r="A5" i="21" s="1"/>
  <c r="J1" i="21"/>
  <c r="K1" i="21" s="1"/>
  <c r="F1" i="21"/>
  <c r="F5" i="21" l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A6" i="21"/>
  <c r="E5" i="2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O2" i="2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3" i="21"/>
  <c r="G5" i="21" l="1"/>
  <c r="E4" i="21"/>
  <c r="F4" i="21"/>
  <c r="D4" i="21"/>
  <c r="A7" i="21"/>
  <c r="E6" i="21"/>
  <c r="F3" i="21"/>
  <c r="F6" i="21"/>
  <c r="L3" i="21"/>
  <c r="M3" i="21" s="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E2" i="21"/>
  <c r="D2" i="21"/>
  <c r="F2" i="21"/>
  <c r="J4" i="8"/>
  <c r="J3" i="8"/>
  <c r="H63" i="20"/>
  <c r="H64" i="20"/>
  <c r="H65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3" i="20" a="1"/>
  <c r="M3" i="20" s="1"/>
  <c r="B2" i="13"/>
  <c r="C15" i="13" s="1"/>
  <c r="N127" i="14"/>
  <c r="J32" i="20"/>
  <c r="J34" i="20"/>
  <c r="K34" i="20" s="1"/>
  <c r="J39" i="20"/>
  <c r="J44" i="20"/>
  <c r="J41" i="20"/>
  <c r="J45" i="20"/>
  <c r="J52" i="20"/>
  <c r="J51" i="20"/>
  <c r="J54" i="20"/>
  <c r="J47" i="20"/>
  <c r="J49" i="20"/>
  <c r="J53" i="20"/>
  <c r="J50" i="20"/>
  <c r="J55" i="20"/>
  <c r="J56" i="20"/>
  <c r="J57" i="20"/>
  <c r="J3" i="20"/>
  <c r="J36" i="20"/>
  <c r="J10" i="20"/>
  <c r="J35" i="20"/>
  <c r="J40" i="20"/>
  <c r="J60" i="20"/>
  <c r="J61" i="20"/>
  <c r="J62" i="20"/>
  <c r="J63" i="20"/>
  <c r="J64" i="20"/>
  <c r="J65" i="20"/>
  <c r="J46" i="20"/>
  <c r="J4" i="20"/>
  <c r="J7" i="20"/>
  <c r="J29" i="20"/>
  <c r="J9" i="20"/>
  <c r="J6" i="20"/>
  <c r="J5" i="20"/>
  <c r="J11" i="20"/>
  <c r="J12" i="20"/>
  <c r="J15" i="20"/>
  <c r="J19" i="20"/>
  <c r="J23" i="20"/>
  <c r="J14" i="20"/>
  <c r="J18" i="20"/>
  <c r="J17" i="20"/>
  <c r="J13" i="20"/>
  <c r="J24" i="20"/>
  <c r="J20" i="20"/>
  <c r="J42" i="20"/>
  <c r="J22" i="20"/>
  <c r="J26" i="20"/>
  <c r="J30" i="20"/>
  <c r="J28" i="20"/>
  <c r="J25" i="20"/>
  <c r="J33" i="20"/>
  <c r="J21" i="20"/>
  <c r="J8" i="20"/>
  <c r="J48" i="20"/>
  <c r="J38" i="20"/>
  <c r="J43" i="20"/>
  <c r="J27" i="20"/>
  <c r="J37" i="20"/>
  <c r="J16" i="20"/>
  <c r="J31" i="20"/>
  <c r="G4" i="21" l="1"/>
  <c r="A8" i="21"/>
  <c r="E7" i="21"/>
  <c r="F7" i="21"/>
  <c r="E3" i="21"/>
  <c r="G3" i="21"/>
  <c r="G6" i="21"/>
  <c r="D3" i="21"/>
  <c r="B35" i="13"/>
  <c r="G5" i="13"/>
  <c r="G2" i="2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10" i="20"/>
  <c r="K50" i="20"/>
  <c r="K49" i="20"/>
  <c r="K51" i="20"/>
  <c r="K17" i="20"/>
  <c r="K11" i="20"/>
  <c r="K39" i="20"/>
  <c r="K16" i="20"/>
  <c r="K27" i="20"/>
  <c r="K43" i="20"/>
  <c r="K4" i="20"/>
  <c r="K20" i="20"/>
  <c r="K18" i="20"/>
  <c r="K31" i="20"/>
  <c r="K14" i="20"/>
  <c r="K53" i="20"/>
  <c r="C5" i="8"/>
  <c r="B5" i="8" s="1" a="1"/>
  <c r="B5" i="8" s="1"/>
  <c r="C2" i="13"/>
  <c r="B49" i="15" s="1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AT9" i="18"/>
  <c r="C3" i="8"/>
  <c r="C4" i="8"/>
  <c r="G7" i="21" l="1"/>
  <c r="D3" i="8"/>
  <c r="D4" i="8"/>
  <c r="A9" i="21"/>
  <c r="E8" i="21"/>
  <c r="F8" i="2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G8" i="21" l="1"/>
  <c r="A10" i="21"/>
  <c r="E9" i="21"/>
  <c r="F9" i="21"/>
  <c r="H119" i="14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20" i="14"/>
  <c r="H112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6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3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5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6" i="14"/>
  <c r="G124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8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9" i="14"/>
  <c r="H2" i="14"/>
  <c r="H3" i="14"/>
  <c r="N126" i="14"/>
  <c r="G2" i="14"/>
  <c r="A2" i="8"/>
  <c r="A3" i="8" s="1"/>
  <c r="A11" i="21" l="1"/>
  <c r="E10" i="21"/>
  <c r="F10" i="21"/>
  <c r="G9" i="21"/>
  <c r="A4" i="8"/>
  <c r="D3" i="14"/>
  <c r="D4" i="14"/>
  <c r="D5" i="14"/>
  <c r="D6" i="14"/>
  <c r="D7" i="14"/>
  <c r="D8" i="14"/>
  <c r="D9" i="14"/>
  <c r="D10" i="14"/>
  <c r="D11" i="14"/>
  <c r="D12" i="14"/>
  <c r="D13" i="14"/>
  <c r="D14" i="14"/>
  <c r="E50" i="14"/>
  <c r="E53" i="14"/>
  <c r="E56" i="14"/>
  <c r="E59" i="14"/>
  <c r="E62" i="14"/>
  <c r="E64" i="14"/>
  <c r="E65" i="14"/>
  <c r="E67" i="14"/>
  <c r="E68" i="14"/>
  <c r="E69" i="14"/>
  <c r="E70" i="14"/>
  <c r="E72" i="14"/>
  <c r="E73" i="14"/>
  <c r="E74" i="14"/>
  <c r="E75" i="14"/>
  <c r="E76" i="14"/>
  <c r="E77" i="14"/>
  <c r="E79" i="14"/>
  <c r="E81" i="14"/>
  <c r="E82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C126" i="14"/>
  <c r="G10" i="21" l="1"/>
  <c r="A12" i="21"/>
  <c r="E11" i="21"/>
  <c r="F11" i="21"/>
  <c r="A5" i="8"/>
  <c r="D126" i="14"/>
  <c r="J59" i="20"/>
  <c r="J58" i="20"/>
  <c r="H4" i="13"/>
  <c r="H5" i="13" s="1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A6" i="8" l="1"/>
  <c r="G11" i="21"/>
  <c r="A13" i="21"/>
  <c r="E12" i="21"/>
  <c r="F12" i="21"/>
  <c r="F58" i="20"/>
  <c r="F59" i="20"/>
  <c r="I4" i="13"/>
  <c r="I5" i="13" s="1"/>
  <c r="J2" i="8"/>
  <c r="R21" i="12"/>
  <c r="R22" i="12" s="1"/>
  <c r="R23" i="12" s="1"/>
  <c r="R24" i="12" s="1"/>
  <c r="R25" i="12" s="1"/>
  <c r="R26" i="12" s="1"/>
  <c r="R27" i="12" s="1"/>
  <c r="R28" i="12" s="1"/>
  <c r="R29" i="12" s="1"/>
  <c r="A14" i="21" l="1"/>
  <c r="E13" i="21"/>
  <c r="G13" i="21" s="1"/>
  <c r="F13" i="21"/>
  <c r="G12" i="21"/>
  <c r="A7" i="8"/>
  <c r="J4" i="13"/>
  <c r="J5" i="13" s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3"/>
  <c r="AZ3" i="22" s="1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3"/>
  <c r="AZ6" i="22" s="1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B64" i="22" s="1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B59" i="22" s="1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B67" i="22" s="1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B68" i="22" s="1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B92" i="22" s="1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B69" i="22" s="1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B72" i="22" s="1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A8" i="8" l="1"/>
  <c r="A15" i="21"/>
  <c r="E14" i="21"/>
  <c r="F14" i="21"/>
  <c r="E2" i="14"/>
  <c r="B2" i="22"/>
  <c r="E78" i="14"/>
  <c r="E54" i="14"/>
  <c r="E96" i="14"/>
  <c r="E57" i="14"/>
  <c r="E80" i="14"/>
  <c r="E83" i="14"/>
  <c r="E63" i="14"/>
  <c r="E38" i="14"/>
  <c r="E71" i="14"/>
  <c r="E66" i="14"/>
  <c r="E49" i="14"/>
  <c r="E58" i="14"/>
  <c r="E61" i="14"/>
  <c r="E51" i="14"/>
  <c r="F15" i="14"/>
  <c r="N15" i="14" s="1"/>
  <c r="E55" i="14"/>
  <c r="F125" i="14"/>
  <c r="N125" i="14" s="1"/>
  <c r="F81" i="14"/>
  <c r="N81" i="14" s="1"/>
  <c r="E47" i="14"/>
  <c r="F47" i="14"/>
  <c r="F76" i="14"/>
  <c r="N76" i="14" s="1"/>
  <c r="F88" i="14"/>
  <c r="N88" i="14" s="1"/>
  <c r="F122" i="14"/>
  <c r="N122" i="14" s="1"/>
  <c r="E16" i="14"/>
  <c r="F16" i="14"/>
  <c r="N16" i="14" s="1"/>
  <c r="E39" i="14"/>
  <c r="F39" i="14"/>
  <c r="E25" i="14"/>
  <c r="F25" i="14"/>
  <c r="N25" i="14" s="1"/>
  <c r="E40" i="14"/>
  <c r="F40" i="14"/>
  <c r="F57" i="14"/>
  <c r="N57" i="14" s="1"/>
  <c r="E24" i="14"/>
  <c r="F24" i="14"/>
  <c r="N24" i="14" s="1"/>
  <c r="F100" i="14"/>
  <c r="N100" i="14" s="1"/>
  <c r="E21" i="14"/>
  <c r="F21" i="14"/>
  <c r="N21" i="14" s="1"/>
  <c r="F85" i="14"/>
  <c r="N85" i="14" s="1"/>
  <c r="F90" i="14"/>
  <c r="N90" i="14" s="1"/>
  <c r="E37" i="14"/>
  <c r="F37" i="14"/>
  <c r="E48" i="14"/>
  <c r="F48" i="14"/>
  <c r="F109" i="14"/>
  <c r="N109" i="14" s="1"/>
  <c r="F80" i="14"/>
  <c r="N80" i="14" s="1"/>
  <c r="E44" i="14"/>
  <c r="F44" i="14"/>
  <c r="F84" i="14"/>
  <c r="N84" i="14" s="1"/>
  <c r="E32" i="14"/>
  <c r="F32" i="14"/>
  <c r="N32" i="14" s="1"/>
  <c r="E7" i="14"/>
  <c r="F7" i="14"/>
  <c r="N7" i="14" s="1"/>
  <c r="F71" i="14"/>
  <c r="F114" i="14"/>
  <c r="N114" i="14" s="1"/>
  <c r="F105" i="14"/>
  <c r="N105" i="14" s="1"/>
  <c r="F112" i="14"/>
  <c r="N112" i="14" s="1"/>
  <c r="F103" i="14"/>
  <c r="N103" i="14" s="1"/>
  <c r="E9" i="14"/>
  <c r="F9" i="14"/>
  <c r="N9" i="14" s="1"/>
  <c r="E6" i="14"/>
  <c r="F6" i="14"/>
  <c r="N6" i="14" s="1"/>
  <c r="E42" i="14"/>
  <c r="F42" i="14"/>
  <c r="F61" i="14"/>
  <c r="F94" i="14"/>
  <c r="N94" i="14" s="1"/>
  <c r="F101" i="14"/>
  <c r="N101" i="14" s="1"/>
  <c r="F72" i="14"/>
  <c r="E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E18" i="14"/>
  <c r="F18" i="14"/>
  <c r="N18" i="14" s="1"/>
  <c r="F83" i="14"/>
  <c r="N83" i="14" s="1"/>
  <c r="F66" i="14"/>
  <c r="F51" i="14"/>
  <c r="F89" i="14"/>
  <c r="N89" i="14" s="1"/>
  <c r="E14" i="14"/>
  <c r="F14" i="14"/>
  <c r="N14" i="14" s="1"/>
  <c r="F79" i="14"/>
  <c r="N79" i="14" s="1"/>
  <c r="E41" i="14"/>
  <c r="F41" i="14"/>
  <c r="E27" i="14"/>
  <c r="F27" i="14"/>
  <c r="N27" i="14" s="1"/>
  <c r="F107" i="14"/>
  <c r="N107" i="14" s="1"/>
  <c r="F93" i="14"/>
  <c r="N93" i="14" s="1"/>
  <c r="E13" i="14"/>
  <c r="F13" i="14"/>
  <c r="N13" i="14" s="1"/>
  <c r="F106" i="14"/>
  <c r="N106" i="14" s="1"/>
  <c r="F104" i="14"/>
  <c r="N104" i="14" s="1"/>
  <c r="F62" i="14"/>
  <c r="N62" i="14" s="1"/>
  <c r="F59" i="14"/>
  <c r="N59" i="14" s="1"/>
  <c r="E15" i="14"/>
  <c r="F102" i="14"/>
  <c r="N102" i="14" s="1"/>
  <c r="F73" i="14"/>
  <c r="N73" i="14" s="1"/>
  <c r="F49" i="14"/>
  <c r="E31" i="14"/>
  <c r="F31" i="14"/>
  <c r="N31" i="14" s="1"/>
  <c r="E36" i="14"/>
  <c r="F36" i="14"/>
  <c r="N36" i="14" s="1"/>
  <c r="F63" i="14"/>
  <c r="N63" i="14" s="1"/>
  <c r="F124" i="14"/>
  <c r="N124" i="14" s="1"/>
  <c r="F82" i="14"/>
  <c r="N82" i="14" s="1"/>
  <c r="E5" i="14"/>
  <c r="F5" i="14"/>
  <c r="N5" i="14" s="1"/>
  <c r="E35" i="14"/>
  <c r="F35" i="14"/>
  <c r="N35" i="14" s="1"/>
  <c r="F119" i="14"/>
  <c r="N119" i="14" s="1"/>
  <c r="E8" i="14"/>
  <c r="F8" i="14"/>
  <c r="N8" i="14" s="1"/>
  <c r="E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E60" i="14"/>
  <c r="F60" i="14"/>
  <c r="N60" i="14" s="1"/>
  <c r="F86" i="14"/>
  <c r="N86" i="14" s="1"/>
  <c r="E23" i="14"/>
  <c r="F23" i="14"/>
  <c r="N23" i="14" s="1"/>
  <c r="F121" i="14"/>
  <c r="N121" i="14" s="1"/>
  <c r="E34" i="14"/>
  <c r="F34" i="14"/>
  <c r="F118" i="14"/>
  <c r="N118" i="14" s="1"/>
  <c r="E28" i="14"/>
  <c r="F28" i="14"/>
  <c r="N28" i="14" s="1"/>
  <c r="F75" i="14"/>
  <c r="F2" i="14"/>
  <c r="N2" i="14" s="1"/>
  <c r="F53" i="14"/>
  <c r="N53" i="14" s="1"/>
  <c r="E26" i="14"/>
  <c r="F26" i="14"/>
  <c r="F110" i="14"/>
  <c r="N110" i="14" s="1"/>
  <c r="F50" i="14"/>
  <c r="N50" i="14" s="1"/>
  <c r="E45" i="14"/>
  <c r="F45" i="14"/>
  <c r="E22" i="14"/>
  <c r="F22" i="14"/>
  <c r="N22" i="14" s="1"/>
  <c r="E20" i="14"/>
  <c r="F20" i="14"/>
  <c r="N20" i="14" s="1"/>
  <c r="F70" i="14"/>
  <c r="N70" i="14" s="1"/>
  <c r="F123" i="14"/>
  <c r="N123" i="14" s="1"/>
  <c r="F55" i="14"/>
  <c r="F98" i="14"/>
  <c r="N98" i="14" s="1"/>
  <c r="E4" i="14"/>
  <c r="F4" i="14"/>
  <c r="N4" i="14" s="1"/>
  <c r="F117" i="14"/>
  <c r="N117" i="14" s="1"/>
  <c r="F115" i="14"/>
  <c r="N115" i="14" s="1"/>
  <c r="F97" i="14"/>
  <c r="N97" i="14" s="1"/>
  <c r="E52" i="14"/>
  <c r="F52" i="14"/>
  <c r="E29" i="14"/>
  <c r="F29" i="14"/>
  <c r="N29" i="14" s="1"/>
  <c r="F74" i="14"/>
  <c r="N74" i="14" s="1"/>
  <c r="F64" i="14"/>
  <c r="N64" i="14" s="1"/>
  <c r="E12" i="14"/>
  <c r="F12" i="14"/>
  <c r="N12" i="14" s="1"/>
  <c r="F54" i="14"/>
  <c r="N54" i="14" s="1"/>
  <c r="E33" i="14"/>
  <c r="F33" i="14"/>
  <c r="N33" i="14" s="1"/>
  <c r="E11" i="14"/>
  <c r="F11" i="14"/>
  <c r="N11" i="14" s="1"/>
  <c r="F108" i="14"/>
  <c r="N108" i="14" s="1"/>
  <c r="F87" i="14"/>
  <c r="N87" i="14" s="1"/>
  <c r="F120" i="14"/>
  <c r="N120" i="14" s="1"/>
  <c r="E46" i="14"/>
  <c r="F46" i="14"/>
  <c r="F116" i="14"/>
  <c r="N116" i="14" s="1"/>
  <c r="E43" i="14"/>
  <c r="F43" i="14"/>
  <c r="N43" i="14" s="1"/>
  <c r="E17" i="14"/>
  <c r="F17" i="14"/>
  <c r="N17" i="14" s="1"/>
  <c r="F113" i="14"/>
  <c r="N113" i="14" s="1"/>
  <c r="F77" i="14"/>
  <c r="N77" i="14" s="1"/>
  <c r="E19" i="14"/>
  <c r="F19" i="14"/>
  <c r="N19" i="14" s="1"/>
  <c r="F56" i="14"/>
  <c r="N56" i="14" s="1"/>
  <c r="F38" i="14"/>
  <c r="F96" i="14"/>
  <c r="N96" i="14" s="1"/>
  <c r="E126" i="14"/>
  <c r="E10" i="14"/>
  <c r="F10" i="14"/>
  <c r="N10" i="14" s="1"/>
  <c r="K1" i="8"/>
  <c r="K4" i="13"/>
  <c r="K5" i="13" s="1"/>
  <c r="D2" i="8"/>
  <c r="G14" i="21" l="1"/>
  <c r="A16" i="21"/>
  <c r="E15" i="21"/>
  <c r="F15" i="21"/>
  <c r="A9" i="8"/>
  <c r="C36" i="15"/>
  <c r="D10" i="20"/>
  <c r="E10" i="20" s="1"/>
  <c r="N66" i="14"/>
  <c r="D20" i="20"/>
  <c r="E20" i="20" s="1"/>
  <c r="N45" i="14"/>
  <c r="D61" i="20"/>
  <c r="E61" i="20" s="1"/>
  <c r="N75" i="14"/>
  <c r="D60" i="20"/>
  <c r="E60" i="20" s="1"/>
  <c r="N67" i="14"/>
  <c r="D51" i="20"/>
  <c r="E51" i="20" s="1"/>
  <c r="N41" i="14"/>
  <c r="D3" i="20"/>
  <c r="E3" i="20" s="1"/>
  <c r="N71" i="14"/>
  <c r="D13" i="20"/>
  <c r="E13" i="20" s="1"/>
  <c r="N52" i="14"/>
  <c r="D4" i="20"/>
  <c r="E4" i="20" s="1"/>
  <c r="N55" i="14"/>
  <c r="D14" i="20"/>
  <c r="E14" i="20" s="1"/>
  <c r="N47" i="14"/>
  <c r="D35" i="20"/>
  <c r="E35" i="20" s="1"/>
  <c r="N49" i="14"/>
  <c r="D62" i="20"/>
  <c r="E62" i="20" s="1"/>
  <c r="N72" i="14"/>
  <c r="D43" i="20"/>
  <c r="E43" i="20" s="1"/>
  <c r="N48" i="14"/>
  <c r="D34" i="20"/>
  <c r="E34" i="20" s="1"/>
  <c r="N39" i="14"/>
  <c r="D18" i="20"/>
  <c r="E18" i="20" s="1"/>
  <c r="N46" i="14"/>
  <c r="D53" i="20"/>
  <c r="E53" i="20" s="1"/>
  <c r="N26" i="14"/>
  <c r="D39" i="20"/>
  <c r="E39" i="20" s="1"/>
  <c r="N34" i="14"/>
  <c r="D16" i="20"/>
  <c r="E16" i="20" s="1"/>
  <c r="N37" i="14"/>
  <c r="D36" i="20"/>
  <c r="E36" i="20" s="1"/>
  <c r="N58" i="14"/>
  <c r="D17" i="20"/>
  <c r="E17" i="20" s="1"/>
  <c r="N61" i="14"/>
  <c r="D40" i="20"/>
  <c r="E40" i="20" s="1"/>
  <c r="N38" i="14"/>
  <c r="D11" i="20"/>
  <c r="E11" i="20" s="1"/>
  <c r="N51" i="14"/>
  <c r="D50" i="20"/>
  <c r="E50" i="20" s="1"/>
  <c r="N42" i="14"/>
  <c r="D49" i="20"/>
  <c r="E49" i="20" s="1"/>
  <c r="N44" i="14"/>
  <c r="D27" i="20"/>
  <c r="E27" i="20" s="1"/>
  <c r="N40" i="14"/>
  <c r="G3" i="13"/>
  <c r="G23" i="13" s="1"/>
  <c r="D31" i="20"/>
  <c r="E31" i="20" s="1"/>
  <c r="D32" i="20"/>
  <c r="E32" i="20" s="1"/>
  <c r="L1" i="8"/>
  <c r="L4" i="13"/>
  <c r="L5" i="13" s="1"/>
  <c r="G15" i="21" l="1"/>
  <c r="A17" i="21"/>
  <c r="E16" i="21"/>
  <c r="F16" i="21"/>
  <c r="A10" i="8"/>
  <c r="M1" i="8"/>
  <c r="M4" i="13"/>
  <c r="M5" i="13" s="1"/>
  <c r="A11" i="8" l="1"/>
  <c r="G16" i="21"/>
  <c r="A18" i="21"/>
  <c r="E17" i="21"/>
  <c r="F17" i="21"/>
  <c r="N1" i="8"/>
  <c r="N4" i="13"/>
  <c r="N5" i="13" s="1"/>
  <c r="G17" i="21" l="1"/>
  <c r="A19" i="21"/>
  <c r="E18" i="21"/>
  <c r="F18" i="21"/>
  <c r="A12" i="8"/>
  <c r="O1" i="8"/>
  <c r="O4" i="13"/>
  <c r="O5" i="13" s="1"/>
  <c r="G18" i="21" l="1"/>
  <c r="C11" i="13" s="1"/>
  <c r="A13" i="8"/>
  <c r="A20" i="21"/>
  <c r="E19" i="21"/>
  <c r="F19" i="21"/>
  <c r="P1" i="8"/>
  <c r="P4" i="13"/>
  <c r="P5" i="13" s="1"/>
  <c r="A14" i="8" l="1"/>
  <c r="G19" i="21"/>
  <c r="A21" i="21"/>
  <c r="E20" i="21"/>
  <c r="F20" i="21"/>
  <c r="Q1" i="8"/>
  <c r="Q4" i="13"/>
  <c r="Q5" i="13" s="1"/>
  <c r="A15" i="8" l="1"/>
  <c r="A22" i="21"/>
  <c r="E21" i="21"/>
  <c r="F21" i="21"/>
  <c r="G20" i="21"/>
  <c r="R1" i="8"/>
  <c r="R4" i="13"/>
  <c r="R5" i="13" s="1"/>
  <c r="G21" i="21" l="1"/>
  <c r="A23" i="21"/>
  <c r="E22" i="21"/>
  <c r="F22" i="21"/>
  <c r="A16" i="8"/>
  <c r="S1" i="8"/>
  <c r="S4" i="13"/>
  <c r="S5" i="13" s="1"/>
  <c r="F15" i="8" l="1"/>
  <c r="A17" i="8"/>
  <c r="F16" i="8"/>
  <c r="G22" i="21"/>
  <c r="A24" i="21"/>
  <c r="E23" i="21"/>
  <c r="F23" i="21"/>
  <c r="T1" i="8"/>
  <c r="T4" i="13"/>
  <c r="T5" i="13" s="1"/>
  <c r="G23" i="21" l="1"/>
  <c r="A25" i="21"/>
  <c r="E24" i="21"/>
  <c r="F24" i="21"/>
  <c r="A18" i="8"/>
  <c r="F17" i="8"/>
  <c r="U1" i="8"/>
  <c r="U4" i="13"/>
  <c r="U5" i="13" s="1"/>
  <c r="G24" i="21" l="1"/>
  <c r="A19" i="8"/>
  <c r="F18" i="8"/>
  <c r="A26" i="21"/>
  <c r="E25" i="21"/>
  <c r="F25" i="21"/>
  <c r="E17" i="8"/>
  <c r="G17" i="8" s="1"/>
  <c r="V1" i="8"/>
  <c r="V4" i="13"/>
  <c r="V5" i="13" s="1"/>
  <c r="G25" i="21" l="1"/>
  <c r="A27" i="21"/>
  <c r="E26" i="21"/>
  <c r="F26" i="21"/>
  <c r="A20" i="8"/>
  <c r="F19" i="8"/>
  <c r="W1" i="8"/>
  <c r="E18" i="8" s="1"/>
  <c r="G18" i="8" s="1"/>
  <c r="W4" i="13"/>
  <c r="W5" i="13" s="1"/>
  <c r="G26" i="21" l="1"/>
  <c r="E19" i="8"/>
  <c r="G19" i="8" s="1"/>
  <c r="A21" i="8"/>
  <c r="E20" i="8"/>
  <c r="F20" i="8"/>
  <c r="A28" i="21"/>
  <c r="E27" i="21"/>
  <c r="F27" i="21"/>
  <c r="E15" i="8"/>
  <c r="G15" i="8" s="1"/>
  <c r="E16" i="8"/>
  <c r="G16" i="8" s="1"/>
  <c r="X1" i="8"/>
  <c r="X4" i="13"/>
  <c r="X5" i="13" s="1"/>
  <c r="G27" i="21" l="1"/>
  <c r="A29" i="21"/>
  <c r="E28" i="21"/>
  <c r="F28" i="21"/>
  <c r="G20" i="8"/>
  <c r="A22" i="8"/>
  <c r="E21" i="8"/>
  <c r="F21" i="8"/>
  <c r="Y1" i="8"/>
  <c r="Y4" i="13"/>
  <c r="Y5" i="13" s="1"/>
  <c r="G21" i="8" l="1"/>
  <c r="A23" i="8"/>
  <c r="E22" i="8"/>
  <c r="F22" i="8"/>
  <c r="G28" i="21"/>
  <c r="A30" i="21"/>
  <c r="E29" i="21"/>
  <c r="F29" i="21"/>
  <c r="Z1" i="8"/>
  <c r="Z4" i="13"/>
  <c r="Z5" i="13" s="1"/>
  <c r="G29" i="21" l="1"/>
  <c r="A31" i="21"/>
  <c r="E30" i="21"/>
  <c r="F30" i="21"/>
  <c r="G22" i="8"/>
  <c r="A24" i="8"/>
  <c r="E23" i="8"/>
  <c r="F23" i="8"/>
  <c r="AA1" i="8"/>
  <c r="AA4" i="13"/>
  <c r="AA5" i="13" s="1"/>
  <c r="G23" i="8" l="1"/>
  <c r="A25" i="8"/>
  <c r="E24" i="8"/>
  <c r="F24" i="8"/>
  <c r="G30" i="21"/>
  <c r="A32" i="21"/>
  <c r="E31" i="21"/>
  <c r="F31" i="21"/>
  <c r="AB1" i="8"/>
  <c r="AB4" i="13"/>
  <c r="AB5" i="13" s="1"/>
  <c r="G24" i="8" l="1"/>
  <c r="G31" i="21"/>
  <c r="A33" i="21"/>
  <c r="E32" i="21"/>
  <c r="F32" i="21"/>
  <c r="A26" i="8"/>
  <c r="E25" i="8"/>
  <c r="F25" i="8"/>
  <c r="AC1" i="8"/>
  <c r="AC4" i="13"/>
  <c r="AC5" i="13" s="1"/>
  <c r="G25" i="8" l="1"/>
  <c r="G32" i="21"/>
  <c r="A27" i="8"/>
  <c r="E26" i="8"/>
  <c r="F26" i="8"/>
  <c r="A34" i="21"/>
  <c r="E33" i="21"/>
  <c r="F33" i="21"/>
  <c r="AD1" i="8"/>
  <c r="AD4" i="13"/>
  <c r="AD5" i="13" s="1"/>
  <c r="G33" i="21" l="1"/>
  <c r="G26" i="8"/>
  <c r="A35" i="21"/>
  <c r="E34" i="21"/>
  <c r="F34" i="21"/>
  <c r="A28" i="8"/>
  <c r="E27" i="8"/>
  <c r="F27" i="8"/>
  <c r="AE1" i="8"/>
  <c r="AE4" i="13"/>
  <c r="AE5" i="13" s="1"/>
  <c r="G34" i="21" l="1"/>
  <c r="G27" i="8"/>
  <c r="A29" i="8"/>
  <c r="A36" i="21"/>
  <c r="E35" i="21"/>
  <c r="F35" i="21"/>
  <c r="AF1" i="8"/>
  <c r="AF4" i="13"/>
  <c r="AF5" i="13" s="1"/>
  <c r="G35" i="21" l="1"/>
  <c r="A37" i="21"/>
  <c r="E36" i="21"/>
  <c r="F36" i="21"/>
  <c r="A30" i="8"/>
  <c r="E29" i="8"/>
  <c r="F29" i="8"/>
  <c r="AG1" i="8"/>
  <c r="AG4" i="13"/>
  <c r="AG5" i="13" s="1"/>
  <c r="G29" i="8" l="1"/>
  <c r="A31" i="8"/>
  <c r="E30" i="8"/>
  <c r="F30" i="8"/>
  <c r="G36" i="21"/>
  <c r="A38" i="21"/>
  <c r="E37" i="21"/>
  <c r="F37" i="21"/>
  <c r="AH1" i="8"/>
  <c r="AH4" i="13"/>
  <c r="AH5" i="13" s="1"/>
  <c r="G37" i="21" l="1"/>
  <c r="A39" i="21"/>
  <c r="E38" i="21"/>
  <c r="F38" i="21"/>
  <c r="G30" i="8"/>
  <c r="A32" i="8"/>
  <c r="E31" i="8"/>
  <c r="F31" i="8"/>
  <c r="AI1" i="8"/>
  <c r="AI4" i="13"/>
  <c r="AI5" i="13" s="1"/>
  <c r="G38" i="21" l="1"/>
  <c r="G31" i="8"/>
  <c r="A33" i="8"/>
  <c r="E32" i="8"/>
  <c r="F32" i="8"/>
  <c r="A40" i="21"/>
  <c r="E39" i="21"/>
  <c r="F39" i="21"/>
  <c r="AJ1" i="8"/>
  <c r="AJ4" i="13"/>
  <c r="AJ5" i="13" s="1"/>
  <c r="G39" i="21" l="1"/>
  <c r="G32" i="8"/>
  <c r="A41" i="21"/>
  <c r="E40" i="21"/>
  <c r="F40" i="21"/>
  <c r="A34" i="8"/>
  <c r="E33" i="8"/>
  <c r="F33" i="8"/>
  <c r="AK1" i="8"/>
  <c r="AK4" i="13"/>
  <c r="AK5" i="13" s="1"/>
  <c r="G33" i="8" l="1"/>
  <c r="A35" i="8"/>
  <c r="E34" i="8"/>
  <c r="F34" i="8"/>
  <c r="G40" i="21"/>
  <c r="A42" i="21"/>
  <c r="E41" i="21"/>
  <c r="F41" i="21"/>
  <c r="F8" i="20"/>
  <c r="AL1" i="8"/>
  <c r="AL4" i="13"/>
  <c r="AL5" i="13" s="1"/>
  <c r="G41" i="21" l="1"/>
  <c r="G34" i="8"/>
  <c r="A43" i="21"/>
  <c r="E42" i="21"/>
  <c r="F42" i="21"/>
  <c r="A36" i="8"/>
  <c r="E35" i="8"/>
  <c r="F35" i="8"/>
  <c r="AM1" i="8"/>
  <c r="AM4" i="13"/>
  <c r="AM5" i="13" s="1"/>
  <c r="G42" i="21" l="1"/>
  <c r="G35" i="8"/>
  <c r="A37" i="8"/>
  <c r="E36" i="8"/>
  <c r="F36" i="8"/>
  <c r="A44" i="21"/>
  <c r="E43" i="21"/>
  <c r="F43" i="21"/>
  <c r="AN1" i="8"/>
  <c r="AN4" i="13"/>
  <c r="AN5" i="13" s="1"/>
  <c r="G36" i="8" l="1"/>
  <c r="G43" i="21"/>
  <c r="A45" i="21"/>
  <c r="E44" i="21"/>
  <c r="F44" i="21"/>
  <c r="A38" i="8"/>
  <c r="E37" i="8"/>
  <c r="F37" i="8"/>
  <c r="F9" i="20"/>
  <c r="AO1" i="8"/>
  <c r="AO4" i="13"/>
  <c r="AO5" i="13" s="1"/>
  <c r="G37" i="8" l="1"/>
  <c r="A39" i="8"/>
  <c r="E38" i="8"/>
  <c r="F38" i="8"/>
  <c r="G44" i="21"/>
  <c r="A46" i="21"/>
  <c r="E45" i="21"/>
  <c r="F45" i="21"/>
  <c r="AP1" i="8"/>
  <c r="AP4" i="13"/>
  <c r="AP5" i="13" s="1"/>
  <c r="G38" i="8" l="1"/>
  <c r="G45" i="21"/>
  <c r="A47" i="21"/>
  <c r="E46" i="21"/>
  <c r="F46" i="21"/>
  <c r="A40" i="8"/>
  <c r="E39" i="8"/>
  <c r="F39" i="8"/>
  <c r="AQ1" i="8"/>
  <c r="AQ4" i="13"/>
  <c r="AQ5" i="13" s="1"/>
  <c r="G39" i="8" l="1"/>
  <c r="A41" i="8"/>
  <c r="E40" i="8"/>
  <c r="F40" i="8"/>
  <c r="G46" i="21"/>
  <c r="A48" i="21"/>
  <c r="E47" i="21"/>
  <c r="F47" i="21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AR5" i="13" s="1"/>
  <c r="G47" i="21" l="1"/>
  <c r="A49" i="21"/>
  <c r="E48" i="21"/>
  <c r="F48" i="21"/>
  <c r="G40" i="8"/>
  <c r="E3" i="8"/>
  <c r="E4" i="8"/>
  <c r="F3" i="8"/>
  <c r="E5" i="8"/>
  <c r="E6" i="8"/>
  <c r="F6" i="8"/>
  <c r="F5" i="8"/>
  <c r="F4" i="8"/>
  <c r="F9" i="8"/>
  <c r="F8" i="8"/>
  <c r="F7" i="8"/>
  <c r="E7" i="8"/>
  <c r="E10" i="8"/>
  <c r="E8" i="8"/>
  <c r="G8" i="8" s="1"/>
  <c r="F10" i="8"/>
  <c r="E9" i="8"/>
  <c r="F11" i="8"/>
  <c r="F12" i="8"/>
  <c r="F13" i="8"/>
  <c r="E11" i="8"/>
  <c r="F14" i="8"/>
  <c r="E14" i="8"/>
  <c r="G14" i="8" s="1"/>
  <c r="E12" i="8"/>
  <c r="E13" i="8"/>
  <c r="F28" i="8"/>
  <c r="E28" i="8"/>
  <c r="A42" i="8"/>
  <c r="E41" i="8"/>
  <c r="F41" i="8"/>
  <c r="F47" i="20"/>
  <c r="F25" i="20"/>
  <c r="F2" i="8"/>
  <c r="G2" i="8" s="1"/>
  <c r="AS4" i="13"/>
  <c r="AS5" i="13" s="1"/>
  <c r="G12" i="8" l="1"/>
  <c r="G48" i="21"/>
  <c r="G41" i="8"/>
  <c r="G28" i="8"/>
  <c r="F56" i="20" s="1"/>
  <c r="G4" i="8"/>
  <c r="A43" i="8"/>
  <c r="E42" i="8"/>
  <c r="F42" i="8"/>
  <c r="G3" i="8"/>
  <c r="G13" i="8"/>
  <c r="F24" i="20" s="1"/>
  <c r="G9" i="8"/>
  <c r="F29" i="20" s="1"/>
  <c r="G10" i="8"/>
  <c r="G6" i="8"/>
  <c r="F38" i="20" s="1"/>
  <c r="A50" i="21"/>
  <c r="E49" i="21"/>
  <c r="F49" i="21"/>
  <c r="G11" i="8"/>
  <c r="G7" i="8"/>
  <c r="F15" i="20" s="1"/>
  <c r="G5" i="8"/>
  <c r="F57" i="20" s="1"/>
  <c r="F41" i="20"/>
  <c r="F52" i="20"/>
  <c r="F28" i="20"/>
  <c r="F19" i="20"/>
  <c r="F44" i="20"/>
  <c r="AT4" i="13"/>
  <c r="AT5" i="13" s="1"/>
  <c r="C12" i="13" l="1"/>
  <c r="F23" i="20"/>
  <c r="G42" i="8"/>
  <c r="G49" i="21"/>
  <c r="E50" i="21"/>
  <c r="A51" i="21"/>
  <c r="F50" i="21"/>
  <c r="A44" i="8"/>
  <c r="E43" i="8"/>
  <c r="F43" i="8"/>
  <c r="F55" i="20"/>
  <c r="F5" i="20"/>
  <c r="AU4" i="13"/>
  <c r="AU5" i="13" s="1"/>
  <c r="G43" i="8" l="1"/>
  <c r="F26" i="20" s="1"/>
  <c r="A45" i="8"/>
  <c r="E44" i="8"/>
  <c r="F44" i="8"/>
  <c r="E51" i="21"/>
  <c r="A52" i="21"/>
  <c r="F51" i="21"/>
  <c r="G50" i="21"/>
  <c r="F16" i="20"/>
  <c r="H16" i="20" s="1"/>
  <c r="AV4" i="13"/>
  <c r="AV5" i="13" s="1"/>
  <c r="E52" i="21" l="1"/>
  <c r="A53" i="21"/>
  <c r="F52" i="21"/>
  <c r="G51" i="21"/>
  <c r="G44" i="8"/>
  <c r="A46" i="8"/>
  <c r="E45" i="8"/>
  <c r="F45" i="8"/>
  <c r="AW4" i="13"/>
  <c r="AW5" i="13" s="1"/>
  <c r="F45" i="20" l="1"/>
  <c r="G45" i="8"/>
  <c r="F21" i="20" s="1"/>
  <c r="A47" i="8"/>
  <c r="E46" i="8"/>
  <c r="F46" i="8"/>
  <c r="A54" i="21"/>
  <c r="E53" i="21"/>
  <c r="F53" i="21"/>
  <c r="G52" i="21"/>
  <c r="AX4" i="13"/>
  <c r="AX5" i="13" s="1"/>
  <c r="G53" i="21" l="1"/>
  <c r="G46" i="8"/>
  <c r="F32" i="20" s="1"/>
  <c r="H32" i="20" s="1"/>
  <c r="E54" i="21"/>
  <c r="A55" i="21"/>
  <c r="F54" i="21"/>
  <c r="A48" i="8"/>
  <c r="E47" i="8"/>
  <c r="F47" i="8"/>
  <c r="AY4" i="13"/>
  <c r="AY5" i="13" s="1"/>
  <c r="G47" i="8" l="1"/>
  <c r="F53" i="20" s="1"/>
  <c r="H53" i="20" s="1"/>
  <c r="A49" i="8"/>
  <c r="E48" i="8"/>
  <c r="F48" i="8"/>
  <c r="E55" i="21"/>
  <c r="A56" i="21"/>
  <c r="F55" i="21"/>
  <c r="G54" i="21"/>
  <c r="AZ4" i="13"/>
  <c r="AZ5" i="13" s="1"/>
  <c r="G48" i="8" l="1"/>
  <c r="E56" i="21"/>
  <c r="A57" i="21"/>
  <c r="F56" i="21"/>
  <c r="G55" i="21"/>
  <c r="A50" i="8"/>
  <c r="E49" i="8"/>
  <c r="F49" i="8"/>
  <c r="BA4" i="13"/>
  <c r="BA5" i="13" s="1"/>
  <c r="G49" i="8" l="1"/>
  <c r="F27" i="20"/>
  <c r="H27" i="20" s="1"/>
  <c r="F30" i="20"/>
  <c r="A51" i="8"/>
  <c r="E50" i="8"/>
  <c r="F50" i="8"/>
  <c r="A58" i="21"/>
  <c r="E57" i="21"/>
  <c r="F57" i="21"/>
  <c r="G56" i="21"/>
  <c r="F18" i="20"/>
  <c r="H18" i="20" s="1"/>
  <c r="F20" i="20"/>
  <c r="H20" i="20" s="1"/>
  <c r="BB4" i="13"/>
  <c r="BB5" i="13" s="1"/>
  <c r="F31" i="20" l="1"/>
  <c r="H31" i="20" s="1"/>
  <c r="G57" i="21"/>
  <c r="E58" i="21"/>
  <c r="A59" i="21"/>
  <c r="F58" i="21"/>
  <c r="G50" i="8"/>
  <c r="F12" i="20" s="1"/>
  <c r="A52" i="8"/>
  <c r="E51" i="8"/>
  <c r="F51" i="8"/>
  <c r="BC4" i="13"/>
  <c r="BC5" i="13" s="1"/>
  <c r="G58" i="21" l="1"/>
  <c r="G51" i="8"/>
  <c r="A53" i="8"/>
  <c r="E52" i="8"/>
  <c r="F52" i="8"/>
  <c r="E59" i="21"/>
  <c r="A60" i="21"/>
  <c r="F59" i="21"/>
  <c r="BD4" i="13"/>
  <c r="BD5" i="13" s="1"/>
  <c r="G59" i="21" l="1"/>
  <c r="E60" i="21"/>
  <c r="A61" i="21"/>
  <c r="F60" i="21"/>
  <c r="G52" i="8"/>
  <c r="F6" i="20" s="1"/>
  <c r="A54" i="8"/>
  <c r="E53" i="8"/>
  <c r="F53" i="8"/>
  <c r="F34" i="20"/>
  <c r="H34" i="20" s="1"/>
  <c r="F18" i="13"/>
  <c r="C29" i="13"/>
  <c r="BE4" i="13"/>
  <c r="BE5" i="13" s="1"/>
  <c r="G53" i="8" l="1"/>
  <c r="A55" i="8"/>
  <c r="E54" i="8"/>
  <c r="F54" i="8"/>
  <c r="A62" i="21"/>
  <c r="E61" i="21"/>
  <c r="F61" i="21"/>
  <c r="G60" i="21"/>
  <c r="C16" i="13"/>
  <c r="C19" i="13"/>
  <c r="C21" i="13" s="1"/>
  <c r="C24" i="13"/>
  <c r="C24" i="15" s="1"/>
  <c r="C23" i="13"/>
  <c r="C22" i="15" s="1"/>
  <c r="C4" i="13"/>
  <c r="C14" i="13" s="1"/>
  <c r="C8" i="13"/>
  <c r="C7" i="13"/>
  <c r="C14" i="15" s="1"/>
  <c r="D29" i="13"/>
  <c r="H3" i="13"/>
  <c r="H23" i="13" s="1"/>
  <c r="B29" i="15"/>
  <c r="B34" i="13"/>
  <c r="C20" i="15"/>
  <c r="BF4" i="13"/>
  <c r="BF5" i="13" s="1"/>
  <c r="G61" i="21" l="1"/>
  <c r="G54" i="8"/>
  <c r="F42" i="20" s="1"/>
  <c r="F39" i="20"/>
  <c r="H39" i="20" s="1"/>
  <c r="F43" i="20"/>
  <c r="H43" i="20" s="1"/>
  <c r="F37" i="20"/>
  <c r="E62" i="21"/>
  <c r="A63" i="21"/>
  <c r="F62" i="21"/>
  <c r="A56" i="8"/>
  <c r="E55" i="8"/>
  <c r="F55" i="8"/>
  <c r="C16" i="15"/>
  <c r="C6" i="13"/>
  <c r="C34" i="15"/>
  <c r="D27" i="13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M25" i="13"/>
  <c r="AG25" i="13"/>
  <c r="BB25" i="13"/>
  <c r="AT25" i="13"/>
  <c r="AL25" i="13"/>
  <c r="AD25" i="13"/>
  <c r="V25" i="13"/>
  <c r="N25" i="13"/>
  <c r="G15" i="13"/>
  <c r="G22" i="13" s="1"/>
  <c r="G13" i="13"/>
  <c r="G21" i="13" s="1"/>
  <c r="G9" i="13"/>
  <c r="G19" i="13" s="1"/>
  <c r="G11" i="13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8" i="15"/>
  <c r="BE25" i="13"/>
  <c r="AK25" i="13"/>
  <c r="AR25" i="13"/>
  <c r="AB25" i="13"/>
  <c r="F6" i="13"/>
  <c r="G6" i="13" s="1"/>
  <c r="G18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BD25" i="13"/>
  <c r="BG4" i="13"/>
  <c r="G55" i="8" l="1"/>
  <c r="F14" i="20" s="1"/>
  <c r="H14" i="20" s="1"/>
  <c r="A57" i="8"/>
  <c r="E56" i="8"/>
  <c r="F56" i="8"/>
  <c r="E63" i="21"/>
  <c r="A64" i="21"/>
  <c r="F63" i="21"/>
  <c r="G62" i="21"/>
  <c r="BG5" i="13"/>
  <c r="BG25" i="13" s="1"/>
  <c r="H11" i="13"/>
  <c r="H20" i="13" s="1"/>
  <c r="G20" i="13"/>
  <c r="H6" i="13"/>
  <c r="I11" i="13"/>
  <c r="H9" i="13"/>
  <c r="H13" i="13"/>
  <c r="G24" i="13"/>
  <c r="I26" i="13"/>
  <c r="I27" i="13" s="1"/>
  <c r="J3" i="13"/>
  <c r="J23" i="13" s="1"/>
  <c r="H15" i="13"/>
  <c r="H22" i="13" s="1"/>
  <c r="BH4" i="13"/>
  <c r="G56" i="8" l="1"/>
  <c r="E64" i="21"/>
  <c r="A65" i="21"/>
  <c r="F64" i="21"/>
  <c r="G63" i="21"/>
  <c r="A58" i="8"/>
  <c r="E57" i="8"/>
  <c r="F57" i="8"/>
  <c r="BH5" i="13"/>
  <c r="BH25" i="13" s="1"/>
  <c r="I13" i="13"/>
  <c r="I21" i="13" s="1"/>
  <c r="H21" i="13"/>
  <c r="I9" i="13"/>
  <c r="I19" i="13" s="1"/>
  <c r="H19" i="13"/>
  <c r="H18" i="13"/>
  <c r="H24" i="13" s="1"/>
  <c r="J11" i="13"/>
  <c r="J20" i="13" s="1"/>
  <c r="I20" i="13"/>
  <c r="F11" i="20"/>
  <c r="H11" i="20" s="1"/>
  <c r="I6" i="13"/>
  <c r="I18" i="13" s="1"/>
  <c r="I15" i="13"/>
  <c r="I22" i="13" s="1"/>
  <c r="J9" i="13"/>
  <c r="J19" i="13" s="1"/>
  <c r="J13" i="13"/>
  <c r="J21" i="13" s="1"/>
  <c r="K3" i="13"/>
  <c r="K23" i="13" s="1"/>
  <c r="J26" i="13"/>
  <c r="J27" i="13" s="1"/>
  <c r="BI4" i="13"/>
  <c r="G57" i="8" l="1"/>
  <c r="A59" i="8"/>
  <c r="E58" i="8"/>
  <c r="F58" i="8"/>
  <c r="A66" i="21"/>
  <c r="E65" i="21"/>
  <c r="F65" i="21"/>
  <c r="G64" i="21"/>
  <c r="K11" i="13"/>
  <c r="K20" i="13" s="1"/>
  <c r="BI5" i="13"/>
  <c r="BI25" i="13" s="1"/>
  <c r="J6" i="13"/>
  <c r="J18" i="13" s="1"/>
  <c r="I24" i="13"/>
  <c r="K26" i="13"/>
  <c r="K27" i="13" s="1"/>
  <c r="L3" i="13"/>
  <c r="L23" i="13" s="1"/>
  <c r="L11" i="13"/>
  <c r="L20" i="13" s="1"/>
  <c r="K9" i="13"/>
  <c r="K19" i="13" s="1"/>
  <c r="K13" i="13"/>
  <c r="K21" i="13" s="1"/>
  <c r="J15" i="13"/>
  <c r="J22" i="13" s="1"/>
  <c r="BJ4" i="13"/>
  <c r="G65" i="21" l="1"/>
  <c r="G58" i="8"/>
  <c r="F51" i="20" s="1"/>
  <c r="H51" i="20" s="1"/>
  <c r="F49" i="20"/>
  <c r="H49" i="20" s="1"/>
  <c r="F46" i="20"/>
  <c r="E66" i="21"/>
  <c r="A67" i="21"/>
  <c r="F66" i="21"/>
  <c r="A60" i="8"/>
  <c r="E59" i="8"/>
  <c r="F59" i="8"/>
  <c r="BJ5" i="13"/>
  <c r="BJ25" i="13" s="1"/>
  <c r="F13" i="20"/>
  <c r="H13" i="20" s="1"/>
  <c r="K6" i="13"/>
  <c r="K18" i="13" s="1"/>
  <c r="J24" i="13"/>
  <c r="M11" i="13"/>
  <c r="M20" i="13" s="1"/>
  <c r="L26" i="13"/>
  <c r="L27" i="13" s="1"/>
  <c r="M3" i="13"/>
  <c r="M23" i="13" s="1"/>
  <c r="L13" i="13"/>
  <c r="L21" i="13" s="1"/>
  <c r="K15" i="13"/>
  <c r="K22" i="13" s="1"/>
  <c r="L9" i="13"/>
  <c r="L19" i="13" s="1"/>
  <c r="BK4" i="13"/>
  <c r="G59" i="8" l="1"/>
  <c r="F54" i="20" s="1"/>
  <c r="A61" i="8"/>
  <c r="E60" i="8"/>
  <c r="F60" i="8"/>
  <c r="E67" i="21"/>
  <c r="A68" i="21"/>
  <c r="F67" i="21"/>
  <c r="G66" i="21"/>
  <c r="BK5" i="13"/>
  <c r="BK25" i="13" s="1"/>
  <c r="L6" i="13"/>
  <c r="L18" i="13" s="1"/>
  <c r="K24" i="13"/>
  <c r="M13" i="13"/>
  <c r="M21" i="13" s="1"/>
  <c r="M9" i="13"/>
  <c r="M19" i="13" s="1"/>
  <c r="M26" i="13"/>
  <c r="M27" i="13" s="1"/>
  <c r="N3" i="13"/>
  <c r="L15" i="13"/>
  <c r="L22" i="13" s="1"/>
  <c r="N11" i="13"/>
  <c r="N20" i="13" s="1"/>
  <c r="BL4" i="13"/>
  <c r="BL5" i="13" s="1"/>
  <c r="G60" i="8" l="1"/>
  <c r="F22" i="20" s="1"/>
  <c r="F40" i="20"/>
  <c r="H40" i="20" s="1"/>
  <c r="E68" i="21"/>
  <c r="A69" i="21"/>
  <c r="F68" i="21"/>
  <c r="G67" i="21"/>
  <c r="A62" i="8"/>
  <c r="E61" i="8"/>
  <c r="F61" i="8"/>
  <c r="M6" i="13"/>
  <c r="M18" i="13" s="1"/>
  <c r="F50" i="20"/>
  <c r="H50" i="20" s="1"/>
  <c r="O3" i="13"/>
  <c r="O23" i="13" s="1"/>
  <c r="N23" i="13"/>
  <c r="BL25" i="13"/>
  <c r="C5" i="13"/>
  <c r="L24" i="13"/>
  <c r="N9" i="13"/>
  <c r="N19" i="13" s="1"/>
  <c r="O11" i="13"/>
  <c r="O20" i="13" s="1"/>
  <c r="N13" i="13"/>
  <c r="N21" i="13" s="1"/>
  <c r="M15" i="13"/>
  <c r="M22" i="13" s="1"/>
  <c r="N26" i="13"/>
  <c r="N27" i="13" s="1"/>
  <c r="N6" i="13"/>
  <c r="N18" i="13" s="1"/>
  <c r="BM4" i="13"/>
  <c r="G68" i="21" l="1"/>
  <c r="G61" i="8"/>
  <c r="F33" i="20" s="1"/>
  <c r="A63" i="8"/>
  <c r="E62" i="8"/>
  <c r="F62" i="8"/>
  <c r="A70" i="21"/>
  <c r="E69" i="21"/>
  <c r="F69" i="21"/>
  <c r="BM5" i="13"/>
  <c r="BM25" i="13" s="1"/>
  <c r="M24" i="13"/>
  <c r="N15" i="13"/>
  <c r="N22" i="13" s="1"/>
  <c r="O13" i="13"/>
  <c r="O21" i="13" s="1"/>
  <c r="O6" i="13"/>
  <c r="O18" i="13" s="1"/>
  <c r="P11" i="13"/>
  <c r="P20" i="13" s="1"/>
  <c r="P3" i="13"/>
  <c r="P23" i="13" s="1"/>
  <c r="O26" i="13"/>
  <c r="O27" i="13" s="1"/>
  <c r="O9" i="13"/>
  <c r="O19" i="13" s="1"/>
  <c r="BN4" i="13"/>
  <c r="G69" i="21" l="1"/>
  <c r="G62" i="8"/>
  <c r="A64" i="8"/>
  <c r="E63" i="8"/>
  <c r="F63" i="8"/>
  <c r="E70" i="21"/>
  <c r="A71" i="2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F70" i="21"/>
  <c r="BN5" i="13"/>
  <c r="BN25" i="13" s="1"/>
  <c r="F4" i="20"/>
  <c r="H4" i="20" s="1"/>
  <c r="N24" i="13"/>
  <c r="Q11" i="13"/>
  <c r="Q20" i="13" s="1"/>
  <c r="P6" i="13"/>
  <c r="P18" i="13" s="1"/>
  <c r="P13" i="13"/>
  <c r="P21" i="13" s="1"/>
  <c r="P9" i="13"/>
  <c r="P19" i="13" s="1"/>
  <c r="O15" i="13"/>
  <c r="O22" i="13" s="1"/>
  <c r="P26" i="13"/>
  <c r="P27" i="13" s="1"/>
  <c r="Q3" i="13"/>
  <c r="Q23" i="13" s="1"/>
  <c r="BO4" i="13"/>
  <c r="BO5" i="13" s="1"/>
  <c r="G70" i="21" l="1"/>
  <c r="G63" i="8"/>
  <c r="A65" i="8"/>
  <c r="E64" i="8"/>
  <c r="F64" i="8"/>
  <c r="O24" i="13"/>
  <c r="Q9" i="13"/>
  <c r="Q19" i="13" s="1"/>
  <c r="Q13" i="13"/>
  <c r="Q21" i="13" s="1"/>
  <c r="Q6" i="13"/>
  <c r="Q18" i="13" s="1"/>
  <c r="P15" i="13"/>
  <c r="P22" i="13" s="1"/>
  <c r="R11" i="13"/>
  <c r="R20" i="13" s="1"/>
  <c r="R3" i="13"/>
  <c r="R23" i="13" s="1"/>
  <c r="Q26" i="13"/>
  <c r="Q27" i="13" s="1"/>
  <c r="BP4" i="13"/>
  <c r="BP5" i="13" s="1"/>
  <c r="BO25" i="13"/>
  <c r="A66" i="8" l="1"/>
  <c r="E65" i="8"/>
  <c r="F65" i="8"/>
  <c r="G64" i="8"/>
  <c r="F48" i="20" s="1"/>
  <c r="P24" i="13"/>
  <c r="Q15" i="13"/>
  <c r="Q22" i="13" s="1"/>
  <c r="R6" i="13"/>
  <c r="R18" i="13" s="1"/>
  <c r="R13" i="13"/>
  <c r="R21" i="13" s="1"/>
  <c r="S3" i="13"/>
  <c r="S23" i="13" s="1"/>
  <c r="R26" i="13"/>
  <c r="R27" i="13" s="1"/>
  <c r="R9" i="13"/>
  <c r="R19" i="13" s="1"/>
  <c r="S11" i="13"/>
  <c r="S20" i="13" s="1"/>
  <c r="BQ4" i="13"/>
  <c r="BQ5" i="13" s="1"/>
  <c r="BP25" i="13"/>
  <c r="G65" i="8" l="1"/>
  <c r="A67" i="8"/>
  <c r="E66" i="8"/>
  <c r="F66" i="8"/>
  <c r="F35" i="20"/>
  <c r="H35" i="20" s="1"/>
  <c r="Q24" i="13"/>
  <c r="S13" i="13"/>
  <c r="S21" i="13" s="1"/>
  <c r="S26" i="13"/>
  <c r="S27" i="13" s="1"/>
  <c r="T3" i="13"/>
  <c r="T23" i="13" s="1"/>
  <c r="T11" i="13"/>
  <c r="T20" i="13" s="1"/>
  <c r="S6" i="13"/>
  <c r="S18" i="13" s="1"/>
  <c r="R15" i="13"/>
  <c r="R22" i="13" s="1"/>
  <c r="S9" i="13"/>
  <c r="S19" i="13" s="1"/>
  <c r="BR4" i="13"/>
  <c r="BR5" i="13" s="1"/>
  <c r="BQ25" i="13"/>
  <c r="G66" i="8" l="1"/>
  <c r="A68" i="8"/>
  <c r="E67" i="8"/>
  <c r="F67" i="8"/>
  <c r="R24" i="13"/>
  <c r="U11" i="13"/>
  <c r="U20" i="13" s="1"/>
  <c r="T9" i="13"/>
  <c r="T19" i="13" s="1"/>
  <c r="U3" i="13"/>
  <c r="U23" i="13" s="1"/>
  <c r="T26" i="13"/>
  <c r="T27" i="13" s="1"/>
  <c r="S15" i="13"/>
  <c r="S22" i="13" s="1"/>
  <c r="T6" i="13"/>
  <c r="T18" i="13" s="1"/>
  <c r="T13" i="13"/>
  <c r="T21" i="13" s="1"/>
  <c r="BR25" i="13"/>
  <c r="BS4" i="13"/>
  <c r="BS5" i="13" s="1"/>
  <c r="A69" i="8" l="1"/>
  <c r="E68" i="8"/>
  <c r="F68" i="8"/>
  <c r="G67" i="8"/>
  <c r="F36" i="20"/>
  <c r="H36" i="20" s="1"/>
  <c r="S24" i="13"/>
  <c r="U26" i="13"/>
  <c r="U27" i="13" s="1"/>
  <c r="V3" i="13"/>
  <c r="V23" i="13" s="1"/>
  <c r="U9" i="13"/>
  <c r="U19" i="13" s="1"/>
  <c r="U6" i="13"/>
  <c r="U18" i="13" s="1"/>
  <c r="C12" i="15"/>
  <c r="C38" i="15" s="1"/>
  <c r="V11" i="13"/>
  <c r="V20" i="13" s="1"/>
  <c r="U13" i="13"/>
  <c r="U21" i="13" s="1"/>
  <c r="T15" i="13"/>
  <c r="T22" i="13" s="1"/>
  <c r="BS25" i="13"/>
  <c r="BT4" i="13"/>
  <c r="BT5" i="13" s="1"/>
  <c r="G68" i="8" l="1"/>
  <c r="A70" i="8"/>
  <c r="E69" i="8"/>
  <c r="F69" i="8"/>
  <c r="T24" i="13"/>
  <c r="V6" i="13"/>
  <c r="V18" i="13" s="1"/>
  <c r="V9" i="13"/>
  <c r="V19" i="13" s="1"/>
  <c r="V13" i="13"/>
  <c r="V21" i="13" s="1"/>
  <c r="V26" i="13"/>
  <c r="V27" i="13" s="1"/>
  <c r="W3" i="13"/>
  <c r="W23" i="13" s="1"/>
  <c r="U15" i="13"/>
  <c r="U22" i="13" s="1"/>
  <c r="W11" i="13"/>
  <c r="W20" i="13" s="1"/>
  <c r="BT25" i="13"/>
  <c r="BU4" i="13"/>
  <c r="BU5" i="13" s="1"/>
  <c r="G69" i="8" l="1"/>
  <c r="A71" i="8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70" i="8"/>
  <c r="F70" i="8"/>
  <c r="U24" i="13"/>
  <c r="W13" i="13"/>
  <c r="W21" i="13" s="1"/>
  <c r="X11" i="13"/>
  <c r="X20" i="13" s="1"/>
  <c r="W9" i="13"/>
  <c r="W19" i="13" s="1"/>
  <c r="V15" i="13"/>
  <c r="V22" i="13" s="1"/>
  <c r="W6" i="13"/>
  <c r="W18" i="13" s="1"/>
  <c r="W26" i="13"/>
  <c r="W27" i="13" s="1"/>
  <c r="X3" i="13"/>
  <c r="X23" i="13" s="1"/>
  <c r="BU25" i="13"/>
  <c r="BV4" i="13"/>
  <c r="BV5" i="13" s="1"/>
  <c r="G70" i="8" l="1"/>
  <c r="V24" i="13"/>
  <c r="W15" i="13"/>
  <c r="W22" i="13" s="1"/>
  <c r="X9" i="13"/>
  <c r="X19" i="13" s="1"/>
  <c r="X26" i="13"/>
  <c r="X27" i="13" s="1"/>
  <c r="Y3" i="13"/>
  <c r="Y23" i="13" s="1"/>
  <c r="Y11" i="13"/>
  <c r="Y20" i="13" s="1"/>
  <c r="X13" i="13"/>
  <c r="X21" i="13" s="1"/>
  <c r="X6" i="13"/>
  <c r="X18" i="13" s="1"/>
  <c r="BV25" i="13"/>
  <c r="BW4" i="13"/>
  <c r="BW5" i="13" s="1"/>
  <c r="W24" i="13" l="1"/>
  <c r="Y26" i="13"/>
  <c r="Y27" i="13" s="1"/>
  <c r="Z3" i="13"/>
  <c r="Z23" i="13" s="1"/>
  <c r="Y6" i="13"/>
  <c r="Y18" i="13" s="1"/>
  <c r="Y9" i="13"/>
  <c r="Y19" i="13" s="1"/>
  <c r="Y13" i="13"/>
  <c r="Y21" i="13" s="1"/>
  <c r="X15" i="13"/>
  <c r="X22" i="13" s="1"/>
  <c r="Z11" i="13"/>
  <c r="Z20" i="13" s="1"/>
  <c r="BW25" i="13"/>
  <c r="BX4" i="13"/>
  <c r="BX5" i="13" s="1"/>
  <c r="X24" i="13" l="1"/>
  <c r="Z9" i="13"/>
  <c r="Z19" i="13" s="1"/>
  <c r="AA11" i="13"/>
  <c r="AA20" i="13" s="1"/>
  <c r="Z6" i="13"/>
  <c r="Z18" i="13" s="1"/>
  <c r="Y15" i="13"/>
  <c r="Y22" i="13" s="1"/>
  <c r="AA3" i="13"/>
  <c r="AA23" i="13" s="1"/>
  <c r="Z26" i="13"/>
  <c r="Z27" i="13" s="1"/>
  <c r="Z13" i="13"/>
  <c r="Z21" i="13" s="1"/>
  <c r="BX25" i="13"/>
  <c r="BY4" i="13"/>
  <c r="BY5" i="13" s="1"/>
  <c r="Y24" i="13" l="1"/>
  <c r="Z15" i="13"/>
  <c r="Z22" i="13" s="1"/>
  <c r="AA6" i="13"/>
  <c r="AA18" i="13" s="1"/>
  <c r="AA13" i="13"/>
  <c r="AA21" i="13" s="1"/>
  <c r="AB11" i="13"/>
  <c r="AB20" i="13" s="1"/>
  <c r="AA9" i="13"/>
  <c r="AA19" i="13" s="1"/>
  <c r="AA26" i="13"/>
  <c r="AA27" i="13" s="1"/>
  <c r="AB3" i="13"/>
  <c r="AB23" i="13" s="1"/>
  <c r="BY25" i="13"/>
  <c r="BZ4" i="13"/>
  <c r="BZ5" i="13" s="1"/>
  <c r="Z24" i="13" l="1"/>
  <c r="AC11" i="13"/>
  <c r="AC20" i="13" s="1"/>
  <c r="AB13" i="13"/>
  <c r="AB21" i="13" s="1"/>
  <c r="AB26" i="13"/>
  <c r="AB27" i="13" s="1"/>
  <c r="AC3" i="13"/>
  <c r="AC23" i="13" s="1"/>
  <c r="AB6" i="13"/>
  <c r="AB18" i="13" s="1"/>
  <c r="AB9" i="13"/>
  <c r="AB19" i="13" s="1"/>
  <c r="AA15" i="13"/>
  <c r="AA22" i="13" s="1"/>
  <c r="BZ25" i="13"/>
  <c r="CA4" i="13"/>
  <c r="CA5" i="13" s="1"/>
  <c r="F7" i="20" l="1"/>
  <c r="AA24" i="13"/>
  <c r="AB15" i="13"/>
  <c r="AB22" i="13" s="1"/>
  <c r="AC13" i="13"/>
  <c r="AC21" i="13" s="1"/>
  <c r="AC26" i="13"/>
  <c r="AC27" i="13" s="1"/>
  <c r="AD3" i="13"/>
  <c r="AD23" i="13" s="1"/>
  <c r="AC9" i="13"/>
  <c r="AC19" i="13" s="1"/>
  <c r="AD11" i="13"/>
  <c r="AD20" i="13" s="1"/>
  <c r="AC6" i="13"/>
  <c r="AC18" i="13" s="1"/>
  <c r="CA25" i="13"/>
  <c r="CB4" i="13"/>
  <c r="CB5" i="13" s="1"/>
  <c r="AB24" i="13" l="1"/>
  <c r="AD26" i="13"/>
  <c r="AD27" i="13" s="1"/>
  <c r="AE3" i="13"/>
  <c r="AE23" i="13" s="1"/>
  <c r="AD6" i="13"/>
  <c r="AD18" i="13" s="1"/>
  <c r="AD13" i="13"/>
  <c r="AD21" i="13" s="1"/>
  <c r="AE11" i="13"/>
  <c r="AE20" i="13" s="1"/>
  <c r="AC15" i="13"/>
  <c r="AC22" i="13" s="1"/>
  <c r="AD9" i="13"/>
  <c r="AD19" i="13" s="1"/>
  <c r="CB25" i="13"/>
  <c r="CC4" i="13"/>
  <c r="CC5" i="13" s="1"/>
  <c r="AC24" i="13" l="1"/>
  <c r="AE13" i="13"/>
  <c r="AE21" i="13" s="1"/>
  <c r="AE9" i="13"/>
  <c r="AE19" i="13" s="1"/>
  <c r="AE6" i="13"/>
  <c r="AE18" i="13" s="1"/>
  <c r="AD15" i="13"/>
  <c r="AD22" i="13" s="1"/>
  <c r="AE26" i="13"/>
  <c r="AE27" i="13" s="1"/>
  <c r="AF3" i="13"/>
  <c r="AF23" i="13" s="1"/>
  <c r="AF11" i="13"/>
  <c r="AF20" i="13" s="1"/>
  <c r="CC25" i="13"/>
  <c r="CD4" i="13"/>
  <c r="CD5" i="13" s="1"/>
  <c r="AD24" i="13" l="1"/>
  <c r="AE15" i="13"/>
  <c r="AE22" i="13" s="1"/>
  <c r="AG11" i="13"/>
  <c r="AG20" i="13" s="1"/>
  <c r="AF6" i="13"/>
  <c r="AF18" i="13" s="1"/>
  <c r="AF9" i="13"/>
  <c r="AF19" i="13" s="1"/>
  <c r="AF26" i="13"/>
  <c r="AF27" i="13" s="1"/>
  <c r="AG3" i="13"/>
  <c r="AG23" i="13" s="1"/>
  <c r="AF13" i="13"/>
  <c r="AF21" i="13" s="1"/>
  <c r="CD25" i="13"/>
  <c r="CE4" i="13"/>
  <c r="CE5" i="13" s="1"/>
  <c r="AE24" i="13" l="1"/>
  <c r="AG13" i="13"/>
  <c r="AG21" i="13" s="1"/>
  <c r="AG6" i="13"/>
  <c r="AG18" i="13" s="1"/>
  <c r="AH11" i="13"/>
  <c r="AH20" i="13" s="1"/>
  <c r="AG9" i="13"/>
  <c r="AG19" i="13" s="1"/>
  <c r="AG26" i="13"/>
  <c r="AG27" i="13" s="1"/>
  <c r="AH3" i="13"/>
  <c r="AH23" i="13" s="1"/>
  <c r="AF15" i="13"/>
  <c r="AF22" i="13" s="1"/>
  <c r="CE25" i="13"/>
  <c r="CF4" i="13"/>
  <c r="CF5" i="13" s="1"/>
  <c r="AF24" i="13" l="1"/>
  <c r="AH9" i="13"/>
  <c r="AH19" i="13" s="1"/>
  <c r="AI11" i="13"/>
  <c r="AI20" i="13" s="1"/>
  <c r="AG15" i="13"/>
  <c r="AG22" i="13" s="1"/>
  <c r="AH26" i="13"/>
  <c r="AH27" i="13" s="1"/>
  <c r="AI3" i="13"/>
  <c r="AI23" i="13" s="1"/>
  <c r="AG24" i="13"/>
  <c r="AH6" i="13"/>
  <c r="AH18" i="13" s="1"/>
  <c r="AH13" i="13"/>
  <c r="AH21" i="13" s="1"/>
  <c r="CF25" i="13"/>
  <c r="CG4" i="13"/>
  <c r="CG5" i="13" s="1"/>
  <c r="F17" i="20" l="1"/>
  <c r="H17" i="20" s="1"/>
  <c r="AH15" i="13"/>
  <c r="AH22" i="13" s="1"/>
  <c r="AI13" i="13"/>
  <c r="AI21" i="13" s="1"/>
  <c r="AJ11" i="13"/>
  <c r="AJ20" i="13" s="1"/>
  <c r="AH24" i="13"/>
  <c r="AI6" i="13"/>
  <c r="AI18" i="13" s="1"/>
  <c r="AI9" i="13"/>
  <c r="AI19" i="13" s="1"/>
  <c r="AJ3" i="13"/>
  <c r="AJ23" i="13" s="1"/>
  <c r="AI26" i="13"/>
  <c r="AI27" i="13" s="1"/>
  <c r="CG25" i="13"/>
  <c r="CH4" i="13"/>
  <c r="CH5" i="13" s="1"/>
  <c r="AJ6" i="13" l="1"/>
  <c r="AJ18" i="13" s="1"/>
  <c r="AI24" i="13"/>
  <c r="AK11" i="13"/>
  <c r="AK20" i="13" s="1"/>
  <c r="AJ13" i="13"/>
  <c r="AJ21" i="13" s="1"/>
  <c r="AJ26" i="13"/>
  <c r="AJ27" i="13" s="1"/>
  <c r="AK3" i="13"/>
  <c r="AK23" i="13" s="1"/>
  <c r="AI15" i="13"/>
  <c r="AI22" i="13" s="1"/>
  <c r="AJ9" i="13"/>
  <c r="AJ19" i="13" s="1"/>
  <c r="CH25" i="13"/>
  <c r="CI4" i="13"/>
  <c r="CI5" i="13" s="1"/>
  <c r="AK13" i="13" l="1"/>
  <c r="AK21" i="13" s="1"/>
  <c r="AK9" i="13"/>
  <c r="AK19" i="13" s="1"/>
  <c r="AL11" i="13"/>
  <c r="AL20" i="13" s="1"/>
  <c r="AJ15" i="13"/>
  <c r="AJ22" i="13" s="1"/>
  <c r="AK26" i="13"/>
  <c r="AK27" i="13" s="1"/>
  <c r="AL3" i="13"/>
  <c r="AL23" i="13" s="1"/>
  <c r="AK6" i="13"/>
  <c r="AK18" i="13" s="1"/>
  <c r="AJ24" i="13"/>
  <c r="CI25" i="13"/>
  <c r="CJ4" i="13"/>
  <c r="CJ5" i="13" s="1"/>
  <c r="AM11" i="13" l="1"/>
  <c r="AM20" i="13" s="1"/>
  <c r="AK24" i="13"/>
  <c r="AL6" i="13"/>
  <c r="AL18" i="13" s="1"/>
  <c r="AL9" i="13"/>
  <c r="AL19" i="13" s="1"/>
  <c r="AK15" i="13"/>
  <c r="AK22" i="13" s="1"/>
  <c r="AL26" i="13"/>
  <c r="AL27" i="13" s="1"/>
  <c r="AM3" i="13"/>
  <c r="AM23" i="13" s="1"/>
  <c r="AL13" i="13"/>
  <c r="AL21" i="13" s="1"/>
  <c r="CJ25" i="13"/>
  <c r="CK4" i="13"/>
  <c r="CK5" i="13" s="1"/>
  <c r="AM13" i="13" l="1"/>
  <c r="AM21" i="13" s="1"/>
  <c r="AM6" i="13"/>
  <c r="AM18" i="13" s="1"/>
  <c r="AL24" i="13"/>
  <c r="AL15" i="13"/>
  <c r="AL22" i="13" s="1"/>
  <c r="AM9" i="13"/>
  <c r="AM19" i="13" s="1"/>
  <c r="AN11" i="13"/>
  <c r="AN20" i="13" s="1"/>
  <c r="AM26" i="13"/>
  <c r="AM27" i="13" s="1"/>
  <c r="AN3" i="13"/>
  <c r="AN23" i="13" s="1"/>
  <c r="CK25" i="13"/>
  <c r="CL4" i="13"/>
  <c r="CL5" i="13" s="1"/>
  <c r="AN9" i="13" l="1"/>
  <c r="AN19" i="13" s="1"/>
  <c r="AM15" i="13"/>
  <c r="AM22" i="13" s="1"/>
  <c r="AN26" i="13"/>
  <c r="AN27" i="13" s="1"/>
  <c r="AO3" i="13"/>
  <c r="AO23" i="13" s="1"/>
  <c r="AN6" i="13"/>
  <c r="AN18" i="13" s="1"/>
  <c r="AM24" i="13"/>
  <c r="AO11" i="13"/>
  <c r="AO20" i="13" s="1"/>
  <c r="AN13" i="13"/>
  <c r="AN21" i="13" s="1"/>
  <c r="CL25" i="13"/>
  <c r="CM4" i="13"/>
  <c r="CM5" i="13" s="1"/>
  <c r="AO6" i="13" l="1"/>
  <c r="AO18" i="13" s="1"/>
  <c r="AN24" i="13"/>
  <c r="AP3" i="13"/>
  <c r="AP23" i="13" s="1"/>
  <c r="AO26" i="13"/>
  <c r="AO27" i="13" s="1"/>
  <c r="AO13" i="13"/>
  <c r="AO21" i="13" s="1"/>
  <c r="AN15" i="13"/>
  <c r="AN22" i="13" s="1"/>
  <c r="AP11" i="13"/>
  <c r="AP20" i="13" s="1"/>
  <c r="AO9" i="13"/>
  <c r="AO19" i="13" s="1"/>
  <c r="CN4" i="13"/>
  <c r="CN5" i="13" s="1"/>
  <c r="CM25" i="13"/>
  <c r="AP13" i="13" l="1"/>
  <c r="AP21" i="13" s="1"/>
  <c r="AP9" i="13"/>
  <c r="AP19" i="13" s="1"/>
  <c r="AQ11" i="13"/>
  <c r="AQ20" i="13" s="1"/>
  <c r="AQ3" i="13"/>
  <c r="AQ23" i="13" s="1"/>
  <c r="AP26" i="13"/>
  <c r="AP27" i="13" s="1"/>
  <c r="AO15" i="13"/>
  <c r="AO22" i="13" s="1"/>
  <c r="AO24" i="13"/>
  <c r="AP6" i="13"/>
  <c r="AP18" i="13" s="1"/>
  <c r="CO4" i="13"/>
  <c r="CO5" i="13" s="1"/>
  <c r="CN25" i="13"/>
  <c r="AR3" i="13" l="1"/>
  <c r="AR23" i="13" s="1"/>
  <c r="AQ26" i="13"/>
  <c r="AQ27" i="13" s="1"/>
  <c r="AR11" i="13"/>
  <c r="AR20" i="13" s="1"/>
  <c r="AQ6" i="13"/>
  <c r="AQ18" i="13" s="1"/>
  <c r="AP24" i="13"/>
  <c r="AQ9" i="13"/>
  <c r="AQ19" i="13" s="1"/>
  <c r="AP15" i="13"/>
  <c r="AP22" i="13" s="1"/>
  <c r="AQ13" i="13"/>
  <c r="AQ21" i="13" s="1"/>
  <c r="CP4" i="13"/>
  <c r="CP5" i="13" s="1"/>
  <c r="CO25" i="13"/>
  <c r="AQ24" i="13" l="1"/>
  <c r="AR6" i="13"/>
  <c r="AR18" i="13" s="1"/>
  <c r="AR13" i="13"/>
  <c r="AR21" i="13" s="1"/>
  <c r="AS11" i="13"/>
  <c r="AS20" i="13" s="1"/>
  <c r="AQ15" i="13"/>
  <c r="AQ22" i="13" s="1"/>
  <c r="AS3" i="13"/>
  <c r="AS23" i="13" s="1"/>
  <c r="AR26" i="13"/>
  <c r="AR27" i="13" s="1"/>
  <c r="AR9" i="13"/>
  <c r="AR19" i="13" s="1"/>
  <c r="CP25" i="13"/>
  <c r="CQ4" i="13"/>
  <c r="CQ5" i="13" s="1"/>
  <c r="AR15" i="13" l="1"/>
  <c r="AR22" i="13" s="1"/>
  <c r="AT11" i="13"/>
  <c r="AT20" i="13" s="1"/>
  <c r="AS9" i="13"/>
  <c r="AS19" i="13" s="1"/>
  <c r="AS13" i="13"/>
  <c r="AS21" i="13" s="1"/>
  <c r="AS6" i="13"/>
  <c r="AS18" i="13" s="1"/>
  <c r="AR24" i="13"/>
  <c r="AS26" i="13"/>
  <c r="AS27" i="13" s="1"/>
  <c r="AT3" i="13"/>
  <c r="AT23" i="13" s="1"/>
  <c r="CQ25" i="13"/>
  <c r="CR4" i="13"/>
  <c r="CR5" i="13" s="1"/>
  <c r="AT9" i="13" l="1"/>
  <c r="AT19" i="13" s="1"/>
  <c r="AT26" i="13"/>
  <c r="AT27" i="13" s="1"/>
  <c r="AU3" i="13"/>
  <c r="AU23" i="13" s="1"/>
  <c r="AT13" i="13"/>
  <c r="AT21" i="13" s="1"/>
  <c r="AU11" i="13"/>
  <c r="AU20" i="13" s="1"/>
  <c r="AS15" i="13"/>
  <c r="AS22" i="13" s="1"/>
  <c r="AS24" i="13"/>
  <c r="AT6" i="13"/>
  <c r="AT18" i="13" s="1"/>
  <c r="CR25" i="13"/>
  <c r="CS4" i="13"/>
  <c r="CS5" i="13" s="1"/>
  <c r="AU13" i="13" l="1"/>
  <c r="AU21" i="13" s="1"/>
  <c r="AT24" i="13"/>
  <c r="AU6" i="13"/>
  <c r="AU18" i="13" s="1"/>
  <c r="AU26" i="13"/>
  <c r="AU27" i="13" s="1"/>
  <c r="AV3" i="13"/>
  <c r="AV23" i="13" s="1"/>
  <c r="AT15" i="13"/>
  <c r="AT22" i="13" s="1"/>
  <c r="AU9" i="13"/>
  <c r="AU19" i="13" s="1"/>
  <c r="AV11" i="13"/>
  <c r="AV20" i="13" s="1"/>
  <c r="CS25" i="13"/>
  <c r="CT4" i="13"/>
  <c r="CT5" i="13" s="1"/>
  <c r="AV26" i="13" l="1"/>
  <c r="AV27" i="13" s="1"/>
  <c r="AW3" i="13"/>
  <c r="AW23" i="13" s="1"/>
  <c r="AW11" i="13"/>
  <c r="AW20" i="13" s="1"/>
  <c r="AV6" i="13"/>
  <c r="AV18" i="13" s="1"/>
  <c r="AU24" i="13"/>
  <c r="AV9" i="13"/>
  <c r="AV19" i="13" s="1"/>
  <c r="AV13" i="13"/>
  <c r="AV21" i="13" s="1"/>
  <c r="AU15" i="13"/>
  <c r="AU22" i="13" s="1"/>
  <c r="CT25" i="13"/>
  <c r="CU4" i="13"/>
  <c r="CU5" i="13" l="1"/>
  <c r="CU25" i="13" s="1"/>
  <c r="AW6" i="13"/>
  <c r="AW18" i="13" s="1"/>
  <c r="AV24" i="13"/>
  <c r="AV15" i="13"/>
  <c r="AV22" i="13" s="1"/>
  <c r="AX11" i="13"/>
  <c r="AX20" i="13" s="1"/>
  <c r="AW13" i="13"/>
  <c r="AW21" i="13" s="1"/>
  <c r="AW26" i="13"/>
  <c r="AW27" i="13" s="1"/>
  <c r="AX3" i="13"/>
  <c r="AX23" i="13" s="1"/>
  <c r="AW9" i="13"/>
  <c r="AW19" i="13" s="1"/>
  <c r="CV4" i="13"/>
  <c r="CV5" i="13" l="1"/>
  <c r="CV25" i="13" s="1"/>
  <c r="AX13" i="13"/>
  <c r="AX21" i="13" s="1"/>
  <c r="AY11" i="13"/>
  <c r="AY20" i="13" s="1"/>
  <c r="AX9" i="13"/>
  <c r="AX19" i="13" s="1"/>
  <c r="AW15" i="13"/>
  <c r="AW22" i="13" s="1"/>
  <c r="AX26" i="13"/>
  <c r="AX27" i="13" s="1"/>
  <c r="AY3" i="13"/>
  <c r="AY23" i="13" s="1"/>
  <c r="AX6" i="13"/>
  <c r="AX18" i="13" s="1"/>
  <c r="AW24" i="13"/>
  <c r="CW4" i="13"/>
  <c r="CW5" i="13" l="1"/>
  <c r="CW25" i="13" s="1"/>
  <c r="AX15" i="13"/>
  <c r="AX22" i="13" s="1"/>
  <c r="AY9" i="13"/>
  <c r="AY19" i="13" s="1"/>
  <c r="AY6" i="13"/>
  <c r="AY18" i="13" s="1"/>
  <c r="AX24" i="13"/>
  <c r="AZ11" i="13"/>
  <c r="AZ20" i="13" s="1"/>
  <c r="AZ3" i="13"/>
  <c r="AZ23" i="13" s="1"/>
  <c r="AY26" i="13"/>
  <c r="AY27" i="13" s="1"/>
  <c r="AY13" i="13"/>
  <c r="AY21" i="13" s="1"/>
  <c r="CX4" i="13"/>
  <c r="CX5" i="13" l="1"/>
  <c r="CX25" i="13" s="1"/>
  <c r="BA11" i="13"/>
  <c r="BA20" i="13" s="1"/>
  <c r="AZ13" i="13"/>
  <c r="AZ21" i="13" s="1"/>
  <c r="AZ6" i="13"/>
  <c r="AZ18" i="13" s="1"/>
  <c r="AY24" i="13"/>
  <c r="AZ9" i="13"/>
  <c r="AZ19" i="13" s="1"/>
  <c r="AY15" i="13"/>
  <c r="AY22" i="13" s="1"/>
  <c r="BA3" i="13"/>
  <c r="BA23" i="13" s="1"/>
  <c r="AZ26" i="13"/>
  <c r="AZ27" i="13" s="1"/>
  <c r="CY4" i="13"/>
  <c r="CY5" i="13" l="1"/>
  <c r="CY25" i="13" s="1"/>
  <c r="BA9" i="13"/>
  <c r="BA19" i="13" s="1"/>
  <c r="AZ24" i="13"/>
  <c r="BA6" i="13"/>
  <c r="BA18" i="13" s="1"/>
  <c r="BA13" i="13"/>
  <c r="BA21" i="13" s="1"/>
  <c r="BA26" i="13"/>
  <c r="BA27" i="13" s="1"/>
  <c r="BB3" i="13"/>
  <c r="BB23" i="13" s="1"/>
  <c r="BB11" i="13"/>
  <c r="BB20" i="13" s="1"/>
  <c r="AZ15" i="13"/>
  <c r="AZ22" i="13" s="1"/>
  <c r="CZ4" i="13"/>
  <c r="CZ5" i="13" l="1"/>
  <c r="CZ25" i="13" s="1"/>
  <c r="BA15" i="13"/>
  <c r="BA22" i="13" s="1"/>
  <c r="BB13" i="13"/>
  <c r="BB21" i="13" s="1"/>
  <c r="BA24" i="13"/>
  <c r="BB6" i="13"/>
  <c r="BB18" i="13" s="1"/>
  <c r="BC11" i="13"/>
  <c r="BC20" i="13" s="1"/>
  <c r="BB9" i="13"/>
  <c r="BB19" i="13" s="1"/>
  <c r="BB26" i="13"/>
  <c r="BB27" i="13" s="1"/>
  <c r="BC3" i="13"/>
  <c r="BC23" i="13" s="1"/>
  <c r="DA4" i="13"/>
  <c r="DA5" i="13" l="1"/>
  <c r="DA25" i="13" s="1"/>
  <c r="BD11" i="13"/>
  <c r="BD20" i="13" s="1"/>
  <c r="BB24" i="13"/>
  <c r="BC6" i="13"/>
  <c r="BC18" i="13" s="1"/>
  <c r="BC26" i="13"/>
  <c r="BC27" i="13" s="1"/>
  <c r="BD3" i="13"/>
  <c r="BD23" i="13" s="1"/>
  <c r="BC13" i="13"/>
  <c r="BC21" i="13" s="1"/>
  <c r="BB15" i="13"/>
  <c r="BB22" i="13" s="1"/>
  <c r="BC9" i="13"/>
  <c r="BC19" i="13" s="1"/>
  <c r="DB4" i="13"/>
  <c r="DB5" i="13" l="1"/>
  <c r="DB25" i="13" s="1"/>
  <c r="BD9" i="13"/>
  <c r="BD19" i="13" s="1"/>
  <c r="BC24" i="13"/>
  <c r="BD6" i="13"/>
  <c r="BD18" i="13" s="1"/>
  <c r="BD26" i="13"/>
  <c r="BD27" i="13" s="1"/>
  <c r="BE3" i="13"/>
  <c r="BE23" i="13" s="1"/>
  <c r="BE11" i="13"/>
  <c r="BE20" i="13" s="1"/>
  <c r="BC15" i="13"/>
  <c r="BC22" i="13" s="1"/>
  <c r="BD13" i="13"/>
  <c r="BD21" i="13" s="1"/>
  <c r="DC4" i="13"/>
  <c r="DC5" i="13" s="1"/>
  <c r="BE26" i="13" l="1"/>
  <c r="BE27" i="13" s="1"/>
  <c r="BF3" i="13"/>
  <c r="BF23" i="13" s="1"/>
  <c r="BD24" i="13"/>
  <c r="BE6" i="13"/>
  <c r="BE18" i="13" s="1"/>
  <c r="BD15" i="13"/>
  <c r="BD22" i="13" s="1"/>
  <c r="BE9" i="13"/>
  <c r="BE19" i="13" s="1"/>
  <c r="BE13" i="13"/>
  <c r="BE21" i="13" s="1"/>
  <c r="BF11" i="13"/>
  <c r="BF20" i="13" s="1"/>
  <c r="DD4" i="13"/>
  <c r="DD5" i="13" s="1"/>
  <c r="DC25" i="13"/>
  <c r="BE15" i="13" l="1"/>
  <c r="BE22" i="13" s="1"/>
  <c r="BE24" i="13"/>
  <c r="BF6" i="13"/>
  <c r="BF18" i="13" s="1"/>
  <c r="BG11" i="13"/>
  <c r="BG20" i="13" s="1"/>
  <c r="BF13" i="13"/>
  <c r="BF21" i="13" s="1"/>
  <c r="BG3" i="13"/>
  <c r="BG23" i="13" s="1"/>
  <c r="BF26" i="13"/>
  <c r="BF27" i="13" s="1"/>
  <c r="BF9" i="13"/>
  <c r="BF19" i="13" s="1"/>
  <c r="DD25" i="13"/>
  <c r="DE4" i="13"/>
  <c r="DE5" i="13" s="1"/>
  <c r="BG13" i="13" l="1"/>
  <c r="BG21" i="13" s="1"/>
  <c r="BH11" i="13"/>
  <c r="BH20" i="13" s="1"/>
  <c r="BG6" i="13"/>
  <c r="BG18" i="13" s="1"/>
  <c r="BF24" i="13"/>
  <c r="BG9" i="13"/>
  <c r="BG19" i="13" s="1"/>
  <c r="BH3" i="13"/>
  <c r="BH23" i="13" s="1"/>
  <c r="BG26" i="13"/>
  <c r="BG27" i="13" s="1"/>
  <c r="BF15" i="13"/>
  <c r="BF22" i="13" s="1"/>
  <c r="DE25" i="13"/>
  <c r="DF4" i="13"/>
  <c r="DF5" i="13" s="1"/>
  <c r="BG15" i="13" l="1"/>
  <c r="BG22" i="13" s="1"/>
  <c r="BH6" i="13"/>
  <c r="BH18" i="13" s="1"/>
  <c r="BG24" i="13"/>
  <c r="BH9" i="13"/>
  <c r="BH19" i="13" s="1"/>
  <c r="BI11" i="13"/>
  <c r="BI20" i="13" s="1"/>
  <c r="BI3" i="13"/>
  <c r="BI23" i="13" s="1"/>
  <c r="BH26" i="13"/>
  <c r="BH27" i="13" s="1"/>
  <c r="BH13" i="13"/>
  <c r="BH21" i="13" s="1"/>
  <c r="DF25" i="13"/>
  <c r="DG4" i="13"/>
  <c r="DG5" i="13" s="1"/>
  <c r="BJ11" i="13" l="1"/>
  <c r="BJ20" i="13" s="1"/>
  <c r="BI9" i="13"/>
  <c r="BI19" i="13" s="1"/>
  <c r="BI6" i="13"/>
  <c r="BI18" i="13" s="1"/>
  <c r="BH24" i="13"/>
  <c r="BI13" i="13"/>
  <c r="BI21" i="13" s="1"/>
  <c r="BJ3" i="13"/>
  <c r="BJ23" i="13" s="1"/>
  <c r="BI26" i="13"/>
  <c r="BI27" i="13" s="1"/>
  <c r="BH15" i="13"/>
  <c r="BH22" i="13" s="1"/>
  <c r="DG25" i="13"/>
  <c r="DH4" i="13"/>
  <c r="DH5" i="13" s="1"/>
  <c r="BI15" i="13" l="1"/>
  <c r="BI22" i="13" s="1"/>
  <c r="BI24" i="13"/>
  <c r="BJ6" i="13"/>
  <c r="BJ18" i="13" s="1"/>
  <c r="BJ13" i="13"/>
  <c r="BJ21" i="13" s="1"/>
  <c r="BJ9" i="13"/>
  <c r="BJ19" i="13" s="1"/>
  <c r="BK3" i="13"/>
  <c r="BK23" i="13" s="1"/>
  <c r="BJ26" i="13"/>
  <c r="BJ27" i="13" s="1"/>
  <c r="BK11" i="13"/>
  <c r="BK20" i="13" s="1"/>
  <c r="DH25" i="13"/>
  <c r="DI4" i="13"/>
  <c r="DI5" i="13" s="1"/>
  <c r="BK9" i="13" l="1"/>
  <c r="BK19" i="13" s="1"/>
  <c r="BK13" i="13"/>
  <c r="BK21" i="13" s="1"/>
  <c r="BL11" i="13"/>
  <c r="BL20" i="13" s="1"/>
  <c r="BK6" i="13"/>
  <c r="BK18" i="13" s="1"/>
  <c r="BJ24" i="13"/>
  <c r="BL3" i="13"/>
  <c r="BL23" i="13" s="1"/>
  <c r="BK26" i="13"/>
  <c r="BK27" i="13" s="1"/>
  <c r="BJ15" i="13"/>
  <c r="BJ22" i="13" s="1"/>
  <c r="DI25" i="13"/>
  <c r="DJ4" i="13"/>
  <c r="DJ5" i="13" s="1"/>
  <c r="BK15" i="13" l="1"/>
  <c r="BK22" i="13" s="1"/>
  <c r="BM11" i="13"/>
  <c r="BM20" i="13" s="1"/>
  <c r="BL6" i="13"/>
  <c r="BL18" i="13" s="1"/>
  <c r="BK24" i="13"/>
  <c r="BL13" i="13"/>
  <c r="BL21" i="13" s="1"/>
  <c r="BM3" i="13"/>
  <c r="BM23" i="13" s="1"/>
  <c r="BL26" i="13"/>
  <c r="BL27" i="13" s="1"/>
  <c r="BL9" i="13"/>
  <c r="BL19" i="13" s="1"/>
  <c r="DJ25" i="13"/>
  <c r="DK4" i="13"/>
  <c r="DK5" i="13" s="1"/>
  <c r="D6" i="13" l="1"/>
  <c r="BM13" i="13"/>
  <c r="BM21" i="13" s="1"/>
  <c r="BM6" i="13"/>
  <c r="BM18" i="13" s="1"/>
  <c r="BN11" i="13"/>
  <c r="BN20" i="13" s="1"/>
  <c r="BM9" i="13"/>
  <c r="BM19" i="13" s="1"/>
  <c r="BL15" i="13"/>
  <c r="BL22" i="13" s="1"/>
  <c r="BN3" i="13"/>
  <c r="BN23" i="13" s="1"/>
  <c r="BM26" i="13"/>
  <c r="BM27" i="13" s="1"/>
  <c r="DK25" i="13"/>
  <c r="DL4" i="13"/>
  <c r="DL5" i="13" s="1"/>
  <c r="BL24" i="13" l="1"/>
  <c r="BN9" i="13"/>
  <c r="BN19" i="13" s="1"/>
  <c r="BO11" i="13"/>
  <c r="BO20" i="13" s="1"/>
  <c r="BO3" i="13"/>
  <c r="BO23" i="13" s="1"/>
  <c r="BN26" i="13"/>
  <c r="BN27" i="13" s="1"/>
  <c r="BN6" i="13"/>
  <c r="BN18" i="13" s="1"/>
  <c r="BM24" i="13"/>
  <c r="BM15" i="13"/>
  <c r="BM22" i="13" s="1"/>
  <c r="BN13" i="13"/>
  <c r="BN21" i="13" s="1"/>
  <c r="DL25" i="13"/>
  <c r="DM4" i="13"/>
  <c r="DM5" i="13" s="1"/>
  <c r="BO13" i="13" l="1"/>
  <c r="BO21" i="13" s="1"/>
  <c r="BP3" i="13"/>
  <c r="BP23" i="13" s="1"/>
  <c r="BO26" i="13"/>
  <c r="BO27" i="13" s="1"/>
  <c r="BP11" i="13"/>
  <c r="BP20" i="13" s="1"/>
  <c r="BN15" i="13"/>
  <c r="BN22" i="13" s="1"/>
  <c r="BN24" i="13"/>
  <c r="BO6" i="13"/>
  <c r="BO18" i="13" s="1"/>
  <c r="BO9" i="13"/>
  <c r="BO19" i="13" s="1"/>
  <c r="DM25" i="13"/>
  <c r="DN4" i="13"/>
  <c r="DN5" i="13" s="1"/>
  <c r="BQ11" i="13" l="1"/>
  <c r="BQ20" i="13" s="1"/>
  <c r="BP9" i="13"/>
  <c r="BP19" i="13" s="1"/>
  <c r="BO24" i="13"/>
  <c r="BP6" i="13"/>
  <c r="BP18" i="13" s="1"/>
  <c r="BQ3" i="13"/>
  <c r="BQ23" i="13" s="1"/>
  <c r="BP26" i="13"/>
  <c r="BP27" i="13" s="1"/>
  <c r="BP13" i="13"/>
  <c r="BP21" i="13" s="1"/>
  <c r="BO15" i="13"/>
  <c r="BO22" i="13" s="1"/>
  <c r="DN25" i="13"/>
  <c r="DO4" i="13"/>
  <c r="DO5" i="13" s="1"/>
  <c r="BR3" i="13" l="1"/>
  <c r="BR23" i="13" s="1"/>
  <c r="BQ26" i="13"/>
  <c r="BQ27" i="13" s="1"/>
  <c r="BQ6" i="13"/>
  <c r="BQ18" i="13" s="1"/>
  <c r="BP24" i="13"/>
  <c r="BP15" i="13"/>
  <c r="BP22" i="13" s="1"/>
  <c r="BQ13" i="13"/>
  <c r="BQ21" i="13" s="1"/>
  <c r="BQ9" i="13"/>
  <c r="BQ19" i="13" s="1"/>
  <c r="BR11" i="13"/>
  <c r="BR20" i="13" s="1"/>
  <c r="DO25" i="13"/>
  <c r="DP4" i="13"/>
  <c r="DP5" i="13" s="1"/>
  <c r="BR13" i="13" l="1"/>
  <c r="BR21" i="13" s="1"/>
  <c r="BQ15" i="13"/>
  <c r="BQ22" i="13" s="1"/>
  <c r="BQ24" i="13"/>
  <c r="BR6" i="13"/>
  <c r="BR18" i="13" s="1"/>
  <c r="BS11" i="13"/>
  <c r="BS20" i="13" s="1"/>
  <c r="BR9" i="13"/>
  <c r="BR19" i="13" s="1"/>
  <c r="BS3" i="13"/>
  <c r="BS23" i="13" s="1"/>
  <c r="BR26" i="13"/>
  <c r="BR27" i="13" s="1"/>
  <c r="DP25" i="13"/>
  <c r="DQ4" i="13"/>
  <c r="DQ5" i="13" s="1"/>
  <c r="BT11" i="13" l="1"/>
  <c r="BT20" i="13" s="1"/>
  <c r="BR24" i="13"/>
  <c r="BS6" i="13"/>
  <c r="BS18" i="13" s="1"/>
  <c r="BT3" i="13"/>
  <c r="BT23" i="13" s="1"/>
  <c r="BS26" i="13"/>
  <c r="BS27" i="13" s="1"/>
  <c r="BR15" i="13"/>
  <c r="BR22" i="13" s="1"/>
  <c r="BS13" i="13"/>
  <c r="BS21" i="13" s="1"/>
  <c r="BS9" i="13"/>
  <c r="BS19" i="13" s="1"/>
  <c r="DQ25" i="13"/>
  <c r="DR4" i="13"/>
  <c r="DR5" i="13" s="1"/>
  <c r="BT26" i="13" l="1"/>
  <c r="BT27" i="13" s="1"/>
  <c r="BU3" i="13"/>
  <c r="BU23" i="13" s="1"/>
  <c r="BT9" i="13"/>
  <c r="BT19" i="13" s="1"/>
  <c r="BS24" i="13"/>
  <c r="BT6" i="13"/>
  <c r="BT18" i="13" s="1"/>
  <c r="BT13" i="13"/>
  <c r="BT21" i="13" s="1"/>
  <c r="BU11" i="13"/>
  <c r="BU20" i="13" s="1"/>
  <c r="BS15" i="13"/>
  <c r="BS22" i="13" s="1"/>
  <c r="DR25" i="13"/>
  <c r="DS4" i="13"/>
  <c r="DS5" i="13" s="1"/>
  <c r="BU6" i="13" l="1"/>
  <c r="BU18" i="13" s="1"/>
  <c r="BT24" i="13"/>
  <c r="BU13" i="13"/>
  <c r="BU21" i="13" s="1"/>
  <c r="BU9" i="13"/>
  <c r="BU19" i="13" s="1"/>
  <c r="BT15" i="13"/>
  <c r="BT22" i="13" s="1"/>
  <c r="BV3" i="13"/>
  <c r="BV23" i="13" s="1"/>
  <c r="BU26" i="13"/>
  <c r="BU27" i="13" s="1"/>
  <c r="BV11" i="13"/>
  <c r="BV20" i="13" s="1"/>
  <c r="DS25" i="13"/>
  <c r="DT4" i="13"/>
  <c r="DT5" i="13" s="1"/>
  <c r="BU15" i="13" l="1"/>
  <c r="BU22" i="13" s="1"/>
  <c r="BV9" i="13"/>
  <c r="BV19" i="13" s="1"/>
  <c r="BW11" i="13"/>
  <c r="BW20" i="13" s="1"/>
  <c r="BV13" i="13"/>
  <c r="BV21" i="13" s="1"/>
  <c r="BW3" i="13"/>
  <c r="BW23" i="13" s="1"/>
  <c r="BV26" i="13"/>
  <c r="BV27" i="13" s="1"/>
  <c r="BU24" i="13"/>
  <c r="BV6" i="13"/>
  <c r="BV18" i="13" s="1"/>
  <c r="DT25" i="13"/>
  <c r="DU4" i="13"/>
  <c r="DU5" i="13" s="1"/>
  <c r="BX11" i="13" l="1"/>
  <c r="BX20" i="13" s="1"/>
  <c r="BW9" i="13"/>
  <c r="BW19" i="13" s="1"/>
  <c r="BW13" i="13"/>
  <c r="BW21" i="13" s="1"/>
  <c r="BV24" i="13"/>
  <c r="BW6" i="13"/>
  <c r="BW18" i="13" s="1"/>
  <c r="BX3" i="13"/>
  <c r="BX23" i="13" s="1"/>
  <c r="BW26" i="13"/>
  <c r="BW27" i="13" s="1"/>
  <c r="BV15" i="13"/>
  <c r="BV22" i="13" s="1"/>
  <c r="DU25" i="13"/>
  <c r="DV4" i="13"/>
  <c r="DV5" i="13" s="1"/>
  <c r="BX13" i="13" l="1"/>
  <c r="BX21" i="13" s="1"/>
  <c r="BW15" i="13"/>
  <c r="BW22" i="13" s="1"/>
  <c r="BX9" i="13"/>
  <c r="BX19" i="13" s="1"/>
  <c r="BX6" i="13"/>
  <c r="BX18" i="13" s="1"/>
  <c r="BW24" i="13"/>
  <c r="BY11" i="13"/>
  <c r="BY20" i="13" s="1"/>
  <c r="BY3" i="13"/>
  <c r="BY23" i="13" s="1"/>
  <c r="BX26" i="13"/>
  <c r="BX27" i="13" s="1"/>
  <c r="DV25" i="13"/>
  <c r="DW4" i="13"/>
  <c r="DW5" i="13" s="1"/>
  <c r="BX24" i="13" l="1"/>
  <c r="BY6" i="13"/>
  <c r="BY18" i="13" s="1"/>
  <c r="BY9" i="13"/>
  <c r="BY19" i="13" s="1"/>
  <c r="BZ3" i="13"/>
  <c r="BZ23" i="13" s="1"/>
  <c r="BY26" i="13"/>
  <c r="BY27" i="13" s="1"/>
  <c r="BX15" i="13"/>
  <c r="BX22" i="13" s="1"/>
  <c r="BY13" i="13"/>
  <c r="BY21" i="13" s="1"/>
  <c r="BZ11" i="13"/>
  <c r="BZ20" i="13" s="1"/>
  <c r="DW25" i="13"/>
  <c r="DX4" i="13"/>
  <c r="DX5" i="13" s="1"/>
  <c r="BY15" i="13" l="1"/>
  <c r="BY22" i="13" s="1"/>
  <c r="CA3" i="13"/>
  <c r="CA23" i="13" s="1"/>
  <c r="BZ26" i="13"/>
  <c r="BZ27" i="13" s="1"/>
  <c r="CA11" i="13"/>
  <c r="CA20" i="13" s="1"/>
  <c r="BZ9" i="13"/>
  <c r="BZ19" i="13" s="1"/>
  <c r="BZ13" i="13"/>
  <c r="BZ21" i="13" s="1"/>
  <c r="BY24" i="13"/>
  <c r="BZ6" i="13"/>
  <c r="BZ18" i="13" s="1"/>
  <c r="DX25" i="13"/>
  <c r="DY4" i="13"/>
  <c r="DY5" i="13" s="1"/>
  <c r="CA9" i="13" l="1"/>
  <c r="CA19" i="13" s="1"/>
  <c r="CB11" i="13"/>
  <c r="CB20" i="13" s="1"/>
  <c r="CA6" i="13"/>
  <c r="CA18" i="13" s="1"/>
  <c r="BZ24" i="13"/>
  <c r="CB3" i="13"/>
  <c r="CB23" i="13" s="1"/>
  <c r="CA26" i="13"/>
  <c r="CA27" i="13" s="1"/>
  <c r="CA13" i="13"/>
  <c r="CA21" i="13" s="1"/>
  <c r="BZ15" i="13"/>
  <c r="BZ22" i="13" s="1"/>
  <c r="DY25" i="13"/>
  <c r="DZ4" i="13"/>
  <c r="DZ5" i="13" s="1"/>
  <c r="F10" i="20" l="1"/>
  <c r="H10" i="20" s="1"/>
  <c r="CC3" i="13"/>
  <c r="CC23" i="13" s="1"/>
  <c r="CB26" i="13"/>
  <c r="CB27" i="13" s="1"/>
  <c r="CB6" i="13"/>
  <c r="CB18" i="13" s="1"/>
  <c r="CA24" i="13"/>
  <c r="CA15" i="13"/>
  <c r="CA22" i="13" s="1"/>
  <c r="CC11" i="13"/>
  <c r="CC20" i="13" s="1"/>
  <c r="CB13" i="13"/>
  <c r="CB21" i="13" s="1"/>
  <c r="CB9" i="13"/>
  <c r="CB19" i="13" s="1"/>
  <c r="DZ25" i="13"/>
  <c r="EA4" i="13"/>
  <c r="EA5" i="13" s="1"/>
  <c r="CB15" i="13" l="1"/>
  <c r="CB22" i="13" s="1"/>
  <c r="CC9" i="13"/>
  <c r="CC19" i="13" s="1"/>
  <c r="CB24" i="13"/>
  <c r="CC6" i="13"/>
  <c r="CC18" i="13" s="1"/>
  <c r="CC13" i="13"/>
  <c r="CC21" i="13" s="1"/>
  <c r="CC26" i="13"/>
  <c r="CC27" i="13" s="1"/>
  <c r="CD3" i="13"/>
  <c r="CD23" i="13" s="1"/>
  <c r="CD11" i="13"/>
  <c r="CD20" i="13" s="1"/>
  <c r="EA25" i="13"/>
  <c r="EB4" i="13"/>
  <c r="EB5" i="13" s="1"/>
  <c r="F60" i="20" l="1"/>
  <c r="H60" i="20" s="1"/>
  <c r="CD13" i="13"/>
  <c r="CD21" i="13" s="1"/>
  <c r="CC24" i="13"/>
  <c r="CD6" i="13"/>
  <c r="CD18" i="13" s="1"/>
  <c r="CE11" i="13"/>
  <c r="CE20" i="13" s="1"/>
  <c r="CE3" i="13"/>
  <c r="CE23" i="13" s="1"/>
  <c r="CD26" i="13"/>
  <c r="CD27" i="13" s="1"/>
  <c r="CD9" i="13"/>
  <c r="CD19" i="13" s="1"/>
  <c r="CC15" i="13"/>
  <c r="CC22" i="13" s="1"/>
  <c r="EB25" i="13"/>
  <c r="EC4" i="13"/>
  <c r="EC5" i="13" s="1"/>
  <c r="CE26" i="13" l="1"/>
  <c r="CE27" i="13" s="1"/>
  <c r="CF3" i="13"/>
  <c r="CF23" i="13" s="1"/>
  <c r="CD15" i="13"/>
  <c r="CD22" i="13" s="1"/>
  <c r="CF11" i="13"/>
  <c r="CF20" i="13" s="1"/>
  <c r="CE6" i="13"/>
  <c r="CE18" i="13" s="1"/>
  <c r="CD24" i="13"/>
  <c r="CE9" i="13"/>
  <c r="CE19" i="13" s="1"/>
  <c r="CE13" i="13"/>
  <c r="CE21" i="13" s="1"/>
  <c r="EC25" i="13"/>
  <c r="ED4" i="13"/>
  <c r="ED5" i="13" s="1"/>
  <c r="CE24" i="13" l="1"/>
  <c r="CF6" i="13"/>
  <c r="CF18" i="13" s="1"/>
  <c r="CG11" i="13"/>
  <c r="CG20" i="13" s="1"/>
  <c r="CF13" i="13"/>
  <c r="CF21" i="13" s="1"/>
  <c r="CE15" i="13"/>
  <c r="CE22" i="13" s="1"/>
  <c r="CF9" i="13"/>
  <c r="CF19" i="13" s="1"/>
  <c r="CF26" i="13"/>
  <c r="CF27" i="13" s="1"/>
  <c r="CG3" i="13"/>
  <c r="CG23" i="13" s="1"/>
  <c r="ED25" i="13"/>
  <c r="EE4" i="13"/>
  <c r="EE5" i="13" s="1"/>
  <c r="CF15" i="13" l="1"/>
  <c r="CF22" i="13" s="1"/>
  <c r="CG13" i="13"/>
  <c r="CG21" i="13" s="1"/>
  <c r="CG26" i="13"/>
  <c r="CG27" i="13" s="1"/>
  <c r="CH3" i="13"/>
  <c r="CH23" i="13" s="1"/>
  <c r="CH11" i="13"/>
  <c r="CH20" i="13" s="1"/>
  <c r="CG9" i="13"/>
  <c r="CG19" i="13" s="1"/>
  <c r="CF24" i="13"/>
  <c r="CG6" i="13"/>
  <c r="CG18" i="13" s="1"/>
  <c r="EE25" i="13"/>
  <c r="EF4" i="13"/>
  <c r="EF5" i="13" s="1"/>
  <c r="F3" i="20" l="1"/>
  <c r="H3" i="20" s="1"/>
  <c r="F62" i="20"/>
  <c r="H62" i="20" s="1"/>
  <c r="CI11" i="13"/>
  <c r="CI20" i="13" s="1"/>
  <c r="CH26" i="13"/>
  <c r="CH27" i="13" s="1"/>
  <c r="CI3" i="13"/>
  <c r="CI23" i="13" s="1"/>
  <c r="CH6" i="13"/>
  <c r="CH18" i="13" s="1"/>
  <c r="CG24" i="13"/>
  <c r="CH9" i="13"/>
  <c r="CH19" i="13" s="1"/>
  <c r="CH13" i="13"/>
  <c r="CH21" i="13" s="1"/>
  <c r="CG15" i="13"/>
  <c r="CG22" i="13" s="1"/>
  <c r="EF25" i="13"/>
  <c r="EG4" i="13"/>
  <c r="EG5" i="13" s="1"/>
  <c r="CJ3" i="13" l="1"/>
  <c r="CJ23" i="13" s="1"/>
  <c r="CI26" i="13"/>
  <c r="CI27" i="13" s="1"/>
  <c r="CI13" i="13"/>
  <c r="CI21" i="13" s="1"/>
  <c r="CI6" i="13"/>
  <c r="CI18" i="13" s="1"/>
  <c r="CH24" i="13"/>
  <c r="CH15" i="13"/>
  <c r="CH22" i="13" s="1"/>
  <c r="CI9" i="13"/>
  <c r="CI19" i="13" s="1"/>
  <c r="CJ11" i="13"/>
  <c r="CJ20" i="13" s="1"/>
  <c r="EG25" i="13"/>
  <c r="EH4" i="13"/>
  <c r="EH5" i="13" s="1"/>
  <c r="CI15" i="13" l="1"/>
  <c r="CI22" i="13" s="1"/>
  <c r="CJ6" i="13"/>
  <c r="CJ18" i="13" s="1"/>
  <c r="CI24" i="13"/>
  <c r="CK11" i="13"/>
  <c r="CK20" i="13" s="1"/>
  <c r="CJ13" i="13"/>
  <c r="CJ21" i="13" s="1"/>
  <c r="CJ9" i="13"/>
  <c r="CJ19" i="13" s="1"/>
  <c r="CK3" i="13"/>
  <c r="CK23" i="13" s="1"/>
  <c r="CJ26" i="13"/>
  <c r="CJ27" i="13" s="1"/>
  <c r="EH25" i="13"/>
  <c r="EI4" i="13"/>
  <c r="EI5" i="13" s="1"/>
  <c r="CL11" i="13" l="1"/>
  <c r="CL20" i="13" s="1"/>
  <c r="CK26" i="13"/>
  <c r="CK27" i="13" s="1"/>
  <c r="CL3" i="13"/>
  <c r="CL23" i="13" s="1"/>
  <c r="CK13" i="13"/>
  <c r="CK21" i="13" s="1"/>
  <c r="CK6" i="13"/>
  <c r="CK18" i="13" s="1"/>
  <c r="CJ24" i="13"/>
  <c r="CK9" i="13"/>
  <c r="CK19" i="13" s="1"/>
  <c r="CJ15" i="13"/>
  <c r="CJ22" i="13" s="1"/>
  <c r="EI25" i="13"/>
  <c r="EJ4" i="13"/>
  <c r="EJ5" i="13" s="1"/>
  <c r="F61" i="20" l="1"/>
  <c r="H61" i="20" s="1"/>
  <c r="CL13" i="13"/>
  <c r="CL21" i="13" s="1"/>
  <c r="CL26" i="13"/>
  <c r="CL27" i="13" s="1"/>
  <c r="CM3" i="13"/>
  <c r="CM23" i="13" s="1"/>
  <c r="CK15" i="13"/>
  <c r="CK22" i="13" s="1"/>
  <c r="CL6" i="13"/>
  <c r="CL18" i="13" s="1"/>
  <c r="CK24" i="13"/>
  <c r="CL9" i="13"/>
  <c r="CL19" i="13" s="1"/>
  <c r="CM11" i="13"/>
  <c r="CM20" i="13" s="1"/>
  <c r="EJ25" i="13"/>
  <c r="EK4" i="13"/>
  <c r="EK5" i="13" s="1"/>
  <c r="CM6" i="13" l="1"/>
  <c r="CM18" i="13" s="1"/>
  <c r="CL24" i="13"/>
  <c r="CL15" i="13"/>
  <c r="CL22" i="13" s="1"/>
  <c r="CN11" i="13"/>
  <c r="CN20" i="13" s="1"/>
  <c r="CN3" i="13"/>
  <c r="CN23" i="13" s="1"/>
  <c r="CM26" i="13"/>
  <c r="CM27" i="13" s="1"/>
  <c r="CM9" i="13"/>
  <c r="CM19" i="13" s="1"/>
  <c r="CM13" i="13"/>
  <c r="CM21" i="13" s="1"/>
  <c r="EK25" i="13"/>
  <c r="EL4" i="13"/>
  <c r="EL5" i="13" s="1"/>
  <c r="CN13" i="13" l="1"/>
  <c r="CN21" i="13" s="1"/>
  <c r="CM15" i="13"/>
  <c r="CM22" i="13" s="1"/>
  <c r="CO3" i="13"/>
  <c r="CO23" i="13" s="1"/>
  <c r="CN26" i="13"/>
  <c r="CN27" i="13" s="1"/>
  <c r="CO11" i="13"/>
  <c r="CO20" i="13" s="1"/>
  <c r="CN9" i="13"/>
  <c r="CN19" i="13" s="1"/>
  <c r="CN6" i="13"/>
  <c r="CN18" i="13" s="1"/>
  <c r="CM24" i="13"/>
  <c r="EL25" i="13"/>
  <c r="EM4" i="13"/>
  <c r="EM5" i="13" s="1"/>
  <c r="CP3" i="13" l="1"/>
  <c r="CP23" i="13" s="1"/>
  <c r="CO26" i="13"/>
  <c r="CO27" i="13" s="1"/>
  <c r="CO6" i="13"/>
  <c r="CO18" i="13" s="1"/>
  <c r="CN24" i="13"/>
  <c r="CN15" i="13"/>
  <c r="CN22" i="13" s="1"/>
  <c r="CO9" i="13"/>
  <c r="CO19" i="13" s="1"/>
  <c r="CP11" i="13"/>
  <c r="CP20" i="13" s="1"/>
  <c r="CO13" i="13"/>
  <c r="CO21" i="13" s="1"/>
  <c r="EM25" i="13"/>
  <c r="EN4" i="13"/>
  <c r="EN5" i="13" s="1"/>
  <c r="CP6" i="13" l="1"/>
  <c r="CP18" i="13" s="1"/>
  <c r="CO24" i="13"/>
  <c r="CP9" i="13"/>
  <c r="CP19" i="13" s="1"/>
  <c r="CP13" i="13"/>
  <c r="CP21" i="13" s="1"/>
  <c r="CQ11" i="13"/>
  <c r="CQ20" i="13" s="1"/>
  <c r="CQ3" i="13"/>
  <c r="CQ23" i="13" s="1"/>
  <c r="CP26" i="13"/>
  <c r="CP27" i="13" s="1"/>
  <c r="CO15" i="13"/>
  <c r="CO22" i="13" s="1"/>
  <c r="EN25" i="13"/>
  <c r="EO4" i="13"/>
  <c r="EO5" i="13" s="1"/>
  <c r="CR11" i="13" l="1"/>
  <c r="CR20" i="13" s="1"/>
  <c r="CQ13" i="13"/>
  <c r="CQ21" i="13" s="1"/>
  <c r="CP15" i="13"/>
  <c r="CP22" i="13" s="1"/>
  <c r="CQ9" i="13"/>
  <c r="CQ19" i="13" s="1"/>
  <c r="CQ26" i="13"/>
  <c r="CQ27" i="13" s="1"/>
  <c r="CR3" i="13"/>
  <c r="CR23" i="13" s="1"/>
  <c r="CP24" i="13"/>
  <c r="CQ6" i="13"/>
  <c r="CQ18" i="13" s="1"/>
  <c r="EO25" i="13"/>
  <c r="EP4" i="13"/>
  <c r="EP5" i="13" s="1"/>
  <c r="CR9" i="13" l="1"/>
  <c r="CR19" i="13" s="1"/>
  <c r="CQ15" i="13"/>
  <c r="CQ22" i="13" s="1"/>
  <c r="CR6" i="13"/>
  <c r="CR18" i="13" s="1"/>
  <c r="CQ24" i="13"/>
  <c r="CS3" i="13"/>
  <c r="CS23" i="13" s="1"/>
  <c r="CR26" i="13"/>
  <c r="CR27" i="13" s="1"/>
  <c r="CR13" i="13"/>
  <c r="CR21" i="13" s="1"/>
  <c r="CS11" i="13"/>
  <c r="CS20" i="13" s="1"/>
  <c r="EP25" i="13"/>
  <c r="EQ4" i="13"/>
  <c r="EQ5" i="13" s="1"/>
  <c r="CT3" i="13" l="1"/>
  <c r="CT23" i="13" s="1"/>
  <c r="CS26" i="13"/>
  <c r="CS27" i="13" s="1"/>
  <c r="CT11" i="13"/>
  <c r="CT20" i="13" s="1"/>
  <c r="CS6" i="13"/>
  <c r="CS18" i="13" s="1"/>
  <c r="CR24" i="13"/>
  <c r="CR15" i="13"/>
  <c r="CR22" i="13" s="1"/>
  <c r="CS13" i="13"/>
  <c r="CS21" i="13" s="1"/>
  <c r="CS9" i="13"/>
  <c r="CS19" i="13" s="1"/>
  <c r="EQ25" i="13"/>
  <c r="ER4" i="13"/>
  <c r="ER5" i="13" s="1"/>
  <c r="CT6" i="13" l="1"/>
  <c r="CT18" i="13" s="1"/>
  <c r="CS24" i="13"/>
  <c r="CU11" i="13"/>
  <c r="CU20" i="13" s="1"/>
  <c r="CT9" i="13"/>
  <c r="CT19" i="13" s="1"/>
  <c r="CT13" i="13"/>
  <c r="CT21" i="13" s="1"/>
  <c r="CU3" i="13"/>
  <c r="CU23" i="13" s="1"/>
  <c r="CT26" i="13"/>
  <c r="CT27" i="13" s="1"/>
  <c r="CS15" i="13"/>
  <c r="CS22" i="13" s="1"/>
  <c r="ER25" i="13"/>
  <c r="ES4" i="13"/>
  <c r="ES5" i="13" s="1"/>
  <c r="CU13" i="13" l="1"/>
  <c r="CU21" i="13" s="1"/>
  <c r="CU9" i="13"/>
  <c r="CU19" i="13" s="1"/>
  <c r="CT15" i="13"/>
  <c r="CT22" i="13" s="1"/>
  <c r="CV11" i="13"/>
  <c r="CV20" i="13" s="1"/>
  <c r="CV3" i="13"/>
  <c r="CV23" i="13" s="1"/>
  <c r="CU26" i="13"/>
  <c r="CU27" i="13" s="1"/>
  <c r="CU6" i="13"/>
  <c r="CU18" i="13" s="1"/>
  <c r="CT24" i="13"/>
  <c r="ES25" i="13"/>
  <c r="ET4" i="13"/>
  <c r="ET5" i="13" s="1"/>
  <c r="CU15" i="13" l="1"/>
  <c r="CU22" i="13" s="1"/>
  <c r="CU24" i="13"/>
  <c r="CV6" i="13"/>
  <c r="CV18" i="13" s="1"/>
  <c r="CV9" i="13"/>
  <c r="CV19" i="13" s="1"/>
  <c r="CW3" i="13"/>
  <c r="CW23" i="13" s="1"/>
  <c r="CV26" i="13"/>
  <c r="CV27" i="13" s="1"/>
  <c r="CV13" i="13"/>
  <c r="CV21" i="13" s="1"/>
  <c r="CW11" i="13"/>
  <c r="CW20" i="13" s="1"/>
  <c r="ET25" i="13"/>
  <c r="EU4" i="13"/>
  <c r="EU5" i="13" s="1"/>
  <c r="CW9" i="13" l="1"/>
  <c r="CW19" i="13" s="1"/>
  <c r="CW26" i="13"/>
  <c r="CW27" i="13" s="1"/>
  <c r="CX3" i="13"/>
  <c r="CX23" i="13" s="1"/>
  <c r="CX11" i="13"/>
  <c r="CX20" i="13" s="1"/>
  <c r="CW6" i="13"/>
  <c r="CW18" i="13" s="1"/>
  <c r="CV24" i="13"/>
  <c r="CW13" i="13"/>
  <c r="CW21" i="13" s="1"/>
  <c r="CV15" i="13"/>
  <c r="CV22" i="13" s="1"/>
  <c r="EU25" i="13"/>
  <c r="EV4" i="13"/>
  <c r="EV5" i="13" s="1"/>
  <c r="CX6" i="13" l="1"/>
  <c r="CX18" i="13" s="1"/>
  <c r="CW24" i="13"/>
  <c r="CW15" i="13"/>
  <c r="CW22" i="13" s="1"/>
  <c r="CY3" i="13"/>
  <c r="CY23" i="13" s="1"/>
  <c r="CX26" i="13"/>
  <c r="CX27" i="13" s="1"/>
  <c r="CY11" i="13"/>
  <c r="CY20" i="13" s="1"/>
  <c r="CX13" i="13"/>
  <c r="CX21" i="13" s="1"/>
  <c r="CX9" i="13"/>
  <c r="CX19" i="13" s="1"/>
  <c r="EV25" i="13"/>
  <c r="EW4" i="13"/>
  <c r="EW5" i="13" s="1"/>
  <c r="CY9" i="13" l="1"/>
  <c r="CY19" i="13" s="1"/>
  <c r="CZ3" i="13"/>
  <c r="CZ23" i="13" s="1"/>
  <c r="CY26" i="13"/>
  <c r="CY27" i="13" s="1"/>
  <c r="CX15" i="13"/>
  <c r="CX22" i="13" s="1"/>
  <c r="CZ11" i="13"/>
  <c r="CZ20" i="13" s="1"/>
  <c r="CY13" i="13"/>
  <c r="CY21" i="13" s="1"/>
  <c r="CX24" i="13"/>
  <c r="CY6" i="13"/>
  <c r="CY18" i="13" s="1"/>
  <c r="EW25" i="13"/>
  <c r="EX4" i="13"/>
  <c r="EX5" i="13" s="1"/>
  <c r="CY15" i="13" l="1"/>
  <c r="CY22" i="13" s="1"/>
  <c r="DA11" i="13"/>
  <c r="DA20" i="13" s="1"/>
  <c r="CZ26" i="13"/>
  <c r="CZ27" i="13" s="1"/>
  <c r="DA3" i="13"/>
  <c r="DA23" i="13" s="1"/>
  <c r="CZ6" i="13"/>
  <c r="CZ18" i="13" s="1"/>
  <c r="CY24" i="13"/>
  <c r="CZ13" i="13"/>
  <c r="CZ21" i="13" s="1"/>
  <c r="CZ9" i="13"/>
  <c r="CZ19" i="13" s="1"/>
  <c r="EX25" i="13"/>
  <c r="EY4" i="13"/>
  <c r="EY5" i="13" s="1"/>
  <c r="DB3" i="13" l="1"/>
  <c r="DB23" i="13" s="1"/>
  <c r="DA26" i="13"/>
  <c r="DA27" i="13" s="1"/>
  <c r="DA9" i="13"/>
  <c r="DA19" i="13" s="1"/>
  <c r="DB11" i="13"/>
  <c r="DB20" i="13" s="1"/>
  <c r="DA6" i="13"/>
  <c r="DA18" i="13" s="1"/>
  <c r="CZ24" i="13"/>
  <c r="DA13" i="13"/>
  <c r="DA21" i="13" s="1"/>
  <c r="CZ15" i="13"/>
  <c r="CZ22" i="13" s="1"/>
  <c r="EY25" i="13"/>
  <c r="EZ4" i="13"/>
  <c r="EZ5" i="13" s="1"/>
  <c r="DB6" i="13" l="1"/>
  <c r="DB18" i="13" s="1"/>
  <c r="DA24" i="13"/>
  <c r="DC11" i="13"/>
  <c r="DC20" i="13" s="1"/>
  <c r="DA15" i="13"/>
  <c r="DA22" i="13" s="1"/>
  <c r="DB9" i="13"/>
  <c r="DB19" i="13" s="1"/>
  <c r="DB13" i="13"/>
  <c r="DB21" i="13" s="1"/>
  <c r="DC3" i="13"/>
  <c r="DC23" i="13" s="1"/>
  <c r="DB26" i="13"/>
  <c r="DB27" i="13" s="1"/>
  <c r="EZ25" i="13"/>
  <c r="FA4" i="13"/>
  <c r="FA5" i="13" s="1"/>
  <c r="DC9" i="13" l="1"/>
  <c r="DC19" i="13" s="1"/>
  <c r="DB15" i="13"/>
  <c r="DB22" i="13" s="1"/>
  <c r="DD3" i="13"/>
  <c r="DD23" i="13" s="1"/>
  <c r="DC26" i="13"/>
  <c r="DC27" i="13" s="1"/>
  <c r="DD11" i="13"/>
  <c r="DD20" i="13" s="1"/>
  <c r="DC13" i="13"/>
  <c r="DC21" i="13" s="1"/>
  <c r="DB24" i="13"/>
  <c r="DC6" i="13"/>
  <c r="DC18" i="13" s="1"/>
  <c r="FA25" i="13"/>
  <c r="FB4" i="13"/>
  <c r="FB5" i="13" s="1"/>
  <c r="DC24" i="13" l="1"/>
  <c r="DD6" i="13"/>
  <c r="DD18" i="13" s="1"/>
  <c r="DE3" i="13"/>
  <c r="DE23" i="13" s="1"/>
  <c r="DD26" i="13"/>
  <c r="DD27" i="13" s="1"/>
  <c r="DC15" i="13"/>
  <c r="DC22" i="13" s="1"/>
  <c r="DD13" i="13"/>
  <c r="DD21" i="13" s="1"/>
  <c r="DD9" i="13"/>
  <c r="DD19" i="13" s="1"/>
  <c r="DE11" i="13"/>
  <c r="DE20" i="13" s="1"/>
  <c r="FB25" i="13"/>
  <c r="FC4" i="13"/>
  <c r="FC5" i="13" s="1"/>
  <c r="DD15" i="13" l="1"/>
  <c r="DD22" i="13" s="1"/>
  <c r="DF11" i="13"/>
  <c r="DF20" i="13" s="1"/>
  <c r="DF3" i="13"/>
  <c r="DF23" i="13" s="1"/>
  <c r="DE26" i="13"/>
  <c r="DE27" i="13" s="1"/>
  <c r="DE9" i="13"/>
  <c r="DE19" i="13" s="1"/>
  <c r="DD24" i="13"/>
  <c r="DE6" i="13"/>
  <c r="DE18" i="13" s="1"/>
  <c r="DE13" i="13"/>
  <c r="DE21" i="13" s="1"/>
  <c r="FC25" i="13"/>
  <c r="FD4" i="13"/>
  <c r="FD5" i="13" s="1"/>
  <c r="DG3" i="13" l="1"/>
  <c r="DG23" i="13" s="1"/>
  <c r="DF26" i="13"/>
  <c r="DF27" i="13" s="1"/>
  <c r="DF13" i="13"/>
  <c r="DF21" i="13" s="1"/>
  <c r="DG11" i="13"/>
  <c r="DG20" i="13" s="1"/>
  <c r="DE24" i="13"/>
  <c r="DF6" i="13"/>
  <c r="DF18" i="13" s="1"/>
  <c r="DE15" i="13"/>
  <c r="DE22" i="13" s="1"/>
  <c r="DF9" i="13"/>
  <c r="DF19" i="13" s="1"/>
  <c r="FD25" i="13"/>
  <c r="FE4" i="13"/>
  <c r="FE5" i="13" s="1"/>
  <c r="DH11" i="13" l="1"/>
  <c r="DH20" i="13" s="1"/>
  <c r="DG9" i="13"/>
  <c r="DG19" i="13" s="1"/>
  <c r="DG13" i="13"/>
  <c r="DG21" i="13" s="1"/>
  <c r="DF15" i="13"/>
  <c r="DF22" i="13" s="1"/>
  <c r="DH3" i="13"/>
  <c r="DH23" i="13" s="1"/>
  <c r="DG26" i="13"/>
  <c r="DG27" i="13" s="1"/>
  <c r="DF24" i="13"/>
  <c r="DG6" i="13"/>
  <c r="DG18" i="13" s="1"/>
  <c r="FE25" i="13"/>
  <c r="FF4" i="13"/>
  <c r="FF5" i="13" s="1"/>
  <c r="DG15" i="13" l="1"/>
  <c r="DG22" i="13" s="1"/>
  <c r="DH13" i="13"/>
  <c r="DH21" i="13" s="1"/>
  <c r="DH6" i="13"/>
  <c r="DH18" i="13" s="1"/>
  <c r="DG24" i="13"/>
  <c r="DH9" i="13"/>
  <c r="DH19" i="13" s="1"/>
  <c r="DH26" i="13"/>
  <c r="DH27" i="13" s="1"/>
  <c r="DI3" i="13"/>
  <c r="DI23" i="13" s="1"/>
  <c r="DI11" i="13"/>
  <c r="DI20" i="13" s="1"/>
  <c r="FF25" i="13"/>
  <c r="FG4" i="13"/>
  <c r="FG5" i="13" s="1"/>
  <c r="DI9" i="13" l="1"/>
  <c r="DI19" i="13" s="1"/>
  <c r="DJ11" i="13"/>
  <c r="DJ20" i="13" s="1"/>
  <c r="DI6" i="13"/>
  <c r="DI18" i="13" s="1"/>
  <c r="DH24" i="13"/>
  <c r="DI13" i="13"/>
  <c r="DI21" i="13" s="1"/>
  <c r="DJ3" i="13"/>
  <c r="DJ23" i="13" s="1"/>
  <c r="DI26" i="13"/>
  <c r="DI27" i="13" s="1"/>
  <c r="DH15" i="13"/>
  <c r="DH22" i="13" s="1"/>
  <c r="FG25" i="13"/>
  <c r="FH4" i="13"/>
  <c r="FH5" i="13" s="1"/>
  <c r="DJ13" i="13" l="1"/>
  <c r="DJ21" i="13" s="1"/>
  <c r="DI15" i="13"/>
  <c r="DI22" i="13" s="1"/>
  <c r="DI24" i="13"/>
  <c r="DJ6" i="13"/>
  <c r="DJ18" i="13" s="1"/>
  <c r="DK11" i="13"/>
  <c r="DK20" i="13" s="1"/>
  <c r="DK3" i="13"/>
  <c r="DK23" i="13" s="1"/>
  <c r="DJ26" i="13"/>
  <c r="DJ27" i="13" s="1"/>
  <c r="DJ9" i="13"/>
  <c r="DJ19" i="13" s="1"/>
  <c r="FH25" i="13"/>
  <c r="FI4" i="13"/>
  <c r="FI5" i="13" s="1"/>
  <c r="DL11" i="13" l="1"/>
  <c r="DL20" i="13" s="1"/>
  <c r="DK6" i="13"/>
  <c r="DK18" i="13" s="1"/>
  <c r="DJ24" i="13"/>
  <c r="DK9" i="13"/>
  <c r="DK19" i="13" s="1"/>
  <c r="DJ15" i="13"/>
  <c r="DJ22" i="13" s="1"/>
  <c r="DL3" i="13"/>
  <c r="DL23" i="13" s="1"/>
  <c r="DK26" i="13"/>
  <c r="DK27" i="13" s="1"/>
  <c r="DK13" i="13"/>
  <c r="DK21" i="13" s="1"/>
  <c r="FJ4" i="13"/>
  <c r="FJ5" i="13" s="1"/>
  <c r="FI25" i="13"/>
  <c r="DK15" i="13" l="1"/>
  <c r="DK22" i="13" s="1"/>
  <c r="DL9" i="13"/>
  <c r="DL19" i="13" s="1"/>
  <c r="DL13" i="13"/>
  <c r="DL21" i="13" s="1"/>
  <c r="DK24" i="13"/>
  <c r="DL6" i="13"/>
  <c r="DL18" i="13" s="1"/>
  <c r="DM11" i="13"/>
  <c r="DM20" i="13" s="1"/>
  <c r="DM3" i="13"/>
  <c r="DM23" i="13" s="1"/>
  <c r="DL26" i="13"/>
  <c r="DL27" i="13" s="1"/>
  <c r="FK4" i="13"/>
  <c r="FK5" i="13" s="1"/>
  <c r="FJ25" i="13"/>
  <c r="DM6" i="13" l="1"/>
  <c r="DM18" i="13" s="1"/>
  <c r="DL24" i="13"/>
  <c r="DM13" i="13"/>
  <c r="DM21" i="13" s="1"/>
  <c r="DM9" i="13"/>
  <c r="DM19" i="13" s="1"/>
  <c r="DN3" i="13"/>
  <c r="DN23" i="13" s="1"/>
  <c r="DM26" i="13"/>
  <c r="DM27" i="13" s="1"/>
  <c r="DN11" i="13"/>
  <c r="DN20" i="13" s="1"/>
  <c r="DL15" i="13"/>
  <c r="DL22" i="13" s="1"/>
  <c r="FL4" i="13"/>
  <c r="FL5" i="13" s="1"/>
  <c r="FK25" i="13"/>
  <c r="DO3" i="13" l="1"/>
  <c r="DO23" i="13" s="1"/>
  <c r="DN26" i="13"/>
  <c r="DN27" i="13" s="1"/>
  <c r="DN9" i="13"/>
  <c r="DN19" i="13" s="1"/>
  <c r="DM15" i="13"/>
  <c r="DM22" i="13" s="1"/>
  <c r="DN13" i="13"/>
  <c r="DN21" i="13" s="1"/>
  <c r="DO11" i="13"/>
  <c r="DO20" i="13" s="1"/>
  <c r="DM24" i="13"/>
  <c r="DN6" i="13"/>
  <c r="DN18" i="13" s="1"/>
  <c r="FL25" i="13"/>
  <c r="FM4" i="13"/>
  <c r="FM5" i="13" s="1"/>
  <c r="DN15" i="13" l="1"/>
  <c r="DN22" i="13" s="1"/>
  <c r="DN24" i="13"/>
  <c r="DO6" i="13"/>
  <c r="DO18" i="13" s="1"/>
  <c r="DO9" i="13"/>
  <c r="DO19" i="13" s="1"/>
  <c r="DP11" i="13"/>
  <c r="DP20" i="13" s="1"/>
  <c r="DP3" i="13"/>
  <c r="DP23" i="13" s="1"/>
  <c r="DO26" i="13"/>
  <c r="DO27" i="13" s="1"/>
  <c r="DO13" i="13"/>
  <c r="DO21" i="13" s="1"/>
  <c r="FM25" i="13"/>
  <c r="FN4" i="13"/>
  <c r="FN5" i="13" s="1"/>
  <c r="DQ11" i="13" l="1"/>
  <c r="DQ20" i="13" s="1"/>
  <c r="DP9" i="13"/>
  <c r="DP19" i="13" s="1"/>
  <c r="DP13" i="13"/>
  <c r="DP21" i="13" s="1"/>
  <c r="DO24" i="13"/>
  <c r="DP6" i="13"/>
  <c r="DP18" i="13" s="1"/>
  <c r="DQ3" i="13"/>
  <c r="DQ23" i="13" s="1"/>
  <c r="DP26" i="13"/>
  <c r="DP27" i="13" s="1"/>
  <c r="DO15" i="13"/>
  <c r="DO22" i="13" s="1"/>
  <c r="FN25" i="13"/>
  <c r="FO4" i="13"/>
  <c r="FO5" i="13" s="1"/>
  <c r="DQ6" i="13" l="1"/>
  <c r="DQ18" i="13" s="1"/>
  <c r="DP24" i="13"/>
  <c r="DQ13" i="13"/>
  <c r="DQ21" i="13" s="1"/>
  <c r="DP15" i="13"/>
  <c r="DP22" i="13" s="1"/>
  <c r="DQ9" i="13"/>
  <c r="DQ19" i="13" s="1"/>
  <c r="DR11" i="13"/>
  <c r="DR20" i="13" s="1"/>
  <c r="DQ26" i="13"/>
  <c r="DQ27" i="13" s="1"/>
  <c r="DR3" i="13"/>
  <c r="DR23" i="13" s="1"/>
  <c r="FO25" i="13"/>
  <c r="FP4" i="13"/>
  <c r="FP5" i="13" s="1"/>
  <c r="DR9" i="13" l="1"/>
  <c r="DR19" i="13" s="1"/>
  <c r="DQ15" i="13"/>
  <c r="DQ22" i="13" s="1"/>
  <c r="DS3" i="13"/>
  <c r="DS23" i="13" s="1"/>
  <c r="DR26" i="13"/>
  <c r="DR27" i="13" s="1"/>
  <c r="DR13" i="13"/>
  <c r="DR21" i="13" s="1"/>
  <c r="DS11" i="13"/>
  <c r="DS20" i="13" s="1"/>
  <c r="DQ24" i="13"/>
  <c r="DR6" i="13"/>
  <c r="DR18" i="13" s="1"/>
  <c r="FP25" i="13"/>
  <c r="FQ4" i="13"/>
  <c r="FQ5" i="13" s="1"/>
  <c r="DR24" i="13" l="1"/>
  <c r="DS6" i="13"/>
  <c r="DS18" i="13" s="1"/>
  <c r="DT3" i="13"/>
  <c r="DT23" i="13" s="1"/>
  <c r="DS26" i="13"/>
  <c r="DS27" i="13" s="1"/>
  <c r="DR15" i="13"/>
  <c r="DR22" i="13" s="1"/>
  <c r="DT11" i="13"/>
  <c r="DT20" i="13" s="1"/>
  <c r="DS9" i="13"/>
  <c r="DS19" i="13" s="1"/>
  <c r="DS13" i="13"/>
  <c r="DS21" i="13" s="1"/>
  <c r="FQ25" i="13"/>
  <c r="FR4" i="13"/>
  <c r="FR5" i="13" s="1"/>
  <c r="DS15" i="13" l="1"/>
  <c r="DS22" i="13" s="1"/>
  <c r="DT13" i="13"/>
  <c r="DT21" i="13" s="1"/>
  <c r="DT9" i="13"/>
  <c r="DT19" i="13" s="1"/>
  <c r="DU3" i="13"/>
  <c r="DU23" i="13" s="1"/>
  <c r="DT26" i="13"/>
  <c r="DT27" i="13" s="1"/>
  <c r="DT6" i="13"/>
  <c r="DT18" i="13" s="1"/>
  <c r="DS24" i="13"/>
  <c r="DU11" i="13"/>
  <c r="DU20" i="13" s="1"/>
  <c r="FR25" i="13"/>
  <c r="FS4" i="13"/>
  <c r="FS5" i="13" s="1"/>
  <c r="DV3" i="13" l="1"/>
  <c r="DV23" i="13" s="1"/>
  <c r="DU26" i="13"/>
  <c r="DU27" i="13" s="1"/>
  <c r="DU9" i="13"/>
  <c r="DU19" i="13" s="1"/>
  <c r="DV11" i="13"/>
  <c r="DV20" i="13" s="1"/>
  <c r="DU13" i="13"/>
  <c r="DU21" i="13" s="1"/>
  <c r="DT24" i="13"/>
  <c r="DU6" i="13"/>
  <c r="DU18" i="13" s="1"/>
  <c r="DT15" i="13"/>
  <c r="DT22" i="13" s="1"/>
  <c r="FS25" i="13"/>
  <c r="FT4" i="13"/>
  <c r="FT5" i="13" s="1"/>
  <c r="DW11" i="13" l="1"/>
  <c r="DW20" i="13" s="1"/>
  <c r="DU15" i="13"/>
  <c r="DU22" i="13" s="1"/>
  <c r="DV9" i="13"/>
  <c r="DV19" i="13" s="1"/>
  <c r="DV6" i="13"/>
  <c r="DV18" i="13" s="1"/>
  <c r="DU24" i="13"/>
  <c r="DV26" i="13"/>
  <c r="DV27" i="13" s="1"/>
  <c r="DW3" i="13"/>
  <c r="DW23" i="13" s="1"/>
  <c r="DV13" i="13"/>
  <c r="DV21" i="13" s="1"/>
  <c r="FT25" i="13"/>
  <c r="FU4" i="13"/>
  <c r="FU5" i="13" s="1"/>
  <c r="DV24" i="13" l="1"/>
  <c r="DW6" i="13"/>
  <c r="DW18" i="13" s="1"/>
  <c r="DW9" i="13"/>
  <c r="DW19" i="13" s="1"/>
  <c r="DW13" i="13"/>
  <c r="DW21" i="13" s="1"/>
  <c r="DV15" i="13"/>
  <c r="DV22" i="13" s="1"/>
  <c r="DX3" i="13"/>
  <c r="DX23" i="13" s="1"/>
  <c r="DW26" i="13"/>
  <c r="DW27" i="13" s="1"/>
  <c r="DX11" i="13"/>
  <c r="DX20" i="13" s="1"/>
  <c r="FU25" i="13"/>
  <c r="FV4" i="13"/>
  <c r="FV5" i="13" s="1"/>
  <c r="DW15" i="13" l="1"/>
  <c r="DW22" i="13" s="1"/>
  <c r="DX13" i="13"/>
  <c r="DX21" i="13" s="1"/>
  <c r="DY11" i="13"/>
  <c r="DY20" i="13" s="1"/>
  <c r="DX9" i="13"/>
  <c r="DX19" i="13" s="1"/>
  <c r="DW24" i="13"/>
  <c r="DX6" i="13"/>
  <c r="DX18" i="13" s="1"/>
  <c r="DY3" i="13"/>
  <c r="DY23" i="13" s="1"/>
  <c r="DX26" i="13"/>
  <c r="DX27" i="13" s="1"/>
  <c r="FV25" i="13"/>
  <c r="FW4" i="13"/>
  <c r="FW5" i="13" s="1"/>
  <c r="DY9" i="13" l="1"/>
  <c r="DY19" i="13" s="1"/>
  <c r="DZ11" i="13"/>
  <c r="DZ20" i="13" s="1"/>
  <c r="DY13" i="13"/>
  <c r="DY21" i="13" s="1"/>
  <c r="DY26" i="13"/>
  <c r="DY27" i="13" s="1"/>
  <c r="DZ3" i="13"/>
  <c r="DZ23" i="13" s="1"/>
  <c r="DY6" i="13"/>
  <c r="DY18" i="13" s="1"/>
  <c r="DX24" i="13"/>
  <c r="DX15" i="13"/>
  <c r="DX22" i="13" s="1"/>
  <c r="FW25" i="13"/>
  <c r="FX4" i="13"/>
  <c r="FX5" i="13" s="1"/>
  <c r="DZ13" i="13" l="1"/>
  <c r="DZ21" i="13" s="1"/>
  <c r="DY15" i="13"/>
  <c r="DY22" i="13" s="1"/>
  <c r="EA11" i="13"/>
  <c r="EA20" i="13" s="1"/>
  <c r="DZ6" i="13"/>
  <c r="DZ18" i="13" s="1"/>
  <c r="DY24" i="13"/>
  <c r="DZ9" i="13"/>
  <c r="DZ19" i="13" s="1"/>
  <c r="EA3" i="13"/>
  <c r="EA23" i="13" s="1"/>
  <c r="DZ26" i="13"/>
  <c r="DZ27" i="13" s="1"/>
  <c r="FX25" i="13"/>
  <c r="FY4" i="13"/>
  <c r="FY5" i="13" s="1"/>
  <c r="EA6" i="13" l="1"/>
  <c r="EA18" i="13" s="1"/>
  <c r="DZ24" i="13"/>
  <c r="EB11" i="13"/>
  <c r="EB20" i="13" s="1"/>
  <c r="EB3" i="13"/>
  <c r="EB23" i="13" s="1"/>
  <c r="EA26" i="13"/>
  <c r="EA27" i="13" s="1"/>
  <c r="DZ15" i="13"/>
  <c r="DZ22" i="13" s="1"/>
  <c r="EA9" i="13"/>
  <c r="EA19" i="13" s="1"/>
  <c r="EA13" i="13"/>
  <c r="EA21" i="13" s="1"/>
  <c r="FY25" i="13"/>
  <c r="FZ4" i="13"/>
  <c r="FZ5" i="13" s="1"/>
  <c r="EB26" i="13" l="1"/>
  <c r="EB27" i="13" s="1"/>
  <c r="EC3" i="13"/>
  <c r="EC23" i="13" s="1"/>
  <c r="EB13" i="13"/>
  <c r="EB21" i="13" s="1"/>
  <c r="EC11" i="13"/>
  <c r="EC20" i="13" s="1"/>
  <c r="EB9" i="13"/>
  <c r="EB19" i="13" s="1"/>
  <c r="EA15" i="13"/>
  <c r="EA22" i="13" s="1"/>
  <c r="EA24" i="13"/>
  <c r="EB6" i="13"/>
  <c r="EB18" i="13" s="1"/>
  <c r="FZ25" i="13"/>
  <c r="GA4" i="13"/>
  <c r="GA5" i="13" s="1"/>
  <c r="ED11" i="13" l="1"/>
  <c r="ED20" i="13" s="1"/>
  <c r="EB24" i="13"/>
  <c r="EC6" i="13"/>
  <c r="EC18" i="13" s="1"/>
  <c r="EC13" i="13"/>
  <c r="EC21" i="13" s="1"/>
  <c r="ED3" i="13"/>
  <c r="ED23" i="13" s="1"/>
  <c r="EC26" i="13"/>
  <c r="EC27" i="13" s="1"/>
  <c r="EB15" i="13"/>
  <c r="EB22" i="13" s="1"/>
  <c r="EC9" i="13"/>
  <c r="EC19" i="13" s="1"/>
  <c r="GA25" i="13"/>
  <c r="GB4" i="13"/>
  <c r="GB5" i="13" s="1"/>
  <c r="EE3" i="13" l="1"/>
  <c r="EE23" i="13" s="1"/>
  <c r="ED26" i="13"/>
  <c r="ED27" i="13" s="1"/>
  <c r="ED13" i="13"/>
  <c r="ED21" i="13" s="1"/>
  <c r="ED9" i="13"/>
  <c r="ED19" i="13" s="1"/>
  <c r="ED6" i="13"/>
  <c r="ED18" i="13" s="1"/>
  <c r="EC24" i="13"/>
  <c r="EC15" i="13"/>
  <c r="EC22" i="13" s="1"/>
  <c r="EE11" i="13"/>
  <c r="EE20" i="13" s="1"/>
  <c r="GB25" i="13"/>
  <c r="GC4" i="13"/>
  <c r="GC5" i="13" s="1"/>
  <c r="ED24" i="13" l="1"/>
  <c r="EE6" i="13"/>
  <c r="EE18" i="13" s="1"/>
  <c r="EE9" i="13"/>
  <c r="EE19" i="13" s="1"/>
  <c r="EF11" i="13"/>
  <c r="EF20" i="13" s="1"/>
  <c r="EE13" i="13"/>
  <c r="EE21" i="13" s="1"/>
  <c r="ED15" i="13"/>
  <c r="ED22" i="13" s="1"/>
  <c r="EF3" i="13"/>
  <c r="EF23" i="13" s="1"/>
  <c r="EE26" i="13"/>
  <c r="EE27" i="13" s="1"/>
  <c r="GC25" i="13"/>
  <c r="GD4" i="13"/>
  <c r="GD5" i="13" s="1"/>
  <c r="B126" i="14" l="1"/>
  <c r="EF13" i="13"/>
  <c r="EF21" i="13" s="1"/>
  <c r="EG11" i="13"/>
  <c r="EG20" i="13" s="1"/>
  <c r="EG3" i="13"/>
  <c r="EG23" i="13" s="1"/>
  <c r="EF26" i="13"/>
  <c r="EF27" i="13" s="1"/>
  <c r="EF9" i="13"/>
  <c r="EF19" i="13" s="1"/>
  <c r="EE15" i="13"/>
  <c r="EE22" i="13" s="1"/>
  <c r="EF6" i="13"/>
  <c r="EF18" i="13" s="1"/>
  <c r="EE24" i="13"/>
  <c r="GD25" i="13"/>
  <c r="GE4" i="13"/>
  <c r="GE5" i="13" s="1"/>
  <c r="EH3" i="13" l="1"/>
  <c r="EH23" i="13" s="1"/>
  <c r="EG26" i="13"/>
  <c r="EG27" i="13" s="1"/>
  <c r="EF24" i="13"/>
  <c r="EG6" i="13"/>
  <c r="EG18" i="13" s="1"/>
  <c r="EH11" i="13"/>
  <c r="EH20" i="13" s="1"/>
  <c r="EF15" i="13"/>
  <c r="EF22" i="13" s="1"/>
  <c r="EG13" i="13"/>
  <c r="EG21" i="13" s="1"/>
  <c r="EG9" i="13"/>
  <c r="EG19" i="13" s="1"/>
  <c r="GE25" i="13"/>
  <c r="GF4" i="13"/>
  <c r="GF5" i="13" s="1"/>
  <c r="EI11" i="13" l="1"/>
  <c r="EI20" i="13" s="1"/>
  <c r="EH9" i="13"/>
  <c r="EH19" i="13" s="1"/>
  <c r="EH6" i="13"/>
  <c r="EH18" i="13" s="1"/>
  <c r="EG24" i="13"/>
  <c r="EH13" i="13"/>
  <c r="EH21" i="13" s="1"/>
  <c r="EI3" i="13"/>
  <c r="EI23" i="13" s="1"/>
  <c r="EH26" i="13"/>
  <c r="EH27" i="13" s="1"/>
  <c r="EG15" i="13"/>
  <c r="EG22" i="13" s="1"/>
  <c r="GF25" i="13"/>
  <c r="GG4" i="13"/>
  <c r="GG5" i="13" s="1"/>
  <c r="EH15" i="13" l="1"/>
  <c r="EH22" i="13" s="1"/>
  <c r="EI6" i="13"/>
  <c r="EI18" i="13" s="1"/>
  <c r="EH24" i="13"/>
  <c r="EI9" i="13"/>
  <c r="EI19" i="13" s="1"/>
  <c r="EJ3" i="13"/>
  <c r="EJ23" i="13" s="1"/>
  <c r="EI26" i="13"/>
  <c r="EI27" i="13" s="1"/>
  <c r="EJ11" i="13"/>
  <c r="EJ20" i="13" s="1"/>
  <c r="EI13" i="13"/>
  <c r="EI21" i="13" s="1"/>
  <c r="GG25" i="13"/>
  <c r="GH4" i="13"/>
  <c r="GH5" i="13" s="1"/>
  <c r="EJ9" i="13" l="1"/>
  <c r="EJ19" i="13" s="1"/>
  <c r="EK3" i="13"/>
  <c r="EK23" i="13" s="1"/>
  <c r="EJ26" i="13"/>
  <c r="EJ27" i="13" s="1"/>
  <c r="EJ13" i="13"/>
  <c r="EJ21" i="13" s="1"/>
  <c r="EK11" i="13"/>
  <c r="EK20" i="13" s="1"/>
  <c r="EI24" i="13"/>
  <c r="EJ6" i="13"/>
  <c r="EJ18" i="13" s="1"/>
  <c r="EI15" i="13"/>
  <c r="EI22" i="13" s="1"/>
  <c r="GH25" i="13"/>
  <c r="GI4" i="13"/>
  <c r="GI5" i="13" s="1"/>
  <c r="EJ15" i="13" l="1"/>
  <c r="EJ22" i="13" s="1"/>
  <c r="EK26" i="13"/>
  <c r="EK27" i="13" s="1"/>
  <c r="EL3" i="13"/>
  <c r="EL23" i="13" s="1"/>
  <c r="EK13" i="13"/>
  <c r="EK21" i="13" s="1"/>
  <c r="EJ24" i="13"/>
  <c r="EK6" i="13"/>
  <c r="EK18" i="13" s="1"/>
  <c r="EK9" i="13"/>
  <c r="EK19" i="13" s="1"/>
  <c r="EL11" i="13"/>
  <c r="EL20" i="13" s="1"/>
  <c r="GI25" i="13"/>
  <c r="GJ4" i="13"/>
  <c r="GJ5" i="13" s="1"/>
  <c r="EL9" i="13" l="1"/>
  <c r="EL19" i="13" s="1"/>
  <c r="EM11" i="13"/>
  <c r="EM20" i="13" s="1"/>
  <c r="EK15" i="13"/>
  <c r="EK22" i="13" s="1"/>
  <c r="EL13" i="13"/>
  <c r="EL21" i="13" s="1"/>
  <c r="EL26" i="13"/>
  <c r="EL27" i="13" s="1"/>
  <c r="EM3" i="13"/>
  <c r="EM23" i="13" s="1"/>
  <c r="EK24" i="13"/>
  <c r="EL6" i="13"/>
  <c r="EL18" i="13" s="1"/>
  <c r="GJ25" i="13"/>
  <c r="GK4" i="13"/>
  <c r="GK5" i="13" s="1"/>
  <c r="EL15" i="13" l="1"/>
  <c r="EL22" i="13" s="1"/>
  <c r="EM6" i="13"/>
  <c r="EM18" i="13" s="1"/>
  <c r="EL24" i="13"/>
  <c r="EM13" i="13"/>
  <c r="EM21" i="13" s="1"/>
  <c r="EN11" i="13"/>
  <c r="EN20" i="13" s="1"/>
  <c r="EN3" i="13"/>
  <c r="EN23" i="13" s="1"/>
  <c r="EM26" i="13"/>
  <c r="EM27" i="13" s="1"/>
  <c r="EM9" i="13"/>
  <c r="EM19" i="13" s="1"/>
  <c r="GK25" i="13"/>
  <c r="GL4" i="13"/>
  <c r="GL5" i="13" s="1"/>
  <c r="EN13" i="13" l="1"/>
  <c r="EN21" i="13" s="1"/>
  <c r="EO11" i="13"/>
  <c r="EO20" i="13" s="1"/>
  <c r="EN9" i="13"/>
  <c r="EN19" i="13" s="1"/>
  <c r="EM24" i="13"/>
  <c r="EN6" i="13"/>
  <c r="EN18" i="13" s="1"/>
  <c r="EN26" i="13"/>
  <c r="EN27" i="13" s="1"/>
  <c r="EO3" i="13"/>
  <c r="EO23" i="13" s="1"/>
  <c r="EM15" i="13"/>
  <c r="EM22" i="13" s="1"/>
  <c r="GL25" i="13"/>
  <c r="GM4" i="13"/>
  <c r="GM5" i="13" s="1"/>
  <c r="EO9" i="13" l="1"/>
  <c r="EO19" i="13" s="1"/>
  <c r="EN15" i="13"/>
  <c r="EN22" i="13" s="1"/>
  <c r="EO6" i="13"/>
  <c r="EO18" i="13" s="1"/>
  <c r="EN24" i="13"/>
  <c r="EP11" i="13"/>
  <c r="EP20" i="13" s="1"/>
  <c r="EO26" i="13"/>
  <c r="EO27" i="13" s="1"/>
  <c r="EP3" i="13"/>
  <c r="EP23" i="13" s="1"/>
  <c r="EO13" i="13"/>
  <c r="EO21" i="13" s="1"/>
  <c r="GM25" i="13"/>
  <c r="GN4" i="13"/>
  <c r="GN5" i="13" s="1"/>
  <c r="EO24" i="13" l="1"/>
  <c r="EP6" i="13"/>
  <c r="EP18" i="13" s="1"/>
  <c r="EO15" i="13"/>
  <c r="EO22" i="13" s="1"/>
  <c r="EP13" i="13"/>
  <c r="EP21" i="13" s="1"/>
  <c r="EQ3" i="13"/>
  <c r="EQ23" i="13" s="1"/>
  <c r="EP26" i="13"/>
  <c r="EP27" i="13" s="1"/>
  <c r="EQ11" i="13"/>
  <c r="EQ20" i="13" s="1"/>
  <c r="EP9" i="13"/>
  <c r="EP19" i="13" s="1"/>
  <c r="GN25" i="13"/>
  <c r="GO4" i="13"/>
  <c r="GO5" i="13" s="1"/>
  <c r="EQ13" i="13" l="1"/>
  <c r="EQ21" i="13" s="1"/>
  <c r="EQ9" i="13"/>
  <c r="EQ19" i="13" s="1"/>
  <c r="EP15" i="13"/>
  <c r="EP22" i="13" s="1"/>
  <c r="ER11" i="13"/>
  <c r="ER20" i="13" s="1"/>
  <c r="ER3" i="13"/>
  <c r="ER23" i="13" s="1"/>
  <c r="EQ26" i="13"/>
  <c r="EQ27" i="13" s="1"/>
  <c r="EQ6" i="13"/>
  <c r="EQ18" i="13" s="1"/>
  <c r="EP24" i="13"/>
  <c r="GO25" i="13"/>
  <c r="GP4" i="13"/>
  <c r="GP5" i="13" s="1"/>
  <c r="ES11" i="13" l="1"/>
  <c r="ES20" i="13" s="1"/>
  <c r="EQ15" i="13"/>
  <c r="EQ22" i="13" s="1"/>
  <c r="ER6" i="13"/>
  <c r="ER18" i="13" s="1"/>
  <c r="EQ24" i="13"/>
  <c r="ER9" i="13"/>
  <c r="ER19" i="13" s="1"/>
  <c r="ES3" i="13"/>
  <c r="ES23" i="13" s="1"/>
  <c r="ER26" i="13"/>
  <c r="ER27" i="13" s="1"/>
  <c r="ER13" i="13"/>
  <c r="ER21" i="13" s="1"/>
  <c r="GP25" i="13"/>
  <c r="GQ4" i="13"/>
  <c r="GQ5" i="13" s="1"/>
  <c r="ES9" i="13" l="1"/>
  <c r="ES19" i="13" s="1"/>
  <c r="ER24" i="13"/>
  <c r="ES6" i="13"/>
  <c r="ES18" i="13" s="1"/>
  <c r="ER15" i="13"/>
  <c r="ER22" i="13" s="1"/>
  <c r="ES13" i="13"/>
  <c r="ES21" i="13" s="1"/>
  <c r="ES26" i="13"/>
  <c r="ES27" i="13" s="1"/>
  <c r="ET3" i="13"/>
  <c r="ET23" i="13" s="1"/>
  <c r="ET11" i="13"/>
  <c r="ET20" i="13" s="1"/>
  <c r="GQ25" i="13"/>
  <c r="GR4" i="13"/>
  <c r="GR5" i="13" s="1"/>
  <c r="ET13" i="13" l="1"/>
  <c r="ET21" i="13" s="1"/>
  <c r="ES15" i="13"/>
  <c r="ES22" i="13" s="1"/>
  <c r="EU11" i="13"/>
  <c r="EU20" i="13" s="1"/>
  <c r="ET6" i="13"/>
  <c r="ET18" i="13" s="1"/>
  <c r="ES24" i="13"/>
  <c r="EU3" i="13"/>
  <c r="EU23" i="13" s="1"/>
  <c r="ET26" i="13"/>
  <c r="ET27" i="13" s="1"/>
  <c r="ET9" i="13"/>
  <c r="ET19" i="13" s="1"/>
  <c r="GR25" i="13"/>
  <c r="GS4" i="13"/>
  <c r="GS5" i="13" s="1"/>
  <c r="EU9" i="13" l="1"/>
  <c r="EU19" i="13" s="1"/>
  <c r="ET15" i="13"/>
  <c r="ET22" i="13" s="1"/>
  <c r="EV11" i="13"/>
  <c r="EV20" i="13" s="1"/>
  <c r="EV3" i="13"/>
  <c r="EV23" i="13" s="1"/>
  <c r="EU26" i="13"/>
  <c r="EU27" i="13" s="1"/>
  <c r="EU13" i="13"/>
  <c r="EU21" i="13" s="1"/>
  <c r="ET24" i="13"/>
  <c r="EU6" i="13"/>
  <c r="EU18" i="13" s="1"/>
  <c r="GS25" i="13"/>
  <c r="GT4" i="13"/>
  <c r="GT5" i="13" s="1"/>
  <c r="EW3" i="13" l="1"/>
  <c r="EW23" i="13" s="1"/>
  <c r="EV26" i="13"/>
  <c r="EV27" i="13" s="1"/>
  <c r="EW11" i="13"/>
  <c r="EW20" i="13" s="1"/>
  <c r="EV6" i="13"/>
  <c r="EV18" i="13" s="1"/>
  <c r="EU24" i="13"/>
  <c r="EU15" i="13"/>
  <c r="EU22" i="13" s="1"/>
  <c r="EV13" i="13"/>
  <c r="EV21" i="13" s="1"/>
  <c r="EV9" i="13"/>
  <c r="EV19" i="13" s="1"/>
  <c r="GT25" i="13"/>
  <c r="GU4" i="13"/>
  <c r="GU5" i="13" s="1"/>
  <c r="EV24" i="13" l="1"/>
  <c r="EW6" i="13"/>
  <c r="EW18" i="13" s="1"/>
  <c r="EW9" i="13"/>
  <c r="EW19" i="13" s="1"/>
  <c r="EX11" i="13"/>
  <c r="EX20" i="13" s="1"/>
  <c r="EW13" i="13"/>
  <c r="EW21" i="13" s="1"/>
  <c r="EW26" i="13"/>
  <c r="EW27" i="13" s="1"/>
  <c r="EX3" i="13"/>
  <c r="EX23" i="13" s="1"/>
  <c r="EV15" i="13"/>
  <c r="EV22" i="13" s="1"/>
  <c r="GU25" i="13"/>
  <c r="GV4" i="13"/>
  <c r="GV5" i="13" s="1"/>
  <c r="EX13" i="13" l="1"/>
  <c r="EX21" i="13" s="1"/>
  <c r="EY11" i="13"/>
  <c r="EY20" i="13" s="1"/>
  <c r="EW15" i="13"/>
  <c r="EW22" i="13" s="1"/>
  <c r="EX9" i="13"/>
  <c r="EX19" i="13" s="1"/>
  <c r="EX26" i="13"/>
  <c r="EX27" i="13" s="1"/>
  <c r="EY3" i="13"/>
  <c r="EY23" i="13" s="1"/>
  <c r="EW24" i="13"/>
  <c r="EX6" i="13"/>
  <c r="EX18" i="13" s="1"/>
  <c r="GV25" i="13"/>
  <c r="GW4" i="13"/>
  <c r="GW5" i="13" s="1"/>
  <c r="EY9" i="13" l="1"/>
  <c r="EY19" i="13" s="1"/>
  <c r="EX15" i="13"/>
  <c r="EX22" i="13" s="1"/>
  <c r="EX24" i="13"/>
  <c r="EY6" i="13"/>
  <c r="EY18" i="13" s="1"/>
  <c r="EZ11" i="13"/>
  <c r="EZ20" i="13" s="1"/>
  <c r="EZ3" i="13"/>
  <c r="EZ23" i="13" s="1"/>
  <c r="EY26" i="13"/>
  <c r="EY27" i="13" s="1"/>
  <c r="EY13" i="13"/>
  <c r="EY21" i="13" s="1"/>
  <c r="GW25" i="13"/>
  <c r="GX4" i="13"/>
  <c r="GX5" i="13" s="1"/>
  <c r="FA11" i="13" l="1"/>
  <c r="FA20" i="13" s="1"/>
  <c r="EZ6" i="13"/>
  <c r="EZ18" i="13" s="1"/>
  <c r="EY24" i="13"/>
  <c r="EZ13" i="13"/>
  <c r="EZ21" i="13" s="1"/>
  <c r="EY15" i="13"/>
  <c r="EY22" i="13" s="1"/>
  <c r="EZ9" i="13"/>
  <c r="EZ19" i="13" s="1"/>
  <c r="EZ26" i="13"/>
  <c r="EZ27" i="13" s="1"/>
  <c r="FA3" i="13"/>
  <c r="FA23" i="13" s="1"/>
  <c r="GX25" i="13"/>
  <c r="GY4" i="13"/>
  <c r="GY5" i="13" s="1"/>
  <c r="EZ15" i="13" l="1"/>
  <c r="EZ22" i="13" s="1"/>
  <c r="FA13" i="13"/>
  <c r="FA21" i="13" s="1"/>
  <c r="FB3" i="13"/>
  <c r="FB23" i="13" s="1"/>
  <c r="FA26" i="13"/>
  <c r="FA27" i="13" s="1"/>
  <c r="EZ24" i="13"/>
  <c r="FA6" i="13"/>
  <c r="FA18" i="13" s="1"/>
  <c r="FA9" i="13"/>
  <c r="FA19" i="13" s="1"/>
  <c r="FB11" i="13"/>
  <c r="FB20" i="13" s="1"/>
  <c r="GY25" i="13"/>
  <c r="GZ4" i="13"/>
  <c r="GZ5" i="13" s="1"/>
  <c r="FC3" i="13" l="1"/>
  <c r="FC23" i="13" s="1"/>
  <c r="FB26" i="13"/>
  <c r="FB27" i="13" s="1"/>
  <c r="FC11" i="13"/>
  <c r="FC20" i="13" s="1"/>
  <c r="FB13" i="13"/>
  <c r="FB21" i="13" s="1"/>
  <c r="FB9" i="13"/>
  <c r="FB19" i="13" s="1"/>
  <c r="FA15" i="13"/>
  <c r="FA22" i="13" s="1"/>
  <c r="FA24" i="13"/>
  <c r="FB6" i="13"/>
  <c r="FB18" i="13" s="1"/>
  <c r="GZ25" i="13"/>
  <c r="HA4" i="13"/>
  <c r="HA5" i="13" s="1"/>
  <c r="FC13" i="13" l="1"/>
  <c r="FC21" i="13" s="1"/>
  <c r="FB24" i="13"/>
  <c r="FC6" i="13"/>
  <c r="FC18" i="13" s="1"/>
  <c r="FD11" i="13"/>
  <c r="FD20" i="13" s="1"/>
  <c r="FB15" i="13"/>
  <c r="FB22" i="13" s="1"/>
  <c r="FC26" i="13"/>
  <c r="FC27" i="13" s="1"/>
  <c r="FD3" i="13"/>
  <c r="FD23" i="13" s="1"/>
  <c r="FC9" i="13"/>
  <c r="FC19" i="13" s="1"/>
  <c r="HA25" i="13"/>
  <c r="HB4" i="13"/>
  <c r="HB5" i="13" s="1"/>
  <c r="FC15" i="13" l="1"/>
  <c r="FC22" i="13" s="1"/>
  <c r="FD9" i="13"/>
  <c r="FD19" i="13" s="1"/>
  <c r="FE11" i="13"/>
  <c r="FE20" i="13" s="1"/>
  <c r="FD6" i="13"/>
  <c r="FD18" i="13" s="1"/>
  <c r="FC24" i="13"/>
  <c r="FD13" i="13"/>
  <c r="FD21" i="13" s="1"/>
  <c r="FE3" i="13"/>
  <c r="FE23" i="13" s="1"/>
  <c r="FD26" i="13"/>
  <c r="FD27" i="13" s="1"/>
  <c r="HC4" i="13"/>
  <c r="HC5" i="13" s="1"/>
  <c r="HB25" i="13"/>
  <c r="FE6" i="13" l="1"/>
  <c r="FE18" i="13" s="1"/>
  <c r="FD24" i="13"/>
  <c r="FF11" i="13"/>
  <c r="FF20" i="13" s="1"/>
  <c r="FE26" i="13"/>
  <c r="FE27" i="13" s="1"/>
  <c r="FF3" i="13"/>
  <c r="FF23" i="13" s="1"/>
  <c r="FE9" i="13"/>
  <c r="FE19" i="13" s="1"/>
  <c r="FE13" i="13"/>
  <c r="FE21" i="13" s="1"/>
  <c r="FD15" i="13"/>
  <c r="FD22" i="13" s="1"/>
  <c r="HD4" i="13"/>
  <c r="HD5" i="13" s="1"/>
  <c r="HC25" i="13"/>
  <c r="FF26" i="13" l="1"/>
  <c r="FF27" i="13" s="1"/>
  <c r="FG3" i="13"/>
  <c r="FG23" i="13" s="1"/>
  <c r="FE15" i="13"/>
  <c r="FE22" i="13" s="1"/>
  <c r="FG11" i="13"/>
  <c r="FG20" i="13" s="1"/>
  <c r="FF13" i="13"/>
  <c r="FF21" i="13" s="1"/>
  <c r="FF9" i="13"/>
  <c r="FF19" i="13" s="1"/>
  <c r="FF6" i="13"/>
  <c r="FF18" i="13" s="1"/>
  <c r="FE24" i="13"/>
  <c r="HD25" i="13"/>
  <c r="HE4" i="13"/>
  <c r="HE5" i="13" s="1"/>
  <c r="FF15" i="13" l="1"/>
  <c r="FF22" i="13" s="1"/>
  <c r="FG6" i="13"/>
  <c r="FG18" i="13" s="1"/>
  <c r="FF24" i="13"/>
  <c r="FG9" i="13"/>
  <c r="FG19" i="13" s="1"/>
  <c r="FG26" i="13"/>
  <c r="FG27" i="13" s="1"/>
  <c r="FH3" i="13"/>
  <c r="FH23" i="13" s="1"/>
  <c r="FH11" i="13"/>
  <c r="FH20" i="13" s="1"/>
  <c r="FG13" i="13"/>
  <c r="FG21" i="13" s="1"/>
  <c r="HE25" i="13"/>
  <c r="HF4" i="13"/>
  <c r="HF5" i="13" s="1"/>
  <c r="FH9" i="13" l="1"/>
  <c r="FH19" i="13" s="1"/>
  <c r="FH13" i="13"/>
  <c r="FH21" i="13" s="1"/>
  <c r="FG24" i="13"/>
  <c r="FH6" i="13"/>
  <c r="FH18" i="13" s="1"/>
  <c r="FG15" i="13"/>
  <c r="FG22" i="13" s="1"/>
  <c r="FI11" i="13"/>
  <c r="FI20" i="13" s="1"/>
  <c r="FH26" i="13"/>
  <c r="FH27" i="13" s="1"/>
  <c r="FI3" i="13"/>
  <c r="FI23" i="13" s="1"/>
  <c r="HF25" i="13"/>
  <c r="HG4" i="13"/>
  <c r="HG5" i="13" s="1"/>
  <c r="FH15" i="13" l="1"/>
  <c r="FH22" i="13" s="1"/>
  <c r="FI6" i="13"/>
  <c r="FI18" i="13" s="1"/>
  <c r="FH24" i="13"/>
  <c r="FJ3" i="13"/>
  <c r="FJ23" i="13" s="1"/>
  <c r="FI26" i="13"/>
  <c r="FI27" i="13" s="1"/>
  <c r="FI13" i="13"/>
  <c r="FI21" i="13" s="1"/>
  <c r="FJ11" i="13"/>
  <c r="FJ20" i="13" s="1"/>
  <c r="FI9" i="13"/>
  <c r="FI19" i="13" s="1"/>
  <c r="HG25" i="13"/>
  <c r="HH4" i="13"/>
  <c r="HH5" i="13" s="1"/>
  <c r="FK3" i="13" l="1"/>
  <c r="FK23" i="13" s="1"/>
  <c r="FJ26" i="13"/>
  <c r="FJ27" i="13" s="1"/>
  <c r="FJ9" i="13"/>
  <c r="FJ19" i="13" s="1"/>
  <c r="FI24" i="13"/>
  <c r="FJ6" i="13"/>
  <c r="FJ18" i="13" s="1"/>
  <c r="FK11" i="13"/>
  <c r="FK20" i="13" s="1"/>
  <c r="FI15" i="13"/>
  <c r="FI22" i="13" s="1"/>
  <c r="FJ13" i="13"/>
  <c r="FJ21" i="13" s="1"/>
  <c r="HH25" i="13"/>
  <c r="HI4" i="13"/>
  <c r="HI5" i="13" s="1"/>
  <c r="FJ24" i="13" l="1"/>
  <c r="FK6" i="13"/>
  <c r="FK18" i="13" s="1"/>
  <c r="FK13" i="13"/>
  <c r="FK21" i="13" s="1"/>
  <c r="FK9" i="13"/>
  <c r="FK19" i="13" s="1"/>
  <c r="FJ15" i="13"/>
  <c r="FJ22" i="13" s="1"/>
  <c r="FL11" i="13"/>
  <c r="FL20" i="13" s="1"/>
  <c r="FL3" i="13"/>
  <c r="FL23" i="13" s="1"/>
  <c r="FK26" i="13"/>
  <c r="FK27" i="13" s="1"/>
  <c r="HI25" i="13"/>
  <c r="HJ4" i="13"/>
  <c r="HJ5" i="13" s="1"/>
  <c r="FK15" i="13" l="1"/>
  <c r="FK22" i="13" s="1"/>
  <c r="FL9" i="13"/>
  <c r="FL19" i="13" s="1"/>
  <c r="FM3" i="13"/>
  <c r="FM23" i="13" s="1"/>
  <c r="FL26" i="13"/>
  <c r="FL27" i="13" s="1"/>
  <c r="FL13" i="13"/>
  <c r="FL21" i="13" s="1"/>
  <c r="FM11" i="13"/>
  <c r="FM20" i="13" s="1"/>
  <c r="FK24" i="13"/>
  <c r="FL6" i="13"/>
  <c r="FL18" i="13" s="1"/>
  <c r="HJ25" i="13"/>
  <c r="HK4" i="13"/>
  <c r="HK5" i="13" s="1"/>
  <c r="FM26" i="13" l="1"/>
  <c r="FM27" i="13" s="1"/>
  <c r="FN3" i="13"/>
  <c r="FN23" i="13" s="1"/>
  <c r="FL24" i="13"/>
  <c r="FM6" i="13"/>
  <c r="FM18" i="13" s="1"/>
  <c r="FM9" i="13"/>
  <c r="FM19" i="13" s="1"/>
  <c r="FN11" i="13"/>
  <c r="FN20" i="13" s="1"/>
  <c r="FL15" i="13"/>
  <c r="FL22" i="13" s="1"/>
  <c r="FM13" i="13"/>
  <c r="FM21" i="13" s="1"/>
  <c r="HK25" i="13"/>
  <c r="HL4" i="13"/>
  <c r="HL5" i="13" s="1"/>
  <c r="FN9" i="13" l="1"/>
  <c r="FN19" i="13" s="1"/>
  <c r="FN13" i="13"/>
  <c r="FN21" i="13" s="1"/>
  <c r="FN6" i="13"/>
  <c r="FN18" i="13" s="1"/>
  <c r="FM24" i="13"/>
  <c r="FO3" i="13"/>
  <c r="FO23" i="13" s="1"/>
  <c r="FN26" i="13"/>
  <c r="FN27" i="13" s="1"/>
  <c r="FM15" i="13"/>
  <c r="FM22" i="13" s="1"/>
  <c r="FO11" i="13"/>
  <c r="FO20" i="13" s="1"/>
  <c r="HL25" i="13"/>
  <c r="HM4" i="13"/>
  <c r="HM5" i="13" s="1"/>
  <c r="FP3" i="13" l="1"/>
  <c r="FP23" i="13" s="1"/>
  <c r="FO26" i="13"/>
  <c r="FO27" i="13" s="1"/>
  <c r="FP11" i="13"/>
  <c r="FP20" i="13" s="1"/>
  <c r="FO6" i="13"/>
  <c r="FO18" i="13" s="1"/>
  <c r="FN24" i="13"/>
  <c r="FO13" i="13"/>
  <c r="FO21" i="13" s="1"/>
  <c r="FN15" i="13"/>
  <c r="FN22" i="13" s="1"/>
  <c r="FO9" i="13"/>
  <c r="FO19" i="13" s="1"/>
  <c r="HM25" i="13"/>
  <c r="HN4" i="13"/>
  <c r="HN5" i="13" s="1"/>
  <c r="FP6" i="13" l="1"/>
  <c r="FP18" i="13" s="1"/>
  <c r="FO24" i="13"/>
  <c r="FP9" i="13"/>
  <c r="FP19" i="13" s="1"/>
  <c r="FQ11" i="13"/>
  <c r="FQ20" i="13" s="1"/>
  <c r="FO15" i="13"/>
  <c r="FO22" i="13" s="1"/>
  <c r="FQ3" i="13"/>
  <c r="FQ23" i="13" s="1"/>
  <c r="FP26" i="13"/>
  <c r="FP27" i="13" s="1"/>
  <c r="FP13" i="13"/>
  <c r="FP21" i="13" s="1"/>
  <c r="HN25" i="13"/>
  <c r="HO4" i="13"/>
  <c r="HO5" i="13" s="1"/>
  <c r="FP15" i="13" l="1"/>
  <c r="FP22" i="13" s="1"/>
  <c r="FR11" i="13"/>
  <c r="FR20" i="13" s="1"/>
  <c r="FQ13" i="13"/>
  <c r="FQ21" i="13" s="1"/>
  <c r="FQ9" i="13"/>
  <c r="FQ19" i="13" s="1"/>
  <c r="FR3" i="13"/>
  <c r="FR23" i="13" s="1"/>
  <c r="FQ26" i="13"/>
  <c r="FQ27" i="13" s="1"/>
  <c r="FQ6" i="13"/>
  <c r="FQ18" i="13" s="1"/>
  <c r="FP24" i="13"/>
  <c r="HO25" i="13"/>
  <c r="HP4" i="13"/>
  <c r="HP5" i="13" s="1"/>
  <c r="FR9" i="13" l="1"/>
  <c r="FR19" i="13" s="1"/>
  <c r="FR13" i="13"/>
  <c r="FR21" i="13" s="1"/>
  <c r="FS11" i="13"/>
  <c r="FS20" i="13" s="1"/>
  <c r="FR26" i="13"/>
  <c r="FR27" i="13" s="1"/>
  <c r="FS3" i="13"/>
  <c r="FS23" i="13" s="1"/>
  <c r="FQ15" i="13"/>
  <c r="FQ22" i="13" s="1"/>
  <c r="FQ24" i="13"/>
  <c r="FR6" i="13"/>
  <c r="FR18" i="13" s="1"/>
  <c r="HP25" i="13"/>
  <c r="HQ4" i="13"/>
  <c r="HQ5" i="13" s="1"/>
  <c r="FT11" i="13" l="1"/>
  <c r="FT20" i="13" s="1"/>
  <c r="FS6" i="13"/>
  <c r="FS18" i="13" s="1"/>
  <c r="FR24" i="13"/>
  <c r="FS13" i="13"/>
  <c r="FS21" i="13" s="1"/>
  <c r="FR15" i="13"/>
  <c r="FR22" i="13" s="1"/>
  <c r="FS9" i="13"/>
  <c r="FS19" i="13" s="1"/>
  <c r="FT3" i="13"/>
  <c r="FT23" i="13" s="1"/>
  <c r="FS26" i="13"/>
  <c r="FS27" i="13" s="1"/>
  <c r="HQ25" i="13"/>
  <c r="HR4" i="13"/>
  <c r="HR5" i="13" s="1"/>
  <c r="FS15" i="13" l="1"/>
  <c r="FS22" i="13" s="1"/>
  <c r="FT13" i="13"/>
  <c r="FT21" i="13" s="1"/>
  <c r="FU3" i="13"/>
  <c r="FU23" i="13" s="1"/>
  <c r="FT26" i="13"/>
  <c r="FT27" i="13" s="1"/>
  <c r="FT6" i="13"/>
  <c r="FT18" i="13" s="1"/>
  <c r="FS24" i="13"/>
  <c r="FU11" i="13"/>
  <c r="FU20" i="13" s="1"/>
  <c r="FT9" i="13"/>
  <c r="FT19" i="13" s="1"/>
  <c r="HR25" i="13"/>
  <c r="HS4" i="13"/>
  <c r="HS5" i="13" s="1"/>
  <c r="FU6" i="13" l="1"/>
  <c r="FU18" i="13" s="1"/>
  <c r="FT24" i="13"/>
  <c r="FU9" i="13"/>
  <c r="FU19" i="13" s="1"/>
  <c r="FV3" i="13"/>
  <c r="FV23" i="13" s="1"/>
  <c r="FU26" i="13"/>
  <c r="FU27" i="13" s="1"/>
  <c r="FU13" i="13"/>
  <c r="FU21" i="13" s="1"/>
  <c r="FV11" i="13"/>
  <c r="FV20" i="13" s="1"/>
  <c r="FT15" i="13"/>
  <c r="FT22" i="13" s="1"/>
  <c r="HS25" i="13"/>
  <c r="HT4" i="13"/>
  <c r="HT5" i="13" s="1"/>
  <c r="FW3" i="13" l="1"/>
  <c r="FW23" i="13" s="1"/>
  <c r="FV26" i="13"/>
  <c r="FV27" i="13" s="1"/>
  <c r="FU15" i="13"/>
  <c r="FU22" i="13" s="1"/>
  <c r="FV9" i="13"/>
  <c r="FV19" i="13" s="1"/>
  <c r="FW11" i="13"/>
  <c r="FW20" i="13" s="1"/>
  <c r="FV13" i="13"/>
  <c r="FV21" i="13" s="1"/>
  <c r="FU24" i="13"/>
  <c r="FV6" i="13"/>
  <c r="FV18" i="13" s="1"/>
  <c r="HT25" i="13"/>
  <c r="HU4" i="13"/>
  <c r="HU5" i="13" s="1"/>
  <c r="FW9" i="13" l="1"/>
  <c r="FW19" i="13" s="1"/>
  <c r="FV24" i="13"/>
  <c r="FW6" i="13"/>
  <c r="FW18" i="13" s="1"/>
  <c r="FV15" i="13"/>
  <c r="FV22" i="13" s="1"/>
  <c r="FW13" i="13"/>
  <c r="FW21" i="13" s="1"/>
  <c r="FX3" i="13"/>
  <c r="FX23" i="13" s="1"/>
  <c r="FW26" i="13"/>
  <c r="FW27" i="13" s="1"/>
  <c r="FX11" i="13"/>
  <c r="FX20" i="13" s="1"/>
  <c r="HU25" i="13"/>
  <c r="HV4" i="13"/>
  <c r="HV5" i="13" s="1"/>
  <c r="FX13" i="13" l="1"/>
  <c r="FX21" i="13" s="1"/>
  <c r="FW15" i="13"/>
  <c r="FW22" i="13" s="1"/>
  <c r="FY11" i="13"/>
  <c r="FY20" i="13" s="1"/>
  <c r="FX6" i="13"/>
  <c r="FX18" i="13" s="1"/>
  <c r="FW24" i="13"/>
  <c r="FX26" i="13"/>
  <c r="FX27" i="13" s="1"/>
  <c r="FY3" i="13"/>
  <c r="FY23" i="13" s="1"/>
  <c r="FX9" i="13"/>
  <c r="FX19" i="13" s="1"/>
  <c r="HV25" i="13"/>
  <c r="HW4" i="13"/>
  <c r="HW5" i="13" s="1"/>
  <c r="FY6" i="13" l="1"/>
  <c r="FY18" i="13" s="1"/>
  <c r="FX24" i="13"/>
  <c r="FZ11" i="13"/>
  <c r="FZ20" i="13" s="1"/>
  <c r="FY9" i="13"/>
  <c r="FY19" i="13" s="1"/>
  <c r="FX15" i="13"/>
  <c r="FX22" i="13" s="1"/>
  <c r="FZ3" i="13"/>
  <c r="FZ23" i="13" s="1"/>
  <c r="FY26" i="13"/>
  <c r="FY27" i="13" s="1"/>
  <c r="FY13" i="13"/>
  <c r="FY21" i="13" s="1"/>
  <c r="HW25" i="13"/>
  <c r="HX4" i="13"/>
  <c r="HX5" i="13" s="1"/>
  <c r="FY15" i="13" l="1"/>
  <c r="FY22" i="13" s="1"/>
  <c r="FZ9" i="13"/>
  <c r="FZ19" i="13" s="1"/>
  <c r="FZ13" i="13"/>
  <c r="FZ21" i="13" s="1"/>
  <c r="GA11" i="13"/>
  <c r="GA20" i="13" s="1"/>
  <c r="GA3" i="13"/>
  <c r="GA23" i="13" s="1"/>
  <c r="FZ26" i="13"/>
  <c r="FZ27" i="13" s="1"/>
  <c r="FZ6" i="13"/>
  <c r="FZ18" i="13" s="1"/>
  <c r="FY24" i="13"/>
  <c r="HX25" i="13"/>
  <c r="HY4" i="13"/>
  <c r="HY5" i="13" s="1"/>
  <c r="GB11" i="13" l="1"/>
  <c r="GB20" i="13" s="1"/>
  <c r="GA13" i="13"/>
  <c r="GA21" i="13" s="1"/>
  <c r="GA9" i="13"/>
  <c r="GA19" i="13" s="1"/>
  <c r="GB3" i="13"/>
  <c r="GB23" i="13" s="1"/>
  <c r="GA26" i="13"/>
  <c r="GA27" i="13" s="1"/>
  <c r="FZ15" i="13"/>
  <c r="FZ22" i="13" s="1"/>
  <c r="GA6" i="13"/>
  <c r="GA18" i="13" s="1"/>
  <c r="FZ24" i="13"/>
  <c r="HY25" i="13"/>
  <c r="HZ4" i="13"/>
  <c r="HZ5" i="13" s="1"/>
  <c r="GC3" i="13" l="1"/>
  <c r="GC23" i="13" s="1"/>
  <c r="GB26" i="13"/>
  <c r="GB27" i="13" s="1"/>
  <c r="GB9" i="13"/>
  <c r="GB19" i="13" s="1"/>
  <c r="GB13" i="13"/>
  <c r="GB21" i="13" s="1"/>
  <c r="GA24" i="13"/>
  <c r="GB6" i="13"/>
  <c r="GB18" i="13" s="1"/>
  <c r="GA15" i="13"/>
  <c r="GA22" i="13" s="1"/>
  <c r="GC11" i="13"/>
  <c r="GC20" i="13" s="1"/>
  <c r="HZ25" i="13"/>
  <c r="IA4" i="13"/>
  <c r="IA5" i="13" s="1"/>
  <c r="GC13" i="13" l="1"/>
  <c r="GC21" i="13" s="1"/>
  <c r="GD11" i="13"/>
  <c r="GD20" i="13" s="1"/>
  <c r="GC9" i="13"/>
  <c r="GC19" i="13" s="1"/>
  <c r="GB15" i="13"/>
  <c r="GB22" i="13" s="1"/>
  <c r="GD3" i="13"/>
  <c r="GD23" i="13" s="1"/>
  <c r="GC26" i="13"/>
  <c r="GC27" i="13" s="1"/>
  <c r="GB24" i="13"/>
  <c r="GC6" i="13"/>
  <c r="GC18" i="13" s="1"/>
  <c r="IA25" i="13"/>
  <c r="IB4" i="13"/>
  <c r="IB5" i="13" s="1"/>
  <c r="GC15" i="13" l="1"/>
  <c r="GC22" i="13" s="1"/>
  <c r="GD9" i="13"/>
  <c r="GD19" i="13" s="1"/>
  <c r="GD6" i="13"/>
  <c r="GD18" i="13" s="1"/>
  <c r="GC24" i="13"/>
  <c r="GE11" i="13"/>
  <c r="GE20" i="13" s="1"/>
  <c r="GD13" i="13"/>
  <c r="GD21" i="13" s="1"/>
  <c r="GE3" i="13"/>
  <c r="GE23" i="13" s="1"/>
  <c r="GD26" i="13"/>
  <c r="GD27" i="13" s="1"/>
  <c r="IB25" i="13"/>
  <c r="IC4" i="13"/>
  <c r="IC5" i="13" s="1"/>
  <c r="GF11" i="13" l="1"/>
  <c r="GF20" i="13" s="1"/>
  <c r="GE6" i="13"/>
  <c r="GE18" i="13" s="1"/>
  <c r="GD24" i="13"/>
  <c r="GE9" i="13"/>
  <c r="GE19" i="13" s="1"/>
  <c r="GF3" i="13"/>
  <c r="GF23" i="13" s="1"/>
  <c r="GE26" i="13"/>
  <c r="GE27" i="13" s="1"/>
  <c r="GE13" i="13"/>
  <c r="GE21" i="13" s="1"/>
  <c r="GD15" i="13"/>
  <c r="GD22" i="13" s="1"/>
  <c r="IC25" i="13"/>
  <c r="ID4" i="13"/>
  <c r="ID5" i="13" s="1"/>
  <c r="GG3" i="13" l="1"/>
  <c r="GG23" i="13" s="1"/>
  <c r="GF26" i="13"/>
  <c r="GF27" i="13" s="1"/>
  <c r="GF9" i="13"/>
  <c r="GF19" i="13" s="1"/>
  <c r="GE15" i="13"/>
  <c r="GE22" i="13" s="1"/>
  <c r="GF13" i="13"/>
  <c r="GF21" i="13" s="1"/>
  <c r="GF6" i="13"/>
  <c r="GF18" i="13" s="1"/>
  <c r="GE24" i="13"/>
  <c r="GG11" i="13"/>
  <c r="GG20" i="13" s="1"/>
  <c r="ID25" i="13"/>
  <c r="IE4" i="13"/>
  <c r="IE5" i="13" s="1"/>
  <c r="GF15" i="13" l="1"/>
  <c r="GF22" i="13" s="1"/>
  <c r="GH11" i="13"/>
  <c r="GH20" i="13" s="1"/>
  <c r="GG9" i="13"/>
  <c r="GG19" i="13" s="1"/>
  <c r="GG6" i="13"/>
  <c r="GG18" i="13" s="1"/>
  <c r="GF24" i="13"/>
  <c r="GH3" i="13"/>
  <c r="GH23" i="13" s="1"/>
  <c r="GG26" i="13"/>
  <c r="GG27" i="13" s="1"/>
  <c r="GG13" i="13"/>
  <c r="GG21" i="13" s="1"/>
  <c r="IE25" i="13"/>
  <c r="IF4" i="13"/>
  <c r="IF5" i="13" s="1"/>
  <c r="GG24" i="13" l="1"/>
  <c r="GH6" i="13"/>
  <c r="GH18" i="13" s="1"/>
  <c r="GH9" i="13"/>
  <c r="GH19" i="13" s="1"/>
  <c r="GH13" i="13"/>
  <c r="GH21" i="13" s="1"/>
  <c r="GI11" i="13"/>
  <c r="GI20" i="13" s="1"/>
  <c r="GI3" i="13"/>
  <c r="GI23" i="13" s="1"/>
  <c r="GH26" i="13"/>
  <c r="GH27" i="13" s="1"/>
  <c r="GG15" i="13"/>
  <c r="GG22" i="13" s="1"/>
  <c r="IF25" i="13"/>
  <c r="IG4" i="13"/>
  <c r="IG5" i="13" s="1"/>
  <c r="GJ11" i="13" l="1"/>
  <c r="GJ20" i="13" s="1"/>
  <c r="GI13" i="13"/>
  <c r="GI21" i="13" s="1"/>
  <c r="GH15" i="13"/>
  <c r="GH22" i="13" s="1"/>
  <c r="GI9" i="13"/>
  <c r="GI19" i="13" s="1"/>
  <c r="GJ3" i="13"/>
  <c r="GJ23" i="13" s="1"/>
  <c r="GI26" i="13"/>
  <c r="GI27" i="13" s="1"/>
  <c r="GH24" i="13"/>
  <c r="GI6" i="13"/>
  <c r="GI18" i="13" s="1"/>
  <c r="IG25" i="13"/>
  <c r="IH4" i="13"/>
  <c r="IH5" i="13" s="1"/>
  <c r="GJ9" i="13" l="1"/>
  <c r="GJ19" i="13" s="1"/>
  <c r="GI15" i="13"/>
  <c r="GI22" i="13" s="1"/>
  <c r="GJ6" i="13"/>
  <c r="GJ18" i="13" s="1"/>
  <c r="GI24" i="13"/>
  <c r="GJ13" i="13"/>
  <c r="GJ21" i="13" s="1"/>
  <c r="GK3" i="13"/>
  <c r="GK23" i="13" s="1"/>
  <c r="GJ26" i="13"/>
  <c r="GJ27" i="13" s="1"/>
  <c r="GK11" i="13"/>
  <c r="GK20" i="13" s="1"/>
  <c r="IH25" i="13"/>
  <c r="II4" i="13"/>
  <c r="II5" i="13" s="1"/>
  <c r="GK13" i="13" l="1"/>
  <c r="GK21" i="13" s="1"/>
  <c r="GL11" i="13"/>
  <c r="GL20" i="13" s="1"/>
  <c r="GJ24" i="13"/>
  <c r="GK6" i="13"/>
  <c r="GK18" i="13" s="1"/>
  <c r="GJ15" i="13"/>
  <c r="GJ22" i="13" s="1"/>
  <c r="GK26" i="13"/>
  <c r="GK27" i="13" s="1"/>
  <c r="GL3" i="13"/>
  <c r="GL23" i="13" s="1"/>
  <c r="GK9" i="13"/>
  <c r="GK19" i="13" s="1"/>
  <c r="II25" i="13"/>
  <c r="IJ4" i="13"/>
  <c r="IJ5" i="13" s="1"/>
  <c r="GK15" i="13" l="1"/>
  <c r="GK22" i="13" s="1"/>
  <c r="GL6" i="13"/>
  <c r="GL18" i="13" s="1"/>
  <c r="GK24" i="13"/>
  <c r="GL9" i="13"/>
  <c r="GL19" i="13" s="1"/>
  <c r="GM11" i="13"/>
  <c r="GM20" i="13" s="1"/>
  <c r="GL26" i="13"/>
  <c r="GL27" i="13" s="1"/>
  <c r="GM3" i="13"/>
  <c r="GM23" i="13" s="1"/>
  <c r="GL13" i="13"/>
  <c r="GL21" i="13" s="1"/>
  <c r="IJ25" i="13"/>
  <c r="IK4" i="13"/>
  <c r="IK5" i="13" s="1"/>
  <c r="GN11" i="13" l="1"/>
  <c r="GN20" i="13" s="1"/>
  <c r="GM9" i="13"/>
  <c r="GM19" i="13" s="1"/>
  <c r="GM13" i="13"/>
  <c r="GM21" i="13" s="1"/>
  <c r="GM6" i="13"/>
  <c r="GM18" i="13" s="1"/>
  <c r="GL24" i="13"/>
  <c r="GN3" i="13"/>
  <c r="GN23" i="13" s="1"/>
  <c r="GM26" i="13"/>
  <c r="GM27" i="13" s="1"/>
  <c r="GL15" i="13"/>
  <c r="GL22" i="13" s="1"/>
  <c r="IK25" i="13"/>
  <c r="IL4" i="13"/>
  <c r="IL5" i="13" s="1"/>
  <c r="GM24" i="13" l="1"/>
  <c r="GN6" i="13"/>
  <c r="GN18" i="13" s="1"/>
  <c r="GN13" i="13"/>
  <c r="GN21" i="13" s="1"/>
  <c r="GM15" i="13"/>
  <c r="GM22" i="13" s="1"/>
  <c r="GN9" i="13"/>
  <c r="GN19" i="13" s="1"/>
  <c r="GO11" i="13"/>
  <c r="GO20" i="13" s="1"/>
  <c r="GN26" i="13"/>
  <c r="GN27" i="13" s="1"/>
  <c r="GO3" i="13"/>
  <c r="GO23" i="13" s="1"/>
  <c r="IL25" i="13"/>
  <c r="IM4" i="13"/>
  <c r="IM5" i="13" s="1"/>
  <c r="GO9" i="13" l="1"/>
  <c r="GO19" i="13" s="1"/>
  <c r="GN15" i="13"/>
  <c r="GN22" i="13" s="1"/>
  <c r="GP3" i="13"/>
  <c r="GP23" i="13" s="1"/>
  <c r="GO26" i="13"/>
  <c r="GO27" i="13" s="1"/>
  <c r="GO13" i="13"/>
  <c r="GO21" i="13" s="1"/>
  <c r="GP11" i="13"/>
  <c r="GP20" i="13" s="1"/>
  <c r="GN24" i="13"/>
  <c r="GO6" i="13"/>
  <c r="GO18" i="13" s="1"/>
  <c r="IM25" i="13"/>
  <c r="IN4" i="13"/>
  <c r="IN5" i="13" l="1"/>
  <c r="C27" i="13" s="1"/>
  <c r="GQ3" i="13"/>
  <c r="GQ23" i="13" s="1"/>
  <c r="GP26" i="13"/>
  <c r="GP27" i="13" s="1"/>
  <c r="GO24" i="13"/>
  <c r="GP6" i="13"/>
  <c r="GP18" i="13" s="1"/>
  <c r="GO15" i="13"/>
  <c r="GO22" i="13" s="1"/>
  <c r="GQ11" i="13"/>
  <c r="GQ20" i="13" s="1"/>
  <c r="GP9" i="13"/>
  <c r="GP19" i="13" s="1"/>
  <c r="GP13" i="13"/>
  <c r="GP21" i="13" s="1"/>
  <c r="IN25" i="13" l="1"/>
  <c r="GP15" i="13"/>
  <c r="GP22" i="13" s="1"/>
  <c r="GQ13" i="13"/>
  <c r="GQ21" i="13" s="1"/>
  <c r="GQ6" i="13"/>
  <c r="GQ18" i="13" s="1"/>
  <c r="GP24" i="13"/>
  <c r="GQ9" i="13"/>
  <c r="GQ19" i="13" s="1"/>
  <c r="GR3" i="13"/>
  <c r="GR23" i="13" s="1"/>
  <c r="GQ26" i="13"/>
  <c r="GQ27" i="13" s="1"/>
  <c r="GR11" i="13"/>
  <c r="GR20" i="13" s="1"/>
  <c r="GR9" i="13" l="1"/>
  <c r="GR19" i="13" s="1"/>
  <c r="GS11" i="13"/>
  <c r="GS20" i="13" s="1"/>
  <c r="GQ24" i="13"/>
  <c r="GR6" i="13"/>
  <c r="GR18" i="13" s="1"/>
  <c r="GR13" i="13"/>
  <c r="GR21" i="13" s="1"/>
  <c r="GQ15" i="13"/>
  <c r="GQ22" i="13" s="1"/>
  <c r="GR26" i="13"/>
  <c r="GR27" i="13" s="1"/>
  <c r="GS3" i="13"/>
  <c r="GS23" i="13" s="1"/>
  <c r="GS13" i="13" l="1"/>
  <c r="GS21" i="13" s="1"/>
  <c r="GT3" i="13"/>
  <c r="GT23" i="13" s="1"/>
  <c r="GS26" i="13"/>
  <c r="GS27" i="13" s="1"/>
  <c r="GT11" i="13"/>
  <c r="GT20" i="13" s="1"/>
  <c r="GR24" i="13"/>
  <c r="GS6" i="13"/>
  <c r="GS18" i="13" s="1"/>
  <c r="GR15" i="13"/>
  <c r="GR22" i="13" s="1"/>
  <c r="GS9" i="13"/>
  <c r="GS19" i="13" s="1"/>
  <c r="GU11" i="13" l="1"/>
  <c r="GU20" i="13" s="1"/>
  <c r="GT26" i="13"/>
  <c r="GT27" i="13" s="1"/>
  <c r="GU3" i="13"/>
  <c r="GU23" i="13" s="1"/>
  <c r="GT9" i="13"/>
  <c r="GT19" i="13" s="1"/>
  <c r="GS15" i="13"/>
  <c r="GS22" i="13" s="1"/>
  <c r="GT13" i="13"/>
  <c r="GT21" i="13" s="1"/>
  <c r="GS24" i="13"/>
  <c r="GT6" i="13"/>
  <c r="GT18" i="13" s="1"/>
  <c r="GT24" i="13" l="1"/>
  <c r="GU6" i="13"/>
  <c r="GU18" i="13" s="1"/>
  <c r="GV3" i="13"/>
  <c r="GV23" i="13" s="1"/>
  <c r="GU26" i="13"/>
  <c r="GU27" i="13" s="1"/>
  <c r="GV11" i="13"/>
  <c r="GV20" i="13" s="1"/>
  <c r="GU9" i="13"/>
  <c r="GU19" i="13" s="1"/>
  <c r="GU13" i="13"/>
  <c r="GU21" i="13" s="1"/>
  <c r="GT15" i="13"/>
  <c r="GT22" i="13" s="1"/>
  <c r="GW11" i="13" l="1"/>
  <c r="GW20" i="13" s="1"/>
  <c r="GW3" i="13"/>
  <c r="GW23" i="13" s="1"/>
  <c r="GV26" i="13"/>
  <c r="GV27" i="13" s="1"/>
  <c r="GV13" i="13"/>
  <c r="GV21" i="13" s="1"/>
  <c r="GV6" i="13"/>
  <c r="GV18" i="13" s="1"/>
  <c r="GU24" i="13"/>
  <c r="GU15" i="13"/>
  <c r="GU22" i="13" s="1"/>
  <c r="GV9" i="13"/>
  <c r="GV19" i="13" s="1"/>
  <c r="GV24" i="13" l="1"/>
  <c r="GW6" i="13"/>
  <c r="GW18" i="13" s="1"/>
  <c r="GW13" i="13"/>
  <c r="GW21" i="13" s="1"/>
  <c r="GW9" i="13"/>
  <c r="GW19" i="13" s="1"/>
  <c r="GX3" i="13"/>
  <c r="GX23" i="13" s="1"/>
  <c r="GW26" i="13"/>
  <c r="GW27" i="13" s="1"/>
  <c r="GV15" i="13"/>
  <c r="GV22" i="13" s="1"/>
  <c r="GX11" i="13"/>
  <c r="GX20" i="13" s="1"/>
  <c r="GX26" i="13" l="1"/>
  <c r="GX27" i="13" s="1"/>
  <c r="GY3" i="13"/>
  <c r="GY23" i="13" s="1"/>
  <c r="GX9" i="13"/>
  <c r="GX19" i="13" s="1"/>
  <c r="GY11" i="13"/>
  <c r="GY20" i="13" s="1"/>
  <c r="GX13" i="13"/>
  <c r="GX21" i="13" s="1"/>
  <c r="GW15" i="13"/>
  <c r="GW22" i="13" s="1"/>
  <c r="GX6" i="13"/>
  <c r="GX18" i="13" s="1"/>
  <c r="GW24" i="13"/>
  <c r="GY9" i="13" l="1"/>
  <c r="GY19" i="13" s="1"/>
  <c r="GZ11" i="13"/>
  <c r="GZ20" i="13" s="1"/>
  <c r="GX24" i="13"/>
  <c r="GY6" i="13"/>
  <c r="GY18" i="13" s="1"/>
  <c r="GZ3" i="13"/>
  <c r="GZ23" i="13" s="1"/>
  <c r="GY26" i="13"/>
  <c r="GY27" i="13" s="1"/>
  <c r="GX15" i="13"/>
  <c r="GX22" i="13" s="1"/>
  <c r="GY13" i="13"/>
  <c r="GY21" i="13" s="1"/>
  <c r="GZ13" i="13" l="1"/>
  <c r="GZ21" i="13" s="1"/>
  <c r="HA3" i="13"/>
  <c r="HA23" i="13" s="1"/>
  <c r="GZ26" i="13"/>
  <c r="GZ27" i="13" s="1"/>
  <c r="GY24" i="13"/>
  <c r="GZ6" i="13"/>
  <c r="GZ18" i="13" s="1"/>
  <c r="HA11" i="13"/>
  <c r="HA20" i="13" s="1"/>
  <c r="GY15" i="13"/>
  <c r="GY22" i="13" s="1"/>
  <c r="GZ9" i="13"/>
  <c r="GZ19" i="13" s="1"/>
  <c r="GZ24" i="13" l="1"/>
  <c r="HA6" i="13"/>
  <c r="HA18" i="13" s="1"/>
  <c r="HB3" i="13"/>
  <c r="HB23" i="13" s="1"/>
  <c r="HA26" i="13"/>
  <c r="HA27" i="13" s="1"/>
  <c r="GZ15" i="13"/>
  <c r="GZ22" i="13" s="1"/>
  <c r="HA13" i="13"/>
  <c r="HA21" i="13" s="1"/>
  <c r="HA9" i="13"/>
  <c r="HA19" i="13" s="1"/>
  <c r="HB11" i="13"/>
  <c r="HB20" i="13" s="1"/>
  <c r="HA15" i="13" l="1"/>
  <c r="HA22" i="13" s="1"/>
  <c r="HC11" i="13"/>
  <c r="HC20" i="13" s="1"/>
  <c r="HC3" i="13"/>
  <c r="HC23" i="13" s="1"/>
  <c r="HB26" i="13"/>
  <c r="HB27" i="13" s="1"/>
  <c r="HB9" i="13"/>
  <c r="HB19" i="13" s="1"/>
  <c r="HB6" i="13"/>
  <c r="HB18" i="13" s="1"/>
  <c r="HA24" i="13"/>
  <c r="HB13" i="13"/>
  <c r="HB21" i="13" s="1"/>
  <c r="HC13" i="13" l="1"/>
  <c r="HC21" i="13" s="1"/>
  <c r="HD11" i="13"/>
  <c r="HD20" i="13" s="1"/>
  <c r="HD3" i="13"/>
  <c r="HD23" i="13" s="1"/>
  <c r="HC26" i="13"/>
  <c r="HC27" i="13" s="1"/>
  <c r="HB24" i="13"/>
  <c r="HC6" i="13"/>
  <c r="HC18" i="13" s="1"/>
  <c r="HB15" i="13"/>
  <c r="HB22" i="13" s="1"/>
  <c r="HC9" i="13"/>
  <c r="HC19" i="13" s="1"/>
  <c r="HE11" i="13" l="1"/>
  <c r="HE20" i="13" s="1"/>
  <c r="HE3" i="13"/>
  <c r="HE23" i="13" s="1"/>
  <c r="HD26" i="13"/>
  <c r="HD27" i="13" s="1"/>
  <c r="HD9" i="13"/>
  <c r="HD19" i="13" s="1"/>
  <c r="HC15" i="13"/>
  <c r="HC22" i="13" s="1"/>
  <c r="HD13" i="13"/>
  <c r="HD21" i="13" s="1"/>
  <c r="HD6" i="13"/>
  <c r="HD18" i="13" s="1"/>
  <c r="HC24" i="13"/>
  <c r="HE9" i="13" l="1"/>
  <c r="HE19" i="13" s="1"/>
  <c r="HF3" i="13"/>
  <c r="HF23" i="13" s="1"/>
  <c r="HE26" i="13"/>
  <c r="HE27" i="13" s="1"/>
  <c r="HE13" i="13"/>
  <c r="HE21" i="13" s="1"/>
  <c r="HF11" i="13"/>
  <c r="HF20" i="13" s="1"/>
  <c r="HD24" i="13"/>
  <c r="HE6" i="13"/>
  <c r="HE18" i="13" s="1"/>
  <c r="HD15" i="13"/>
  <c r="HD22" i="13" s="1"/>
  <c r="HE15" i="13" l="1"/>
  <c r="HE22" i="13" s="1"/>
  <c r="HG3" i="13"/>
  <c r="HG23" i="13" s="1"/>
  <c r="HF26" i="13"/>
  <c r="HF27" i="13" s="1"/>
  <c r="HE24" i="13"/>
  <c r="HF6" i="13"/>
  <c r="HF18" i="13" s="1"/>
  <c r="HF9" i="13"/>
  <c r="HF19" i="13" s="1"/>
  <c r="HF13" i="13"/>
  <c r="HF21" i="13" s="1"/>
  <c r="HG11" i="13"/>
  <c r="HG20" i="13" s="1"/>
  <c r="HF24" i="13" l="1"/>
  <c r="HG6" i="13"/>
  <c r="HG18" i="13" s="1"/>
  <c r="HH3" i="13"/>
  <c r="HH23" i="13" s="1"/>
  <c r="HG26" i="13"/>
  <c r="HG27" i="13" s="1"/>
  <c r="HG13" i="13"/>
  <c r="HG21" i="13" s="1"/>
  <c r="HF15" i="13"/>
  <c r="HF22" i="13" s="1"/>
  <c r="HH11" i="13"/>
  <c r="HH20" i="13" s="1"/>
  <c r="HG9" i="13"/>
  <c r="HG19" i="13" s="1"/>
  <c r="HH13" i="13" l="1"/>
  <c r="HH21" i="13" s="1"/>
  <c r="HH9" i="13"/>
  <c r="HH19" i="13" s="1"/>
  <c r="HI3" i="13"/>
  <c r="HI23" i="13" s="1"/>
  <c r="HH26" i="13"/>
  <c r="HH27" i="13" s="1"/>
  <c r="HI11" i="13"/>
  <c r="HI20" i="13" s="1"/>
  <c r="HG24" i="13"/>
  <c r="HH6" i="13"/>
  <c r="HH18" i="13" s="1"/>
  <c r="HG15" i="13"/>
  <c r="HG22" i="13" s="1"/>
  <c r="HI26" i="13" l="1"/>
  <c r="HI27" i="13" s="1"/>
  <c r="HJ3" i="13"/>
  <c r="HJ23" i="13" s="1"/>
  <c r="HI9" i="13"/>
  <c r="HI19" i="13" s="1"/>
  <c r="HH15" i="13"/>
  <c r="HH22" i="13" s="1"/>
  <c r="HI13" i="13"/>
  <c r="HI21" i="13" s="1"/>
  <c r="HI6" i="13"/>
  <c r="HI18" i="13" s="1"/>
  <c r="HH24" i="13"/>
  <c r="HJ11" i="13"/>
  <c r="HJ20" i="13" s="1"/>
  <c r="HJ9" i="13" l="1"/>
  <c r="HJ19" i="13" s="1"/>
  <c r="HK11" i="13"/>
  <c r="HK20" i="13" s="1"/>
  <c r="HI15" i="13"/>
  <c r="HI22" i="13" s="1"/>
  <c r="HK3" i="13"/>
  <c r="HK23" i="13" s="1"/>
  <c r="HJ26" i="13"/>
  <c r="HJ27" i="13" s="1"/>
  <c r="HI24" i="13"/>
  <c r="HJ6" i="13"/>
  <c r="HJ18" i="13" s="1"/>
  <c r="HJ13" i="13"/>
  <c r="HJ21" i="13" s="1"/>
  <c r="HK26" i="13" l="1"/>
  <c r="HK27" i="13" s="1"/>
  <c r="HL3" i="13"/>
  <c r="HL23" i="13" s="1"/>
  <c r="HK13" i="13"/>
  <c r="HK21" i="13" s="1"/>
  <c r="HJ15" i="13"/>
  <c r="HJ22" i="13" s="1"/>
  <c r="HL11" i="13"/>
  <c r="HL20" i="13" s="1"/>
  <c r="HK6" i="13"/>
  <c r="HK18" i="13" s="1"/>
  <c r="HJ24" i="13"/>
  <c r="HK9" i="13"/>
  <c r="HK19" i="13" s="1"/>
  <c r="HK15" i="13" l="1"/>
  <c r="HK22" i="13" s="1"/>
  <c r="HL13" i="13"/>
  <c r="HL21" i="13" s="1"/>
  <c r="HL9" i="13"/>
  <c r="HL19" i="13" s="1"/>
  <c r="HM3" i="13"/>
  <c r="HM23" i="13" s="1"/>
  <c r="HL26" i="13"/>
  <c r="HL27" i="13" s="1"/>
  <c r="HL6" i="13"/>
  <c r="HL18" i="13" s="1"/>
  <c r="HK24" i="13"/>
  <c r="HM11" i="13"/>
  <c r="HM20" i="13" s="1"/>
  <c r="HM9" i="13" l="1"/>
  <c r="HM19" i="13" s="1"/>
  <c r="HM13" i="13"/>
  <c r="HM21" i="13" s="1"/>
  <c r="HM26" i="13"/>
  <c r="HM27" i="13" s="1"/>
  <c r="HN3" i="13"/>
  <c r="HN23" i="13" s="1"/>
  <c r="HL15" i="13"/>
  <c r="HL22" i="13" s="1"/>
  <c r="HN11" i="13"/>
  <c r="HN20" i="13" s="1"/>
  <c r="HM6" i="13"/>
  <c r="HM18" i="13" s="1"/>
  <c r="HL24" i="13"/>
  <c r="HN26" i="13" l="1"/>
  <c r="HN27" i="13" s="1"/>
  <c r="HO3" i="13"/>
  <c r="HO23" i="13" s="1"/>
  <c r="HN13" i="13"/>
  <c r="HN21" i="13" s="1"/>
  <c r="HO11" i="13"/>
  <c r="HO20" i="13" s="1"/>
  <c r="HM24" i="13"/>
  <c r="HN6" i="13"/>
  <c r="HN18" i="13" s="1"/>
  <c r="HN9" i="13"/>
  <c r="HN19" i="13" s="1"/>
  <c r="HM15" i="13"/>
  <c r="HM22" i="13" s="1"/>
  <c r="HP11" i="13" l="1"/>
  <c r="HP20" i="13" s="1"/>
  <c r="HO13" i="13"/>
  <c r="HO21" i="13" s="1"/>
  <c r="HO9" i="13"/>
  <c r="HO19" i="13" s="1"/>
  <c r="HP3" i="13"/>
  <c r="HP23" i="13" s="1"/>
  <c r="HO26" i="13"/>
  <c r="HO27" i="13" s="1"/>
  <c r="HN15" i="13"/>
  <c r="HN22" i="13" s="1"/>
  <c r="HO6" i="13"/>
  <c r="HO18" i="13" s="1"/>
  <c r="HN24" i="13"/>
  <c r="HQ3" i="13" l="1"/>
  <c r="HQ23" i="13" s="1"/>
  <c r="HP26" i="13"/>
  <c r="HP27" i="13" s="1"/>
  <c r="HP9" i="13"/>
  <c r="HP19" i="13" s="1"/>
  <c r="HP13" i="13"/>
  <c r="HP21" i="13" s="1"/>
  <c r="HP6" i="13"/>
  <c r="HP18" i="13" s="1"/>
  <c r="HO24" i="13"/>
  <c r="HQ11" i="13"/>
  <c r="HQ20" i="13" s="1"/>
  <c r="HO15" i="13"/>
  <c r="HO22" i="13" s="1"/>
  <c r="HQ13" i="13" l="1"/>
  <c r="HQ21" i="13" s="1"/>
  <c r="HQ9" i="13"/>
  <c r="HQ19" i="13" s="1"/>
  <c r="HP24" i="13"/>
  <c r="HQ6" i="13"/>
  <c r="HQ18" i="13" s="1"/>
  <c r="HR11" i="13"/>
  <c r="HR20" i="13" s="1"/>
  <c r="HP15" i="13"/>
  <c r="HP22" i="13" s="1"/>
  <c r="HQ26" i="13"/>
  <c r="HQ27" i="13" s="1"/>
  <c r="HR3" i="13"/>
  <c r="HR23" i="13" s="1"/>
  <c r="HS11" i="13" l="1"/>
  <c r="HS20" i="13" s="1"/>
  <c r="HR6" i="13"/>
  <c r="HR18" i="13" s="1"/>
  <c r="HQ24" i="13"/>
  <c r="HR9" i="13"/>
  <c r="HR19" i="13" s="1"/>
  <c r="HS3" i="13"/>
  <c r="HS23" i="13" s="1"/>
  <c r="HR26" i="13"/>
  <c r="HR27" i="13" s="1"/>
  <c r="HR13" i="13"/>
  <c r="HR21" i="13" s="1"/>
  <c r="HQ15" i="13"/>
  <c r="HQ22" i="13" s="1"/>
  <c r="HT3" i="13" l="1"/>
  <c r="HT23" i="13" s="1"/>
  <c r="HS26" i="13"/>
  <c r="HS27" i="13" s="1"/>
  <c r="HR15" i="13"/>
  <c r="HR22" i="13" s="1"/>
  <c r="HR24" i="13"/>
  <c r="HS6" i="13"/>
  <c r="HS18" i="13" s="1"/>
  <c r="HS9" i="13"/>
  <c r="HS19" i="13" s="1"/>
  <c r="HS13" i="13"/>
  <c r="HS21" i="13" s="1"/>
  <c r="HT11" i="13"/>
  <c r="HT20" i="13" s="1"/>
  <c r="HU11" i="13" l="1"/>
  <c r="HU20" i="13" s="1"/>
  <c r="HS15" i="13"/>
  <c r="HS22" i="13" s="1"/>
  <c r="HT6" i="13"/>
  <c r="HT18" i="13" s="1"/>
  <c r="HS24" i="13"/>
  <c r="HT13" i="13"/>
  <c r="HT21" i="13" s="1"/>
  <c r="HT26" i="13"/>
  <c r="HT27" i="13" s="1"/>
  <c r="HU3" i="13"/>
  <c r="HU23" i="13" s="1"/>
  <c r="HT9" i="13"/>
  <c r="HT19" i="13" s="1"/>
  <c r="HT24" i="13" l="1"/>
  <c r="HU6" i="13"/>
  <c r="HU18" i="13" s="1"/>
  <c r="HT15" i="13"/>
  <c r="HT22" i="13" s="1"/>
  <c r="HU13" i="13"/>
  <c r="HU21" i="13" s="1"/>
  <c r="HV3" i="13"/>
  <c r="HV23" i="13" s="1"/>
  <c r="HU26" i="13"/>
  <c r="HU27" i="13" s="1"/>
  <c r="HV11" i="13"/>
  <c r="HV20" i="13" s="1"/>
  <c r="HU9" i="13"/>
  <c r="HU19" i="13" s="1"/>
  <c r="HU15" i="13" l="1"/>
  <c r="HU22" i="13" s="1"/>
  <c r="HW3" i="13"/>
  <c r="HW23" i="13" s="1"/>
  <c r="HV26" i="13"/>
  <c r="HV27" i="13" s="1"/>
  <c r="HW11" i="13"/>
  <c r="HW20" i="13" s="1"/>
  <c r="HV9" i="13"/>
  <c r="HV19" i="13" s="1"/>
  <c r="HU24" i="13"/>
  <c r="HV6" i="13"/>
  <c r="HV18" i="13" s="1"/>
  <c r="HV13" i="13"/>
  <c r="HV21" i="13" s="1"/>
  <c r="HX11" i="13" l="1"/>
  <c r="HX20" i="13" s="1"/>
  <c r="HW13" i="13"/>
  <c r="HW21" i="13" s="1"/>
  <c r="HX3" i="13"/>
  <c r="HX23" i="13" s="1"/>
  <c r="HW26" i="13"/>
  <c r="HW27" i="13" s="1"/>
  <c r="HW6" i="13"/>
  <c r="HW18" i="13" s="1"/>
  <c r="HV24" i="13"/>
  <c r="HV15" i="13"/>
  <c r="HV22" i="13" s="1"/>
  <c r="HW9" i="13"/>
  <c r="HW19" i="13" s="1"/>
  <c r="HX13" i="13" l="1"/>
  <c r="HX21" i="13" s="1"/>
  <c r="HY3" i="13"/>
  <c r="HY23" i="13" s="1"/>
  <c r="HX26" i="13"/>
  <c r="HX27" i="13" s="1"/>
  <c r="HW15" i="13"/>
  <c r="HW22" i="13" s="1"/>
  <c r="HX6" i="13"/>
  <c r="HX18" i="13" s="1"/>
  <c r="HW24" i="13"/>
  <c r="HY11" i="13"/>
  <c r="HY20" i="13" s="1"/>
  <c r="HX9" i="13"/>
  <c r="HX19" i="13" s="1"/>
  <c r="HX24" i="13" l="1"/>
  <c r="HY6" i="13"/>
  <c r="HY18" i="13" s="1"/>
  <c r="HZ11" i="13"/>
  <c r="HZ20" i="13" s="1"/>
  <c r="HZ3" i="13"/>
  <c r="HZ23" i="13" s="1"/>
  <c r="HY26" i="13"/>
  <c r="HY27" i="13" s="1"/>
  <c r="HX15" i="13"/>
  <c r="HX22" i="13" s="1"/>
  <c r="HY13" i="13"/>
  <c r="HY21" i="13" s="1"/>
  <c r="HY9" i="13"/>
  <c r="HY19" i="13" s="1"/>
  <c r="IA3" i="13" l="1"/>
  <c r="IA23" i="13" s="1"/>
  <c r="HZ26" i="13"/>
  <c r="HZ27" i="13" s="1"/>
  <c r="HZ9" i="13"/>
  <c r="HZ19" i="13" s="1"/>
  <c r="IA11" i="13"/>
  <c r="IA20" i="13" s="1"/>
  <c r="HZ13" i="13"/>
  <c r="HZ21" i="13" s="1"/>
  <c r="HZ6" i="13"/>
  <c r="HZ18" i="13" s="1"/>
  <c r="HY24" i="13"/>
  <c r="HY15" i="13"/>
  <c r="HY22" i="13" s="1"/>
  <c r="IA9" i="13" l="1"/>
  <c r="IA19" i="13" s="1"/>
  <c r="HZ15" i="13"/>
  <c r="HZ22" i="13" s="1"/>
  <c r="IA6" i="13"/>
  <c r="IA18" i="13" s="1"/>
  <c r="HZ24" i="13"/>
  <c r="IA26" i="13"/>
  <c r="IA27" i="13" s="1"/>
  <c r="IB3" i="13"/>
  <c r="IB23" i="13" s="1"/>
  <c r="IB11" i="13"/>
  <c r="IB20" i="13" s="1"/>
  <c r="IA13" i="13"/>
  <c r="IA21" i="13" s="1"/>
  <c r="IB6" i="13" l="1"/>
  <c r="IB18" i="13" s="1"/>
  <c r="IA24" i="13"/>
  <c r="IA15" i="13"/>
  <c r="IA22" i="13" s="1"/>
  <c r="IB13" i="13"/>
  <c r="IB21" i="13" s="1"/>
  <c r="IB9" i="13"/>
  <c r="IB19" i="13" s="1"/>
  <c r="IC11" i="13"/>
  <c r="IC20" i="13" s="1"/>
  <c r="IC3" i="13"/>
  <c r="IC23" i="13" s="1"/>
  <c r="IB26" i="13"/>
  <c r="IB27" i="13" s="1"/>
  <c r="IB15" i="13" l="1"/>
  <c r="IB22" i="13" s="1"/>
  <c r="IC9" i="13"/>
  <c r="IC19" i="13" s="1"/>
  <c r="ID3" i="13"/>
  <c r="ID23" i="13" s="1"/>
  <c r="IC26" i="13"/>
  <c r="IC27" i="13" s="1"/>
  <c r="IC13" i="13"/>
  <c r="IC21" i="13" s="1"/>
  <c r="ID11" i="13"/>
  <c r="ID20" i="13" s="1"/>
  <c r="IC6" i="13"/>
  <c r="IC18" i="13" s="1"/>
  <c r="IB24" i="13"/>
  <c r="ID26" i="13" l="1"/>
  <c r="ID27" i="13" s="1"/>
  <c r="IE3" i="13"/>
  <c r="IE23" i="13" s="1"/>
  <c r="ID9" i="13"/>
  <c r="ID19" i="13" s="1"/>
  <c r="IE11" i="13"/>
  <c r="IE20" i="13" s="1"/>
  <c r="IC15" i="13"/>
  <c r="IC22" i="13" s="1"/>
  <c r="IC24" i="13"/>
  <c r="ID6" i="13"/>
  <c r="ID18" i="13" s="1"/>
  <c r="ID13" i="13"/>
  <c r="ID21" i="13" s="1"/>
  <c r="IE9" i="13" l="1"/>
  <c r="IE19" i="13" s="1"/>
  <c r="IE13" i="13"/>
  <c r="IE21" i="13" s="1"/>
  <c r="IF3" i="13"/>
  <c r="IF23" i="13" s="1"/>
  <c r="IE26" i="13"/>
  <c r="IE27" i="13" s="1"/>
  <c r="IF11" i="13"/>
  <c r="IF20" i="13" s="1"/>
  <c r="IE6" i="13"/>
  <c r="IE18" i="13" s="1"/>
  <c r="ID24" i="13"/>
  <c r="ID15" i="13"/>
  <c r="ID22" i="13" s="1"/>
  <c r="IF26" i="13" l="1"/>
  <c r="IF27" i="13" s="1"/>
  <c r="IG3" i="13"/>
  <c r="IG23" i="13" s="1"/>
  <c r="IE15" i="13"/>
  <c r="IE22" i="13" s="1"/>
  <c r="IF13" i="13"/>
  <c r="IF21" i="13" s="1"/>
  <c r="IE24" i="13"/>
  <c r="IF6" i="13"/>
  <c r="IF18" i="13" s="1"/>
  <c r="IF9" i="13"/>
  <c r="IF19" i="13" s="1"/>
  <c r="IG11" i="13"/>
  <c r="IG20" i="13" s="1"/>
  <c r="IF15" i="13" l="1"/>
  <c r="IF22" i="13" s="1"/>
  <c r="IH11" i="13"/>
  <c r="IH20" i="13" s="1"/>
  <c r="IH3" i="13"/>
  <c r="IH23" i="13" s="1"/>
  <c r="IG26" i="13"/>
  <c r="IG27" i="13" s="1"/>
  <c r="IG9" i="13"/>
  <c r="IG19" i="13" s="1"/>
  <c r="IG13" i="13"/>
  <c r="IG21" i="13" s="1"/>
  <c r="IF24" i="13"/>
  <c r="IG6" i="13"/>
  <c r="IG18" i="13" s="1"/>
  <c r="II3" i="13" l="1"/>
  <c r="II23" i="13" s="1"/>
  <c r="IH26" i="13"/>
  <c r="IH27" i="13" s="1"/>
  <c r="II11" i="13"/>
  <c r="II20" i="13" s="1"/>
  <c r="IH6" i="13"/>
  <c r="IH18" i="13" s="1"/>
  <c r="IG24" i="13"/>
  <c r="IG15" i="13"/>
  <c r="IG22" i="13" s="1"/>
  <c r="IH13" i="13"/>
  <c r="IH21" i="13" s="1"/>
  <c r="IH9" i="13"/>
  <c r="IH19" i="13" s="1"/>
  <c r="IJ11" i="13" l="1"/>
  <c r="IJ20" i="13" s="1"/>
  <c r="IH24" i="13"/>
  <c r="II6" i="13"/>
  <c r="II18" i="13" s="1"/>
  <c r="II13" i="13"/>
  <c r="II21" i="13" s="1"/>
  <c r="IJ3" i="13"/>
  <c r="IJ23" i="13" s="1"/>
  <c r="II26" i="13"/>
  <c r="II27" i="13" s="1"/>
  <c r="II9" i="13"/>
  <c r="II19" i="13" s="1"/>
  <c r="IH15" i="13"/>
  <c r="IH22" i="13" s="1"/>
  <c r="IJ26" i="13" l="1"/>
  <c r="IJ27" i="13" s="1"/>
  <c r="IK3" i="13"/>
  <c r="IK23" i="13" s="1"/>
  <c r="IJ13" i="13"/>
  <c r="IJ21" i="13" s="1"/>
  <c r="II15" i="13"/>
  <c r="II22" i="13" s="1"/>
  <c r="II24" i="13"/>
  <c r="IJ6" i="13"/>
  <c r="IJ18" i="13" s="1"/>
  <c r="IJ9" i="13"/>
  <c r="IJ19" i="13" s="1"/>
  <c r="IK11" i="13"/>
  <c r="IK20" i="13" s="1"/>
  <c r="IJ15" i="13" l="1"/>
  <c r="IJ22" i="13" s="1"/>
  <c r="IK13" i="13"/>
  <c r="IK21" i="13" s="1"/>
  <c r="IL11" i="13"/>
  <c r="IL20" i="13" s="1"/>
  <c r="IK9" i="13"/>
  <c r="IK19" i="13" s="1"/>
  <c r="IL3" i="13"/>
  <c r="IL23" i="13" s="1"/>
  <c r="IK26" i="13"/>
  <c r="IK27" i="13" s="1"/>
  <c r="IJ24" i="13"/>
  <c r="IK6" i="13"/>
  <c r="IK18" i="13" s="1"/>
  <c r="IM11" i="13" l="1"/>
  <c r="IM20" i="13" s="1"/>
  <c r="IL13" i="13"/>
  <c r="IL21" i="13" s="1"/>
  <c r="IK15" i="13"/>
  <c r="IK22" i="13" s="1"/>
  <c r="IL9" i="13"/>
  <c r="IL19" i="13" s="1"/>
  <c r="IK24" i="13"/>
  <c r="IL6" i="13"/>
  <c r="IL18" i="13" s="1"/>
  <c r="IM3" i="13"/>
  <c r="IM23" i="13" s="1"/>
  <c r="IL26" i="13"/>
  <c r="IL27" i="13" s="1"/>
  <c r="IM9" i="13" l="1"/>
  <c r="IM19" i="13" s="1"/>
  <c r="IM13" i="13"/>
  <c r="IM21" i="13" s="1"/>
  <c r="IL24" i="13"/>
  <c r="IM6" i="13"/>
  <c r="IM18" i="13" s="1"/>
  <c r="IN11" i="13"/>
  <c r="IN20" i="13" s="1"/>
  <c r="IL15" i="13"/>
  <c r="IL22" i="13" s="1"/>
  <c r="IN3" i="13"/>
  <c r="C30" i="13" s="1"/>
  <c r="IM26" i="13"/>
  <c r="IM27" i="13" s="1"/>
  <c r="IN23" i="13" l="1"/>
  <c r="IN13" i="13"/>
  <c r="IN21" i="13" s="1"/>
  <c r="IM24" i="13"/>
  <c r="IN6" i="13"/>
  <c r="IN18" i="13" s="1"/>
  <c r="IN26" i="13"/>
  <c r="IN27" i="13" s="1"/>
  <c r="IM15" i="13"/>
  <c r="IM22" i="13" s="1"/>
  <c r="IN9" i="13"/>
  <c r="IN19" i="13" s="1"/>
  <c r="IN24" i="13" l="1"/>
  <c r="D31" i="13" s="1"/>
  <c r="C40" i="15" s="1"/>
  <c r="C42" i="15" s="1"/>
  <c r="IN15" i="13"/>
  <c r="IN22" i="13" s="1"/>
  <c r="D30" i="13" l="1"/>
  <c r="B4" i="20" l="1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D52" i="20"/>
  <c r="E52" i="20" s="1"/>
  <c r="K52" i="20"/>
  <c r="K7" i="20"/>
  <c r="D7" i="20"/>
  <c r="E7" i="20" s="1"/>
  <c r="K57" i="20"/>
  <c r="D57" i="20"/>
  <c r="E57" i="20" s="1"/>
  <c r="D24" i="20"/>
  <c r="E24" i="20" s="1"/>
  <c r="K24" i="20"/>
  <c r="D41" i="20"/>
  <c r="E41" i="20" s="1"/>
  <c r="K41" i="20"/>
  <c r="D47" i="20"/>
  <c r="E47" i="20" s="1"/>
  <c r="K47" i="20"/>
  <c r="K33" i="20"/>
  <c r="D33" i="20"/>
  <c r="E33" i="20" s="1"/>
  <c r="D29" i="20"/>
  <c r="E29" i="20" s="1"/>
  <c r="K29" i="20"/>
  <c r="D38" i="20"/>
  <c r="E38" i="20" s="1"/>
  <c r="K38" i="20"/>
  <c r="D59" i="20"/>
  <c r="K42" i="20"/>
  <c r="D42" i="20"/>
  <c r="E42" i="20" s="1"/>
  <c r="D8" i="20"/>
  <c r="E8" i="20" s="1"/>
  <c r="K8" i="20"/>
  <c r="D5" i="20"/>
  <c r="E5" i="20" s="1"/>
  <c r="K5" i="20"/>
  <c r="D46" i="20"/>
  <c r="E46" i="20" s="1"/>
  <c r="K46" i="20"/>
  <c r="D15" i="20"/>
  <c r="E15" i="20" s="1"/>
  <c r="K15" i="20"/>
  <c r="K19" i="20"/>
  <c r="D19" i="20"/>
  <c r="E19" i="20" s="1"/>
  <c r="D45" i="20"/>
  <c r="E45" i="20" s="1"/>
  <c r="K45" i="20"/>
  <c r="D48" i="20"/>
  <c r="E48" i="20" s="1"/>
  <c r="K48" i="20"/>
  <c r="D55" i="20"/>
  <c r="E55" i="20" s="1"/>
  <c r="K55" i="20"/>
  <c r="K6" i="20"/>
  <c r="D6" i="20"/>
  <c r="E6" i="20" s="1"/>
  <c r="D12" i="20"/>
  <c r="E12" i="20" s="1"/>
  <c r="K12" i="20"/>
  <c r="D56" i="20"/>
  <c r="E56" i="20" s="1"/>
  <c r="K56" i="20"/>
  <c r="D9" i="20"/>
  <c r="E9" i="20" s="1"/>
  <c r="K9" i="20"/>
  <c r="K30" i="20"/>
  <c r="D30" i="20"/>
  <c r="E30" i="20" s="1"/>
  <c r="D37" i="20"/>
  <c r="E37" i="20" s="1"/>
  <c r="K37" i="20"/>
  <c r="K54" i="20"/>
  <c r="D54" i="20"/>
  <c r="E54" i="20" s="1"/>
  <c r="K21" i="20"/>
  <c r="D21" i="20"/>
  <c r="E21" i="20" s="1"/>
  <c r="D44" i="20"/>
  <c r="E44" i="20" s="1"/>
  <c r="K44" i="20"/>
  <c r="K26" i="20"/>
  <c r="D26" i="20"/>
  <c r="E26" i="20" s="1"/>
  <c r="K58" i="20"/>
  <c r="D58" i="20"/>
  <c r="E58" i="20" s="1"/>
  <c r="D23" i="20"/>
  <c r="E23" i="20" s="1"/>
  <c r="K23" i="20"/>
  <c r="D22" i="20"/>
  <c r="E22" i="20" s="1"/>
  <c r="K22" i="20"/>
  <c r="K28" i="20"/>
  <c r="D28" i="20"/>
  <c r="E28" i="20" s="1"/>
  <c r="D25" i="20"/>
  <c r="E25" i="20" s="1"/>
  <c r="K25" i="20"/>
  <c r="H7" i="20" l="1"/>
  <c r="H8" i="20"/>
  <c r="H25" i="20"/>
  <c r="H56" i="20"/>
  <c r="H28" i="20"/>
  <c r="H38" i="20"/>
  <c r="H41" i="20"/>
  <c r="H52" i="20"/>
  <c r="H22" i="20"/>
  <c r="H33" i="20"/>
  <c r="H57" i="20"/>
  <c r="H15" i="20"/>
  <c r="H9" i="20"/>
  <c r="H55" i="20"/>
  <c r="H23" i="20"/>
  <c r="H48" i="20"/>
  <c r="H44" i="20"/>
  <c r="H46" i="20"/>
  <c r="H37" i="20"/>
  <c r="H12" i="20"/>
  <c r="H45" i="20"/>
  <c r="H21" i="20"/>
  <c r="H42" i="20"/>
  <c r="H58" i="20"/>
  <c r="H54" i="20"/>
  <c r="H47" i="20"/>
  <c r="H26" i="20"/>
  <c r="H5" i="20"/>
  <c r="H30" i="20"/>
  <c r="H6" i="20"/>
  <c r="H19" i="20"/>
  <c r="H29" i="20"/>
  <c r="H24" i="20"/>
  <c r="E59" i="20"/>
  <c r="H59" i="20" s="1"/>
</calcChain>
</file>

<file path=xl/sharedStrings.xml><?xml version="1.0" encoding="utf-8"?>
<sst xmlns="http://schemas.openxmlformats.org/spreadsheetml/2006/main" count="3523" uniqueCount="551">
  <si>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</si>
  <si>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</si>
  <si>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</si>
  <si>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</si>
  <si>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</si>
  <si>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</si>
  <si>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</si>
  <si>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</si>
  <si>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</si>
  <si>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</si>
  <si>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</si>
  <si>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</si>
  <si>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</si>
  <si>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</si>
  <si>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</si>
  <si>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</si>
  <si>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</si>
  <si>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</si>
  <si>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</si>
  <si>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</si>
  <si>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</si>
  <si>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</si>
  <si>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</si>
  <si>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</si>
  <si>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</si>
  <si>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</si>
  <si>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</si>
  <si>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</si>
  <si>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</si>
  <si>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</si>
  <si>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</si>
  <si>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</si>
  <si>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</si>
  <si>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</si>
  <si>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</si>
  <si>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</si>
  <si>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</si>
  <si>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</si>
  <si>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</si>
  <si>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</si>
  <si>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</si>
  <si>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</si>
  <si>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</si>
  <si>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</si>
  <si>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</si>
  <si>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</si>
  <si>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</si>
  <si>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</si>
  <si>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</si>
  <si>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</si>
  <si>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</si>
  <si>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</si>
  <si>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</si>
  <si>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</si>
  <si>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</si>
  <si>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</si>
  <si>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</si>
  <si>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</si>
  <si>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</si>
  <si>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</si>
  <si>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</si>
  <si>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</si>
  <si>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</si>
  <si>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</si>
  <si>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</si>
  <si>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</si>
  <si>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</si>
  <si>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</si>
  <si>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</si>
  <si>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</si>
  <si>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</si>
  <si>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</si>
  <si>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</si>
  <si>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</si>
  <si>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</si>
  <si>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</si>
  <si>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</si>
  <si>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</si>
  <si>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</si>
  <si>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</si>
  <si>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</si>
  <si>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</si>
  <si>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</si>
  <si>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</si>
  <si>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</si>
  <si>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</si>
  <si>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</si>
  <si>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</si>
  <si>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</si>
  <si>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</si>
  <si>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</si>
  <si>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</si>
  <si>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</si>
  <si>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</si>
  <si>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</si>
  <si>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</si>
  <si>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</si>
  <si>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</si>
  <si>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</si>
  <si>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</si>
  <si>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</si>
  <si>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</si>
  <si>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</si>
  <si>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</si>
  <si>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</si>
  <si>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</si>
  <si>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</si>
  <si>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</si>
  <si>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</si>
  <si>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</si>
  <si>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</si>
  <si>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</si>
  <si>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</si>
  <si>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</si>
  <si>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</si>
  <si>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</si>
  <si>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</si>
  <si>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</si>
  <si>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</si>
  <si>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</si>
  <si>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</si>
  <si>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</si>
  <si>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</si>
  <si>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</si>
  <si>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</si>
  <si>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</si>
  <si>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</si>
  <si>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</si>
  <si>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</si>
  <si>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</si>
  <si>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</si>
  <si>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</si>
  <si>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</si>
  <si>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</si>
  <si>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</si>
  <si>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</si>
  <si>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</si>
  <si>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</si>
  <si>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</si>
  <si>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</si>
  <si>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</si>
  <si>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</si>
  <si>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</si>
  <si>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</si>
  <si>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</si>
  <si>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</si>
  <si>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</si>
  <si>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</si>
  <si>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</si>
  <si>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</si>
  <si>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</si>
  <si>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</si>
  <si>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</si>
  <si>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</si>
  <si>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</si>
  <si>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</si>
  <si>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</si>
  <si>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</si>
  <si>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</si>
  <si>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</si>
  <si>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</si>
  <si>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</si>
  <si>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</si>
  <si>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</si>
  <si>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</si>
  <si>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</si>
  <si>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</si>
  <si>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</si>
  <si>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</si>
  <si>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</si>
  <si>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</si>
  <si>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</si>
  <si>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</si>
  <si>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</si>
  <si>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</si>
  <si>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</si>
  <si>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</si>
  <si>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</si>
  <si>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</si>
  <si>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</si>
  <si>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</si>
  <si>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</si>
  <si>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</si>
  <si>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</si>
  <si>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</si>
  <si>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</si>
  <si>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</si>
  <si>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</si>
  <si>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</si>
  <si>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</si>
  <si>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</si>
  <si>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</si>
  <si>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</si>
  <si>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</si>
  <si>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</si>
  <si>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</si>
  <si>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</si>
  <si>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</si>
  <si>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</si>
  <si>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</si>
  <si>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</si>
  <si>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</si>
  <si>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</si>
  <si>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</si>
  <si>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</si>
  <si>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</si>
  <si>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</si>
  <si>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</si>
  <si>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</si>
  <si>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</si>
  <si>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</si>
  <si>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</si>
  <si>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</si>
  <si>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</si>
  <si>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</si>
  <si>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</si>
  <si>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</si>
  <si>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</si>
  <si>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</si>
  <si>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</si>
  <si>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</si>
  <si>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</si>
  <si>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</si>
  <si>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</si>
  <si>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</si>
  <si>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</si>
  <si>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</si>
  <si>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</si>
  <si>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</si>
  <si>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</si>
  <si>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</si>
  <si>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</si>
  <si>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</si>
  <si>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</si>
  <si>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</si>
  <si>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</si>
  <si>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</si>
  <si>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</si>
  <si>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</si>
  <si>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</si>
  <si>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</si>
  <si>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</si>
  <si>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</si>
  <si>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</si>
  <si>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</si>
  <si>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</si>
  <si>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</si>
  <si>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</si>
  <si>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</si>
  <si>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</si>
  <si>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</si>
  <si>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</si>
  <si>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</si>
  <si>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</si>
  <si>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</si>
  <si>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</si>
  <si>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</si>
  <si>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</si>
  <si>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</si>
  <si>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</si>
  <si>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</si>
  <si>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</si>
  <si>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</si>
  <si>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</si>
  <si>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</si>
  <si>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</si>
  <si>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</si>
  <si>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</si>
  <si>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</si>
  <si>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</si>
  <si>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</si>
  <si>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</si>
  <si>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</si>
  <si>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</si>
  <si>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</si>
  <si>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</si>
  <si>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</si>
  <si>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</si>
  <si>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</si>
  <si>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</si>
  <si>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</si>
  <si>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</si>
  <si>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</si>
  <si>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</si>
  <si>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</si>
  <si>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</si>
  <si>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</si>
  <si>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</si>
  <si>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</si>
  <si>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</si>
  <si>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</si>
  <si>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</si>
  <si>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</si>
  <si>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</si>
  <si>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</si>
  <si>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</si>
  <si>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</si>
  <si>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</si>
  <si>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</si>
  <si>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</si>
  <si>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</si>
  <si>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</si>
  <si>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</si>
  <si>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</si>
  <si>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</si>
  <si>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</si>
  <si>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</si>
  <si>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</si>
  <si>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</si>
  <si>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</si>
  <si>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</si>
  <si>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</si>
  <si>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</si>
  <si>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</si>
  <si>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</si>
  <si>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</si>
  <si>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</si>
  <si>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</si>
  <si>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</si>
  <si>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</si>
  <si>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</si>
  <si>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</si>
  <si>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</si>
  <si>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</si>
  <si>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</si>
  <si>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</si>
  <si>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</si>
  <si>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</si>
  <si>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</si>
  <si>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</si>
  <si>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</si>
  <si>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</si>
  <si>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</si>
  <si>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</si>
  <si>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</si>
  <si>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</si>
  <si>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</si>
  <si>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</si>
  <si>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</si>
  <si>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</si>
  <si>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</si>
  <si>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</si>
  <si>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</si>
  <si>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</si>
  <si>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</si>
  <si>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</si>
  <si>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</si>
  <si>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</si>
  <si>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</si>
  <si>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</si>
  <si>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</si>
  <si>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</si>
  <si>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</si>
  <si>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</si>
  <si>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</si>
  <si>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</si>
  <si>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</si>
  <si>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</si>
  <si>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</si>
  <si>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</si>
  <si>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</si>
  <si>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</si>
  <si>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</si>
  <si>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</si>
  <si>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</si>
  <si>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</si>
  <si>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</si>
  <si>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</si>
  <si>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</si>
  <si>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</si>
  <si>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</si>
  <si>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</si>
  <si>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</si>
  <si>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</si>
  <si>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</si>
  <si>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</si>
  <si>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</si>
  <si>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</si>
  <si>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</si>
  <si>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</si>
  <si>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</si>
  <si>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</si>
  <si>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</si>
  <si>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</si>
  <si>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</si>
  <si>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</si>
  <si>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</si>
  <si>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</si>
  <si>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</si>
  <si>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</si>
  <si>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</si>
  <si>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</si>
  <si>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</si>
  <si>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</si>
  <si>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</si>
  <si>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</si>
  <si>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</si>
  <si>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</si>
  <si>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</si>
  <si>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</si>
  <si>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</si>
  <si>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</si>
  <si>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</si>
  <si>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</si>
  <si>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</si>
  <si>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</si>
  <si>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</si>
  <si>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</si>
  <si>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</si>
  <si>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</si>
  <si>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</si>
  <si>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</si>
  <si>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</si>
  <si>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</si>
  <si>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</si>
  <si>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</si>
  <si>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</si>
  <si>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</si>
  <si>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</si>
  <si>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</si>
  <si>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</si>
  <si>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</si>
  <si>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</si>
  <si>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</si>
  <si>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</si>
  <si>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</si>
  <si>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</si>
  <si>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</si>
  <si>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</si>
  <si>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</si>
  <si>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</si>
  <si>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</si>
  <si>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</si>
  <si>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</si>
  <si>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</si>
  <si>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</si>
  <si>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</si>
  <si>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</si>
  <si>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</si>
  <si>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</si>
  <si>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</si>
  <si>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</si>
  <si>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</si>
  <si>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</si>
  <si>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</si>
  <si>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</si>
  <si>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</si>
  <si>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</si>
  <si>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</si>
  <si>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</si>
  <si>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</si>
  <si>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</si>
  <si>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</si>
  <si>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</si>
  <si>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</si>
  <si>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</si>
  <si>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</si>
  <si>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</si>
  <si>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</si>
  <si>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</si>
  <si>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</si>
  <si>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</si>
  <si>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</si>
  <si>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</si>
  <si>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</si>
  <si>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</si>
  <si>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</si>
  <si>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</si>
  <si>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</si>
  <si>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</si>
  <si>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</si>
  <si>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</si>
  <si>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</si>
  <si>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</si>
  <si>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</si>
  <si>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</si>
  <si>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</si>
  <si>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</si>
  <si>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</si>
  <si>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</si>
  <si>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</si>
  <si>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</si>
  <si>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</si>
  <si>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</si>
  <si>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</si>
  <si>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</si>
  <si>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</si>
  <si>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</si>
  <si>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</si>
  <si>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</si>
  <si>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</si>
  <si>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</si>
  <si>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Current Cases</t>
  </si>
  <si>
    <t>Infected</t>
  </si>
  <si>
    <t>Total infected</t>
  </si>
  <si>
    <t>Days more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</si>
  <si>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</si>
  <si>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</si>
  <si>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</si>
  <si>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</si>
  <si>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</si>
  <si>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</si>
  <si>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</si>
  <si>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</si>
  <si>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</si>
  <si>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</si>
  <si>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</si>
  <si>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</si>
  <si>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</si>
  <si>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</si>
  <si>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</si>
  <si>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</si>
  <si>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</si>
  <si>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</si>
  <si>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</si>
  <si>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</si>
  <si>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</si>
  <si>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</si>
  <si>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</si>
  <si>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Popultation</t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</si>
  <si>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</si>
  <si>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</si>
  <si>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</si>
  <si>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</si>
  <si>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</si>
  <si>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</si>
  <si>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</si>
  <si>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</si>
  <si>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</si>
  <si>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</si>
  <si>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</si>
  <si>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</si>
  <si>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</si>
  <si>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</si>
  <si>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</si>
  <si>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</si>
  <si>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Current rate of increase (active cases) *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</si>
  <si>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</si>
  <si>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</si>
  <si>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</si>
  <si>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</si>
  <si>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</si>
  <si>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</si>
  <si>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</si>
  <si>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</si>
  <si>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</si>
  <si>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</si>
  <si>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Last 5D daily increase rate</t>
  </si>
  <si>
    <t>Critical care:fatality</t>
  </si>
  <si>
    <t>Days until healthcare overload (estimate)</t>
  </si>
  <si>
    <t>Highlight 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</si>
</sst>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8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8" fillId="6" borderId="7" xfId="0" applyFont="1" applyFill="1" applyBorder="1"/>
    <xf numFmtId="0" fontId="8" fillId="6" borderId="8" xfId="0" applyFont="1" applyFill="1" applyBorder="1"/>
    <xf numFmtId="0" fontId="8" fillId="6" borderId="9" xfId="0" applyFont="1" applyFill="1" applyBorder="1"/>
    <xf numFmtId="0" fontId="8" fillId="6" borderId="10" xfId="0" applyFont="1" applyFill="1" applyBorder="1"/>
    <xf numFmtId="0" fontId="8" fillId="6" borderId="0" xfId="0" applyFont="1" applyFill="1" applyBorder="1"/>
    <xf numFmtId="0" fontId="8" fillId="6" borderId="11" xfId="0" applyFont="1" applyFill="1" applyBorder="1"/>
    <xf numFmtId="0" fontId="8" fillId="6" borderId="12" xfId="0" applyFont="1" applyFill="1" applyBorder="1"/>
    <xf numFmtId="0" fontId="8" fillId="6" borderId="13" xfId="0" applyFont="1" applyFill="1" applyBorder="1"/>
    <xf numFmtId="0" fontId="8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10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8" fillId="5" borderId="17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vertical="center"/>
    </xf>
    <xf numFmtId="165" fontId="11" fillId="6" borderId="11" xfId="1" applyNumberFormat="1" applyFont="1" applyFill="1" applyBorder="1" applyAlignment="1">
      <alignment vertical="center"/>
    </xf>
    <xf numFmtId="165" fontId="11" fillId="6" borderId="0" xfId="1" applyNumberFormat="1" applyFont="1" applyFill="1" applyBorder="1" applyAlignment="1">
      <alignment vertical="center"/>
    </xf>
    <xf numFmtId="0" fontId="11" fillId="6" borderId="0" xfId="0" applyFont="1" applyFill="1" applyBorder="1" applyAlignment="1">
      <alignment vertical="center"/>
    </xf>
    <xf numFmtId="0" fontId="12" fillId="4" borderId="20" xfId="0" applyFont="1" applyFill="1" applyBorder="1" applyAlignment="1">
      <alignment horizontal="center" vertical="center" wrapText="1"/>
    </xf>
    <xf numFmtId="0" fontId="12" fillId="4" borderId="15" xfId="0" applyFont="1" applyFill="1" applyBorder="1" applyAlignment="1">
      <alignment horizontal="center" vertical="center" wrapText="1"/>
    </xf>
    <xf numFmtId="0" fontId="12" fillId="4" borderId="16" xfId="0" applyFont="1" applyFill="1" applyBorder="1" applyAlignment="1">
      <alignment horizontal="center" vertical="center" wrapText="1"/>
    </xf>
    <xf numFmtId="0" fontId="11" fillId="6" borderId="10" xfId="0" applyNumberFormat="1" applyFont="1" applyFill="1" applyBorder="1" applyAlignment="1">
      <alignment horizontal="center" vertical="center"/>
    </xf>
    <xf numFmtId="43" fontId="13" fillId="6" borderId="11" xfId="1" applyFont="1" applyFill="1" applyBorder="1" applyAlignment="1">
      <alignment horizontal="center" vertical="center"/>
    </xf>
    <xf numFmtId="166" fontId="11" fillId="6" borderId="0" xfId="1" applyNumberFormat="1" applyFont="1" applyFill="1" applyBorder="1" applyAlignment="1">
      <alignment vertical="center"/>
    </xf>
    <xf numFmtId="165" fontId="11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4" fillId="6" borderId="0" xfId="0" applyFont="1" applyFill="1" applyBorder="1" applyAlignment="1">
      <alignment shrinkToFit="1"/>
    </xf>
    <xf numFmtId="9" fontId="13" fillId="6" borderId="11" xfId="2" applyFont="1" applyFill="1" applyBorder="1" applyAlignment="1">
      <alignment horizontal="right" vertical="center" indent="1"/>
    </xf>
    <xf numFmtId="0" fontId="9" fillId="6" borderId="0" xfId="0" applyFont="1" applyFill="1" applyBorder="1" applyAlignment="1">
      <alignment vertical="center" wrapText="1"/>
    </xf>
    <xf numFmtId="0" fontId="18" fillId="6" borderId="27" xfId="0" applyFont="1" applyFill="1" applyBorder="1" applyAlignment="1">
      <alignment horizontal="left" vertical="center" wrapText="1"/>
    </xf>
    <xf numFmtId="0" fontId="18" fillId="6" borderId="0" xfId="0" applyFont="1" applyFill="1" applyBorder="1" applyAlignment="1">
      <alignment horizontal="left" vertical="center" wrapText="1"/>
    </xf>
    <xf numFmtId="0" fontId="18" fillId="6" borderId="13" xfId="0" applyFont="1" applyFill="1" applyBorder="1" applyAlignment="1">
      <alignment horizontal="left" vertical="center" wrapText="1"/>
    </xf>
    <xf numFmtId="0" fontId="9" fillId="4" borderId="21" xfId="0" applyFont="1" applyFill="1" applyBorder="1" applyAlignment="1">
      <alignment horizontal="left" vertical="center" wrapText="1"/>
    </xf>
    <xf numFmtId="0" fontId="9" fillId="4" borderId="22" xfId="0" applyFont="1" applyFill="1" applyBorder="1" applyAlignment="1">
      <alignment horizontal="left" vertical="center" wrapText="1"/>
    </xf>
    <xf numFmtId="0" fontId="9" fillId="4" borderId="23" xfId="0" applyFont="1" applyFill="1" applyBorder="1" applyAlignment="1">
      <alignment horizontal="left" vertical="center" wrapText="1"/>
    </xf>
    <xf numFmtId="0" fontId="9" fillId="4" borderId="24" xfId="0" applyFont="1" applyFill="1" applyBorder="1" applyAlignment="1">
      <alignment horizontal="left" vertical="center" wrapText="1"/>
    </xf>
    <xf numFmtId="0" fontId="9" fillId="4" borderId="25" xfId="0" applyFont="1" applyFill="1" applyBorder="1" applyAlignment="1">
      <alignment horizontal="left" vertical="center" wrapText="1"/>
    </xf>
    <xf numFmtId="0" fontId="9" fillId="4" borderId="26" xfId="0" applyFont="1" applyFill="1" applyBorder="1" applyAlignment="1">
      <alignment horizontal="left" vertical="center" wrapText="1"/>
    </xf>
    <xf numFmtId="0" fontId="15" fillId="5" borderId="18" xfId="0" applyFont="1" applyFill="1" applyBorder="1" applyAlignment="1">
      <alignment horizontal="center" vertical="center" shrinkToFit="1"/>
    </xf>
    <xf numFmtId="0" fontId="15" fillId="5" borderId="19" xfId="0" applyFont="1" applyFill="1" applyBorder="1" applyAlignment="1">
      <alignment horizontal="center" vertical="center" shrinkToFit="1"/>
    </xf>
    <xf numFmtId="0" fontId="14" fillId="4" borderId="18" xfId="0" applyFont="1" applyFill="1" applyBorder="1" applyAlignment="1">
      <alignment horizontal="left" vertical="center" shrinkToFit="1"/>
    </xf>
    <xf numFmtId="0" fontId="14" fillId="4" borderId="19" xfId="0" applyFont="1" applyFill="1" applyBorder="1" applyAlignment="1">
      <alignment horizontal="left" vertical="center" shrinkToFit="1"/>
    </xf>
    <xf numFmtId="165" fontId="17" fillId="5" borderId="18" xfId="1" applyNumberFormat="1" applyFont="1" applyFill="1" applyBorder="1" applyAlignment="1">
      <alignment horizontal="right" vertical="center" shrinkToFit="1"/>
    </xf>
    <xf numFmtId="165" fontId="17" fillId="5" borderId="19" xfId="1" applyNumberFormat="1" applyFont="1" applyFill="1" applyBorder="1" applyAlignment="1">
      <alignment horizontal="right" vertical="center" shrinkToFit="1"/>
    </xf>
    <xf numFmtId="165" fontId="16" fillId="5" borderId="18" xfId="1" applyNumberFormat="1" applyFont="1" applyFill="1" applyBorder="1" applyAlignment="1">
      <alignment horizontal="center" vertical="center" shrinkToFit="1"/>
    </xf>
    <xf numFmtId="165" fontId="16" fillId="5" borderId="19" xfId="1" applyNumberFormat="1" applyFont="1" applyFill="1" applyBorder="1" applyAlignment="1">
      <alignment horizontal="center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5" fillId="5" borderId="18" xfId="1" applyNumberFormat="1" applyFont="1" applyFill="1" applyBorder="1" applyAlignment="1">
      <alignment horizontal="left" vertical="center" shrinkToFit="1"/>
    </xf>
    <xf numFmtId="165" fontId="15" fillId="5" borderId="19" xfId="1" applyNumberFormat="1" applyFont="1" applyFill="1" applyBorder="1" applyAlignment="1">
      <alignment horizontal="left" vertical="center" shrinkToFit="1"/>
    </xf>
    <xf numFmtId="14" fontId="15" fillId="5" borderId="18" xfId="2" applyNumberFormat="1" applyFont="1" applyFill="1" applyBorder="1" applyAlignment="1">
      <alignment horizontal="right" vertical="center" shrinkToFit="1"/>
    </xf>
    <xf numFmtId="14" fontId="15" fillId="5" borderId="19" xfId="2" applyNumberFormat="1" applyFont="1" applyFill="1" applyBorder="1" applyAlignment="1">
      <alignment horizontal="right" vertical="center" shrinkToFit="1"/>
    </xf>
    <xf numFmtId="0" fontId="14" fillId="4" borderId="17" xfId="0" applyFont="1" applyFill="1" applyBorder="1" applyAlignment="1">
      <alignment horizontal="left" vertical="center" wrapText="1"/>
    </xf>
    <xf numFmtId="0" fontId="15" fillId="5" borderId="17" xfId="1" applyNumberFormat="1" applyFont="1" applyFill="1" applyBorder="1" applyAlignment="1">
      <alignment horizontal="right" vertical="center"/>
    </xf>
    <xf numFmtId="0" fontId="14" fillId="4" borderId="17" xfId="0" applyFont="1" applyFill="1" applyBorder="1" applyAlignment="1">
      <alignment horizontal="left" vertical="center"/>
    </xf>
    <xf numFmtId="14" fontId="15" fillId="5" borderId="17" xfId="1" applyNumberFormat="1" applyFont="1" applyFill="1" applyBorder="1" applyAlignment="1">
      <alignment horizontal="right" vertical="center"/>
    </xf>
    <xf numFmtId="165" fontId="15" fillId="5" borderId="17" xfId="1" applyNumberFormat="1" applyFont="1" applyFill="1" applyBorder="1" applyAlignment="1">
      <alignment horizontal="left" vertical="center"/>
    </xf>
    <xf numFmtId="10" fontId="15" fillId="5" borderId="17" xfId="0" applyNumberFormat="1" applyFont="1" applyFill="1" applyBorder="1" applyAlignment="1">
      <alignment horizontal="right" vertical="center"/>
    </xf>
    <xf numFmtId="0" fontId="14" fillId="4" borderId="18" xfId="0" applyFont="1" applyFill="1" applyBorder="1" applyAlignment="1">
      <alignment horizontal="left" vertical="center" wrapText="1" shrinkToFit="1"/>
    </xf>
    <xf numFmtId="0" fontId="14" fillId="4" borderId="19" xfId="0" applyFont="1" applyFill="1" applyBorder="1" applyAlignment="1">
      <alignment horizontal="left" vertical="center" wrapText="1" shrinkToFit="1"/>
    </xf>
    <xf numFmtId="0" fontId="20" fillId="6" borderId="27" xfId="0" applyFont="1" applyFill="1" applyBorder="1" applyAlignment="1">
      <alignment horizontal="left" vertical="center" wrapText="1"/>
    </xf>
    <xf numFmtId="0" fontId="20" fillId="6" borderId="0" xfId="0" applyFont="1" applyFill="1" applyBorder="1" applyAlignment="1">
      <alignment horizontal="left" vertical="center" wrapText="1"/>
    </xf>
    <xf numFmtId="0" fontId="7" fillId="4" borderId="17" xfId="0" applyFont="1" applyFill="1" applyBorder="1" applyAlignment="1">
      <alignment horizontal="right" vertical="center"/>
    </xf>
    <xf numFmtId="0" fontId="19" fillId="4" borderId="18" xfId="0" applyFont="1" applyFill="1" applyBorder="1" applyAlignment="1">
      <alignment horizontal="left" vertical="center" wrapText="1" shrinkToFit="1"/>
    </xf>
    <xf numFmtId="0" fontId="19" fillId="4" borderId="19" xfId="0" applyFont="1" applyFill="1" applyBorder="1" applyAlignment="1">
      <alignment horizontal="left" vertical="center" wrapText="1" shrinkToFit="1"/>
    </xf>
    <xf numFmtId="9" fontId="15" fillId="5" borderId="18" xfId="2" applyFont="1" applyFill="1" applyBorder="1" applyAlignment="1">
      <alignment horizontal="right" vertical="center" shrinkToFit="1"/>
    </xf>
    <xf numFmtId="9" fontId="15" fillId="5" borderId="19" xfId="2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right" vertical="center" shrinkToFit="1"/>
    </xf>
    <xf numFmtId="165" fontId="15" fillId="5" borderId="19" xfId="1" applyNumberFormat="1" applyFont="1" applyFill="1" applyBorder="1" applyAlignment="1">
      <alignment horizontal="right" vertical="center" shrinkToFit="1"/>
    </xf>
    <xf numFmtId="0" fontId="18" fillId="6" borderId="27" xfId="0" applyFont="1" applyFill="1" applyBorder="1" applyAlignment="1">
      <alignment horizontal="center" vertical="center" wrapText="1"/>
    </xf>
    <xf numFmtId="0" fontId="18" fillId="6" borderId="0" xfId="0" applyFont="1" applyFill="1" applyBorder="1" applyAlignment="1">
      <alignment horizontal="center" vertical="center" wrapText="1"/>
    </xf>
    <xf numFmtId="0" fontId="22" fillId="4" borderId="20" xfId="0" applyFont="1" applyFill="1" applyBorder="1" applyAlignment="1">
      <alignment horizontal="center" vertical="center" wrapText="1"/>
    </xf>
    <xf numFmtId="0" fontId="21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11.862232187344294</c:v>
                </c:pt>
                <c:pt idx="1">
                  <c:v>17.07274539113104</c:v>
                </c:pt>
                <c:pt idx="2">
                  <c:v>20.731190832087691</c:v>
                </c:pt>
                <c:pt idx="3">
                  <c:v>28.048081714000997</c:v>
                </c:pt>
                <c:pt idx="4">
                  <c:v>33.25859491778774</c:v>
                </c:pt>
                <c:pt idx="5">
                  <c:v>39.799451918285996</c:v>
                </c:pt>
                <c:pt idx="6">
                  <c:v>47.892376681614344</c:v>
                </c:pt>
                <c:pt idx="7">
                  <c:v>62.415296462381662</c:v>
                </c:pt>
                <c:pt idx="8">
                  <c:v>85.918036870951667</c:v>
                </c:pt>
                <c:pt idx="9">
                  <c:v>122.39162929745889</c:v>
                </c:pt>
                <c:pt idx="10">
                  <c:v>145.7835077229696</c:v>
                </c:pt>
                <c:pt idx="11">
                  <c:v>163.41056302939711</c:v>
                </c:pt>
                <c:pt idx="12">
                  <c:v>205.20553064275038</c:v>
                </c:pt>
                <c:pt idx="13">
                  <c:v>277.48754359740906</c:v>
                </c:pt>
                <c:pt idx="14">
                  <c:v>351.32162431489786</c:v>
                </c:pt>
                <c:pt idx="15">
                  <c:v>417.8388141504733</c:v>
                </c:pt>
                <c:pt idx="16">
                  <c:v>459.6226955655207</c:v>
                </c:pt>
                <c:pt idx="17">
                  <c:v>505.58496512207279</c:v>
                </c:pt>
                <c:pt idx="18">
                  <c:v>556.14346163428013</c:v>
                </c:pt>
                <c:pt idx="19">
                  <c:v>611.75780779770821</c:v>
                </c:pt>
                <c:pt idx="20">
                  <c:v>672.93358857747899</c:v>
                </c:pt>
                <c:pt idx="21">
                  <c:v>740.22694743522698</c:v>
                </c:pt>
                <c:pt idx="22">
                  <c:v>814.24964217874981</c:v>
                </c:pt>
                <c:pt idx="23">
                  <c:v>895.67460639662488</c:v>
                </c:pt>
                <c:pt idx="24">
                  <c:v>985.24206703628749</c:v>
                </c:pt>
                <c:pt idx="25">
                  <c:v>1083.7662737399162</c:v>
                </c:pt>
                <c:pt idx="26">
                  <c:v>1192.142901113908</c:v>
                </c:pt>
                <c:pt idx="27">
                  <c:v>1311.3571912252989</c:v>
                </c:pt>
                <c:pt idx="28">
                  <c:v>1442.4929103478289</c:v>
                </c:pt>
                <c:pt idx="29">
                  <c:v>1586.7422013826119</c:v>
                </c:pt>
                <c:pt idx="30">
                  <c:v>1745.4164215208732</c:v>
                </c:pt>
                <c:pt idx="31">
                  <c:v>1919.9580636729606</c:v>
                </c:pt>
                <c:pt idx="32">
                  <c:v>2111.9538700402568</c:v>
                </c:pt>
                <c:pt idx="33">
                  <c:v>2323.1492570442829</c:v>
                </c:pt>
                <c:pt idx="34">
                  <c:v>2555.4641827487112</c:v>
                </c:pt>
                <c:pt idx="35">
                  <c:v>2811.0106010235822</c:v>
                </c:pt>
                <c:pt idx="36">
                  <c:v>3092.1116611259408</c:v>
                </c:pt>
                <c:pt idx="37">
                  <c:v>3401.3228272385354</c:v>
                </c:pt>
                <c:pt idx="38">
                  <c:v>3741.4551099623891</c:v>
                </c:pt>
                <c:pt idx="39">
                  <c:v>4115.6006209586285</c:v>
                </c:pt>
                <c:pt idx="40">
                  <c:v>4527.1606830544915</c:v>
                </c:pt>
                <c:pt idx="41">
                  <c:v>4979.8767513599414</c:v>
                </c:pt>
                <c:pt idx="42">
                  <c:v>5477.8644264959357</c:v>
                </c:pt>
                <c:pt idx="43">
                  <c:v>6025.6508691455301</c:v>
                </c:pt>
                <c:pt idx="44">
                  <c:v>6628.215956060083</c:v>
                </c:pt>
                <c:pt idx="45">
                  <c:v>7291.0375516660924</c:v>
                </c:pt>
                <c:pt idx="46">
                  <c:v>8020.1413068327029</c:v>
                </c:pt>
                <c:pt idx="47">
                  <c:v>8822.155437515974</c:v>
                </c:pt>
                <c:pt idx="48">
                  <c:v>9704.3709812675734</c:v>
                </c:pt>
                <c:pt idx="49">
                  <c:v>10674.80807939433</c:v>
                </c:pt>
                <c:pt idx="50">
                  <c:v>11742.288887333763</c:v>
                </c:pt>
                <c:pt idx="51">
                  <c:v>12916.517776067141</c:v>
                </c:pt>
                <c:pt idx="52">
                  <c:v>14208.169553673857</c:v>
                </c:pt>
                <c:pt idx="53">
                  <c:v>15628.986509041244</c:v>
                </c:pt>
                <c:pt idx="54">
                  <c:v>17191.88515994537</c:v>
                </c:pt>
                <c:pt idx="55">
                  <c:v>18911.073675939908</c:v>
                </c:pt>
                <c:pt idx="56">
                  <c:v>20802.181043533899</c:v>
                </c:pt>
                <c:pt idx="57">
                  <c:v>22882.399147887292</c:v>
                </c:pt>
                <c:pt idx="58">
                  <c:v>25170.639062676026</c:v>
                </c:pt>
                <c:pt idx="59">
                  <c:v>27687.702968943628</c:v>
                </c:pt>
                <c:pt idx="60">
                  <c:v>30456.473265837991</c:v>
                </c:pt>
                <c:pt idx="61">
                  <c:v>33502.120592421794</c:v>
                </c:pt>
                <c:pt idx="62">
                  <c:v>36852.332651663972</c:v>
                </c:pt>
                <c:pt idx="63">
                  <c:v>40537.565916830368</c:v>
                </c:pt>
                <c:pt idx="64">
                  <c:v>44591.322508513411</c:v>
                </c:pt>
                <c:pt idx="65">
                  <c:v>49050.454759364759</c:v>
                </c:pt>
                <c:pt idx="66">
                  <c:v>53955.500235301231</c:v>
                </c:pt>
                <c:pt idx="67">
                  <c:v>59351.050258831368</c:v>
                </c:pt>
                <c:pt idx="68">
                  <c:v>65286.155284714507</c:v>
                </c:pt>
                <c:pt idx="69">
                  <c:v>71814.770813185969</c:v>
                </c:pt>
                <c:pt idx="70">
                  <c:v>78996.247894504559</c:v>
                </c:pt>
                <c:pt idx="71">
                  <c:v>86895.872683955022</c:v>
                </c:pt>
                <c:pt idx="72">
                  <c:v>95585.459952350531</c:v>
                </c:pt>
                <c:pt idx="73">
                  <c:v>105144.00594758558</c:v>
                </c:pt>
                <c:pt idx="74">
                  <c:v>115658.40654234415</c:v>
                </c:pt>
                <c:pt idx="75">
                  <c:v>127224.24719657857</c:v>
                </c:pt>
                <c:pt idx="76">
                  <c:v>139946.67191623643</c:v>
                </c:pt>
                <c:pt idx="77">
                  <c:v>153941.33910786008</c:v>
                </c:pt>
                <c:pt idx="78">
                  <c:v>169335.47301864609</c:v>
                </c:pt>
                <c:pt idx="79">
                  <c:v>186269.02032051072</c:v>
                </c:pt>
                <c:pt idx="80">
                  <c:v>204895.92235256181</c:v>
                </c:pt>
                <c:pt idx="81">
                  <c:v>225385.514587818</c:v>
                </c:pt>
                <c:pt idx="82">
                  <c:v>247924.06604659982</c:v>
                </c:pt>
                <c:pt idx="83">
                  <c:v>272716.47265125986</c:v>
                </c:pt>
                <c:pt idx="84">
                  <c:v>299988.11991638585</c:v>
                </c:pt>
                <c:pt idx="85">
                  <c:v>329986.93190802442</c:v>
                </c:pt>
                <c:pt idx="86">
                  <c:v>362985.62509882695</c:v>
                </c:pt>
                <c:pt idx="87">
                  <c:v>399284.18760870962</c:v>
                </c:pt>
                <c:pt idx="88">
                  <c:v>439212.60636958067</c:v>
                </c:pt>
                <c:pt idx="89">
                  <c:v>483133.86700653879</c:v>
                </c:pt>
                <c:pt idx="90">
                  <c:v>531447.25370719272</c:v>
                </c:pt>
                <c:pt idx="91">
                  <c:v>584591.97907791217</c:v>
                </c:pt>
                <c:pt idx="92">
                  <c:v>643051.17698570341</c:v>
                </c:pt>
                <c:pt idx="93">
                  <c:v>707356.29468427377</c:v>
                </c:pt>
                <c:pt idx="94">
                  <c:v>778091.92415270128</c:v>
                </c:pt>
                <c:pt idx="95">
                  <c:v>855901.11656797142</c:v>
                </c:pt>
                <c:pt idx="96">
                  <c:v>941491.22822476865</c:v>
                </c:pt>
                <c:pt idx="97">
                  <c:v>1035640.3510472456</c:v>
                </c:pt>
                <c:pt idx="98">
                  <c:v>1139204.3861519701</c:v>
                </c:pt>
                <c:pt idx="99">
                  <c:v>1253124.8247671674</c:v>
                </c:pt>
                <c:pt idx="100">
                  <c:v>1378437.3072438843</c:v>
                </c:pt>
                <c:pt idx="101">
                  <c:v>1516281.0379682728</c:v>
                </c:pt>
                <c:pt idx="102">
                  <c:v>1667909.1417651002</c:v>
                </c:pt>
                <c:pt idx="103">
                  <c:v>1834700.0559416104</c:v>
                </c:pt>
                <c:pt idx="104">
                  <c:v>2018170.0615357715</c:v>
                </c:pt>
                <c:pt idx="105">
                  <c:v>2219987.0676893489</c:v>
                </c:pt>
                <c:pt idx="106">
                  <c:v>2441985.774458284</c:v>
                </c:pt>
                <c:pt idx="107">
                  <c:v>2686184.3519041124</c:v>
                </c:pt>
                <c:pt idx="108">
                  <c:v>2954802.7870945241</c:v>
                </c:pt>
                <c:pt idx="109">
                  <c:v>3010391.120577977</c:v>
                </c:pt>
                <c:pt idx="110">
                  <c:v>3010391.120577977</c:v>
                </c:pt>
                <c:pt idx="111">
                  <c:v>3010391.120577977</c:v>
                </c:pt>
                <c:pt idx="112">
                  <c:v>3010391.120577977</c:v>
                </c:pt>
                <c:pt idx="113">
                  <c:v>3010391.120577977</c:v>
                </c:pt>
                <c:pt idx="114">
                  <c:v>3010391.120577977</c:v>
                </c:pt>
                <c:pt idx="115">
                  <c:v>3010391.120577977</c:v>
                </c:pt>
                <c:pt idx="116">
                  <c:v>3010391.120577977</c:v>
                </c:pt>
                <c:pt idx="117">
                  <c:v>3010391.120577977</c:v>
                </c:pt>
                <c:pt idx="118">
                  <c:v>3010391.120577977</c:v>
                </c:pt>
                <c:pt idx="119">
                  <c:v>3010391.120577977</c:v>
                </c:pt>
                <c:pt idx="120">
                  <c:v>3010391.120577977</c:v>
                </c:pt>
                <c:pt idx="121">
                  <c:v>3010391.120577977</c:v>
                </c:pt>
                <c:pt idx="122">
                  <c:v>3010391.120577977</c:v>
                </c:pt>
                <c:pt idx="123">
                  <c:v>3010391.120577977</c:v>
                </c:pt>
                <c:pt idx="124">
                  <c:v>3010391.120577977</c:v>
                </c:pt>
                <c:pt idx="125">
                  <c:v>3010391.120577977</c:v>
                </c:pt>
                <c:pt idx="126">
                  <c:v>3010391.120577977</c:v>
                </c:pt>
                <c:pt idx="127">
                  <c:v>3010391.120577977</c:v>
                </c:pt>
                <c:pt idx="128">
                  <c:v>3010391.120577977</c:v>
                </c:pt>
                <c:pt idx="129">
                  <c:v>3010391.120577977</c:v>
                </c:pt>
                <c:pt idx="130">
                  <c:v>3010391.120577977</c:v>
                </c:pt>
                <c:pt idx="131">
                  <c:v>3010391.120577977</c:v>
                </c:pt>
                <c:pt idx="132">
                  <c:v>3010391.120577977</c:v>
                </c:pt>
                <c:pt idx="133">
                  <c:v>3010391.120577977</c:v>
                </c:pt>
                <c:pt idx="134">
                  <c:v>3010391.120577977</c:v>
                </c:pt>
                <c:pt idx="135">
                  <c:v>3010391.120577977</c:v>
                </c:pt>
                <c:pt idx="136">
                  <c:v>3010391.120577977</c:v>
                </c:pt>
                <c:pt idx="137">
                  <c:v>3010391.120577977</c:v>
                </c:pt>
                <c:pt idx="138">
                  <c:v>3010391.120577977</c:v>
                </c:pt>
                <c:pt idx="139">
                  <c:v>3010391.120577977</c:v>
                </c:pt>
                <c:pt idx="140">
                  <c:v>3010391.120577977</c:v>
                </c:pt>
                <c:pt idx="141">
                  <c:v>3010391.120577977</c:v>
                </c:pt>
                <c:pt idx="142">
                  <c:v>3010391.120577977</c:v>
                </c:pt>
                <c:pt idx="143">
                  <c:v>3010391.120577977</c:v>
                </c:pt>
                <c:pt idx="144">
                  <c:v>3010391.120577977</c:v>
                </c:pt>
                <c:pt idx="145">
                  <c:v>3010391.120577977</c:v>
                </c:pt>
                <c:pt idx="146">
                  <c:v>3010391.120577977</c:v>
                </c:pt>
                <c:pt idx="147">
                  <c:v>3010391.120577977</c:v>
                </c:pt>
                <c:pt idx="148">
                  <c:v>3010391.120577977</c:v>
                </c:pt>
                <c:pt idx="149">
                  <c:v>3010391.120577977</c:v>
                </c:pt>
                <c:pt idx="150">
                  <c:v>3010391.120577977</c:v>
                </c:pt>
                <c:pt idx="151">
                  <c:v>3010391.120577977</c:v>
                </c:pt>
                <c:pt idx="152">
                  <c:v>3010391.120577977</c:v>
                </c:pt>
                <c:pt idx="153">
                  <c:v>3010391.120577977</c:v>
                </c:pt>
                <c:pt idx="154">
                  <c:v>3010391.120577977</c:v>
                </c:pt>
                <c:pt idx="155">
                  <c:v>3010391.120577977</c:v>
                </c:pt>
                <c:pt idx="156">
                  <c:v>3010391.120577977</c:v>
                </c:pt>
                <c:pt idx="157">
                  <c:v>3010391.120577977</c:v>
                </c:pt>
                <c:pt idx="158">
                  <c:v>3010391.120577977</c:v>
                </c:pt>
                <c:pt idx="159">
                  <c:v>3010391.120577977</c:v>
                </c:pt>
                <c:pt idx="160">
                  <c:v>3010391.120577977</c:v>
                </c:pt>
                <c:pt idx="161">
                  <c:v>3010391.120577977</c:v>
                </c:pt>
                <c:pt idx="162">
                  <c:v>3010391.120577977</c:v>
                </c:pt>
                <c:pt idx="163">
                  <c:v>3010391.120577977</c:v>
                </c:pt>
                <c:pt idx="164">
                  <c:v>3010391.120577977</c:v>
                </c:pt>
                <c:pt idx="165">
                  <c:v>3010391.120577977</c:v>
                </c:pt>
                <c:pt idx="166">
                  <c:v>3010391.120577977</c:v>
                </c:pt>
                <c:pt idx="167">
                  <c:v>3010391.120577977</c:v>
                </c:pt>
                <c:pt idx="168">
                  <c:v>3010391.120577977</c:v>
                </c:pt>
                <c:pt idx="169">
                  <c:v>3010391.120577977</c:v>
                </c:pt>
                <c:pt idx="170">
                  <c:v>3010391.120577977</c:v>
                </c:pt>
                <c:pt idx="171">
                  <c:v>3010391.120577977</c:v>
                </c:pt>
                <c:pt idx="172">
                  <c:v>3010391.120577977</c:v>
                </c:pt>
                <c:pt idx="173">
                  <c:v>3010391.120577977</c:v>
                </c:pt>
                <c:pt idx="174">
                  <c:v>3010391.120577977</c:v>
                </c:pt>
                <c:pt idx="175">
                  <c:v>3010391.120577977</c:v>
                </c:pt>
                <c:pt idx="176">
                  <c:v>3010391.120577977</c:v>
                </c:pt>
                <c:pt idx="177">
                  <c:v>3010391.120577977</c:v>
                </c:pt>
                <c:pt idx="178">
                  <c:v>3010391.120577977</c:v>
                </c:pt>
                <c:pt idx="179">
                  <c:v>3010391.120577977</c:v>
                </c:pt>
                <c:pt idx="180">
                  <c:v>3010391.120577977</c:v>
                </c:pt>
                <c:pt idx="181">
                  <c:v>3010391.120577977</c:v>
                </c:pt>
                <c:pt idx="182">
                  <c:v>3010391.120577977</c:v>
                </c:pt>
                <c:pt idx="183">
                  <c:v>3010391.120577977</c:v>
                </c:pt>
                <c:pt idx="184">
                  <c:v>3010391.120577977</c:v>
                </c:pt>
                <c:pt idx="185">
                  <c:v>3010391.120577977</c:v>
                </c:pt>
                <c:pt idx="186">
                  <c:v>3010391.120577977</c:v>
                </c:pt>
                <c:pt idx="187">
                  <c:v>3010391.120577977</c:v>
                </c:pt>
                <c:pt idx="188">
                  <c:v>3010391.120577977</c:v>
                </c:pt>
                <c:pt idx="189">
                  <c:v>3010391.120577977</c:v>
                </c:pt>
                <c:pt idx="190">
                  <c:v>3010391.120577977</c:v>
                </c:pt>
                <c:pt idx="191">
                  <c:v>3010391.120577977</c:v>
                </c:pt>
                <c:pt idx="192">
                  <c:v>3010391.120577977</c:v>
                </c:pt>
                <c:pt idx="193">
                  <c:v>3010391.120577977</c:v>
                </c:pt>
                <c:pt idx="194">
                  <c:v>3010391.120577977</c:v>
                </c:pt>
                <c:pt idx="195">
                  <c:v>3010391.120577977</c:v>
                </c:pt>
                <c:pt idx="196">
                  <c:v>3010391.120577977</c:v>
                </c:pt>
                <c:pt idx="197">
                  <c:v>3010391.120577977</c:v>
                </c:pt>
                <c:pt idx="198">
                  <c:v>3010391.120577977</c:v>
                </c:pt>
                <c:pt idx="199">
                  <c:v>3010391.120577977</c:v>
                </c:pt>
                <c:pt idx="200">
                  <c:v>3010391.120577977</c:v>
                </c:pt>
                <c:pt idx="201">
                  <c:v>3010391.120577977</c:v>
                </c:pt>
                <c:pt idx="202">
                  <c:v>3010391.120577977</c:v>
                </c:pt>
                <c:pt idx="203">
                  <c:v>3010391.120577977</c:v>
                </c:pt>
                <c:pt idx="204">
                  <c:v>3010391.120577977</c:v>
                </c:pt>
                <c:pt idx="205">
                  <c:v>3010391.120577977</c:v>
                </c:pt>
                <c:pt idx="206">
                  <c:v>3010391.120577977</c:v>
                </c:pt>
                <c:pt idx="207">
                  <c:v>3010391.120577977</c:v>
                </c:pt>
                <c:pt idx="208">
                  <c:v>3010391.120577977</c:v>
                </c:pt>
                <c:pt idx="209">
                  <c:v>3010391.120577977</c:v>
                </c:pt>
                <c:pt idx="210">
                  <c:v>3010391.120577977</c:v>
                </c:pt>
                <c:pt idx="211">
                  <c:v>3010391.120577977</c:v>
                </c:pt>
                <c:pt idx="212">
                  <c:v>3010391.120577977</c:v>
                </c:pt>
                <c:pt idx="213">
                  <c:v>3010391.120577977</c:v>
                </c:pt>
                <c:pt idx="214">
                  <c:v>3010391.120577977</c:v>
                </c:pt>
                <c:pt idx="215">
                  <c:v>3010391.120577977</c:v>
                </c:pt>
                <c:pt idx="216">
                  <c:v>3010391.120577977</c:v>
                </c:pt>
                <c:pt idx="217">
                  <c:v>3010391.120577977</c:v>
                </c:pt>
                <c:pt idx="218">
                  <c:v>3010391.120577977</c:v>
                </c:pt>
                <c:pt idx="219">
                  <c:v>3010391.120577977</c:v>
                </c:pt>
                <c:pt idx="220">
                  <c:v>3010391.120577977</c:v>
                </c:pt>
                <c:pt idx="221">
                  <c:v>3010391.120577977</c:v>
                </c:pt>
                <c:pt idx="222">
                  <c:v>3010391.120577977</c:v>
                </c:pt>
                <c:pt idx="223">
                  <c:v>3010391.120577977</c:v>
                </c:pt>
                <c:pt idx="224">
                  <c:v>3010391.120577977</c:v>
                </c:pt>
                <c:pt idx="225">
                  <c:v>3010391.120577977</c:v>
                </c:pt>
                <c:pt idx="226">
                  <c:v>3010391.120577977</c:v>
                </c:pt>
                <c:pt idx="227">
                  <c:v>3010391.120577977</c:v>
                </c:pt>
                <c:pt idx="228">
                  <c:v>3010391.120577977</c:v>
                </c:pt>
                <c:pt idx="229">
                  <c:v>3010391.120577977</c:v>
                </c:pt>
                <c:pt idx="230">
                  <c:v>3010391.120577977</c:v>
                </c:pt>
                <c:pt idx="231">
                  <c:v>3010391.120577977</c:v>
                </c:pt>
                <c:pt idx="232">
                  <c:v>3010391.120577977</c:v>
                </c:pt>
                <c:pt idx="233">
                  <c:v>3010391.120577977</c:v>
                </c:pt>
                <c:pt idx="234">
                  <c:v>3010391.120577977</c:v>
                </c:pt>
                <c:pt idx="235">
                  <c:v>3010391.120577977</c:v>
                </c:pt>
                <c:pt idx="236">
                  <c:v>3010391.120577977</c:v>
                </c:pt>
                <c:pt idx="237">
                  <c:v>3010391.120577977</c:v>
                </c:pt>
                <c:pt idx="238">
                  <c:v>3010391.120577977</c:v>
                </c:pt>
                <c:pt idx="239">
                  <c:v>3010391.120577977</c:v>
                </c:pt>
                <c:pt idx="240">
                  <c:v>3010391.120577977</c:v>
                </c:pt>
                <c:pt idx="241">
                  <c:v>3010391.120577977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11.862232187344294</c:v>
                </c:pt>
                <c:pt idx="1">
                  <c:v>17.07274539113104</c:v>
                </c:pt>
                <c:pt idx="2">
                  <c:v>20.731190832087691</c:v>
                </c:pt>
                <c:pt idx="3">
                  <c:v>28.048081714000997</c:v>
                </c:pt>
                <c:pt idx="4">
                  <c:v>33.25859491778774</c:v>
                </c:pt>
                <c:pt idx="5">
                  <c:v>39.799451918285996</c:v>
                </c:pt>
                <c:pt idx="6">
                  <c:v>47.892376681614344</c:v>
                </c:pt>
                <c:pt idx="7">
                  <c:v>62.415296462381662</c:v>
                </c:pt>
                <c:pt idx="8">
                  <c:v>85.918036870951667</c:v>
                </c:pt>
                <c:pt idx="9">
                  <c:v>122.39162929745889</c:v>
                </c:pt>
                <c:pt idx="10">
                  <c:v>145.7835077229696</c:v>
                </c:pt>
                <c:pt idx="11">
                  <c:v>163.41056302939711</c:v>
                </c:pt>
                <c:pt idx="12">
                  <c:v>205.20553064275038</c:v>
                </c:pt>
                <c:pt idx="13">
                  <c:v>277.48754359740906</c:v>
                </c:pt>
                <c:pt idx="14">
                  <c:v>351.32162431489786</c:v>
                </c:pt>
                <c:pt idx="15">
                  <c:v>417.8388141504733</c:v>
                </c:pt>
                <c:pt idx="16">
                  <c:v>522.29851768809169</c:v>
                </c:pt>
                <c:pt idx="17">
                  <c:v>652.87314711011459</c:v>
                </c:pt>
                <c:pt idx="18">
                  <c:v>816.09143388764323</c:v>
                </c:pt>
                <c:pt idx="19">
                  <c:v>1020.114292359554</c:v>
                </c:pt>
                <c:pt idx="20">
                  <c:v>1275.1428654494425</c:v>
                </c:pt>
                <c:pt idx="21">
                  <c:v>1593.928581811803</c:v>
                </c:pt>
                <c:pt idx="22">
                  <c:v>1992.4107272647539</c:v>
                </c:pt>
                <c:pt idx="23">
                  <c:v>2490.5134090809424</c:v>
                </c:pt>
                <c:pt idx="24">
                  <c:v>3113.141761351178</c:v>
                </c:pt>
                <c:pt idx="25">
                  <c:v>3891.4272016889727</c:v>
                </c:pt>
                <c:pt idx="26">
                  <c:v>4864.2840021112161</c:v>
                </c:pt>
                <c:pt idx="27">
                  <c:v>6080.3550026390194</c:v>
                </c:pt>
                <c:pt idx="28">
                  <c:v>7600.443753298774</c:v>
                </c:pt>
                <c:pt idx="29">
                  <c:v>9500.5546916234689</c:v>
                </c:pt>
                <c:pt idx="30">
                  <c:v>11875.693364529336</c:v>
                </c:pt>
                <c:pt idx="31">
                  <c:v>14844.616705661669</c:v>
                </c:pt>
                <c:pt idx="32">
                  <c:v>18555.770882077086</c:v>
                </c:pt>
                <c:pt idx="33">
                  <c:v>23194.713602596355</c:v>
                </c:pt>
                <c:pt idx="34">
                  <c:v>28993.392003245444</c:v>
                </c:pt>
                <c:pt idx="35">
                  <c:v>36241.740004056803</c:v>
                </c:pt>
                <c:pt idx="36">
                  <c:v>45302.175005071003</c:v>
                </c:pt>
                <c:pt idx="37">
                  <c:v>56627.718756338756</c:v>
                </c:pt>
                <c:pt idx="38">
                  <c:v>70784.648445423445</c:v>
                </c:pt>
                <c:pt idx="39">
                  <c:v>88480.81055677931</c:v>
                </c:pt>
                <c:pt idx="40">
                  <c:v>110601.01319597413</c:v>
                </c:pt>
                <c:pt idx="41">
                  <c:v>138251.26649496765</c:v>
                </c:pt>
                <c:pt idx="42">
                  <c:v>172814.08311870956</c:v>
                </c:pt>
                <c:pt idx="43">
                  <c:v>216017.60389838697</c:v>
                </c:pt>
                <c:pt idx="44">
                  <c:v>270022.00487298373</c:v>
                </c:pt>
                <c:pt idx="45">
                  <c:v>337527.50609122968</c:v>
                </c:pt>
                <c:pt idx="46">
                  <c:v>421909.38261403702</c:v>
                </c:pt>
                <c:pt idx="47">
                  <c:v>527386.72826754628</c:v>
                </c:pt>
                <c:pt idx="48">
                  <c:v>659233.41033443296</c:v>
                </c:pt>
                <c:pt idx="49">
                  <c:v>824041.7629180412</c:v>
                </c:pt>
                <c:pt idx="50">
                  <c:v>1030052.2036475516</c:v>
                </c:pt>
                <c:pt idx="51">
                  <c:v>1287565.2545594394</c:v>
                </c:pt>
                <c:pt idx="52">
                  <c:v>1609456.568199299</c:v>
                </c:pt>
                <c:pt idx="53">
                  <c:v>2011820.7102491239</c:v>
                </c:pt>
                <c:pt idx="54">
                  <c:v>2514775.8878114051</c:v>
                </c:pt>
                <c:pt idx="55">
                  <c:v>3010391.120577977</c:v>
                </c:pt>
                <c:pt idx="56">
                  <c:v>3010391.120577977</c:v>
                </c:pt>
                <c:pt idx="57">
                  <c:v>3010391.120577977</c:v>
                </c:pt>
                <c:pt idx="58">
                  <c:v>3010391.120577977</c:v>
                </c:pt>
                <c:pt idx="59">
                  <c:v>3010391.120577977</c:v>
                </c:pt>
                <c:pt idx="60">
                  <c:v>3010391.120577977</c:v>
                </c:pt>
                <c:pt idx="61">
                  <c:v>3010391.120577977</c:v>
                </c:pt>
                <c:pt idx="62">
                  <c:v>3010391.120577977</c:v>
                </c:pt>
                <c:pt idx="63">
                  <c:v>3010391.120577977</c:v>
                </c:pt>
                <c:pt idx="64">
                  <c:v>3010391.120577977</c:v>
                </c:pt>
                <c:pt idx="65">
                  <c:v>3010391.120577977</c:v>
                </c:pt>
                <c:pt idx="66">
                  <c:v>3010391.120577977</c:v>
                </c:pt>
                <c:pt idx="67">
                  <c:v>3010391.120577977</c:v>
                </c:pt>
                <c:pt idx="68">
                  <c:v>3010391.120577977</c:v>
                </c:pt>
                <c:pt idx="69">
                  <c:v>3010391.120577977</c:v>
                </c:pt>
                <c:pt idx="70">
                  <c:v>3010391.120577977</c:v>
                </c:pt>
                <c:pt idx="71">
                  <c:v>3010391.120577977</c:v>
                </c:pt>
                <c:pt idx="72">
                  <c:v>3010391.120577977</c:v>
                </c:pt>
                <c:pt idx="73">
                  <c:v>3010391.120577977</c:v>
                </c:pt>
                <c:pt idx="74">
                  <c:v>3010391.120577977</c:v>
                </c:pt>
                <c:pt idx="75">
                  <c:v>3010391.120577977</c:v>
                </c:pt>
                <c:pt idx="76">
                  <c:v>3010391.120577977</c:v>
                </c:pt>
                <c:pt idx="77">
                  <c:v>3010391.120577977</c:v>
                </c:pt>
                <c:pt idx="78">
                  <c:v>3010391.120577977</c:v>
                </c:pt>
                <c:pt idx="79">
                  <c:v>3010391.120577977</c:v>
                </c:pt>
                <c:pt idx="80">
                  <c:v>3010391.120577977</c:v>
                </c:pt>
                <c:pt idx="81">
                  <c:v>3010391.120577977</c:v>
                </c:pt>
                <c:pt idx="82">
                  <c:v>3010391.120577977</c:v>
                </c:pt>
                <c:pt idx="83">
                  <c:v>3010391.120577977</c:v>
                </c:pt>
                <c:pt idx="84">
                  <c:v>3010391.120577977</c:v>
                </c:pt>
                <c:pt idx="85">
                  <c:v>3010391.120577977</c:v>
                </c:pt>
                <c:pt idx="86">
                  <c:v>3010391.120577977</c:v>
                </c:pt>
                <c:pt idx="87">
                  <c:v>3010391.120577977</c:v>
                </c:pt>
                <c:pt idx="88">
                  <c:v>3010391.120577977</c:v>
                </c:pt>
                <c:pt idx="89">
                  <c:v>3010391.120577977</c:v>
                </c:pt>
                <c:pt idx="90">
                  <c:v>3010391.120577977</c:v>
                </c:pt>
                <c:pt idx="91">
                  <c:v>3010391.120577977</c:v>
                </c:pt>
                <c:pt idx="92">
                  <c:v>3010391.120577977</c:v>
                </c:pt>
                <c:pt idx="93">
                  <c:v>3010391.120577977</c:v>
                </c:pt>
                <c:pt idx="94">
                  <c:v>3010391.120577977</c:v>
                </c:pt>
                <c:pt idx="95">
                  <c:v>3010391.120577977</c:v>
                </c:pt>
                <c:pt idx="96">
                  <c:v>3010391.120577977</c:v>
                </c:pt>
                <c:pt idx="97">
                  <c:v>3010391.120577977</c:v>
                </c:pt>
                <c:pt idx="98">
                  <c:v>3010391.120577977</c:v>
                </c:pt>
                <c:pt idx="99">
                  <c:v>3010391.120577977</c:v>
                </c:pt>
                <c:pt idx="100">
                  <c:v>3010391.120577977</c:v>
                </c:pt>
                <c:pt idx="101">
                  <c:v>3010391.120577977</c:v>
                </c:pt>
                <c:pt idx="102">
                  <c:v>3010391.120577977</c:v>
                </c:pt>
                <c:pt idx="103">
                  <c:v>3010391.120577977</c:v>
                </c:pt>
                <c:pt idx="104">
                  <c:v>3010391.120577977</c:v>
                </c:pt>
                <c:pt idx="105">
                  <c:v>3010391.120577977</c:v>
                </c:pt>
                <c:pt idx="106">
                  <c:v>3010391.120577977</c:v>
                </c:pt>
                <c:pt idx="107">
                  <c:v>3010391.120577977</c:v>
                </c:pt>
                <c:pt idx="108">
                  <c:v>3010391.120577977</c:v>
                </c:pt>
                <c:pt idx="109">
                  <c:v>3010391.120577977</c:v>
                </c:pt>
                <c:pt idx="110">
                  <c:v>3010391.120577977</c:v>
                </c:pt>
                <c:pt idx="111">
                  <c:v>3010391.120577977</c:v>
                </c:pt>
                <c:pt idx="112">
                  <c:v>3010391.120577977</c:v>
                </c:pt>
                <c:pt idx="113">
                  <c:v>3010391.120577977</c:v>
                </c:pt>
                <c:pt idx="114">
                  <c:v>3010391.120577977</c:v>
                </c:pt>
                <c:pt idx="115">
                  <c:v>3010391.120577977</c:v>
                </c:pt>
                <c:pt idx="116">
                  <c:v>3010391.120577977</c:v>
                </c:pt>
                <c:pt idx="117">
                  <c:v>3010391.120577977</c:v>
                </c:pt>
                <c:pt idx="118">
                  <c:v>3010391.120577977</c:v>
                </c:pt>
                <c:pt idx="119">
                  <c:v>3010391.120577977</c:v>
                </c:pt>
                <c:pt idx="120">
                  <c:v>3010391.120577977</c:v>
                </c:pt>
                <c:pt idx="121">
                  <c:v>3010391.120577977</c:v>
                </c:pt>
                <c:pt idx="122">
                  <c:v>3010391.120577977</c:v>
                </c:pt>
                <c:pt idx="123">
                  <c:v>3010391.120577977</c:v>
                </c:pt>
                <c:pt idx="124">
                  <c:v>3010391.120577977</c:v>
                </c:pt>
                <c:pt idx="125">
                  <c:v>3010391.120577977</c:v>
                </c:pt>
                <c:pt idx="126">
                  <c:v>3010391.120577977</c:v>
                </c:pt>
                <c:pt idx="127">
                  <c:v>3010391.120577977</c:v>
                </c:pt>
                <c:pt idx="128">
                  <c:v>3010391.120577977</c:v>
                </c:pt>
                <c:pt idx="129">
                  <c:v>3010391.120577977</c:v>
                </c:pt>
                <c:pt idx="130">
                  <c:v>3010391.120577977</c:v>
                </c:pt>
                <c:pt idx="131">
                  <c:v>3010391.120577977</c:v>
                </c:pt>
                <c:pt idx="132">
                  <c:v>3010391.120577977</c:v>
                </c:pt>
                <c:pt idx="133">
                  <c:v>3010391.120577977</c:v>
                </c:pt>
                <c:pt idx="134">
                  <c:v>3010391.120577977</c:v>
                </c:pt>
                <c:pt idx="135">
                  <c:v>3010391.120577977</c:v>
                </c:pt>
                <c:pt idx="136">
                  <c:v>3010391.120577977</c:v>
                </c:pt>
                <c:pt idx="137">
                  <c:v>3010391.120577977</c:v>
                </c:pt>
                <c:pt idx="138">
                  <c:v>3010391.120577977</c:v>
                </c:pt>
                <c:pt idx="139">
                  <c:v>3010391.120577977</c:v>
                </c:pt>
                <c:pt idx="140">
                  <c:v>3010391.120577977</c:v>
                </c:pt>
                <c:pt idx="141">
                  <c:v>3010391.120577977</c:v>
                </c:pt>
                <c:pt idx="142">
                  <c:v>3010391.120577977</c:v>
                </c:pt>
                <c:pt idx="143">
                  <c:v>3010391.120577977</c:v>
                </c:pt>
                <c:pt idx="144">
                  <c:v>3010391.120577977</c:v>
                </c:pt>
                <c:pt idx="145">
                  <c:v>3010391.120577977</c:v>
                </c:pt>
                <c:pt idx="146">
                  <c:v>3010391.120577977</c:v>
                </c:pt>
                <c:pt idx="147">
                  <c:v>3010391.120577977</c:v>
                </c:pt>
                <c:pt idx="148">
                  <c:v>3010391.120577977</c:v>
                </c:pt>
                <c:pt idx="149">
                  <c:v>3010391.120577977</c:v>
                </c:pt>
                <c:pt idx="150">
                  <c:v>3010391.120577977</c:v>
                </c:pt>
                <c:pt idx="151">
                  <c:v>3010391.120577977</c:v>
                </c:pt>
                <c:pt idx="152">
                  <c:v>3010391.120577977</c:v>
                </c:pt>
                <c:pt idx="153">
                  <c:v>3010391.120577977</c:v>
                </c:pt>
                <c:pt idx="154">
                  <c:v>3010391.120577977</c:v>
                </c:pt>
                <c:pt idx="155">
                  <c:v>3010391.120577977</c:v>
                </c:pt>
                <c:pt idx="156">
                  <c:v>3010391.120577977</c:v>
                </c:pt>
                <c:pt idx="157">
                  <c:v>3010391.120577977</c:v>
                </c:pt>
                <c:pt idx="158">
                  <c:v>3010391.120577977</c:v>
                </c:pt>
                <c:pt idx="159">
                  <c:v>3010391.120577977</c:v>
                </c:pt>
                <c:pt idx="160">
                  <c:v>3010391.120577977</c:v>
                </c:pt>
                <c:pt idx="161">
                  <c:v>3010391.120577977</c:v>
                </c:pt>
                <c:pt idx="162">
                  <c:v>3010391.120577977</c:v>
                </c:pt>
                <c:pt idx="163">
                  <c:v>3010391.120577977</c:v>
                </c:pt>
                <c:pt idx="164">
                  <c:v>3010391.120577977</c:v>
                </c:pt>
                <c:pt idx="165">
                  <c:v>3010391.120577977</c:v>
                </c:pt>
                <c:pt idx="166">
                  <c:v>3010391.120577977</c:v>
                </c:pt>
                <c:pt idx="167">
                  <c:v>3010391.120577977</c:v>
                </c:pt>
                <c:pt idx="168">
                  <c:v>3010391.120577977</c:v>
                </c:pt>
                <c:pt idx="169">
                  <c:v>3010391.120577977</c:v>
                </c:pt>
                <c:pt idx="170">
                  <c:v>3010391.120577977</c:v>
                </c:pt>
                <c:pt idx="171">
                  <c:v>3010391.120577977</c:v>
                </c:pt>
                <c:pt idx="172">
                  <c:v>3010391.120577977</c:v>
                </c:pt>
                <c:pt idx="173">
                  <c:v>3010391.120577977</c:v>
                </c:pt>
                <c:pt idx="174">
                  <c:v>3010391.120577977</c:v>
                </c:pt>
                <c:pt idx="175">
                  <c:v>3010391.120577977</c:v>
                </c:pt>
                <c:pt idx="176">
                  <c:v>3010391.120577977</c:v>
                </c:pt>
                <c:pt idx="177">
                  <c:v>3010391.120577977</c:v>
                </c:pt>
                <c:pt idx="178">
                  <c:v>3010391.120577977</c:v>
                </c:pt>
                <c:pt idx="179">
                  <c:v>3010391.120577977</c:v>
                </c:pt>
                <c:pt idx="180">
                  <c:v>3010391.120577977</c:v>
                </c:pt>
                <c:pt idx="181">
                  <c:v>3010391.120577977</c:v>
                </c:pt>
                <c:pt idx="182">
                  <c:v>3010391.120577977</c:v>
                </c:pt>
                <c:pt idx="183">
                  <c:v>3010391.120577977</c:v>
                </c:pt>
                <c:pt idx="184">
                  <c:v>3010391.120577977</c:v>
                </c:pt>
                <c:pt idx="185">
                  <c:v>3010391.120577977</c:v>
                </c:pt>
                <c:pt idx="186">
                  <c:v>3010391.120577977</c:v>
                </c:pt>
                <c:pt idx="187">
                  <c:v>3010391.120577977</c:v>
                </c:pt>
                <c:pt idx="188">
                  <c:v>3010391.120577977</c:v>
                </c:pt>
                <c:pt idx="189">
                  <c:v>3010391.120577977</c:v>
                </c:pt>
                <c:pt idx="190">
                  <c:v>3010391.120577977</c:v>
                </c:pt>
                <c:pt idx="191">
                  <c:v>3010391.120577977</c:v>
                </c:pt>
                <c:pt idx="192">
                  <c:v>3010391.120577977</c:v>
                </c:pt>
                <c:pt idx="193">
                  <c:v>3010391.120577977</c:v>
                </c:pt>
                <c:pt idx="194">
                  <c:v>3010391.120577977</c:v>
                </c:pt>
                <c:pt idx="195">
                  <c:v>3010391.120577977</c:v>
                </c:pt>
                <c:pt idx="196">
                  <c:v>3010391.120577977</c:v>
                </c:pt>
                <c:pt idx="197">
                  <c:v>3010391.120577977</c:v>
                </c:pt>
                <c:pt idx="198">
                  <c:v>3010391.120577977</c:v>
                </c:pt>
                <c:pt idx="199">
                  <c:v>3010391.120577977</c:v>
                </c:pt>
                <c:pt idx="200">
                  <c:v>3010391.120577977</c:v>
                </c:pt>
                <c:pt idx="201">
                  <c:v>3010391.120577977</c:v>
                </c:pt>
                <c:pt idx="202">
                  <c:v>3010391.120577977</c:v>
                </c:pt>
                <c:pt idx="203">
                  <c:v>3010391.120577977</c:v>
                </c:pt>
                <c:pt idx="204">
                  <c:v>3010391.120577977</c:v>
                </c:pt>
                <c:pt idx="205">
                  <c:v>3010391.120577977</c:v>
                </c:pt>
                <c:pt idx="206">
                  <c:v>3010391.120577977</c:v>
                </c:pt>
                <c:pt idx="207">
                  <c:v>3010391.120577977</c:v>
                </c:pt>
                <c:pt idx="208">
                  <c:v>3010391.120577977</c:v>
                </c:pt>
                <c:pt idx="209">
                  <c:v>3010391.120577977</c:v>
                </c:pt>
                <c:pt idx="210">
                  <c:v>3010391.120577977</c:v>
                </c:pt>
                <c:pt idx="211">
                  <c:v>3010391.120577977</c:v>
                </c:pt>
                <c:pt idx="212">
                  <c:v>3010391.120577977</c:v>
                </c:pt>
                <c:pt idx="213">
                  <c:v>3010391.120577977</c:v>
                </c:pt>
                <c:pt idx="214">
                  <c:v>3010391.120577977</c:v>
                </c:pt>
                <c:pt idx="215">
                  <c:v>3010391.120577977</c:v>
                </c:pt>
                <c:pt idx="216">
                  <c:v>3010391.120577977</c:v>
                </c:pt>
                <c:pt idx="217">
                  <c:v>3010391.120577977</c:v>
                </c:pt>
                <c:pt idx="218">
                  <c:v>3010391.120577977</c:v>
                </c:pt>
                <c:pt idx="219">
                  <c:v>3010391.120577977</c:v>
                </c:pt>
                <c:pt idx="220">
                  <c:v>3010391.120577977</c:v>
                </c:pt>
                <c:pt idx="221">
                  <c:v>3010391.120577977</c:v>
                </c:pt>
                <c:pt idx="222">
                  <c:v>3010391.120577977</c:v>
                </c:pt>
                <c:pt idx="223">
                  <c:v>3010391.120577977</c:v>
                </c:pt>
                <c:pt idx="224">
                  <c:v>3010391.120577977</c:v>
                </c:pt>
                <c:pt idx="225">
                  <c:v>3010391.120577977</c:v>
                </c:pt>
                <c:pt idx="226">
                  <c:v>3010391.120577977</c:v>
                </c:pt>
                <c:pt idx="227">
                  <c:v>3010391.120577977</c:v>
                </c:pt>
                <c:pt idx="228">
                  <c:v>3010391.120577977</c:v>
                </c:pt>
                <c:pt idx="229">
                  <c:v>3010391.120577977</c:v>
                </c:pt>
                <c:pt idx="230">
                  <c:v>3010391.120577977</c:v>
                </c:pt>
                <c:pt idx="231">
                  <c:v>3010391.120577977</c:v>
                </c:pt>
                <c:pt idx="232">
                  <c:v>3010391.120577977</c:v>
                </c:pt>
                <c:pt idx="233">
                  <c:v>3010391.120577977</c:v>
                </c:pt>
                <c:pt idx="234">
                  <c:v>3010391.120577977</c:v>
                </c:pt>
                <c:pt idx="235">
                  <c:v>3010391.120577977</c:v>
                </c:pt>
                <c:pt idx="236">
                  <c:v>3010391.120577977</c:v>
                </c:pt>
                <c:pt idx="237">
                  <c:v>3010391.120577977</c:v>
                </c:pt>
                <c:pt idx="238">
                  <c:v>3010391.120577977</c:v>
                </c:pt>
                <c:pt idx="239">
                  <c:v>3010391.120577977</c:v>
                </c:pt>
                <c:pt idx="240">
                  <c:v>3010391.120577977</c:v>
                </c:pt>
                <c:pt idx="241">
                  <c:v>3010391.120577977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11.862232187344294</c:v>
                </c:pt>
                <c:pt idx="1">
                  <c:v>17.07274539113104</c:v>
                </c:pt>
                <c:pt idx="2">
                  <c:v>20.731190832087691</c:v>
                </c:pt>
                <c:pt idx="3">
                  <c:v>28.048081714000997</c:v>
                </c:pt>
                <c:pt idx="4">
                  <c:v>33.25859491778774</c:v>
                </c:pt>
                <c:pt idx="5">
                  <c:v>39.799451918285996</c:v>
                </c:pt>
                <c:pt idx="6">
                  <c:v>47.892376681614344</c:v>
                </c:pt>
                <c:pt idx="7">
                  <c:v>62.415296462381662</c:v>
                </c:pt>
                <c:pt idx="8">
                  <c:v>85.918036870951667</c:v>
                </c:pt>
                <c:pt idx="9">
                  <c:v>122.39162929745889</c:v>
                </c:pt>
                <c:pt idx="10">
                  <c:v>145.7835077229696</c:v>
                </c:pt>
                <c:pt idx="11">
                  <c:v>163.41056302939711</c:v>
                </c:pt>
                <c:pt idx="12">
                  <c:v>205.20553064275038</c:v>
                </c:pt>
                <c:pt idx="13">
                  <c:v>277.48754359740906</c:v>
                </c:pt>
                <c:pt idx="14">
                  <c:v>351.32162431489786</c:v>
                </c:pt>
                <c:pt idx="15">
                  <c:v>417.8388141504733</c:v>
                </c:pt>
                <c:pt idx="16">
                  <c:v>584.97433981066263</c:v>
                </c:pt>
                <c:pt idx="17">
                  <c:v>818.96407573492763</c:v>
                </c:pt>
                <c:pt idx="18">
                  <c:v>1146.5497060288988</c:v>
                </c:pt>
                <c:pt idx="19">
                  <c:v>1605.169588440458</c:v>
                </c:pt>
                <c:pt idx="20">
                  <c:v>2247.2374238166412</c:v>
                </c:pt>
                <c:pt idx="21">
                  <c:v>3146.1323933432977</c:v>
                </c:pt>
                <c:pt idx="22">
                  <c:v>4404.5853506806161</c:v>
                </c:pt>
                <c:pt idx="23">
                  <c:v>6166.4194909528624</c:v>
                </c:pt>
                <c:pt idx="24">
                  <c:v>8632.9872873340082</c:v>
                </c:pt>
                <c:pt idx="25">
                  <c:v>12086.18220226761</c:v>
                </c:pt>
                <c:pt idx="26">
                  <c:v>16920.65508317465</c:v>
                </c:pt>
                <c:pt idx="27">
                  <c:v>23688.917116444507</c:v>
                </c:pt>
                <c:pt idx="28">
                  <c:v>33164.483963022307</c:v>
                </c:pt>
                <c:pt idx="29">
                  <c:v>46430.277548231228</c:v>
                </c:pt>
                <c:pt idx="30">
                  <c:v>65002.388567523703</c:v>
                </c:pt>
                <c:pt idx="31">
                  <c:v>91003.343994533177</c:v>
                </c:pt>
                <c:pt idx="32">
                  <c:v>127404.68159234645</c:v>
                </c:pt>
                <c:pt idx="33">
                  <c:v>178366.55422928502</c:v>
                </c:pt>
                <c:pt idx="34">
                  <c:v>249713.17592099903</c:v>
                </c:pt>
                <c:pt idx="35">
                  <c:v>349598.44628939859</c:v>
                </c:pt>
                <c:pt idx="36">
                  <c:v>489437.82480515802</c:v>
                </c:pt>
                <c:pt idx="37">
                  <c:v>685212.95472722116</c:v>
                </c:pt>
                <c:pt idx="38">
                  <c:v>959298.13661810965</c:v>
                </c:pt>
                <c:pt idx="39">
                  <c:v>1343017.3912653534</c:v>
                </c:pt>
                <c:pt idx="40">
                  <c:v>1880224.3477714946</c:v>
                </c:pt>
                <c:pt idx="41">
                  <c:v>2632314.086880092</c:v>
                </c:pt>
                <c:pt idx="42">
                  <c:v>3010391.120577977</c:v>
                </c:pt>
                <c:pt idx="43">
                  <c:v>3010391.120577977</c:v>
                </c:pt>
                <c:pt idx="44">
                  <c:v>3010391.120577977</c:v>
                </c:pt>
                <c:pt idx="45">
                  <c:v>3010391.120577977</c:v>
                </c:pt>
                <c:pt idx="46">
                  <c:v>3010391.120577977</c:v>
                </c:pt>
                <c:pt idx="47">
                  <c:v>3010391.120577977</c:v>
                </c:pt>
                <c:pt idx="48">
                  <c:v>3010391.120577977</c:v>
                </c:pt>
                <c:pt idx="49">
                  <c:v>3010391.120577977</c:v>
                </c:pt>
                <c:pt idx="50">
                  <c:v>3010391.120577977</c:v>
                </c:pt>
                <c:pt idx="51">
                  <c:v>3010391.120577977</c:v>
                </c:pt>
                <c:pt idx="52">
                  <c:v>3010391.120577977</c:v>
                </c:pt>
                <c:pt idx="53">
                  <c:v>3010391.120577977</c:v>
                </c:pt>
                <c:pt idx="54">
                  <c:v>3010391.120577977</c:v>
                </c:pt>
                <c:pt idx="55">
                  <c:v>3010391.120577977</c:v>
                </c:pt>
                <c:pt idx="56">
                  <c:v>3010391.120577977</c:v>
                </c:pt>
                <c:pt idx="57">
                  <c:v>3010391.120577977</c:v>
                </c:pt>
                <c:pt idx="58">
                  <c:v>3010391.120577977</c:v>
                </c:pt>
                <c:pt idx="59">
                  <c:v>3010391.120577977</c:v>
                </c:pt>
                <c:pt idx="60">
                  <c:v>3010391.120577977</c:v>
                </c:pt>
                <c:pt idx="61">
                  <c:v>3010391.120577977</c:v>
                </c:pt>
                <c:pt idx="62">
                  <c:v>3010391.120577977</c:v>
                </c:pt>
                <c:pt idx="63">
                  <c:v>3010391.120577977</c:v>
                </c:pt>
                <c:pt idx="64">
                  <c:v>3010391.120577977</c:v>
                </c:pt>
                <c:pt idx="65">
                  <c:v>3010391.120577977</c:v>
                </c:pt>
                <c:pt idx="66">
                  <c:v>3010391.120577977</c:v>
                </c:pt>
                <c:pt idx="67">
                  <c:v>3010391.120577977</c:v>
                </c:pt>
                <c:pt idx="68">
                  <c:v>3010391.120577977</c:v>
                </c:pt>
                <c:pt idx="69">
                  <c:v>3010391.120577977</c:v>
                </c:pt>
                <c:pt idx="70">
                  <c:v>3010391.120577977</c:v>
                </c:pt>
                <c:pt idx="71">
                  <c:v>3010391.120577977</c:v>
                </c:pt>
                <c:pt idx="72">
                  <c:v>3010391.120577977</c:v>
                </c:pt>
                <c:pt idx="73">
                  <c:v>3010391.120577977</c:v>
                </c:pt>
                <c:pt idx="74">
                  <c:v>3010391.120577977</c:v>
                </c:pt>
                <c:pt idx="75">
                  <c:v>3010391.120577977</c:v>
                </c:pt>
                <c:pt idx="76">
                  <c:v>3010391.120577977</c:v>
                </c:pt>
                <c:pt idx="77">
                  <c:v>3010391.120577977</c:v>
                </c:pt>
                <c:pt idx="78">
                  <c:v>3010391.120577977</c:v>
                </c:pt>
                <c:pt idx="79">
                  <c:v>3010391.120577977</c:v>
                </c:pt>
                <c:pt idx="80">
                  <c:v>3010391.120577977</c:v>
                </c:pt>
                <c:pt idx="81">
                  <c:v>3010391.120577977</c:v>
                </c:pt>
                <c:pt idx="82">
                  <c:v>3010391.120577977</c:v>
                </c:pt>
                <c:pt idx="83">
                  <c:v>3010391.120577977</c:v>
                </c:pt>
                <c:pt idx="84">
                  <c:v>3010391.120577977</c:v>
                </c:pt>
                <c:pt idx="85">
                  <c:v>3010391.120577977</c:v>
                </c:pt>
                <c:pt idx="86">
                  <c:v>3010391.120577977</c:v>
                </c:pt>
                <c:pt idx="87">
                  <c:v>3010391.120577977</c:v>
                </c:pt>
                <c:pt idx="88">
                  <c:v>3010391.120577977</c:v>
                </c:pt>
                <c:pt idx="89">
                  <c:v>3010391.120577977</c:v>
                </c:pt>
                <c:pt idx="90">
                  <c:v>3010391.120577977</c:v>
                </c:pt>
                <c:pt idx="91">
                  <c:v>3010391.120577977</c:v>
                </c:pt>
                <c:pt idx="92">
                  <c:v>3010391.120577977</c:v>
                </c:pt>
                <c:pt idx="93">
                  <c:v>3010391.120577977</c:v>
                </c:pt>
                <c:pt idx="94">
                  <c:v>3010391.120577977</c:v>
                </c:pt>
                <c:pt idx="95">
                  <c:v>3010391.120577977</c:v>
                </c:pt>
                <c:pt idx="96">
                  <c:v>3010391.120577977</c:v>
                </c:pt>
                <c:pt idx="97">
                  <c:v>3010391.120577977</c:v>
                </c:pt>
                <c:pt idx="98">
                  <c:v>3010391.120577977</c:v>
                </c:pt>
                <c:pt idx="99">
                  <c:v>3010391.120577977</c:v>
                </c:pt>
                <c:pt idx="100">
                  <c:v>3010391.120577977</c:v>
                </c:pt>
                <c:pt idx="101">
                  <c:v>3010391.120577977</c:v>
                </c:pt>
                <c:pt idx="102">
                  <c:v>3010391.120577977</c:v>
                </c:pt>
                <c:pt idx="103">
                  <c:v>3010391.120577977</c:v>
                </c:pt>
                <c:pt idx="104">
                  <c:v>3010391.120577977</c:v>
                </c:pt>
                <c:pt idx="105">
                  <c:v>3010391.120577977</c:v>
                </c:pt>
                <c:pt idx="106">
                  <c:v>3010391.120577977</c:v>
                </c:pt>
                <c:pt idx="107">
                  <c:v>3010391.120577977</c:v>
                </c:pt>
                <c:pt idx="108">
                  <c:v>3010391.120577977</c:v>
                </c:pt>
                <c:pt idx="109">
                  <c:v>3010391.120577977</c:v>
                </c:pt>
                <c:pt idx="110">
                  <c:v>3010391.120577977</c:v>
                </c:pt>
                <c:pt idx="111">
                  <c:v>3010391.120577977</c:v>
                </c:pt>
                <c:pt idx="112">
                  <c:v>3010391.120577977</c:v>
                </c:pt>
                <c:pt idx="113">
                  <c:v>3010391.120577977</c:v>
                </c:pt>
                <c:pt idx="114">
                  <c:v>3010391.120577977</c:v>
                </c:pt>
                <c:pt idx="115">
                  <c:v>3010391.120577977</c:v>
                </c:pt>
                <c:pt idx="116">
                  <c:v>3010391.120577977</c:v>
                </c:pt>
                <c:pt idx="117">
                  <c:v>3010391.120577977</c:v>
                </c:pt>
                <c:pt idx="118">
                  <c:v>3010391.120577977</c:v>
                </c:pt>
                <c:pt idx="119">
                  <c:v>3010391.120577977</c:v>
                </c:pt>
                <c:pt idx="120">
                  <c:v>3010391.120577977</c:v>
                </c:pt>
                <c:pt idx="121">
                  <c:v>3010391.120577977</c:v>
                </c:pt>
                <c:pt idx="122">
                  <c:v>3010391.120577977</c:v>
                </c:pt>
                <c:pt idx="123">
                  <c:v>3010391.120577977</c:v>
                </c:pt>
                <c:pt idx="124">
                  <c:v>3010391.120577977</c:v>
                </c:pt>
                <c:pt idx="125">
                  <c:v>3010391.120577977</c:v>
                </c:pt>
                <c:pt idx="126">
                  <c:v>3010391.120577977</c:v>
                </c:pt>
                <c:pt idx="127">
                  <c:v>3010391.120577977</c:v>
                </c:pt>
                <c:pt idx="128">
                  <c:v>3010391.120577977</c:v>
                </c:pt>
                <c:pt idx="129">
                  <c:v>3010391.120577977</c:v>
                </c:pt>
                <c:pt idx="130">
                  <c:v>3010391.120577977</c:v>
                </c:pt>
                <c:pt idx="131">
                  <c:v>3010391.120577977</c:v>
                </c:pt>
                <c:pt idx="132">
                  <c:v>3010391.120577977</c:v>
                </c:pt>
                <c:pt idx="133">
                  <c:v>3010391.120577977</c:v>
                </c:pt>
                <c:pt idx="134">
                  <c:v>3010391.120577977</c:v>
                </c:pt>
                <c:pt idx="135">
                  <c:v>3010391.120577977</c:v>
                </c:pt>
                <c:pt idx="136">
                  <c:v>3010391.120577977</c:v>
                </c:pt>
                <c:pt idx="137">
                  <c:v>3010391.120577977</c:v>
                </c:pt>
                <c:pt idx="138">
                  <c:v>3010391.120577977</c:v>
                </c:pt>
                <c:pt idx="139">
                  <c:v>3010391.120577977</c:v>
                </c:pt>
                <c:pt idx="140">
                  <c:v>3010391.120577977</c:v>
                </c:pt>
                <c:pt idx="141">
                  <c:v>3010391.120577977</c:v>
                </c:pt>
                <c:pt idx="142">
                  <c:v>3010391.120577977</c:v>
                </c:pt>
                <c:pt idx="143">
                  <c:v>3010391.120577977</c:v>
                </c:pt>
                <c:pt idx="144">
                  <c:v>3010391.120577977</c:v>
                </c:pt>
                <c:pt idx="145">
                  <c:v>3010391.120577977</c:v>
                </c:pt>
                <c:pt idx="146">
                  <c:v>3010391.120577977</c:v>
                </c:pt>
                <c:pt idx="147">
                  <c:v>3010391.120577977</c:v>
                </c:pt>
                <c:pt idx="148">
                  <c:v>3010391.120577977</c:v>
                </c:pt>
                <c:pt idx="149">
                  <c:v>3010391.120577977</c:v>
                </c:pt>
                <c:pt idx="150">
                  <c:v>3010391.120577977</c:v>
                </c:pt>
                <c:pt idx="151">
                  <c:v>3010391.120577977</c:v>
                </c:pt>
                <c:pt idx="152">
                  <c:v>3010391.120577977</c:v>
                </c:pt>
                <c:pt idx="153">
                  <c:v>3010391.120577977</c:v>
                </c:pt>
                <c:pt idx="154">
                  <c:v>3010391.120577977</c:v>
                </c:pt>
                <c:pt idx="155">
                  <c:v>3010391.120577977</c:v>
                </c:pt>
                <c:pt idx="156">
                  <c:v>3010391.120577977</c:v>
                </c:pt>
                <c:pt idx="157">
                  <c:v>3010391.120577977</c:v>
                </c:pt>
                <c:pt idx="158">
                  <c:v>3010391.120577977</c:v>
                </c:pt>
                <c:pt idx="159">
                  <c:v>3010391.120577977</c:v>
                </c:pt>
                <c:pt idx="160">
                  <c:v>3010391.120577977</c:v>
                </c:pt>
                <c:pt idx="161">
                  <c:v>3010391.120577977</c:v>
                </c:pt>
                <c:pt idx="162">
                  <c:v>3010391.120577977</c:v>
                </c:pt>
                <c:pt idx="163">
                  <c:v>3010391.120577977</c:v>
                </c:pt>
                <c:pt idx="164">
                  <c:v>3010391.120577977</c:v>
                </c:pt>
                <c:pt idx="165">
                  <c:v>3010391.120577977</c:v>
                </c:pt>
                <c:pt idx="166">
                  <c:v>3010391.120577977</c:v>
                </c:pt>
                <c:pt idx="167">
                  <c:v>3010391.120577977</c:v>
                </c:pt>
                <c:pt idx="168">
                  <c:v>3010391.120577977</c:v>
                </c:pt>
                <c:pt idx="169">
                  <c:v>3010391.120577977</c:v>
                </c:pt>
                <c:pt idx="170">
                  <c:v>3010391.120577977</c:v>
                </c:pt>
                <c:pt idx="171">
                  <c:v>3010391.120577977</c:v>
                </c:pt>
                <c:pt idx="172">
                  <c:v>3010391.120577977</c:v>
                </c:pt>
                <c:pt idx="173">
                  <c:v>3010391.120577977</c:v>
                </c:pt>
                <c:pt idx="174">
                  <c:v>3010391.120577977</c:v>
                </c:pt>
                <c:pt idx="175">
                  <c:v>3010391.120577977</c:v>
                </c:pt>
                <c:pt idx="176">
                  <c:v>3010391.120577977</c:v>
                </c:pt>
                <c:pt idx="177">
                  <c:v>3010391.120577977</c:v>
                </c:pt>
                <c:pt idx="178">
                  <c:v>3010391.120577977</c:v>
                </c:pt>
                <c:pt idx="179">
                  <c:v>3010391.120577977</c:v>
                </c:pt>
                <c:pt idx="180">
                  <c:v>3010391.120577977</c:v>
                </c:pt>
                <c:pt idx="181">
                  <c:v>3010391.120577977</c:v>
                </c:pt>
                <c:pt idx="182">
                  <c:v>3010391.120577977</c:v>
                </c:pt>
                <c:pt idx="183">
                  <c:v>3010391.120577977</c:v>
                </c:pt>
                <c:pt idx="184">
                  <c:v>3010391.120577977</c:v>
                </c:pt>
                <c:pt idx="185">
                  <c:v>3010391.120577977</c:v>
                </c:pt>
                <c:pt idx="186">
                  <c:v>3010391.120577977</c:v>
                </c:pt>
                <c:pt idx="187">
                  <c:v>3010391.120577977</c:v>
                </c:pt>
                <c:pt idx="188">
                  <c:v>3010391.120577977</c:v>
                </c:pt>
                <c:pt idx="189">
                  <c:v>3010391.120577977</c:v>
                </c:pt>
                <c:pt idx="190">
                  <c:v>3010391.120577977</c:v>
                </c:pt>
                <c:pt idx="191">
                  <c:v>3010391.120577977</c:v>
                </c:pt>
                <c:pt idx="192">
                  <c:v>3010391.120577977</c:v>
                </c:pt>
                <c:pt idx="193">
                  <c:v>3010391.120577977</c:v>
                </c:pt>
                <c:pt idx="194">
                  <c:v>3010391.120577977</c:v>
                </c:pt>
                <c:pt idx="195">
                  <c:v>3010391.120577977</c:v>
                </c:pt>
                <c:pt idx="196">
                  <c:v>3010391.120577977</c:v>
                </c:pt>
                <c:pt idx="197">
                  <c:v>3010391.120577977</c:v>
                </c:pt>
                <c:pt idx="198">
                  <c:v>3010391.120577977</c:v>
                </c:pt>
                <c:pt idx="199">
                  <c:v>3010391.120577977</c:v>
                </c:pt>
                <c:pt idx="200">
                  <c:v>3010391.120577977</c:v>
                </c:pt>
                <c:pt idx="201">
                  <c:v>3010391.120577977</c:v>
                </c:pt>
                <c:pt idx="202">
                  <c:v>3010391.120577977</c:v>
                </c:pt>
                <c:pt idx="203">
                  <c:v>3010391.120577977</c:v>
                </c:pt>
                <c:pt idx="204">
                  <c:v>3010391.120577977</c:v>
                </c:pt>
                <c:pt idx="205">
                  <c:v>3010391.120577977</c:v>
                </c:pt>
                <c:pt idx="206">
                  <c:v>3010391.120577977</c:v>
                </c:pt>
                <c:pt idx="207">
                  <c:v>3010391.120577977</c:v>
                </c:pt>
                <c:pt idx="208">
                  <c:v>3010391.120577977</c:v>
                </c:pt>
                <c:pt idx="209">
                  <c:v>3010391.120577977</c:v>
                </c:pt>
                <c:pt idx="210">
                  <c:v>3010391.120577977</c:v>
                </c:pt>
                <c:pt idx="211">
                  <c:v>3010391.120577977</c:v>
                </c:pt>
                <c:pt idx="212">
                  <c:v>3010391.120577977</c:v>
                </c:pt>
                <c:pt idx="213">
                  <c:v>3010391.120577977</c:v>
                </c:pt>
                <c:pt idx="214">
                  <c:v>3010391.120577977</c:v>
                </c:pt>
                <c:pt idx="215">
                  <c:v>3010391.120577977</c:v>
                </c:pt>
                <c:pt idx="216">
                  <c:v>3010391.120577977</c:v>
                </c:pt>
                <c:pt idx="217">
                  <c:v>3010391.120577977</c:v>
                </c:pt>
                <c:pt idx="218">
                  <c:v>3010391.120577977</c:v>
                </c:pt>
                <c:pt idx="219">
                  <c:v>3010391.120577977</c:v>
                </c:pt>
                <c:pt idx="220">
                  <c:v>3010391.120577977</c:v>
                </c:pt>
                <c:pt idx="221">
                  <c:v>3010391.120577977</c:v>
                </c:pt>
                <c:pt idx="222">
                  <c:v>3010391.120577977</c:v>
                </c:pt>
                <c:pt idx="223">
                  <c:v>3010391.120577977</c:v>
                </c:pt>
                <c:pt idx="224">
                  <c:v>3010391.120577977</c:v>
                </c:pt>
                <c:pt idx="225">
                  <c:v>3010391.120577977</c:v>
                </c:pt>
                <c:pt idx="226">
                  <c:v>3010391.120577977</c:v>
                </c:pt>
                <c:pt idx="227">
                  <c:v>3010391.120577977</c:v>
                </c:pt>
                <c:pt idx="228">
                  <c:v>3010391.120577977</c:v>
                </c:pt>
                <c:pt idx="229">
                  <c:v>3010391.120577977</c:v>
                </c:pt>
                <c:pt idx="230">
                  <c:v>3010391.120577977</c:v>
                </c:pt>
                <c:pt idx="231">
                  <c:v>3010391.120577977</c:v>
                </c:pt>
                <c:pt idx="232">
                  <c:v>3010391.120577977</c:v>
                </c:pt>
                <c:pt idx="233">
                  <c:v>3010391.120577977</c:v>
                </c:pt>
                <c:pt idx="234">
                  <c:v>3010391.120577977</c:v>
                </c:pt>
                <c:pt idx="235">
                  <c:v>3010391.120577977</c:v>
                </c:pt>
                <c:pt idx="236">
                  <c:v>3010391.120577977</c:v>
                </c:pt>
                <c:pt idx="237">
                  <c:v>3010391.120577977</c:v>
                </c:pt>
                <c:pt idx="238">
                  <c:v>3010391.120577977</c:v>
                </c:pt>
                <c:pt idx="239">
                  <c:v>3010391.120577977</c:v>
                </c:pt>
                <c:pt idx="240">
                  <c:v>3010391.120577977</c:v>
                </c:pt>
                <c:pt idx="241">
                  <c:v>3010391.120577977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1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(23% - current rate)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11.862232187344294</c:v>
                </c:pt>
                <c:pt idx="1">
                  <c:v>17.07274539113104</c:v>
                </c:pt>
                <c:pt idx="2">
                  <c:v>20.731190832087691</c:v>
                </c:pt>
                <c:pt idx="3">
                  <c:v>28.048081714000997</c:v>
                </c:pt>
                <c:pt idx="4">
                  <c:v>33.25859491778774</c:v>
                </c:pt>
                <c:pt idx="5">
                  <c:v>39.799451918285996</c:v>
                </c:pt>
                <c:pt idx="6">
                  <c:v>47.892376681614344</c:v>
                </c:pt>
                <c:pt idx="7">
                  <c:v>62.415296462381662</c:v>
                </c:pt>
                <c:pt idx="8">
                  <c:v>85.918036870951667</c:v>
                </c:pt>
                <c:pt idx="9">
                  <c:v>122.39162929745889</c:v>
                </c:pt>
                <c:pt idx="10">
                  <c:v>145.7835077229696</c:v>
                </c:pt>
                <c:pt idx="11">
                  <c:v>163.41056302939711</c:v>
                </c:pt>
                <c:pt idx="12">
                  <c:v>205.20553064275038</c:v>
                </c:pt>
                <c:pt idx="13">
                  <c:v>277.48754359740906</c:v>
                </c:pt>
                <c:pt idx="14">
                  <c:v>351.32162431489786</c:v>
                </c:pt>
                <c:pt idx="15">
                  <c:v>417.8388141504733</c:v>
                </c:pt>
                <c:pt idx="16">
                  <c:v>515.78517733873832</c:v>
                </c:pt>
                <c:pt idx="17">
                  <c:v>636.6913272603457</c:v>
                </c:pt>
                <c:pt idx="18">
                  <c:v>785.93930965626203</c:v>
                </c:pt>
                <c:pt idx="19">
                  <c:v>970.17278548602133</c:v>
                </c:pt>
                <c:pt idx="20">
                  <c:v>1197.592768466262</c:v>
                </c:pt>
                <c:pt idx="21">
                  <c:v>1478.3226869883692</c:v>
                </c:pt>
                <c:pt idx="22">
                  <c:v>1824.8590208701473</c:v>
                </c:pt>
                <c:pt idx="23">
                  <c:v>2252.6275726954004</c:v>
                </c:pt>
                <c:pt idx="24">
                  <c:v>2780.670135739023</c:v>
                </c:pt>
                <c:pt idx="25">
                  <c:v>3432.4921249804888</c:v>
                </c:pt>
                <c:pt idx="26">
                  <c:v>4237.1089028586812</c:v>
                </c:pt>
                <c:pt idx="27">
                  <c:v>5230.3373761669873</c:v>
                </c:pt>
                <c:pt idx="28">
                  <c:v>6456.3903585467442</c:v>
                </c:pt>
                <c:pt idx="29">
                  <c:v>7969.8446704185408</c:v>
                </c:pt>
                <c:pt idx="30">
                  <c:v>9838.0705848300131</c:v>
                </c:pt>
                <c:pt idx="31">
                  <c:v>12144.230764163023</c:v>
                </c:pt>
                <c:pt idx="32">
                  <c:v>14990.982183097629</c:v>
                </c:pt>
                <c:pt idx="33">
                  <c:v>18505.045826131322</c:v>
                </c:pt>
                <c:pt idx="34">
                  <c:v>22842.847576279459</c:v>
                </c:pt>
                <c:pt idx="35">
                  <c:v>28197.481394847397</c:v>
                </c:pt>
                <c:pt idx="36">
                  <c:v>34807.304752950906</c:v>
                </c:pt>
                <c:pt idx="37">
                  <c:v>42966.548933912527</c:v>
                </c:pt>
                <c:pt idx="38">
                  <c:v>53038.416516113284</c:v>
                </c:pt>
                <c:pt idx="39">
                  <c:v>65471.24906083446</c:v>
                </c:pt>
                <c:pt idx="40">
                  <c:v>80818.4846974752</c:v>
                </c:pt>
                <c:pt idx="41">
                  <c:v>99763.294002944502</c:v>
                </c:pt>
                <c:pt idx="42">
                  <c:v>123148.99082275011</c:v>
                </c:pt>
                <c:pt idx="43">
                  <c:v>152016.57174846469</c:v>
                </c:pt>
                <c:pt idx="44">
                  <c:v>187651.05529299256</c:v>
                </c:pt>
                <c:pt idx="45">
                  <c:v>231638.68351694613</c:v>
                </c:pt>
                <c:pt idx="46">
                  <c:v>285937.53239323042</c:v>
                </c:pt>
                <c:pt idx="47">
                  <c:v>352964.67407676455</c:v>
                </c:pt>
                <c:pt idx="48">
                  <c:v>435703.77104179742</c:v>
                </c:pt>
                <c:pt idx="49">
                  <c:v>537837.89155839477</c:v>
                </c:pt>
                <c:pt idx="50">
                  <c:v>663913.4586884944</c:v>
                </c:pt>
                <c:pt idx="51">
                  <c:v>819542.63086698542</c:v>
                </c:pt>
                <c:pt idx="52">
                  <c:v>1011653.1228861794</c:v>
                </c:pt>
                <c:pt idx="53">
                  <c:v>1248796.5878756919</c:v>
                </c:pt>
                <c:pt idx="54">
                  <c:v>1541529.2876681299</c:v>
                </c:pt>
                <c:pt idx="55">
                  <c:v>1902881.996803754</c:v>
                </c:pt>
                <c:pt idx="56">
                  <c:v>2348940.0575951855</c:v>
                </c:pt>
                <c:pt idx="57">
                  <c:v>2899559.4069642671</c:v>
                </c:pt>
                <c:pt idx="58">
                  <c:v>3010391.120577977</c:v>
                </c:pt>
                <c:pt idx="59">
                  <c:v>3010391.120577977</c:v>
                </c:pt>
                <c:pt idx="60">
                  <c:v>3010391.120577977</c:v>
                </c:pt>
                <c:pt idx="61">
                  <c:v>3010391.120577977</c:v>
                </c:pt>
                <c:pt idx="62">
                  <c:v>3010391.120577977</c:v>
                </c:pt>
                <c:pt idx="63">
                  <c:v>3010391.120577977</c:v>
                </c:pt>
                <c:pt idx="64">
                  <c:v>3010391.120577977</c:v>
                </c:pt>
                <c:pt idx="65">
                  <c:v>3010391.120577977</c:v>
                </c:pt>
                <c:pt idx="66">
                  <c:v>3010391.120577977</c:v>
                </c:pt>
                <c:pt idx="67">
                  <c:v>3010391.120577977</c:v>
                </c:pt>
                <c:pt idx="68">
                  <c:v>3010391.120577977</c:v>
                </c:pt>
                <c:pt idx="69">
                  <c:v>3010391.120577977</c:v>
                </c:pt>
                <c:pt idx="70">
                  <c:v>3010391.120577977</c:v>
                </c:pt>
                <c:pt idx="71">
                  <c:v>3010391.120577977</c:v>
                </c:pt>
                <c:pt idx="72">
                  <c:v>3010391.120577977</c:v>
                </c:pt>
                <c:pt idx="73">
                  <c:v>3010391.120577977</c:v>
                </c:pt>
                <c:pt idx="74">
                  <c:v>3010391.120577977</c:v>
                </c:pt>
                <c:pt idx="75">
                  <c:v>3010391.120577977</c:v>
                </c:pt>
                <c:pt idx="76">
                  <c:v>3010391.120577977</c:v>
                </c:pt>
                <c:pt idx="77">
                  <c:v>3010391.120577977</c:v>
                </c:pt>
                <c:pt idx="78">
                  <c:v>3010391.120577977</c:v>
                </c:pt>
                <c:pt idx="79">
                  <c:v>3010391.120577977</c:v>
                </c:pt>
                <c:pt idx="80">
                  <c:v>3010391.120577977</c:v>
                </c:pt>
                <c:pt idx="81">
                  <c:v>3010391.120577977</c:v>
                </c:pt>
                <c:pt idx="82">
                  <c:v>3010391.120577977</c:v>
                </c:pt>
                <c:pt idx="83">
                  <c:v>3010391.120577977</c:v>
                </c:pt>
                <c:pt idx="84">
                  <c:v>3010391.120577977</c:v>
                </c:pt>
                <c:pt idx="85">
                  <c:v>3010391.120577977</c:v>
                </c:pt>
                <c:pt idx="86">
                  <c:v>3010391.120577977</c:v>
                </c:pt>
                <c:pt idx="87">
                  <c:v>3010391.120577977</c:v>
                </c:pt>
                <c:pt idx="88">
                  <c:v>3010391.120577977</c:v>
                </c:pt>
                <c:pt idx="89">
                  <c:v>3010391.120577977</c:v>
                </c:pt>
                <c:pt idx="90">
                  <c:v>3010391.120577977</c:v>
                </c:pt>
                <c:pt idx="91">
                  <c:v>3010391.120577977</c:v>
                </c:pt>
                <c:pt idx="92">
                  <c:v>3010391.120577977</c:v>
                </c:pt>
                <c:pt idx="93">
                  <c:v>3010391.120577977</c:v>
                </c:pt>
                <c:pt idx="94">
                  <c:v>3010391.120577977</c:v>
                </c:pt>
                <c:pt idx="95">
                  <c:v>3010391.120577977</c:v>
                </c:pt>
                <c:pt idx="96">
                  <c:v>3010391.120577977</c:v>
                </c:pt>
                <c:pt idx="97">
                  <c:v>3010391.120577977</c:v>
                </c:pt>
                <c:pt idx="98">
                  <c:v>3010391.120577977</c:v>
                </c:pt>
                <c:pt idx="99">
                  <c:v>3010391.120577977</c:v>
                </c:pt>
                <c:pt idx="100">
                  <c:v>3010391.120577977</c:v>
                </c:pt>
                <c:pt idx="101">
                  <c:v>3010391.120577977</c:v>
                </c:pt>
                <c:pt idx="102">
                  <c:v>3010391.120577977</c:v>
                </c:pt>
                <c:pt idx="103">
                  <c:v>3010391.120577977</c:v>
                </c:pt>
                <c:pt idx="104">
                  <c:v>3010391.120577977</c:v>
                </c:pt>
                <c:pt idx="105">
                  <c:v>3010391.120577977</c:v>
                </c:pt>
                <c:pt idx="106">
                  <c:v>3010391.120577977</c:v>
                </c:pt>
                <c:pt idx="107">
                  <c:v>3010391.120577977</c:v>
                </c:pt>
                <c:pt idx="108">
                  <c:v>3010391.120577977</c:v>
                </c:pt>
                <c:pt idx="109">
                  <c:v>3010391.120577977</c:v>
                </c:pt>
                <c:pt idx="110">
                  <c:v>3010391.120577977</c:v>
                </c:pt>
                <c:pt idx="111">
                  <c:v>3010391.120577977</c:v>
                </c:pt>
                <c:pt idx="112">
                  <c:v>3010391.120577977</c:v>
                </c:pt>
                <c:pt idx="113">
                  <c:v>3010391.120577977</c:v>
                </c:pt>
                <c:pt idx="114">
                  <c:v>3010391.120577977</c:v>
                </c:pt>
                <c:pt idx="115">
                  <c:v>3010391.120577977</c:v>
                </c:pt>
                <c:pt idx="116">
                  <c:v>3010391.120577977</c:v>
                </c:pt>
                <c:pt idx="117">
                  <c:v>3010391.120577977</c:v>
                </c:pt>
                <c:pt idx="118">
                  <c:v>3010391.120577977</c:v>
                </c:pt>
                <c:pt idx="119">
                  <c:v>3010391.120577977</c:v>
                </c:pt>
                <c:pt idx="120">
                  <c:v>3010391.120577977</c:v>
                </c:pt>
                <c:pt idx="121">
                  <c:v>3010391.120577977</c:v>
                </c:pt>
                <c:pt idx="122">
                  <c:v>3010391.120577977</c:v>
                </c:pt>
                <c:pt idx="123">
                  <c:v>3010391.120577977</c:v>
                </c:pt>
                <c:pt idx="124">
                  <c:v>3010391.120577977</c:v>
                </c:pt>
                <c:pt idx="125">
                  <c:v>3010391.120577977</c:v>
                </c:pt>
                <c:pt idx="126">
                  <c:v>3010391.120577977</c:v>
                </c:pt>
                <c:pt idx="127">
                  <c:v>3010391.120577977</c:v>
                </c:pt>
                <c:pt idx="128">
                  <c:v>3010391.120577977</c:v>
                </c:pt>
                <c:pt idx="129">
                  <c:v>3010391.120577977</c:v>
                </c:pt>
                <c:pt idx="130">
                  <c:v>3010391.120577977</c:v>
                </c:pt>
                <c:pt idx="131">
                  <c:v>3010391.120577977</c:v>
                </c:pt>
                <c:pt idx="132">
                  <c:v>3010391.120577977</c:v>
                </c:pt>
                <c:pt idx="133">
                  <c:v>3010391.120577977</c:v>
                </c:pt>
                <c:pt idx="134">
                  <c:v>3010391.120577977</c:v>
                </c:pt>
                <c:pt idx="135">
                  <c:v>3010391.120577977</c:v>
                </c:pt>
                <c:pt idx="136">
                  <c:v>3010391.120577977</c:v>
                </c:pt>
                <c:pt idx="137">
                  <c:v>3010391.120577977</c:v>
                </c:pt>
                <c:pt idx="138">
                  <c:v>3010391.120577977</c:v>
                </c:pt>
                <c:pt idx="139">
                  <c:v>3010391.120577977</c:v>
                </c:pt>
                <c:pt idx="140">
                  <c:v>3010391.120577977</c:v>
                </c:pt>
                <c:pt idx="141">
                  <c:v>3010391.120577977</c:v>
                </c:pt>
                <c:pt idx="142">
                  <c:v>3010391.120577977</c:v>
                </c:pt>
                <c:pt idx="143">
                  <c:v>3010391.120577977</c:v>
                </c:pt>
                <c:pt idx="144">
                  <c:v>3010391.120577977</c:v>
                </c:pt>
                <c:pt idx="145">
                  <c:v>3010391.120577977</c:v>
                </c:pt>
                <c:pt idx="146">
                  <c:v>3010391.120577977</c:v>
                </c:pt>
                <c:pt idx="147">
                  <c:v>3010391.120577977</c:v>
                </c:pt>
                <c:pt idx="148">
                  <c:v>3010391.120577977</c:v>
                </c:pt>
                <c:pt idx="149">
                  <c:v>3010391.120577977</c:v>
                </c:pt>
                <c:pt idx="150">
                  <c:v>3010391.120577977</c:v>
                </c:pt>
                <c:pt idx="151">
                  <c:v>3010391.120577977</c:v>
                </c:pt>
                <c:pt idx="152">
                  <c:v>3010391.120577977</c:v>
                </c:pt>
                <c:pt idx="153">
                  <c:v>3010391.120577977</c:v>
                </c:pt>
                <c:pt idx="154">
                  <c:v>3010391.120577977</c:v>
                </c:pt>
                <c:pt idx="155">
                  <c:v>3010391.120577977</c:v>
                </c:pt>
                <c:pt idx="156">
                  <c:v>3010391.120577977</c:v>
                </c:pt>
                <c:pt idx="157">
                  <c:v>3010391.120577977</c:v>
                </c:pt>
                <c:pt idx="158">
                  <c:v>3010391.120577977</c:v>
                </c:pt>
                <c:pt idx="159">
                  <c:v>3010391.120577977</c:v>
                </c:pt>
                <c:pt idx="160">
                  <c:v>3010391.120577977</c:v>
                </c:pt>
                <c:pt idx="161">
                  <c:v>3010391.120577977</c:v>
                </c:pt>
                <c:pt idx="162">
                  <c:v>3010391.120577977</c:v>
                </c:pt>
                <c:pt idx="163">
                  <c:v>3010391.120577977</c:v>
                </c:pt>
                <c:pt idx="164">
                  <c:v>3010391.120577977</c:v>
                </c:pt>
                <c:pt idx="165">
                  <c:v>3010391.120577977</c:v>
                </c:pt>
                <c:pt idx="166">
                  <c:v>3010391.120577977</c:v>
                </c:pt>
                <c:pt idx="167">
                  <c:v>3010391.120577977</c:v>
                </c:pt>
                <c:pt idx="168">
                  <c:v>3010391.120577977</c:v>
                </c:pt>
                <c:pt idx="169">
                  <c:v>3010391.120577977</c:v>
                </c:pt>
                <c:pt idx="170">
                  <c:v>3010391.120577977</c:v>
                </c:pt>
                <c:pt idx="171">
                  <c:v>3010391.120577977</c:v>
                </c:pt>
                <c:pt idx="172">
                  <c:v>3010391.120577977</c:v>
                </c:pt>
                <c:pt idx="173">
                  <c:v>3010391.120577977</c:v>
                </c:pt>
                <c:pt idx="174">
                  <c:v>3010391.120577977</c:v>
                </c:pt>
                <c:pt idx="175">
                  <c:v>3010391.120577977</c:v>
                </c:pt>
                <c:pt idx="176">
                  <c:v>3010391.120577977</c:v>
                </c:pt>
                <c:pt idx="177">
                  <c:v>3010391.120577977</c:v>
                </c:pt>
                <c:pt idx="178">
                  <c:v>3010391.120577977</c:v>
                </c:pt>
                <c:pt idx="179">
                  <c:v>3010391.120577977</c:v>
                </c:pt>
                <c:pt idx="180">
                  <c:v>3010391.120577977</c:v>
                </c:pt>
                <c:pt idx="181">
                  <c:v>3010391.120577977</c:v>
                </c:pt>
                <c:pt idx="182">
                  <c:v>3010391.120577977</c:v>
                </c:pt>
                <c:pt idx="183">
                  <c:v>3010391.120577977</c:v>
                </c:pt>
                <c:pt idx="184">
                  <c:v>3010391.120577977</c:v>
                </c:pt>
                <c:pt idx="185">
                  <c:v>3010391.120577977</c:v>
                </c:pt>
                <c:pt idx="186">
                  <c:v>3010391.120577977</c:v>
                </c:pt>
                <c:pt idx="187">
                  <c:v>3010391.120577977</c:v>
                </c:pt>
                <c:pt idx="188">
                  <c:v>3010391.120577977</c:v>
                </c:pt>
                <c:pt idx="189">
                  <c:v>3010391.120577977</c:v>
                </c:pt>
                <c:pt idx="190">
                  <c:v>3010391.120577977</c:v>
                </c:pt>
                <c:pt idx="191">
                  <c:v>3010391.120577977</c:v>
                </c:pt>
                <c:pt idx="192">
                  <c:v>3010391.120577977</c:v>
                </c:pt>
                <c:pt idx="193">
                  <c:v>3010391.120577977</c:v>
                </c:pt>
                <c:pt idx="194">
                  <c:v>3010391.120577977</c:v>
                </c:pt>
                <c:pt idx="195">
                  <c:v>3010391.120577977</c:v>
                </c:pt>
                <c:pt idx="196">
                  <c:v>3010391.120577977</c:v>
                </c:pt>
                <c:pt idx="197">
                  <c:v>3010391.120577977</c:v>
                </c:pt>
                <c:pt idx="198">
                  <c:v>3010391.120577977</c:v>
                </c:pt>
                <c:pt idx="199">
                  <c:v>3010391.120577977</c:v>
                </c:pt>
                <c:pt idx="200">
                  <c:v>3010391.120577977</c:v>
                </c:pt>
                <c:pt idx="201">
                  <c:v>3010391.120577977</c:v>
                </c:pt>
                <c:pt idx="202">
                  <c:v>3010391.120577977</c:v>
                </c:pt>
                <c:pt idx="203">
                  <c:v>3010391.120577977</c:v>
                </c:pt>
                <c:pt idx="204">
                  <c:v>3010391.120577977</c:v>
                </c:pt>
                <c:pt idx="205">
                  <c:v>3010391.120577977</c:v>
                </c:pt>
                <c:pt idx="206">
                  <c:v>3010391.120577977</c:v>
                </c:pt>
                <c:pt idx="207">
                  <c:v>3010391.120577977</c:v>
                </c:pt>
                <c:pt idx="208">
                  <c:v>3010391.120577977</c:v>
                </c:pt>
                <c:pt idx="209">
                  <c:v>3010391.120577977</c:v>
                </c:pt>
                <c:pt idx="210">
                  <c:v>3010391.120577977</c:v>
                </c:pt>
                <c:pt idx="211">
                  <c:v>3010391.120577977</c:v>
                </c:pt>
                <c:pt idx="212">
                  <c:v>3010391.120577977</c:v>
                </c:pt>
                <c:pt idx="213">
                  <c:v>3010391.120577977</c:v>
                </c:pt>
                <c:pt idx="214">
                  <c:v>3010391.120577977</c:v>
                </c:pt>
                <c:pt idx="215">
                  <c:v>3010391.120577977</c:v>
                </c:pt>
                <c:pt idx="216">
                  <c:v>3010391.120577977</c:v>
                </c:pt>
                <c:pt idx="217">
                  <c:v>3010391.120577977</c:v>
                </c:pt>
                <c:pt idx="218">
                  <c:v>3010391.120577977</c:v>
                </c:pt>
                <c:pt idx="219">
                  <c:v>3010391.120577977</c:v>
                </c:pt>
                <c:pt idx="220">
                  <c:v>3010391.120577977</c:v>
                </c:pt>
                <c:pt idx="221">
                  <c:v>3010391.120577977</c:v>
                </c:pt>
                <c:pt idx="222">
                  <c:v>3010391.120577977</c:v>
                </c:pt>
                <c:pt idx="223">
                  <c:v>3010391.120577977</c:v>
                </c:pt>
                <c:pt idx="224">
                  <c:v>3010391.120577977</c:v>
                </c:pt>
                <c:pt idx="225">
                  <c:v>3010391.120577977</c:v>
                </c:pt>
                <c:pt idx="226">
                  <c:v>3010391.120577977</c:v>
                </c:pt>
                <c:pt idx="227">
                  <c:v>3010391.120577977</c:v>
                </c:pt>
                <c:pt idx="228">
                  <c:v>3010391.120577977</c:v>
                </c:pt>
                <c:pt idx="229">
                  <c:v>3010391.120577977</c:v>
                </c:pt>
                <c:pt idx="230">
                  <c:v>3010391.120577977</c:v>
                </c:pt>
                <c:pt idx="231">
                  <c:v>3010391.120577977</c:v>
                </c:pt>
                <c:pt idx="232">
                  <c:v>3010391.120577977</c:v>
                </c:pt>
                <c:pt idx="233">
                  <c:v>3010391.120577977</c:v>
                </c:pt>
                <c:pt idx="234">
                  <c:v>3010391.120577977</c:v>
                </c:pt>
                <c:pt idx="235">
                  <c:v>3010391.120577977</c:v>
                </c:pt>
                <c:pt idx="236">
                  <c:v>3010391.120577977</c:v>
                </c:pt>
                <c:pt idx="237">
                  <c:v>3010391.120577977</c:v>
                </c:pt>
                <c:pt idx="238">
                  <c:v>3010391.120577977</c:v>
                </c:pt>
                <c:pt idx="239">
                  <c:v>3010391.120577977</c:v>
                </c:pt>
                <c:pt idx="240">
                  <c:v>3010391.120577977</c:v>
                </c:pt>
                <c:pt idx="241">
                  <c:v>3010391.120577977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6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6720.715088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Projections_Data!$G$9:$KU$9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3169</c:v>
                </c:pt>
                <c:pt idx="15">
                  <c:v>3769</c:v>
                </c:pt>
                <c:pt idx="16">
                  <c:v>4145.9000000000005</c:v>
                </c:pt>
                <c:pt idx="17">
                  <c:v>4560.4900000000007</c:v>
                </c:pt>
                <c:pt idx="18">
                  <c:v>5016.5390000000016</c:v>
                </c:pt>
                <c:pt idx="19">
                  <c:v>5518.1929000000018</c:v>
                </c:pt>
                <c:pt idx="20">
                  <c:v>6070.0121900000022</c:v>
                </c:pt>
                <c:pt idx="21">
                  <c:v>6677.0134090000029</c:v>
                </c:pt>
                <c:pt idx="22">
                  <c:v>7344.7147499000039</c:v>
                </c:pt>
                <c:pt idx="23">
                  <c:v>8079.1862248900052</c:v>
                </c:pt>
                <c:pt idx="24">
                  <c:v>8887.104847379007</c:v>
                </c:pt>
                <c:pt idx="25">
                  <c:v>9775.8153321169084</c:v>
                </c:pt>
                <c:pt idx="26">
                  <c:v>10753.396865328599</c:v>
                </c:pt>
                <c:pt idx="27">
                  <c:v>11828.736551861461</c:v>
                </c:pt>
                <c:pt idx="28">
                  <c:v>13011.610207047608</c:v>
                </c:pt>
                <c:pt idx="29">
                  <c:v>14312.77122775237</c:v>
                </c:pt>
                <c:pt idx="30">
                  <c:v>15744.048350527608</c:v>
                </c:pt>
                <c:pt idx="31">
                  <c:v>17318.453185580369</c:v>
                </c:pt>
                <c:pt idx="32">
                  <c:v>19050.298504138409</c:v>
                </c:pt>
                <c:pt idx="33">
                  <c:v>20955.32835455225</c:v>
                </c:pt>
                <c:pt idx="34">
                  <c:v>23050.861190007476</c:v>
                </c:pt>
                <c:pt idx="35">
                  <c:v>25355.947309008225</c:v>
                </c:pt>
                <c:pt idx="36">
                  <c:v>27891.542039909051</c:v>
                </c:pt>
                <c:pt idx="37">
                  <c:v>30680.696243899958</c:v>
                </c:pt>
                <c:pt idx="38">
                  <c:v>33748.765868289956</c:v>
                </c:pt>
                <c:pt idx="39">
                  <c:v>37123.642455118956</c:v>
                </c:pt>
                <c:pt idx="40">
                  <c:v>40836.006700630853</c:v>
                </c:pt>
                <c:pt idx="41">
                  <c:v>44919.607370693942</c:v>
                </c:pt>
                <c:pt idx="42">
                  <c:v>49411.568107763342</c:v>
                </c:pt>
                <c:pt idx="43">
                  <c:v>54352.724918539679</c:v>
                </c:pt>
                <c:pt idx="44">
                  <c:v>59787.997410393655</c:v>
                </c:pt>
                <c:pt idx="45">
                  <c:v>65766.797151433027</c:v>
                </c:pt>
                <c:pt idx="46">
                  <c:v>72343.47686657634</c:v>
                </c:pt>
                <c:pt idx="47">
                  <c:v>79577.824553233979</c:v>
                </c:pt>
                <c:pt idx="48">
                  <c:v>87535.607008557388</c:v>
                </c:pt>
                <c:pt idx="49">
                  <c:v>96289.16770941313</c:v>
                </c:pt>
                <c:pt idx="50">
                  <c:v>105918.08448035445</c:v>
                </c:pt>
                <c:pt idx="51">
                  <c:v>116509.89292838991</c:v>
                </c:pt>
                <c:pt idx="52">
                  <c:v>128160.88222122891</c:v>
                </c:pt>
                <c:pt idx="53">
                  <c:v>140976.97044335181</c:v>
                </c:pt>
                <c:pt idx="54">
                  <c:v>155074.66748768699</c:v>
                </c:pt>
                <c:pt idx="55">
                  <c:v>170582.13423645572</c:v>
                </c:pt>
                <c:pt idx="56">
                  <c:v>187640.34766010131</c:v>
                </c:pt>
                <c:pt idx="57">
                  <c:v>206404.38242611146</c:v>
                </c:pt>
                <c:pt idx="58">
                  <c:v>227044.82066872262</c:v>
                </c:pt>
                <c:pt idx="59">
                  <c:v>249749.30273559489</c:v>
                </c:pt>
                <c:pt idx="60">
                  <c:v>274724.23300915438</c:v>
                </c:pt>
                <c:pt idx="61">
                  <c:v>302196.65631006984</c:v>
                </c:pt>
                <c:pt idx="62">
                  <c:v>332416.32194107684</c:v>
                </c:pt>
                <c:pt idx="63">
                  <c:v>365657.95413518453</c:v>
                </c:pt>
                <c:pt idx="64">
                  <c:v>402223.74954870302</c:v>
                </c:pt>
                <c:pt idx="65">
                  <c:v>442446.12450357334</c:v>
                </c:pt>
                <c:pt idx="66">
                  <c:v>486690.7369539307</c:v>
                </c:pt>
                <c:pt idx="67">
                  <c:v>535359.81064932386</c:v>
                </c:pt>
                <c:pt idx="68">
                  <c:v>588895.79171425628</c:v>
                </c:pt>
                <c:pt idx="69">
                  <c:v>647785.37088568194</c:v>
                </c:pt>
                <c:pt idx="70">
                  <c:v>712563.90797425015</c:v>
                </c:pt>
                <c:pt idx="71">
                  <c:v>783820.29877167521</c:v>
                </c:pt>
                <c:pt idx="72">
                  <c:v>862202.32864884275</c:v>
                </c:pt>
                <c:pt idx="73">
                  <c:v>948422.56151372707</c:v>
                </c:pt>
                <c:pt idx="74">
                  <c:v>1043264.8176650999</c:v>
                </c:pt>
                <c:pt idx="75">
                  <c:v>1147591.2994316099</c:v>
                </c:pt>
                <c:pt idx="76">
                  <c:v>1262350.429374771</c:v>
                </c:pt>
                <c:pt idx="77">
                  <c:v>1388585.4723122481</c:v>
                </c:pt>
                <c:pt idx="78">
                  <c:v>1527444.0195434729</c:v>
                </c:pt>
                <c:pt idx="79">
                  <c:v>1680188.4214978204</c:v>
                </c:pt>
                <c:pt idx="80">
                  <c:v>1848207.2636476026</c:v>
                </c:pt>
                <c:pt idx="81">
                  <c:v>2033027.9900123631</c:v>
                </c:pt>
                <c:pt idx="82">
                  <c:v>2236330.7890135995</c:v>
                </c:pt>
                <c:pt idx="83">
                  <c:v>2459963.8679149598</c:v>
                </c:pt>
                <c:pt idx="84">
                  <c:v>2705960.2547064559</c:v>
                </c:pt>
                <c:pt idx="85">
                  <c:v>2976556.2801771015</c:v>
                </c:pt>
                <c:pt idx="86">
                  <c:v>3274211.908194812</c:v>
                </c:pt>
                <c:pt idx="87">
                  <c:v>3601633.0990142934</c:v>
                </c:pt>
                <c:pt idx="88">
                  <c:v>3961796.4089157232</c:v>
                </c:pt>
                <c:pt idx="89">
                  <c:v>4357976.0498072961</c:v>
                </c:pt>
                <c:pt idx="90">
                  <c:v>4793773.6547880266</c:v>
                </c:pt>
                <c:pt idx="91">
                  <c:v>5273151.02026683</c:v>
                </c:pt>
                <c:pt idx="92">
                  <c:v>5800466.1222935133</c:v>
                </c:pt>
                <c:pt idx="93">
                  <c:v>6380512.7345228652</c:v>
                </c:pt>
                <c:pt idx="94">
                  <c:v>7018564.0079751527</c:v>
                </c:pt>
                <c:pt idx="95">
                  <c:v>7720420.4087726688</c:v>
                </c:pt>
                <c:pt idx="96">
                  <c:v>8492462.4496499356</c:v>
                </c:pt>
                <c:pt idx="97">
                  <c:v>9341708.6946149301</c:v>
                </c:pt>
                <c:pt idx="98">
                  <c:v>10275879.564076424</c:v>
                </c:pt>
                <c:pt idx="99">
                  <c:v>11303467.520484067</c:v>
                </c:pt>
                <c:pt idx="100">
                  <c:v>12433814.272532476</c:v>
                </c:pt>
                <c:pt idx="101">
                  <c:v>13677195.699785724</c:v>
                </c:pt>
                <c:pt idx="102">
                  <c:v>15044915.269764299</c:v>
                </c:pt>
                <c:pt idx="103">
                  <c:v>16549406.796740729</c:v>
                </c:pt>
                <c:pt idx="104">
                  <c:v>18204347.476414803</c:v>
                </c:pt>
                <c:pt idx="105">
                  <c:v>20024782.224056285</c:v>
                </c:pt>
                <c:pt idx="106">
                  <c:v>22027260.446461916</c:v>
                </c:pt>
                <c:pt idx="107">
                  <c:v>24229986.491108108</c:v>
                </c:pt>
                <c:pt idx="108">
                  <c:v>26652985.140218921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Projections_Data!$G$11:$KU$11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3169</c:v>
                </c:pt>
                <c:pt idx="15">
                  <c:v>3769</c:v>
                </c:pt>
                <c:pt idx="16">
                  <c:v>4711.25</c:v>
                </c:pt>
                <c:pt idx="17">
                  <c:v>5889.0625</c:v>
                </c:pt>
                <c:pt idx="18">
                  <c:v>7361.328125</c:v>
                </c:pt>
                <c:pt idx="19">
                  <c:v>9201.66015625</c:v>
                </c:pt>
                <c:pt idx="20">
                  <c:v>11502.0751953125</c:v>
                </c:pt>
                <c:pt idx="21">
                  <c:v>14377.593994140625</c:v>
                </c:pt>
                <c:pt idx="22">
                  <c:v>17971.992492675781</c:v>
                </c:pt>
                <c:pt idx="23">
                  <c:v>22464.990615844727</c:v>
                </c:pt>
                <c:pt idx="24">
                  <c:v>28081.238269805908</c:v>
                </c:pt>
                <c:pt idx="25">
                  <c:v>35101.547837257385</c:v>
                </c:pt>
                <c:pt idx="26">
                  <c:v>43876.934796571732</c:v>
                </c:pt>
                <c:pt idx="27">
                  <c:v>54846.168495714664</c:v>
                </c:pt>
                <c:pt idx="28">
                  <c:v>68557.710619643331</c:v>
                </c:pt>
                <c:pt idx="29">
                  <c:v>85697.138274554163</c:v>
                </c:pt>
                <c:pt idx="30">
                  <c:v>107121.4228431927</c:v>
                </c:pt>
                <c:pt idx="31">
                  <c:v>133901.77855399088</c:v>
                </c:pt>
                <c:pt idx="32">
                  <c:v>167377.2231924886</c:v>
                </c:pt>
                <c:pt idx="33">
                  <c:v>209221.52899061074</c:v>
                </c:pt>
                <c:pt idx="34">
                  <c:v>261526.91123826342</c:v>
                </c:pt>
                <c:pt idx="35">
                  <c:v>326908.63904782926</c:v>
                </c:pt>
                <c:pt idx="36">
                  <c:v>408635.79880978656</c:v>
                </c:pt>
                <c:pt idx="37">
                  <c:v>510794.7485122332</c:v>
                </c:pt>
                <c:pt idx="38">
                  <c:v>638493.43564029154</c:v>
                </c:pt>
                <c:pt idx="39">
                  <c:v>798116.79455036437</c:v>
                </c:pt>
                <c:pt idx="40">
                  <c:v>997645.99318795546</c:v>
                </c:pt>
                <c:pt idx="41">
                  <c:v>1247057.4914849442</c:v>
                </c:pt>
                <c:pt idx="42">
                  <c:v>1558821.8643561802</c:v>
                </c:pt>
                <c:pt idx="43">
                  <c:v>1948527.3304452254</c:v>
                </c:pt>
                <c:pt idx="44">
                  <c:v>2435659.1630565319</c:v>
                </c:pt>
                <c:pt idx="45">
                  <c:v>3044573.9538206649</c:v>
                </c:pt>
                <c:pt idx="46">
                  <c:v>3805717.442275831</c:v>
                </c:pt>
                <c:pt idx="47">
                  <c:v>4757146.8028447889</c:v>
                </c:pt>
                <c:pt idx="48">
                  <c:v>5946433.5035559861</c:v>
                </c:pt>
                <c:pt idx="49">
                  <c:v>7433041.8794449829</c:v>
                </c:pt>
                <c:pt idx="50">
                  <c:v>9291302.3493062295</c:v>
                </c:pt>
                <c:pt idx="51">
                  <c:v>11614127.936632786</c:v>
                </c:pt>
                <c:pt idx="52">
                  <c:v>14517659.920790982</c:v>
                </c:pt>
                <c:pt idx="53">
                  <c:v>18147074.900988728</c:v>
                </c:pt>
                <c:pt idx="54">
                  <c:v>22683843.62623591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Projections_Data!$G$15:$KU$15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3169</c:v>
                </c:pt>
                <c:pt idx="15">
                  <c:v>3769</c:v>
                </c:pt>
                <c:pt idx="16">
                  <c:v>5276.5999999999995</c:v>
                </c:pt>
                <c:pt idx="17">
                  <c:v>7387.2399999999989</c:v>
                </c:pt>
                <c:pt idx="18">
                  <c:v>10342.135999999999</c:v>
                </c:pt>
                <c:pt idx="19">
                  <c:v>14478.990399999997</c:v>
                </c:pt>
                <c:pt idx="20">
                  <c:v>20270.586559999996</c:v>
                </c:pt>
                <c:pt idx="21">
                  <c:v>28378.821183999993</c:v>
                </c:pt>
                <c:pt idx="22">
                  <c:v>39730.349657599989</c:v>
                </c:pt>
                <c:pt idx="23">
                  <c:v>55622.489520639981</c:v>
                </c:pt>
                <c:pt idx="24">
                  <c:v>77871.485328895971</c:v>
                </c:pt>
                <c:pt idx="25">
                  <c:v>109020.07946045435</c:v>
                </c:pt>
                <c:pt idx="26">
                  <c:v>152628.11124463606</c:v>
                </c:pt>
                <c:pt idx="27">
                  <c:v>213679.35574249047</c:v>
                </c:pt>
                <c:pt idx="28">
                  <c:v>299151.09803948662</c:v>
                </c:pt>
                <c:pt idx="29">
                  <c:v>418811.53725528123</c:v>
                </c:pt>
                <c:pt idx="30">
                  <c:v>586336.15215739363</c:v>
                </c:pt>
                <c:pt idx="31">
                  <c:v>820870.61302035104</c:v>
                </c:pt>
                <c:pt idx="32">
                  <c:v>1149218.8582284914</c:v>
                </c:pt>
                <c:pt idx="33">
                  <c:v>1608906.4015198878</c:v>
                </c:pt>
                <c:pt idx="34">
                  <c:v>2252468.9621278429</c:v>
                </c:pt>
                <c:pt idx="35">
                  <c:v>3153456.5469789798</c:v>
                </c:pt>
                <c:pt idx="36">
                  <c:v>4414839.1657705717</c:v>
                </c:pt>
                <c:pt idx="37">
                  <c:v>6180774.8320787996</c:v>
                </c:pt>
                <c:pt idx="38">
                  <c:v>8653084.7649103198</c:v>
                </c:pt>
                <c:pt idx="39">
                  <c:v>12114318.670874447</c:v>
                </c:pt>
                <c:pt idx="40">
                  <c:v>16960046.139224224</c:v>
                </c:pt>
                <c:pt idx="41">
                  <c:v>23744064.594913911</c:v>
                </c:pt>
                <c:pt idx="42">
                  <c:v>27154404.400000002</c:v>
                </c:pt>
                <c:pt idx="43">
                  <c:v>27154404.400000002</c:v>
                </c:pt>
                <c:pt idx="44">
                  <c:v>27154404.400000002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(23%)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Projections_Data!$G$6:$KU$6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3169</c:v>
                </c:pt>
                <c:pt idx="15">
                  <c:v>3769</c:v>
                </c:pt>
                <c:pt idx="16">
                  <c:v>4652.4982063768448</c:v>
                </c:pt>
                <c:pt idx="17">
                  <c:v>5743.0988485910739</c:v>
                </c:pt>
                <c:pt idx="18">
                  <c:v>7089.349188674687</c:v>
                </c:pt>
                <c:pt idx="19">
                  <c:v>8751.1765414402016</c:v>
                </c:pt>
                <c:pt idx="20">
                  <c:v>10802.555893536126</c:v>
                </c:pt>
                <c:pt idx="21">
                  <c:v>13334.802843980482</c:v>
                </c:pt>
                <c:pt idx="22">
                  <c:v>16460.638448927577</c:v>
                </c:pt>
                <c:pt idx="23">
                  <c:v>20319.206914155817</c:v>
                </c:pt>
                <c:pt idx="24">
                  <c:v>25082.269494059412</c:v>
                </c:pt>
                <c:pt idx="25">
                  <c:v>30961.850313868948</c:v>
                </c:pt>
                <c:pt idx="26">
                  <c:v>38219.674463089315</c:v>
                </c:pt>
                <c:pt idx="27">
                  <c:v>47178.81848973997</c:v>
                </c:pt>
                <c:pt idx="28">
                  <c:v>58238.091908329508</c:v>
                </c:pt>
                <c:pt idx="29">
                  <c:v>71889.789903505676</c:v>
                </c:pt>
                <c:pt idx="30">
                  <c:v>88741.607477545331</c:v>
                </c:pt>
                <c:pt idx="31">
                  <c:v>109543.69053337163</c:v>
                </c:pt>
                <c:pt idx="32">
                  <c:v>135222.02805158176</c:v>
                </c:pt>
                <c:pt idx="33">
                  <c:v>166919.67178896882</c:v>
                </c:pt>
                <c:pt idx="34">
                  <c:v>206047.61836221517</c:v>
                </c:pt>
                <c:pt idx="35">
                  <c:v>254347.61869419654</c:v>
                </c:pt>
                <c:pt idx="36">
                  <c:v>313969.71073785383</c:v>
                </c:pt>
                <c:pt idx="37">
                  <c:v>387567.92678814585</c:v>
                </c:pt>
                <c:pt idx="38">
                  <c:v>478418.43572062638</c:v>
                </c:pt>
                <c:pt idx="39">
                  <c:v>590565.37916896527</c:v>
                </c:pt>
                <c:pt idx="40">
                  <c:v>729000.89342846174</c:v>
                </c:pt>
                <c:pt idx="41">
                  <c:v>899887.33062431298</c:v>
                </c:pt>
                <c:pt idx="42">
                  <c:v>1110831.571151728</c:v>
                </c:pt>
                <c:pt idx="43">
                  <c:v>1371223.6381985107</c:v>
                </c:pt>
                <c:pt idx="44">
                  <c:v>1692654.6875192632</c:v>
                </c:pt>
                <c:pt idx="45">
                  <c:v>2089432.9789595995</c:v>
                </c:pt>
                <c:pt idx="46">
                  <c:v>2579220.7978121955</c:v>
                </c:pt>
                <c:pt idx="47">
                  <c:v>3183820.6780767031</c:v>
                </c:pt>
                <c:pt idx="48">
                  <c:v>3930145.9257567977</c:v>
                </c:pt>
                <c:pt idx="49">
                  <c:v>4851418.6443042625</c:v>
                </c:pt>
                <c:pt idx="50">
                  <c:v>5988648.5914058806</c:v>
                </c:pt>
                <c:pt idx="51">
                  <c:v>7392458.6973035494</c:v>
                </c:pt>
                <c:pt idx="52">
                  <c:v>9125338.5062137619</c:v>
                </c:pt>
                <c:pt idx="53">
                  <c:v>11264425.851085456</c:v>
                </c:pt>
                <c:pt idx="54">
                  <c:v>13904940.585842412</c:v>
                </c:pt>
                <c:pt idx="55">
                  <c:v>17164423.225101728</c:v>
                </c:pt>
                <c:pt idx="56">
                  <c:v>21187967.17120691</c:v>
                </c:pt>
                <c:pt idx="57">
                  <c:v>26154677.43720128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7"/>
          <c:order val="5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6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ser>
          <c:idx val="0"/>
          <c:order val="7"/>
          <c:tx>
            <c:strRef>
              <c:f>Projections_Data!$F$5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D-4F96-B115-63E8B4896D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Projections_Data!$G$5:$IN$5</c:f>
              <c:numCache>
                <c:formatCode>_-* #,##0_-;\-* #,##0_-;_-* "-"??_-;_-@_-</c:formatCode>
                <c:ptCount val="242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3169</c:v>
                </c:pt>
                <c:pt idx="15">
                  <c:v>3769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44D1-B4C6-278668D08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4"/>
          <c:tx>
            <c:strRef>
              <c:f>Projections_Data!$F$25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F38-4D9F-BABB-17385EC32BB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0.00%</c:formatCode>
                <c:ptCount val="242"/>
                <c:pt idx="0">
                  <c:v>0.43925233644859807</c:v>
                </c:pt>
                <c:pt idx="1">
                  <c:v>0.43925233644859807</c:v>
                </c:pt>
                <c:pt idx="2">
                  <c:v>0.32199226601439279</c:v>
                </c:pt>
                <c:pt idx="3">
                  <c:v>0.3322290961318255</c:v>
                </c:pt>
                <c:pt idx="4">
                  <c:v>0.29400027687703489</c:v>
                </c:pt>
                <c:pt idx="5">
                  <c:v>0.2739199362727387</c:v>
                </c:pt>
                <c:pt idx="6">
                  <c:v>0.22911524453248044</c:v>
                </c:pt>
                <c:pt idx="7">
                  <c:v>0.24661789739564544</c:v>
                </c:pt>
                <c:pt idx="8">
                  <c:v>0.25093929874985577</c:v>
                </c:pt>
                <c:pt idx="9">
                  <c:v>0.29768583396252413</c:v>
                </c:pt>
                <c:pt idx="10">
                  <c:v>0.29648131138297362</c:v>
                </c:pt>
                <c:pt idx="11">
                  <c:v>0.278211578840591</c:v>
                </c:pt>
                <c:pt idx="12">
                  <c:v>0.26876036963610472</c:v>
                </c:pt>
                <c:pt idx="13">
                  <c:v>0.26424670212945167</c:v>
                </c:pt>
                <c:pt idx="14">
                  <c:v>0.23478297583703434</c:v>
                </c:pt>
                <c:pt idx="15">
                  <c:v>0.23441183506947327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6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113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3.8733884320672735E-2"/>
          <c:y val="0.87336570406812253"/>
          <c:w val="0.96067409749301691"/>
          <c:h val="0.12663423546977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/>
              <a:t>Number</a:t>
            </a:r>
            <a:r>
              <a:rPr lang="en-GB" baseline="0"/>
              <a:t> of cases country by day since 100th infection</a:t>
            </a:r>
            <a:endParaRPr lang="en-GB"/>
          </a:p>
        </c:rich>
      </c:tx>
      <c:layout>
        <c:manualLayout>
          <c:xMode val="edge"/>
          <c:yMode val="edge"/>
          <c:x val="0.22355952870983875"/>
          <c:y val="1.723289020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85542965665876E-2"/>
          <c:y val="7.4670365244226308E-2"/>
          <c:w val="0.72780846534149513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Germany</c:v>
                </c:pt>
              </c:strCache>
            </c:strRef>
          </c:tx>
          <c:spPr>
            <a:ln w="4445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France</c:v>
                </c:pt>
              </c:strCache>
            </c:strRef>
          </c:tx>
          <c:spPr>
            <a:ln w="44450" cap="rnd" cmpd="sng" algn="ctr">
              <a:solidFill>
                <a:srgbClr val="A5A5A5">
                  <a:lumMod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  <c:pt idx="20">
                  <c:v>12726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FFC000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Japan</c:v>
                </c:pt>
              </c:strCache>
            </c:strRef>
          </c:tx>
          <c:spPr>
            <a:ln w="44450" cap="rnd" cmpd="sng" algn="ctr">
              <a:solidFill>
                <a:srgbClr val="ED7D31">
                  <a:lumMod val="80000"/>
                  <a:lumOff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Days_Since_100!$I$12:$KU$12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40000"/>
                  <a:lumOff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Days_Since_100!$I$14:$KU$14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E7E6E6">
                  <a:lumMod val="75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0070C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135</c:v>
                </c:pt>
                <c:pt idx="1">
                  <c:v>135</c:v>
                </c:pt>
                <c:pt idx="2">
                  <c:v>175</c:v>
                </c:pt>
                <c:pt idx="3">
                  <c:v>175</c:v>
                </c:pt>
                <c:pt idx="4">
                  <c:v>218</c:v>
                </c:pt>
                <c:pt idx="5">
                  <c:v>285</c:v>
                </c:pt>
                <c:pt idx="6">
                  <c:v>355</c:v>
                </c:pt>
                <c:pt idx="7">
                  <c:v>454</c:v>
                </c:pt>
                <c:pt idx="8">
                  <c:v>542</c:v>
                </c:pt>
                <c:pt idx="9">
                  <c:v>621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691</c:v>
                </c:pt>
                <c:pt idx="14">
                  <c:v>691</c:v>
                </c:pt>
                <c:pt idx="15">
                  <c:v>691</c:v>
                </c:pt>
                <c:pt idx="16">
                  <c:v>705</c:v>
                </c:pt>
                <c:pt idx="17">
                  <c:v>705</c:v>
                </c:pt>
                <c:pt idx="18">
                  <c:v>705</c:v>
                </c:pt>
                <c:pt idx="19">
                  <c:v>705</c:v>
                </c:pt>
                <c:pt idx="20">
                  <c:v>705</c:v>
                </c:pt>
                <c:pt idx="21">
                  <c:v>705</c:v>
                </c:pt>
                <c:pt idx="22">
                  <c:v>706</c:v>
                </c:pt>
                <c:pt idx="23">
                  <c:v>706</c:v>
                </c:pt>
                <c:pt idx="24">
                  <c:v>706</c:v>
                </c:pt>
                <c:pt idx="25">
                  <c:v>696</c:v>
                </c:pt>
                <c:pt idx="26">
                  <c:v>696</c:v>
                </c:pt>
                <c:pt idx="27">
                  <c:v>696</c:v>
                </c:pt>
                <c:pt idx="28">
                  <c:v>696</c:v>
                </c:pt>
                <c:pt idx="29">
                  <c:v>696</c:v>
                </c:pt>
                <c:pt idx="30">
                  <c:v>696</c:v>
                </c:pt>
                <c:pt idx="31">
                  <c:v>696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696</c:v>
                </c:pt>
                <c:pt idx="36">
                  <c:v>696</c:v>
                </c:pt>
                <c:pt idx="37">
                  <c:v>712</c:v>
                </c:pt>
                <c:pt idx="38">
                  <c:v>712</c:v>
                </c:pt>
                <c:pt idx="39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  <c:pt idx="9">
                  <c:v>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Ecuador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Turkey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Peru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Days_Since_100!$H$53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Days_Since_100!$H$54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Days_Since_100!$H$55</c:f>
              <c:strCache>
                <c:ptCount val="1"/>
                <c:pt idx="0">
                  <c:v>South Africa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Days_Since_100!$H$56</c:f>
              <c:strCache>
                <c:ptCount val="1"/>
                <c:pt idx="0">
                  <c:v>Mexico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Days_Since_100!$H$57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110</c:v>
                </c:pt>
                <c:pt idx="1">
                  <c:v>99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Days_Since_100!$H$58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Days_Since_100!$H$59</c:f>
              <c:strCache>
                <c:ptCount val="1"/>
                <c:pt idx="0">
                  <c:v>San Marino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Days_Since_100!$H$60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Days_Since_100!$H$61</c:f>
              <c:strCache>
                <c:ptCount val="1"/>
                <c:pt idx="0">
                  <c:v>Slovakia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Days_Since_100!$H$62</c:f>
              <c:strCache>
                <c:ptCount val="1"/>
                <c:pt idx="0">
                  <c:v>Panama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Days_Since_100!$H$63</c:f>
              <c:strCache>
                <c:ptCount val="1"/>
                <c:pt idx="0">
                  <c:v>Armenia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Days_Since_100!$H$64</c:f>
              <c:strCache>
                <c:ptCount val="1"/>
                <c:pt idx="0">
                  <c:v>Taiwan*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Days_Since_100!$H$65</c:f>
              <c:strCache>
                <c:ptCount val="1"/>
                <c:pt idx="0">
                  <c:v>Serbia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Days_Since_100!$H$66</c:f>
              <c:strCache>
                <c:ptCount val="1"/>
                <c:pt idx="0">
                  <c:v>Croatia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Days_Since_100!$H$67</c:f>
              <c:strCache>
                <c:ptCount val="1"/>
                <c:pt idx="0">
                  <c:v>Argentina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Days_Since_100!$H$68</c:f>
              <c:strCache>
                <c:ptCount val="1"/>
                <c:pt idx="0">
                  <c:v>Colombia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Days_Since_100!$H$69</c:f>
              <c:strCache>
                <c:ptCount val="1"/>
                <c:pt idx="0">
                  <c:v>Bulgaria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Days_Since_100!$H$70</c:f>
              <c:strCache>
                <c:ptCount val="1"/>
                <c:pt idx="0">
                  <c:v>Latvia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05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15604572511713"/>
          <c:y val="5.8569922112763968E-2"/>
          <c:w val="0.18884395427488299"/>
          <c:h val="0.84351508314045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192566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15301187" y="329944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25</xdr:col>
      <xdr:colOff>487604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17409259" y="337082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25</xdr:col>
      <xdr:colOff>487604</xdr:colOff>
      <xdr:row>5</xdr:row>
      <xdr:rowOff>28154</xdr:rowOff>
    </xdr:from>
    <xdr:ext cx="1447802" cy="489857"/>
    <xdr:sp macro="[0]!FormatData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17409259" y="882120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22</xdr:col>
      <xdr:colOff>192566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15301187" y="90989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Z53"/>
  <sheetViews>
    <sheetView showGridLines="0" tabSelected="1" zoomScale="51" zoomScaleNormal="51" workbookViewId="0">
      <selection activeCell="Z18" sqref="Z18"/>
    </sheetView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26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6" x14ac:dyDescent="0.25">
      <c r="A2" s="48"/>
      <c r="B2" s="80" t="str">
        <f>C7&amp;" Covid-19 Active Case Projections"</f>
        <v>United Kingdom Covid-19 Active Case Projections</v>
      </c>
      <c r="C2" s="81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26" x14ac:dyDescent="0.25">
      <c r="A3" s="48"/>
      <c r="B3" s="82"/>
      <c r="C3" s="83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</row>
    <row r="4" spans="1:26" x14ac:dyDescent="0.25">
      <c r="A4" s="48"/>
      <c r="B4" s="82"/>
      <c r="C4" s="83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</row>
    <row r="5" spans="1:26" x14ac:dyDescent="0.25">
      <c r="A5" s="48"/>
      <c r="B5" s="84"/>
      <c r="C5" s="85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</row>
    <row r="6" spans="1:26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26" x14ac:dyDescent="0.25">
      <c r="A7" s="48"/>
      <c r="B7" s="88" t="s">
        <v>479</v>
      </c>
      <c r="C7" s="86" t="s">
        <v>349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26" x14ac:dyDescent="0.25">
      <c r="A8" s="48"/>
      <c r="B8" s="89"/>
      <c r="C8" s="87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</row>
    <row r="9" spans="1:26" ht="17.399999999999999" x14ac:dyDescent="0.3">
      <c r="A9" s="48"/>
      <c r="B9" s="74"/>
      <c r="C9" s="74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</row>
    <row r="10" spans="1:26" ht="15.6" customHeight="1" x14ac:dyDescent="0.25">
      <c r="A10" s="48"/>
      <c r="B10" s="88" t="s">
        <v>511</v>
      </c>
      <c r="C10" s="96">
        <f>Projections_Data!C4</f>
        <v>4014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</row>
    <row r="11" spans="1:26" ht="15.6" customHeight="1" x14ac:dyDescent="0.25">
      <c r="A11" s="48"/>
      <c r="B11" s="89"/>
      <c r="C11" s="97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  <c r="X11" s="110" t="s">
        <v>495</v>
      </c>
      <c r="Y11" s="110"/>
      <c r="Z11" s="59">
        <v>5</v>
      </c>
    </row>
    <row r="12" spans="1:26" ht="15.6" customHeight="1" x14ac:dyDescent="0.25">
      <c r="A12" s="48"/>
      <c r="B12" s="88" t="s">
        <v>512</v>
      </c>
      <c r="C12" s="94">
        <f>Projections_Data!C6</f>
        <v>3769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26" ht="15.6" customHeight="1" x14ac:dyDescent="0.25">
      <c r="A13" s="48"/>
      <c r="B13" s="89"/>
      <c r="C13" s="95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6" ht="15.6" customHeight="1" x14ac:dyDescent="0.25">
      <c r="A14" s="48"/>
      <c r="B14" s="88" t="s">
        <v>514</v>
      </c>
      <c r="C14" s="92">
        <f>Projections_Data!C7</f>
        <v>67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</row>
    <row r="15" spans="1:26" ht="15.6" customHeight="1" x14ac:dyDescent="0.25">
      <c r="A15" s="48"/>
      <c r="B15" s="89"/>
      <c r="C15" s="93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</row>
    <row r="16" spans="1:26" ht="15.6" customHeight="1" x14ac:dyDescent="0.25">
      <c r="A16" s="48"/>
      <c r="B16" s="88" t="s">
        <v>521</v>
      </c>
      <c r="C16" s="90">
        <f>Projections_Data!C8</f>
        <v>178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</row>
    <row r="17" spans="1:21" ht="15.6" customHeight="1" x14ac:dyDescent="0.25">
      <c r="A17" s="48"/>
      <c r="B17" s="89"/>
      <c r="C17" s="91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</row>
    <row r="18" spans="1:21" ht="15.6" customHeight="1" x14ac:dyDescent="0.25">
      <c r="A18" s="48"/>
      <c r="B18" s="88" t="s">
        <v>513</v>
      </c>
      <c r="C18" s="115">
        <f>Projections_Data!C14</f>
        <v>4987.7535079337376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</row>
    <row r="19" spans="1:21" ht="15.6" customHeight="1" x14ac:dyDescent="0.25">
      <c r="A19" s="48"/>
      <c r="B19" s="89"/>
      <c r="C19" s="116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</row>
    <row r="20" spans="1:21" ht="19.8" customHeight="1" x14ac:dyDescent="0.25">
      <c r="A20" s="48"/>
      <c r="B20" s="111" t="s">
        <v>536</v>
      </c>
      <c r="C20" s="113">
        <f>Projections_Data!C11</f>
        <v>0.23441183506947327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</row>
    <row r="21" spans="1:21" ht="19.8" customHeight="1" x14ac:dyDescent="0.25">
      <c r="A21" s="48"/>
      <c r="B21" s="112"/>
      <c r="C21" s="114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21" ht="19.8" customHeight="1" x14ac:dyDescent="0.25">
      <c r="A22" s="48"/>
      <c r="B22" s="106" t="s">
        <v>510</v>
      </c>
      <c r="C22" s="98">
        <f>Projections_Data!C23</f>
        <v>43904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503</v>
      </c>
    </row>
    <row r="23" spans="1:21" ht="19.8" customHeight="1" x14ac:dyDescent="0.25">
      <c r="A23" s="48"/>
      <c r="B23" s="107"/>
      <c r="C23" s="9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21" ht="18.600000000000001" customHeight="1" x14ac:dyDescent="0.25">
      <c r="A24" s="48"/>
      <c r="B24" s="88" t="s">
        <v>509</v>
      </c>
      <c r="C24" s="98">
        <f>Projections_Data!C24</f>
        <v>43910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21" ht="18.600000000000001" customHeight="1" x14ac:dyDescent="0.25">
      <c r="A25" s="48"/>
      <c r="B25" s="89"/>
      <c r="C25" s="9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21" ht="15.6" customHeight="1" x14ac:dyDescent="0.25">
      <c r="A26" s="48"/>
      <c r="B26" s="117" t="s">
        <v>537</v>
      </c>
      <c r="C26" s="117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21" ht="15.6" customHeight="1" x14ac:dyDescent="0.25">
      <c r="A27" s="48"/>
      <c r="B27" s="118"/>
      <c r="C27" s="118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21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21" ht="15.6" customHeight="1" x14ac:dyDescent="0.25">
      <c r="A29" s="48"/>
      <c r="B29" s="80" t="str">
        <f>Projections_Data!B35</f>
        <v xml:space="preserve">United Kingdom critically ill projections </v>
      </c>
      <c r="C29" s="81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21" ht="15.6" customHeight="1" x14ac:dyDescent="0.25">
      <c r="A30" s="48"/>
      <c r="B30" s="82"/>
      <c r="C30" s="83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21" ht="15.6" customHeight="1" x14ac:dyDescent="0.25">
      <c r="A31" s="48"/>
      <c r="B31" s="82"/>
      <c r="C31" s="83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21" ht="15.6" customHeight="1" x14ac:dyDescent="0.25">
      <c r="A32" s="48"/>
      <c r="B32" s="84"/>
      <c r="C32" s="85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</row>
    <row r="33" spans="1:21" ht="15.6" customHeight="1" x14ac:dyDescent="0.25">
      <c r="A33" s="48"/>
      <c r="B33" s="76"/>
      <c r="C33" s="76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</row>
    <row r="34" spans="1:21" ht="15.6" customHeight="1" x14ac:dyDescent="0.25">
      <c r="A34" s="48"/>
      <c r="B34" s="102" t="s">
        <v>467</v>
      </c>
      <c r="C34" s="104">
        <f>Projections_Data!C16</f>
        <v>4480.4767259999999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</row>
    <row r="35" spans="1:21" ht="18" customHeight="1" x14ac:dyDescent="0.25">
      <c r="A35" s="48"/>
      <c r="B35" s="102"/>
      <c r="C35" s="104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</row>
    <row r="36" spans="1:21" ht="18" customHeight="1" x14ac:dyDescent="0.25">
      <c r="A36" s="48"/>
      <c r="B36" s="100" t="s">
        <v>526</v>
      </c>
      <c r="C36" s="105">
        <f>Projections_Data!C15</f>
        <v>0.11086198305929247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</row>
    <row r="37" spans="1:21" ht="20.399999999999999" customHeight="1" x14ac:dyDescent="0.25">
      <c r="A37" s="48"/>
      <c r="B37" s="100"/>
      <c r="C37" s="105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21" ht="20.399999999999999" customHeight="1" x14ac:dyDescent="0.25">
      <c r="A38" s="48"/>
      <c r="B38" s="100" t="s">
        <v>525</v>
      </c>
      <c r="C38" s="104">
        <f>Projections!C12*Projections!C36</f>
        <v>417.8388141504733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21" ht="20.399999999999999" customHeight="1" x14ac:dyDescent="0.25">
      <c r="A39" s="48"/>
      <c r="B39" s="100"/>
      <c r="C39" s="104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</row>
    <row r="40" spans="1:21" ht="20.399999999999999" customHeight="1" x14ac:dyDescent="0.25">
      <c r="A40" s="48"/>
      <c r="B40" s="100" t="s">
        <v>490</v>
      </c>
      <c r="C40" s="103">
        <f ca="1">Projections_Data!D31</f>
        <v>43922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</row>
    <row r="41" spans="1:21" ht="20.399999999999999" customHeight="1" x14ac:dyDescent="0.25">
      <c r="A41" s="48"/>
      <c r="B41" s="100"/>
      <c r="C41" s="103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</row>
    <row r="42" spans="1:21" ht="20.399999999999999" customHeight="1" x14ac:dyDescent="0.25">
      <c r="A42" s="48"/>
      <c r="B42" s="102" t="s">
        <v>491</v>
      </c>
      <c r="C42" s="101">
        <f ca="1">IFERROR(C40-TODAY(),"N/A")</f>
        <v>11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</row>
    <row r="43" spans="1:21" ht="18" customHeight="1" x14ac:dyDescent="0.25">
      <c r="A43" s="48"/>
      <c r="B43" s="102"/>
      <c r="C43" s="101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21" ht="18" customHeight="1" x14ac:dyDescent="0.25">
      <c r="A44" s="48"/>
      <c r="B44" s="108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08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21" ht="15.6" customHeight="1" x14ac:dyDescent="0.25">
      <c r="A45" s="48"/>
      <c r="B45" s="109"/>
      <c r="C45" s="10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</row>
    <row r="46" spans="1:21" ht="15.6" customHeight="1" x14ac:dyDescent="0.25">
      <c r="A46" s="48"/>
      <c r="B46" s="109"/>
      <c r="C46" s="10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</row>
    <row r="47" spans="1:21" ht="13.8" customHeight="1" x14ac:dyDescent="0.25">
      <c r="A47" s="48"/>
      <c r="B47" s="109"/>
      <c r="C47" s="10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</row>
    <row r="48" spans="1:21" ht="14.4" customHeight="1" x14ac:dyDescent="0.25">
      <c r="A48" s="48"/>
      <c r="B48" s="109"/>
      <c r="C48" s="10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77" t="str">
        <f>"Source: Analysis of John Hopkins University and WHO data.
Data updated: "&amp;TEXT(Projections_Data!C2,"DD/MM/YYYY")&amp;"."</f>
        <v>Source: Analysis of John Hopkins University and WHO data.
Data updated: 20/03/2020.</v>
      </c>
      <c r="C49" s="77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78"/>
      <c r="C50" s="78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78"/>
      <c r="C51" s="78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78"/>
      <c r="C52" s="78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79"/>
      <c r="C53" s="79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34">
    <mergeCell ref="X11:Y11"/>
    <mergeCell ref="C34:C35"/>
    <mergeCell ref="B34:B35"/>
    <mergeCell ref="B20:B21"/>
    <mergeCell ref="C20:C21"/>
    <mergeCell ref="B18:B19"/>
    <mergeCell ref="C18:C19"/>
    <mergeCell ref="B26:C27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D9A554-9F70-4A23-9FBE-628A03118241}">
          <x14:formula1>
            <xm:f>Days_Since_100!$C$5:$C$100</xm:f>
          </x14:formula1>
          <xm:sqref>C7:C8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1:O66"/>
  <sheetViews>
    <sheetView workbookViewId="0">
      <selection activeCell="P10" sqref="P10"/>
    </sheetView>
  </sheetViews>
  <sheetFormatPr defaultColWidth="9" defaultRowHeight="13.2" customHeight="1" x14ac:dyDescent="0.2"/>
  <cols>
    <col min="1" max="1" width="2.21875" style="61" customWidth="1"/>
    <col min="2" max="2" width="3.88671875" style="60" customWidth="1"/>
    <col min="3" max="3" width="14" style="61" bestFit="1" customWidth="1"/>
    <col min="4" max="4" width="9.21875" style="61" customWidth="1"/>
    <col min="5" max="5" width="10.33203125" style="61" customWidth="1"/>
    <col min="6" max="6" width="11.5546875" style="60" customWidth="1"/>
    <col min="7" max="7" width="3" style="61" customWidth="1"/>
    <col min="8" max="8" width="16" style="61" customWidth="1"/>
    <col min="9" max="9" width="14" style="61" bestFit="1" customWidth="1"/>
    <col min="10" max="10" width="17.6640625" style="61" bestFit="1" customWidth="1"/>
    <col min="11" max="11" width="11.44140625" style="61" bestFit="1" customWidth="1"/>
    <col min="12" max="12" width="9" style="61"/>
    <col min="13" max="13" width="0" style="61" hidden="1" customWidth="1"/>
    <col min="14" max="16384" width="9" style="61"/>
  </cols>
  <sheetData>
    <row r="1" spans="2:15" ht="13.2" customHeight="1" thickBot="1" x14ac:dyDescent="0.25"/>
    <row r="2" spans="2:15" ht="34.799999999999997" thickBot="1" x14ac:dyDescent="0.25">
      <c r="B2" s="66" t="s">
        <v>517</v>
      </c>
      <c r="C2" s="67" t="s">
        <v>479</v>
      </c>
      <c r="D2" s="67" t="s">
        <v>492</v>
      </c>
      <c r="E2" s="67" t="s">
        <v>508</v>
      </c>
      <c r="F2" s="68" t="s">
        <v>547</v>
      </c>
      <c r="H2" s="119" t="s">
        <v>549</v>
      </c>
      <c r="I2" s="67" t="s">
        <v>522</v>
      </c>
      <c r="J2" s="67" t="s">
        <v>480</v>
      </c>
      <c r="K2" s="68" t="s">
        <v>523</v>
      </c>
      <c r="O2" s="120" t="s">
        <v>550</v>
      </c>
    </row>
    <row r="3" spans="2:15" s="62" customFormat="1" ht="13.8" customHeight="1" x14ac:dyDescent="0.3">
      <c r="B3" s="69">
        <v>1</v>
      </c>
      <c r="C3" s="65" t="s">
        <v>103</v>
      </c>
      <c r="D3" s="64">
        <f>VLOOKUP(C3,Country_Data!B:F,5,FALSE)</f>
        <v>367</v>
      </c>
      <c r="E3" s="64">
        <f>D3*Projections_Data!$C$15</f>
        <v>40.686347782760336</v>
      </c>
      <c r="F3" s="75">
        <f>IFERROR(VLOOKUP(C3,Days_Since_100!C:G,5,FALSE)-1,0)</f>
        <v>0.81832513767651194</v>
      </c>
      <c r="H3" s="72" t="str">
        <f>IFERROR(LOG((K3/E3),1+F3),"")</f>
        <v/>
      </c>
      <c r="I3" s="71"/>
      <c r="J3" s="64">
        <f>VLOOKUP(C3,Country_Data!C:K,9,FALSE)</f>
        <v>17643054</v>
      </c>
      <c r="K3" s="63"/>
      <c r="M3" s="62">
        <f t="array" ref="M3">IF(OR(C3=$O$3:$O$21),1,0)</f>
        <v>0</v>
      </c>
      <c r="O3" s="62" t="s">
        <v>41</v>
      </c>
    </row>
    <row r="4" spans="2:15" s="62" customFormat="1" ht="13.8" customHeight="1" x14ac:dyDescent="0.3">
      <c r="B4" s="69">
        <f t="shared" ref="B4:B35" si="0">B3+1</f>
        <v>2</v>
      </c>
      <c r="C4" s="65" t="s">
        <v>99</v>
      </c>
      <c r="D4" s="64">
        <f>VLOOKUP(C4,Country_Data!B:F,5,FALSE)</f>
        <v>484</v>
      </c>
      <c r="E4" s="64">
        <f>D4*Projections_Data!$C$15</f>
        <v>53.657199800697555</v>
      </c>
      <c r="F4" s="75">
        <f>IFERROR(VLOOKUP(C4,Days_Since_100!C:G,5,FALSE)-1,0)</f>
        <v>0.51207189773035799</v>
      </c>
      <c r="H4" s="72">
        <f>IFERROR(LOG((K4/E4),1+F4),"")</f>
        <v>2.5693404925582435</v>
      </c>
      <c r="I4" s="71">
        <v>24.8</v>
      </c>
      <c r="J4" s="64">
        <f>VLOOKUP(C4,Country_Data!C:K,9,FALSE)</f>
        <v>625978</v>
      </c>
      <c r="K4" s="63">
        <f>(J4/100000)*I4</f>
        <v>155.24254400000001</v>
      </c>
      <c r="M4" s="62">
        <f t="array" ref="M4">IF(OR(C4=$O$3:$O$21),1,0)</f>
        <v>0</v>
      </c>
      <c r="O4" s="62" t="s">
        <v>38</v>
      </c>
    </row>
    <row r="5" spans="2:15" s="62" customFormat="1" ht="13.8" customHeight="1" x14ac:dyDescent="0.3">
      <c r="B5" s="69">
        <f t="shared" si="0"/>
        <v>3</v>
      </c>
      <c r="C5" s="65" t="s">
        <v>80</v>
      </c>
      <c r="D5" s="64">
        <f>VLOOKUP(C5,Country_Data!B:F,5,FALSE)</f>
        <v>501</v>
      </c>
      <c r="E5" s="64">
        <f>D5*Projections_Data!$C$15</f>
        <v>55.541853512705529</v>
      </c>
      <c r="F5" s="75">
        <f>IFERROR(VLOOKUP(C5,Days_Since_100!C:G,5,FALSE)-1,0)</f>
        <v>0.3853984722244419</v>
      </c>
      <c r="H5" s="72">
        <f>IFERROR(LOG((K5/E5),1+F5),"")</f>
        <v>21.659433590800962</v>
      </c>
      <c r="I5" s="71">
        <v>29.3</v>
      </c>
      <c r="J5" s="64">
        <f>VLOOKUP(C5,Country_Data!C:K,9,FALSE)</f>
        <v>220892340</v>
      </c>
      <c r="K5" s="63">
        <f>(J5/100000)*I5</f>
        <v>64721.455620000008</v>
      </c>
      <c r="M5" s="62">
        <f t="array" ref="M5">IF(OR(C5=$O$3:$O$21),1,0)</f>
        <v>0</v>
      </c>
      <c r="O5" s="62" t="s">
        <v>349</v>
      </c>
    </row>
    <row r="6" spans="2:15" s="62" customFormat="1" ht="13.8" customHeight="1" x14ac:dyDescent="0.3">
      <c r="B6" s="69">
        <f t="shared" si="0"/>
        <v>4</v>
      </c>
      <c r="C6" s="65" t="s">
        <v>160</v>
      </c>
      <c r="D6" s="64">
        <f>VLOOKUP(C6,Country_Data!B:F,5,FALSE)</f>
        <v>234</v>
      </c>
      <c r="E6" s="64">
        <f>D6*Projections_Data!$C$15</f>
        <v>25.941704035874437</v>
      </c>
      <c r="F6" s="75">
        <f>IFERROR(VLOOKUP(C6,Days_Since_100!C:G,5,FALSE)-1,0)</f>
        <v>0.25992104989487319</v>
      </c>
      <c r="H6" s="72">
        <f>IFERROR(LOG((K6/E6),1+F6),"")</f>
        <v>19.104988726652795</v>
      </c>
      <c r="I6" s="71">
        <v>6.5</v>
      </c>
      <c r="J6" s="64">
        <f>VLOOKUP(C6,Country_Data!C:K,9,FALSE)</f>
        <v>32971854</v>
      </c>
      <c r="K6" s="63">
        <f>(J6/100000)*I6</f>
        <v>2143.1705099999999</v>
      </c>
      <c r="M6" s="62">
        <f t="array" ref="M6">IF(OR(C6=$O$3:$O$21),1,0)</f>
        <v>0</v>
      </c>
      <c r="O6" s="62" t="s">
        <v>58</v>
      </c>
    </row>
    <row r="7" spans="2:15" s="62" customFormat="1" ht="13.8" customHeight="1" x14ac:dyDescent="0.3">
      <c r="B7" s="69">
        <f t="shared" si="0"/>
        <v>5</v>
      </c>
      <c r="C7" s="65" t="s">
        <v>38</v>
      </c>
      <c r="D7" s="64">
        <f>VLOOKUP(C7,Country_Data!B:F,5,FALSE)</f>
        <v>19100</v>
      </c>
      <c r="E7" s="64">
        <f>D7*Projections_Data!$C$15</f>
        <v>2117.4638764324864</v>
      </c>
      <c r="F7" s="75">
        <f>IFERROR(VLOOKUP(C7,Days_Since_100!C:G,5,FALSE)-1,0)</f>
        <v>0.40416416349332795</v>
      </c>
      <c r="H7" s="72" t="str">
        <f>IFERROR(LOG((K7/E7),1+F7),"")</f>
        <v/>
      </c>
      <c r="I7" s="71"/>
      <c r="J7" s="64">
        <f>VLOOKUP(C7,Country_Data!C:K,9,FALSE)</f>
        <v>331002651</v>
      </c>
      <c r="K7" s="63">
        <f>(J7/100000)*I7</f>
        <v>0</v>
      </c>
      <c r="M7" s="62">
        <f t="array" ref="M7">IF(OR(C7=$O$3:$O$21),1,0)</f>
        <v>1</v>
      </c>
      <c r="O7" s="62" t="s">
        <v>60</v>
      </c>
    </row>
    <row r="8" spans="2:15" s="62" customFormat="1" ht="13.8" customHeight="1" x14ac:dyDescent="0.3">
      <c r="B8" s="69">
        <f t="shared" si="0"/>
        <v>6</v>
      </c>
      <c r="C8" s="65" t="s">
        <v>108</v>
      </c>
      <c r="D8" s="64">
        <f>VLOOKUP(C8,Country_Data!B:F,5,FALSE)</f>
        <v>1020</v>
      </c>
      <c r="E8" s="64">
        <f>D8*Projections_Data!$C$15</f>
        <v>113.07922272047833</v>
      </c>
      <c r="F8" s="75">
        <f>IFERROR(VLOOKUP(C8,Days_Since_100!C:G,5,FALSE)-1,0)</f>
        <v>0.33010773025721418</v>
      </c>
      <c r="H8" s="72" t="str">
        <f>IFERROR(LOG((K8/E8),1+F8),"")</f>
        <v/>
      </c>
      <c r="I8" s="71"/>
      <c r="J8" s="64">
        <f>VLOOKUP(C8,Country_Data!C:K,9,FALSE)</f>
        <v>10196709</v>
      </c>
      <c r="K8" s="63">
        <f>(J8/100000)*I8</f>
        <v>0</v>
      </c>
      <c r="M8" s="62">
        <f t="array" ref="M8">IF(OR(C8=$O$3:$O$21),1,0)</f>
        <v>0</v>
      </c>
      <c r="O8" s="62" t="s">
        <v>53</v>
      </c>
    </row>
    <row r="9" spans="2:15" s="62" customFormat="1" ht="13.8" customHeight="1" x14ac:dyDescent="0.3">
      <c r="B9" s="69">
        <f t="shared" si="0"/>
        <v>7</v>
      </c>
      <c r="C9" s="65" t="s">
        <v>98</v>
      </c>
      <c r="D9" s="64">
        <f>VLOOKUP(C9,Country_Data!B:F,5,FALSE)</f>
        <v>683</v>
      </c>
      <c r="E9" s="64">
        <f>D9*Projections_Data!$C$15</f>
        <v>75.718734429496763</v>
      </c>
      <c r="F9" s="75">
        <f>IFERROR(VLOOKUP(C9,Days_Since_100!C:G,5,FALSE)-1,0)</f>
        <v>0.39561683203025133</v>
      </c>
      <c r="H9" s="72">
        <f>IFERROR(LOG((K9/E9),1+F9),"")</f>
        <v>3.0226545415231572</v>
      </c>
      <c r="I9" s="71">
        <v>4.2</v>
      </c>
      <c r="J9" s="64">
        <f>VLOOKUP(C9,Country_Data!C:K,9,FALSE)</f>
        <v>4937786</v>
      </c>
      <c r="K9" s="63">
        <f>(J9/100000)*I9</f>
        <v>207.387012</v>
      </c>
      <c r="M9" s="62">
        <f t="array" ref="M9">IF(OR(C9=$O$3:$O$21),1,0)</f>
        <v>0</v>
      </c>
    </row>
    <row r="10" spans="2:15" s="62" customFormat="1" ht="13.8" customHeight="1" x14ac:dyDescent="0.3">
      <c r="B10" s="69">
        <f t="shared" si="0"/>
        <v>8</v>
      </c>
      <c r="C10" s="65" t="s">
        <v>81</v>
      </c>
      <c r="D10" s="64">
        <f>VLOOKUP(C10,Country_Data!B:F,5,FALSE)</f>
        <v>793</v>
      </c>
      <c r="E10" s="64">
        <f>D10*Projections_Data!$C$15</f>
        <v>87.913552566018936</v>
      </c>
      <c r="F10" s="75">
        <f>IFERROR(VLOOKUP(C10,Days_Since_100!C:G,5,FALSE)-1,0)</f>
        <v>0.3738889625888695</v>
      </c>
      <c r="H10" s="72" t="str">
        <f>IFERROR(LOG((K10/E10),1+F10),"")</f>
        <v/>
      </c>
      <c r="I10" s="71"/>
      <c r="J10" s="64">
        <f>VLOOKUP(C10,Country_Data!C:K,9,FALSE)</f>
        <v>212559417</v>
      </c>
      <c r="K10" s="63">
        <f>(J10/100000)*I10</f>
        <v>0</v>
      </c>
      <c r="M10" s="62">
        <f t="array" ref="M10">IF(OR(C10=$O$3:$O$21),1,0)</f>
        <v>0</v>
      </c>
    </row>
    <row r="11" spans="2:15" s="62" customFormat="1" ht="13.8" customHeight="1" x14ac:dyDescent="0.3">
      <c r="B11" s="69">
        <f t="shared" si="0"/>
        <v>9</v>
      </c>
      <c r="C11" s="65" t="s">
        <v>45</v>
      </c>
      <c r="D11" s="64">
        <f>VLOOKUP(C11,Country_Data!B:F,5,FALSE)</f>
        <v>943</v>
      </c>
      <c r="E11" s="64">
        <f>D11*Projections_Data!$C$15</f>
        <v>104.54285002491279</v>
      </c>
      <c r="F11" s="75">
        <f>IFERROR(VLOOKUP(C11,Days_Since_100!C:G,5,FALSE)-1,0)</f>
        <v>0.30203371603645479</v>
      </c>
      <c r="H11" s="72" t="str">
        <f>IFERROR(LOG((K11/E11),1+F11),"")</f>
        <v/>
      </c>
      <c r="I11" s="71"/>
      <c r="J11" s="64">
        <f>VLOOKUP(C11,Country_Data!C:K,9,FALSE)</f>
        <v>37742154</v>
      </c>
      <c r="K11" s="63">
        <f>(J11/100000)*I11</f>
        <v>0</v>
      </c>
      <c r="M11" s="62">
        <f t="array" ref="M11">IF(OR(C11=$O$3:$O$21),1,0)</f>
        <v>0</v>
      </c>
    </row>
    <row r="12" spans="2:15" s="62" customFormat="1" ht="13.8" customHeight="1" x14ac:dyDescent="0.3">
      <c r="B12" s="69">
        <f t="shared" si="0"/>
        <v>10</v>
      </c>
      <c r="C12" s="65" t="s">
        <v>344</v>
      </c>
      <c r="D12" s="64">
        <f>VLOOKUP(C12,Country_Data!B:F,5,FALSE)</f>
        <v>253</v>
      </c>
      <c r="E12" s="64">
        <f>D12*Projections_Data!$C$15</f>
        <v>28.048081714000997</v>
      </c>
      <c r="F12" s="75">
        <f>IFERROR(VLOOKUP(C12,Days_Since_100!C:G,5,FALSE)-1,0)</f>
        <v>0.30438328010531812</v>
      </c>
      <c r="H12" s="72" t="str">
        <f>IFERROR(LOG((K12/E12),1+F12),"")</f>
        <v/>
      </c>
      <c r="I12" s="71"/>
      <c r="J12" s="64">
        <f>VLOOKUP(C12,Country_Data!C:K,9,FALSE)</f>
        <v>145934462</v>
      </c>
      <c r="K12" s="63">
        <f>(J12/100000)*I12</f>
        <v>0</v>
      </c>
      <c r="M12" s="62">
        <f t="array" ref="M12">IF(OR(C12=$O$3:$O$21),1,0)</f>
        <v>0</v>
      </c>
    </row>
    <row r="13" spans="2:15" s="62" customFormat="1" ht="13.8" customHeight="1" x14ac:dyDescent="0.3">
      <c r="B13" s="69">
        <f t="shared" si="0"/>
        <v>11</v>
      </c>
      <c r="C13" s="65" t="s">
        <v>43</v>
      </c>
      <c r="D13" s="64">
        <f>VLOOKUP(C13,Country_Data!B:F,5,FALSE)</f>
        <v>1030</v>
      </c>
      <c r="E13" s="64">
        <f>D13*Projections_Data!$C$15</f>
        <v>114.18784255107124</v>
      </c>
      <c r="F13" s="75">
        <f>IFERROR(VLOOKUP(C13,Days_Since_100!C:G,5,FALSE)-1,0)</f>
        <v>0.19200668533312815</v>
      </c>
      <c r="H13" s="72">
        <f>IFERROR(LOG((K13/E13),1+F13),"")</f>
        <v>14.662959927978974</v>
      </c>
      <c r="I13" s="71"/>
      <c r="J13" s="64">
        <f>VLOOKUP(C13,Country_Data!C:K,9,FALSE)</f>
        <v>32365999</v>
      </c>
      <c r="K13" s="63">
        <v>1500</v>
      </c>
      <c r="M13" s="62">
        <f t="array" ref="M13">IF(OR(C13=$O$3:$O$21),1,0)</f>
        <v>0</v>
      </c>
    </row>
    <row r="14" spans="2:15" s="62" customFormat="1" ht="13.8" customHeight="1" x14ac:dyDescent="0.3">
      <c r="B14" s="69">
        <f t="shared" si="0"/>
        <v>12</v>
      </c>
      <c r="C14" s="65" t="s">
        <v>145</v>
      </c>
      <c r="D14" s="64">
        <f>VLOOKUP(C14,Country_Data!B:F,5,FALSE)</f>
        <v>202</v>
      </c>
      <c r="E14" s="64">
        <f>D14*Projections_Data!$C$15</f>
        <v>22.39412057797708</v>
      </c>
      <c r="F14" s="75">
        <f>IFERROR(VLOOKUP(C14,Days_Since_100!C:G,5,FALSE)-1,0)</f>
        <v>0.31961331849327279</v>
      </c>
      <c r="H14" s="72">
        <f>IFERROR(LOG((K14/E14),1+F14),"")</f>
        <v>18.778709551227873</v>
      </c>
      <c r="I14" s="71">
        <v>6.9</v>
      </c>
      <c r="J14" s="64">
        <f>VLOOKUP(C14,Country_Data!C:K,9,FALSE)</f>
        <v>59308690</v>
      </c>
      <c r="K14" s="63">
        <f>(J14/100000)*I14</f>
        <v>4092.2996100000005</v>
      </c>
      <c r="M14" s="62">
        <f t="array" ref="M14">IF(OR(C14=$O$3:$O$21),1,0)</f>
        <v>0</v>
      </c>
    </row>
    <row r="15" spans="2:15" s="62" customFormat="1" ht="13.8" customHeight="1" x14ac:dyDescent="0.3">
      <c r="B15" s="69">
        <f t="shared" si="0"/>
        <v>13</v>
      </c>
      <c r="C15" s="65" t="s">
        <v>79</v>
      </c>
      <c r="D15" s="64">
        <f>VLOOKUP(C15,Country_Data!B:F,5,FALSE)</f>
        <v>705</v>
      </c>
      <c r="E15" s="64">
        <f>D15*Projections_Data!$C$15</f>
        <v>78.157698056801195</v>
      </c>
      <c r="F15" s="75">
        <f>IFERROR(VLOOKUP(C15,Days_Since_100!C:G,5,FALSE)-1,0)</f>
        <v>0.22942794119291454</v>
      </c>
      <c r="H15" s="72">
        <f>IFERROR(LOG((K15/E15),1+F15),"")</f>
        <v>16.830024382574273</v>
      </c>
      <c r="I15" s="71">
        <v>29.2</v>
      </c>
      <c r="J15" s="64">
        <f>VLOOKUP(C15,Country_Data!C:K,9,FALSE)</f>
        <v>8655535</v>
      </c>
      <c r="K15" s="63">
        <f>(J15/100000)*I15</f>
        <v>2527.4162200000001</v>
      </c>
      <c r="M15" s="62">
        <f t="array" ref="M15">IF(OR(C15=$O$3:$O$21),1,0)</f>
        <v>0</v>
      </c>
    </row>
    <row r="16" spans="2:15" s="62" customFormat="1" ht="13.8" customHeight="1" x14ac:dyDescent="0.3">
      <c r="B16" s="69">
        <f t="shared" si="0"/>
        <v>14</v>
      </c>
      <c r="C16" s="65" t="s">
        <v>137</v>
      </c>
      <c r="D16" s="64">
        <f>VLOOKUP(C16,Country_Data!B:F,5,FALSE)</f>
        <v>425</v>
      </c>
      <c r="E16" s="64">
        <f>D16*Projections_Data!$C$15</f>
        <v>47.116342800199298</v>
      </c>
      <c r="F16" s="75">
        <f>IFERROR(VLOOKUP(C16,Days_Since_100!C:G,5,FALSE)-1,0)</f>
        <v>0.28993668421168972</v>
      </c>
      <c r="H16" s="72" t="str">
        <f>IFERROR(LOG((K16/E16),1+F16),"")</f>
        <v/>
      </c>
      <c r="I16" s="71"/>
      <c r="J16" s="64">
        <f>VLOOKUP(C16,Country_Data!C:K,9,FALSE)</f>
        <v>37846611</v>
      </c>
      <c r="K16" s="63">
        <f>(J16/100000)*I16</f>
        <v>0</v>
      </c>
      <c r="M16" s="62">
        <f t="array" ref="M16">IF(OR(C16=$O$3:$O$21),1,0)</f>
        <v>0</v>
      </c>
    </row>
    <row r="17" spans="2:13" s="62" customFormat="1" ht="13.8" customHeight="1" x14ac:dyDescent="0.3">
      <c r="B17" s="69">
        <f t="shared" si="0"/>
        <v>15</v>
      </c>
      <c r="C17" s="65" t="s">
        <v>107</v>
      </c>
      <c r="D17" s="64">
        <f>VLOOKUP(C17,Country_Data!B:F,5,FALSE)</f>
        <v>369</v>
      </c>
      <c r="E17" s="64">
        <f>D17*Projections_Data!$C$15</f>
        <v>40.908071748878925</v>
      </c>
      <c r="F17" s="75">
        <f>IFERROR(VLOOKUP(C17,Days_Since_100!C:G,5,FALSE)-1,0)</f>
        <v>0.25825336604246707</v>
      </c>
      <c r="H17" s="72" t="str">
        <f>IFERROR(LOG((K17/E17),1+F17),"")</f>
        <v/>
      </c>
      <c r="I17" s="71"/>
      <c r="J17" s="64">
        <f>VLOOKUP(C17,Country_Data!C:K,9,FALSE)</f>
        <v>273523615</v>
      </c>
      <c r="K17" s="63">
        <f>(J17/100000)*I17</f>
        <v>0</v>
      </c>
      <c r="M17" s="62">
        <f t="array" ref="M17">IF(OR(C17=$O$3:$O$21),1,0)</f>
        <v>0</v>
      </c>
    </row>
    <row r="18" spans="2:13" s="62" customFormat="1" ht="13.8" customHeight="1" x14ac:dyDescent="0.3">
      <c r="B18" s="69">
        <f t="shared" si="0"/>
        <v>16</v>
      </c>
      <c r="C18" s="65" t="s">
        <v>53</v>
      </c>
      <c r="D18" s="64">
        <f>VLOOKUP(C18,Country_Data!B:F,5,FALSE)</f>
        <v>19848</v>
      </c>
      <c r="E18" s="64">
        <f>D18*Projections_Data!$C$15</f>
        <v>2200.3886397608371</v>
      </c>
      <c r="F18" s="75">
        <f>IFERROR(VLOOKUP(C18,Days_Since_100!C:G,5,FALSE)-1,0)</f>
        <v>0.27918295014541572</v>
      </c>
      <c r="H18" s="72" t="str">
        <f>IFERROR(LOG((K18/E18),1+F18),"")</f>
        <v/>
      </c>
      <c r="I18" s="71"/>
      <c r="J18" s="64">
        <f>VLOOKUP(C18,Country_Data!C:K,9,FALSE)</f>
        <v>83783942</v>
      </c>
      <c r="K18" s="63">
        <f>(J18/100000)*I18</f>
        <v>0</v>
      </c>
      <c r="M18" s="62">
        <f t="array" ref="M18">IF(OR(C18=$O$3:$O$21),1,0)</f>
        <v>1</v>
      </c>
    </row>
    <row r="19" spans="2:13" s="62" customFormat="1" ht="13.8" customHeight="1" x14ac:dyDescent="0.3">
      <c r="B19" s="69">
        <f t="shared" si="0"/>
        <v>17</v>
      </c>
      <c r="C19" s="65" t="s">
        <v>78</v>
      </c>
      <c r="D19" s="64">
        <f>VLOOKUP(C19,Country_Data!B:F,5,FALSE)</f>
        <v>2388</v>
      </c>
      <c r="E19" s="64">
        <f>D19*Projections_Data!$C$15</f>
        <v>264.73841554559044</v>
      </c>
      <c r="F19" s="75">
        <f>IFERROR(VLOOKUP(C19,Days_Since_100!C:G,5,FALSE)-1,0)</f>
        <v>0.22661190156525945</v>
      </c>
      <c r="H19" s="72">
        <f>IFERROR(LOG((K19/E19),1+F19),"")</f>
        <v>3.9599740170799449</v>
      </c>
      <c r="I19" s="71">
        <v>6.6</v>
      </c>
      <c r="J19" s="64">
        <f>VLOOKUP(C19,Country_Data!C:K,9,FALSE)</f>
        <v>9006398</v>
      </c>
      <c r="K19" s="63">
        <f>(J19/100000)*I19</f>
        <v>594.42226799999992</v>
      </c>
      <c r="M19" s="62">
        <f t="array" ref="M19">IF(OR(C19=$O$3:$O$21),1,0)</f>
        <v>0</v>
      </c>
    </row>
    <row r="20" spans="2:13" s="62" customFormat="1" ht="13.8" customHeight="1" x14ac:dyDescent="0.3">
      <c r="B20" s="69">
        <f t="shared" si="0"/>
        <v>18</v>
      </c>
      <c r="C20" s="65" t="s">
        <v>77</v>
      </c>
      <c r="D20" s="64">
        <f>VLOOKUP(C20,Country_Data!B:F,5,FALSE)</f>
        <v>5294</v>
      </c>
      <c r="E20" s="64">
        <f>D20*Projections_Data!$C$15</f>
        <v>586.9033383158943</v>
      </c>
      <c r="F20" s="75">
        <f>IFERROR(VLOOKUP(C20,Days_Since_100!C:G,5,FALSE)-1,0)</f>
        <v>0.19198900986426848</v>
      </c>
      <c r="H20" s="72" t="str">
        <f>IFERROR(LOG((K20/E20),1+F20),"")</f>
        <v/>
      </c>
      <c r="I20" s="71"/>
      <c r="J20" s="64">
        <f>VLOOKUP(C20,Country_Data!C:K,9,FALSE)</f>
        <v>8654622</v>
      </c>
      <c r="K20" s="63">
        <f>(J20/100000)*I20</f>
        <v>0</v>
      </c>
      <c r="M20" s="62">
        <f t="array" ref="M20">IF(OR(C20=$O$3:$O$21),1,0)</f>
        <v>0</v>
      </c>
    </row>
    <row r="21" spans="2:13" s="62" customFormat="1" ht="13.8" customHeight="1" x14ac:dyDescent="0.3">
      <c r="B21" s="69">
        <f t="shared" si="0"/>
        <v>19</v>
      </c>
      <c r="C21" s="65" t="s">
        <v>35</v>
      </c>
      <c r="D21" s="64">
        <f>VLOOKUP(C21,Country_Data!B:F,5,FALSE)</f>
        <v>322</v>
      </c>
      <c r="E21" s="64">
        <f>D21*Projections_Data!$C$15</f>
        <v>35.697558545092178</v>
      </c>
      <c r="F21" s="75">
        <f>IFERROR(VLOOKUP(C21,Days_Since_100!C:G,5,FALSE)-1,0)</f>
        <v>0.23080769863405504</v>
      </c>
      <c r="H21" s="72">
        <f>IFERROR(LOG((K21/E21),1+F21),"")</f>
        <v>26.118964744374033</v>
      </c>
      <c r="I21" s="71">
        <v>11.6</v>
      </c>
      <c r="J21" s="64">
        <f>VLOOKUP(C21,Country_Data!C:K,9,FALSE)</f>
        <v>69799978</v>
      </c>
      <c r="K21" s="63">
        <f>(J21/100000)*I21</f>
        <v>8096.7974479999993</v>
      </c>
      <c r="M21" s="62">
        <f t="array" ref="M21">IF(OR(C21=$O$3:$O$21),1,0)</f>
        <v>0</v>
      </c>
    </row>
    <row r="22" spans="2:13" s="62" customFormat="1" ht="13.8" customHeight="1" x14ac:dyDescent="0.3">
      <c r="B22" s="69">
        <f t="shared" si="0"/>
        <v>20</v>
      </c>
      <c r="C22" s="65" t="s">
        <v>55</v>
      </c>
      <c r="D22" s="64">
        <f>VLOOKUP(C22,Country_Data!B:F,5,FALSE)</f>
        <v>140</v>
      </c>
      <c r="E22" s="64">
        <f>D22*Projections_Data!$C$15</f>
        <v>15.520677628300946</v>
      </c>
      <c r="F22" s="75">
        <f>IFERROR(VLOOKUP(C22,Days_Since_100!C:G,5,FALSE)-1,0)</f>
        <v>0.11307594219682282</v>
      </c>
      <c r="H22" s="72" t="str">
        <f>IFERROR(LOG((K22/E22),1+F22),"")</f>
        <v/>
      </c>
      <c r="I22" s="71"/>
      <c r="J22" s="64">
        <f>VLOOKUP(C22,Country_Data!C:K,9,FALSE)</f>
        <v>9890402</v>
      </c>
      <c r="K22" s="63">
        <f>(J22/100000)*I22</f>
        <v>0</v>
      </c>
      <c r="M22" s="62">
        <f t="array" ref="M22">IF(OR(C22=$O$3:$O$21),1,0)</f>
        <v>0</v>
      </c>
    </row>
    <row r="23" spans="2:13" s="62" customFormat="1" ht="13.8" customHeight="1" x14ac:dyDescent="0.3">
      <c r="B23" s="69">
        <f t="shared" si="0"/>
        <v>21</v>
      </c>
      <c r="C23" s="65" t="s">
        <v>349</v>
      </c>
      <c r="D23" s="64">
        <f>VLOOKUP(C23,Country_Data!B:F,5,FALSE)</f>
        <v>4014</v>
      </c>
      <c r="E23" s="64">
        <f>D23*Projections_Data!$C$15</f>
        <v>445</v>
      </c>
      <c r="F23" s="75">
        <f>IFERROR(VLOOKUP(C23,Days_Since_100!C:G,5,FALSE)-1,0)</f>
        <v>0.2425893143830935</v>
      </c>
      <c r="H23" s="72">
        <f>IFERROR(LOG((K23/E23),1+F23),"")</f>
        <v>16.133947406947037</v>
      </c>
      <c r="I23" s="71">
        <v>21.8</v>
      </c>
      <c r="J23" s="64">
        <f>VLOOKUP(C23,Country_Data!C:K,9,FALSE)</f>
        <v>67886011</v>
      </c>
      <c r="K23" s="63">
        <f>(J23/100000)*I23</f>
        <v>14799.150398</v>
      </c>
      <c r="M23" s="62">
        <f t="array" ref="M23">IF(OR(C23=$O$3:$O$21),1,0)</f>
        <v>1</v>
      </c>
    </row>
    <row r="24" spans="2:13" s="62" customFormat="1" ht="13.8" customHeight="1" x14ac:dyDescent="0.3">
      <c r="B24" s="69">
        <f t="shared" si="0"/>
        <v>22</v>
      </c>
      <c r="C24" s="65" t="s">
        <v>60</v>
      </c>
      <c r="D24" s="64">
        <f>VLOOKUP(C24,Country_Data!B:F,5,FALSE)</f>
        <v>20410</v>
      </c>
      <c r="E24" s="64">
        <f>D24*Projections_Data!$C$15</f>
        <v>2262.6930742401591</v>
      </c>
      <c r="F24" s="75">
        <f>IFERROR(VLOOKUP(C24,Days_Since_100!C:G,5,FALSE)-1,0)</f>
        <v>0.21219351076798576</v>
      </c>
      <c r="H24" s="72" t="str">
        <f>IFERROR(LOG((K24/E24),1+F24),"")</f>
        <v/>
      </c>
      <c r="I24" s="71"/>
      <c r="J24" s="64">
        <f>VLOOKUP(C24,Country_Data!C:K,9,FALSE)</f>
        <v>46754778</v>
      </c>
      <c r="K24" s="63">
        <f>(J24/100000)*I24</f>
        <v>0</v>
      </c>
      <c r="M24" s="62">
        <f t="array" ref="M24">IF(OR(C24=$O$3:$O$21),1,0)</f>
        <v>1</v>
      </c>
    </row>
    <row r="25" spans="2:13" s="62" customFormat="1" ht="13.8" customHeight="1" x14ac:dyDescent="0.3">
      <c r="B25" s="69">
        <f t="shared" si="0"/>
        <v>23</v>
      </c>
      <c r="C25" s="65" t="s">
        <v>48</v>
      </c>
      <c r="D25" s="64">
        <f>VLOOKUP(C25,Country_Data!B:F,5,FALSE)</f>
        <v>791</v>
      </c>
      <c r="E25" s="64">
        <f>D25*Projections_Data!$C$15</f>
        <v>87.691828599900347</v>
      </c>
      <c r="F25" s="75">
        <f>IFERROR(VLOOKUP(C25,Days_Since_100!C:G,5,FALSE)-1,0)</f>
        <v>0.21642127377146925</v>
      </c>
      <c r="H25" s="72" t="str">
        <f>IFERROR(LOG((K25/E25),1+F25),"")</f>
        <v/>
      </c>
      <c r="I25" s="71"/>
      <c r="J25" s="64">
        <f>VLOOKUP(C25,Country_Data!C:K,9,FALSE)</f>
        <v>25499884</v>
      </c>
      <c r="K25" s="63">
        <f>(J25/100000)*I25</f>
        <v>0</v>
      </c>
      <c r="M25" s="62">
        <f t="array" ref="M25">IF(OR(C25=$O$3:$O$21),1,0)</f>
        <v>0</v>
      </c>
    </row>
    <row r="26" spans="2:13" s="62" customFormat="1" ht="13.8" customHeight="1" x14ac:dyDescent="0.3">
      <c r="B26" s="69">
        <f t="shared" si="0"/>
        <v>24</v>
      </c>
      <c r="C26" s="65" t="s">
        <v>113</v>
      </c>
      <c r="D26" s="64">
        <f>VLOOKUP(C26,Country_Data!B:F,5,FALSE)</f>
        <v>344</v>
      </c>
      <c r="E26" s="64">
        <f>D26*Projections_Data!$C$15</f>
        <v>38.13652217239661</v>
      </c>
      <c r="F26" s="75">
        <f>IFERROR(VLOOKUP(C26,Days_Since_100!C:G,5,FALSE)-1,0)</f>
        <v>0.27275333464557083</v>
      </c>
      <c r="H26" s="72">
        <f>IFERROR(LOG((K26/E26),1+F26),"")</f>
        <v>18.589880438113642</v>
      </c>
      <c r="I26" s="71">
        <v>9.6999999999999993</v>
      </c>
      <c r="J26" s="64">
        <f>VLOOKUP(C26,Country_Data!C:K,9,FALSE)</f>
        <v>34813871</v>
      </c>
      <c r="K26" s="63">
        <f>(J26/100000)*I26</f>
        <v>3376.945487</v>
      </c>
      <c r="M26" s="62">
        <f t="array" ref="M26">IF(OR(C26=$O$3:$O$21),1,0)</f>
        <v>0</v>
      </c>
    </row>
    <row r="27" spans="2:13" s="62" customFormat="1" ht="13.8" customHeight="1" x14ac:dyDescent="0.3">
      <c r="B27" s="69">
        <f t="shared" si="0"/>
        <v>25</v>
      </c>
      <c r="C27" s="65" t="s">
        <v>63</v>
      </c>
      <c r="D27" s="64">
        <f>VLOOKUP(C27,Country_Data!B:F,5,FALSE)</f>
        <v>2257</v>
      </c>
      <c r="E27" s="64">
        <f>D27*Projections_Data!$C$15</f>
        <v>250.21549576482312</v>
      </c>
      <c r="F27" s="75">
        <f>IFERROR(VLOOKUP(C27,Days_Since_100!C:G,5,FALSE)-1,0)</f>
        <v>0.20564532768960508</v>
      </c>
      <c r="H27" s="72" t="str">
        <f>IFERROR(LOG((K27/E27),1+F27),"")</f>
        <v/>
      </c>
      <c r="I27" s="71"/>
      <c r="J27" s="64">
        <f>VLOOKUP(C27,Country_Data!C:K,9,FALSE)</f>
        <v>11589623</v>
      </c>
      <c r="K27" s="63">
        <f>(J27/100000)*I27</f>
        <v>0</v>
      </c>
      <c r="M27" s="62">
        <f t="array" ref="M27">IF(OR(C27=$O$3:$O$21),1,0)</f>
        <v>0</v>
      </c>
    </row>
    <row r="28" spans="2:13" s="62" customFormat="1" ht="13.8" customHeight="1" x14ac:dyDescent="0.3">
      <c r="B28" s="69">
        <f t="shared" si="0"/>
        <v>26</v>
      </c>
      <c r="C28" s="65" t="s">
        <v>89</v>
      </c>
      <c r="D28" s="64">
        <f>VLOOKUP(C28,Country_Data!B:F,5,FALSE)</f>
        <v>3003</v>
      </c>
      <c r="E28" s="64">
        <f>D28*Projections_Data!$C$15</f>
        <v>332.91853512705529</v>
      </c>
      <c r="F28" s="75">
        <f>IFERROR(VLOOKUP(C28,Days_Since_100!C:G,5,FALSE)-1,0)</f>
        <v>0.21417871155150547</v>
      </c>
      <c r="H28" s="72">
        <f>IFERROR(LOG((K28/E28),1+F28),"")</f>
        <v>10.831890115837766</v>
      </c>
      <c r="I28" s="71">
        <v>15.9</v>
      </c>
      <c r="J28" s="64">
        <f>VLOOKUP(C28,Country_Data!C:K,9,FALSE)</f>
        <v>17134872</v>
      </c>
      <c r="K28" s="63">
        <f>(J28/100000)*I28</f>
        <v>2724.4446479999997</v>
      </c>
      <c r="M28" s="62">
        <f t="array" ref="M28">IF(OR(C28=$O$3:$O$21),1,0)</f>
        <v>0</v>
      </c>
    </row>
    <row r="29" spans="2:13" s="62" customFormat="1" ht="13.8" customHeight="1" x14ac:dyDescent="0.3">
      <c r="B29" s="69">
        <f t="shared" si="0"/>
        <v>27</v>
      </c>
      <c r="C29" s="65" t="s">
        <v>41</v>
      </c>
      <c r="D29" s="64">
        <f>VLOOKUP(C29,Country_Data!B:F,5,FALSE)</f>
        <v>12726</v>
      </c>
      <c r="E29" s="64">
        <f>D29*Projections_Data!$C$15</f>
        <v>1410.8295964125559</v>
      </c>
      <c r="F29" s="75">
        <f>IFERROR(VLOOKUP(C29,Days_Since_100!C:G,5,FALSE)-1,0)</f>
        <v>0.22985260745057179</v>
      </c>
      <c r="H29" s="72" t="str">
        <f>IFERROR(LOG((K29/E29),1+F29),"")</f>
        <v/>
      </c>
      <c r="I29" s="71"/>
      <c r="J29" s="64">
        <f>VLOOKUP(C29,Country_Data!C:K,9,FALSE)</f>
        <v>65273511</v>
      </c>
      <c r="K29" s="63">
        <f>(J29/100000)*I29</f>
        <v>0</v>
      </c>
      <c r="M29" s="62">
        <f t="array" ref="M29">IF(OR(C29=$O$3:$O$21),1,0)</f>
        <v>1</v>
      </c>
    </row>
    <row r="30" spans="2:13" s="62" customFormat="1" ht="13.8" customHeight="1" x14ac:dyDescent="0.3">
      <c r="B30" s="69">
        <f t="shared" si="0"/>
        <v>28</v>
      </c>
      <c r="C30" s="65" t="s">
        <v>65</v>
      </c>
      <c r="D30" s="64">
        <f>VLOOKUP(C30,Country_Data!B:F,5,FALSE)</f>
        <v>285</v>
      </c>
      <c r="E30" s="64">
        <f>D30*Projections_Data!$C$15</f>
        <v>31.595665171898354</v>
      </c>
      <c r="F30" s="75">
        <f>IFERROR(VLOOKUP(C30,Days_Since_100!C:G,5,FALSE)-1,0)</f>
        <v>0.20973552688431263</v>
      </c>
      <c r="H30" s="72">
        <f>IFERROR(LOG((K30/E30),1+F30),"")</f>
        <v>30.859516554746982</v>
      </c>
      <c r="I30" s="71">
        <v>11</v>
      </c>
      <c r="J30" s="64">
        <f>VLOOKUP(C30,Country_Data!C:K,9,FALSE)</f>
        <v>102334404</v>
      </c>
      <c r="K30" s="63">
        <f>(J30/100000)*I30</f>
        <v>11256.784439999999</v>
      </c>
      <c r="M30" s="62">
        <f t="array" ref="M30">IF(OR(C30=$O$3:$O$21),1,0)</f>
        <v>0</v>
      </c>
    </row>
    <row r="31" spans="2:13" s="62" customFormat="1" ht="13.8" customHeight="1" x14ac:dyDescent="0.3">
      <c r="B31" s="69">
        <f t="shared" si="0"/>
        <v>29</v>
      </c>
      <c r="C31" s="65" t="s">
        <v>88</v>
      </c>
      <c r="D31" s="64">
        <f>VLOOKUP(C31,Country_Data!B:F,5,FALSE)</f>
        <v>283</v>
      </c>
      <c r="E31" s="64">
        <f>D31*Projections_Data!$C$15</f>
        <v>31.373941205779769</v>
      </c>
      <c r="F31" s="75">
        <f>IFERROR(VLOOKUP(C31,Days_Since_100!C:G,5,FALSE)-1,0)</f>
        <v>0.10600748225684686</v>
      </c>
      <c r="H31" s="72" t="str">
        <f>IFERROR(LOG((K31/E31),1+F31),"")</f>
        <v/>
      </c>
      <c r="I31" s="71"/>
      <c r="J31" s="64">
        <f>VLOOKUP(C31,Country_Data!C:K,9,FALSE)</f>
        <v>1326535</v>
      </c>
      <c r="K31" s="63">
        <f>(J31/100000)*I31</f>
        <v>0</v>
      </c>
      <c r="M31" s="62">
        <f t="array" ref="M31">IF(OR(C31=$O$3:$O$21),1,0)</f>
        <v>0</v>
      </c>
    </row>
    <row r="32" spans="2:13" s="62" customFormat="1" ht="13.8" customHeight="1" x14ac:dyDescent="0.2">
      <c r="B32" s="69">
        <f t="shared" si="0"/>
        <v>30</v>
      </c>
      <c r="C32" s="65" t="s">
        <v>86</v>
      </c>
      <c r="D32" s="64">
        <f>VLOOKUP(C32,Country_Data!B:F,5,FALSE)</f>
        <v>308</v>
      </c>
      <c r="E32" s="64">
        <f>D32*Projections_Data!$C$15</f>
        <v>34.14549078226208</v>
      </c>
      <c r="F32" s="75">
        <f>IFERROR(VLOOKUP(C32,Days_Since_100!C:G,5,FALSE)-1,0)</f>
        <v>0.18646760313194255</v>
      </c>
      <c r="G32" s="61"/>
      <c r="H32" s="72" t="str">
        <f>IFERROR(LOG((K32/E32),1+F32),"")</f>
        <v/>
      </c>
      <c r="I32" s="71">
        <v>9.1</v>
      </c>
      <c r="J32" s="64">
        <f>VLOOKUP(C32,Country_Data!C:K,9,FALSE)</f>
        <v>19237691</v>
      </c>
      <c r="K32" s="63"/>
      <c r="M32" s="62">
        <f t="array" ref="M32">IF(OR(C32=$O$3:$O$21),1,0)</f>
        <v>0</v>
      </c>
    </row>
    <row r="33" spans="2:13" s="62" customFormat="1" ht="13.8" customHeight="1" x14ac:dyDescent="0.3">
      <c r="B33" s="69">
        <f t="shared" si="0"/>
        <v>31</v>
      </c>
      <c r="C33" s="65" t="s">
        <v>162</v>
      </c>
      <c r="D33" s="64">
        <f>VLOOKUP(C33,Country_Data!B:F,5,FALSE)</f>
        <v>137</v>
      </c>
      <c r="E33" s="64">
        <f>D33*Projections_Data!$C$15</f>
        <v>15.188091679123069</v>
      </c>
      <c r="F33" s="75">
        <f>IFERROR(VLOOKUP(C33,Days_Since_100!C:G,5,FALSE)-1,0)</f>
        <v>0.14226174967119731</v>
      </c>
      <c r="H33" s="72">
        <f>IFERROR(LOG((K33/E33),1+F33),"")</f>
        <v>32.650463561155945</v>
      </c>
      <c r="I33" s="71">
        <v>21.4</v>
      </c>
      <c r="J33" s="64">
        <f>VLOOKUP(C33,Country_Data!C:K,9,FALSE)</f>
        <v>5459642</v>
      </c>
      <c r="K33" s="63">
        <f>(J33/100000)*I33</f>
        <v>1168.363388</v>
      </c>
      <c r="M33" s="62">
        <f t="array" ref="M33">IF(OR(C33=$O$3:$O$21),1,0)</f>
        <v>0</v>
      </c>
    </row>
    <row r="34" spans="2:13" s="62" customFormat="1" ht="13.8" customHeight="1" x14ac:dyDescent="0.3">
      <c r="B34" s="69">
        <f t="shared" si="0"/>
        <v>32</v>
      </c>
      <c r="C34" s="65" t="s">
        <v>92</v>
      </c>
      <c r="D34" s="64">
        <f>VLOOKUP(C34,Country_Data!B:F,5,FALSE)</f>
        <v>409</v>
      </c>
      <c r="E34" s="64">
        <f>D34*Projections_Data!$C$15</f>
        <v>45.342551071250618</v>
      </c>
      <c r="F34" s="75">
        <f>IFERROR(VLOOKUP(C34,Days_Since_100!C:G,5,FALSE)-1,0)</f>
        <v>0.19054396950470376</v>
      </c>
      <c r="H34" s="72">
        <f>IFERROR(LOG((K34/E34),1+F34),"")</f>
        <v>-10.05624059036397</v>
      </c>
      <c r="I34" s="71">
        <v>2.2999999999999998</v>
      </c>
      <c r="J34" s="64">
        <f>VLOOKUP(C34,Country_Data!C:K,9,FALSE)</f>
        <v>341243</v>
      </c>
      <c r="K34" s="63">
        <f>(J34/100000)*I34</f>
        <v>7.8485889999999996</v>
      </c>
      <c r="M34" s="62">
        <f t="array" ref="M34">IF(OR(C34=$O$3:$O$21),1,0)</f>
        <v>0</v>
      </c>
    </row>
    <row r="35" spans="2:13" s="62" customFormat="1" ht="13.8" customHeight="1" x14ac:dyDescent="0.3">
      <c r="B35" s="69">
        <f t="shared" si="0"/>
        <v>33</v>
      </c>
      <c r="C35" s="65" t="s">
        <v>92</v>
      </c>
      <c r="D35" s="64">
        <f>VLOOKUP(C35,Country_Data!B:F,5,FALSE)</f>
        <v>409</v>
      </c>
      <c r="E35" s="64">
        <f>D35*Projections_Data!$C$15</f>
        <v>45.342551071250618</v>
      </c>
      <c r="F35" s="75">
        <f>IFERROR(VLOOKUP(C35,Days_Since_100!C:G,5,FALSE)-1,0)</f>
        <v>0.19054396950470376</v>
      </c>
      <c r="H35" s="72" t="str">
        <f>IFERROR(LOG((K35/E35),1+F35),"")</f>
        <v/>
      </c>
      <c r="I35" s="71"/>
      <c r="J35" s="64">
        <f>VLOOKUP(C35,Country_Data!C:K,9,FALSE)</f>
        <v>341243</v>
      </c>
      <c r="K35" s="63"/>
      <c r="M35" s="62">
        <f t="array" ref="M35">IF(OR(C35=$O$3:$O$21),1,0)</f>
        <v>0</v>
      </c>
    </row>
    <row r="36" spans="2:13" s="62" customFormat="1" ht="13.8" customHeight="1" x14ac:dyDescent="0.3">
      <c r="B36" s="69">
        <f t="shared" ref="B36:B58" si="1">B35+1</f>
        <v>34</v>
      </c>
      <c r="C36" s="65" t="s">
        <v>124</v>
      </c>
      <c r="D36" s="64">
        <f>VLOOKUP(C36,Country_Data!B:F,5,FALSE)</f>
        <v>434</v>
      </c>
      <c r="E36" s="64">
        <f>D36*Projections_Data!$C$15</f>
        <v>48.114100647732933</v>
      </c>
      <c r="F36" s="75">
        <f>IFERROR(VLOOKUP(C36,Days_Since_100!C:G,5,FALSE)-1,0)</f>
        <v>0.29356872761680153</v>
      </c>
      <c r="H36" s="72" t="str">
        <f>IFERROR(LOG((K36/E36),1+F36),"")</f>
        <v/>
      </c>
      <c r="I36" s="71">
        <v>9.1999999999999993</v>
      </c>
      <c r="J36" s="64">
        <f>VLOOKUP(C36,Country_Data!C:K,9,FALSE)</f>
        <v>19116201</v>
      </c>
      <c r="K36" s="63"/>
      <c r="M36" s="62">
        <f t="array" ref="M36">IF(OR(C36=$O$3:$O$21),1,0)</f>
        <v>0</v>
      </c>
    </row>
    <row r="37" spans="2:13" s="62" customFormat="1" ht="13.8" customHeight="1" x14ac:dyDescent="0.3">
      <c r="B37" s="69">
        <f t="shared" si="1"/>
        <v>35</v>
      </c>
      <c r="C37" s="65" t="s">
        <v>56</v>
      </c>
      <c r="D37" s="64">
        <f>VLOOKUP(C37,Country_Data!B:F,5,FALSE)</f>
        <v>230</v>
      </c>
      <c r="E37" s="64">
        <f>D37*Projections_Data!$C$15</f>
        <v>25.498256103637267</v>
      </c>
      <c r="F37" s="75">
        <f>IFERROR(VLOOKUP(C37,Days_Since_100!C:G,5,FALSE)-1,0)</f>
        <v>0.10438362870438156</v>
      </c>
      <c r="H37" s="72">
        <f>IFERROR(LOG((K37/E37),1+F37),"")</f>
        <v>63.314880123732699</v>
      </c>
      <c r="I37" s="71">
        <v>12.5</v>
      </c>
      <c r="J37" s="64">
        <f>VLOOKUP(C37,Country_Data!C:K,9,FALSE)</f>
        <v>109581078</v>
      </c>
      <c r="K37" s="63">
        <f>(J37/100000)*I37</f>
        <v>13697.634750000001</v>
      </c>
      <c r="M37" s="62">
        <f t="array" ref="M37">IF(OR(C37=$O$3:$O$21),1,0)</f>
        <v>0</v>
      </c>
    </row>
    <row r="38" spans="2:13" s="62" customFormat="1" ht="13.8" customHeight="1" x14ac:dyDescent="0.3">
      <c r="B38" s="69">
        <f t="shared" si="1"/>
        <v>36</v>
      </c>
      <c r="C38" s="65" t="s">
        <v>58</v>
      </c>
      <c r="D38" s="64">
        <f>VLOOKUP(C38,Country_Data!B:F,5,FALSE)</f>
        <v>47021</v>
      </c>
      <c r="E38" s="64">
        <f>D38*Projections_Data!$C$15</f>
        <v>5212.8413054309913</v>
      </c>
      <c r="F38" s="75">
        <f>IFERROR(VLOOKUP(C38,Days_Since_100!C:G,5,FALSE)-1,0)</f>
        <v>0.13698271023699182</v>
      </c>
      <c r="H38" s="72">
        <f>IFERROR(LOG((K38/E38),1+F38),"")</f>
        <v>-2.6951211681973062</v>
      </c>
      <c r="I38" s="71">
        <v>6.1</v>
      </c>
      <c r="J38" s="64">
        <f>VLOOKUP(C38,Country_Data!C:K,9,FALSE)</f>
        <v>60461826</v>
      </c>
      <c r="K38" s="63">
        <f>(J38/100000)*I38</f>
        <v>3688.1713859999995</v>
      </c>
      <c r="M38" s="62">
        <f t="array" ref="M38">IF(OR(C38=$O$3:$O$21),1,0)</f>
        <v>1</v>
      </c>
    </row>
    <row r="39" spans="2:13" s="62" customFormat="1" ht="13.8" customHeight="1" x14ac:dyDescent="0.3">
      <c r="B39" s="69">
        <f t="shared" si="1"/>
        <v>37</v>
      </c>
      <c r="C39" s="65" t="s">
        <v>57</v>
      </c>
      <c r="D39" s="64">
        <f>VLOOKUP(C39,Country_Data!B:F,5,FALSE)</f>
        <v>244</v>
      </c>
      <c r="E39" s="64">
        <f>D39*Projections_Data!$C$15</f>
        <v>27.050323866467362</v>
      </c>
      <c r="F39" s="75">
        <f>IFERROR(VLOOKUP(C39,Days_Since_100!C:G,5,FALSE)-1,0)</f>
        <v>0.16643965715897213</v>
      </c>
      <c r="H39" s="72" t="str">
        <f>IFERROR(LOG((K39/E39),1+F39),"")</f>
        <v/>
      </c>
      <c r="I39" s="71"/>
      <c r="J39" s="64">
        <f>VLOOKUP(C39,Country_Data!C:K,9,FALSE)</f>
        <v>1380004385</v>
      </c>
      <c r="K39" s="63">
        <f>(J39/100000)*I39</f>
        <v>0</v>
      </c>
      <c r="M39" s="62">
        <f t="array" ref="M39">IF(OR(C39=$O$3:$O$21),1,0)</f>
        <v>0</v>
      </c>
    </row>
    <row r="40" spans="2:13" s="62" customFormat="1" ht="13.8" customHeight="1" x14ac:dyDescent="0.3">
      <c r="B40" s="69">
        <f t="shared" si="1"/>
        <v>38</v>
      </c>
      <c r="C40" s="65" t="s">
        <v>83</v>
      </c>
      <c r="D40" s="64">
        <f>VLOOKUP(C40,Country_Data!B:F,5,FALSE)</f>
        <v>495</v>
      </c>
      <c r="E40" s="64">
        <f>D40*Projections_Data!$C$15</f>
        <v>54.876681614349771</v>
      </c>
      <c r="F40" s="75">
        <f>IFERROR(VLOOKUP(C40,Days_Since_100!C:G,5,FALSE)-1,0)</f>
        <v>8.381570793985027E-2</v>
      </c>
      <c r="H40" s="72" t="str">
        <f>IFERROR(LOG((K40/E40),1+F40),"")</f>
        <v/>
      </c>
      <c r="I40" s="71"/>
      <c r="J40" s="64">
        <f>VLOOKUP(C40,Country_Data!C:K,9,FALSE)</f>
        <v>10423054</v>
      </c>
      <c r="K40" s="63"/>
      <c r="M40" s="62">
        <f t="array" ref="M40">IF(OR(C40=$O$3:$O$21),1,0)</f>
        <v>0</v>
      </c>
    </row>
    <row r="41" spans="2:13" s="62" customFormat="1" ht="13.8" customHeight="1" x14ac:dyDescent="0.3">
      <c r="B41" s="69">
        <f t="shared" si="1"/>
        <v>39</v>
      </c>
      <c r="C41" s="65" t="s">
        <v>54</v>
      </c>
      <c r="D41" s="64">
        <f>VLOOKUP(C41,Country_Data!B:F,5,FALSE)</f>
        <v>450</v>
      </c>
      <c r="E41" s="64">
        <f>D41*Projections_Data!$C$15</f>
        <v>49.887892376681613</v>
      </c>
      <c r="F41" s="75">
        <f>IFERROR(VLOOKUP(C41,Days_Since_100!C:G,5,FALSE)-1,0)</f>
        <v>0.13022403201526322</v>
      </c>
      <c r="H41" s="72" t="str">
        <f>IFERROR(LOG((K41/E41),1+F41),"")</f>
        <v/>
      </c>
      <c r="I41" s="71"/>
      <c r="J41" s="64">
        <f>VLOOKUP(C41,Country_Data!C:K,9,FALSE)</f>
        <v>5540720</v>
      </c>
      <c r="K41" s="63">
        <f>(J41/100000)*I41</f>
        <v>0</v>
      </c>
      <c r="M41" s="62">
        <f t="array" ref="M41">IF(OR(C41=$O$3:$O$21),1,0)</f>
        <v>0</v>
      </c>
    </row>
    <row r="42" spans="2:13" s="62" customFormat="1" ht="13.8" customHeight="1" x14ac:dyDescent="0.3">
      <c r="B42" s="69">
        <f t="shared" si="1"/>
        <v>40</v>
      </c>
      <c r="C42" s="65" t="s">
        <v>70</v>
      </c>
      <c r="D42" s="64">
        <f>VLOOKUP(C42,Country_Data!B:F,5,FALSE)</f>
        <v>208</v>
      </c>
      <c r="E42" s="64">
        <f>D42*Projections_Data!$C$15</f>
        <v>23.059292476332836</v>
      </c>
      <c r="F42" s="75">
        <f>IFERROR(VLOOKUP(C42,Days_Since_100!C:G,5,FALSE)-1,0)</f>
        <v>0.12388291480088842</v>
      </c>
      <c r="H42" s="72">
        <f>IFERROR(LOG((K42/E42),1+F42),"")</f>
        <v>47.435432715048861</v>
      </c>
      <c r="I42" s="71">
        <v>14.6</v>
      </c>
      <c r="J42" s="64">
        <f>VLOOKUP(C42,Country_Data!C:K,9,FALSE)</f>
        <v>40222493</v>
      </c>
      <c r="K42" s="63">
        <f>(J42/100000)*I42</f>
        <v>5872.4839779999993</v>
      </c>
      <c r="M42" s="62">
        <f t="array" ref="M42">IF(OR(C42=$O$3:$O$21),1,0)</f>
        <v>0</v>
      </c>
    </row>
    <row r="43" spans="2:13" s="62" customFormat="1" ht="13.8" customHeight="1" x14ac:dyDescent="0.3">
      <c r="B43" s="69">
        <f t="shared" si="1"/>
        <v>41</v>
      </c>
      <c r="C43" s="65" t="s">
        <v>40</v>
      </c>
      <c r="D43" s="64">
        <f>VLOOKUP(C43,Country_Data!B:F,5,FALSE)</f>
        <v>385</v>
      </c>
      <c r="E43" s="64">
        <f>D43*Projections_Data!$C$15</f>
        <v>42.681863477827598</v>
      </c>
      <c r="F43" s="75">
        <f>IFERROR(VLOOKUP(C43,Days_Since_100!C:G,5,FALSE)-1,0)</f>
        <v>0.11242427686582857</v>
      </c>
      <c r="H43" s="72" t="str">
        <f>IFERROR(LOG((K43/E43),1+F43),"")</f>
        <v/>
      </c>
      <c r="I43" s="71"/>
      <c r="J43" s="64">
        <f>VLOOKUP(C43,Country_Data!C:K,9,FALSE)</f>
        <v>5850342</v>
      </c>
      <c r="K43" s="63">
        <f>(J43/100000)*I43</f>
        <v>0</v>
      </c>
      <c r="M43" s="62">
        <f t="array" ref="M43">IF(OR(C43=$O$3:$O$21),1,0)</f>
        <v>0</v>
      </c>
    </row>
    <row r="44" spans="2:13" s="62" customFormat="1" ht="13.8" customHeight="1" x14ac:dyDescent="0.3">
      <c r="B44" s="69">
        <f t="shared" si="1"/>
        <v>42</v>
      </c>
      <c r="C44" s="65" t="s">
        <v>85</v>
      </c>
      <c r="D44" s="64">
        <f>VLOOKUP(C44,Country_Data!B:F,5,FALSE)</f>
        <v>1914</v>
      </c>
      <c r="E44" s="64">
        <f>D44*Projections_Data!$C$15</f>
        <v>212.1898355754858</v>
      </c>
      <c r="F44" s="75">
        <f>IFERROR(VLOOKUP(C44,Days_Since_100!C:G,5,FALSE)-1,0)</f>
        <v>9.4070363507941179E-2</v>
      </c>
      <c r="H44" s="72">
        <f>IFERROR(LOG((K44/E44),1+F44),"")</f>
        <v>4.3744658929083879</v>
      </c>
      <c r="I44" s="71">
        <v>5.8</v>
      </c>
      <c r="J44" s="64">
        <f>VLOOKUP(C44,Country_Data!C:K,9,FALSE)</f>
        <v>5421241</v>
      </c>
      <c r="K44" s="63">
        <f>(J44/100000)*I44</f>
        <v>314.43197799999996</v>
      </c>
      <c r="M44" s="62">
        <f t="array" ref="M44">IF(OR(C44=$O$3:$O$21),1,0)</f>
        <v>0</v>
      </c>
    </row>
    <row r="45" spans="2:13" s="62" customFormat="1" ht="13.8" customHeight="1" x14ac:dyDescent="0.3">
      <c r="B45" s="69">
        <f t="shared" si="1"/>
        <v>43</v>
      </c>
      <c r="C45" s="65" t="s">
        <v>141</v>
      </c>
      <c r="D45" s="64">
        <f>VLOOKUP(C45,Country_Data!B:F,5,FALSE)</f>
        <v>341</v>
      </c>
      <c r="E45" s="64">
        <f>D45*Projections_Data!$C$15</f>
        <v>37.803936223218734</v>
      </c>
      <c r="F45" s="75">
        <f>IFERROR(VLOOKUP(C45,Days_Since_100!C:G,5,FALSE)-1,0)</f>
        <v>9.2602155170837808E-2</v>
      </c>
      <c r="H45" s="72">
        <f>IFERROR(LOG((K45/E45),1+F45),"")</f>
        <v>16.728033357999376</v>
      </c>
      <c r="I45" s="71">
        <v>8</v>
      </c>
      <c r="J45" s="64">
        <f>VLOOKUP(C45,Country_Data!C:K,9,FALSE)</f>
        <v>2078938</v>
      </c>
      <c r="K45" s="63">
        <f>(J45/100000)*I45</f>
        <v>166.31504000000001</v>
      </c>
      <c r="M45" s="62">
        <f t="array" ref="M45">IF(OR(C45=$O$3:$O$21),1,0)</f>
        <v>0</v>
      </c>
    </row>
    <row r="46" spans="2:13" s="62" customFormat="1" ht="13.8" customHeight="1" x14ac:dyDescent="0.3">
      <c r="B46" s="69">
        <f t="shared" si="1"/>
        <v>44</v>
      </c>
      <c r="C46" s="65" t="s">
        <v>67</v>
      </c>
      <c r="D46" s="64">
        <f>VLOOKUP(C46,Country_Data!B:F,5,FALSE)</f>
        <v>163</v>
      </c>
      <c r="E46" s="64">
        <f>D46*Projections_Data!$C$15</f>
        <v>18.070503238664674</v>
      </c>
      <c r="F46" s="75">
        <f>IFERROR(VLOOKUP(C46,Days_Since_100!C:G,5,FALSE)-1,0)</f>
        <v>8.1829908448710631E-2</v>
      </c>
      <c r="H46" s="72">
        <f>IFERROR(LOG((K46/E46),1+F46),"")</f>
        <v>40.497126737898171</v>
      </c>
      <c r="I46" s="71">
        <v>6.4</v>
      </c>
      <c r="J46" s="64">
        <f>VLOOKUP(C46,Country_Data!C:K,9,FALSE)</f>
        <v>6825445</v>
      </c>
      <c r="K46" s="63">
        <f>(J46/100000)*I46</f>
        <v>436.82848000000007</v>
      </c>
      <c r="M46" s="62">
        <f t="array" ref="M46">IF(OR(C46=$O$3:$O$21),1,0)</f>
        <v>0</v>
      </c>
    </row>
    <row r="47" spans="2:13" s="62" customFormat="1" ht="13.8" customHeight="1" x14ac:dyDescent="0.3">
      <c r="B47" s="69">
        <f t="shared" si="1"/>
        <v>45</v>
      </c>
      <c r="C47" s="65" t="s">
        <v>59</v>
      </c>
      <c r="D47" s="64">
        <f>VLOOKUP(C47,Country_Data!B:F,5,FALSE)</f>
        <v>1639</v>
      </c>
      <c r="E47" s="64">
        <f>D47*Projections_Data!$C$15</f>
        <v>181.70279023418036</v>
      </c>
      <c r="F47" s="75">
        <f>IFERROR(VLOOKUP(C47,Days_Since_100!C:G,5,FALSE)-1,0)</f>
        <v>9.9070652776806378E-2</v>
      </c>
      <c r="H47" s="72">
        <f>IFERROR(LOG((K47/E47),1+F47),"")</f>
        <v>13.91820749773434</v>
      </c>
      <c r="I47" s="71">
        <v>6.7</v>
      </c>
      <c r="J47" s="64">
        <f>VLOOKUP(C47,Country_Data!C:K,9,FALSE)</f>
        <v>10099265</v>
      </c>
      <c r="K47" s="63">
        <f>(J47/100000)*I47</f>
        <v>676.650755</v>
      </c>
      <c r="M47" s="62">
        <f t="array" ref="M47">IF(OR(C47=$O$3:$O$21),1,0)</f>
        <v>0</v>
      </c>
    </row>
    <row r="48" spans="2:13" s="62" customFormat="1" ht="13.8" customHeight="1" x14ac:dyDescent="0.3">
      <c r="B48" s="69">
        <f t="shared" si="1"/>
        <v>46</v>
      </c>
      <c r="C48" s="65" t="s">
        <v>342</v>
      </c>
      <c r="D48" s="64">
        <f>VLOOKUP(C48,Country_Data!B:F,5,FALSE)</f>
        <v>135</v>
      </c>
      <c r="E48" s="64">
        <f>D48*Projections_Data!$C$15</f>
        <v>14.966367713004484</v>
      </c>
      <c r="F48" s="75">
        <f>IFERROR(VLOOKUP(C48,Days_Since_100!C:G,5,FALSE)-1,0)</f>
        <v>0.16189500386222511</v>
      </c>
      <c r="H48" s="72">
        <f>IFERROR(LOG((K48/E48),1+F48),"")</f>
        <v>30.382268782247742</v>
      </c>
      <c r="I48" s="71">
        <v>6</v>
      </c>
      <c r="J48" s="64">
        <f>VLOOKUP(C48,Country_Data!C:K,9,FALSE)</f>
        <v>23816775</v>
      </c>
      <c r="K48" s="63">
        <f>(J48/100000)*I48</f>
        <v>1429.0065</v>
      </c>
      <c r="M48" s="62">
        <f t="array" ref="M48">IF(OR(C48=$O$3:$O$21),1,0)</f>
        <v>0</v>
      </c>
    </row>
    <row r="49" spans="2:13" s="62" customFormat="1" ht="13.8" customHeight="1" x14ac:dyDescent="0.3">
      <c r="B49" s="69">
        <f t="shared" si="1"/>
        <v>47</v>
      </c>
      <c r="C49" s="65" t="s">
        <v>87</v>
      </c>
      <c r="D49" s="64">
        <f>VLOOKUP(C49,Country_Data!B:F,5,FALSE)</f>
        <v>1337</v>
      </c>
      <c r="E49" s="64">
        <f>D49*Projections_Data!$C$15</f>
        <v>148.22247135027402</v>
      </c>
      <c r="F49" s="75">
        <f>IFERROR(VLOOKUP(C49,Days_Since_100!C:G,5,FALSE)-1,0)</f>
        <v>8.8490569773641781E-2</v>
      </c>
      <c r="H49" s="72" t="str">
        <f>IFERROR(LOG((K49/E49),1+F49),"")</f>
        <v/>
      </c>
      <c r="I49" s="71"/>
      <c r="J49" s="64">
        <f>VLOOKUP(C49,Country_Data!C:K,9,FALSE)</f>
        <v>5792202</v>
      </c>
      <c r="K49" s="63">
        <f>(J49/100000)*I49</f>
        <v>0</v>
      </c>
      <c r="M49" s="62">
        <f t="array" ref="M49">IF(OR(C49=$O$3:$O$21),1,0)</f>
        <v>0</v>
      </c>
    </row>
    <row r="50" spans="2:13" s="62" customFormat="1" ht="13.8" customHeight="1" x14ac:dyDescent="0.3">
      <c r="B50" s="69">
        <f t="shared" si="1"/>
        <v>48</v>
      </c>
      <c r="C50" s="65" t="s">
        <v>338</v>
      </c>
      <c r="D50" s="64">
        <f>VLOOKUP(C50,Country_Data!B:F,5,FALSE)</f>
        <v>19644</v>
      </c>
      <c r="E50" s="64">
        <f>D50*Projections_Data!$C$15</f>
        <v>2177.7727952167411</v>
      </c>
      <c r="F50" s="75">
        <f>IFERROR(VLOOKUP(C50,Days_Since_100!C:G,5,FALSE)-1,0)</f>
        <v>7.1040499095448295E-2</v>
      </c>
      <c r="H50" s="72" t="str">
        <f>IFERROR(LOG((K50/E50),1+F50),"")</f>
        <v/>
      </c>
      <c r="I50" s="71"/>
      <c r="J50" s="64">
        <f>VLOOKUP(C50,Country_Data!C:K,9,FALSE)</f>
        <v>83992949</v>
      </c>
      <c r="K50" s="63">
        <f>(J50/100000)*I50</f>
        <v>0</v>
      </c>
      <c r="M50" s="62">
        <f t="array" ref="M50">IF(OR(C50=$O$3:$O$21),1,0)</f>
        <v>0</v>
      </c>
    </row>
    <row r="51" spans="2:13" s="62" customFormat="1" ht="13.8" customHeight="1" x14ac:dyDescent="0.3">
      <c r="B51" s="69">
        <f t="shared" si="1"/>
        <v>49</v>
      </c>
      <c r="C51" s="65" t="s">
        <v>74</v>
      </c>
      <c r="D51" s="64">
        <f>VLOOKUP(C51,Country_Data!B:F,5,FALSE)</f>
        <v>159</v>
      </c>
      <c r="E51" s="64">
        <f>D51*Projections_Data!$C$15</f>
        <v>17.627055306427504</v>
      </c>
      <c r="F51" s="75">
        <f>IFERROR(VLOOKUP(C51,Days_Since_100!C:G,5,FALSE)-1,0)</f>
        <v>7.2595128925091901E-2</v>
      </c>
      <c r="H51" s="72" t="str">
        <f>IFERROR(LOG((K51/E51),1+F51),"")</f>
        <v/>
      </c>
      <c r="I51" s="71"/>
      <c r="J51" s="64">
        <f>VLOOKUP(C51,Country_Data!C:K,9,FALSE)</f>
        <v>4270571</v>
      </c>
      <c r="K51" s="63">
        <f>(J51/100000)*I51</f>
        <v>0</v>
      </c>
      <c r="M51" s="62">
        <f t="array" ref="M51">IF(OR(C51=$O$3:$O$21),1,0)</f>
        <v>0</v>
      </c>
    </row>
    <row r="52" spans="2:13" s="62" customFormat="1" ht="13.8" customHeight="1" x14ac:dyDescent="0.3">
      <c r="B52" s="69">
        <f t="shared" si="1"/>
        <v>50</v>
      </c>
      <c r="C52" s="65" t="s">
        <v>101</v>
      </c>
      <c r="D52" s="64">
        <f>VLOOKUP(C52,Country_Data!B:F,5,FALSE)</f>
        <v>470</v>
      </c>
      <c r="E52" s="64">
        <f>D52*Projections_Data!$C$15</f>
        <v>52.105132037867463</v>
      </c>
      <c r="F52" s="75">
        <f>IFERROR(VLOOKUP(C52,Days_Since_100!C:G,5,FALSE)-1,0)</f>
        <v>3.2263798895852069E-2</v>
      </c>
      <c r="H52" s="72" t="str">
        <f>IFERROR(LOG((K52/E52),1+F52),"")</f>
        <v/>
      </c>
      <c r="I52" s="71"/>
      <c r="J52" s="64">
        <f>VLOOKUP(C52,Country_Data!C:K,9,FALSE)</f>
        <v>2881053</v>
      </c>
      <c r="K52" s="63">
        <f>(J52/100000)*I52</f>
        <v>0</v>
      </c>
      <c r="M52" s="62">
        <f t="array" ref="M52">IF(OR(C52=$O$3:$O$21),1,0)</f>
        <v>0</v>
      </c>
    </row>
    <row r="53" spans="2:13" s="62" customFormat="1" ht="13.8" customHeight="1" x14ac:dyDescent="0.3">
      <c r="B53" s="69">
        <f t="shared" si="1"/>
        <v>51</v>
      </c>
      <c r="C53" s="65" t="s">
        <v>73</v>
      </c>
      <c r="D53" s="64">
        <f>VLOOKUP(C53,Country_Data!B:F,5,FALSE)</f>
        <v>285</v>
      </c>
      <c r="E53" s="64">
        <f>D53*Projections_Data!$C$15</f>
        <v>31.595665171898354</v>
      </c>
      <c r="F53" s="75">
        <f>IFERROR(VLOOKUP(C53,Days_Since_100!C:G,5,FALSE)-1,0)</f>
        <v>5.8976243115942628E-2</v>
      </c>
      <c r="H53" s="72" t="str">
        <f>IFERROR(LOG((K53/E53),1+F53),"")</f>
        <v/>
      </c>
      <c r="I53" s="71"/>
      <c r="J53" s="64">
        <f>VLOOKUP(C53,Country_Data!C:K,9,FALSE)</f>
        <v>1701575</v>
      </c>
      <c r="K53" s="63">
        <f>(J53/100000)*I53</f>
        <v>0</v>
      </c>
      <c r="M53" s="62">
        <f t="array" ref="M53">IF(OR(C53=$O$3:$O$21),1,0)</f>
        <v>0</v>
      </c>
    </row>
    <row r="54" spans="2:13" s="62" customFormat="1" ht="13.8" customHeight="1" x14ac:dyDescent="0.3">
      <c r="B54" s="69">
        <f t="shared" si="1"/>
        <v>52</v>
      </c>
      <c r="C54" s="65" t="s">
        <v>90</v>
      </c>
      <c r="D54" s="64">
        <f>VLOOKUP(C54,Country_Data!B:F,5,FALSE)</f>
        <v>144</v>
      </c>
      <c r="E54" s="64">
        <f>D54*Projections_Data!$C$15</f>
        <v>15.964125560538116</v>
      </c>
      <c r="F54" s="75">
        <f>IFERROR(VLOOKUP(C54,Days_Since_100!C:G,5,FALSE)-1,0)</f>
        <v>7.3515263357211369E-2</v>
      </c>
      <c r="H54" s="72" t="str">
        <f>IFERROR(LOG((K54/E54),1+F54),"")</f>
        <v/>
      </c>
      <c r="I54" s="71"/>
      <c r="J54" s="64">
        <f>VLOOKUP(C54,Country_Data!C:K,9,FALSE)</f>
        <v>33931</v>
      </c>
      <c r="K54" s="63">
        <f>(J54/100000)*I54</f>
        <v>0</v>
      </c>
      <c r="M54" s="62">
        <f t="array" ref="M54">IF(OR(C54=$O$3:$O$21),1,0)</f>
        <v>0</v>
      </c>
    </row>
    <row r="55" spans="2:13" s="62" customFormat="1" ht="13.8" customHeight="1" x14ac:dyDescent="0.3">
      <c r="B55" s="69">
        <f t="shared" si="1"/>
        <v>53</v>
      </c>
      <c r="C55" s="65" t="s">
        <v>36</v>
      </c>
      <c r="D55" s="64">
        <f>VLOOKUP(C55,Country_Data!B:F,5,FALSE)</f>
        <v>963</v>
      </c>
      <c r="E55" s="64">
        <f>D55*Projections_Data!$C$15</f>
        <v>106.76008968609865</v>
      </c>
      <c r="F55" s="75">
        <f>IFERROR(VLOOKUP(C55,Days_Since_100!C:G,5,FALSE)-1,0)</f>
        <v>2.7952069623549125E-2</v>
      </c>
      <c r="H55" s="72">
        <f>IFERROR(LOG((K55/E55),1+F55),"")</f>
        <v>161.77611566875015</v>
      </c>
      <c r="I55" s="71">
        <v>7.3</v>
      </c>
      <c r="J55" s="64">
        <f>VLOOKUP(C55,Country_Data!C:K,9,FALSE)</f>
        <v>126476461</v>
      </c>
      <c r="K55" s="63">
        <f>(J55/100000)*I55</f>
        <v>9232.781653</v>
      </c>
      <c r="M55" s="62">
        <f t="array" ref="M55">IF(OR(C55=$O$3:$O$21),1,0)</f>
        <v>0</v>
      </c>
    </row>
    <row r="56" spans="2:13" s="62" customFormat="1" ht="13.8" customHeight="1" x14ac:dyDescent="0.3">
      <c r="B56" s="69">
        <f t="shared" si="1"/>
        <v>54</v>
      </c>
      <c r="C56" s="65" t="s">
        <v>340</v>
      </c>
      <c r="D56" s="64">
        <f>VLOOKUP(C56,Country_Data!B:F,5,FALSE)</f>
        <v>712</v>
      </c>
      <c r="E56" s="64">
        <f>D56*Projections_Data!$C$15</f>
        <v>78.933731938216241</v>
      </c>
      <c r="F56" s="75">
        <f>IFERROR(VLOOKUP(C56,Days_Since_100!C:G,5,FALSE)-1,0)</f>
        <v>4.5559973556712485E-3</v>
      </c>
      <c r="H56" s="72" t="str">
        <f>IFERROR(LOG((K56/E56),1+F56),"")</f>
        <v/>
      </c>
      <c r="I56" s="71"/>
      <c r="J56" s="64" t="e">
        <f>VLOOKUP(C56,Country_Data!C:K,9,FALSE)</f>
        <v>#N/A</v>
      </c>
      <c r="K56" s="63" t="e">
        <f>(J56/100000)*I56</f>
        <v>#N/A</v>
      </c>
      <c r="M56" s="62">
        <f t="array" ref="M56">IF(OR(C56=$O$3:$O$21),1,0)</f>
        <v>0</v>
      </c>
    </row>
    <row r="57" spans="2:13" s="62" customFormat="1" ht="13.8" customHeight="1" x14ac:dyDescent="0.3">
      <c r="B57" s="69">
        <f t="shared" si="1"/>
        <v>55</v>
      </c>
      <c r="C57" s="65" t="s">
        <v>337</v>
      </c>
      <c r="D57" s="64">
        <f>VLOOKUP(C57,Country_Data!B:F,5,FALSE)</f>
        <v>81250</v>
      </c>
      <c r="E57" s="64">
        <f>D57*Projections_Data!$C$15</f>
        <v>9007.5361235675136</v>
      </c>
      <c r="F57" s="75">
        <f>IFERROR(VLOOKUP(C57,Days_Since_100!C:G,5,FALSE)-1,0)</f>
        <v>6.0911147034081736E-4</v>
      </c>
      <c r="H57" s="72">
        <f>IFERROR(LOG((K57/E57),1+F57),"")</f>
        <v>2873.3058872694419</v>
      </c>
      <c r="I57" s="71">
        <v>3.6</v>
      </c>
      <c r="J57" s="64">
        <f>VLOOKUP(C57,Country_Data!C:K,9,FALSE)</f>
        <v>1439323776</v>
      </c>
      <c r="K57" s="63">
        <f>(J57/100000)*I57</f>
        <v>51815.655936000003</v>
      </c>
      <c r="M57" s="62">
        <f t="array" ref="M57">IF(OR(C57=$O$3:$O$21),1,0)</f>
        <v>0</v>
      </c>
    </row>
    <row r="58" spans="2:13" s="62" customFormat="1" ht="13.8" customHeight="1" x14ac:dyDescent="0.3">
      <c r="B58" s="69">
        <f t="shared" si="1"/>
        <v>56</v>
      </c>
      <c r="C58" s="65" t="s">
        <v>481</v>
      </c>
      <c r="D58" s="64">
        <f>VLOOKUP(C58,Country_Data!B:F,5,FALSE)</f>
        <v>833</v>
      </c>
      <c r="E58" s="64">
        <f>D58*Projections_Data!$C$15</f>
        <v>92.348031888390622</v>
      </c>
      <c r="F58" s="75">
        <f>IFERROR(VLOOKUP(C58,Days_Since_100!C:G,5,FALSE)-1,0)</f>
        <v>0</v>
      </c>
      <c r="H58" s="72" t="str">
        <f>IFERROR(LOG((K58/E58),1+F58),"")</f>
        <v/>
      </c>
      <c r="I58" s="71">
        <v>11.6</v>
      </c>
      <c r="J58" s="64" t="e">
        <f>VLOOKUP(C58,Country_Data!C:K,9,FALSE)</f>
        <v>#N/A</v>
      </c>
      <c r="K58" s="63" t="e">
        <f>(J58/100000)*I58</f>
        <v>#N/A</v>
      </c>
      <c r="M58" s="62">
        <f t="array" ref="M58">IF(OR(C58=$O$3:$O$21),1,0)</f>
        <v>0</v>
      </c>
    </row>
    <row r="59" spans="2:13" ht="13.2" customHeight="1" x14ac:dyDescent="0.2">
      <c r="B59" s="69">
        <f t="shared" ref="B59:B65" si="2">B58+1</f>
        <v>57</v>
      </c>
      <c r="C59" s="65" t="s">
        <v>478</v>
      </c>
      <c r="D59" s="64">
        <f>VLOOKUP(C59,Country_Data!B:F,5,FALSE)</f>
        <v>8652</v>
      </c>
      <c r="E59" s="64">
        <f>D59*Projections_Data!$C$15</f>
        <v>959.1778774289985</v>
      </c>
      <c r="F59" s="75">
        <f>IFERROR(VLOOKUP(C59,Days_Since_100!C:G,5,FALSE)-1,0)</f>
        <v>0</v>
      </c>
      <c r="G59" s="62"/>
      <c r="H59" s="72" t="str">
        <f>IFERROR(LOG((K59/E59),1+F59),"")</f>
        <v/>
      </c>
      <c r="I59" s="71">
        <v>10.6</v>
      </c>
      <c r="J59" s="64" t="e">
        <f>VLOOKUP(C59,Country_Data!C:K,9,FALSE)</f>
        <v>#N/A</v>
      </c>
      <c r="K59" s="63">
        <v>1500</v>
      </c>
      <c r="M59" s="62">
        <f t="array" ref="M59">IF(OR(C59=$O$3:$O$21),1,0)</f>
        <v>0</v>
      </c>
    </row>
    <row r="60" spans="2:13" ht="13.2" customHeight="1" x14ac:dyDescent="0.2">
      <c r="B60" s="69">
        <f t="shared" si="2"/>
        <v>58</v>
      </c>
      <c r="C60" s="65" t="s">
        <v>199</v>
      </c>
      <c r="D60" s="64">
        <f>VLOOKUP(C60,Country_Data!B:F,5,FALSE)</f>
        <v>127</v>
      </c>
      <c r="E60" s="64">
        <f>D60*Projections_Data!$C$15</f>
        <v>14.079471848530144</v>
      </c>
      <c r="F60" s="75">
        <f>IFERROR(VLOOKUP(C60,Days_Since_100!C:G,5,FALSE)-1,0)</f>
        <v>0</v>
      </c>
      <c r="H60" s="72" t="str">
        <f>IFERROR(LOG((K60/E60),1+F60),"")</f>
        <v/>
      </c>
      <c r="I60" s="71">
        <v>12.2</v>
      </c>
      <c r="J60" s="64">
        <f>VLOOKUP(C60,Country_Data!C:K,9,FALSE)</f>
        <v>6948445</v>
      </c>
      <c r="K60" s="63"/>
      <c r="M60" s="62">
        <f t="array" ref="M60">IF(OR(C60=$O$3:$O$21),1,0)</f>
        <v>0</v>
      </c>
    </row>
    <row r="61" spans="2:13" ht="13.2" customHeight="1" x14ac:dyDescent="0.2">
      <c r="B61" s="69">
        <f t="shared" si="2"/>
        <v>59</v>
      </c>
      <c r="C61" s="65" t="s">
        <v>231</v>
      </c>
      <c r="D61" s="64">
        <f>VLOOKUP(C61,Country_Data!B:F,5,FALSE)</f>
        <v>67</v>
      </c>
      <c r="E61" s="64">
        <f>D61*Projections_Data!$C$15</f>
        <v>7.4277528649725957</v>
      </c>
      <c r="F61" s="75">
        <f>IFERROR(VLOOKUP(C61,Days_Since_100!C:G,5,FALSE)-1,0)</f>
        <v>0</v>
      </c>
      <c r="H61" s="72" t="str">
        <f>IFERROR(LOG((K61/E61),1+F61),"")</f>
        <v/>
      </c>
      <c r="I61" s="71">
        <v>11.4</v>
      </c>
      <c r="J61" s="64">
        <f>VLOOKUP(C61,Country_Data!C:K,9,FALSE)</f>
        <v>1207359</v>
      </c>
      <c r="K61" s="63"/>
      <c r="M61" s="62">
        <f t="array" ref="M61">IF(OR(C61=$O$3:$O$21),1,0)</f>
        <v>0</v>
      </c>
    </row>
    <row r="62" spans="2:13" ht="13.2" customHeight="1" x14ac:dyDescent="0.2">
      <c r="B62" s="69">
        <f t="shared" si="2"/>
        <v>60</v>
      </c>
      <c r="C62" s="65" t="s">
        <v>111</v>
      </c>
      <c r="D62" s="64">
        <f>VLOOKUP(C62,Country_Data!B:F,5,FALSE)</f>
        <v>111</v>
      </c>
      <c r="E62" s="64">
        <f>D62*Projections_Data!$C$15</f>
        <v>12.305680119581464</v>
      </c>
      <c r="F62" s="75">
        <f>IFERROR(VLOOKUP(C62,Days_Since_100!C:G,5,FALSE)-1,0)</f>
        <v>0</v>
      </c>
      <c r="H62" s="72" t="str">
        <f>IFERROR(LOG((K62/E62),1+F62),"")</f>
        <v/>
      </c>
      <c r="I62" s="71">
        <v>9.6999999999999993</v>
      </c>
      <c r="J62" s="64">
        <f>VLOOKUP(C62,Country_Data!C:K,9,FALSE)</f>
        <v>1886198</v>
      </c>
      <c r="K62" s="63"/>
      <c r="M62" s="62">
        <f t="array" ref="M62">IF(OR(C62=$O$3:$O$21),1,0)</f>
        <v>0</v>
      </c>
    </row>
    <row r="63" spans="2:13" ht="13.2" customHeight="1" x14ac:dyDescent="0.2">
      <c r="B63" s="69">
        <f t="shared" si="2"/>
        <v>61</v>
      </c>
      <c r="C63" s="65" t="s">
        <v>76</v>
      </c>
      <c r="D63" s="64"/>
      <c r="E63" s="64"/>
      <c r="F63" s="70"/>
      <c r="H63" s="72" t="str">
        <f>IFERROR(LOG((K63/E63),1+F63),"")</f>
        <v/>
      </c>
      <c r="I63" s="71">
        <v>14.7</v>
      </c>
      <c r="J63" s="64">
        <f>VLOOKUP(C63,Country_Data!C:K,9,FALSE)</f>
        <v>4105267</v>
      </c>
      <c r="K63" s="63"/>
      <c r="M63" s="62">
        <f t="array" ref="M63">IF(OR(C63=$O$3:$O$21),1,0)</f>
        <v>0</v>
      </c>
    </row>
    <row r="64" spans="2:13" ht="13.2" customHeight="1" x14ac:dyDescent="0.2">
      <c r="B64" s="69">
        <f t="shared" si="2"/>
        <v>62</v>
      </c>
      <c r="C64" s="65" t="s">
        <v>132</v>
      </c>
      <c r="D64" s="64"/>
      <c r="E64" s="64"/>
      <c r="F64" s="70"/>
      <c r="H64" s="72" t="str">
        <f>IFERROR(LOG((K64/E64),1+F64),"")</f>
        <v/>
      </c>
      <c r="I64" s="71">
        <v>13.8</v>
      </c>
      <c r="J64" s="64">
        <f>VLOOKUP(C64,Country_Data!C:K,9,FALSE)</f>
        <v>9660351</v>
      </c>
      <c r="K64" s="63"/>
      <c r="M64" s="62">
        <f t="array" ref="M64">IF(OR(C64=$O$3:$O$21),1,0)</f>
        <v>0</v>
      </c>
    </row>
    <row r="65" spans="2:13" ht="13.2" customHeight="1" x14ac:dyDescent="0.2">
      <c r="B65" s="69">
        <f t="shared" si="2"/>
        <v>63</v>
      </c>
      <c r="C65" s="65" t="s">
        <v>93</v>
      </c>
      <c r="D65" s="64"/>
      <c r="E65" s="64"/>
      <c r="F65" s="70"/>
      <c r="H65" s="72" t="str">
        <f>IFERROR(LOG((K65/E65),1+F65),"")</f>
        <v/>
      </c>
      <c r="I65" s="71">
        <v>15.5</v>
      </c>
      <c r="J65" s="64">
        <f>VLOOKUP(C65,Country_Data!C:K,9,FALSE)</f>
        <v>2722289</v>
      </c>
      <c r="K65" s="63"/>
      <c r="M65" s="62">
        <f t="array" ref="M65">IF(OR(C65=$O$3:$O$21),1,0)</f>
        <v>0</v>
      </c>
    </row>
    <row r="66" spans="2:13" ht="13.2" customHeight="1" x14ac:dyDescent="0.2">
      <c r="J66" s="64"/>
    </row>
  </sheetData>
  <conditionalFormatting sqref="B3:F65">
    <cfRule type="expression" dxfId="2" priority="3">
      <formula>ISEVEN(ROW())</formula>
    </cfRule>
  </conditionalFormatting>
  <conditionalFormatting sqref="K37:K65 J37:J66 H3:K36 H37:I65">
    <cfRule type="expression" dxfId="1" priority="2">
      <formula>ISEVEN(ROW())</formula>
    </cfRule>
  </conditionalFormatting>
  <conditionalFormatting sqref="B3:F65">
    <cfRule type="expression" dxfId="0" priority="1">
      <formula>$M3=1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V8" sqref="V8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426</v>
      </c>
      <c r="S4" s="5">
        <v>0</v>
      </c>
    </row>
    <row r="5" spans="12:19" x14ac:dyDescent="0.3">
      <c r="R5" t="s">
        <v>427</v>
      </c>
      <c r="S5" s="5">
        <v>50000</v>
      </c>
    </row>
    <row r="6" spans="12:19" x14ac:dyDescent="0.3">
      <c r="L6" s="5"/>
    </row>
    <row r="7" spans="12:19" x14ac:dyDescent="0.3">
      <c r="R7" t="s">
        <v>428</v>
      </c>
      <c r="S7" s="5">
        <v>1</v>
      </c>
    </row>
    <row r="8" spans="12:19" x14ac:dyDescent="0.3">
      <c r="R8" t="s">
        <v>429</v>
      </c>
      <c r="S8" s="5">
        <v>30</v>
      </c>
    </row>
    <row r="10" spans="12:19" x14ac:dyDescent="0.3">
      <c r="R10">
        <v>1</v>
      </c>
      <c r="S10" t="s">
        <v>349</v>
      </c>
    </row>
    <row r="11" spans="12:19" x14ac:dyDescent="0.3">
      <c r="R11">
        <v>2</v>
      </c>
      <c r="S11" t="s">
        <v>38</v>
      </c>
    </row>
    <row r="12" spans="12:19" x14ac:dyDescent="0.3">
      <c r="R12">
        <v>3</v>
      </c>
      <c r="S12" s="17" t="s">
        <v>58</v>
      </c>
    </row>
    <row r="13" spans="12:19" x14ac:dyDescent="0.3">
      <c r="R13">
        <v>4</v>
      </c>
      <c r="S13" s="17" t="s">
        <v>337</v>
      </c>
    </row>
    <row r="14" spans="12:19" x14ac:dyDescent="0.3">
      <c r="R14">
        <v>5</v>
      </c>
      <c r="S14" s="17" t="s">
        <v>41</v>
      </c>
    </row>
    <row r="15" spans="12:19" x14ac:dyDescent="0.3">
      <c r="R15">
        <v>6</v>
      </c>
      <c r="S15" s="17" t="s">
        <v>53</v>
      </c>
    </row>
    <row r="16" spans="12:19" x14ac:dyDescent="0.3">
      <c r="R16">
        <v>7</v>
      </c>
      <c r="S16" s="17"/>
    </row>
    <row r="17" spans="18:19" x14ac:dyDescent="0.3">
      <c r="R17">
        <v>8</v>
      </c>
      <c r="S17" s="17" t="s">
        <v>339</v>
      </c>
    </row>
    <row r="18" spans="18:19" x14ac:dyDescent="0.3">
      <c r="R18">
        <v>9</v>
      </c>
      <c r="S18" s="17" t="s">
        <v>36</v>
      </c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U4" activePane="bottomRight" state="frozen"/>
      <selection pane="topRight" activeCell="G1" sqref="G1"/>
      <selection pane="bottomLeft" activeCell="A4" sqref="A4"/>
      <selection pane="bottomRight" activeCell="C33" sqref="C33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" style="19" bestFit="1" customWidth="1"/>
    <col min="6" max="6" width="22.33203125" style="19" bestFit="1" customWidth="1"/>
    <col min="7" max="7" width="10.5546875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43910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4014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456</v>
      </c>
      <c r="C5" s="21">
        <f>COUNTIF(G5:BL5,"&gt;"&amp;0)</f>
        <v>16</v>
      </c>
      <c r="F5" s="19" t="s">
        <v>512</v>
      </c>
      <c r="G5" s="21">
        <f>IF(VLOOKUP($B$2,Days_Since_100_active!$H:$KU,Projections_Data!G$4+2,FALSE)=0,#N/A,VLOOKUP($B$2,Days_Since_100_active!$H:$KU,Projections_Data!G$4+2,FALSE))</f>
        <v>107</v>
      </c>
      <c r="H5" s="21">
        <f>IF(VLOOKUP($B$2,Days_Since_100_active!$H:$KU,Projections_Data!H$4+2,FALSE)=0,#N/A,VLOOKUP($B$2,Days_Since_100_active!$H:$KU,Projections_Data!H$4+2,FALSE))</f>
        <v>154</v>
      </c>
      <c r="I5" s="21">
        <f>IF(VLOOKUP($B$2,Days_Since_100_active!$H:$KU,Projections_Data!I$4+2,FALSE)=0,#N/A,VLOOKUP($B$2,Days_Since_100_active!$H:$KU,Projections_Data!I$4+2,FALSE))</f>
        <v>187</v>
      </c>
      <c r="J5" s="21">
        <f>IF(VLOOKUP($B$2,Days_Since_100_active!$H:$KU,Projections_Data!J$4+2,FALSE)=0,#N/A,VLOOKUP($B$2,Days_Since_100_active!$H:$KU,Projections_Data!J$4+2,FALSE))</f>
        <v>253</v>
      </c>
      <c r="K5" s="21">
        <f>IF(VLOOKUP($B$2,Days_Since_100_active!$H:$KU,Projections_Data!K$4+2,FALSE)=0,#N/A,VLOOKUP($B$2,Days_Since_100_active!$H:$KU,Projections_Data!K$4+2,FALSE))</f>
        <v>300</v>
      </c>
      <c r="L5" s="21">
        <f>IF(VLOOKUP($B$2,Days_Since_100_active!$H:$KU,Projections_Data!L$4+2,FALSE)=0,#N/A,VLOOKUP($B$2,Days_Since_100_active!$H:$KU,Projections_Data!L$4+2,FALSE))</f>
        <v>359</v>
      </c>
      <c r="M5" s="21">
        <f>IF(VLOOKUP($B$2,Days_Since_100_active!$H:$KU,Projections_Data!M$4+2,FALSE)=0,#N/A,VLOOKUP($B$2,Days_Since_100_active!$H:$KU,Projections_Data!M$4+2,FALSE))</f>
        <v>432</v>
      </c>
      <c r="N5" s="21">
        <f>IF(VLOOKUP($B$2,Days_Since_100_active!$H:$KU,Projections_Data!N$4+2,FALSE)=0,#N/A,VLOOKUP($B$2,Days_Since_100_active!$H:$KU,Projections_Data!N$4+2,FALSE))</f>
        <v>563</v>
      </c>
      <c r="O5" s="21">
        <f>IF(VLOOKUP($B$2,Days_Since_100_active!$H:$KU,Projections_Data!O$4+2,FALSE)=0,#N/A,VLOOKUP($B$2,Days_Since_100_active!$H:$KU,Projections_Data!O$4+2,FALSE))</f>
        <v>775</v>
      </c>
      <c r="P5" s="21">
        <f>IF(VLOOKUP($B$2,Days_Since_100_active!$H:$KU,Projections_Data!P$4+2,FALSE)=0,#N/A,VLOOKUP($B$2,Days_Since_100_active!$H:$KU,Projections_Data!P$4+2,FALSE))</f>
        <v>1104</v>
      </c>
      <c r="Q5" s="21">
        <f>IF(VLOOKUP($B$2,Days_Since_100_active!$H:$KU,Projections_Data!Q$4+2,FALSE)=0,#N/A,VLOOKUP($B$2,Days_Since_100_active!$H:$KU,Projections_Data!Q$4+2,FALSE))</f>
        <v>1315</v>
      </c>
      <c r="R5" s="21">
        <f>IF(VLOOKUP($B$2,Days_Since_100_active!$H:$KU,Projections_Data!R$4+2,FALSE)=0,#N/A,VLOOKUP($B$2,Days_Since_100_active!$H:$KU,Projections_Data!R$4+2,FALSE))</f>
        <v>1474</v>
      </c>
      <c r="S5" s="21">
        <f>IF(VLOOKUP($B$2,Days_Since_100_active!$H:$KU,Projections_Data!S$4+2,FALSE)=0,#N/A,VLOOKUP($B$2,Days_Since_100_active!$H:$KU,Projections_Data!S$4+2,FALSE))</f>
        <v>1851</v>
      </c>
      <c r="T5" s="21">
        <f>IF(VLOOKUP($B$2,Days_Since_100_active!$H:$KU,Projections_Data!T$4+2,FALSE)=0,#N/A,VLOOKUP($B$2,Days_Since_100_active!$H:$KU,Projections_Data!T$4+2,FALSE))</f>
        <v>2503</v>
      </c>
      <c r="U5" s="21">
        <f>IF(VLOOKUP($B$2,Days_Since_100_active!$H:$KU,Projections_Data!U$4+2,FALSE)=0,#N/A,VLOOKUP($B$2,Days_Since_100_active!$H:$KU,Projections_Data!U$4+2,FALSE))</f>
        <v>3169</v>
      </c>
      <c r="V5" s="21">
        <f>IF(VLOOKUP($B$2,Days_Since_100_active!$H:$KU,Projections_Data!V$4+2,FALSE)=0,#N/A,VLOOKUP($B$2,Days_Since_100_active!$H:$KU,Projections_Data!V$4+2,FALSE))</f>
        <v>3769</v>
      </c>
      <c r="W5" s="21" t="e">
        <f>IF(VLOOKUP($B$2,Days_Since_100_active!$H:$KU,Projections_Data!W$4+2,FALSE)=0,#N/A,VLOOKUP($B$2,Days_Since_100_active!$H:$KU,Projections_Data!W$4+2,FALSE))</f>
        <v>#N/A</v>
      </c>
      <c r="X5" s="21" t="e">
        <f>IF(VLOOKUP($B$2,Days_Since_100_active!$H:$KU,Projections_Data!X$4+2,FALSE)=0,#N/A,VLOOKUP($B$2,Days_Since_100_active!$H:$KU,Projections_Data!X$4+2,FALSE))</f>
        <v>#N/A</v>
      </c>
      <c r="Y5" s="21" t="e">
        <f>IF(VLOOKUP($B$2,Days_Since_100_active!$H:$KU,Projections_Data!Y$4+2,FALSE)=0,#N/A,VLOOKUP($B$2,Days_Since_100_active!$H:$KU,Projections_Data!Y$4+2,FALSE))</f>
        <v>#N/A</v>
      </c>
      <c r="Z5" s="21" t="e">
        <f>IF(VLOOKUP($B$2,Days_Since_100_active!$H:$KU,Projections_Data!Z$4+2,FALSE)=0,#N/A,VLOOKUP($B$2,Days_Since_100_active!$H:$KU,Projections_Data!Z$4+2,FALSE))</f>
        <v>#N/A</v>
      </c>
      <c r="AA5" s="21" t="e">
        <f>IF(VLOOKUP($B$2,Days_Since_100_active!$H:$KU,Projections_Data!AA$4+2,FALSE)=0,#N/A,VLOOKUP($B$2,Days_Since_100_active!$H:$KU,Projections_Data!AA$4+2,FALSE))</f>
        <v>#N/A</v>
      </c>
      <c r="AB5" s="21" t="e">
        <f>IF(VLOOKUP($B$2,Days_Since_100_active!$H:$KU,Projections_Data!AB$4+2,FALSE)=0,#N/A,VLOOKUP($B$2,Days_Since_100_active!$H:$KU,Projections_Data!AB$4+2,FALSE))</f>
        <v>#N/A</v>
      </c>
      <c r="AC5" s="21" t="e">
        <f>IF(VLOOKUP($B$2,Days_Since_100_active!$H:$KU,Projections_Data!AC$4+2,FALSE)=0,#N/A,VLOOKUP($B$2,Days_Since_100_active!$H:$KU,Projections_Data!AC$4+2,FALSE))</f>
        <v>#N/A</v>
      </c>
      <c r="AD5" s="21" t="e">
        <f>IF(VLOOKUP($B$2,Days_Since_100_active!$H:$KU,Projections_Data!AD$4+2,FALSE)=0,#N/A,VLOOKUP($B$2,Days_Since_100_active!$H:$KU,Projections_Data!AD$4+2,FALSE))</f>
        <v>#N/A</v>
      </c>
      <c r="AE5" s="21" t="e">
        <f>IF(VLOOKUP($B$2,Days_Since_100_active!$H:$KU,Projections_Data!AE$4+2,FALSE)=0,#N/A,VLOOKUP($B$2,Days_Since_100_active!$H:$KU,Projections_Data!AE$4+2,FALSE))</f>
        <v>#N/A</v>
      </c>
      <c r="AF5" s="21" t="e">
        <f>IF(VLOOKUP($B$2,Days_Since_100_active!$H:$KU,Projections_Data!AF$4+2,FALSE)=0,#N/A,VLOOKUP($B$2,Days_Since_100_active!$H:$KU,Projections_Data!AF$4+2,FALSE))</f>
        <v>#N/A</v>
      </c>
      <c r="AG5" s="21" t="e">
        <f>IF(VLOOKUP($B$2,Days_Since_100_active!$H:$KU,Projections_Data!AG$4+2,FALSE)=0,#N/A,VLOOKUP($B$2,Days_Since_100_active!$H:$KU,Projections_Data!AG$4+2,FALSE))</f>
        <v>#N/A</v>
      </c>
      <c r="AH5" s="21" t="e">
        <f>IF(VLOOKUP($B$2,Days_Since_100_active!$H:$KU,Projections_Data!AH$4+2,FALSE)=0,#N/A,VLOOKUP($B$2,Days_Since_100_active!$H:$KU,Projections_Data!AH$4+2,FALSE))</f>
        <v>#N/A</v>
      </c>
      <c r="AI5" s="21" t="e">
        <f>IF(VLOOKUP($B$2,Days_Since_100_active!$H:$KU,Projections_Data!AI$4+2,FALSE)=0,#N/A,VLOOKUP($B$2,Days_Since_100_active!$H:$KU,Projections_Data!AI$4+2,FALSE))</f>
        <v>#N/A</v>
      </c>
      <c r="AJ5" s="21" t="e">
        <f>IF(VLOOKUP($B$2,Days_Since_100_active!$H:$KU,Projections_Data!AJ$4+2,FALSE)=0,#N/A,VLOOKUP($B$2,Days_Since_100_active!$H:$KU,Projections_Data!AJ$4+2,FALSE))</f>
        <v>#N/A</v>
      </c>
      <c r="AK5" s="21" t="e">
        <f>IF(VLOOKUP($B$2,Days_Since_100_active!$H:$KU,Projections_Data!AK$4+2,FALSE)=0,#N/A,VLOOKUP($B$2,Days_Since_100_active!$H:$KU,Projections_Data!AK$4+2,FALSE))</f>
        <v>#N/A</v>
      </c>
      <c r="AL5" s="21" t="e">
        <f>IF(VLOOKUP($B$2,Days_Since_100_active!$H:$KU,Projections_Data!AL$4+2,FALSE)=0,#N/A,VLOOKUP($B$2,Days_Since_100_active!$H:$KU,Projections_Data!AL$4+2,FALSE))</f>
        <v>#N/A</v>
      </c>
      <c r="AM5" s="21" t="e">
        <f>IF(VLOOKUP($B$2,Days_Since_100_active!$H:$KU,Projections_Data!AM$4+2,FALSE)=0,#N/A,VLOOKUP($B$2,Days_Since_100_active!$H:$KU,Projections_Data!AM$4+2,FALSE))</f>
        <v>#N/A</v>
      </c>
      <c r="AN5" s="21" t="e">
        <f>IF(VLOOKUP($B$2,Days_Since_100_active!$H:$KU,Projections_Data!AN$4+2,FALSE)=0,#N/A,VLOOKUP($B$2,Days_Since_100_active!$H:$KU,Projections_Data!AN$4+2,FALSE))</f>
        <v>#N/A</v>
      </c>
      <c r="AO5" s="21" t="e">
        <f>IF(VLOOKUP($B$2,Days_Since_100_active!$H:$KU,Projections_Data!AO$4+2,FALSE)=0,#N/A,VLOOKUP($B$2,Days_Since_100_active!$H:$KU,Projections_Data!AO$4+2,FALSE))</f>
        <v>#N/A</v>
      </c>
      <c r="AP5" s="21" t="e">
        <f>IF(VLOOKUP($B$2,Days_Since_100_active!$H:$KU,Projections_Data!AP$4+2,FALSE)=0,#N/A,VLOOKUP($B$2,Days_Since_100_active!$H:$KU,Projections_Data!AP$4+2,FALSE))</f>
        <v>#N/A</v>
      </c>
      <c r="AQ5" s="21" t="e">
        <f>IF(VLOOKUP($B$2,Days_Since_100_active!$H:$KU,Projections_Data!AQ$4+2,FALSE)=0,#N/A,VLOOKUP($B$2,Days_Since_100_active!$H:$KU,Projections_Data!AQ$4+2,FALSE))</f>
        <v>#N/A</v>
      </c>
      <c r="AR5" s="21" t="e">
        <f>IF(VLOOKUP($B$2,Days_Since_100_active!$H:$KU,Projections_Data!AR$4+2,FALSE)=0,#N/A,VLOOKUP($B$2,Days_Since_100_active!$H:$KU,Projections_Data!AR$4+2,FALSE))</f>
        <v>#N/A</v>
      </c>
      <c r="AS5" s="21" t="e">
        <f>IF(VLOOKUP($B$2,Days_Since_100_active!$H:$KU,Projections_Data!AS$4+2,FALSE)=0,#N/A,VLOOKUP($B$2,Days_Since_100_active!$H:$KU,Projections_Data!AS$4+2,FALSE))</f>
        <v>#N/A</v>
      </c>
      <c r="AT5" s="21" t="e">
        <f>IF(VLOOKUP($B$2,Days_Since_100_active!$H:$KU,Projections_Data!AT$4+2,FALSE)=0,#N/A,VLOOKUP($B$2,Days_Since_100_active!$H:$KU,Projections_Data!AT$4+2,FALSE))</f>
        <v>#N/A</v>
      </c>
      <c r="AU5" s="21" t="e">
        <f>IF(VLOOKUP($B$2,Days_Since_100_active!$H:$KU,Projections_Data!AU$4+2,FALSE)=0,#N/A,VLOOKUP($B$2,Days_Since_100_active!$H:$KU,Projections_Data!AU$4+2,FALSE))</f>
        <v>#N/A</v>
      </c>
      <c r="AV5" s="21" t="e">
        <f>IF(VLOOKUP($B$2,Days_Since_100_active!$H:$KU,Projections_Data!AV$4+2,FALSE)=0,#N/A,VLOOKUP($B$2,Days_Since_100_active!$H:$KU,Projections_Data!AV$4+2,FALSE))</f>
        <v>#N/A</v>
      </c>
      <c r="AW5" s="21" t="e">
        <f>IF(VLOOKUP($B$2,Days_Since_100_active!$H:$KU,Projections_Data!AW$4+2,FALSE)=0,#N/A,VLOOKUP($B$2,Days_Since_100_active!$H:$KU,Projections_Data!AW$4+2,FALSE))</f>
        <v>#N/A</v>
      </c>
      <c r="AX5" s="21" t="e">
        <f>IF(VLOOKUP($B$2,Days_Since_100_active!$H:$KU,Projections_Data!AX$4+2,FALSE)=0,#N/A,VLOOKUP($B$2,Days_Since_100_active!$H:$KU,Projections_Data!AX$4+2,FALSE))</f>
        <v>#N/A</v>
      </c>
      <c r="AY5" s="21" t="e">
        <f>IF(VLOOKUP($B$2,Days_Since_100_active!$H:$KU,Projections_Data!AY$4+2,FALSE)=0,#N/A,VLOOKUP($B$2,Days_Since_100_active!$H:$KU,Projections_Data!AY$4+2,FALSE))</f>
        <v>#N/A</v>
      </c>
      <c r="AZ5" s="21" t="e">
        <f>IF(VLOOKUP($B$2,Days_Since_100_active!$H:$KU,Projections_Data!AZ$4+2,FALSE)=0,#N/A,VLOOKUP($B$2,Days_Since_100_active!$H:$KU,Projections_Data!AZ$4+2,FALSE))</f>
        <v>#N/A</v>
      </c>
      <c r="BA5" s="21" t="e">
        <f>IF(VLOOKUP($B$2,Days_Since_100_active!$H:$KU,Projections_Data!BA$4+2,FALSE)=0,#N/A,VLOOKUP($B$2,Days_Since_100_active!$H:$KU,Projections_Data!BA$4+2,FALSE))</f>
        <v>#N/A</v>
      </c>
      <c r="BB5" s="21" t="e">
        <f>IF(VLOOKUP($B$2,Days_Since_100_active!$H:$KU,Projections_Data!BB$4+2,FALSE)=0,#N/A,VLOOKUP($B$2,Days_Since_100_active!$H:$KU,Projections_Data!BB$4+2,FALSE))</f>
        <v>#N/A</v>
      </c>
      <c r="BC5" s="21" t="e">
        <f>IF(VLOOKUP($B$2,Days_Since_100_active!$H:$KU,Projections_Data!BC$4+2,FALSE)=0,#N/A,VLOOKUP($B$2,Days_Since_100_active!$H:$KU,Projections_Data!BC$4+2,FALSE))</f>
        <v>#N/A</v>
      </c>
      <c r="BD5" s="21" t="e">
        <f>IF(VLOOKUP($B$2,Days_Since_100_active!$H:$KU,Projections_Data!BD$4+2,FALSE)=0,#N/A,VLOOKUP($B$2,Days_Since_100_active!$H:$KU,Projections_Data!BD$4+2,FALSE))</f>
        <v>#N/A</v>
      </c>
      <c r="BE5" s="21" t="e">
        <f>IF(VLOOKUP($B$2,Days_Since_100_active!$H:$KU,Projections_Data!BE$4+2,FALSE)=0,#N/A,VLOOKUP($B$2,Days_Since_100_active!$H:$KU,Projections_Data!BE$4+2,FALSE))</f>
        <v>#N/A</v>
      </c>
      <c r="BF5" s="21" t="e">
        <f>IF(VLOOKUP($B$2,Days_Since_100_active!$H:$KU,Projections_Data!BF$4+2,FALSE)=0,#N/A,VLOOKUP($B$2,Days_Since_100_active!$H:$KU,Projections_Data!BF$4+2,FALSE))</f>
        <v>#N/A</v>
      </c>
      <c r="BG5" s="21" t="e">
        <f>IF(VLOOKUP($B$2,Days_Since_100_active!$H:$KU,Projections_Data!BG$4+2,FALSE)=0,#N/A,VLOOKUP($B$2,Days_Since_100_active!$H:$KU,Projections_Data!BG$4+2,FALSE))</f>
        <v>#N/A</v>
      </c>
      <c r="BH5" s="21" t="e">
        <f>IF(VLOOKUP($B$2,Days_Since_100_active!$H:$KU,Projections_Data!BH$4+2,FALSE)=0,#N/A,VLOOKUP($B$2,Days_Since_100_active!$H:$KU,Projections_Data!BH$4+2,FALSE))</f>
        <v>#N/A</v>
      </c>
      <c r="BI5" s="21" t="e">
        <f>IF(VLOOKUP($B$2,Days_Since_100_active!$H:$KU,Projections_Data!BI$4+2,FALSE)=0,#N/A,VLOOKUP($B$2,Days_Since_100_active!$H:$KU,Projections_Data!BI$4+2,FALSE))</f>
        <v>#N/A</v>
      </c>
      <c r="BJ5" s="21" t="e">
        <f>IF(VLOOKUP($B$2,Days_Since_100_active!$H:$KU,Projections_Data!BJ$4+2,FALSE)=0,#N/A,VLOOKUP($B$2,Days_Since_100_active!$H:$KU,Projections_Data!BJ$4+2,FALSE))</f>
        <v>#N/A</v>
      </c>
      <c r="BK5" s="21" t="e">
        <f>IF(VLOOKUP($B$2,Days_Since_100_active!$H:$KU,Projections_Data!BK$4+2,FALSE)=0,#N/A,VLOOKUP($B$2,Days_Since_100_active!$H:$KU,Projections_Data!BK$4+2,FALSE))</f>
        <v>#N/A</v>
      </c>
      <c r="BL5" s="21" t="e">
        <f>IF(VLOOKUP($B$2,Days_Since_100_active!$H:$KU,Projections_Data!BL$4+2,FALSE)=0,#N/A,VLOOKUP($B$2,Days_Since_100_active!$H:$KU,Projections_Data!BL$4+2,FALSE))</f>
        <v>#N/A</v>
      </c>
      <c r="BM5" s="21" t="e">
        <f>IF(VLOOKUP($B$2,Days_Since_100_active!$H:$KU,Projections_Data!BM$4+2,FALSE)=0,#N/A,VLOOKUP($B$2,Days_Since_100_active!$H:$KU,Projections_Data!BM$4+2,FALSE))</f>
        <v>#N/A</v>
      </c>
      <c r="BN5" s="21" t="e">
        <f>IF(VLOOKUP($B$2,Days_Since_100_active!$H:$KU,Projections_Data!BN$4+2,FALSE)=0,#N/A,VLOOKUP($B$2,Days_Since_100_active!$H:$KU,Projections_Data!BN$4+2,FALSE))</f>
        <v>#N/A</v>
      </c>
      <c r="BO5" s="21" t="e">
        <f>IF(VLOOKUP($B$2,Days_Since_100_active!$H:$KU,Projections_Data!BO$4+2,FALSE)=0,#N/A,VLOOKUP($B$2,Days_Since_100_active!$H:$KU,Projections_Data!BO$4+2,FALSE))</f>
        <v>#N/A</v>
      </c>
      <c r="BP5" s="21" t="e">
        <f>IF(VLOOKUP($B$2,Days_Since_100_active!$H:$KU,Projections_Data!BP$4+2,FALSE)=0,#N/A,VLOOKUP($B$2,Days_Since_100_active!$H:$KU,Projections_Data!BP$4+2,FALSE))</f>
        <v>#N/A</v>
      </c>
      <c r="BQ5" s="21" t="e">
        <f>IF(VLOOKUP($B$2,Days_Since_100_active!$H:$KU,Projections_Data!BQ$4+2,FALSE)=0,#N/A,VLOOKUP($B$2,Days_Since_100_active!$H:$KU,Projections_Data!BQ$4+2,FALSE))</f>
        <v>#N/A</v>
      </c>
      <c r="BR5" s="21" t="e">
        <f>IF(VLOOKUP($B$2,Days_Since_100_active!$H:$KU,Projections_Data!BR$4+2,FALSE)=0,#N/A,VLOOKUP($B$2,Days_Since_100_active!$H:$KU,Projections_Data!BR$4+2,FALSE))</f>
        <v>#N/A</v>
      </c>
      <c r="BS5" s="21" t="e">
        <f>IF(VLOOKUP($B$2,Days_Since_100_active!$H:$KU,Projections_Data!BS$4+2,FALSE)=0,#N/A,VLOOKUP($B$2,Days_Since_100_active!$H:$KU,Projections_Data!BS$4+2,FALSE))</f>
        <v>#N/A</v>
      </c>
      <c r="BT5" s="21" t="e">
        <f>IF(VLOOKUP($B$2,Days_Since_100_active!$H:$KU,Projections_Data!BT$4+2,FALSE)=0,#N/A,VLOOKUP($B$2,Days_Since_100_active!$H:$KU,Projections_Data!BT$4+2,FALSE))</f>
        <v>#N/A</v>
      </c>
      <c r="BU5" s="21" t="e">
        <f>IF(VLOOKUP($B$2,Days_Since_100_active!$H:$KU,Projections_Data!BU$4+2,FALSE)=0,#N/A,VLOOKUP($B$2,Days_Since_100_active!$H:$KU,Projections_Data!BU$4+2,FALSE))</f>
        <v>#N/A</v>
      </c>
      <c r="BV5" s="21" t="e">
        <f>IF(VLOOKUP($B$2,Days_Since_100_active!$H:$KU,Projections_Data!BV$4+2,FALSE)=0,#N/A,VLOOKUP($B$2,Days_Since_100_active!$H:$KU,Projections_Data!BV$4+2,FALSE))</f>
        <v>#N/A</v>
      </c>
      <c r="BW5" s="21" t="e">
        <f>IF(VLOOKUP($B$2,Days_Since_100_active!$H:$KU,Projections_Data!BW$4+2,FALSE)=0,#N/A,VLOOKUP($B$2,Days_Since_100_active!$H:$KU,Projections_Data!BW$4+2,FALSE))</f>
        <v>#N/A</v>
      </c>
      <c r="BX5" s="21" t="e">
        <f>IF(VLOOKUP($B$2,Days_Since_100_active!$H:$KU,Projections_Data!BX$4+2,FALSE)=0,#N/A,VLOOKUP($B$2,Days_Since_100_active!$H:$KU,Projections_Data!BX$4+2,FALSE))</f>
        <v>#N/A</v>
      </c>
      <c r="BY5" s="21" t="e">
        <f>IF(VLOOKUP($B$2,Days_Since_100_active!$H:$KU,Projections_Data!BY$4+2,FALSE)=0,#N/A,VLOOKUP($B$2,Days_Since_100_active!$H:$KU,Projections_Data!BY$4+2,FALSE))</f>
        <v>#N/A</v>
      </c>
      <c r="BZ5" s="21" t="e">
        <f>IF(VLOOKUP($B$2,Days_Since_100_active!$H:$KU,Projections_Data!BZ$4+2,FALSE)=0,#N/A,VLOOKUP($B$2,Days_Since_100_active!$H:$KU,Projections_Data!BZ$4+2,FALSE))</f>
        <v>#N/A</v>
      </c>
      <c r="CA5" s="21" t="e">
        <f>IF(VLOOKUP($B$2,Days_Since_100_active!$H:$KU,Projections_Data!CA$4+2,FALSE)=0,#N/A,VLOOKUP($B$2,Days_Since_100_active!$H:$KU,Projections_Data!CA$4+2,FALSE))</f>
        <v>#N/A</v>
      </c>
      <c r="CB5" s="21" t="e">
        <f>IF(VLOOKUP($B$2,Days_Since_100_active!$H:$KU,Projections_Data!CB$4+2,FALSE)=0,#N/A,VLOOKUP($B$2,Days_Since_100_active!$H:$KU,Projections_Data!CB$4+2,FALSE))</f>
        <v>#N/A</v>
      </c>
      <c r="CC5" s="21" t="e">
        <f>IF(VLOOKUP($B$2,Days_Since_100_active!$H:$KU,Projections_Data!CC$4+2,FALSE)=0,#N/A,VLOOKUP($B$2,Days_Since_100_active!$H:$KU,Projections_Data!CC$4+2,FALSE))</f>
        <v>#N/A</v>
      </c>
      <c r="CD5" s="21" t="e">
        <f>IF(VLOOKUP($B$2,Days_Since_100_active!$H:$KU,Projections_Data!CD$4+2,FALSE)=0,#N/A,VLOOKUP($B$2,Days_Since_100_active!$H:$KU,Projections_Data!CD$4+2,FALSE))</f>
        <v>#N/A</v>
      </c>
      <c r="CE5" s="21" t="e">
        <f>IF(VLOOKUP($B$2,Days_Since_100_active!$H:$KU,Projections_Data!CE$4+2,FALSE)=0,#N/A,VLOOKUP($B$2,Days_Since_100_active!$H:$KU,Projections_Data!CE$4+2,FALSE))</f>
        <v>#N/A</v>
      </c>
      <c r="CF5" s="21" t="e">
        <f>IF(VLOOKUP($B$2,Days_Since_100_active!$H:$KU,Projections_Data!CF$4+2,FALSE)=0,#N/A,VLOOKUP($B$2,Days_Since_100_active!$H:$KU,Projections_Data!CF$4+2,FALSE))</f>
        <v>#N/A</v>
      </c>
      <c r="CG5" s="21" t="e">
        <f>IF(VLOOKUP($B$2,Days_Since_100_active!$H:$KU,Projections_Data!CG$4+2,FALSE)=0,#N/A,VLOOKUP($B$2,Days_Since_100_active!$H:$KU,Projections_Data!CG$4+2,FALSE))</f>
        <v>#N/A</v>
      </c>
      <c r="CH5" s="21" t="e">
        <f>IF(VLOOKUP($B$2,Days_Since_100_active!$H:$KU,Projections_Data!CH$4+2,FALSE)=0,#N/A,VLOOKUP($B$2,Days_Since_100_active!$H:$KU,Projections_Data!CH$4+2,FALSE))</f>
        <v>#N/A</v>
      </c>
      <c r="CI5" s="21" t="e">
        <f>IF(VLOOKUP($B$2,Days_Since_100_active!$H:$KU,Projections_Data!CI$4+2,FALSE)=0,#N/A,VLOOKUP($B$2,Days_Since_100_active!$H:$KU,Projections_Data!CI$4+2,FALSE))</f>
        <v>#N/A</v>
      </c>
      <c r="CJ5" s="21" t="e">
        <f>IF(VLOOKUP($B$2,Days_Since_100_active!$H:$KU,Projections_Data!CJ$4+2,FALSE)=0,#N/A,VLOOKUP($B$2,Days_Since_100_active!$H:$KU,Projections_Data!CJ$4+2,FALSE))</f>
        <v>#N/A</v>
      </c>
      <c r="CK5" s="21" t="e">
        <f>IF(VLOOKUP($B$2,Days_Since_100_active!$H:$KU,Projections_Data!CK$4+2,FALSE)=0,#N/A,VLOOKUP($B$2,Days_Since_100_active!$H:$KU,Projections_Data!CK$4+2,FALSE))</f>
        <v>#N/A</v>
      </c>
      <c r="CL5" s="21" t="e">
        <f>IF(VLOOKUP($B$2,Days_Since_100_active!$H:$KU,Projections_Data!CL$4+2,FALSE)=0,#N/A,VLOOKUP($B$2,Days_Since_100_active!$H:$KU,Projections_Data!CL$4+2,FALSE))</f>
        <v>#N/A</v>
      </c>
      <c r="CM5" s="21" t="e">
        <f>IF(VLOOKUP($B$2,Days_Since_100_active!$H:$KU,Projections_Data!CM$4+2,FALSE)=0,#N/A,VLOOKUP($B$2,Days_Since_100_active!$H:$KU,Projections_Data!CM$4+2,FALSE))</f>
        <v>#N/A</v>
      </c>
      <c r="CN5" s="21" t="e">
        <f>IF(VLOOKUP($B$2,Days_Since_100_active!$H:$KU,Projections_Data!CN$4+2,FALSE)=0,#N/A,VLOOKUP($B$2,Days_Since_100_active!$H:$KU,Projections_Data!CN$4+2,FALSE))</f>
        <v>#N/A</v>
      </c>
      <c r="CO5" s="21" t="e">
        <f>IF(VLOOKUP($B$2,Days_Since_100_active!$H:$KU,Projections_Data!CO$4+2,FALSE)=0,#N/A,VLOOKUP($B$2,Days_Since_100_active!$H:$KU,Projections_Data!CO$4+2,FALSE))</f>
        <v>#N/A</v>
      </c>
      <c r="CP5" s="21" t="e">
        <f>IF(VLOOKUP($B$2,Days_Since_100_active!$H:$KU,Projections_Data!CP$4+2,FALSE)=0,#N/A,VLOOKUP($B$2,Days_Since_100_active!$H:$KU,Projections_Data!CP$4+2,FALSE))</f>
        <v>#N/A</v>
      </c>
      <c r="CQ5" s="21" t="e">
        <f>IF(VLOOKUP($B$2,Days_Since_100_active!$H:$KU,Projections_Data!CQ$4+2,FALSE)=0,#N/A,VLOOKUP($B$2,Days_Since_100_active!$H:$KU,Projections_Data!CQ$4+2,FALSE))</f>
        <v>#N/A</v>
      </c>
      <c r="CR5" s="21" t="e">
        <f>IF(VLOOKUP($B$2,Days_Since_100_active!$H:$KU,Projections_Data!CR$4+2,FALSE)=0,#N/A,VLOOKUP($B$2,Days_Since_100_active!$H:$KU,Projections_Data!CR$4+2,FALSE))</f>
        <v>#N/A</v>
      </c>
      <c r="CS5" s="21" t="e">
        <f>IF(VLOOKUP($B$2,Days_Since_100_active!$H:$KU,Projections_Data!CS$4+2,FALSE)=0,#N/A,VLOOKUP($B$2,Days_Since_100_active!$H:$KU,Projections_Data!CS$4+2,FALSE))</f>
        <v>#N/A</v>
      </c>
      <c r="CT5" s="21" t="e">
        <f>IF(VLOOKUP($B$2,Days_Since_100_active!$H:$KU,Projections_Data!CT$4+2,FALSE)=0,#N/A,VLOOKUP($B$2,Days_Since_100_active!$H:$KU,Projections_Data!CT$4+2,FALSE))</f>
        <v>#N/A</v>
      </c>
      <c r="CU5" s="21" t="e">
        <f>IF(VLOOKUP($B$2,Days_Since_100_active!$H:$KU,Projections_Data!CU$4+2,FALSE)=0,#N/A,VLOOKUP($B$2,Days_Since_100_active!$H:$KU,Projections_Data!CU$4+2,FALSE))</f>
        <v>#N/A</v>
      </c>
      <c r="CV5" s="21" t="e">
        <f>IF(VLOOKUP($B$2,Days_Since_100_active!$H:$KU,Projections_Data!CV$4+2,FALSE)=0,#N/A,VLOOKUP($B$2,Days_Since_100_active!$H:$KU,Projections_Data!CV$4+2,FALSE))</f>
        <v>#N/A</v>
      </c>
      <c r="CW5" s="21" t="e">
        <f>IF(VLOOKUP($B$2,Days_Since_100_active!$H:$KU,Projections_Data!CW$4+2,FALSE)=0,#N/A,VLOOKUP($B$2,Days_Since_100_active!$H:$KU,Projections_Data!CW$4+2,FALSE))</f>
        <v>#N/A</v>
      </c>
      <c r="CX5" s="21" t="e">
        <f>IF(VLOOKUP($B$2,Days_Since_100_active!$H:$KU,Projections_Data!CX$4+2,FALSE)=0,#N/A,VLOOKUP($B$2,Days_Since_100_active!$H:$KU,Projections_Data!CX$4+2,FALSE))</f>
        <v>#N/A</v>
      </c>
      <c r="CY5" s="21" t="e">
        <f>IF(VLOOKUP($B$2,Days_Since_100_active!$H:$KU,Projections_Data!CY$4+2,FALSE)=0,#N/A,VLOOKUP($B$2,Days_Since_100_active!$H:$KU,Projections_Data!CY$4+2,FALSE))</f>
        <v>#N/A</v>
      </c>
      <c r="CZ5" s="21" t="e">
        <f>IF(VLOOKUP($B$2,Days_Since_100_active!$H:$KU,Projections_Data!CZ$4+2,FALSE)=0,#N/A,VLOOKUP($B$2,Days_Since_100_active!$H:$KU,Projections_Data!CZ$4+2,FALSE))</f>
        <v>#N/A</v>
      </c>
      <c r="DA5" s="21" t="e">
        <f>IF(VLOOKUP($B$2,Days_Since_100_active!$H:$KU,Projections_Data!DA$4+2,FALSE)=0,#N/A,VLOOKUP($B$2,Days_Since_100_active!$H:$KU,Projections_Data!DA$4+2,FALSE))</f>
        <v>#N/A</v>
      </c>
      <c r="DB5" s="21" t="e">
        <f>IF(VLOOKUP($B$2,Days_Since_100_active!$H:$KU,Projections_Data!DB$4+2,FALSE)=0,#N/A,VLOOKUP($B$2,Days_Since_100_active!$H:$KU,Projections_Data!DB$4+2,FALSE))</f>
        <v>#N/A</v>
      </c>
      <c r="DC5" s="21" t="e">
        <f>IF(VLOOKUP($B$2,Days_Since_100_active!$H:$KU,Projections_Data!DC$4+2,FALSE)=0,#N/A,VLOOKUP($B$2,Days_Since_100_active!$H:$KU,Projections_Data!DC$4+2,FALSE))</f>
        <v>#N/A</v>
      </c>
      <c r="DD5" s="21" t="e">
        <f>IF(VLOOKUP($B$2,Days_Since_100_active!$H:$KU,Projections_Data!DD$4+2,FALSE)=0,#N/A,VLOOKUP($B$2,Days_Since_100_active!$H:$KU,Projections_Data!DD$4+2,FALSE))</f>
        <v>#N/A</v>
      </c>
      <c r="DE5" s="21" t="e">
        <f>IF(VLOOKUP($B$2,Days_Since_100_active!$H:$KU,Projections_Data!DE$4+2,FALSE)=0,#N/A,VLOOKUP($B$2,Days_Since_100_active!$H:$KU,Projections_Data!DE$4+2,FALSE))</f>
        <v>#N/A</v>
      </c>
      <c r="DF5" s="21" t="e">
        <f>IF(VLOOKUP($B$2,Days_Since_100_active!$H:$KU,Projections_Data!DF$4+2,FALSE)=0,#N/A,VLOOKUP($B$2,Days_Since_100_active!$H:$KU,Projections_Data!DF$4+2,FALSE))</f>
        <v>#N/A</v>
      </c>
      <c r="DG5" s="21" t="e">
        <f>IF(VLOOKUP($B$2,Days_Since_100_active!$H:$KU,Projections_Data!DG$4+2,FALSE)=0,#N/A,VLOOKUP($B$2,Days_Since_100_active!$H:$KU,Projections_Data!DG$4+2,FALSE))</f>
        <v>#N/A</v>
      </c>
      <c r="DH5" s="21" t="e">
        <f>IF(VLOOKUP($B$2,Days_Since_100_active!$H:$KU,Projections_Data!DH$4+2,FALSE)=0,#N/A,VLOOKUP($B$2,Days_Since_100_active!$H:$KU,Projections_Data!DH$4+2,FALSE))</f>
        <v>#N/A</v>
      </c>
      <c r="DI5" s="21" t="e">
        <f>IF(VLOOKUP($B$2,Days_Since_100_active!$H:$KU,Projections_Data!DI$4+2,FALSE)=0,#N/A,VLOOKUP($B$2,Days_Since_100_active!$H:$KU,Projections_Data!DI$4+2,FALSE))</f>
        <v>#N/A</v>
      </c>
      <c r="DJ5" s="21" t="e">
        <f>IF(VLOOKUP($B$2,Days_Since_100_active!$H:$KU,Projections_Data!DJ$4+2,FALSE)=0,#N/A,VLOOKUP($B$2,Days_Since_100_active!$H:$KU,Projections_Data!DJ$4+2,FALSE))</f>
        <v>#N/A</v>
      </c>
      <c r="DK5" s="21" t="e">
        <f>IF(VLOOKUP($B$2,Days_Since_100_active!$H:$KU,Projections_Data!DK$4+2,FALSE)=0,#N/A,VLOOKUP($B$2,Days_Since_100_active!$H:$KU,Projections_Data!DK$4+2,FALSE))</f>
        <v>#N/A</v>
      </c>
      <c r="DL5" s="21" t="e">
        <f>IF(VLOOKUP($B$2,Days_Since_100_active!$H:$KU,Projections_Data!DL$4+2,FALSE)=0,#N/A,VLOOKUP($B$2,Days_Since_100_active!$H:$KU,Projections_Data!DL$4+2,FALSE))</f>
        <v>#N/A</v>
      </c>
      <c r="DM5" s="21" t="e">
        <f>IF(VLOOKUP($B$2,Days_Since_100_active!$H:$KU,Projections_Data!DM$4+2,FALSE)=0,#N/A,VLOOKUP($B$2,Days_Since_100_active!$H:$KU,Projections_Data!DM$4+2,FALSE))</f>
        <v>#N/A</v>
      </c>
      <c r="DN5" s="21" t="e">
        <f>IF(VLOOKUP($B$2,Days_Since_100_active!$H:$KU,Projections_Data!DN$4+2,FALSE)=0,#N/A,VLOOKUP($B$2,Days_Since_100_active!$H:$KU,Projections_Data!DN$4+2,FALSE))</f>
        <v>#N/A</v>
      </c>
      <c r="DO5" s="21" t="e">
        <f>IF(VLOOKUP($B$2,Days_Since_100_active!$H:$KU,Projections_Data!DO$4+2,FALSE)=0,#N/A,VLOOKUP($B$2,Days_Since_100_active!$H:$KU,Projections_Data!DO$4+2,FALSE))</f>
        <v>#N/A</v>
      </c>
      <c r="DP5" s="21" t="e">
        <f>IF(VLOOKUP($B$2,Days_Since_100_active!$H:$KU,Projections_Data!DP$4+2,FALSE)=0,#N/A,VLOOKUP($B$2,Days_Since_100_active!$H:$KU,Projections_Data!DP$4+2,FALSE))</f>
        <v>#N/A</v>
      </c>
      <c r="DQ5" s="21" t="e">
        <f>IF(VLOOKUP($B$2,Days_Since_100_active!$H:$KU,Projections_Data!DQ$4+2,FALSE)=0,#N/A,VLOOKUP($B$2,Days_Since_100_active!$H:$KU,Projections_Data!DQ$4+2,FALSE))</f>
        <v>#N/A</v>
      </c>
      <c r="DR5" s="21" t="e">
        <f>IF(VLOOKUP($B$2,Days_Since_100_active!$H:$KU,Projections_Data!DR$4+2,FALSE)=0,#N/A,VLOOKUP($B$2,Days_Since_100_active!$H:$KU,Projections_Data!DR$4+2,FALSE))</f>
        <v>#N/A</v>
      </c>
      <c r="DS5" s="21" t="e">
        <f>IF(VLOOKUP($B$2,Days_Since_100_active!$H:$KU,Projections_Data!DS$4+2,FALSE)=0,#N/A,VLOOKUP($B$2,Days_Since_100_active!$H:$KU,Projections_Data!DS$4+2,FALSE))</f>
        <v>#N/A</v>
      </c>
      <c r="DT5" s="21" t="e">
        <f>IF(VLOOKUP($B$2,Days_Since_100_active!$H:$KU,Projections_Data!DT$4+2,FALSE)=0,#N/A,VLOOKUP($B$2,Days_Since_100_active!$H:$KU,Projections_Data!DT$4+2,FALSE))</f>
        <v>#N/A</v>
      </c>
      <c r="DU5" s="21" t="e">
        <f>IF(VLOOKUP($B$2,Days_Since_100_active!$H:$KU,Projections_Data!DU$4+2,FALSE)=0,#N/A,VLOOKUP($B$2,Days_Since_100_active!$H:$KU,Projections_Data!DU$4+2,FALSE))</f>
        <v>#N/A</v>
      </c>
      <c r="DV5" s="21" t="e">
        <f>IF(VLOOKUP($B$2,Days_Since_100_active!$H:$KU,Projections_Data!DV$4+2,FALSE)=0,#N/A,VLOOKUP($B$2,Days_Since_100_active!$H:$KU,Projections_Data!DV$4+2,FALSE))</f>
        <v>#N/A</v>
      </c>
      <c r="DW5" s="21" t="e">
        <f>IF(VLOOKUP($B$2,Days_Since_100_active!$H:$KU,Projections_Data!DW$4+2,FALSE)=0,#N/A,VLOOKUP($B$2,Days_Since_100_active!$H:$KU,Projections_Data!DW$4+2,FALSE))</f>
        <v>#N/A</v>
      </c>
      <c r="DX5" s="21" t="e">
        <f>IF(VLOOKUP($B$2,Days_Since_100_active!$H:$KU,Projections_Data!DX$4+2,FALSE)=0,#N/A,VLOOKUP($B$2,Days_Since_100_active!$H:$KU,Projections_Data!DX$4+2,FALSE))</f>
        <v>#N/A</v>
      </c>
      <c r="DY5" s="21" t="e">
        <f>IF(VLOOKUP($B$2,Days_Since_100_active!$H:$KU,Projections_Data!DY$4+2,FALSE)=0,#N/A,VLOOKUP($B$2,Days_Since_100_active!$H:$KU,Projections_Data!DY$4+2,FALSE))</f>
        <v>#N/A</v>
      </c>
      <c r="DZ5" s="21" t="e">
        <f>IF(VLOOKUP($B$2,Days_Since_100_active!$H:$KU,Projections_Data!DZ$4+2,FALSE)=0,#N/A,VLOOKUP($B$2,Days_Since_100_active!$H:$KU,Projections_Data!DZ$4+2,FALSE))</f>
        <v>#N/A</v>
      </c>
      <c r="EA5" s="21" t="e">
        <f>IF(VLOOKUP($B$2,Days_Since_100_active!$H:$KU,Projections_Data!EA$4+2,FALSE)=0,#N/A,VLOOKUP($B$2,Days_Since_100_active!$H:$KU,Projections_Data!EA$4+2,FALSE))</f>
        <v>#N/A</v>
      </c>
      <c r="EB5" s="21" t="e">
        <f>IF(VLOOKUP($B$2,Days_Since_100_active!$H:$KU,Projections_Data!EB$4+2,FALSE)=0,#N/A,VLOOKUP($B$2,Days_Since_100_active!$H:$KU,Projections_Data!EB$4+2,FALSE))</f>
        <v>#N/A</v>
      </c>
      <c r="EC5" s="21" t="e">
        <f>IF(VLOOKUP($B$2,Days_Since_100_active!$H:$KU,Projections_Data!EC$4+2,FALSE)=0,#N/A,VLOOKUP($B$2,Days_Since_100_active!$H:$KU,Projections_Data!EC$4+2,FALSE))</f>
        <v>#N/A</v>
      </c>
      <c r="ED5" s="21" t="e">
        <f>IF(VLOOKUP($B$2,Days_Since_100_active!$H:$KU,Projections_Data!ED$4+2,FALSE)=0,#N/A,VLOOKUP($B$2,Days_Since_100_active!$H:$KU,Projections_Data!ED$4+2,FALSE))</f>
        <v>#N/A</v>
      </c>
      <c r="EE5" s="21" t="e">
        <f>IF(VLOOKUP($B$2,Days_Since_100_active!$H:$KU,Projections_Data!EE$4+2,FALSE)=0,#N/A,VLOOKUP($B$2,Days_Since_100_active!$H:$KU,Projections_Data!EE$4+2,FALSE))</f>
        <v>#N/A</v>
      </c>
      <c r="EF5" s="21" t="e">
        <f>IF(VLOOKUP($B$2,Days_Since_100_active!$H:$KU,Projections_Data!EF$4+2,FALSE)=0,#N/A,VLOOKUP($B$2,Days_Since_100_active!$H:$KU,Projections_Data!EF$4+2,FALSE))</f>
        <v>#N/A</v>
      </c>
      <c r="EG5" s="21" t="e">
        <f>IF(VLOOKUP($B$2,Days_Since_100_active!$H:$KU,Projections_Data!EG$4+2,FALSE)=0,#N/A,VLOOKUP($B$2,Days_Since_100_active!$H:$KU,Projections_Data!EG$4+2,FALSE))</f>
        <v>#N/A</v>
      </c>
      <c r="EH5" s="21" t="e">
        <f>IF(VLOOKUP($B$2,Days_Since_100_active!$H:$KU,Projections_Data!EH$4+2,FALSE)=0,#N/A,VLOOKUP($B$2,Days_Since_100_active!$H:$KU,Projections_Data!EH$4+2,FALSE))</f>
        <v>#N/A</v>
      </c>
      <c r="EI5" s="21" t="e">
        <f>IF(VLOOKUP($B$2,Days_Since_100_active!$H:$KU,Projections_Data!EI$4+2,FALSE)=0,#N/A,VLOOKUP($B$2,Days_Since_100_active!$H:$KU,Projections_Data!EI$4+2,FALSE))</f>
        <v>#N/A</v>
      </c>
      <c r="EJ5" s="21" t="e">
        <f>IF(VLOOKUP($B$2,Days_Since_100_active!$H:$KU,Projections_Data!EJ$4+2,FALSE)=0,#N/A,VLOOKUP($B$2,Days_Since_100_active!$H:$KU,Projections_Data!EJ$4+2,FALSE))</f>
        <v>#N/A</v>
      </c>
      <c r="EK5" s="21" t="e">
        <f>IF(VLOOKUP($B$2,Days_Since_100_active!$H:$KU,Projections_Data!EK$4+2,FALSE)=0,#N/A,VLOOKUP($B$2,Days_Since_100_active!$H:$KU,Projections_Data!EK$4+2,FALSE))</f>
        <v>#N/A</v>
      </c>
      <c r="EL5" s="21" t="e">
        <f>IF(VLOOKUP($B$2,Days_Since_100_active!$H:$KU,Projections_Data!EL$4+2,FALSE)=0,#N/A,VLOOKUP($B$2,Days_Since_100_active!$H:$KU,Projections_Data!EL$4+2,FALSE))</f>
        <v>#N/A</v>
      </c>
      <c r="EM5" s="21" t="e">
        <f>IF(VLOOKUP($B$2,Days_Since_100_active!$H:$KU,Projections_Data!EM$4+2,FALSE)=0,#N/A,VLOOKUP($B$2,Days_Since_100_active!$H:$KU,Projections_Data!EM$4+2,FALSE))</f>
        <v>#N/A</v>
      </c>
      <c r="EN5" s="21" t="e">
        <f>IF(VLOOKUP($B$2,Days_Since_100_active!$H:$KU,Projections_Data!EN$4+2,FALSE)=0,#N/A,VLOOKUP($B$2,Days_Since_100_active!$H:$KU,Projections_Data!EN$4+2,FALSE))</f>
        <v>#N/A</v>
      </c>
      <c r="EO5" s="21" t="e">
        <f>IF(VLOOKUP($B$2,Days_Since_100_active!$H:$KU,Projections_Data!EO$4+2,FALSE)=0,#N/A,VLOOKUP($B$2,Days_Since_100_active!$H:$KU,Projections_Data!EO$4+2,FALSE))</f>
        <v>#N/A</v>
      </c>
      <c r="EP5" s="21" t="e">
        <f>IF(VLOOKUP($B$2,Days_Since_100_active!$H:$KU,Projections_Data!EP$4+2,FALSE)=0,#N/A,VLOOKUP($B$2,Days_Since_100_active!$H:$KU,Projections_Data!EP$4+2,FALSE))</f>
        <v>#N/A</v>
      </c>
      <c r="EQ5" s="21" t="e">
        <f>IF(VLOOKUP($B$2,Days_Since_100_active!$H:$KU,Projections_Data!EQ$4+2,FALSE)=0,#N/A,VLOOKUP($B$2,Days_Since_100_active!$H:$KU,Projections_Data!EQ$4+2,FALSE))</f>
        <v>#N/A</v>
      </c>
      <c r="ER5" s="21" t="e">
        <f>IF(VLOOKUP($B$2,Days_Since_100_active!$H:$KU,Projections_Data!ER$4+2,FALSE)=0,#N/A,VLOOKUP($B$2,Days_Since_100_active!$H:$KU,Projections_Data!ER$4+2,FALSE))</f>
        <v>#N/A</v>
      </c>
      <c r="ES5" s="21" t="e">
        <f>IF(VLOOKUP($B$2,Days_Since_100_active!$H:$KU,Projections_Data!ES$4+2,FALSE)=0,#N/A,VLOOKUP($B$2,Days_Since_100_active!$H:$KU,Projections_Data!ES$4+2,FALSE))</f>
        <v>#N/A</v>
      </c>
      <c r="ET5" s="21" t="e">
        <f>IF(VLOOKUP($B$2,Days_Since_100_active!$H:$KU,Projections_Data!ET$4+2,FALSE)=0,#N/A,VLOOKUP($B$2,Days_Since_100_active!$H:$KU,Projections_Data!ET$4+2,FALSE))</f>
        <v>#N/A</v>
      </c>
      <c r="EU5" s="21" t="e">
        <f>IF(VLOOKUP($B$2,Days_Since_100_active!$H:$KU,Projections_Data!EU$4+2,FALSE)=0,#N/A,VLOOKUP($B$2,Days_Since_100_active!$H:$KU,Projections_Data!EU$4+2,FALSE))</f>
        <v>#N/A</v>
      </c>
      <c r="EV5" s="21" t="e">
        <f>IF(VLOOKUP($B$2,Days_Since_100_active!$H:$KU,Projections_Data!EV$4+2,FALSE)=0,#N/A,VLOOKUP($B$2,Days_Since_100_active!$H:$KU,Projections_Data!EV$4+2,FALSE))</f>
        <v>#N/A</v>
      </c>
      <c r="EW5" s="21" t="e">
        <f>IF(VLOOKUP($B$2,Days_Since_100_active!$H:$KU,Projections_Data!EW$4+2,FALSE)=0,#N/A,VLOOKUP($B$2,Days_Since_100_active!$H:$KU,Projections_Data!EW$4+2,FALSE))</f>
        <v>#N/A</v>
      </c>
      <c r="EX5" s="21" t="e">
        <f>IF(VLOOKUP($B$2,Days_Since_100_active!$H:$KU,Projections_Data!EX$4+2,FALSE)=0,#N/A,VLOOKUP($B$2,Days_Since_100_active!$H:$KU,Projections_Data!EX$4+2,FALSE))</f>
        <v>#N/A</v>
      </c>
      <c r="EY5" s="21" t="e">
        <f>IF(VLOOKUP($B$2,Days_Since_100_active!$H:$KU,Projections_Data!EY$4+2,FALSE)=0,#N/A,VLOOKUP($B$2,Days_Since_100_active!$H:$KU,Projections_Data!EY$4+2,FALSE))</f>
        <v>#N/A</v>
      </c>
      <c r="EZ5" s="21" t="e">
        <f>IF(VLOOKUP($B$2,Days_Since_100_active!$H:$KU,Projections_Data!EZ$4+2,FALSE)=0,#N/A,VLOOKUP($B$2,Days_Since_100_active!$H:$KU,Projections_Data!EZ$4+2,FALSE))</f>
        <v>#N/A</v>
      </c>
      <c r="FA5" s="21" t="e">
        <f>IF(VLOOKUP($B$2,Days_Since_100_active!$H:$KU,Projections_Data!FA$4+2,FALSE)=0,#N/A,VLOOKUP($B$2,Days_Since_100_active!$H:$KU,Projections_Data!FA$4+2,FALSE))</f>
        <v>#N/A</v>
      </c>
      <c r="FB5" s="21" t="e">
        <f>IF(VLOOKUP($B$2,Days_Since_100_active!$H:$KU,Projections_Data!FB$4+2,FALSE)=0,#N/A,VLOOKUP($B$2,Days_Since_100_active!$H:$KU,Projections_Data!FB$4+2,FALSE))</f>
        <v>#N/A</v>
      </c>
      <c r="FC5" s="21" t="e">
        <f>IF(VLOOKUP($B$2,Days_Since_100_active!$H:$KU,Projections_Data!FC$4+2,FALSE)=0,#N/A,VLOOKUP($B$2,Days_Since_100_active!$H:$KU,Projections_Data!FC$4+2,FALSE))</f>
        <v>#N/A</v>
      </c>
      <c r="FD5" s="21" t="e">
        <f>IF(VLOOKUP($B$2,Days_Since_100_active!$H:$KU,Projections_Data!FD$4+2,FALSE)=0,#N/A,VLOOKUP($B$2,Days_Since_100_active!$H:$KU,Projections_Data!FD$4+2,FALSE))</f>
        <v>#N/A</v>
      </c>
      <c r="FE5" s="21" t="e">
        <f>IF(VLOOKUP($B$2,Days_Since_100_active!$H:$KU,Projections_Data!FE$4+2,FALSE)=0,#N/A,VLOOKUP($B$2,Days_Since_100_active!$H:$KU,Projections_Data!FE$4+2,FALSE))</f>
        <v>#N/A</v>
      </c>
      <c r="FF5" s="21" t="e">
        <f>IF(VLOOKUP($B$2,Days_Since_100_active!$H:$KU,Projections_Data!FF$4+2,FALSE)=0,#N/A,VLOOKUP($B$2,Days_Since_100_active!$H:$KU,Projections_Data!FF$4+2,FALSE))</f>
        <v>#N/A</v>
      </c>
      <c r="FG5" s="21" t="e">
        <f>IF(VLOOKUP($B$2,Days_Since_100_active!$H:$KU,Projections_Data!FG$4+2,FALSE)=0,#N/A,VLOOKUP($B$2,Days_Since_100_active!$H:$KU,Projections_Data!FG$4+2,FALSE))</f>
        <v>#N/A</v>
      </c>
      <c r="FH5" s="21" t="e">
        <f>IF(VLOOKUP($B$2,Days_Since_100_active!$H:$KU,Projections_Data!FH$4+2,FALSE)=0,#N/A,VLOOKUP($B$2,Days_Since_100_active!$H:$KU,Projections_Data!FH$4+2,FALSE))</f>
        <v>#N/A</v>
      </c>
      <c r="FI5" s="21" t="e">
        <f>IF(VLOOKUP($B$2,Days_Since_100_active!$H:$KU,Projections_Data!FI$4+2,FALSE)=0,#N/A,VLOOKUP($B$2,Days_Since_100_active!$H:$KU,Projections_Data!FI$4+2,FALSE))</f>
        <v>#N/A</v>
      </c>
      <c r="FJ5" s="21" t="e">
        <f>IF(VLOOKUP($B$2,Days_Since_100_active!$H:$KU,Projections_Data!FJ$4+2,FALSE)=0,#N/A,VLOOKUP($B$2,Days_Since_100_active!$H:$KU,Projections_Data!FJ$4+2,FALSE))</f>
        <v>#N/A</v>
      </c>
      <c r="FK5" s="21" t="e">
        <f>IF(VLOOKUP($B$2,Days_Since_100_active!$H:$KU,Projections_Data!FK$4+2,FALSE)=0,#N/A,VLOOKUP($B$2,Days_Since_100_active!$H:$KU,Projections_Data!FK$4+2,FALSE))</f>
        <v>#N/A</v>
      </c>
      <c r="FL5" s="21" t="e">
        <f>IF(VLOOKUP($B$2,Days_Since_100_active!$H:$KU,Projections_Data!FL$4+2,FALSE)=0,#N/A,VLOOKUP($B$2,Days_Since_100_active!$H:$KU,Projections_Data!FL$4+2,FALSE))</f>
        <v>#N/A</v>
      </c>
      <c r="FM5" s="21" t="e">
        <f>IF(VLOOKUP($B$2,Days_Since_100_active!$H:$KU,Projections_Data!FM$4+2,FALSE)=0,#N/A,VLOOKUP($B$2,Days_Since_100_active!$H:$KU,Projections_Data!FM$4+2,FALSE))</f>
        <v>#N/A</v>
      </c>
      <c r="FN5" s="21" t="e">
        <f>IF(VLOOKUP($B$2,Days_Since_100_active!$H:$KU,Projections_Data!FN$4+2,FALSE)=0,#N/A,VLOOKUP($B$2,Days_Since_100_active!$H:$KU,Projections_Data!FN$4+2,FALSE))</f>
        <v>#N/A</v>
      </c>
      <c r="FO5" s="21" t="e">
        <f>IF(VLOOKUP($B$2,Days_Since_100_active!$H:$KU,Projections_Data!FO$4+2,FALSE)=0,#N/A,VLOOKUP($B$2,Days_Since_100_active!$H:$KU,Projections_Data!FO$4+2,FALSE))</f>
        <v>#N/A</v>
      </c>
      <c r="FP5" s="21" t="e">
        <f>IF(VLOOKUP($B$2,Days_Since_100_active!$H:$KU,Projections_Data!FP$4+2,FALSE)=0,#N/A,VLOOKUP($B$2,Days_Since_100_active!$H:$KU,Projections_Data!FP$4+2,FALSE))</f>
        <v>#N/A</v>
      </c>
      <c r="FQ5" s="21" t="e">
        <f>IF(VLOOKUP($B$2,Days_Since_100_active!$H:$KU,Projections_Data!FQ$4+2,FALSE)=0,#N/A,VLOOKUP($B$2,Days_Since_100_active!$H:$KU,Projections_Data!FQ$4+2,FALSE))</f>
        <v>#N/A</v>
      </c>
      <c r="FR5" s="21" t="e">
        <f>IF(VLOOKUP($B$2,Days_Since_100_active!$H:$KU,Projections_Data!FR$4+2,FALSE)=0,#N/A,VLOOKUP($B$2,Days_Since_100_active!$H:$KU,Projections_Data!FR$4+2,FALSE))</f>
        <v>#N/A</v>
      </c>
      <c r="FS5" s="21" t="e">
        <f>IF(VLOOKUP($B$2,Days_Since_100_active!$H:$KU,Projections_Data!FS$4+2,FALSE)=0,#N/A,VLOOKUP($B$2,Days_Since_100_active!$H:$KU,Projections_Data!FS$4+2,FALSE))</f>
        <v>#N/A</v>
      </c>
      <c r="FT5" s="21" t="e">
        <f>IF(VLOOKUP($B$2,Days_Since_100_active!$H:$KU,Projections_Data!FT$4+2,FALSE)=0,#N/A,VLOOKUP($B$2,Days_Since_100_active!$H:$KU,Projections_Data!FT$4+2,FALSE))</f>
        <v>#N/A</v>
      </c>
      <c r="FU5" s="21" t="e">
        <f>IF(VLOOKUP($B$2,Days_Since_100_active!$H:$KU,Projections_Data!FU$4+2,FALSE)=0,#N/A,VLOOKUP($B$2,Days_Since_100_active!$H:$KU,Projections_Data!FU$4+2,FALSE))</f>
        <v>#N/A</v>
      </c>
      <c r="FV5" s="21" t="e">
        <f>IF(VLOOKUP($B$2,Days_Since_100_active!$H:$KU,Projections_Data!FV$4+2,FALSE)=0,#N/A,VLOOKUP($B$2,Days_Since_100_active!$H:$KU,Projections_Data!FV$4+2,FALSE))</f>
        <v>#N/A</v>
      </c>
      <c r="FW5" s="21" t="e">
        <f>IF(VLOOKUP($B$2,Days_Since_100_active!$H:$KU,Projections_Data!FW$4+2,FALSE)=0,#N/A,VLOOKUP($B$2,Days_Since_100_active!$H:$KU,Projections_Data!FW$4+2,FALSE))</f>
        <v>#N/A</v>
      </c>
      <c r="FX5" s="21" t="e">
        <f>IF(VLOOKUP($B$2,Days_Since_100_active!$H:$KU,Projections_Data!FX$4+2,FALSE)=0,#N/A,VLOOKUP($B$2,Days_Since_100_active!$H:$KU,Projections_Data!FX$4+2,FALSE))</f>
        <v>#N/A</v>
      </c>
      <c r="FY5" s="21" t="e">
        <f>IF(VLOOKUP($B$2,Days_Since_100_active!$H:$KU,Projections_Data!FY$4+2,FALSE)=0,#N/A,VLOOKUP($B$2,Days_Since_100_active!$H:$KU,Projections_Data!FY$4+2,FALSE))</f>
        <v>#N/A</v>
      </c>
      <c r="FZ5" s="21" t="e">
        <f>IF(VLOOKUP($B$2,Days_Since_100_active!$H:$KU,Projections_Data!FZ$4+2,FALSE)=0,#N/A,VLOOKUP($B$2,Days_Since_100_active!$H:$KU,Projections_Data!FZ$4+2,FALSE))</f>
        <v>#N/A</v>
      </c>
      <c r="GA5" s="21" t="e">
        <f>IF(VLOOKUP($B$2,Days_Since_100_active!$H:$KU,Projections_Data!GA$4+2,FALSE)=0,#N/A,VLOOKUP($B$2,Days_Since_100_active!$H:$KU,Projections_Data!GA$4+2,FALSE))</f>
        <v>#N/A</v>
      </c>
      <c r="GB5" s="21" t="e">
        <f>IF(VLOOKUP($B$2,Days_Since_100_active!$H:$KU,Projections_Data!GB$4+2,FALSE)=0,#N/A,VLOOKUP($B$2,Days_Since_100_active!$H:$KU,Projections_Data!GB$4+2,FALSE))</f>
        <v>#N/A</v>
      </c>
      <c r="GC5" s="21" t="e">
        <f>IF(VLOOKUP($B$2,Days_Since_100_active!$H:$KU,Projections_Data!GC$4+2,FALSE)=0,#N/A,VLOOKUP($B$2,Days_Since_100_active!$H:$KU,Projections_Data!GC$4+2,FALSE))</f>
        <v>#N/A</v>
      </c>
      <c r="GD5" s="21" t="e">
        <f>IF(VLOOKUP($B$2,Days_Since_100_active!$H:$KU,Projections_Data!GD$4+2,FALSE)=0,#N/A,VLOOKUP($B$2,Days_Since_100_active!$H:$KU,Projections_Data!GD$4+2,FALSE))</f>
        <v>#N/A</v>
      </c>
      <c r="GE5" s="21" t="e">
        <f>IF(VLOOKUP($B$2,Days_Since_100_active!$H:$KU,Projections_Data!GE$4+2,FALSE)=0,#N/A,VLOOKUP($B$2,Days_Since_100_active!$H:$KU,Projections_Data!GE$4+2,FALSE))</f>
        <v>#N/A</v>
      </c>
      <c r="GF5" s="21" t="e">
        <f>IF(VLOOKUP($B$2,Days_Since_100_active!$H:$KU,Projections_Data!GF$4+2,FALSE)=0,#N/A,VLOOKUP($B$2,Days_Since_100_active!$H:$KU,Projections_Data!GF$4+2,FALSE))</f>
        <v>#N/A</v>
      </c>
      <c r="GG5" s="21" t="e">
        <f>IF(VLOOKUP($B$2,Days_Since_100_active!$H:$KU,Projections_Data!GG$4+2,FALSE)=0,#N/A,VLOOKUP($B$2,Days_Since_100_active!$H:$KU,Projections_Data!GG$4+2,FALSE))</f>
        <v>#N/A</v>
      </c>
      <c r="GH5" s="21" t="e">
        <f>IF(VLOOKUP($B$2,Days_Since_100_active!$H:$KU,Projections_Data!GH$4+2,FALSE)=0,#N/A,VLOOKUP($B$2,Days_Since_100_active!$H:$KU,Projections_Data!GH$4+2,FALSE))</f>
        <v>#N/A</v>
      </c>
      <c r="GI5" s="21" t="e">
        <f>IF(VLOOKUP($B$2,Days_Since_100_active!$H:$KU,Projections_Data!GI$4+2,FALSE)=0,#N/A,VLOOKUP($B$2,Days_Since_100_active!$H:$KU,Projections_Data!GI$4+2,FALSE))</f>
        <v>#N/A</v>
      </c>
      <c r="GJ5" s="21" t="e">
        <f>IF(VLOOKUP($B$2,Days_Since_100_active!$H:$KU,Projections_Data!GJ$4+2,FALSE)=0,#N/A,VLOOKUP($B$2,Days_Since_100_active!$H:$KU,Projections_Data!GJ$4+2,FALSE))</f>
        <v>#N/A</v>
      </c>
      <c r="GK5" s="21" t="e">
        <f>IF(VLOOKUP($B$2,Days_Since_100_active!$H:$KU,Projections_Data!GK$4+2,FALSE)=0,#N/A,VLOOKUP($B$2,Days_Since_100_active!$H:$KU,Projections_Data!GK$4+2,FALSE))</f>
        <v>#N/A</v>
      </c>
      <c r="GL5" s="21" t="e">
        <f>IF(VLOOKUP($B$2,Days_Since_100_active!$H:$KU,Projections_Data!GL$4+2,FALSE)=0,#N/A,VLOOKUP($B$2,Days_Since_100_active!$H:$KU,Projections_Data!GL$4+2,FALSE))</f>
        <v>#N/A</v>
      </c>
      <c r="GM5" s="21" t="e">
        <f>IF(VLOOKUP($B$2,Days_Since_100_active!$H:$KU,Projections_Data!GM$4+2,FALSE)=0,#N/A,VLOOKUP($B$2,Days_Since_100_active!$H:$KU,Projections_Data!GM$4+2,FALSE))</f>
        <v>#N/A</v>
      </c>
      <c r="GN5" s="21" t="e">
        <f>IF(VLOOKUP($B$2,Days_Since_100_active!$H:$KU,Projections_Data!GN$4+2,FALSE)=0,#N/A,VLOOKUP($B$2,Days_Since_100_active!$H:$KU,Projections_Data!GN$4+2,FALSE))</f>
        <v>#N/A</v>
      </c>
      <c r="GO5" s="21" t="e">
        <f>IF(VLOOKUP($B$2,Days_Since_100_active!$H:$KU,Projections_Data!GO$4+2,FALSE)=0,#N/A,VLOOKUP($B$2,Days_Since_100_active!$H:$KU,Projections_Data!GO$4+2,FALSE))</f>
        <v>#N/A</v>
      </c>
      <c r="GP5" s="21" t="e">
        <f>IF(VLOOKUP($B$2,Days_Since_100_active!$H:$KU,Projections_Data!GP$4+2,FALSE)=0,#N/A,VLOOKUP($B$2,Days_Since_100_active!$H:$KU,Projections_Data!GP$4+2,FALSE))</f>
        <v>#N/A</v>
      </c>
      <c r="GQ5" s="21" t="e">
        <f>IF(VLOOKUP($B$2,Days_Since_100_active!$H:$KU,Projections_Data!GQ$4+2,FALSE)=0,#N/A,VLOOKUP($B$2,Days_Since_100_active!$H:$KU,Projections_Data!GQ$4+2,FALSE))</f>
        <v>#N/A</v>
      </c>
      <c r="GR5" s="21" t="e">
        <f>IF(VLOOKUP($B$2,Days_Since_100_active!$H:$KU,Projections_Data!GR$4+2,FALSE)=0,#N/A,VLOOKUP($B$2,Days_Since_100_active!$H:$KU,Projections_Data!GR$4+2,FALSE))</f>
        <v>#N/A</v>
      </c>
      <c r="GS5" s="21" t="e">
        <f>IF(VLOOKUP($B$2,Days_Since_100_active!$H:$KU,Projections_Data!GS$4+2,FALSE)=0,#N/A,VLOOKUP($B$2,Days_Since_100_active!$H:$KU,Projections_Data!GS$4+2,FALSE))</f>
        <v>#N/A</v>
      </c>
      <c r="GT5" s="21" t="e">
        <f>IF(VLOOKUP($B$2,Days_Since_100_active!$H:$KU,Projections_Data!GT$4+2,FALSE)=0,#N/A,VLOOKUP($B$2,Days_Since_100_active!$H:$KU,Projections_Data!GT$4+2,FALSE))</f>
        <v>#N/A</v>
      </c>
      <c r="GU5" s="21" t="e">
        <f>IF(VLOOKUP($B$2,Days_Since_100_active!$H:$KU,Projections_Data!GU$4+2,FALSE)=0,#N/A,VLOOKUP($B$2,Days_Since_100_active!$H:$KU,Projections_Data!GU$4+2,FALSE))</f>
        <v>#N/A</v>
      </c>
      <c r="GV5" s="21" t="e">
        <f>IF(VLOOKUP($B$2,Days_Since_100_active!$H:$KU,Projections_Data!GV$4+2,FALSE)=0,#N/A,VLOOKUP($B$2,Days_Since_100_active!$H:$KU,Projections_Data!GV$4+2,FALSE))</f>
        <v>#N/A</v>
      </c>
      <c r="GW5" s="21" t="e">
        <f>IF(VLOOKUP($B$2,Days_Since_100_active!$H:$KU,Projections_Data!GW$4+2,FALSE)=0,#N/A,VLOOKUP($B$2,Days_Since_100_active!$H:$KU,Projections_Data!GW$4+2,FALSE))</f>
        <v>#N/A</v>
      </c>
      <c r="GX5" s="21" t="e">
        <f>IF(VLOOKUP($B$2,Days_Since_100_active!$H:$KU,Projections_Data!GX$4+2,FALSE)=0,#N/A,VLOOKUP($B$2,Days_Since_100_active!$H:$KU,Projections_Data!GX$4+2,FALSE))</f>
        <v>#N/A</v>
      </c>
      <c r="GY5" s="21" t="e">
        <f>IF(VLOOKUP($B$2,Days_Since_100_active!$H:$KU,Projections_Data!GY$4+2,FALSE)=0,#N/A,VLOOKUP($B$2,Days_Since_100_active!$H:$KU,Projections_Data!GY$4+2,FALSE))</f>
        <v>#N/A</v>
      </c>
      <c r="GZ5" s="21" t="e">
        <f>IF(VLOOKUP($B$2,Days_Since_100_active!$H:$KU,Projections_Data!GZ$4+2,FALSE)=0,#N/A,VLOOKUP($B$2,Days_Since_100_active!$H:$KU,Projections_Data!GZ$4+2,FALSE))</f>
        <v>#N/A</v>
      </c>
      <c r="HA5" s="21" t="e">
        <f>IF(VLOOKUP($B$2,Days_Since_100_active!$H:$KU,Projections_Data!HA$4+2,FALSE)=0,#N/A,VLOOKUP($B$2,Days_Since_100_active!$H:$KU,Projections_Data!HA$4+2,FALSE))</f>
        <v>#N/A</v>
      </c>
      <c r="HB5" s="21" t="e">
        <f>IF(VLOOKUP($B$2,Days_Since_100_active!$H:$KU,Projections_Data!HB$4+2,FALSE)=0,#N/A,VLOOKUP($B$2,Days_Since_100_active!$H:$KU,Projections_Data!HB$4+2,FALSE))</f>
        <v>#N/A</v>
      </c>
      <c r="HC5" s="21" t="e">
        <f>IF(VLOOKUP($B$2,Days_Since_100_active!$H:$KU,Projections_Data!HC$4+2,FALSE)=0,#N/A,VLOOKUP($B$2,Days_Since_100_active!$H:$KU,Projections_Data!HC$4+2,FALSE))</f>
        <v>#N/A</v>
      </c>
      <c r="HD5" s="21" t="e">
        <f>IF(VLOOKUP($B$2,Days_Since_100_active!$H:$KU,Projections_Data!HD$4+2,FALSE)=0,#N/A,VLOOKUP($B$2,Days_Since_100_active!$H:$KU,Projections_Data!HD$4+2,FALSE))</f>
        <v>#N/A</v>
      </c>
      <c r="HE5" s="21" t="e">
        <f>IF(VLOOKUP($B$2,Days_Since_100_active!$H:$KU,Projections_Data!HE$4+2,FALSE)=0,#N/A,VLOOKUP($B$2,Days_Since_100_active!$H:$KU,Projections_Data!HE$4+2,FALSE))</f>
        <v>#N/A</v>
      </c>
      <c r="HF5" s="21" t="e">
        <f>IF(VLOOKUP($B$2,Days_Since_100_active!$H:$KU,Projections_Data!HF$4+2,FALSE)=0,#N/A,VLOOKUP($B$2,Days_Since_100_active!$H:$KU,Projections_Data!HF$4+2,FALSE))</f>
        <v>#N/A</v>
      </c>
      <c r="HG5" s="21" t="e">
        <f>IF(VLOOKUP($B$2,Days_Since_100_active!$H:$KU,Projections_Data!HG$4+2,FALSE)=0,#N/A,VLOOKUP($B$2,Days_Since_100_active!$H:$KU,Projections_Data!HG$4+2,FALSE))</f>
        <v>#N/A</v>
      </c>
      <c r="HH5" s="21" t="e">
        <f>IF(VLOOKUP($B$2,Days_Since_100_active!$H:$KU,Projections_Data!HH$4+2,FALSE)=0,#N/A,VLOOKUP($B$2,Days_Since_100_active!$H:$KU,Projections_Data!HH$4+2,FALSE))</f>
        <v>#N/A</v>
      </c>
      <c r="HI5" s="21" t="e">
        <f>IF(VLOOKUP($B$2,Days_Since_100_active!$H:$KU,Projections_Data!HI$4+2,FALSE)=0,#N/A,VLOOKUP($B$2,Days_Since_100_active!$H:$KU,Projections_Data!HI$4+2,FALSE))</f>
        <v>#N/A</v>
      </c>
      <c r="HJ5" s="21" t="e">
        <f>IF(VLOOKUP($B$2,Days_Since_100_active!$H:$KU,Projections_Data!HJ$4+2,FALSE)=0,#N/A,VLOOKUP($B$2,Days_Since_100_active!$H:$KU,Projections_Data!HJ$4+2,FALSE))</f>
        <v>#N/A</v>
      </c>
      <c r="HK5" s="21" t="e">
        <f>IF(VLOOKUP($B$2,Days_Since_100_active!$H:$KU,Projections_Data!HK$4+2,FALSE)=0,#N/A,VLOOKUP($B$2,Days_Since_100_active!$H:$KU,Projections_Data!HK$4+2,FALSE))</f>
        <v>#N/A</v>
      </c>
      <c r="HL5" s="21" t="e">
        <f>IF(VLOOKUP($B$2,Days_Since_100_active!$H:$KU,Projections_Data!HL$4+2,FALSE)=0,#N/A,VLOOKUP($B$2,Days_Since_100_active!$H:$KU,Projections_Data!HL$4+2,FALSE))</f>
        <v>#N/A</v>
      </c>
      <c r="HM5" s="21" t="e">
        <f>IF(VLOOKUP($B$2,Days_Since_100_active!$H:$KU,Projections_Data!HM$4+2,FALSE)=0,#N/A,VLOOKUP($B$2,Days_Since_100_active!$H:$KU,Projections_Data!HM$4+2,FALSE))</f>
        <v>#N/A</v>
      </c>
      <c r="HN5" s="21" t="e">
        <f>IF(VLOOKUP($B$2,Days_Since_100_active!$H:$KU,Projections_Data!HN$4+2,FALSE)=0,#N/A,VLOOKUP($B$2,Days_Since_100_active!$H:$KU,Projections_Data!HN$4+2,FALSE))</f>
        <v>#N/A</v>
      </c>
      <c r="HO5" s="21" t="e">
        <f>IF(VLOOKUP($B$2,Days_Since_100_active!$H:$KU,Projections_Data!HO$4+2,FALSE)=0,#N/A,VLOOKUP($B$2,Days_Since_100_active!$H:$KU,Projections_Data!HO$4+2,FALSE))</f>
        <v>#N/A</v>
      </c>
      <c r="HP5" s="21" t="e">
        <f>IF(VLOOKUP($B$2,Days_Since_100_active!$H:$KU,Projections_Data!HP$4+2,FALSE)=0,#N/A,VLOOKUP($B$2,Days_Since_100_active!$H:$KU,Projections_Data!HP$4+2,FALSE))</f>
        <v>#N/A</v>
      </c>
      <c r="HQ5" s="21" t="e">
        <f>IF(VLOOKUP($B$2,Days_Since_100_active!$H:$KU,Projections_Data!HQ$4+2,FALSE)=0,#N/A,VLOOKUP($B$2,Days_Since_100_active!$H:$KU,Projections_Data!HQ$4+2,FALSE))</f>
        <v>#N/A</v>
      </c>
      <c r="HR5" s="21" t="e">
        <f>IF(VLOOKUP($B$2,Days_Since_100_active!$H:$KU,Projections_Data!HR$4+2,FALSE)=0,#N/A,VLOOKUP($B$2,Days_Since_100_active!$H:$KU,Projections_Data!HR$4+2,FALSE))</f>
        <v>#N/A</v>
      </c>
      <c r="HS5" s="21" t="e">
        <f>IF(VLOOKUP($B$2,Days_Since_100_active!$H:$KU,Projections_Data!HS$4+2,FALSE)=0,#N/A,VLOOKUP($B$2,Days_Since_100_active!$H:$KU,Projections_Data!HS$4+2,FALSE))</f>
        <v>#N/A</v>
      </c>
      <c r="HT5" s="21" t="e">
        <f>IF(VLOOKUP($B$2,Days_Since_100_active!$H:$KU,Projections_Data!HT$4+2,FALSE)=0,#N/A,VLOOKUP($B$2,Days_Since_100_active!$H:$KU,Projections_Data!HT$4+2,FALSE))</f>
        <v>#N/A</v>
      </c>
      <c r="HU5" s="21" t="e">
        <f>IF(VLOOKUP($B$2,Days_Since_100_active!$H:$KU,Projections_Data!HU$4+2,FALSE)=0,#N/A,VLOOKUP($B$2,Days_Since_100_active!$H:$KU,Projections_Data!HU$4+2,FALSE))</f>
        <v>#N/A</v>
      </c>
      <c r="HV5" s="21" t="e">
        <f>IF(VLOOKUP($B$2,Days_Since_100_active!$H:$KU,Projections_Data!HV$4+2,FALSE)=0,#N/A,VLOOKUP($B$2,Days_Since_100_active!$H:$KU,Projections_Data!HV$4+2,FALSE))</f>
        <v>#N/A</v>
      </c>
      <c r="HW5" s="21" t="e">
        <f>IF(VLOOKUP($B$2,Days_Since_100_active!$H:$KU,Projections_Data!HW$4+2,FALSE)=0,#N/A,VLOOKUP($B$2,Days_Since_100_active!$H:$KU,Projections_Data!HW$4+2,FALSE))</f>
        <v>#N/A</v>
      </c>
      <c r="HX5" s="21" t="e">
        <f>IF(VLOOKUP($B$2,Days_Since_100_active!$H:$KU,Projections_Data!HX$4+2,FALSE)=0,#N/A,VLOOKUP($B$2,Days_Since_100_active!$H:$KU,Projections_Data!HX$4+2,FALSE))</f>
        <v>#N/A</v>
      </c>
      <c r="HY5" s="21" t="e">
        <f>IF(VLOOKUP($B$2,Days_Since_100_active!$H:$KU,Projections_Data!HY$4+2,FALSE)=0,#N/A,VLOOKUP($B$2,Days_Since_100_active!$H:$KU,Projections_Data!HY$4+2,FALSE))</f>
        <v>#N/A</v>
      </c>
      <c r="HZ5" s="21" t="e">
        <f>IF(VLOOKUP($B$2,Days_Since_100_active!$H:$KU,Projections_Data!HZ$4+2,FALSE)=0,#N/A,VLOOKUP($B$2,Days_Since_100_active!$H:$KU,Projections_Data!HZ$4+2,FALSE))</f>
        <v>#N/A</v>
      </c>
      <c r="IA5" s="21" t="e">
        <f>IF(VLOOKUP($B$2,Days_Since_100_active!$H:$KU,Projections_Data!IA$4+2,FALSE)=0,#N/A,VLOOKUP($B$2,Days_Since_100_active!$H:$KU,Projections_Data!IA$4+2,FALSE))</f>
        <v>#N/A</v>
      </c>
      <c r="IB5" s="21" t="e">
        <f>IF(VLOOKUP($B$2,Days_Since_100_active!$H:$KU,Projections_Data!IB$4+2,FALSE)=0,#N/A,VLOOKUP($B$2,Days_Since_100_active!$H:$KU,Projections_Data!IB$4+2,FALSE))</f>
        <v>#N/A</v>
      </c>
      <c r="IC5" s="21" t="e">
        <f>IF(VLOOKUP($B$2,Days_Since_100_active!$H:$KU,Projections_Data!IC$4+2,FALSE)=0,#N/A,VLOOKUP($B$2,Days_Since_100_active!$H:$KU,Projections_Data!IC$4+2,FALSE))</f>
        <v>#N/A</v>
      </c>
      <c r="ID5" s="21" t="e">
        <f>IF(VLOOKUP($B$2,Days_Since_100_active!$H:$KU,Projections_Data!ID$4+2,FALSE)=0,#N/A,VLOOKUP($B$2,Days_Since_100_active!$H:$KU,Projections_Data!ID$4+2,FALSE))</f>
        <v>#N/A</v>
      </c>
      <c r="IE5" s="21" t="e">
        <f>IF(VLOOKUP($B$2,Days_Since_100_active!$H:$KU,Projections_Data!IE$4+2,FALSE)=0,#N/A,VLOOKUP($B$2,Days_Since_100_active!$H:$KU,Projections_Data!IE$4+2,FALSE))</f>
        <v>#N/A</v>
      </c>
      <c r="IF5" s="21" t="e">
        <f>IF(VLOOKUP($B$2,Days_Since_100_active!$H:$KU,Projections_Data!IF$4+2,FALSE)=0,#N/A,VLOOKUP($B$2,Days_Since_100_active!$H:$KU,Projections_Data!IF$4+2,FALSE))</f>
        <v>#N/A</v>
      </c>
      <c r="IG5" s="21" t="e">
        <f>IF(VLOOKUP($B$2,Days_Since_100_active!$H:$KU,Projections_Data!IG$4+2,FALSE)=0,#N/A,VLOOKUP($B$2,Days_Since_100_active!$H:$KU,Projections_Data!IG$4+2,FALSE))</f>
        <v>#N/A</v>
      </c>
      <c r="IH5" s="21" t="e">
        <f>IF(VLOOKUP($B$2,Days_Since_100_active!$H:$KU,Projections_Data!IH$4+2,FALSE)=0,#N/A,VLOOKUP($B$2,Days_Since_100_active!$H:$KU,Projections_Data!IH$4+2,FALSE))</f>
        <v>#N/A</v>
      </c>
      <c r="II5" s="21" t="e">
        <f>IF(VLOOKUP($B$2,Days_Since_100_active!$H:$KU,Projections_Data!II$4+2,FALSE)=0,#N/A,VLOOKUP($B$2,Days_Since_100_active!$H:$KU,Projections_Data!II$4+2,FALSE))</f>
        <v>#N/A</v>
      </c>
      <c r="IJ5" s="21" t="e">
        <f>IF(VLOOKUP($B$2,Days_Since_100_active!$H:$KU,Projections_Data!IJ$4+2,FALSE)=0,#N/A,VLOOKUP($B$2,Days_Since_100_active!$H:$KU,Projections_Data!IJ$4+2,FALSE))</f>
        <v>#N/A</v>
      </c>
      <c r="IK5" s="21" t="e">
        <f>IF(VLOOKUP($B$2,Days_Since_100_active!$H:$KU,Projections_Data!IK$4+2,FALSE)=0,#N/A,VLOOKUP($B$2,Days_Since_100_active!$H:$KU,Projections_Data!IK$4+2,FALSE))</f>
        <v>#N/A</v>
      </c>
      <c r="IL5" s="21" t="e">
        <f>IF(VLOOKUP($B$2,Days_Since_100_active!$H:$KU,Projections_Data!IL$4+2,FALSE)=0,#N/A,VLOOKUP($B$2,Days_Since_100_active!$H:$KU,Projections_Data!IL$4+2,FALSE))</f>
        <v>#N/A</v>
      </c>
      <c r="IM5" s="21" t="e">
        <f>IF(VLOOKUP($B$2,Days_Since_100_active!$H:$KU,Projections_Data!IM$4+2,FALSE)=0,#N/A,VLOOKUP($B$2,Days_Since_100_active!$H:$KU,Projections_Data!IM$4+2,FALSE))</f>
        <v>#N/A</v>
      </c>
      <c r="IN5" s="21" t="e">
        <f>IF(VLOOKUP($B$2,Days_Since_100_active!$H:$KU,Projections_Data!IN$4+2,FALSE)=0,#N/A,VLOOKUP($B$2,Days_Since_100_active!$H:$KU,Projections_Data!IN$4+2,FALSE))</f>
        <v>#N/A</v>
      </c>
    </row>
    <row r="6" spans="2:248" x14ac:dyDescent="0.3">
      <c r="B6" s="19" t="s">
        <v>512</v>
      </c>
      <c r="C6" s="21">
        <f>C4-C7-C8</f>
        <v>3769</v>
      </c>
      <c r="D6" s="19">
        <f>HLOOKUP(C5-1,G4:IN7,4,FALSE)</f>
        <v>0</v>
      </c>
      <c r="F6" s="19" t="str">
        <f>"Current Avg ("&amp;TEXT(C11,"0%")&amp;")"</f>
        <v>Current Avg (23%)</v>
      </c>
      <c r="G6" s="21">
        <f t="shared" ref="G6:BR6" si="11">IF(IF(AND(ISNA(G$5),ISNA(F$5)),F6*(1+$C$11),IF(AND(F$5&gt;0,ISNA(G$5)),F6*(1+$C$11),G$5))&gt;$C$21,$C$21,IF(AND(ISNA(G$5),ISNA(F$5)),F6*(1+$C$11),IF(AND(F$5&gt;0,ISNA(G$5)),F6*(1+$C$11),G$5)))</f>
        <v>107</v>
      </c>
      <c r="H6" s="21">
        <f t="shared" si="11"/>
        <v>154</v>
      </c>
      <c r="I6" s="21">
        <f t="shared" si="11"/>
        <v>187</v>
      </c>
      <c r="J6" s="21">
        <f t="shared" si="11"/>
        <v>253</v>
      </c>
      <c r="K6" s="21">
        <f t="shared" si="11"/>
        <v>300</v>
      </c>
      <c r="L6" s="21">
        <f t="shared" si="11"/>
        <v>359</v>
      </c>
      <c r="M6" s="21">
        <f t="shared" si="11"/>
        <v>432</v>
      </c>
      <c r="N6" s="21">
        <f t="shared" si="11"/>
        <v>563</v>
      </c>
      <c r="O6" s="21">
        <f t="shared" si="11"/>
        <v>775</v>
      </c>
      <c r="P6" s="21">
        <f t="shared" si="11"/>
        <v>1104</v>
      </c>
      <c r="Q6" s="21">
        <f t="shared" si="11"/>
        <v>1315</v>
      </c>
      <c r="R6" s="21">
        <f t="shared" si="11"/>
        <v>1474</v>
      </c>
      <c r="S6" s="21">
        <f t="shared" si="11"/>
        <v>1851</v>
      </c>
      <c r="T6" s="21">
        <f t="shared" si="11"/>
        <v>2503</v>
      </c>
      <c r="U6" s="21">
        <f t="shared" si="11"/>
        <v>3169</v>
      </c>
      <c r="V6" s="21">
        <f t="shared" si="11"/>
        <v>3769</v>
      </c>
      <c r="W6" s="21">
        <f t="shared" si="11"/>
        <v>4652.4982063768448</v>
      </c>
      <c r="X6" s="21">
        <f t="shared" si="11"/>
        <v>5743.0988485910739</v>
      </c>
      <c r="Y6" s="21">
        <f t="shared" si="11"/>
        <v>7089.349188674687</v>
      </c>
      <c r="Z6" s="21">
        <f t="shared" si="11"/>
        <v>8751.1765414402016</v>
      </c>
      <c r="AA6" s="21">
        <f t="shared" si="11"/>
        <v>10802.555893536126</v>
      </c>
      <c r="AB6" s="21">
        <f t="shared" si="11"/>
        <v>13334.802843980482</v>
      </c>
      <c r="AC6" s="21">
        <f t="shared" si="11"/>
        <v>16460.638448927577</v>
      </c>
      <c r="AD6" s="21">
        <f t="shared" si="11"/>
        <v>20319.206914155817</v>
      </c>
      <c r="AE6" s="21">
        <f t="shared" si="11"/>
        <v>25082.269494059412</v>
      </c>
      <c r="AF6" s="21">
        <f t="shared" si="11"/>
        <v>30961.850313868948</v>
      </c>
      <c r="AG6" s="21">
        <f t="shared" si="11"/>
        <v>38219.674463089315</v>
      </c>
      <c r="AH6" s="21">
        <f t="shared" si="11"/>
        <v>47178.81848973997</v>
      </c>
      <c r="AI6" s="21">
        <f t="shared" si="11"/>
        <v>58238.091908329508</v>
      </c>
      <c r="AJ6" s="21">
        <f t="shared" si="11"/>
        <v>71889.789903505676</v>
      </c>
      <c r="AK6" s="21">
        <f t="shared" si="11"/>
        <v>88741.607477545331</v>
      </c>
      <c r="AL6" s="21">
        <f t="shared" si="11"/>
        <v>109543.69053337163</v>
      </c>
      <c r="AM6" s="21">
        <f t="shared" si="11"/>
        <v>135222.02805158176</v>
      </c>
      <c r="AN6" s="21">
        <f t="shared" si="11"/>
        <v>166919.67178896882</v>
      </c>
      <c r="AO6" s="21">
        <f t="shared" si="11"/>
        <v>206047.61836221517</v>
      </c>
      <c r="AP6" s="21">
        <f t="shared" si="11"/>
        <v>254347.61869419654</v>
      </c>
      <c r="AQ6" s="21">
        <f t="shared" si="11"/>
        <v>313969.71073785383</v>
      </c>
      <c r="AR6" s="21">
        <f t="shared" si="11"/>
        <v>387567.92678814585</v>
      </c>
      <c r="AS6" s="21">
        <f t="shared" si="11"/>
        <v>478418.43572062638</v>
      </c>
      <c r="AT6" s="21">
        <f t="shared" si="11"/>
        <v>590565.37916896527</v>
      </c>
      <c r="AU6" s="21">
        <f t="shared" si="11"/>
        <v>729000.89342846174</v>
      </c>
      <c r="AV6" s="21">
        <f t="shared" si="11"/>
        <v>899887.33062431298</v>
      </c>
      <c r="AW6" s="21">
        <f t="shared" si="11"/>
        <v>1110831.571151728</v>
      </c>
      <c r="AX6" s="21">
        <f t="shared" si="11"/>
        <v>1371223.6381985107</v>
      </c>
      <c r="AY6" s="21">
        <f t="shared" si="11"/>
        <v>1692654.6875192632</v>
      </c>
      <c r="AZ6" s="21">
        <f t="shared" si="11"/>
        <v>2089432.9789595995</v>
      </c>
      <c r="BA6" s="21">
        <f t="shared" si="11"/>
        <v>2579220.7978121955</v>
      </c>
      <c r="BB6" s="21">
        <f t="shared" si="11"/>
        <v>3183820.6780767031</v>
      </c>
      <c r="BC6" s="21">
        <f t="shared" si="11"/>
        <v>3930145.9257567977</v>
      </c>
      <c r="BD6" s="21">
        <f t="shared" si="11"/>
        <v>4851418.6443042625</v>
      </c>
      <c r="BE6" s="21">
        <f t="shared" si="11"/>
        <v>5988648.5914058806</v>
      </c>
      <c r="BF6" s="21">
        <f t="shared" si="11"/>
        <v>7392458.6973035494</v>
      </c>
      <c r="BG6" s="21">
        <f t="shared" si="11"/>
        <v>9125338.5062137619</v>
      </c>
      <c r="BH6" s="21">
        <f t="shared" si="11"/>
        <v>11264425.851085456</v>
      </c>
      <c r="BI6" s="21">
        <f t="shared" si="11"/>
        <v>13904940.585842412</v>
      </c>
      <c r="BJ6" s="21">
        <f t="shared" si="11"/>
        <v>17164423.225101728</v>
      </c>
      <c r="BK6" s="21">
        <f t="shared" si="11"/>
        <v>21187967.17120691</v>
      </c>
      <c r="BL6" s="21">
        <f t="shared" si="11"/>
        <v>26154677.43720128</v>
      </c>
      <c r="BM6" s="21">
        <f t="shared" si="11"/>
        <v>27154404.400000002</v>
      </c>
      <c r="BN6" s="21">
        <f t="shared" si="11"/>
        <v>27154404.400000002</v>
      </c>
      <c r="BO6" s="21">
        <f t="shared" si="11"/>
        <v>27154404.400000002</v>
      </c>
      <c r="BP6" s="21">
        <f t="shared" si="11"/>
        <v>27154404.400000002</v>
      </c>
      <c r="BQ6" s="21">
        <f t="shared" si="11"/>
        <v>27154404.400000002</v>
      </c>
      <c r="BR6" s="21">
        <f t="shared" si="11"/>
        <v>27154404.400000002</v>
      </c>
      <c r="BS6" s="21">
        <f t="shared" ref="BS6:ED6" si="12">IF(IF(AND(ISNA(BS$5),ISNA(BR$5)),BR6*(1+$C$11),IF(AND(BR$5&gt;0,ISNA(BS$5)),BR6*(1+$C$11),BS$5))&gt;$C$21,$C$21,IF(AND(ISNA(BS$5),ISNA(BR$5)),BR6*(1+$C$11),IF(AND(BR$5&gt;0,ISNA(BS$5)),BR6*(1+$C$11),BS$5)))</f>
        <v>27154404.400000002</v>
      </c>
      <c r="BT6" s="21">
        <f t="shared" si="12"/>
        <v>27154404.400000002</v>
      </c>
      <c r="BU6" s="21">
        <f t="shared" si="12"/>
        <v>27154404.400000002</v>
      </c>
      <c r="BV6" s="21">
        <f t="shared" si="12"/>
        <v>27154404.400000002</v>
      </c>
      <c r="BW6" s="21">
        <f t="shared" si="12"/>
        <v>27154404.400000002</v>
      </c>
      <c r="BX6" s="21">
        <f t="shared" si="12"/>
        <v>27154404.400000002</v>
      </c>
      <c r="BY6" s="21">
        <f t="shared" si="12"/>
        <v>27154404.400000002</v>
      </c>
      <c r="BZ6" s="21">
        <f t="shared" si="12"/>
        <v>27154404.400000002</v>
      </c>
      <c r="CA6" s="21">
        <f t="shared" si="12"/>
        <v>27154404.400000002</v>
      </c>
      <c r="CB6" s="21">
        <f t="shared" si="12"/>
        <v>27154404.400000002</v>
      </c>
      <c r="CC6" s="21">
        <f t="shared" si="12"/>
        <v>27154404.400000002</v>
      </c>
      <c r="CD6" s="21">
        <f t="shared" si="12"/>
        <v>27154404.400000002</v>
      </c>
      <c r="CE6" s="21">
        <f t="shared" si="12"/>
        <v>27154404.400000002</v>
      </c>
      <c r="CF6" s="21">
        <f t="shared" si="12"/>
        <v>27154404.400000002</v>
      </c>
      <c r="CG6" s="21">
        <f t="shared" si="12"/>
        <v>27154404.400000002</v>
      </c>
      <c r="CH6" s="21">
        <f t="shared" si="12"/>
        <v>27154404.400000002</v>
      </c>
      <c r="CI6" s="21">
        <f t="shared" si="12"/>
        <v>27154404.400000002</v>
      </c>
      <c r="CJ6" s="21">
        <f t="shared" si="12"/>
        <v>27154404.400000002</v>
      </c>
      <c r="CK6" s="21">
        <f t="shared" si="12"/>
        <v>27154404.400000002</v>
      </c>
      <c r="CL6" s="21">
        <f t="shared" si="12"/>
        <v>27154404.400000002</v>
      </c>
      <c r="CM6" s="21">
        <f t="shared" si="12"/>
        <v>27154404.400000002</v>
      </c>
      <c r="CN6" s="21">
        <f t="shared" si="12"/>
        <v>27154404.400000002</v>
      </c>
      <c r="CO6" s="21">
        <f t="shared" si="12"/>
        <v>27154404.400000002</v>
      </c>
      <c r="CP6" s="21">
        <f t="shared" si="12"/>
        <v>27154404.400000002</v>
      </c>
      <c r="CQ6" s="21">
        <f t="shared" si="12"/>
        <v>27154404.400000002</v>
      </c>
      <c r="CR6" s="21">
        <f t="shared" si="12"/>
        <v>27154404.400000002</v>
      </c>
      <c r="CS6" s="21">
        <f t="shared" si="12"/>
        <v>27154404.400000002</v>
      </c>
      <c r="CT6" s="21">
        <f t="shared" si="12"/>
        <v>27154404.400000002</v>
      </c>
      <c r="CU6" s="21">
        <f t="shared" si="12"/>
        <v>27154404.400000002</v>
      </c>
      <c r="CV6" s="21">
        <f t="shared" si="12"/>
        <v>27154404.400000002</v>
      </c>
      <c r="CW6" s="21">
        <f t="shared" si="12"/>
        <v>27154404.400000002</v>
      </c>
      <c r="CX6" s="21">
        <f t="shared" si="12"/>
        <v>27154404.400000002</v>
      </c>
      <c r="CY6" s="21">
        <f t="shared" si="12"/>
        <v>27154404.400000002</v>
      </c>
      <c r="CZ6" s="21">
        <f t="shared" si="12"/>
        <v>27154404.400000002</v>
      </c>
      <c r="DA6" s="21">
        <f t="shared" si="12"/>
        <v>27154404.400000002</v>
      </c>
      <c r="DB6" s="21">
        <f t="shared" si="12"/>
        <v>27154404.400000002</v>
      </c>
      <c r="DC6" s="21">
        <f t="shared" si="12"/>
        <v>27154404.400000002</v>
      </c>
      <c r="DD6" s="21">
        <f t="shared" si="12"/>
        <v>27154404.400000002</v>
      </c>
      <c r="DE6" s="21">
        <f t="shared" si="12"/>
        <v>27154404.400000002</v>
      </c>
      <c r="DF6" s="21">
        <f t="shared" si="12"/>
        <v>27154404.400000002</v>
      </c>
      <c r="DG6" s="21">
        <f t="shared" si="12"/>
        <v>27154404.400000002</v>
      </c>
      <c r="DH6" s="21">
        <f t="shared" si="12"/>
        <v>27154404.400000002</v>
      </c>
      <c r="DI6" s="21">
        <f t="shared" si="12"/>
        <v>27154404.400000002</v>
      </c>
      <c r="DJ6" s="21">
        <f t="shared" si="12"/>
        <v>27154404.400000002</v>
      </c>
      <c r="DK6" s="21">
        <f t="shared" si="12"/>
        <v>27154404.400000002</v>
      </c>
      <c r="DL6" s="21">
        <f t="shared" si="12"/>
        <v>27154404.400000002</v>
      </c>
      <c r="DM6" s="21">
        <f t="shared" si="12"/>
        <v>27154404.400000002</v>
      </c>
      <c r="DN6" s="21">
        <f t="shared" si="12"/>
        <v>27154404.400000002</v>
      </c>
      <c r="DO6" s="21">
        <f t="shared" si="12"/>
        <v>27154404.400000002</v>
      </c>
      <c r="DP6" s="21">
        <f t="shared" si="12"/>
        <v>27154404.400000002</v>
      </c>
      <c r="DQ6" s="21">
        <f t="shared" si="12"/>
        <v>27154404.400000002</v>
      </c>
      <c r="DR6" s="21">
        <f t="shared" si="12"/>
        <v>27154404.400000002</v>
      </c>
      <c r="DS6" s="21">
        <f t="shared" si="12"/>
        <v>27154404.400000002</v>
      </c>
      <c r="DT6" s="21">
        <f t="shared" si="12"/>
        <v>27154404.400000002</v>
      </c>
      <c r="DU6" s="21">
        <f t="shared" si="12"/>
        <v>27154404.400000002</v>
      </c>
      <c r="DV6" s="21">
        <f t="shared" si="12"/>
        <v>27154404.400000002</v>
      </c>
      <c r="DW6" s="21">
        <f t="shared" si="12"/>
        <v>27154404.400000002</v>
      </c>
      <c r="DX6" s="21">
        <f t="shared" si="12"/>
        <v>27154404.400000002</v>
      </c>
      <c r="DY6" s="21">
        <f t="shared" si="12"/>
        <v>27154404.400000002</v>
      </c>
      <c r="DZ6" s="21">
        <f t="shared" si="12"/>
        <v>27154404.400000002</v>
      </c>
      <c r="EA6" s="21">
        <f t="shared" si="12"/>
        <v>27154404.400000002</v>
      </c>
      <c r="EB6" s="21">
        <f t="shared" si="12"/>
        <v>27154404.400000002</v>
      </c>
      <c r="EC6" s="21">
        <f t="shared" si="12"/>
        <v>27154404.400000002</v>
      </c>
      <c r="ED6" s="21">
        <f t="shared" si="12"/>
        <v>27154404.400000002</v>
      </c>
      <c r="EE6" s="21">
        <f t="shared" ref="EE6:GP6" si="13">IF(IF(AND(ISNA(EE$5),ISNA(ED$5)),ED6*(1+$C$11),IF(AND(ED$5&gt;0,ISNA(EE$5)),ED6*(1+$C$11),EE$5))&gt;$C$21,$C$21,IF(AND(ISNA(EE$5),ISNA(ED$5)),ED6*(1+$C$11),IF(AND(ED$5&gt;0,ISNA(EE$5)),ED6*(1+$C$11),EE$5)))</f>
        <v>27154404.400000002</v>
      </c>
      <c r="EF6" s="21">
        <f t="shared" si="13"/>
        <v>27154404.400000002</v>
      </c>
      <c r="EG6" s="21">
        <f t="shared" si="13"/>
        <v>27154404.400000002</v>
      </c>
      <c r="EH6" s="21">
        <f t="shared" si="13"/>
        <v>27154404.400000002</v>
      </c>
      <c r="EI6" s="21">
        <f t="shared" si="13"/>
        <v>27154404.400000002</v>
      </c>
      <c r="EJ6" s="21">
        <f t="shared" si="13"/>
        <v>27154404.400000002</v>
      </c>
      <c r="EK6" s="21">
        <f t="shared" si="13"/>
        <v>27154404.400000002</v>
      </c>
      <c r="EL6" s="21">
        <f t="shared" si="13"/>
        <v>27154404.400000002</v>
      </c>
      <c r="EM6" s="21">
        <f t="shared" si="13"/>
        <v>27154404.400000002</v>
      </c>
      <c r="EN6" s="21">
        <f t="shared" si="13"/>
        <v>27154404.400000002</v>
      </c>
      <c r="EO6" s="21">
        <f t="shared" si="13"/>
        <v>27154404.400000002</v>
      </c>
      <c r="EP6" s="21">
        <f t="shared" si="13"/>
        <v>27154404.400000002</v>
      </c>
      <c r="EQ6" s="21">
        <f t="shared" si="13"/>
        <v>27154404.400000002</v>
      </c>
      <c r="ER6" s="21">
        <f t="shared" si="13"/>
        <v>27154404.400000002</v>
      </c>
      <c r="ES6" s="21">
        <f t="shared" si="13"/>
        <v>27154404.400000002</v>
      </c>
      <c r="ET6" s="21">
        <f t="shared" si="13"/>
        <v>27154404.400000002</v>
      </c>
      <c r="EU6" s="21">
        <f t="shared" si="13"/>
        <v>27154404.400000002</v>
      </c>
      <c r="EV6" s="21">
        <f t="shared" si="13"/>
        <v>27154404.400000002</v>
      </c>
      <c r="EW6" s="21">
        <f t="shared" si="13"/>
        <v>27154404.400000002</v>
      </c>
      <c r="EX6" s="21">
        <f t="shared" si="13"/>
        <v>27154404.400000002</v>
      </c>
      <c r="EY6" s="21">
        <f t="shared" si="13"/>
        <v>27154404.400000002</v>
      </c>
      <c r="EZ6" s="21">
        <f t="shared" si="13"/>
        <v>27154404.400000002</v>
      </c>
      <c r="FA6" s="21">
        <f t="shared" si="13"/>
        <v>27154404.400000002</v>
      </c>
      <c r="FB6" s="21">
        <f t="shared" si="13"/>
        <v>27154404.400000002</v>
      </c>
      <c r="FC6" s="21">
        <f t="shared" si="13"/>
        <v>27154404.400000002</v>
      </c>
      <c r="FD6" s="21">
        <f t="shared" si="13"/>
        <v>27154404.400000002</v>
      </c>
      <c r="FE6" s="21">
        <f t="shared" si="13"/>
        <v>27154404.400000002</v>
      </c>
      <c r="FF6" s="21">
        <f t="shared" si="13"/>
        <v>27154404.400000002</v>
      </c>
      <c r="FG6" s="21">
        <f t="shared" si="13"/>
        <v>27154404.400000002</v>
      </c>
      <c r="FH6" s="21">
        <f t="shared" si="13"/>
        <v>27154404.400000002</v>
      </c>
      <c r="FI6" s="21">
        <f t="shared" si="13"/>
        <v>27154404.400000002</v>
      </c>
      <c r="FJ6" s="21">
        <f t="shared" si="13"/>
        <v>27154404.400000002</v>
      </c>
      <c r="FK6" s="21">
        <f t="shared" si="13"/>
        <v>27154404.400000002</v>
      </c>
      <c r="FL6" s="21">
        <f t="shared" si="13"/>
        <v>27154404.400000002</v>
      </c>
      <c r="FM6" s="21">
        <f t="shared" si="13"/>
        <v>27154404.400000002</v>
      </c>
      <c r="FN6" s="21">
        <f t="shared" si="13"/>
        <v>27154404.400000002</v>
      </c>
      <c r="FO6" s="21">
        <f t="shared" si="13"/>
        <v>27154404.400000002</v>
      </c>
      <c r="FP6" s="21">
        <f t="shared" si="13"/>
        <v>27154404.400000002</v>
      </c>
      <c r="FQ6" s="21">
        <f t="shared" si="13"/>
        <v>27154404.400000002</v>
      </c>
      <c r="FR6" s="21">
        <f t="shared" si="13"/>
        <v>27154404.400000002</v>
      </c>
      <c r="FS6" s="21">
        <f t="shared" si="13"/>
        <v>27154404.400000002</v>
      </c>
      <c r="FT6" s="21">
        <f t="shared" si="13"/>
        <v>27154404.400000002</v>
      </c>
      <c r="FU6" s="21">
        <f t="shared" si="13"/>
        <v>27154404.400000002</v>
      </c>
      <c r="FV6" s="21">
        <f t="shared" si="13"/>
        <v>27154404.400000002</v>
      </c>
      <c r="FW6" s="21">
        <f t="shared" si="13"/>
        <v>27154404.400000002</v>
      </c>
      <c r="FX6" s="21">
        <f t="shared" si="13"/>
        <v>27154404.400000002</v>
      </c>
      <c r="FY6" s="21">
        <f t="shared" si="13"/>
        <v>27154404.400000002</v>
      </c>
      <c r="FZ6" s="21">
        <f t="shared" si="13"/>
        <v>27154404.400000002</v>
      </c>
      <c r="GA6" s="21">
        <f t="shared" si="13"/>
        <v>27154404.400000002</v>
      </c>
      <c r="GB6" s="21">
        <f t="shared" si="13"/>
        <v>27154404.400000002</v>
      </c>
      <c r="GC6" s="21">
        <f t="shared" si="13"/>
        <v>27154404.400000002</v>
      </c>
      <c r="GD6" s="21">
        <f t="shared" si="13"/>
        <v>27154404.400000002</v>
      </c>
      <c r="GE6" s="21">
        <f t="shared" si="13"/>
        <v>27154404.400000002</v>
      </c>
      <c r="GF6" s="21">
        <f t="shared" si="13"/>
        <v>27154404.400000002</v>
      </c>
      <c r="GG6" s="21">
        <f t="shared" si="13"/>
        <v>27154404.400000002</v>
      </c>
      <c r="GH6" s="21">
        <f t="shared" si="13"/>
        <v>27154404.400000002</v>
      </c>
      <c r="GI6" s="21">
        <f t="shared" si="13"/>
        <v>27154404.400000002</v>
      </c>
      <c r="GJ6" s="21">
        <f t="shared" si="13"/>
        <v>27154404.400000002</v>
      </c>
      <c r="GK6" s="21">
        <f t="shared" si="13"/>
        <v>27154404.400000002</v>
      </c>
      <c r="GL6" s="21">
        <f t="shared" si="13"/>
        <v>27154404.400000002</v>
      </c>
      <c r="GM6" s="21">
        <f t="shared" si="13"/>
        <v>27154404.400000002</v>
      </c>
      <c r="GN6" s="21">
        <f t="shared" si="13"/>
        <v>27154404.400000002</v>
      </c>
      <c r="GO6" s="21">
        <f t="shared" si="13"/>
        <v>27154404.400000002</v>
      </c>
      <c r="GP6" s="21">
        <f t="shared" si="13"/>
        <v>27154404.400000002</v>
      </c>
      <c r="GQ6" s="21">
        <f t="shared" ref="GQ6:IN6" si="14">IF(IF(AND(ISNA(GQ$5),ISNA(GP$5)),GP6*(1+$C$11),IF(AND(GP$5&gt;0,ISNA(GQ$5)),GP6*(1+$C$11),GQ$5))&gt;$C$21,$C$21,IF(AND(ISNA(GQ$5),ISNA(GP$5)),GP6*(1+$C$11),IF(AND(GP$5&gt;0,ISNA(GQ$5)),GP6*(1+$C$11),GQ$5)))</f>
        <v>27154404.400000002</v>
      </c>
      <c r="GR6" s="21">
        <f t="shared" si="14"/>
        <v>27154404.400000002</v>
      </c>
      <c r="GS6" s="21">
        <f t="shared" si="14"/>
        <v>27154404.400000002</v>
      </c>
      <c r="GT6" s="21">
        <f t="shared" si="14"/>
        <v>27154404.400000002</v>
      </c>
      <c r="GU6" s="21">
        <f t="shared" si="14"/>
        <v>27154404.400000002</v>
      </c>
      <c r="GV6" s="21">
        <f t="shared" si="14"/>
        <v>27154404.400000002</v>
      </c>
      <c r="GW6" s="21">
        <f t="shared" si="14"/>
        <v>27154404.400000002</v>
      </c>
      <c r="GX6" s="21">
        <f t="shared" si="14"/>
        <v>27154404.400000002</v>
      </c>
      <c r="GY6" s="21">
        <f t="shared" si="14"/>
        <v>27154404.400000002</v>
      </c>
      <c r="GZ6" s="21">
        <f t="shared" si="14"/>
        <v>27154404.400000002</v>
      </c>
      <c r="HA6" s="21">
        <f t="shared" si="14"/>
        <v>27154404.400000002</v>
      </c>
      <c r="HB6" s="21">
        <f t="shared" si="14"/>
        <v>27154404.400000002</v>
      </c>
      <c r="HC6" s="21">
        <f t="shared" si="14"/>
        <v>27154404.400000002</v>
      </c>
      <c r="HD6" s="21">
        <f t="shared" si="14"/>
        <v>27154404.400000002</v>
      </c>
      <c r="HE6" s="21">
        <f t="shared" si="14"/>
        <v>27154404.400000002</v>
      </c>
      <c r="HF6" s="21">
        <f t="shared" si="14"/>
        <v>27154404.400000002</v>
      </c>
      <c r="HG6" s="21">
        <f t="shared" si="14"/>
        <v>27154404.400000002</v>
      </c>
      <c r="HH6" s="21">
        <f t="shared" si="14"/>
        <v>27154404.400000002</v>
      </c>
      <c r="HI6" s="21">
        <f t="shared" si="14"/>
        <v>27154404.400000002</v>
      </c>
      <c r="HJ6" s="21">
        <f t="shared" si="14"/>
        <v>27154404.400000002</v>
      </c>
      <c r="HK6" s="21">
        <f t="shared" si="14"/>
        <v>27154404.400000002</v>
      </c>
      <c r="HL6" s="21">
        <f t="shared" si="14"/>
        <v>27154404.400000002</v>
      </c>
      <c r="HM6" s="21">
        <f t="shared" si="14"/>
        <v>27154404.400000002</v>
      </c>
      <c r="HN6" s="21">
        <f t="shared" si="14"/>
        <v>27154404.400000002</v>
      </c>
      <c r="HO6" s="21">
        <f t="shared" si="14"/>
        <v>27154404.400000002</v>
      </c>
      <c r="HP6" s="21">
        <f t="shared" si="14"/>
        <v>27154404.400000002</v>
      </c>
      <c r="HQ6" s="21">
        <f t="shared" si="14"/>
        <v>27154404.400000002</v>
      </c>
      <c r="HR6" s="21">
        <f t="shared" si="14"/>
        <v>27154404.400000002</v>
      </c>
      <c r="HS6" s="21">
        <f t="shared" si="14"/>
        <v>27154404.400000002</v>
      </c>
      <c r="HT6" s="21">
        <f t="shared" si="14"/>
        <v>27154404.400000002</v>
      </c>
      <c r="HU6" s="21">
        <f t="shared" si="14"/>
        <v>27154404.400000002</v>
      </c>
      <c r="HV6" s="21">
        <f t="shared" si="14"/>
        <v>27154404.400000002</v>
      </c>
      <c r="HW6" s="21">
        <f t="shared" si="14"/>
        <v>27154404.400000002</v>
      </c>
      <c r="HX6" s="21">
        <f t="shared" si="14"/>
        <v>27154404.400000002</v>
      </c>
      <c r="HY6" s="21">
        <f t="shared" si="14"/>
        <v>27154404.400000002</v>
      </c>
      <c r="HZ6" s="21">
        <f t="shared" si="14"/>
        <v>27154404.400000002</v>
      </c>
      <c r="IA6" s="21">
        <f t="shared" si="14"/>
        <v>27154404.400000002</v>
      </c>
      <c r="IB6" s="21">
        <f t="shared" si="14"/>
        <v>27154404.400000002</v>
      </c>
      <c r="IC6" s="21">
        <f t="shared" si="14"/>
        <v>27154404.400000002</v>
      </c>
      <c r="ID6" s="21">
        <f t="shared" si="14"/>
        <v>27154404.400000002</v>
      </c>
      <c r="IE6" s="21">
        <f t="shared" si="14"/>
        <v>27154404.400000002</v>
      </c>
      <c r="IF6" s="21">
        <f t="shared" si="14"/>
        <v>27154404.400000002</v>
      </c>
      <c r="IG6" s="21">
        <f t="shared" si="14"/>
        <v>27154404.400000002</v>
      </c>
      <c r="IH6" s="21">
        <f t="shared" si="14"/>
        <v>27154404.400000002</v>
      </c>
      <c r="II6" s="21">
        <f t="shared" si="14"/>
        <v>27154404.400000002</v>
      </c>
      <c r="IJ6" s="21">
        <f t="shared" si="14"/>
        <v>27154404.400000002</v>
      </c>
      <c r="IK6" s="21">
        <f t="shared" si="14"/>
        <v>27154404.400000002</v>
      </c>
      <c r="IL6" s="21">
        <f t="shared" si="14"/>
        <v>27154404.400000002</v>
      </c>
      <c r="IM6" s="21">
        <f t="shared" si="14"/>
        <v>27154404.400000002</v>
      </c>
      <c r="IN6" s="21">
        <f t="shared" si="14"/>
        <v>27154404.400000002</v>
      </c>
    </row>
    <row r="7" spans="2:248" x14ac:dyDescent="0.3">
      <c r="B7" s="19" t="s">
        <v>514</v>
      </c>
      <c r="C7" s="21">
        <f>VLOOKUP(B2,Country_Data!C:G,5,FALSE)</f>
        <v>67</v>
      </c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</row>
    <row r="8" spans="2:248" x14ac:dyDescent="0.3">
      <c r="B8" s="19" t="s">
        <v>515</v>
      </c>
      <c r="C8" s="21">
        <f>VLOOKUP(B2,Country_Data!C:H,6,FALSE)</f>
        <v>178</v>
      </c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</row>
    <row r="9" spans="2:248" x14ac:dyDescent="0.3">
      <c r="E9" s="19">
        <v>0.1</v>
      </c>
      <c r="F9" s="22" t="s">
        <v>496</v>
      </c>
      <c r="G9" s="21">
        <f t="shared" ref="G9:BR9" si="15">IF(IF(AND(ISNA(G$5),ISNA(F$5)),F9*(1+$E9),IF(AND(F$5&gt;0,ISNA(G$5)),F9*(1+$E9),G$5))&gt;$C$21,$C$21,IF(AND(ISNA(G$5),ISNA(F$5)),F9*(1+$E9),IF(AND(F$5&gt;0,ISNA(G$5)),F9*(1+$E9),G$5)))</f>
        <v>107</v>
      </c>
      <c r="H9" s="21">
        <f t="shared" si="15"/>
        <v>154</v>
      </c>
      <c r="I9" s="21">
        <f t="shared" si="15"/>
        <v>187</v>
      </c>
      <c r="J9" s="21">
        <f t="shared" si="15"/>
        <v>253</v>
      </c>
      <c r="K9" s="21">
        <f t="shared" si="15"/>
        <v>300</v>
      </c>
      <c r="L9" s="21">
        <f t="shared" si="15"/>
        <v>359</v>
      </c>
      <c r="M9" s="21">
        <f t="shared" si="15"/>
        <v>432</v>
      </c>
      <c r="N9" s="21">
        <f t="shared" si="15"/>
        <v>563</v>
      </c>
      <c r="O9" s="21">
        <f t="shared" si="15"/>
        <v>775</v>
      </c>
      <c r="P9" s="21">
        <f t="shared" si="15"/>
        <v>1104</v>
      </c>
      <c r="Q9" s="21">
        <f t="shared" si="15"/>
        <v>1315</v>
      </c>
      <c r="R9" s="21">
        <f t="shared" si="15"/>
        <v>1474</v>
      </c>
      <c r="S9" s="21">
        <f t="shared" si="15"/>
        <v>1851</v>
      </c>
      <c r="T9" s="21">
        <f t="shared" si="15"/>
        <v>2503</v>
      </c>
      <c r="U9" s="21">
        <f t="shared" si="15"/>
        <v>3169</v>
      </c>
      <c r="V9" s="21">
        <f t="shared" si="15"/>
        <v>3769</v>
      </c>
      <c r="W9" s="21">
        <f t="shared" si="15"/>
        <v>4145.9000000000005</v>
      </c>
      <c r="X9" s="21">
        <f t="shared" si="15"/>
        <v>4560.4900000000007</v>
      </c>
      <c r="Y9" s="21">
        <f t="shared" si="15"/>
        <v>5016.5390000000016</v>
      </c>
      <c r="Z9" s="21">
        <f t="shared" si="15"/>
        <v>5518.1929000000018</v>
      </c>
      <c r="AA9" s="21">
        <f t="shared" si="15"/>
        <v>6070.0121900000022</v>
      </c>
      <c r="AB9" s="21">
        <f t="shared" si="15"/>
        <v>6677.0134090000029</v>
      </c>
      <c r="AC9" s="21">
        <f t="shared" si="15"/>
        <v>7344.7147499000039</v>
      </c>
      <c r="AD9" s="21">
        <f t="shared" si="15"/>
        <v>8079.1862248900052</v>
      </c>
      <c r="AE9" s="21">
        <f t="shared" si="15"/>
        <v>8887.104847379007</v>
      </c>
      <c r="AF9" s="21">
        <f t="shared" si="15"/>
        <v>9775.8153321169084</v>
      </c>
      <c r="AG9" s="21">
        <f t="shared" si="15"/>
        <v>10753.396865328599</v>
      </c>
      <c r="AH9" s="21">
        <f t="shared" si="15"/>
        <v>11828.736551861461</v>
      </c>
      <c r="AI9" s="21">
        <f t="shared" si="15"/>
        <v>13011.610207047608</v>
      </c>
      <c r="AJ9" s="21">
        <f t="shared" si="15"/>
        <v>14312.77122775237</v>
      </c>
      <c r="AK9" s="21">
        <f t="shared" si="15"/>
        <v>15744.048350527608</v>
      </c>
      <c r="AL9" s="21">
        <f t="shared" si="15"/>
        <v>17318.453185580369</v>
      </c>
      <c r="AM9" s="21">
        <f t="shared" si="15"/>
        <v>19050.298504138409</v>
      </c>
      <c r="AN9" s="21">
        <f t="shared" si="15"/>
        <v>20955.32835455225</v>
      </c>
      <c r="AO9" s="21">
        <f t="shared" si="15"/>
        <v>23050.861190007476</v>
      </c>
      <c r="AP9" s="21">
        <f t="shared" si="15"/>
        <v>25355.947309008225</v>
      </c>
      <c r="AQ9" s="21">
        <f t="shared" si="15"/>
        <v>27891.542039909051</v>
      </c>
      <c r="AR9" s="21">
        <f t="shared" si="15"/>
        <v>30680.696243899958</v>
      </c>
      <c r="AS9" s="21">
        <f t="shared" si="15"/>
        <v>33748.765868289956</v>
      </c>
      <c r="AT9" s="21">
        <f t="shared" si="15"/>
        <v>37123.642455118956</v>
      </c>
      <c r="AU9" s="21">
        <f t="shared" si="15"/>
        <v>40836.006700630853</v>
      </c>
      <c r="AV9" s="21">
        <f t="shared" si="15"/>
        <v>44919.607370693942</v>
      </c>
      <c r="AW9" s="21">
        <f t="shared" si="15"/>
        <v>49411.568107763342</v>
      </c>
      <c r="AX9" s="21">
        <f t="shared" si="15"/>
        <v>54352.724918539679</v>
      </c>
      <c r="AY9" s="21">
        <f t="shared" si="15"/>
        <v>59787.997410393655</v>
      </c>
      <c r="AZ9" s="21">
        <f t="shared" si="15"/>
        <v>65766.797151433027</v>
      </c>
      <c r="BA9" s="21">
        <f t="shared" si="15"/>
        <v>72343.47686657634</v>
      </c>
      <c r="BB9" s="21">
        <f t="shared" si="15"/>
        <v>79577.824553233979</v>
      </c>
      <c r="BC9" s="21">
        <f t="shared" si="15"/>
        <v>87535.607008557388</v>
      </c>
      <c r="BD9" s="21">
        <f t="shared" si="15"/>
        <v>96289.16770941313</v>
      </c>
      <c r="BE9" s="21">
        <f t="shared" si="15"/>
        <v>105918.08448035445</v>
      </c>
      <c r="BF9" s="21">
        <f t="shared" si="15"/>
        <v>116509.89292838991</v>
      </c>
      <c r="BG9" s="21">
        <f t="shared" si="15"/>
        <v>128160.88222122891</v>
      </c>
      <c r="BH9" s="21">
        <f t="shared" si="15"/>
        <v>140976.97044335181</v>
      </c>
      <c r="BI9" s="21">
        <f t="shared" si="15"/>
        <v>155074.66748768699</v>
      </c>
      <c r="BJ9" s="21">
        <f t="shared" si="15"/>
        <v>170582.13423645572</v>
      </c>
      <c r="BK9" s="21">
        <f t="shared" si="15"/>
        <v>187640.34766010131</v>
      </c>
      <c r="BL9" s="21">
        <f t="shared" si="15"/>
        <v>206404.38242611146</v>
      </c>
      <c r="BM9" s="21">
        <f t="shared" si="15"/>
        <v>227044.82066872262</v>
      </c>
      <c r="BN9" s="21">
        <f t="shared" si="15"/>
        <v>249749.30273559489</v>
      </c>
      <c r="BO9" s="21">
        <f t="shared" si="15"/>
        <v>274724.23300915438</v>
      </c>
      <c r="BP9" s="21">
        <f t="shared" si="15"/>
        <v>302196.65631006984</v>
      </c>
      <c r="BQ9" s="21">
        <f t="shared" si="15"/>
        <v>332416.32194107684</v>
      </c>
      <c r="BR9" s="21">
        <f t="shared" si="15"/>
        <v>365657.95413518453</v>
      </c>
      <c r="BS9" s="21">
        <f t="shared" ref="BS9:ED9" si="16">IF(IF(AND(ISNA(BS$5),ISNA(BR$5)),BR9*(1+$E9),IF(AND(BR$5&gt;0,ISNA(BS$5)),BR9*(1+$E9),BS$5))&gt;$C$21,$C$21,IF(AND(ISNA(BS$5),ISNA(BR$5)),BR9*(1+$E9),IF(AND(BR$5&gt;0,ISNA(BS$5)),BR9*(1+$E9),BS$5)))</f>
        <v>402223.74954870302</v>
      </c>
      <c r="BT9" s="21">
        <f t="shared" si="16"/>
        <v>442446.12450357334</v>
      </c>
      <c r="BU9" s="21">
        <f t="shared" si="16"/>
        <v>486690.7369539307</v>
      </c>
      <c r="BV9" s="21">
        <f t="shared" si="16"/>
        <v>535359.81064932386</v>
      </c>
      <c r="BW9" s="21">
        <f t="shared" si="16"/>
        <v>588895.79171425628</v>
      </c>
      <c r="BX9" s="21">
        <f t="shared" si="16"/>
        <v>647785.37088568194</v>
      </c>
      <c r="BY9" s="21">
        <f t="shared" si="16"/>
        <v>712563.90797425015</v>
      </c>
      <c r="BZ9" s="21">
        <f t="shared" si="16"/>
        <v>783820.29877167521</v>
      </c>
      <c r="CA9" s="21">
        <f t="shared" si="16"/>
        <v>862202.32864884275</v>
      </c>
      <c r="CB9" s="21">
        <f t="shared" si="16"/>
        <v>948422.56151372707</v>
      </c>
      <c r="CC9" s="21">
        <f t="shared" si="16"/>
        <v>1043264.8176650999</v>
      </c>
      <c r="CD9" s="21">
        <f t="shared" si="16"/>
        <v>1147591.2994316099</v>
      </c>
      <c r="CE9" s="21">
        <f t="shared" si="16"/>
        <v>1262350.429374771</v>
      </c>
      <c r="CF9" s="21">
        <f t="shared" si="16"/>
        <v>1388585.4723122481</v>
      </c>
      <c r="CG9" s="21">
        <f t="shared" si="16"/>
        <v>1527444.0195434729</v>
      </c>
      <c r="CH9" s="21">
        <f t="shared" si="16"/>
        <v>1680188.4214978204</v>
      </c>
      <c r="CI9" s="21">
        <f t="shared" si="16"/>
        <v>1848207.2636476026</v>
      </c>
      <c r="CJ9" s="21">
        <f t="shared" si="16"/>
        <v>2033027.9900123631</v>
      </c>
      <c r="CK9" s="21">
        <f t="shared" si="16"/>
        <v>2236330.7890135995</v>
      </c>
      <c r="CL9" s="21">
        <f t="shared" si="16"/>
        <v>2459963.8679149598</v>
      </c>
      <c r="CM9" s="21">
        <f t="shared" si="16"/>
        <v>2705960.2547064559</v>
      </c>
      <c r="CN9" s="21">
        <f t="shared" si="16"/>
        <v>2976556.2801771015</v>
      </c>
      <c r="CO9" s="21">
        <f t="shared" si="16"/>
        <v>3274211.908194812</v>
      </c>
      <c r="CP9" s="21">
        <f t="shared" si="16"/>
        <v>3601633.0990142934</v>
      </c>
      <c r="CQ9" s="21">
        <f t="shared" si="16"/>
        <v>3961796.4089157232</v>
      </c>
      <c r="CR9" s="21">
        <f t="shared" si="16"/>
        <v>4357976.0498072961</v>
      </c>
      <c r="CS9" s="21">
        <f t="shared" si="16"/>
        <v>4793773.6547880266</v>
      </c>
      <c r="CT9" s="21">
        <f t="shared" si="16"/>
        <v>5273151.02026683</v>
      </c>
      <c r="CU9" s="21">
        <f t="shared" si="16"/>
        <v>5800466.1222935133</v>
      </c>
      <c r="CV9" s="21">
        <f t="shared" si="16"/>
        <v>6380512.7345228652</v>
      </c>
      <c r="CW9" s="21">
        <f t="shared" si="16"/>
        <v>7018564.0079751527</v>
      </c>
      <c r="CX9" s="21">
        <f t="shared" si="16"/>
        <v>7720420.4087726688</v>
      </c>
      <c r="CY9" s="21">
        <f t="shared" si="16"/>
        <v>8492462.4496499356</v>
      </c>
      <c r="CZ9" s="21">
        <f t="shared" si="16"/>
        <v>9341708.6946149301</v>
      </c>
      <c r="DA9" s="21">
        <f t="shared" si="16"/>
        <v>10275879.564076424</v>
      </c>
      <c r="DB9" s="21">
        <f t="shared" si="16"/>
        <v>11303467.520484067</v>
      </c>
      <c r="DC9" s="21">
        <f t="shared" si="16"/>
        <v>12433814.272532476</v>
      </c>
      <c r="DD9" s="21">
        <f t="shared" si="16"/>
        <v>13677195.699785724</v>
      </c>
      <c r="DE9" s="21">
        <f t="shared" si="16"/>
        <v>15044915.269764299</v>
      </c>
      <c r="DF9" s="21">
        <f t="shared" si="16"/>
        <v>16549406.796740729</v>
      </c>
      <c r="DG9" s="21">
        <f t="shared" si="16"/>
        <v>18204347.476414803</v>
      </c>
      <c r="DH9" s="21">
        <f t="shared" si="16"/>
        <v>20024782.224056285</v>
      </c>
      <c r="DI9" s="21">
        <f t="shared" si="16"/>
        <v>22027260.446461916</v>
      </c>
      <c r="DJ9" s="21">
        <f t="shared" si="16"/>
        <v>24229986.491108108</v>
      </c>
      <c r="DK9" s="21">
        <f t="shared" si="16"/>
        <v>26652985.140218921</v>
      </c>
      <c r="DL9" s="21">
        <f t="shared" si="16"/>
        <v>27154404.400000002</v>
      </c>
      <c r="DM9" s="21">
        <f t="shared" si="16"/>
        <v>27154404.400000002</v>
      </c>
      <c r="DN9" s="21">
        <f t="shared" si="16"/>
        <v>27154404.400000002</v>
      </c>
      <c r="DO9" s="21">
        <f t="shared" si="16"/>
        <v>27154404.400000002</v>
      </c>
      <c r="DP9" s="21">
        <f t="shared" si="16"/>
        <v>27154404.400000002</v>
      </c>
      <c r="DQ9" s="21">
        <f t="shared" si="16"/>
        <v>27154404.400000002</v>
      </c>
      <c r="DR9" s="21">
        <f t="shared" si="16"/>
        <v>27154404.400000002</v>
      </c>
      <c r="DS9" s="21">
        <f t="shared" si="16"/>
        <v>27154404.400000002</v>
      </c>
      <c r="DT9" s="21">
        <f t="shared" si="16"/>
        <v>27154404.400000002</v>
      </c>
      <c r="DU9" s="21">
        <f t="shared" si="16"/>
        <v>27154404.400000002</v>
      </c>
      <c r="DV9" s="21">
        <f t="shared" si="16"/>
        <v>27154404.400000002</v>
      </c>
      <c r="DW9" s="21">
        <f t="shared" si="16"/>
        <v>27154404.400000002</v>
      </c>
      <c r="DX9" s="21">
        <f t="shared" si="16"/>
        <v>27154404.400000002</v>
      </c>
      <c r="DY9" s="21">
        <f t="shared" si="16"/>
        <v>27154404.400000002</v>
      </c>
      <c r="DZ9" s="21">
        <f t="shared" si="16"/>
        <v>27154404.400000002</v>
      </c>
      <c r="EA9" s="21">
        <f t="shared" si="16"/>
        <v>27154404.400000002</v>
      </c>
      <c r="EB9" s="21">
        <f t="shared" si="16"/>
        <v>27154404.400000002</v>
      </c>
      <c r="EC9" s="21">
        <f t="shared" si="16"/>
        <v>27154404.400000002</v>
      </c>
      <c r="ED9" s="21">
        <f t="shared" si="16"/>
        <v>27154404.400000002</v>
      </c>
      <c r="EE9" s="21">
        <f t="shared" ref="EE9:GP9" si="17">IF(IF(AND(ISNA(EE$5),ISNA(ED$5)),ED9*(1+$E9),IF(AND(ED$5&gt;0,ISNA(EE$5)),ED9*(1+$E9),EE$5))&gt;$C$21,$C$21,IF(AND(ISNA(EE$5),ISNA(ED$5)),ED9*(1+$E9),IF(AND(ED$5&gt;0,ISNA(EE$5)),ED9*(1+$E9),EE$5)))</f>
        <v>27154404.400000002</v>
      </c>
      <c r="EF9" s="21">
        <f t="shared" si="17"/>
        <v>27154404.400000002</v>
      </c>
      <c r="EG9" s="21">
        <f t="shared" si="17"/>
        <v>27154404.400000002</v>
      </c>
      <c r="EH9" s="21">
        <f t="shared" si="17"/>
        <v>27154404.400000002</v>
      </c>
      <c r="EI9" s="21">
        <f t="shared" si="17"/>
        <v>27154404.400000002</v>
      </c>
      <c r="EJ9" s="21">
        <f t="shared" si="17"/>
        <v>27154404.400000002</v>
      </c>
      <c r="EK9" s="21">
        <f t="shared" si="17"/>
        <v>27154404.400000002</v>
      </c>
      <c r="EL9" s="21">
        <f t="shared" si="17"/>
        <v>27154404.400000002</v>
      </c>
      <c r="EM9" s="21">
        <f t="shared" si="17"/>
        <v>27154404.400000002</v>
      </c>
      <c r="EN9" s="21">
        <f t="shared" si="17"/>
        <v>27154404.400000002</v>
      </c>
      <c r="EO9" s="21">
        <f t="shared" si="17"/>
        <v>27154404.400000002</v>
      </c>
      <c r="EP9" s="21">
        <f t="shared" si="17"/>
        <v>27154404.400000002</v>
      </c>
      <c r="EQ9" s="21">
        <f t="shared" si="17"/>
        <v>27154404.400000002</v>
      </c>
      <c r="ER9" s="21">
        <f t="shared" si="17"/>
        <v>27154404.400000002</v>
      </c>
      <c r="ES9" s="21">
        <f t="shared" si="17"/>
        <v>27154404.400000002</v>
      </c>
      <c r="ET9" s="21">
        <f t="shared" si="17"/>
        <v>27154404.400000002</v>
      </c>
      <c r="EU9" s="21">
        <f t="shared" si="17"/>
        <v>27154404.400000002</v>
      </c>
      <c r="EV9" s="21">
        <f t="shared" si="17"/>
        <v>27154404.400000002</v>
      </c>
      <c r="EW9" s="21">
        <f t="shared" si="17"/>
        <v>27154404.400000002</v>
      </c>
      <c r="EX9" s="21">
        <f t="shared" si="17"/>
        <v>27154404.400000002</v>
      </c>
      <c r="EY9" s="21">
        <f t="shared" si="17"/>
        <v>27154404.400000002</v>
      </c>
      <c r="EZ9" s="21">
        <f t="shared" si="17"/>
        <v>27154404.400000002</v>
      </c>
      <c r="FA9" s="21">
        <f t="shared" si="17"/>
        <v>27154404.400000002</v>
      </c>
      <c r="FB9" s="21">
        <f t="shared" si="17"/>
        <v>27154404.400000002</v>
      </c>
      <c r="FC9" s="21">
        <f t="shared" si="17"/>
        <v>27154404.400000002</v>
      </c>
      <c r="FD9" s="21">
        <f t="shared" si="17"/>
        <v>27154404.400000002</v>
      </c>
      <c r="FE9" s="21">
        <f t="shared" si="17"/>
        <v>27154404.400000002</v>
      </c>
      <c r="FF9" s="21">
        <f t="shared" si="17"/>
        <v>27154404.400000002</v>
      </c>
      <c r="FG9" s="21">
        <f t="shared" si="17"/>
        <v>27154404.400000002</v>
      </c>
      <c r="FH9" s="21">
        <f t="shared" si="17"/>
        <v>27154404.400000002</v>
      </c>
      <c r="FI9" s="21">
        <f t="shared" si="17"/>
        <v>27154404.400000002</v>
      </c>
      <c r="FJ9" s="21">
        <f t="shared" si="17"/>
        <v>27154404.400000002</v>
      </c>
      <c r="FK9" s="21">
        <f t="shared" si="17"/>
        <v>27154404.400000002</v>
      </c>
      <c r="FL9" s="21">
        <f t="shared" si="17"/>
        <v>27154404.400000002</v>
      </c>
      <c r="FM9" s="21">
        <f t="shared" si="17"/>
        <v>27154404.400000002</v>
      </c>
      <c r="FN9" s="21">
        <f t="shared" si="17"/>
        <v>27154404.400000002</v>
      </c>
      <c r="FO9" s="21">
        <f t="shared" si="17"/>
        <v>27154404.400000002</v>
      </c>
      <c r="FP9" s="21">
        <f t="shared" si="17"/>
        <v>27154404.400000002</v>
      </c>
      <c r="FQ9" s="21">
        <f t="shared" si="17"/>
        <v>27154404.400000002</v>
      </c>
      <c r="FR9" s="21">
        <f t="shared" si="17"/>
        <v>27154404.400000002</v>
      </c>
      <c r="FS9" s="21">
        <f t="shared" si="17"/>
        <v>27154404.400000002</v>
      </c>
      <c r="FT9" s="21">
        <f t="shared" si="17"/>
        <v>27154404.400000002</v>
      </c>
      <c r="FU9" s="21">
        <f t="shared" si="17"/>
        <v>27154404.400000002</v>
      </c>
      <c r="FV9" s="21">
        <f t="shared" si="17"/>
        <v>27154404.400000002</v>
      </c>
      <c r="FW9" s="21">
        <f t="shared" si="17"/>
        <v>27154404.400000002</v>
      </c>
      <c r="FX9" s="21">
        <f t="shared" si="17"/>
        <v>27154404.400000002</v>
      </c>
      <c r="FY9" s="21">
        <f t="shared" si="17"/>
        <v>27154404.400000002</v>
      </c>
      <c r="FZ9" s="21">
        <f t="shared" si="17"/>
        <v>27154404.400000002</v>
      </c>
      <c r="GA9" s="21">
        <f t="shared" si="17"/>
        <v>27154404.400000002</v>
      </c>
      <c r="GB9" s="21">
        <f t="shared" si="17"/>
        <v>27154404.400000002</v>
      </c>
      <c r="GC9" s="21">
        <f t="shared" si="17"/>
        <v>27154404.400000002</v>
      </c>
      <c r="GD9" s="21">
        <f t="shared" si="17"/>
        <v>27154404.400000002</v>
      </c>
      <c r="GE9" s="21">
        <f t="shared" si="17"/>
        <v>27154404.400000002</v>
      </c>
      <c r="GF9" s="21">
        <f t="shared" si="17"/>
        <v>27154404.400000002</v>
      </c>
      <c r="GG9" s="21">
        <f t="shared" si="17"/>
        <v>27154404.400000002</v>
      </c>
      <c r="GH9" s="21">
        <f t="shared" si="17"/>
        <v>27154404.400000002</v>
      </c>
      <c r="GI9" s="21">
        <f t="shared" si="17"/>
        <v>27154404.400000002</v>
      </c>
      <c r="GJ9" s="21">
        <f t="shared" si="17"/>
        <v>27154404.400000002</v>
      </c>
      <c r="GK9" s="21">
        <f t="shared" si="17"/>
        <v>27154404.400000002</v>
      </c>
      <c r="GL9" s="21">
        <f t="shared" si="17"/>
        <v>27154404.400000002</v>
      </c>
      <c r="GM9" s="21">
        <f t="shared" si="17"/>
        <v>27154404.400000002</v>
      </c>
      <c r="GN9" s="21">
        <f t="shared" si="17"/>
        <v>27154404.400000002</v>
      </c>
      <c r="GO9" s="21">
        <f t="shared" si="17"/>
        <v>27154404.400000002</v>
      </c>
      <c r="GP9" s="21">
        <f t="shared" si="17"/>
        <v>27154404.400000002</v>
      </c>
      <c r="GQ9" s="21">
        <f t="shared" ref="GQ9:IN9" si="18">IF(IF(AND(ISNA(GQ$5),ISNA(GP$5)),GP9*(1+$E9),IF(AND(GP$5&gt;0,ISNA(GQ$5)),GP9*(1+$E9),GQ$5))&gt;$C$21,$C$21,IF(AND(ISNA(GQ$5),ISNA(GP$5)),GP9*(1+$E9),IF(AND(GP$5&gt;0,ISNA(GQ$5)),GP9*(1+$E9),GQ$5)))</f>
        <v>27154404.400000002</v>
      </c>
      <c r="GR9" s="21">
        <f t="shared" si="18"/>
        <v>27154404.400000002</v>
      </c>
      <c r="GS9" s="21">
        <f t="shared" si="18"/>
        <v>27154404.400000002</v>
      </c>
      <c r="GT9" s="21">
        <f t="shared" si="18"/>
        <v>27154404.400000002</v>
      </c>
      <c r="GU9" s="21">
        <f t="shared" si="18"/>
        <v>27154404.400000002</v>
      </c>
      <c r="GV9" s="21">
        <f t="shared" si="18"/>
        <v>27154404.400000002</v>
      </c>
      <c r="GW9" s="21">
        <f t="shared" si="18"/>
        <v>27154404.400000002</v>
      </c>
      <c r="GX9" s="21">
        <f t="shared" si="18"/>
        <v>27154404.400000002</v>
      </c>
      <c r="GY9" s="21">
        <f t="shared" si="18"/>
        <v>27154404.400000002</v>
      </c>
      <c r="GZ9" s="21">
        <f t="shared" si="18"/>
        <v>27154404.400000002</v>
      </c>
      <c r="HA9" s="21">
        <f t="shared" si="18"/>
        <v>27154404.400000002</v>
      </c>
      <c r="HB9" s="21">
        <f t="shared" si="18"/>
        <v>27154404.400000002</v>
      </c>
      <c r="HC9" s="21">
        <f t="shared" si="18"/>
        <v>27154404.400000002</v>
      </c>
      <c r="HD9" s="21">
        <f t="shared" si="18"/>
        <v>27154404.400000002</v>
      </c>
      <c r="HE9" s="21">
        <f t="shared" si="18"/>
        <v>27154404.400000002</v>
      </c>
      <c r="HF9" s="21">
        <f t="shared" si="18"/>
        <v>27154404.400000002</v>
      </c>
      <c r="HG9" s="21">
        <f t="shared" si="18"/>
        <v>27154404.400000002</v>
      </c>
      <c r="HH9" s="21">
        <f t="shared" si="18"/>
        <v>27154404.400000002</v>
      </c>
      <c r="HI9" s="21">
        <f t="shared" si="18"/>
        <v>27154404.400000002</v>
      </c>
      <c r="HJ9" s="21">
        <f t="shared" si="18"/>
        <v>27154404.400000002</v>
      </c>
      <c r="HK9" s="21">
        <f t="shared" si="18"/>
        <v>27154404.400000002</v>
      </c>
      <c r="HL9" s="21">
        <f t="shared" si="18"/>
        <v>27154404.400000002</v>
      </c>
      <c r="HM9" s="21">
        <f t="shared" si="18"/>
        <v>27154404.400000002</v>
      </c>
      <c r="HN9" s="21">
        <f t="shared" si="18"/>
        <v>27154404.400000002</v>
      </c>
      <c r="HO9" s="21">
        <f t="shared" si="18"/>
        <v>27154404.400000002</v>
      </c>
      <c r="HP9" s="21">
        <f t="shared" si="18"/>
        <v>27154404.400000002</v>
      </c>
      <c r="HQ9" s="21">
        <f t="shared" si="18"/>
        <v>27154404.400000002</v>
      </c>
      <c r="HR9" s="21">
        <f t="shared" si="18"/>
        <v>27154404.400000002</v>
      </c>
      <c r="HS9" s="21">
        <f t="shared" si="18"/>
        <v>27154404.400000002</v>
      </c>
      <c r="HT9" s="21">
        <f t="shared" si="18"/>
        <v>27154404.400000002</v>
      </c>
      <c r="HU9" s="21">
        <f t="shared" si="18"/>
        <v>27154404.400000002</v>
      </c>
      <c r="HV9" s="21">
        <f t="shared" si="18"/>
        <v>27154404.400000002</v>
      </c>
      <c r="HW9" s="21">
        <f t="shared" si="18"/>
        <v>27154404.400000002</v>
      </c>
      <c r="HX9" s="21">
        <f t="shared" si="18"/>
        <v>27154404.400000002</v>
      </c>
      <c r="HY9" s="21">
        <f t="shared" si="18"/>
        <v>27154404.400000002</v>
      </c>
      <c r="HZ9" s="21">
        <f t="shared" si="18"/>
        <v>27154404.400000002</v>
      </c>
      <c r="IA9" s="21">
        <f t="shared" si="18"/>
        <v>27154404.400000002</v>
      </c>
      <c r="IB9" s="21">
        <f t="shared" si="18"/>
        <v>27154404.400000002</v>
      </c>
      <c r="IC9" s="21">
        <f t="shared" si="18"/>
        <v>27154404.400000002</v>
      </c>
      <c r="ID9" s="21">
        <f t="shared" si="18"/>
        <v>27154404.400000002</v>
      </c>
      <c r="IE9" s="21">
        <f t="shared" si="18"/>
        <v>27154404.400000002</v>
      </c>
      <c r="IF9" s="21">
        <f t="shared" si="18"/>
        <v>27154404.400000002</v>
      </c>
      <c r="IG9" s="21">
        <f t="shared" si="18"/>
        <v>27154404.400000002</v>
      </c>
      <c r="IH9" s="21">
        <f t="shared" si="18"/>
        <v>27154404.400000002</v>
      </c>
      <c r="II9" s="21">
        <f t="shared" si="18"/>
        <v>27154404.400000002</v>
      </c>
      <c r="IJ9" s="21">
        <f t="shared" si="18"/>
        <v>27154404.400000002</v>
      </c>
      <c r="IK9" s="21">
        <f t="shared" si="18"/>
        <v>27154404.400000002</v>
      </c>
      <c r="IL9" s="21">
        <f t="shared" si="18"/>
        <v>27154404.400000002</v>
      </c>
      <c r="IM9" s="21">
        <f t="shared" si="18"/>
        <v>27154404.400000002</v>
      </c>
      <c r="IN9" s="21">
        <f t="shared" si="18"/>
        <v>27154404.400000002</v>
      </c>
    </row>
    <row r="10" spans="2:248" x14ac:dyDescent="0.3">
      <c r="B10" s="19" t="s">
        <v>452</v>
      </c>
      <c r="C10" s="19">
        <v>5</v>
      </c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</row>
    <row r="11" spans="2:248" x14ac:dyDescent="0.3">
      <c r="B11" s="19" t="s">
        <v>534</v>
      </c>
      <c r="C11" s="23">
        <f>VLOOKUP(B2,Days_Since_100_active!C:G,5,FALSE)-1</f>
        <v>0.23441183506947327</v>
      </c>
      <c r="E11" s="19">
        <v>0.25</v>
      </c>
      <c r="F11" s="22" t="s">
        <v>500</v>
      </c>
      <c r="G11" s="21">
        <f t="shared" ref="G11:BR11" si="19">IF(IF(AND(ISNA(G$5),ISNA(F$5)),F11*(1+$E11),IF(AND(F$5&gt;0,ISNA(G$5)),F11*(1+$E11),G$5))&gt;$C$21,$C$21,IF(AND(ISNA(G$5),ISNA(F$5)),F11*(1+$E11),IF(AND(F$5&gt;0,ISNA(G$5)),F11*(1+$E11),G$5)))</f>
        <v>107</v>
      </c>
      <c r="H11" s="21">
        <f t="shared" si="19"/>
        <v>154</v>
      </c>
      <c r="I11" s="21">
        <f t="shared" si="19"/>
        <v>187</v>
      </c>
      <c r="J11" s="21">
        <f t="shared" si="19"/>
        <v>253</v>
      </c>
      <c r="K11" s="21">
        <f t="shared" si="19"/>
        <v>300</v>
      </c>
      <c r="L11" s="21">
        <f t="shared" si="19"/>
        <v>359</v>
      </c>
      <c r="M11" s="21">
        <f t="shared" si="19"/>
        <v>432</v>
      </c>
      <c r="N11" s="21">
        <f t="shared" si="19"/>
        <v>563</v>
      </c>
      <c r="O11" s="21">
        <f t="shared" si="19"/>
        <v>775</v>
      </c>
      <c r="P11" s="21">
        <f t="shared" si="19"/>
        <v>1104</v>
      </c>
      <c r="Q11" s="21">
        <f t="shared" si="19"/>
        <v>1315</v>
      </c>
      <c r="R11" s="21">
        <f t="shared" si="19"/>
        <v>1474</v>
      </c>
      <c r="S11" s="21">
        <f t="shared" si="19"/>
        <v>1851</v>
      </c>
      <c r="T11" s="21">
        <f t="shared" si="19"/>
        <v>2503</v>
      </c>
      <c r="U11" s="21">
        <f t="shared" si="19"/>
        <v>3169</v>
      </c>
      <c r="V11" s="21">
        <f t="shared" si="19"/>
        <v>3769</v>
      </c>
      <c r="W11" s="21">
        <f t="shared" si="19"/>
        <v>4711.25</v>
      </c>
      <c r="X11" s="21">
        <f t="shared" si="19"/>
        <v>5889.0625</v>
      </c>
      <c r="Y11" s="21">
        <f t="shared" si="19"/>
        <v>7361.328125</v>
      </c>
      <c r="Z11" s="21">
        <f t="shared" si="19"/>
        <v>9201.66015625</v>
      </c>
      <c r="AA11" s="21">
        <f t="shared" si="19"/>
        <v>11502.0751953125</v>
      </c>
      <c r="AB11" s="21">
        <f t="shared" si="19"/>
        <v>14377.593994140625</v>
      </c>
      <c r="AC11" s="21">
        <f t="shared" si="19"/>
        <v>17971.992492675781</v>
      </c>
      <c r="AD11" s="21">
        <f t="shared" si="19"/>
        <v>22464.990615844727</v>
      </c>
      <c r="AE11" s="21">
        <f t="shared" si="19"/>
        <v>28081.238269805908</v>
      </c>
      <c r="AF11" s="21">
        <f t="shared" si="19"/>
        <v>35101.547837257385</v>
      </c>
      <c r="AG11" s="21">
        <f t="shared" si="19"/>
        <v>43876.934796571732</v>
      </c>
      <c r="AH11" s="21">
        <f t="shared" si="19"/>
        <v>54846.168495714664</v>
      </c>
      <c r="AI11" s="21">
        <f t="shared" si="19"/>
        <v>68557.710619643331</v>
      </c>
      <c r="AJ11" s="21">
        <f t="shared" si="19"/>
        <v>85697.138274554163</v>
      </c>
      <c r="AK11" s="21">
        <f t="shared" si="19"/>
        <v>107121.4228431927</v>
      </c>
      <c r="AL11" s="21">
        <f t="shared" si="19"/>
        <v>133901.77855399088</v>
      </c>
      <c r="AM11" s="21">
        <f t="shared" si="19"/>
        <v>167377.2231924886</v>
      </c>
      <c r="AN11" s="21">
        <f t="shared" si="19"/>
        <v>209221.52899061074</v>
      </c>
      <c r="AO11" s="21">
        <f t="shared" si="19"/>
        <v>261526.91123826342</v>
      </c>
      <c r="AP11" s="21">
        <f t="shared" si="19"/>
        <v>326908.63904782926</v>
      </c>
      <c r="AQ11" s="21">
        <f t="shared" si="19"/>
        <v>408635.79880978656</v>
      </c>
      <c r="AR11" s="21">
        <f t="shared" si="19"/>
        <v>510794.7485122332</v>
      </c>
      <c r="AS11" s="21">
        <f t="shared" si="19"/>
        <v>638493.43564029154</v>
      </c>
      <c r="AT11" s="21">
        <f t="shared" si="19"/>
        <v>798116.79455036437</v>
      </c>
      <c r="AU11" s="21">
        <f t="shared" si="19"/>
        <v>997645.99318795546</v>
      </c>
      <c r="AV11" s="21">
        <f t="shared" si="19"/>
        <v>1247057.4914849442</v>
      </c>
      <c r="AW11" s="21">
        <f t="shared" si="19"/>
        <v>1558821.8643561802</v>
      </c>
      <c r="AX11" s="21">
        <f t="shared" si="19"/>
        <v>1948527.3304452254</v>
      </c>
      <c r="AY11" s="21">
        <f t="shared" si="19"/>
        <v>2435659.1630565319</v>
      </c>
      <c r="AZ11" s="21">
        <f t="shared" si="19"/>
        <v>3044573.9538206649</v>
      </c>
      <c r="BA11" s="21">
        <f t="shared" si="19"/>
        <v>3805717.442275831</v>
      </c>
      <c r="BB11" s="21">
        <f t="shared" si="19"/>
        <v>4757146.8028447889</v>
      </c>
      <c r="BC11" s="21">
        <f t="shared" si="19"/>
        <v>5946433.5035559861</v>
      </c>
      <c r="BD11" s="21">
        <f t="shared" si="19"/>
        <v>7433041.8794449829</v>
      </c>
      <c r="BE11" s="21">
        <f t="shared" si="19"/>
        <v>9291302.3493062295</v>
      </c>
      <c r="BF11" s="21">
        <f t="shared" si="19"/>
        <v>11614127.936632786</v>
      </c>
      <c r="BG11" s="21">
        <f t="shared" si="19"/>
        <v>14517659.920790982</v>
      </c>
      <c r="BH11" s="21">
        <f t="shared" si="19"/>
        <v>18147074.900988728</v>
      </c>
      <c r="BI11" s="21">
        <f t="shared" si="19"/>
        <v>22683843.62623591</v>
      </c>
      <c r="BJ11" s="21">
        <f t="shared" si="19"/>
        <v>27154404.400000002</v>
      </c>
      <c r="BK11" s="21">
        <f t="shared" si="19"/>
        <v>27154404.400000002</v>
      </c>
      <c r="BL11" s="21">
        <f t="shared" si="19"/>
        <v>27154404.400000002</v>
      </c>
      <c r="BM11" s="21">
        <f t="shared" si="19"/>
        <v>27154404.400000002</v>
      </c>
      <c r="BN11" s="21">
        <f t="shared" si="19"/>
        <v>27154404.400000002</v>
      </c>
      <c r="BO11" s="21">
        <f t="shared" si="19"/>
        <v>27154404.400000002</v>
      </c>
      <c r="BP11" s="21">
        <f t="shared" si="19"/>
        <v>27154404.400000002</v>
      </c>
      <c r="BQ11" s="21">
        <f t="shared" si="19"/>
        <v>27154404.400000002</v>
      </c>
      <c r="BR11" s="21">
        <f t="shared" si="19"/>
        <v>27154404.400000002</v>
      </c>
      <c r="BS11" s="21">
        <f t="shared" ref="BS11:ED11" si="20">IF(IF(AND(ISNA(BS$5),ISNA(BR$5)),BR11*(1+$E11),IF(AND(BR$5&gt;0,ISNA(BS$5)),BR11*(1+$E11),BS$5))&gt;$C$21,$C$21,IF(AND(ISNA(BS$5),ISNA(BR$5)),BR11*(1+$E11),IF(AND(BR$5&gt;0,ISNA(BS$5)),BR11*(1+$E11),BS$5)))</f>
        <v>27154404.400000002</v>
      </c>
      <c r="BT11" s="21">
        <f t="shared" si="20"/>
        <v>27154404.400000002</v>
      </c>
      <c r="BU11" s="21">
        <f t="shared" si="20"/>
        <v>27154404.400000002</v>
      </c>
      <c r="BV11" s="21">
        <f t="shared" si="20"/>
        <v>27154404.400000002</v>
      </c>
      <c r="BW11" s="21">
        <f t="shared" si="20"/>
        <v>27154404.400000002</v>
      </c>
      <c r="BX11" s="21">
        <f t="shared" si="20"/>
        <v>27154404.400000002</v>
      </c>
      <c r="BY11" s="21">
        <f t="shared" si="20"/>
        <v>27154404.400000002</v>
      </c>
      <c r="BZ11" s="21">
        <f t="shared" si="20"/>
        <v>27154404.400000002</v>
      </c>
      <c r="CA11" s="21">
        <f t="shared" si="20"/>
        <v>27154404.400000002</v>
      </c>
      <c r="CB11" s="21">
        <f t="shared" si="20"/>
        <v>27154404.400000002</v>
      </c>
      <c r="CC11" s="21">
        <f t="shared" si="20"/>
        <v>27154404.400000002</v>
      </c>
      <c r="CD11" s="21">
        <f t="shared" si="20"/>
        <v>27154404.400000002</v>
      </c>
      <c r="CE11" s="21">
        <f t="shared" si="20"/>
        <v>27154404.400000002</v>
      </c>
      <c r="CF11" s="21">
        <f t="shared" si="20"/>
        <v>27154404.400000002</v>
      </c>
      <c r="CG11" s="21">
        <f t="shared" si="20"/>
        <v>27154404.400000002</v>
      </c>
      <c r="CH11" s="21">
        <f t="shared" si="20"/>
        <v>27154404.400000002</v>
      </c>
      <c r="CI11" s="21">
        <f t="shared" si="20"/>
        <v>27154404.400000002</v>
      </c>
      <c r="CJ11" s="21">
        <f t="shared" si="20"/>
        <v>27154404.400000002</v>
      </c>
      <c r="CK11" s="21">
        <f t="shared" si="20"/>
        <v>27154404.400000002</v>
      </c>
      <c r="CL11" s="21">
        <f t="shared" si="20"/>
        <v>27154404.400000002</v>
      </c>
      <c r="CM11" s="21">
        <f t="shared" si="20"/>
        <v>27154404.400000002</v>
      </c>
      <c r="CN11" s="21">
        <f t="shared" si="20"/>
        <v>27154404.400000002</v>
      </c>
      <c r="CO11" s="21">
        <f t="shared" si="20"/>
        <v>27154404.400000002</v>
      </c>
      <c r="CP11" s="21">
        <f t="shared" si="20"/>
        <v>27154404.400000002</v>
      </c>
      <c r="CQ11" s="21">
        <f t="shared" si="20"/>
        <v>27154404.400000002</v>
      </c>
      <c r="CR11" s="21">
        <f t="shared" si="20"/>
        <v>27154404.400000002</v>
      </c>
      <c r="CS11" s="21">
        <f t="shared" si="20"/>
        <v>27154404.400000002</v>
      </c>
      <c r="CT11" s="21">
        <f t="shared" si="20"/>
        <v>27154404.400000002</v>
      </c>
      <c r="CU11" s="21">
        <f t="shared" si="20"/>
        <v>27154404.400000002</v>
      </c>
      <c r="CV11" s="21">
        <f t="shared" si="20"/>
        <v>27154404.400000002</v>
      </c>
      <c r="CW11" s="21">
        <f t="shared" si="20"/>
        <v>27154404.400000002</v>
      </c>
      <c r="CX11" s="21">
        <f t="shared" si="20"/>
        <v>27154404.400000002</v>
      </c>
      <c r="CY11" s="21">
        <f t="shared" si="20"/>
        <v>27154404.400000002</v>
      </c>
      <c r="CZ11" s="21">
        <f t="shared" si="20"/>
        <v>27154404.400000002</v>
      </c>
      <c r="DA11" s="21">
        <f t="shared" si="20"/>
        <v>27154404.400000002</v>
      </c>
      <c r="DB11" s="21">
        <f t="shared" si="20"/>
        <v>27154404.400000002</v>
      </c>
      <c r="DC11" s="21">
        <f t="shared" si="20"/>
        <v>27154404.400000002</v>
      </c>
      <c r="DD11" s="21">
        <f t="shared" si="20"/>
        <v>27154404.400000002</v>
      </c>
      <c r="DE11" s="21">
        <f t="shared" si="20"/>
        <v>27154404.400000002</v>
      </c>
      <c r="DF11" s="21">
        <f t="shared" si="20"/>
        <v>27154404.400000002</v>
      </c>
      <c r="DG11" s="21">
        <f t="shared" si="20"/>
        <v>27154404.400000002</v>
      </c>
      <c r="DH11" s="21">
        <f t="shared" si="20"/>
        <v>27154404.400000002</v>
      </c>
      <c r="DI11" s="21">
        <f t="shared" si="20"/>
        <v>27154404.400000002</v>
      </c>
      <c r="DJ11" s="21">
        <f t="shared" si="20"/>
        <v>27154404.400000002</v>
      </c>
      <c r="DK11" s="21">
        <f t="shared" si="20"/>
        <v>27154404.400000002</v>
      </c>
      <c r="DL11" s="21">
        <f t="shared" si="20"/>
        <v>27154404.400000002</v>
      </c>
      <c r="DM11" s="21">
        <f t="shared" si="20"/>
        <v>27154404.400000002</v>
      </c>
      <c r="DN11" s="21">
        <f t="shared" si="20"/>
        <v>27154404.400000002</v>
      </c>
      <c r="DO11" s="21">
        <f t="shared" si="20"/>
        <v>27154404.400000002</v>
      </c>
      <c r="DP11" s="21">
        <f t="shared" si="20"/>
        <v>27154404.400000002</v>
      </c>
      <c r="DQ11" s="21">
        <f t="shared" si="20"/>
        <v>27154404.400000002</v>
      </c>
      <c r="DR11" s="21">
        <f t="shared" si="20"/>
        <v>27154404.400000002</v>
      </c>
      <c r="DS11" s="21">
        <f t="shared" si="20"/>
        <v>27154404.400000002</v>
      </c>
      <c r="DT11" s="21">
        <f t="shared" si="20"/>
        <v>27154404.400000002</v>
      </c>
      <c r="DU11" s="21">
        <f t="shared" si="20"/>
        <v>27154404.400000002</v>
      </c>
      <c r="DV11" s="21">
        <f t="shared" si="20"/>
        <v>27154404.400000002</v>
      </c>
      <c r="DW11" s="21">
        <f t="shared" si="20"/>
        <v>27154404.400000002</v>
      </c>
      <c r="DX11" s="21">
        <f t="shared" si="20"/>
        <v>27154404.400000002</v>
      </c>
      <c r="DY11" s="21">
        <f t="shared" si="20"/>
        <v>27154404.400000002</v>
      </c>
      <c r="DZ11" s="21">
        <f t="shared" si="20"/>
        <v>27154404.400000002</v>
      </c>
      <c r="EA11" s="21">
        <f t="shared" si="20"/>
        <v>27154404.400000002</v>
      </c>
      <c r="EB11" s="21">
        <f t="shared" si="20"/>
        <v>27154404.400000002</v>
      </c>
      <c r="EC11" s="21">
        <f t="shared" si="20"/>
        <v>27154404.400000002</v>
      </c>
      <c r="ED11" s="21">
        <f t="shared" si="20"/>
        <v>27154404.400000002</v>
      </c>
      <c r="EE11" s="21">
        <f t="shared" ref="EE11:GP11" si="21">IF(IF(AND(ISNA(EE$5),ISNA(ED$5)),ED11*(1+$E11),IF(AND(ED$5&gt;0,ISNA(EE$5)),ED11*(1+$E11),EE$5))&gt;$C$21,$C$21,IF(AND(ISNA(EE$5),ISNA(ED$5)),ED11*(1+$E11),IF(AND(ED$5&gt;0,ISNA(EE$5)),ED11*(1+$E11),EE$5)))</f>
        <v>27154404.400000002</v>
      </c>
      <c r="EF11" s="21">
        <f t="shared" si="21"/>
        <v>27154404.400000002</v>
      </c>
      <c r="EG11" s="21">
        <f t="shared" si="21"/>
        <v>27154404.400000002</v>
      </c>
      <c r="EH11" s="21">
        <f t="shared" si="21"/>
        <v>27154404.400000002</v>
      </c>
      <c r="EI11" s="21">
        <f t="shared" si="21"/>
        <v>27154404.400000002</v>
      </c>
      <c r="EJ11" s="21">
        <f t="shared" si="21"/>
        <v>27154404.400000002</v>
      </c>
      <c r="EK11" s="21">
        <f t="shared" si="21"/>
        <v>27154404.400000002</v>
      </c>
      <c r="EL11" s="21">
        <f t="shared" si="21"/>
        <v>27154404.400000002</v>
      </c>
      <c r="EM11" s="21">
        <f t="shared" si="21"/>
        <v>27154404.400000002</v>
      </c>
      <c r="EN11" s="21">
        <f t="shared" si="21"/>
        <v>27154404.400000002</v>
      </c>
      <c r="EO11" s="21">
        <f t="shared" si="21"/>
        <v>27154404.400000002</v>
      </c>
      <c r="EP11" s="21">
        <f t="shared" si="21"/>
        <v>27154404.400000002</v>
      </c>
      <c r="EQ11" s="21">
        <f t="shared" si="21"/>
        <v>27154404.400000002</v>
      </c>
      <c r="ER11" s="21">
        <f t="shared" si="21"/>
        <v>27154404.400000002</v>
      </c>
      <c r="ES11" s="21">
        <f t="shared" si="21"/>
        <v>27154404.400000002</v>
      </c>
      <c r="ET11" s="21">
        <f t="shared" si="21"/>
        <v>27154404.400000002</v>
      </c>
      <c r="EU11" s="21">
        <f t="shared" si="21"/>
        <v>27154404.400000002</v>
      </c>
      <c r="EV11" s="21">
        <f t="shared" si="21"/>
        <v>27154404.400000002</v>
      </c>
      <c r="EW11" s="21">
        <f t="shared" si="21"/>
        <v>27154404.400000002</v>
      </c>
      <c r="EX11" s="21">
        <f t="shared" si="21"/>
        <v>27154404.400000002</v>
      </c>
      <c r="EY11" s="21">
        <f t="shared" si="21"/>
        <v>27154404.400000002</v>
      </c>
      <c r="EZ11" s="21">
        <f t="shared" si="21"/>
        <v>27154404.400000002</v>
      </c>
      <c r="FA11" s="21">
        <f t="shared" si="21"/>
        <v>27154404.400000002</v>
      </c>
      <c r="FB11" s="21">
        <f t="shared" si="21"/>
        <v>27154404.400000002</v>
      </c>
      <c r="FC11" s="21">
        <f t="shared" si="21"/>
        <v>27154404.400000002</v>
      </c>
      <c r="FD11" s="21">
        <f t="shared" si="21"/>
        <v>27154404.400000002</v>
      </c>
      <c r="FE11" s="21">
        <f t="shared" si="21"/>
        <v>27154404.400000002</v>
      </c>
      <c r="FF11" s="21">
        <f t="shared" si="21"/>
        <v>27154404.400000002</v>
      </c>
      <c r="FG11" s="21">
        <f t="shared" si="21"/>
        <v>27154404.400000002</v>
      </c>
      <c r="FH11" s="21">
        <f t="shared" si="21"/>
        <v>27154404.400000002</v>
      </c>
      <c r="FI11" s="21">
        <f t="shared" si="21"/>
        <v>27154404.400000002</v>
      </c>
      <c r="FJ11" s="21">
        <f t="shared" si="21"/>
        <v>27154404.400000002</v>
      </c>
      <c r="FK11" s="21">
        <f t="shared" si="21"/>
        <v>27154404.400000002</v>
      </c>
      <c r="FL11" s="21">
        <f t="shared" si="21"/>
        <v>27154404.400000002</v>
      </c>
      <c r="FM11" s="21">
        <f t="shared" si="21"/>
        <v>27154404.400000002</v>
      </c>
      <c r="FN11" s="21">
        <f t="shared" si="21"/>
        <v>27154404.400000002</v>
      </c>
      <c r="FO11" s="21">
        <f t="shared" si="21"/>
        <v>27154404.400000002</v>
      </c>
      <c r="FP11" s="21">
        <f t="shared" si="21"/>
        <v>27154404.400000002</v>
      </c>
      <c r="FQ11" s="21">
        <f t="shared" si="21"/>
        <v>27154404.400000002</v>
      </c>
      <c r="FR11" s="21">
        <f t="shared" si="21"/>
        <v>27154404.400000002</v>
      </c>
      <c r="FS11" s="21">
        <f t="shared" si="21"/>
        <v>27154404.400000002</v>
      </c>
      <c r="FT11" s="21">
        <f t="shared" si="21"/>
        <v>27154404.400000002</v>
      </c>
      <c r="FU11" s="21">
        <f t="shared" si="21"/>
        <v>27154404.400000002</v>
      </c>
      <c r="FV11" s="21">
        <f t="shared" si="21"/>
        <v>27154404.400000002</v>
      </c>
      <c r="FW11" s="21">
        <f t="shared" si="21"/>
        <v>27154404.400000002</v>
      </c>
      <c r="FX11" s="21">
        <f t="shared" si="21"/>
        <v>27154404.400000002</v>
      </c>
      <c r="FY11" s="21">
        <f t="shared" si="21"/>
        <v>27154404.400000002</v>
      </c>
      <c r="FZ11" s="21">
        <f t="shared" si="21"/>
        <v>27154404.400000002</v>
      </c>
      <c r="GA11" s="21">
        <f t="shared" si="21"/>
        <v>27154404.400000002</v>
      </c>
      <c r="GB11" s="21">
        <f t="shared" si="21"/>
        <v>27154404.400000002</v>
      </c>
      <c r="GC11" s="21">
        <f t="shared" si="21"/>
        <v>27154404.400000002</v>
      </c>
      <c r="GD11" s="21">
        <f t="shared" si="21"/>
        <v>27154404.400000002</v>
      </c>
      <c r="GE11" s="21">
        <f t="shared" si="21"/>
        <v>27154404.400000002</v>
      </c>
      <c r="GF11" s="21">
        <f t="shared" si="21"/>
        <v>27154404.400000002</v>
      </c>
      <c r="GG11" s="21">
        <f t="shared" si="21"/>
        <v>27154404.400000002</v>
      </c>
      <c r="GH11" s="21">
        <f t="shared" si="21"/>
        <v>27154404.400000002</v>
      </c>
      <c r="GI11" s="21">
        <f t="shared" si="21"/>
        <v>27154404.400000002</v>
      </c>
      <c r="GJ11" s="21">
        <f t="shared" si="21"/>
        <v>27154404.400000002</v>
      </c>
      <c r="GK11" s="21">
        <f t="shared" si="21"/>
        <v>27154404.400000002</v>
      </c>
      <c r="GL11" s="21">
        <f t="shared" si="21"/>
        <v>27154404.400000002</v>
      </c>
      <c r="GM11" s="21">
        <f t="shared" si="21"/>
        <v>27154404.400000002</v>
      </c>
      <c r="GN11" s="21">
        <f t="shared" si="21"/>
        <v>27154404.400000002</v>
      </c>
      <c r="GO11" s="21">
        <f t="shared" si="21"/>
        <v>27154404.400000002</v>
      </c>
      <c r="GP11" s="21">
        <f t="shared" si="21"/>
        <v>27154404.400000002</v>
      </c>
      <c r="GQ11" s="21">
        <f t="shared" ref="GQ11:IN11" si="22">IF(IF(AND(ISNA(GQ$5),ISNA(GP$5)),GP11*(1+$E11),IF(AND(GP$5&gt;0,ISNA(GQ$5)),GP11*(1+$E11),GQ$5))&gt;$C$21,$C$21,IF(AND(ISNA(GQ$5),ISNA(GP$5)),GP11*(1+$E11),IF(AND(GP$5&gt;0,ISNA(GQ$5)),GP11*(1+$E11),GQ$5)))</f>
        <v>27154404.400000002</v>
      </c>
      <c r="GR11" s="21">
        <f t="shared" si="22"/>
        <v>27154404.400000002</v>
      </c>
      <c r="GS11" s="21">
        <f t="shared" si="22"/>
        <v>27154404.400000002</v>
      </c>
      <c r="GT11" s="21">
        <f t="shared" si="22"/>
        <v>27154404.400000002</v>
      </c>
      <c r="GU11" s="21">
        <f t="shared" si="22"/>
        <v>27154404.400000002</v>
      </c>
      <c r="GV11" s="21">
        <f t="shared" si="22"/>
        <v>27154404.400000002</v>
      </c>
      <c r="GW11" s="21">
        <f t="shared" si="22"/>
        <v>27154404.400000002</v>
      </c>
      <c r="GX11" s="21">
        <f t="shared" si="22"/>
        <v>27154404.400000002</v>
      </c>
      <c r="GY11" s="21">
        <f t="shared" si="22"/>
        <v>27154404.400000002</v>
      </c>
      <c r="GZ11" s="21">
        <f t="shared" si="22"/>
        <v>27154404.400000002</v>
      </c>
      <c r="HA11" s="21">
        <f t="shared" si="22"/>
        <v>27154404.400000002</v>
      </c>
      <c r="HB11" s="21">
        <f t="shared" si="22"/>
        <v>27154404.400000002</v>
      </c>
      <c r="HC11" s="21">
        <f t="shared" si="22"/>
        <v>27154404.400000002</v>
      </c>
      <c r="HD11" s="21">
        <f t="shared" si="22"/>
        <v>27154404.400000002</v>
      </c>
      <c r="HE11" s="21">
        <f t="shared" si="22"/>
        <v>27154404.400000002</v>
      </c>
      <c r="HF11" s="21">
        <f t="shared" si="22"/>
        <v>27154404.400000002</v>
      </c>
      <c r="HG11" s="21">
        <f t="shared" si="22"/>
        <v>27154404.400000002</v>
      </c>
      <c r="HH11" s="21">
        <f t="shared" si="22"/>
        <v>27154404.400000002</v>
      </c>
      <c r="HI11" s="21">
        <f t="shared" si="22"/>
        <v>27154404.400000002</v>
      </c>
      <c r="HJ11" s="21">
        <f t="shared" si="22"/>
        <v>27154404.400000002</v>
      </c>
      <c r="HK11" s="21">
        <f t="shared" si="22"/>
        <v>27154404.400000002</v>
      </c>
      <c r="HL11" s="21">
        <f t="shared" si="22"/>
        <v>27154404.400000002</v>
      </c>
      <c r="HM11" s="21">
        <f t="shared" si="22"/>
        <v>27154404.400000002</v>
      </c>
      <c r="HN11" s="21">
        <f t="shared" si="22"/>
        <v>27154404.400000002</v>
      </c>
      <c r="HO11" s="21">
        <f t="shared" si="22"/>
        <v>27154404.400000002</v>
      </c>
      <c r="HP11" s="21">
        <f t="shared" si="22"/>
        <v>27154404.400000002</v>
      </c>
      <c r="HQ11" s="21">
        <f t="shared" si="22"/>
        <v>27154404.400000002</v>
      </c>
      <c r="HR11" s="21">
        <f t="shared" si="22"/>
        <v>27154404.400000002</v>
      </c>
      <c r="HS11" s="21">
        <f t="shared" si="22"/>
        <v>27154404.400000002</v>
      </c>
      <c r="HT11" s="21">
        <f t="shared" si="22"/>
        <v>27154404.400000002</v>
      </c>
      <c r="HU11" s="21">
        <f t="shared" si="22"/>
        <v>27154404.400000002</v>
      </c>
      <c r="HV11" s="21">
        <f t="shared" si="22"/>
        <v>27154404.400000002</v>
      </c>
      <c r="HW11" s="21">
        <f t="shared" si="22"/>
        <v>27154404.400000002</v>
      </c>
      <c r="HX11" s="21">
        <f t="shared" si="22"/>
        <v>27154404.400000002</v>
      </c>
      <c r="HY11" s="21">
        <f t="shared" si="22"/>
        <v>27154404.400000002</v>
      </c>
      <c r="HZ11" s="21">
        <f t="shared" si="22"/>
        <v>27154404.400000002</v>
      </c>
      <c r="IA11" s="21">
        <f t="shared" si="22"/>
        <v>27154404.400000002</v>
      </c>
      <c r="IB11" s="21">
        <f t="shared" si="22"/>
        <v>27154404.400000002</v>
      </c>
      <c r="IC11" s="21">
        <f t="shared" si="22"/>
        <v>27154404.400000002</v>
      </c>
      <c r="ID11" s="21">
        <f t="shared" si="22"/>
        <v>27154404.400000002</v>
      </c>
      <c r="IE11" s="21">
        <f t="shared" si="22"/>
        <v>27154404.400000002</v>
      </c>
      <c r="IF11" s="21">
        <f t="shared" si="22"/>
        <v>27154404.400000002</v>
      </c>
      <c r="IG11" s="21">
        <f t="shared" si="22"/>
        <v>27154404.400000002</v>
      </c>
      <c r="IH11" s="21">
        <f t="shared" si="22"/>
        <v>27154404.400000002</v>
      </c>
      <c r="II11" s="21">
        <f t="shared" si="22"/>
        <v>27154404.400000002</v>
      </c>
      <c r="IJ11" s="21">
        <f t="shared" si="22"/>
        <v>27154404.400000002</v>
      </c>
      <c r="IK11" s="21">
        <f t="shared" si="22"/>
        <v>27154404.400000002</v>
      </c>
      <c r="IL11" s="21">
        <f t="shared" si="22"/>
        <v>27154404.400000002</v>
      </c>
      <c r="IM11" s="21">
        <f t="shared" si="22"/>
        <v>27154404.400000002</v>
      </c>
      <c r="IN11" s="21">
        <f t="shared" si="22"/>
        <v>27154404.400000002</v>
      </c>
    </row>
    <row r="12" spans="2:248" x14ac:dyDescent="0.3">
      <c r="B12" s="19" t="s">
        <v>535</v>
      </c>
      <c r="C12" s="44">
        <f>VLOOKUP(B2,Days_Since_100!C:G,5,FALSE)-1</f>
        <v>0.2425893143830935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</row>
    <row r="13" spans="2:248" x14ac:dyDescent="0.3">
      <c r="E13" s="19">
        <v>0.3</v>
      </c>
      <c r="F13" s="22" t="s">
        <v>454</v>
      </c>
      <c r="G13" s="21">
        <f t="shared" ref="G13:BR13" si="23">IF(IF(AND(ISNA(G$5),ISNA(F$5)),F13*(1+$E13),IF(AND(F$5&gt;0,ISNA(G$5)),F13*(1+$E13),G$5))&gt;$C$21,$C$21,IF(AND(ISNA(G$5),ISNA(F$5)),F13*(1+$E13),IF(AND(F$5&gt;0,ISNA(G$5)),F13*(1+$E13),G$5)))</f>
        <v>107</v>
      </c>
      <c r="H13" s="21">
        <f t="shared" si="23"/>
        <v>154</v>
      </c>
      <c r="I13" s="21">
        <f t="shared" si="23"/>
        <v>187</v>
      </c>
      <c r="J13" s="21">
        <f t="shared" si="23"/>
        <v>253</v>
      </c>
      <c r="K13" s="21">
        <f t="shared" si="23"/>
        <v>300</v>
      </c>
      <c r="L13" s="21">
        <f t="shared" si="23"/>
        <v>359</v>
      </c>
      <c r="M13" s="21">
        <f t="shared" si="23"/>
        <v>432</v>
      </c>
      <c r="N13" s="21">
        <f t="shared" si="23"/>
        <v>563</v>
      </c>
      <c r="O13" s="21">
        <f t="shared" si="23"/>
        <v>775</v>
      </c>
      <c r="P13" s="21">
        <f t="shared" si="23"/>
        <v>1104</v>
      </c>
      <c r="Q13" s="21">
        <f t="shared" si="23"/>
        <v>1315</v>
      </c>
      <c r="R13" s="21">
        <f t="shared" si="23"/>
        <v>1474</v>
      </c>
      <c r="S13" s="21">
        <f t="shared" si="23"/>
        <v>1851</v>
      </c>
      <c r="T13" s="21">
        <f t="shared" si="23"/>
        <v>2503</v>
      </c>
      <c r="U13" s="21">
        <f t="shared" si="23"/>
        <v>3169</v>
      </c>
      <c r="V13" s="21">
        <f t="shared" si="23"/>
        <v>3769</v>
      </c>
      <c r="W13" s="21">
        <f t="shared" si="23"/>
        <v>4899.7</v>
      </c>
      <c r="X13" s="21">
        <f t="shared" si="23"/>
        <v>6369.61</v>
      </c>
      <c r="Y13" s="21">
        <f t="shared" si="23"/>
        <v>8280.4930000000004</v>
      </c>
      <c r="Z13" s="21">
        <f t="shared" si="23"/>
        <v>10764.6409</v>
      </c>
      <c r="AA13" s="21">
        <f t="shared" si="23"/>
        <v>13994.033170000001</v>
      </c>
      <c r="AB13" s="21">
        <f t="shared" si="23"/>
        <v>18192.243121000003</v>
      </c>
      <c r="AC13" s="21">
        <f t="shared" si="23"/>
        <v>23649.916057300004</v>
      </c>
      <c r="AD13" s="21">
        <f t="shared" si="23"/>
        <v>30744.890874490007</v>
      </c>
      <c r="AE13" s="21">
        <f t="shared" si="23"/>
        <v>39968.358136837014</v>
      </c>
      <c r="AF13" s="21">
        <f t="shared" si="23"/>
        <v>51958.865577888122</v>
      </c>
      <c r="AG13" s="21">
        <f t="shared" si="23"/>
        <v>67546.525251254556</v>
      </c>
      <c r="AH13" s="21">
        <f t="shared" si="23"/>
        <v>87810.48282663092</v>
      </c>
      <c r="AI13" s="21">
        <f t="shared" si="23"/>
        <v>114153.62767462021</v>
      </c>
      <c r="AJ13" s="21">
        <f t="shared" si="23"/>
        <v>148399.71597700627</v>
      </c>
      <c r="AK13" s="21">
        <f t="shared" si="23"/>
        <v>192919.63077010817</v>
      </c>
      <c r="AL13" s="21">
        <f t="shared" si="23"/>
        <v>250795.52000114063</v>
      </c>
      <c r="AM13" s="21">
        <f t="shared" si="23"/>
        <v>326034.17600148282</v>
      </c>
      <c r="AN13" s="21">
        <f t="shared" si="23"/>
        <v>423844.42880192766</v>
      </c>
      <c r="AO13" s="21">
        <f t="shared" si="23"/>
        <v>550997.75744250603</v>
      </c>
      <c r="AP13" s="21">
        <f t="shared" si="23"/>
        <v>716297.08467525791</v>
      </c>
      <c r="AQ13" s="21">
        <f t="shared" si="23"/>
        <v>931186.21007783536</v>
      </c>
      <c r="AR13" s="21">
        <f t="shared" si="23"/>
        <v>1210542.073101186</v>
      </c>
      <c r="AS13" s="21">
        <f t="shared" si="23"/>
        <v>1573704.6950315419</v>
      </c>
      <c r="AT13" s="21">
        <f t="shared" si="23"/>
        <v>2045816.1035410045</v>
      </c>
      <c r="AU13" s="21">
        <f t="shared" si="23"/>
        <v>2659560.934603306</v>
      </c>
      <c r="AV13" s="21">
        <f t="shared" si="23"/>
        <v>3457429.2149842978</v>
      </c>
      <c r="AW13" s="21">
        <f t="shared" si="23"/>
        <v>4494657.9794795876</v>
      </c>
      <c r="AX13" s="21">
        <f t="shared" si="23"/>
        <v>5843055.3733234638</v>
      </c>
      <c r="AY13" s="21">
        <f t="shared" si="23"/>
        <v>7595971.9853205029</v>
      </c>
      <c r="AZ13" s="21">
        <f t="shared" si="23"/>
        <v>9874763.5809166543</v>
      </c>
      <c r="BA13" s="21">
        <f t="shared" si="23"/>
        <v>12837192.655191651</v>
      </c>
      <c r="BB13" s="21">
        <f t="shared" si="23"/>
        <v>16688350.451749146</v>
      </c>
      <c r="BC13" s="21">
        <f t="shared" si="23"/>
        <v>21694855.587273892</v>
      </c>
      <c r="BD13" s="21">
        <f t="shared" si="23"/>
        <v>27154404.400000002</v>
      </c>
      <c r="BE13" s="21">
        <f t="shared" si="23"/>
        <v>27154404.400000002</v>
      </c>
      <c r="BF13" s="21">
        <f t="shared" si="23"/>
        <v>27154404.400000002</v>
      </c>
      <c r="BG13" s="21">
        <f t="shared" si="23"/>
        <v>27154404.400000002</v>
      </c>
      <c r="BH13" s="21">
        <f t="shared" si="23"/>
        <v>27154404.400000002</v>
      </c>
      <c r="BI13" s="21">
        <f t="shared" si="23"/>
        <v>27154404.400000002</v>
      </c>
      <c r="BJ13" s="21">
        <f t="shared" si="23"/>
        <v>27154404.400000002</v>
      </c>
      <c r="BK13" s="21">
        <f t="shared" si="23"/>
        <v>27154404.400000002</v>
      </c>
      <c r="BL13" s="21">
        <f t="shared" si="23"/>
        <v>27154404.400000002</v>
      </c>
      <c r="BM13" s="21">
        <f t="shared" si="23"/>
        <v>27154404.400000002</v>
      </c>
      <c r="BN13" s="21">
        <f t="shared" si="23"/>
        <v>27154404.400000002</v>
      </c>
      <c r="BO13" s="21">
        <f t="shared" si="23"/>
        <v>27154404.400000002</v>
      </c>
      <c r="BP13" s="21">
        <f t="shared" si="23"/>
        <v>27154404.400000002</v>
      </c>
      <c r="BQ13" s="21">
        <f t="shared" si="23"/>
        <v>27154404.400000002</v>
      </c>
      <c r="BR13" s="21">
        <f t="shared" si="23"/>
        <v>27154404.400000002</v>
      </c>
      <c r="BS13" s="21">
        <f t="shared" ref="BS13:ED13" si="24">IF(IF(AND(ISNA(BS$5),ISNA(BR$5)),BR13*(1+$E13),IF(AND(BR$5&gt;0,ISNA(BS$5)),BR13*(1+$E13),BS$5))&gt;$C$21,$C$21,IF(AND(ISNA(BS$5),ISNA(BR$5)),BR13*(1+$E13),IF(AND(BR$5&gt;0,ISNA(BS$5)),BR13*(1+$E13),BS$5)))</f>
        <v>27154404.400000002</v>
      </c>
      <c r="BT13" s="21">
        <f t="shared" si="24"/>
        <v>27154404.400000002</v>
      </c>
      <c r="BU13" s="21">
        <f t="shared" si="24"/>
        <v>27154404.400000002</v>
      </c>
      <c r="BV13" s="21">
        <f t="shared" si="24"/>
        <v>27154404.400000002</v>
      </c>
      <c r="BW13" s="21">
        <f t="shared" si="24"/>
        <v>27154404.400000002</v>
      </c>
      <c r="BX13" s="21">
        <f t="shared" si="24"/>
        <v>27154404.400000002</v>
      </c>
      <c r="BY13" s="21">
        <f t="shared" si="24"/>
        <v>27154404.400000002</v>
      </c>
      <c r="BZ13" s="21">
        <f t="shared" si="24"/>
        <v>27154404.400000002</v>
      </c>
      <c r="CA13" s="21">
        <f t="shared" si="24"/>
        <v>27154404.400000002</v>
      </c>
      <c r="CB13" s="21">
        <f t="shared" si="24"/>
        <v>27154404.400000002</v>
      </c>
      <c r="CC13" s="21">
        <f t="shared" si="24"/>
        <v>27154404.400000002</v>
      </c>
      <c r="CD13" s="21">
        <f t="shared" si="24"/>
        <v>27154404.400000002</v>
      </c>
      <c r="CE13" s="21">
        <f t="shared" si="24"/>
        <v>27154404.400000002</v>
      </c>
      <c r="CF13" s="21">
        <f t="shared" si="24"/>
        <v>27154404.400000002</v>
      </c>
      <c r="CG13" s="21">
        <f t="shared" si="24"/>
        <v>27154404.400000002</v>
      </c>
      <c r="CH13" s="21">
        <f t="shared" si="24"/>
        <v>27154404.400000002</v>
      </c>
      <c r="CI13" s="21">
        <f t="shared" si="24"/>
        <v>27154404.400000002</v>
      </c>
      <c r="CJ13" s="21">
        <f t="shared" si="24"/>
        <v>27154404.400000002</v>
      </c>
      <c r="CK13" s="21">
        <f t="shared" si="24"/>
        <v>27154404.400000002</v>
      </c>
      <c r="CL13" s="21">
        <f t="shared" si="24"/>
        <v>27154404.400000002</v>
      </c>
      <c r="CM13" s="21">
        <f t="shared" si="24"/>
        <v>27154404.400000002</v>
      </c>
      <c r="CN13" s="21">
        <f t="shared" si="24"/>
        <v>27154404.400000002</v>
      </c>
      <c r="CO13" s="21">
        <f t="shared" si="24"/>
        <v>27154404.400000002</v>
      </c>
      <c r="CP13" s="21">
        <f t="shared" si="24"/>
        <v>27154404.400000002</v>
      </c>
      <c r="CQ13" s="21">
        <f t="shared" si="24"/>
        <v>27154404.400000002</v>
      </c>
      <c r="CR13" s="21">
        <f t="shared" si="24"/>
        <v>27154404.400000002</v>
      </c>
      <c r="CS13" s="21">
        <f t="shared" si="24"/>
        <v>27154404.400000002</v>
      </c>
      <c r="CT13" s="21">
        <f t="shared" si="24"/>
        <v>27154404.400000002</v>
      </c>
      <c r="CU13" s="21">
        <f t="shared" si="24"/>
        <v>27154404.400000002</v>
      </c>
      <c r="CV13" s="21">
        <f t="shared" si="24"/>
        <v>27154404.400000002</v>
      </c>
      <c r="CW13" s="21">
        <f t="shared" si="24"/>
        <v>27154404.400000002</v>
      </c>
      <c r="CX13" s="21">
        <f t="shared" si="24"/>
        <v>27154404.400000002</v>
      </c>
      <c r="CY13" s="21">
        <f t="shared" si="24"/>
        <v>27154404.400000002</v>
      </c>
      <c r="CZ13" s="21">
        <f t="shared" si="24"/>
        <v>27154404.400000002</v>
      </c>
      <c r="DA13" s="21">
        <f t="shared" si="24"/>
        <v>27154404.400000002</v>
      </c>
      <c r="DB13" s="21">
        <f t="shared" si="24"/>
        <v>27154404.400000002</v>
      </c>
      <c r="DC13" s="21">
        <f t="shared" si="24"/>
        <v>27154404.400000002</v>
      </c>
      <c r="DD13" s="21">
        <f t="shared" si="24"/>
        <v>27154404.400000002</v>
      </c>
      <c r="DE13" s="21">
        <f t="shared" si="24"/>
        <v>27154404.400000002</v>
      </c>
      <c r="DF13" s="21">
        <f t="shared" si="24"/>
        <v>27154404.400000002</v>
      </c>
      <c r="DG13" s="21">
        <f t="shared" si="24"/>
        <v>27154404.400000002</v>
      </c>
      <c r="DH13" s="21">
        <f t="shared" si="24"/>
        <v>27154404.400000002</v>
      </c>
      <c r="DI13" s="21">
        <f t="shared" si="24"/>
        <v>27154404.400000002</v>
      </c>
      <c r="DJ13" s="21">
        <f t="shared" si="24"/>
        <v>27154404.400000002</v>
      </c>
      <c r="DK13" s="21">
        <f t="shared" si="24"/>
        <v>27154404.400000002</v>
      </c>
      <c r="DL13" s="21">
        <f t="shared" si="24"/>
        <v>27154404.400000002</v>
      </c>
      <c r="DM13" s="21">
        <f t="shared" si="24"/>
        <v>27154404.400000002</v>
      </c>
      <c r="DN13" s="21">
        <f t="shared" si="24"/>
        <v>27154404.400000002</v>
      </c>
      <c r="DO13" s="21">
        <f t="shared" si="24"/>
        <v>27154404.400000002</v>
      </c>
      <c r="DP13" s="21">
        <f t="shared" si="24"/>
        <v>27154404.400000002</v>
      </c>
      <c r="DQ13" s="21">
        <f t="shared" si="24"/>
        <v>27154404.400000002</v>
      </c>
      <c r="DR13" s="21">
        <f t="shared" si="24"/>
        <v>27154404.400000002</v>
      </c>
      <c r="DS13" s="21">
        <f t="shared" si="24"/>
        <v>27154404.400000002</v>
      </c>
      <c r="DT13" s="21">
        <f t="shared" si="24"/>
        <v>27154404.400000002</v>
      </c>
      <c r="DU13" s="21">
        <f t="shared" si="24"/>
        <v>27154404.400000002</v>
      </c>
      <c r="DV13" s="21">
        <f t="shared" si="24"/>
        <v>27154404.400000002</v>
      </c>
      <c r="DW13" s="21">
        <f t="shared" si="24"/>
        <v>27154404.400000002</v>
      </c>
      <c r="DX13" s="21">
        <f t="shared" si="24"/>
        <v>27154404.400000002</v>
      </c>
      <c r="DY13" s="21">
        <f t="shared" si="24"/>
        <v>27154404.400000002</v>
      </c>
      <c r="DZ13" s="21">
        <f t="shared" si="24"/>
        <v>27154404.400000002</v>
      </c>
      <c r="EA13" s="21">
        <f t="shared" si="24"/>
        <v>27154404.400000002</v>
      </c>
      <c r="EB13" s="21">
        <f t="shared" si="24"/>
        <v>27154404.400000002</v>
      </c>
      <c r="EC13" s="21">
        <f t="shared" si="24"/>
        <v>27154404.400000002</v>
      </c>
      <c r="ED13" s="21">
        <f t="shared" si="24"/>
        <v>27154404.400000002</v>
      </c>
      <c r="EE13" s="21">
        <f t="shared" ref="EE13:GP13" si="25">IF(IF(AND(ISNA(EE$5),ISNA(ED$5)),ED13*(1+$E13),IF(AND(ED$5&gt;0,ISNA(EE$5)),ED13*(1+$E13),EE$5))&gt;$C$21,$C$21,IF(AND(ISNA(EE$5),ISNA(ED$5)),ED13*(1+$E13),IF(AND(ED$5&gt;0,ISNA(EE$5)),ED13*(1+$E13),EE$5)))</f>
        <v>27154404.400000002</v>
      </c>
      <c r="EF13" s="21">
        <f t="shared" si="25"/>
        <v>27154404.400000002</v>
      </c>
      <c r="EG13" s="21">
        <f t="shared" si="25"/>
        <v>27154404.400000002</v>
      </c>
      <c r="EH13" s="21">
        <f t="shared" si="25"/>
        <v>27154404.400000002</v>
      </c>
      <c r="EI13" s="21">
        <f t="shared" si="25"/>
        <v>27154404.400000002</v>
      </c>
      <c r="EJ13" s="21">
        <f t="shared" si="25"/>
        <v>27154404.400000002</v>
      </c>
      <c r="EK13" s="21">
        <f t="shared" si="25"/>
        <v>27154404.400000002</v>
      </c>
      <c r="EL13" s="21">
        <f t="shared" si="25"/>
        <v>27154404.400000002</v>
      </c>
      <c r="EM13" s="21">
        <f t="shared" si="25"/>
        <v>27154404.400000002</v>
      </c>
      <c r="EN13" s="21">
        <f t="shared" si="25"/>
        <v>27154404.400000002</v>
      </c>
      <c r="EO13" s="21">
        <f t="shared" si="25"/>
        <v>27154404.400000002</v>
      </c>
      <c r="EP13" s="21">
        <f t="shared" si="25"/>
        <v>27154404.400000002</v>
      </c>
      <c r="EQ13" s="21">
        <f t="shared" si="25"/>
        <v>27154404.400000002</v>
      </c>
      <c r="ER13" s="21">
        <f t="shared" si="25"/>
        <v>27154404.400000002</v>
      </c>
      <c r="ES13" s="21">
        <f t="shared" si="25"/>
        <v>27154404.400000002</v>
      </c>
      <c r="ET13" s="21">
        <f t="shared" si="25"/>
        <v>27154404.400000002</v>
      </c>
      <c r="EU13" s="21">
        <f t="shared" si="25"/>
        <v>27154404.400000002</v>
      </c>
      <c r="EV13" s="21">
        <f t="shared" si="25"/>
        <v>27154404.400000002</v>
      </c>
      <c r="EW13" s="21">
        <f t="shared" si="25"/>
        <v>27154404.400000002</v>
      </c>
      <c r="EX13" s="21">
        <f t="shared" si="25"/>
        <v>27154404.400000002</v>
      </c>
      <c r="EY13" s="21">
        <f t="shared" si="25"/>
        <v>27154404.400000002</v>
      </c>
      <c r="EZ13" s="21">
        <f t="shared" si="25"/>
        <v>27154404.400000002</v>
      </c>
      <c r="FA13" s="21">
        <f t="shared" si="25"/>
        <v>27154404.400000002</v>
      </c>
      <c r="FB13" s="21">
        <f t="shared" si="25"/>
        <v>27154404.400000002</v>
      </c>
      <c r="FC13" s="21">
        <f t="shared" si="25"/>
        <v>27154404.400000002</v>
      </c>
      <c r="FD13" s="21">
        <f t="shared" si="25"/>
        <v>27154404.400000002</v>
      </c>
      <c r="FE13" s="21">
        <f t="shared" si="25"/>
        <v>27154404.400000002</v>
      </c>
      <c r="FF13" s="21">
        <f t="shared" si="25"/>
        <v>27154404.400000002</v>
      </c>
      <c r="FG13" s="21">
        <f t="shared" si="25"/>
        <v>27154404.400000002</v>
      </c>
      <c r="FH13" s="21">
        <f t="shared" si="25"/>
        <v>27154404.400000002</v>
      </c>
      <c r="FI13" s="21">
        <f t="shared" si="25"/>
        <v>27154404.400000002</v>
      </c>
      <c r="FJ13" s="21">
        <f t="shared" si="25"/>
        <v>27154404.400000002</v>
      </c>
      <c r="FK13" s="21">
        <f t="shared" si="25"/>
        <v>27154404.400000002</v>
      </c>
      <c r="FL13" s="21">
        <f t="shared" si="25"/>
        <v>27154404.400000002</v>
      </c>
      <c r="FM13" s="21">
        <f t="shared" si="25"/>
        <v>27154404.400000002</v>
      </c>
      <c r="FN13" s="21">
        <f t="shared" si="25"/>
        <v>27154404.400000002</v>
      </c>
      <c r="FO13" s="21">
        <f t="shared" si="25"/>
        <v>27154404.400000002</v>
      </c>
      <c r="FP13" s="21">
        <f t="shared" si="25"/>
        <v>27154404.400000002</v>
      </c>
      <c r="FQ13" s="21">
        <f t="shared" si="25"/>
        <v>27154404.400000002</v>
      </c>
      <c r="FR13" s="21">
        <f t="shared" si="25"/>
        <v>27154404.400000002</v>
      </c>
      <c r="FS13" s="21">
        <f t="shared" si="25"/>
        <v>27154404.400000002</v>
      </c>
      <c r="FT13" s="21">
        <f t="shared" si="25"/>
        <v>27154404.400000002</v>
      </c>
      <c r="FU13" s="21">
        <f t="shared" si="25"/>
        <v>27154404.400000002</v>
      </c>
      <c r="FV13" s="21">
        <f t="shared" si="25"/>
        <v>27154404.400000002</v>
      </c>
      <c r="FW13" s="21">
        <f t="shared" si="25"/>
        <v>27154404.400000002</v>
      </c>
      <c r="FX13" s="21">
        <f t="shared" si="25"/>
        <v>27154404.400000002</v>
      </c>
      <c r="FY13" s="21">
        <f t="shared" si="25"/>
        <v>27154404.400000002</v>
      </c>
      <c r="FZ13" s="21">
        <f t="shared" si="25"/>
        <v>27154404.400000002</v>
      </c>
      <c r="GA13" s="21">
        <f t="shared" si="25"/>
        <v>27154404.400000002</v>
      </c>
      <c r="GB13" s="21">
        <f t="shared" si="25"/>
        <v>27154404.400000002</v>
      </c>
      <c r="GC13" s="21">
        <f t="shared" si="25"/>
        <v>27154404.400000002</v>
      </c>
      <c r="GD13" s="21">
        <f t="shared" si="25"/>
        <v>27154404.400000002</v>
      </c>
      <c r="GE13" s="21">
        <f t="shared" si="25"/>
        <v>27154404.400000002</v>
      </c>
      <c r="GF13" s="21">
        <f t="shared" si="25"/>
        <v>27154404.400000002</v>
      </c>
      <c r="GG13" s="21">
        <f t="shared" si="25"/>
        <v>27154404.400000002</v>
      </c>
      <c r="GH13" s="21">
        <f t="shared" si="25"/>
        <v>27154404.400000002</v>
      </c>
      <c r="GI13" s="21">
        <f t="shared" si="25"/>
        <v>27154404.400000002</v>
      </c>
      <c r="GJ13" s="21">
        <f t="shared" si="25"/>
        <v>27154404.400000002</v>
      </c>
      <c r="GK13" s="21">
        <f t="shared" si="25"/>
        <v>27154404.400000002</v>
      </c>
      <c r="GL13" s="21">
        <f t="shared" si="25"/>
        <v>27154404.400000002</v>
      </c>
      <c r="GM13" s="21">
        <f t="shared" si="25"/>
        <v>27154404.400000002</v>
      </c>
      <c r="GN13" s="21">
        <f t="shared" si="25"/>
        <v>27154404.400000002</v>
      </c>
      <c r="GO13" s="21">
        <f t="shared" si="25"/>
        <v>27154404.400000002</v>
      </c>
      <c r="GP13" s="21">
        <f t="shared" si="25"/>
        <v>27154404.400000002</v>
      </c>
      <c r="GQ13" s="21">
        <f t="shared" ref="GQ13:IN13" si="26">IF(IF(AND(ISNA(GQ$5),ISNA(GP$5)),GP13*(1+$E13),IF(AND(GP$5&gt;0,ISNA(GQ$5)),GP13*(1+$E13),GQ$5))&gt;$C$21,$C$21,IF(AND(ISNA(GQ$5),ISNA(GP$5)),GP13*(1+$E13),IF(AND(GP$5&gt;0,ISNA(GQ$5)),GP13*(1+$E13),GQ$5)))</f>
        <v>27154404.400000002</v>
      </c>
      <c r="GR13" s="21">
        <f t="shared" si="26"/>
        <v>27154404.400000002</v>
      </c>
      <c r="GS13" s="21">
        <f t="shared" si="26"/>
        <v>27154404.400000002</v>
      </c>
      <c r="GT13" s="21">
        <f t="shared" si="26"/>
        <v>27154404.400000002</v>
      </c>
      <c r="GU13" s="21">
        <f t="shared" si="26"/>
        <v>27154404.400000002</v>
      </c>
      <c r="GV13" s="21">
        <f t="shared" si="26"/>
        <v>27154404.400000002</v>
      </c>
      <c r="GW13" s="21">
        <f t="shared" si="26"/>
        <v>27154404.400000002</v>
      </c>
      <c r="GX13" s="21">
        <f t="shared" si="26"/>
        <v>27154404.400000002</v>
      </c>
      <c r="GY13" s="21">
        <f t="shared" si="26"/>
        <v>27154404.400000002</v>
      </c>
      <c r="GZ13" s="21">
        <f t="shared" si="26"/>
        <v>27154404.400000002</v>
      </c>
      <c r="HA13" s="21">
        <f t="shared" si="26"/>
        <v>27154404.400000002</v>
      </c>
      <c r="HB13" s="21">
        <f t="shared" si="26"/>
        <v>27154404.400000002</v>
      </c>
      <c r="HC13" s="21">
        <f t="shared" si="26"/>
        <v>27154404.400000002</v>
      </c>
      <c r="HD13" s="21">
        <f t="shared" si="26"/>
        <v>27154404.400000002</v>
      </c>
      <c r="HE13" s="21">
        <f t="shared" si="26"/>
        <v>27154404.400000002</v>
      </c>
      <c r="HF13" s="21">
        <f t="shared" si="26"/>
        <v>27154404.400000002</v>
      </c>
      <c r="HG13" s="21">
        <f t="shared" si="26"/>
        <v>27154404.400000002</v>
      </c>
      <c r="HH13" s="21">
        <f t="shared" si="26"/>
        <v>27154404.400000002</v>
      </c>
      <c r="HI13" s="21">
        <f t="shared" si="26"/>
        <v>27154404.400000002</v>
      </c>
      <c r="HJ13" s="21">
        <f t="shared" si="26"/>
        <v>27154404.400000002</v>
      </c>
      <c r="HK13" s="21">
        <f t="shared" si="26"/>
        <v>27154404.400000002</v>
      </c>
      <c r="HL13" s="21">
        <f t="shared" si="26"/>
        <v>27154404.400000002</v>
      </c>
      <c r="HM13" s="21">
        <f t="shared" si="26"/>
        <v>27154404.400000002</v>
      </c>
      <c r="HN13" s="21">
        <f t="shared" si="26"/>
        <v>27154404.400000002</v>
      </c>
      <c r="HO13" s="21">
        <f t="shared" si="26"/>
        <v>27154404.400000002</v>
      </c>
      <c r="HP13" s="21">
        <f t="shared" si="26"/>
        <v>27154404.400000002</v>
      </c>
      <c r="HQ13" s="21">
        <f t="shared" si="26"/>
        <v>27154404.400000002</v>
      </c>
      <c r="HR13" s="21">
        <f t="shared" si="26"/>
        <v>27154404.400000002</v>
      </c>
      <c r="HS13" s="21">
        <f t="shared" si="26"/>
        <v>27154404.400000002</v>
      </c>
      <c r="HT13" s="21">
        <f t="shared" si="26"/>
        <v>27154404.400000002</v>
      </c>
      <c r="HU13" s="21">
        <f t="shared" si="26"/>
        <v>27154404.400000002</v>
      </c>
      <c r="HV13" s="21">
        <f t="shared" si="26"/>
        <v>27154404.400000002</v>
      </c>
      <c r="HW13" s="21">
        <f t="shared" si="26"/>
        <v>27154404.400000002</v>
      </c>
      <c r="HX13" s="21">
        <f t="shared" si="26"/>
        <v>27154404.400000002</v>
      </c>
      <c r="HY13" s="21">
        <f t="shared" si="26"/>
        <v>27154404.400000002</v>
      </c>
      <c r="HZ13" s="21">
        <f t="shared" si="26"/>
        <v>27154404.400000002</v>
      </c>
      <c r="IA13" s="21">
        <f t="shared" si="26"/>
        <v>27154404.400000002</v>
      </c>
      <c r="IB13" s="21">
        <f t="shared" si="26"/>
        <v>27154404.400000002</v>
      </c>
      <c r="IC13" s="21">
        <f t="shared" si="26"/>
        <v>27154404.400000002</v>
      </c>
      <c r="ID13" s="21">
        <f t="shared" si="26"/>
        <v>27154404.400000002</v>
      </c>
      <c r="IE13" s="21">
        <f t="shared" si="26"/>
        <v>27154404.400000002</v>
      </c>
      <c r="IF13" s="21">
        <f t="shared" si="26"/>
        <v>27154404.400000002</v>
      </c>
      <c r="IG13" s="21">
        <f t="shared" si="26"/>
        <v>27154404.400000002</v>
      </c>
      <c r="IH13" s="21">
        <f t="shared" si="26"/>
        <v>27154404.400000002</v>
      </c>
      <c r="II13" s="21">
        <f t="shared" si="26"/>
        <v>27154404.400000002</v>
      </c>
      <c r="IJ13" s="21">
        <f t="shared" si="26"/>
        <v>27154404.400000002</v>
      </c>
      <c r="IK13" s="21">
        <f t="shared" si="26"/>
        <v>27154404.400000002</v>
      </c>
      <c r="IL13" s="21">
        <f t="shared" si="26"/>
        <v>27154404.400000002</v>
      </c>
      <c r="IM13" s="21">
        <f t="shared" si="26"/>
        <v>27154404.400000002</v>
      </c>
      <c r="IN13" s="21">
        <f t="shared" si="26"/>
        <v>27154404.400000002</v>
      </c>
    </row>
    <row r="14" spans="2:248" x14ac:dyDescent="0.3">
      <c r="B14" s="19" t="s">
        <v>453</v>
      </c>
      <c r="C14" s="21">
        <f>C4*(1+C12)</f>
        <v>4987.7535079337376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</row>
    <row r="15" spans="2:248" x14ac:dyDescent="0.3">
      <c r="B15" s="19" t="s">
        <v>468</v>
      </c>
      <c r="C15" s="25">
        <f>IF(VLOOKUP(B2,Country_Data!C:N,12,FALSE)=0,0.047,VLOOKUP(B2,Country_Data!C:N,12,FALSE)*$C$32)</f>
        <v>0.11086198305929247</v>
      </c>
      <c r="E15" s="19">
        <v>0.4</v>
      </c>
      <c r="F15" s="22" t="s">
        <v>455</v>
      </c>
      <c r="G15" s="21">
        <f t="shared" ref="G15:BR15" si="27">IF(IF(AND(ISNA(G$5),ISNA(F$5)),F15*(1+$E15),IF(AND(F$5&gt;0,ISNA(G$5)),F15*(1+$E15),G$5))&gt;$C$21,$C$21,IF(AND(ISNA(G$5),ISNA(F$5)),F15*(1+$E15),IF(AND(F$5&gt;0,ISNA(G$5)),F15*(1+$E15),G$5)))</f>
        <v>107</v>
      </c>
      <c r="H15" s="21">
        <f t="shared" si="27"/>
        <v>154</v>
      </c>
      <c r="I15" s="21">
        <f t="shared" si="27"/>
        <v>187</v>
      </c>
      <c r="J15" s="21">
        <f t="shared" si="27"/>
        <v>253</v>
      </c>
      <c r="K15" s="21">
        <f t="shared" si="27"/>
        <v>300</v>
      </c>
      <c r="L15" s="21">
        <f t="shared" si="27"/>
        <v>359</v>
      </c>
      <c r="M15" s="21">
        <f t="shared" si="27"/>
        <v>432</v>
      </c>
      <c r="N15" s="21">
        <f t="shared" si="27"/>
        <v>563</v>
      </c>
      <c r="O15" s="21">
        <f t="shared" si="27"/>
        <v>775</v>
      </c>
      <c r="P15" s="21">
        <f t="shared" si="27"/>
        <v>1104</v>
      </c>
      <c r="Q15" s="21">
        <f t="shared" si="27"/>
        <v>1315</v>
      </c>
      <c r="R15" s="21">
        <f t="shared" si="27"/>
        <v>1474</v>
      </c>
      <c r="S15" s="21">
        <f t="shared" si="27"/>
        <v>1851</v>
      </c>
      <c r="T15" s="21">
        <f t="shared" si="27"/>
        <v>2503</v>
      </c>
      <c r="U15" s="21">
        <f t="shared" si="27"/>
        <v>3169</v>
      </c>
      <c r="V15" s="21">
        <f t="shared" si="27"/>
        <v>3769</v>
      </c>
      <c r="W15" s="21">
        <f t="shared" si="27"/>
        <v>5276.5999999999995</v>
      </c>
      <c r="X15" s="21">
        <f t="shared" si="27"/>
        <v>7387.2399999999989</v>
      </c>
      <c r="Y15" s="21">
        <f t="shared" si="27"/>
        <v>10342.135999999999</v>
      </c>
      <c r="Z15" s="21">
        <f t="shared" si="27"/>
        <v>14478.990399999997</v>
      </c>
      <c r="AA15" s="21">
        <f t="shared" si="27"/>
        <v>20270.586559999996</v>
      </c>
      <c r="AB15" s="21">
        <f t="shared" si="27"/>
        <v>28378.821183999993</v>
      </c>
      <c r="AC15" s="21">
        <f t="shared" si="27"/>
        <v>39730.349657599989</v>
      </c>
      <c r="AD15" s="21">
        <f t="shared" si="27"/>
        <v>55622.489520639981</v>
      </c>
      <c r="AE15" s="21">
        <f t="shared" si="27"/>
        <v>77871.485328895971</v>
      </c>
      <c r="AF15" s="21">
        <f t="shared" si="27"/>
        <v>109020.07946045435</v>
      </c>
      <c r="AG15" s="21">
        <f t="shared" si="27"/>
        <v>152628.11124463606</v>
      </c>
      <c r="AH15" s="21">
        <f t="shared" si="27"/>
        <v>213679.35574249047</v>
      </c>
      <c r="AI15" s="21">
        <f t="shared" si="27"/>
        <v>299151.09803948662</v>
      </c>
      <c r="AJ15" s="21">
        <f t="shared" si="27"/>
        <v>418811.53725528123</v>
      </c>
      <c r="AK15" s="21">
        <f t="shared" si="27"/>
        <v>586336.15215739363</v>
      </c>
      <c r="AL15" s="21">
        <f t="shared" si="27"/>
        <v>820870.61302035104</v>
      </c>
      <c r="AM15" s="21">
        <f t="shared" si="27"/>
        <v>1149218.8582284914</v>
      </c>
      <c r="AN15" s="21">
        <f t="shared" si="27"/>
        <v>1608906.4015198878</v>
      </c>
      <c r="AO15" s="21">
        <f t="shared" si="27"/>
        <v>2252468.9621278429</v>
      </c>
      <c r="AP15" s="21">
        <f t="shared" si="27"/>
        <v>3153456.5469789798</v>
      </c>
      <c r="AQ15" s="21">
        <f t="shared" si="27"/>
        <v>4414839.1657705717</v>
      </c>
      <c r="AR15" s="21">
        <f t="shared" si="27"/>
        <v>6180774.8320787996</v>
      </c>
      <c r="AS15" s="21">
        <f t="shared" si="27"/>
        <v>8653084.7649103198</v>
      </c>
      <c r="AT15" s="21">
        <f t="shared" si="27"/>
        <v>12114318.670874447</v>
      </c>
      <c r="AU15" s="21">
        <f t="shared" si="27"/>
        <v>16960046.139224224</v>
      </c>
      <c r="AV15" s="21">
        <f t="shared" si="27"/>
        <v>23744064.594913911</v>
      </c>
      <c r="AW15" s="21">
        <f t="shared" si="27"/>
        <v>27154404.400000002</v>
      </c>
      <c r="AX15" s="21">
        <f t="shared" si="27"/>
        <v>27154404.400000002</v>
      </c>
      <c r="AY15" s="21">
        <f t="shared" si="27"/>
        <v>27154404.400000002</v>
      </c>
      <c r="AZ15" s="21">
        <f t="shared" si="27"/>
        <v>27154404.400000002</v>
      </c>
      <c r="BA15" s="21">
        <f t="shared" si="27"/>
        <v>27154404.400000002</v>
      </c>
      <c r="BB15" s="21">
        <f t="shared" si="27"/>
        <v>27154404.400000002</v>
      </c>
      <c r="BC15" s="21">
        <f t="shared" si="27"/>
        <v>27154404.400000002</v>
      </c>
      <c r="BD15" s="21">
        <f t="shared" si="27"/>
        <v>27154404.400000002</v>
      </c>
      <c r="BE15" s="21">
        <f t="shared" si="27"/>
        <v>27154404.400000002</v>
      </c>
      <c r="BF15" s="21">
        <f t="shared" si="27"/>
        <v>27154404.400000002</v>
      </c>
      <c r="BG15" s="21">
        <f t="shared" si="27"/>
        <v>27154404.400000002</v>
      </c>
      <c r="BH15" s="21">
        <f t="shared" si="27"/>
        <v>27154404.400000002</v>
      </c>
      <c r="BI15" s="21">
        <f t="shared" si="27"/>
        <v>27154404.400000002</v>
      </c>
      <c r="BJ15" s="21">
        <f t="shared" si="27"/>
        <v>27154404.400000002</v>
      </c>
      <c r="BK15" s="21">
        <f t="shared" si="27"/>
        <v>27154404.400000002</v>
      </c>
      <c r="BL15" s="21">
        <f t="shared" si="27"/>
        <v>27154404.400000002</v>
      </c>
      <c r="BM15" s="21">
        <f t="shared" si="27"/>
        <v>27154404.400000002</v>
      </c>
      <c r="BN15" s="21">
        <f t="shared" si="27"/>
        <v>27154404.400000002</v>
      </c>
      <c r="BO15" s="21">
        <f t="shared" si="27"/>
        <v>27154404.400000002</v>
      </c>
      <c r="BP15" s="21">
        <f t="shared" si="27"/>
        <v>27154404.400000002</v>
      </c>
      <c r="BQ15" s="21">
        <f t="shared" si="27"/>
        <v>27154404.400000002</v>
      </c>
      <c r="BR15" s="21">
        <f t="shared" si="27"/>
        <v>27154404.400000002</v>
      </c>
      <c r="BS15" s="21">
        <f t="shared" ref="BS15:ED15" si="28">IF(IF(AND(ISNA(BS$5),ISNA(BR$5)),BR15*(1+$E15),IF(AND(BR$5&gt;0,ISNA(BS$5)),BR15*(1+$E15),BS$5))&gt;$C$21,$C$21,IF(AND(ISNA(BS$5),ISNA(BR$5)),BR15*(1+$E15),IF(AND(BR$5&gt;0,ISNA(BS$5)),BR15*(1+$E15),BS$5)))</f>
        <v>27154404.400000002</v>
      </c>
      <c r="BT15" s="21">
        <f t="shared" si="28"/>
        <v>27154404.400000002</v>
      </c>
      <c r="BU15" s="21">
        <f t="shared" si="28"/>
        <v>27154404.400000002</v>
      </c>
      <c r="BV15" s="21">
        <f t="shared" si="28"/>
        <v>27154404.400000002</v>
      </c>
      <c r="BW15" s="21">
        <f t="shared" si="28"/>
        <v>27154404.400000002</v>
      </c>
      <c r="BX15" s="21">
        <f t="shared" si="28"/>
        <v>27154404.400000002</v>
      </c>
      <c r="BY15" s="21">
        <f t="shared" si="28"/>
        <v>27154404.400000002</v>
      </c>
      <c r="BZ15" s="21">
        <f t="shared" si="28"/>
        <v>27154404.400000002</v>
      </c>
      <c r="CA15" s="21">
        <f t="shared" si="28"/>
        <v>27154404.400000002</v>
      </c>
      <c r="CB15" s="21">
        <f t="shared" si="28"/>
        <v>27154404.400000002</v>
      </c>
      <c r="CC15" s="21">
        <f t="shared" si="28"/>
        <v>27154404.400000002</v>
      </c>
      <c r="CD15" s="21">
        <f t="shared" si="28"/>
        <v>27154404.400000002</v>
      </c>
      <c r="CE15" s="21">
        <f t="shared" si="28"/>
        <v>27154404.400000002</v>
      </c>
      <c r="CF15" s="21">
        <f t="shared" si="28"/>
        <v>27154404.400000002</v>
      </c>
      <c r="CG15" s="21">
        <f t="shared" si="28"/>
        <v>27154404.400000002</v>
      </c>
      <c r="CH15" s="21">
        <f t="shared" si="28"/>
        <v>27154404.400000002</v>
      </c>
      <c r="CI15" s="21">
        <f t="shared" si="28"/>
        <v>27154404.400000002</v>
      </c>
      <c r="CJ15" s="21">
        <f t="shared" si="28"/>
        <v>27154404.400000002</v>
      </c>
      <c r="CK15" s="21">
        <f t="shared" si="28"/>
        <v>27154404.400000002</v>
      </c>
      <c r="CL15" s="21">
        <f t="shared" si="28"/>
        <v>27154404.400000002</v>
      </c>
      <c r="CM15" s="21">
        <f t="shared" si="28"/>
        <v>27154404.400000002</v>
      </c>
      <c r="CN15" s="21">
        <f t="shared" si="28"/>
        <v>27154404.400000002</v>
      </c>
      <c r="CO15" s="21">
        <f t="shared" si="28"/>
        <v>27154404.400000002</v>
      </c>
      <c r="CP15" s="21">
        <f t="shared" si="28"/>
        <v>27154404.400000002</v>
      </c>
      <c r="CQ15" s="21">
        <f t="shared" si="28"/>
        <v>27154404.400000002</v>
      </c>
      <c r="CR15" s="21">
        <f t="shared" si="28"/>
        <v>27154404.400000002</v>
      </c>
      <c r="CS15" s="21">
        <f t="shared" si="28"/>
        <v>27154404.400000002</v>
      </c>
      <c r="CT15" s="21">
        <f t="shared" si="28"/>
        <v>27154404.400000002</v>
      </c>
      <c r="CU15" s="21">
        <f t="shared" si="28"/>
        <v>27154404.400000002</v>
      </c>
      <c r="CV15" s="21">
        <f t="shared" si="28"/>
        <v>27154404.400000002</v>
      </c>
      <c r="CW15" s="21">
        <f t="shared" si="28"/>
        <v>27154404.400000002</v>
      </c>
      <c r="CX15" s="21">
        <f t="shared" si="28"/>
        <v>27154404.400000002</v>
      </c>
      <c r="CY15" s="21">
        <f t="shared" si="28"/>
        <v>27154404.400000002</v>
      </c>
      <c r="CZ15" s="21">
        <f t="shared" si="28"/>
        <v>27154404.400000002</v>
      </c>
      <c r="DA15" s="21">
        <f t="shared" si="28"/>
        <v>27154404.400000002</v>
      </c>
      <c r="DB15" s="21">
        <f t="shared" si="28"/>
        <v>27154404.400000002</v>
      </c>
      <c r="DC15" s="21">
        <f t="shared" si="28"/>
        <v>27154404.400000002</v>
      </c>
      <c r="DD15" s="21">
        <f t="shared" si="28"/>
        <v>27154404.400000002</v>
      </c>
      <c r="DE15" s="21">
        <f t="shared" si="28"/>
        <v>27154404.400000002</v>
      </c>
      <c r="DF15" s="21">
        <f t="shared" si="28"/>
        <v>27154404.400000002</v>
      </c>
      <c r="DG15" s="21">
        <f t="shared" si="28"/>
        <v>27154404.400000002</v>
      </c>
      <c r="DH15" s="21">
        <f t="shared" si="28"/>
        <v>27154404.400000002</v>
      </c>
      <c r="DI15" s="21">
        <f t="shared" si="28"/>
        <v>27154404.400000002</v>
      </c>
      <c r="DJ15" s="21">
        <f t="shared" si="28"/>
        <v>27154404.400000002</v>
      </c>
      <c r="DK15" s="21">
        <f t="shared" si="28"/>
        <v>27154404.400000002</v>
      </c>
      <c r="DL15" s="21">
        <f t="shared" si="28"/>
        <v>27154404.400000002</v>
      </c>
      <c r="DM15" s="21">
        <f t="shared" si="28"/>
        <v>27154404.400000002</v>
      </c>
      <c r="DN15" s="21">
        <f t="shared" si="28"/>
        <v>27154404.400000002</v>
      </c>
      <c r="DO15" s="21">
        <f t="shared" si="28"/>
        <v>27154404.400000002</v>
      </c>
      <c r="DP15" s="21">
        <f t="shared" si="28"/>
        <v>27154404.400000002</v>
      </c>
      <c r="DQ15" s="21">
        <f t="shared" si="28"/>
        <v>27154404.400000002</v>
      </c>
      <c r="DR15" s="21">
        <f t="shared" si="28"/>
        <v>27154404.400000002</v>
      </c>
      <c r="DS15" s="21">
        <f t="shared" si="28"/>
        <v>27154404.400000002</v>
      </c>
      <c r="DT15" s="21">
        <f t="shared" si="28"/>
        <v>27154404.400000002</v>
      </c>
      <c r="DU15" s="21">
        <f t="shared" si="28"/>
        <v>27154404.400000002</v>
      </c>
      <c r="DV15" s="21">
        <f t="shared" si="28"/>
        <v>27154404.400000002</v>
      </c>
      <c r="DW15" s="21">
        <f t="shared" si="28"/>
        <v>27154404.400000002</v>
      </c>
      <c r="DX15" s="21">
        <f t="shared" si="28"/>
        <v>27154404.400000002</v>
      </c>
      <c r="DY15" s="21">
        <f t="shared" si="28"/>
        <v>27154404.400000002</v>
      </c>
      <c r="DZ15" s="21">
        <f t="shared" si="28"/>
        <v>27154404.400000002</v>
      </c>
      <c r="EA15" s="21">
        <f t="shared" si="28"/>
        <v>27154404.400000002</v>
      </c>
      <c r="EB15" s="21">
        <f t="shared" si="28"/>
        <v>27154404.400000002</v>
      </c>
      <c r="EC15" s="21">
        <f t="shared" si="28"/>
        <v>27154404.400000002</v>
      </c>
      <c r="ED15" s="21">
        <f t="shared" si="28"/>
        <v>27154404.400000002</v>
      </c>
      <c r="EE15" s="21">
        <f t="shared" ref="EE15:GP15" si="29">IF(IF(AND(ISNA(EE$5),ISNA(ED$5)),ED15*(1+$E15),IF(AND(ED$5&gt;0,ISNA(EE$5)),ED15*(1+$E15),EE$5))&gt;$C$21,$C$21,IF(AND(ISNA(EE$5),ISNA(ED$5)),ED15*(1+$E15),IF(AND(ED$5&gt;0,ISNA(EE$5)),ED15*(1+$E15),EE$5)))</f>
        <v>27154404.400000002</v>
      </c>
      <c r="EF15" s="21">
        <f t="shared" si="29"/>
        <v>27154404.400000002</v>
      </c>
      <c r="EG15" s="21">
        <f t="shared" si="29"/>
        <v>27154404.400000002</v>
      </c>
      <c r="EH15" s="21">
        <f t="shared" si="29"/>
        <v>27154404.400000002</v>
      </c>
      <c r="EI15" s="21">
        <f t="shared" si="29"/>
        <v>27154404.400000002</v>
      </c>
      <c r="EJ15" s="21">
        <f t="shared" si="29"/>
        <v>27154404.400000002</v>
      </c>
      <c r="EK15" s="21">
        <f t="shared" si="29"/>
        <v>27154404.400000002</v>
      </c>
      <c r="EL15" s="21">
        <f t="shared" si="29"/>
        <v>27154404.400000002</v>
      </c>
      <c r="EM15" s="21">
        <f t="shared" si="29"/>
        <v>27154404.400000002</v>
      </c>
      <c r="EN15" s="21">
        <f t="shared" si="29"/>
        <v>27154404.400000002</v>
      </c>
      <c r="EO15" s="21">
        <f t="shared" si="29"/>
        <v>27154404.400000002</v>
      </c>
      <c r="EP15" s="21">
        <f t="shared" si="29"/>
        <v>27154404.400000002</v>
      </c>
      <c r="EQ15" s="21">
        <f t="shared" si="29"/>
        <v>27154404.400000002</v>
      </c>
      <c r="ER15" s="21">
        <f t="shared" si="29"/>
        <v>27154404.400000002</v>
      </c>
      <c r="ES15" s="21">
        <f t="shared" si="29"/>
        <v>27154404.400000002</v>
      </c>
      <c r="ET15" s="21">
        <f t="shared" si="29"/>
        <v>27154404.400000002</v>
      </c>
      <c r="EU15" s="21">
        <f t="shared" si="29"/>
        <v>27154404.400000002</v>
      </c>
      <c r="EV15" s="21">
        <f t="shared" si="29"/>
        <v>27154404.400000002</v>
      </c>
      <c r="EW15" s="21">
        <f t="shared" si="29"/>
        <v>27154404.400000002</v>
      </c>
      <c r="EX15" s="21">
        <f t="shared" si="29"/>
        <v>27154404.400000002</v>
      </c>
      <c r="EY15" s="21">
        <f t="shared" si="29"/>
        <v>27154404.400000002</v>
      </c>
      <c r="EZ15" s="21">
        <f t="shared" si="29"/>
        <v>27154404.400000002</v>
      </c>
      <c r="FA15" s="21">
        <f t="shared" si="29"/>
        <v>27154404.400000002</v>
      </c>
      <c r="FB15" s="21">
        <f t="shared" si="29"/>
        <v>27154404.400000002</v>
      </c>
      <c r="FC15" s="21">
        <f t="shared" si="29"/>
        <v>27154404.400000002</v>
      </c>
      <c r="FD15" s="21">
        <f t="shared" si="29"/>
        <v>27154404.400000002</v>
      </c>
      <c r="FE15" s="21">
        <f t="shared" si="29"/>
        <v>27154404.400000002</v>
      </c>
      <c r="FF15" s="21">
        <f t="shared" si="29"/>
        <v>27154404.400000002</v>
      </c>
      <c r="FG15" s="21">
        <f t="shared" si="29"/>
        <v>27154404.400000002</v>
      </c>
      <c r="FH15" s="21">
        <f t="shared" si="29"/>
        <v>27154404.400000002</v>
      </c>
      <c r="FI15" s="21">
        <f t="shared" si="29"/>
        <v>27154404.400000002</v>
      </c>
      <c r="FJ15" s="21">
        <f t="shared" si="29"/>
        <v>27154404.400000002</v>
      </c>
      <c r="FK15" s="21">
        <f t="shared" si="29"/>
        <v>27154404.400000002</v>
      </c>
      <c r="FL15" s="21">
        <f t="shared" si="29"/>
        <v>27154404.400000002</v>
      </c>
      <c r="FM15" s="21">
        <f t="shared" si="29"/>
        <v>27154404.400000002</v>
      </c>
      <c r="FN15" s="21">
        <f t="shared" si="29"/>
        <v>27154404.400000002</v>
      </c>
      <c r="FO15" s="21">
        <f t="shared" si="29"/>
        <v>27154404.400000002</v>
      </c>
      <c r="FP15" s="21">
        <f t="shared" si="29"/>
        <v>27154404.400000002</v>
      </c>
      <c r="FQ15" s="21">
        <f t="shared" si="29"/>
        <v>27154404.400000002</v>
      </c>
      <c r="FR15" s="21">
        <f t="shared" si="29"/>
        <v>27154404.400000002</v>
      </c>
      <c r="FS15" s="21">
        <f t="shared" si="29"/>
        <v>27154404.400000002</v>
      </c>
      <c r="FT15" s="21">
        <f t="shared" si="29"/>
        <v>27154404.400000002</v>
      </c>
      <c r="FU15" s="21">
        <f t="shared" si="29"/>
        <v>27154404.400000002</v>
      </c>
      <c r="FV15" s="21">
        <f t="shared" si="29"/>
        <v>27154404.400000002</v>
      </c>
      <c r="FW15" s="21">
        <f t="shared" si="29"/>
        <v>27154404.400000002</v>
      </c>
      <c r="FX15" s="21">
        <f t="shared" si="29"/>
        <v>27154404.400000002</v>
      </c>
      <c r="FY15" s="21">
        <f t="shared" si="29"/>
        <v>27154404.400000002</v>
      </c>
      <c r="FZ15" s="21">
        <f t="shared" si="29"/>
        <v>27154404.400000002</v>
      </c>
      <c r="GA15" s="21">
        <f t="shared" si="29"/>
        <v>27154404.400000002</v>
      </c>
      <c r="GB15" s="21">
        <f t="shared" si="29"/>
        <v>27154404.400000002</v>
      </c>
      <c r="GC15" s="21">
        <f t="shared" si="29"/>
        <v>27154404.400000002</v>
      </c>
      <c r="GD15" s="21">
        <f t="shared" si="29"/>
        <v>27154404.400000002</v>
      </c>
      <c r="GE15" s="21">
        <f t="shared" si="29"/>
        <v>27154404.400000002</v>
      </c>
      <c r="GF15" s="21">
        <f t="shared" si="29"/>
        <v>27154404.400000002</v>
      </c>
      <c r="GG15" s="21">
        <f t="shared" si="29"/>
        <v>27154404.400000002</v>
      </c>
      <c r="GH15" s="21">
        <f t="shared" si="29"/>
        <v>27154404.400000002</v>
      </c>
      <c r="GI15" s="21">
        <f t="shared" si="29"/>
        <v>27154404.400000002</v>
      </c>
      <c r="GJ15" s="21">
        <f t="shared" si="29"/>
        <v>27154404.400000002</v>
      </c>
      <c r="GK15" s="21">
        <f t="shared" si="29"/>
        <v>27154404.400000002</v>
      </c>
      <c r="GL15" s="21">
        <f t="shared" si="29"/>
        <v>27154404.400000002</v>
      </c>
      <c r="GM15" s="21">
        <f t="shared" si="29"/>
        <v>27154404.400000002</v>
      </c>
      <c r="GN15" s="21">
        <f t="shared" si="29"/>
        <v>27154404.400000002</v>
      </c>
      <c r="GO15" s="21">
        <f t="shared" si="29"/>
        <v>27154404.400000002</v>
      </c>
      <c r="GP15" s="21">
        <f t="shared" si="29"/>
        <v>27154404.400000002</v>
      </c>
      <c r="GQ15" s="21">
        <f t="shared" ref="GQ15:IN15" si="30">IF(IF(AND(ISNA(GQ$5),ISNA(GP$5)),GP15*(1+$E15),IF(AND(GP$5&gt;0,ISNA(GQ$5)),GP15*(1+$E15),GQ$5))&gt;$C$21,$C$21,IF(AND(ISNA(GQ$5),ISNA(GP$5)),GP15*(1+$E15),IF(AND(GP$5&gt;0,ISNA(GQ$5)),GP15*(1+$E15),GQ$5)))</f>
        <v>27154404.400000002</v>
      </c>
      <c r="GR15" s="21">
        <f t="shared" si="30"/>
        <v>27154404.400000002</v>
      </c>
      <c r="GS15" s="21">
        <f t="shared" si="30"/>
        <v>27154404.400000002</v>
      </c>
      <c r="GT15" s="21">
        <f t="shared" si="30"/>
        <v>27154404.400000002</v>
      </c>
      <c r="GU15" s="21">
        <f t="shared" si="30"/>
        <v>27154404.400000002</v>
      </c>
      <c r="GV15" s="21">
        <f t="shared" si="30"/>
        <v>27154404.400000002</v>
      </c>
      <c r="GW15" s="21">
        <f t="shared" si="30"/>
        <v>27154404.400000002</v>
      </c>
      <c r="GX15" s="21">
        <f t="shared" si="30"/>
        <v>27154404.400000002</v>
      </c>
      <c r="GY15" s="21">
        <f t="shared" si="30"/>
        <v>27154404.400000002</v>
      </c>
      <c r="GZ15" s="21">
        <f t="shared" si="30"/>
        <v>27154404.400000002</v>
      </c>
      <c r="HA15" s="21">
        <f t="shared" si="30"/>
        <v>27154404.400000002</v>
      </c>
      <c r="HB15" s="21">
        <f t="shared" si="30"/>
        <v>27154404.400000002</v>
      </c>
      <c r="HC15" s="21">
        <f t="shared" si="30"/>
        <v>27154404.400000002</v>
      </c>
      <c r="HD15" s="21">
        <f t="shared" si="30"/>
        <v>27154404.400000002</v>
      </c>
      <c r="HE15" s="21">
        <f t="shared" si="30"/>
        <v>27154404.400000002</v>
      </c>
      <c r="HF15" s="21">
        <f t="shared" si="30"/>
        <v>27154404.400000002</v>
      </c>
      <c r="HG15" s="21">
        <f t="shared" si="30"/>
        <v>27154404.400000002</v>
      </c>
      <c r="HH15" s="21">
        <f t="shared" si="30"/>
        <v>27154404.400000002</v>
      </c>
      <c r="HI15" s="21">
        <f t="shared" si="30"/>
        <v>27154404.400000002</v>
      </c>
      <c r="HJ15" s="21">
        <f t="shared" si="30"/>
        <v>27154404.400000002</v>
      </c>
      <c r="HK15" s="21">
        <f t="shared" si="30"/>
        <v>27154404.400000002</v>
      </c>
      <c r="HL15" s="21">
        <f t="shared" si="30"/>
        <v>27154404.400000002</v>
      </c>
      <c r="HM15" s="21">
        <f t="shared" si="30"/>
        <v>27154404.400000002</v>
      </c>
      <c r="HN15" s="21">
        <f t="shared" si="30"/>
        <v>27154404.400000002</v>
      </c>
      <c r="HO15" s="21">
        <f t="shared" si="30"/>
        <v>27154404.400000002</v>
      </c>
      <c r="HP15" s="21">
        <f t="shared" si="30"/>
        <v>27154404.400000002</v>
      </c>
      <c r="HQ15" s="21">
        <f t="shared" si="30"/>
        <v>27154404.400000002</v>
      </c>
      <c r="HR15" s="21">
        <f t="shared" si="30"/>
        <v>27154404.400000002</v>
      </c>
      <c r="HS15" s="21">
        <f t="shared" si="30"/>
        <v>27154404.400000002</v>
      </c>
      <c r="HT15" s="21">
        <f t="shared" si="30"/>
        <v>27154404.400000002</v>
      </c>
      <c r="HU15" s="21">
        <f t="shared" si="30"/>
        <v>27154404.400000002</v>
      </c>
      <c r="HV15" s="21">
        <f t="shared" si="30"/>
        <v>27154404.400000002</v>
      </c>
      <c r="HW15" s="21">
        <f t="shared" si="30"/>
        <v>27154404.400000002</v>
      </c>
      <c r="HX15" s="21">
        <f t="shared" si="30"/>
        <v>27154404.400000002</v>
      </c>
      <c r="HY15" s="21">
        <f t="shared" si="30"/>
        <v>27154404.400000002</v>
      </c>
      <c r="HZ15" s="21">
        <f t="shared" si="30"/>
        <v>27154404.400000002</v>
      </c>
      <c r="IA15" s="21">
        <f t="shared" si="30"/>
        <v>27154404.400000002</v>
      </c>
      <c r="IB15" s="21">
        <f t="shared" si="30"/>
        <v>27154404.400000002</v>
      </c>
      <c r="IC15" s="21">
        <f t="shared" si="30"/>
        <v>27154404.400000002</v>
      </c>
      <c r="ID15" s="21">
        <f t="shared" si="30"/>
        <v>27154404.400000002</v>
      </c>
      <c r="IE15" s="21">
        <f t="shared" si="30"/>
        <v>27154404.400000002</v>
      </c>
      <c r="IF15" s="21">
        <f t="shared" si="30"/>
        <v>27154404.400000002</v>
      </c>
      <c r="IG15" s="21">
        <f t="shared" si="30"/>
        <v>27154404.400000002</v>
      </c>
      <c r="IH15" s="21">
        <f t="shared" si="30"/>
        <v>27154404.400000002</v>
      </c>
      <c r="II15" s="21">
        <f t="shared" si="30"/>
        <v>27154404.400000002</v>
      </c>
      <c r="IJ15" s="21">
        <f t="shared" si="30"/>
        <v>27154404.400000002</v>
      </c>
      <c r="IK15" s="21">
        <f t="shared" si="30"/>
        <v>27154404.400000002</v>
      </c>
      <c r="IL15" s="21">
        <f t="shared" si="30"/>
        <v>27154404.400000002</v>
      </c>
      <c r="IM15" s="21">
        <f t="shared" si="30"/>
        <v>27154404.400000002</v>
      </c>
      <c r="IN15" s="21">
        <f t="shared" si="30"/>
        <v>27154404.400000002</v>
      </c>
    </row>
    <row r="16" spans="2:248" x14ac:dyDescent="0.3">
      <c r="B16" s="19" t="s">
        <v>467</v>
      </c>
      <c r="C16" s="21">
        <f>VLOOKUP(B2,Country_Data!C:M,11,FALSE)</f>
        <v>4480.4767259999999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</row>
    <row r="17" spans="2:248" x14ac:dyDescent="0.3">
      <c r="B17" s="19" t="s">
        <v>502</v>
      </c>
      <c r="C17" s="23">
        <v>2.5000000000000001E-2</v>
      </c>
      <c r="F17" s="22" t="s">
        <v>467</v>
      </c>
      <c r="G17" s="24">
        <f t="shared" ref="G17:BR17" si="31">$C$16</f>
        <v>4480.4767259999999</v>
      </c>
      <c r="H17" s="24">
        <f t="shared" si="31"/>
        <v>4480.4767259999999</v>
      </c>
      <c r="I17" s="24">
        <f t="shared" si="31"/>
        <v>4480.4767259999999</v>
      </c>
      <c r="J17" s="24">
        <f t="shared" si="31"/>
        <v>4480.4767259999999</v>
      </c>
      <c r="K17" s="24">
        <f t="shared" si="31"/>
        <v>4480.4767259999999</v>
      </c>
      <c r="L17" s="24">
        <f t="shared" si="31"/>
        <v>4480.4767259999999</v>
      </c>
      <c r="M17" s="24">
        <f t="shared" si="31"/>
        <v>4480.4767259999999</v>
      </c>
      <c r="N17" s="24">
        <f t="shared" si="31"/>
        <v>4480.4767259999999</v>
      </c>
      <c r="O17" s="24">
        <f t="shared" si="31"/>
        <v>4480.4767259999999</v>
      </c>
      <c r="P17" s="24">
        <f t="shared" si="31"/>
        <v>4480.4767259999999</v>
      </c>
      <c r="Q17" s="24">
        <f t="shared" si="31"/>
        <v>4480.4767259999999</v>
      </c>
      <c r="R17" s="24">
        <f t="shared" si="31"/>
        <v>4480.4767259999999</v>
      </c>
      <c r="S17" s="24">
        <f t="shared" si="31"/>
        <v>4480.4767259999999</v>
      </c>
      <c r="T17" s="24">
        <f t="shared" si="31"/>
        <v>4480.4767259999999</v>
      </c>
      <c r="U17" s="24">
        <f t="shared" si="31"/>
        <v>4480.4767259999999</v>
      </c>
      <c r="V17" s="24">
        <f t="shared" si="31"/>
        <v>4480.4767259999999</v>
      </c>
      <c r="W17" s="24">
        <f t="shared" si="31"/>
        <v>4480.4767259999999</v>
      </c>
      <c r="X17" s="24">
        <f t="shared" si="31"/>
        <v>4480.4767259999999</v>
      </c>
      <c r="Y17" s="24">
        <f t="shared" si="31"/>
        <v>4480.4767259999999</v>
      </c>
      <c r="Z17" s="24">
        <f t="shared" si="31"/>
        <v>4480.4767259999999</v>
      </c>
      <c r="AA17" s="24">
        <f t="shared" si="31"/>
        <v>4480.4767259999999</v>
      </c>
      <c r="AB17" s="24">
        <f t="shared" si="31"/>
        <v>4480.4767259999999</v>
      </c>
      <c r="AC17" s="24">
        <f t="shared" si="31"/>
        <v>4480.4767259999999</v>
      </c>
      <c r="AD17" s="24">
        <f t="shared" si="31"/>
        <v>4480.4767259999999</v>
      </c>
      <c r="AE17" s="24">
        <f t="shared" si="31"/>
        <v>4480.4767259999999</v>
      </c>
      <c r="AF17" s="24">
        <f t="shared" si="31"/>
        <v>4480.4767259999999</v>
      </c>
      <c r="AG17" s="24">
        <f t="shared" si="31"/>
        <v>4480.4767259999999</v>
      </c>
      <c r="AH17" s="24">
        <f t="shared" si="31"/>
        <v>4480.4767259999999</v>
      </c>
      <c r="AI17" s="24">
        <f t="shared" si="31"/>
        <v>4480.4767259999999</v>
      </c>
      <c r="AJ17" s="24">
        <f t="shared" si="31"/>
        <v>4480.4767259999999</v>
      </c>
      <c r="AK17" s="24">
        <f t="shared" si="31"/>
        <v>4480.4767259999999</v>
      </c>
      <c r="AL17" s="24">
        <f t="shared" si="31"/>
        <v>4480.4767259999999</v>
      </c>
      <c r="AM17" s="24">
        <f t="shared" si="31"/>
        <v>4480.4767259999999</v>
      </c>
      <c r="AN17" s="24">
        <f t="shared" si="31"/>
        <v>4480.4767259999999</v>
      </c>
      <c r="AO17" s="24">
        <f t="shared" si="31"/>
        <v>4480.4767259999999</v>
      </c>
      <c r="AP17" s="24">
        <f t="shared" si="31"/>
        <v>4480.4767259999999</v>
      </c>
      <c r="AQ17" s="24">
        <f t="shared" si="31"/>
        <v>4480.4767259999999</v>
      </c>
      <c r="AR17" s="24">
        <f t="shared" si="31"/>
        <v>4480.4767259999999</v>
      </c>
      <c r="AS17" s="24">
        <f t="shared" si="31"/>
        <v>4480.4767259999999</v>
      </c>
      <c r="AT17" s="24">
        <f t="shared" si="31"/>
        <v>4480.4767259999999</v>
      </c>
      <c r="AU17" s="24">
        <f t="shared" si="31"/>
        <v>4480.4767259999999</v>
      </c>
      <c r="AV17" s="24">
        <f t="shared" si="31"/>
        <v>4480.4767259999999</v>
      </c>
      <c r="AW17" s="24">
        <f t="shared" si="31"/>
        <v>4480.4767259999999</v>
      </c>
      <c r="AX17" s="24">
        <f t="shared" si="31"/>
        <v>4480.4767259999999</v>
      </c>
      <c r="AY17" s="24">
        <f t="shared" si="31"/>
        <v>4480.4767259999999</v>
      </c>
      <c r="AZ17" s="24">
        <f t="shared" si="31"/>
        <v>4480.4767259999999</v>
      </c>
      <c r="BA17" s="24">
        <f t="shared" si="31"/>
        <v>4480.4767259999999</v>
      </c>
      <c r="BB17" s="24">
        <f t="shared" si="31"/>
        <v>4480.4767259999999</v>
      </c>
      <c r="BC17" s="24">
        <f t="shared" si="31"/>
        <v>4480.4767259999999</v>
      </c>
      <c r="BD17" s="24">
        <f t="shared" si="31"/>
        <v>4480.4767259999999</v>
      </c>
      <c r="BE17" s="24">
        <f t="shared" si="31"/>
        <v>4480.4767259999999</v>
      </c>
      <c r="BF17" s="24">
        <f t="shared" si="31"/>
        <v>4480.4767259999999</v>
      </c>
      <c r="BG17" s="24">
        <f t="shared" si="31"/>
        <v>4480.4767259999999</v>
      </c>
      <c r="BH17" s="24">
        <f t="shared" si="31"/>
        <v>4480.4767259999999</v>
      </c>
      <c r="BI17" s="24">
        <f t="shared" si="31"/>
        <v>4480.4767259999999</v>
      </c>
      <c r="BJ17" s="24">
        <f t="shared" si="31"/>
        <v>4480.4767259999999</v>
      </c>
      <c r="BK17" s="24">
        <f t="shared" si="31"/>
        <v>4480.4767259999999</v>
      </c>
      <c r="BL17" s="24">
        <f t="shared" si="31"/>
        <v>4480.4767259999999</v>
      </c>
      <c r="BM17" s="24">
        <f t="shared" si="31"/>
        <v>4480.4767259999999</v>
      </c>
      <c r="BN17" s="24">
        <f t="shared" si="31"/>
        <v>4480.4767259999999</v>
      </c>
      <c r="BO17" s="24">
        <f t="shared" si="31"/>
        <v>4480.4767259999999</v>
      </c>
      <c r="BP17" s="24">
        <f t="shared" si="31"/>
        <v>4480.4767259999999</v>
      </c>
      <c r="BQ17" s="24">
        <f t="shared" si="31"/>
        <v>4480.4767259999999</v>
      </c>
      <c r="BR17" s="24">
        <f t="shared" si="31"/>
        <v>4480.4767259999999</v>
      </c>
      <c r="BS17" s="24">
        <f t="shared" ref="BS17:ED17" si="32">$C$16</f>
        <v>4480.4767259999999</v>
      </c>
      <c r="BT17" s="24">
        <f t="shared" si="32"/>
        <v>4480.4767259999999</v>
      </c>
      <c r="BU17" s="24">
        <f t="shared" si="32"/>
        <v>4480.4767259999999</v>
      </c>
      <c r="BV17" s="24">
        <f t="shared" si="32"/>
        <v>4480.4767259999999</v>
      </c>
      <c r="BW17" s="24">
        <f t="shared" si="32"/>
        <v>4480.4767259999999</v>
      </c>
      <c r="BX17" s="24">
        <f t="shared" si="32"/>
        <v>4480.4767259999999</v>
      </c>
      <c r="BY17" s="24">
        <f t="shared" si="32"/>
        <v>4480.4767259999999</v>
      </c>
      <c r="BZ17" s="24">
        <f t="shared" si="32"/>
        <v>4480.4767259999999</v>
      </c>
      <c r="CA17" s="24">
        <f t="shared" si="32"/>
        <v>4480.4767259999999</v>
      </c>
      <c r="CB17" s="24">
        <f t="shared" si="32"/>
        <v>4480.4767259999999</v>
      </c>
      <c r="CC17" s="24">
        <f t="shared" si="32"/>
        <v>4480.4767259999999</v>
      </c>
      <c r="CD17" s="24">
        <f t="shared" si="32"/>
        <v>4480.4767259999999</v>
      </c>
      <c r="CE17" s="24">
        <f t="shared" si="32"/>
        <v>4480.4767259999999</v>
      </c>
      <c r="CF17" s="24">
        <f t="shared" si="32"/>
        <v>4480.4767259999999</v>
      </c>
      <c r="CG17" s="24">
        <f t="shared" si="32"/>
        <v>4480.4767259999999</v>
      </c>
      <c r="CH17" s="24">
        <f t="shared" si="32"/>
        <v>4480.4767259999999</v>
      </c>
      <c r="CI17" s="24">
        <f t="shared" si="32"/>
        <v>4480.4767259999999</v>
      </c>
      <c r="CJ17" s="24">
        <f t="shared" si="32"/>
        <v>4480.4767259999999</v>
      </c>
      <c r="CK17" s="24">
        <f t="shared" si="32"/>
        <v>4480.4767259999999</v>
      </c>
      <c r="CL17" s="24">
        <f t="shared" si="32"/>
        <v>4480.4767259999999</v>
      </c>
      <c r="CM17" s="24">
        <f t="shared" si="32"/>
        <v>4480.4767259999999</v>
      </c>
      <c r="CN17" s="24">
        <f t="shared" si="32"/>
        <v>4480.4767259999999</v>
      </c>
      <c r="CO17" s="24">
        <f t="shared" si="32"/>
        <v>4480.4767259999999</v>
      </c>
      <c r="CP17" s="24">
        <f t="shared" si="32"/>
        <v>4480.4767259999999</v>
      </c>
      <c r="CQ17" s="24">
        <f t="shared" si="32"/>
        <v>4480.4767259999999</v>
      </c>
      <c r="CR17" s="24">
        <f t="shared" si="32"/>
        <v>4480.4767259999999</v>
      </c>
      <c r="CS17" s="24">
        <f t="shared" si="32"/>
        <v>4480.4767259999999</v>
      </c>
      <c r="CT17" s="24">
        <f t="shared" si="32"/>
        <v>4480.4767259999999</v>
      </c>
      <c r="CU17" s="24">
        <f t="shared" si="32"/>
        <v>4480.4767259999999</v>
      </c>
      <c r="CV17" s="24">
        <f t="shared" si="32"/>
        <v>4480.4767259999999</v>
      </c>
      <c r="CW17" s="24">
        <f t="shared" si="32"/>
        <v>4480.4767259999999</v>
      </c>
      <c r="CX17" s="24">
        <f t="shared" si="32"/>
        <v>4480.4767259999999</v>
      </c>
      <c r="CY17" s="24">
        <f t="shared" si="32"/>
        <v>4480.4767259999999</v>
      </c>
      <c r="CZ17" s="24">
        <f t="shared" si="32"/>
        <v>4480.4767259999999</v>
      </c>
      <c r="DA17" s="24">
        <f t="shared" si="32"/>
        <v>4480.4767259999999</v>
      </c>
      <c r="DB17" s="24">
        <f t="shared" si="32"/>
        <v>4480.4767259999999</v>
      </c>
      <c r="DC17" s="24">
        <f t="shared" si="32"/>
        <v>4480.4767259999999</v>
      </c>
      <c r="DD17" s="24">
        <f t="shared" si="32"/>
        <v>4480.4767259999999</v>
      </c>
      <c r="DE17" s="24">
        <f t="shared" si="32"/>
        <v>4480.4767259999999</v>
      </c>
      <c r="DF17" s="24">
        <f t="shared" si="32"/>
        <v>4480.4767259999999</v>
      </c>
      <c r="DG17" s="24">
        <f t="shared" si="32"/>
        <v>4480.4767259999999</v>
      </c>
      <c r="DH17" s="24">
        <f t="shared" si="32"/>
        <v>4480.4767259999999</v>
      </c>
      <c r="DI17" s="24">
        <f t="shared" si="32"/>
        <v>4480.4767259999999</v>
      </c>
      <c r="DJ17" s="24">
        <f t="shared" si="32"/>
        <v>4480.4767259999999</v>
      </c>
      <c r="DK17" s="24">
        <f t="shared" si="32"/>
        <v>4480.4767259999999</v>
      </c>
      <c r="DL17" s="24">
        <f t="shared" si="32"/>
        <v>4480.4767259999999</v>
      </c>
      <c r="DM17" s="24">
        <f t="shared" si="32"/>
        <v>4480.4767259999999</v>
      </c>
      <c r="DN17" s="24">
        <f t="shared" si="32"/>
        <v>4480.4767259999999</v>
      </c>
      <c r="DO17" s="24">
        <f t="shared" si="32"/>
        <v>4480.4767259999999</v>
      </c>
      <c r="DP17" s="24">
        <f t="shared" si="32"/>
        <v>4480.4767259999999</v>
      </c>
      <c r="DQ17" s="24">
        <f t="shared" si="32"/>
        <v>4480.4767259999999</v>
      </c>
      <c r="DR17" s="24">
        <f t="shared" si="32"/>
        <v>4480.4767259999999</v>
      </c>
      <c r="DS17" s="24">
        <f t="shared" si="32"/>
        <v>4480.4767259999999</v>
      </c>
      <c r="DT17" s="24">
        <f t="shared" si="32"/>
        <v>4480.4767259999999</v>
      </c>
      <c r="DU17" s="24">
        <f t="shared" si="32"/>
        <v>4480.4767259999999</v>
      </c>
      <c r="DV17" s="24">
        <f t="shared" si="32"/>
        <v>4480.4767259999999</v>
      </c>
      <c r="DW17" s="24">
        <f t="shared" si="32"/>
        <v>4480.4767259999999</v>
      </c>
      <c r="DX17" s="24">
        <f t="shared" si="32"/>
        <v>4480.4767259999999</v>
      </c>
      <c r="DY17" s="24">
        <f t="shared" si="32"/>
        <v>4480.4767259999999</v>
      </c>
      <c r="DZ17" s="24">
        <f t="shared" si="32"/>
        <v>4480.4767259999999</v>
      </c>
      <c r="EA17" s="24">
        <f t="shared" si="32"/>
        <v>4480.4767259999999</v>
      </c>
      <c r="EB17" s="24">
        <f t="shared" si="32"/>
        <v>4480.4767259999999</v>
      </c>
      <c r="EC17" s="24">
        <f t="shared" si="32"/>
        <v>4480.4767259999999</v>
      </c>
      <c r="ED17" s="24">
        <f t="shared" si="32"/>
        <v>4480.4767259999999</v>
      </c>
      <c r="EE17" s="24">
        <f t="shared" ref="EE17:GP17" si="33">$C$16</f>
        <v>4480.4767259999999</v>
      </c>
      <c r="EF17" s="24">
        <f t="shared" si="33"/>
        <v>4480.4767259999999</v>
      </c>
      <c r="EG17" s="24">
        <f t="shared" si="33"/>
        <v>4480.4767259999999</v>
      </c>
      <c r="EH17" s="24">
        <f t="shared" si="33"/>
        <v>4480.4767259999999</v>
      </c>
      <c r="EI17" s="24">
        <f t="shared" si="33"/>
        <v>4480.4767259999999</v>
      </c>
      <c r="EJ17" s="24">
        <f t="shared" si="33"/>
        <v>4480.4767259999999</v>
      </c>
      <c r="EK17" s="24">
        <f t="shared" si="33"/>
        <v>4480.4767259999999</v>
      </c>
      <c r="EL17" s="24">
        <f t="shared" si="33"/>
        <v>4480.4767259999999</v>
      </c>
      <c r="EM17" s="24">
        <f t="shared" si="33"/>
        <v>4480.4767259999999</v>
      </c>
      <c r="EN17" s="24">
        <f t="shared" si="33"/>
        <v>4480.4767259999999</v>
      </c>
      <c r="EO17" s="24">
        <f t="shared" si="33"/>
        <v>4480.4767259999999</v>
      </c>
      <c r="EP17" s="24">
        <f t="shared" si="33"/>
        <v>4480.4767259999999</v>
      </c>
      <c r="EQ17" s="24">
        <f t="shared" si="33"/>
        <v>4480.4767259999999</v>
      </c>
      <c r="ER17" s="24">
        <f t="shared" si="33"/>
        <v>4480.4767259999999</v>
      </c>
      <c r="ES17" s="24">
        <f t="shared" si="33"/>
        <v>4480.4767259999999</v>
      </c>
      <c r="ET17" s="24">
        <f t="shared" si="33"/>
        <v>4480.4767259999999</v>
      </c>
      <c r="EU17" s="24">
        <f t="shared" si="33"/>
        <v>4480.4767259999999</v>
      </c>
      <c r="EV17" s="24">
        <f t="shared" si="33"/>
        <v>4480.4767259999999</v>
      </c>
      <c r="EW17" s="24">
        <f t="shared" si="33"/>
        <v>4480.4767259999999</v>
      </c>
      <c r="EX17" s="24">
        <f t="shared" si="33"/>
        <v>4480.4767259999999</v>
      </c>
      <c r="EY17" s="24">
        <f t="shared" si="33"/>
        <v>4480.4767259999999</v>
      </c>
      <c r="EZ17" s="24">
        <f t="shared" si="33"/>
        <v>4480.4767259999999</v>
      </c>
      <c r="FA17" s="24">
        <f t="shared" si="33"/>
        <v>4480.4767259999999</v>
      </c>
      <c r="FB17" s="24">
        <f t="shared" si="33"/>
        <v>4480.4767259999999</v>
      </c>
      <c r="FC17" s="24">
        <f t="shared" si="33"/>
        <v>4480.4767259999999</v>
      </c>
      <c r="FD17" s="24">
        <f t="shared" si="33"/>
        <v>4480.4767259999999</v>
      </c>
      <c r="FE17" s="24">
        <f t="shared" si="33"/>
        <v>4480.4767259999999</v>
      </c>
      <c r="FF17" s="24">
        <f t="shared" si="33"/>
        <v>4480.4767259999999</v>
      </c>
      <c r="FG17" s="24">
        <f t="shared" si="33"/>
        <v>4480.4767259999999</v>
      </c>
      <c r="FH17" s="24">
        <f t="shared" si="33"/>
        <v>4480.4767259999999</v>
      </c>
      <c r="FI17" s="24">
        <f t="shared" si="33"/>
        <v>4480.4767259999999</v>
      </c>
      <c r="FJ17" s="24">
        <f t="shared" si="33"/>
        <v>4480.4767259999999</v>
      </c>
      <c r="FK17" s="24">
        <f t="shared" si="33"/>
        <v>4480.4767259999999</v>
      </c>
      <c r="FL17" s="24">
        <f t="shared" si="33"/>
        <v>4480.4767259999999</v>
      </c>
      <c r="FM17" s="24">
        <f t="shared" si="33"/>
        <v>4480.4767259999999</v>
      </c>
      <c r="FN17" s="24">
        <f t="shared" si="33"/>
        <v>4480.4767259999999</v>
      </c>
      <c r="FO17" s="24">
        <f t="shared" si="33"/>
        <v>4480.4767259999999</v>
      </c>
      <c r="FP17" s="24">
        <f t="shared" si="33"/>
        <v>4480.4767259999999</v>
      </c>
      <c r="FQ17" s="24">
        <f t="shared" si="33"/>
        <v>4480.4767259999999</v>
      </c>
      <c r="FR17" s="24">
        <f t="shared" si="33"/>
        <v>4480.4767259999999</v>
      </c>
      <c r="FS17" s="24">
        <f t="shared" si="33"/>
        <v>4480.4767259999999</v>
      </c>
      <c r="FT17" s="24">
        <f t="shared" si="33"/>
        <v>4480.4767259999999</v>
      </c>
      <c r="FU17" s="24">
        <f t="shared" si="33"/>
        <v>4480.4767259999999</v>
      </c>
      <c r="FV17" s="24">
        <f t="shared" si="33"/>
        <v>4480.4767259999999</v>
      </c>
      <c r="FW17" s="24">
        <f t="shared" si="33"/>
        <v>4480.4767259999999</v>
      </c>
      <c r="FX17" s="24">
        <f t="shared" si="33"/>
        <v>4480.4767259999999</v>
      </c>
      <c r="FY17" s="24">
        <f t="shared" si="33"/>
        <v>4480.4767259999999</v>
      </c>
      <c r="FZ17" s="24">
        <f t="shared" si="33"/>
        <v>4480.4767259999999</v>
      </c>
      <c r="GA17" s="24">
        <f t="shared" si="33"/>
        <v>4480.4767259999999</v>
      </c>
      <c r="GB17" s="24">
        <f t="shared" si="33"/>
        <v>4480.4767259999999</v>
      </c>
      <c r="GC17" s="24">
        <f t="shared" si="33"/>
        <v>4480.4767259999999</v>
      </c>
      <c r="GD17" s="24">
        <f t="shared" si="33"/>
        <v>4480.4767259999999</v>
      </c>
      <c r="GE17" s="24">
        <f t="shared" si="33"/>
        <v>4480.4767259999999</v>
      </c>
      <c r="GF17" s="24">
        <f t="shared" si="33"/>
        <v>4480.4767259999999</v>
      </c>
      <c r="GG17" s="24">
        <f t="shared" si="33"/>
        <v>4480.4767259999999</v>
      </c>
      <c r="GH17" s="24">
        <f t="shared" si="33"/>
        <v>4480.4767259999999</v>
      </c>
      <c r="GI17" s="24">
        <f t="shared" si="33"/>
        <v>4480.4767259999999</v>
      </c>
      <c r="GJ17" s="24">
        <f t="shared" si="33"/>
        <v>4480.4767259999999</v>
      </c>
      <c r="GK17" s="24">
        <f t="shared" si="33"/>
        <v>4480.4767259999999</v>
      </c>
      <c r="GL17" s="24">
        <f t="shared" si="33"/>
        <v>4480.4767259999999</v>
      </c>
      <c r="GM17" s="24">
        <f t="shared" si="33"/>
        <v>4480.4767259999999</v>
      </c>
      <c r="GN17" s="24">
        <f t="shared" si="33"/>
        <v>4480.4767259999999</v>
      </c>
      <c r="GO17" s="24">
        <f t="shared" si="33"/>
        <v>4480.4767259999999</v>
      </c>
      <c r="GP17" s="24">
        <f t="shared" si="33"/>
        <v>4480.4767259999999</v>
      </c>
      <c r="GQ17" s="24">
        <f t="shared" ref="GQ17:IN17" si="34">$C$16</f>
        <v>4480.4767259999999</v>
      </c>
      <c r="GR17" s="24">
        <f t="shared" si="34"/>
        <v>4480.4767259999999</v>
      </c>
      <c r="GS17" s="24">
        <f t="shared" si="34"/>
        <v>4480.4767259999999</v>
      </c>
      <c r="GT17" s="24">
        <f t="shared" si="34"/>
        <v>4480.4767259999999</v>
      </c>
      <c r="GU17" s="24">
        <f t="shared" si="34"/>
        <v>4480.4767259999999</v>
      </c>
      <c r="GV17" s="24">
        <f t="shared" si="34"/>
        <v>4480.4767259999999</v>
      </c>
      <c r="GW17" s="24">
        <f t="shared" si="34"/>
        <v>4480.4767259999999</v>
      </c>
      <c r="GX17" s="24">
        <f t="shared" si="34"/>
        <v>4480.4767259999999</v>
      </c>
      <c r="GY17" s="24">
        <f t="shared" si="34"/>
        <v>4480.4767259999999</v>
      </c>
      <c r="GZ17" s="24">
        <f t="shared" si="34"/>
        <v>4480.4767259999999</v>
      </c>
      <c r="HA17" s="24">
        <f t="shared" si="34"/>
        <v>4480.4767259999999</v>
      </c>
      <c r="HB17" s="24">
        <f t="shared" si="34"/>
        <v>4480.4767259999999</v>
      </c>
      <c r="HC17" s="24">
        <f t="shared" si="34"/>
        <v>4480.4767259999999</v>
      </c>
      <c r="HD17" s="24">
        <f t="shared" si="34"/>
        <v>4480.4767259999999</v>
      </c>
      <c r="HE17" s="24">
        <f t="shared" si="34"/>
        <v>4480.4767259999999</v>
      </c>
      <c r="HF17" s="24">
        <f t="shared" si="34"/>
        <v>4480.4767259999999</v>
      </c>
      <c r="HG17" s="24">
        <f t="shared" si="34"/>
        <v>4480.4767259999999</v>
      </c>
      <c r="HH17" s="24">
        <f t="shared" si="34"/>
        <v>4480.4767259999999</v>
      </c>
      <c r="HI17" s="24">
        <f t="shared" si="34"/>
        <v>4480.4767259999999</v>
      </c>
      <c r="HJ17" s="24">
        <f t="shared" si="34"/>
        <v>4480.4767259999999</v>
      </c>
      <c r="HK17" s="24">
        <f t="shared" si="34"/>
        <v>4480.4767259999999</v>
      </c>
      <c r="HL17" s="24">
        <f t="shared" si="34"/>
        <v>4480.4767259999999</v>
      </c>
      <c r="HM17" s="24">
        <f t="shared" si="34"/>
        <v>4480.4767259999999</v>
      </c>
      <c r="HN17" s="24">
        <f t="shared" si="34"/>
        <v>4480.4767259999999</v>
      </c>
      <c r="HO17" s="24">
        <f t="shared" si="34"/>
        <v>4480.4767259999999</v>
      </c>
      <c r="HP17" s="24">
        <f t="shared" si="34"/>
        <v>4480.4767259999999</v>
      </c>
      <c r="HQ17" s="24">
        <f t="shared" si="34"/>
        <v>4480.4767259999999</v>
      </c>
      <c r="HR17" s="24">
        <f t="shared" si="34"/>
        <v>4480.4767259999999</v>
      </c>
      <c r="HS17" s="24">
        <f t="shared" si="34"/>
        <v>4480.4767259999999</v>
      </c>
      <c r="HT17" s="24">
        <f t="shared" si="34"/>
        <v>4480.4767259999999</v>
      </c>
      <c r="HU17" s="24">
        <f t="shared" si="34"/>
        <v>4480.4767259999999</v>
      </c>
      <c r="HV17" s="24">
        <f t="shared" si="34"/>
        <v>4480.4767259999999</v>
      </c>
      <c r="HW17" s="24">
        <f t="shared" si="34"/>
        <v>4480.4767259999999</v>
      </c>
      <c r="HX17" s="24">
        <f t="shared" si="34"/>
        <v>4480.4767259999999</v>
      </c>
      <c r="HY17" s="24">
        <f t="shared" si="34"/>
        <v>4480.4767259999999</v>
      </c>
      <c r="HZ17" s="24">
        <f t="shared" si="34"/>
        <v>4480.4767259999999</v>
      </c>
      <c r="IA17" s="24">
        <f t="shared" si="34"/>
        <v>4480.4767259999999</v>
      </c>
      <c r="IB17" s="24">
        <f t="shared" si="34"/>
        <v>4480.4767259999999</v>
      </c>
      <c r="IC17" s="24">
        <f t="shared" si="34"/>
        <v>4480.4767259999999</v>
      </c>
      <c r="ID17" s="24">
        <f t="shared" si="34"/>
        <v>4480.4767259999999</v>
      </c>
      <c r="IE17" s="24">
        <f t="shared" si="34"/>
        <v>4480.4767259999999</v>
      </c>
      <c r="IF17" s="24">
        <f t="shared" si="34"/>
        <v>4480.4767259999999</v>
      </c>
      <c r="IG17" s="24">
        <f t="shared" si="34"/>
        <v>4480.4767259999999</v>
      </c>
      <c r="IH17" s="24">
        <f t="shared" si="34"/>
        <v>4480.4767259999999</v>
      </c>
      <c r="II17" s="24">
        <f t="shared" si="34"/>
        <v>4480.4767259999999</v>
      </c>
      <c r="IJ17" s="24">
        <f t="shared" si="34"/>
        <v>4480.4767259999999</v>
      </c>
      <c r="IK17" s="24">
        <f t="shared" si="34"/>
        <v>4480.4767259999999</v>
      </c>
      <c r="IL17" s="24">
        <f t="shared" si="34"/>
        <v>4480.4767259999999</v>
      </c>
      <c r="IM17" s="24">
        <f t="shared" si="34"/>
        <v>4480.4767259999999</v>
      </c>
      <c r="IN17" s="24">
        <f t="shared" si="34"/>
        <v>4480.4767259999999</v>
      </c>
    </row>
    <row r="18" spans="2:248" x14ac:dyDescent="0.3">
      <c r="F18" s="22" t="str">
        <f>"Critically Ill ("&amp;TEXT(C11,"0%")&amp;" - current rate)"</f>
        <v>Critically Ill (23% - current rate)</v>
      </c>
      <c r="G18" s="24">
        <f>G6*$C$15</f>
        <v>11.862232187344294</v>
      </c>
      <c r="H18" s="24">
        <f t="shared" ref="H18:BS18" si="35">H6*$C$15</f>
        <v>17.07274539113104</v>
      </c>
      <c r="I18" s="24">
        <f t="shared" si="35"/>
        <v>20.731190832087691</v>
      </c>
      <c r="J18" s="24">
        <f t="shared" si="35"/>
        <v>28.048081714000997</v>
      </c>
      <c r="K18" s="24">
        <f t="shared" si="35"/>
        <v>33.25859491778774</v>
      </c>
      <c r="L18" s="24">
        <f t="shared" si="35"/>
        <v>39.799451918285996</v>
      </c>
      <c r="M18" s="24">
        <f t="shared" si="35"/>
        <v>47.892376681614344</v>
      </c>
      <c r="N18" s="24">
        <f t="shared" si="35"/>
        <v>62.415296462381662</v>
      </c>
      <c r="O18" s="24">
        <f t="shared" si="35"/>
        <v>85.918036870951667</v>
      </c>
      <c r="P18" s="24">
        <f t="shared" si="35"/>
        <v>122.39162929745889</v>
      </c>
      <c r="Q18" s="24">
        <f t="shared" si="35"/>
        <v>145.7835077229696</v>
      </c>
      <c r="R18" s="24">
        <f>R6*$C$15</f>
        <v>163.41056302939711</v>
      </c>
      <c r="S18" s="24">
        <f t="shared" si="35"/>
        <v>205.20553064275038</v>
      </c>
      <c r="T18" s="24">
        <f t="shared" si="35"/>
        <v>277.48754359740906</v>
      </c>
      <c r="U18" s="24">
        <f t="shared" si="35"/>
        <v>351.32162431489786</v>
      </c>
      <c r="V18" s="24">
        <f t="shared" si="35"/>
        <v>417.8388141504733</v>
      </c>
      <c r="W18" s="24">
        <f t="shared" si="35"/>
        <v>515.78517733873832</v>
      </c>
      <c r="X18" s="24">
        <f t="shared" si="35"/>
        <v>636.6913272603457</v>
      </c>
      <c r="Y18" s="24">
        <f t="shared" si="35"/>
        <v>785.93930965626203</v>
      </c>
      <c r="Z18" s="24">
        <f t="shared" si="35"/>
        <v>970.17278548602133</v>
      </c>
      <c r="AA18" s="24">
        <f t="shared" si="35"/>
        <v>1197.592768466262</v>
      </c>
      <c r="AB18" s="24">
        <f t="shared" si="35"/>
        <v>1478.3226869883692</v>
      </c>
      <c r="AC18" s="24">
        <f t="shared" si="35"/>
        <v>1824.8590208701473</v>
      </c>
      <c r="AD18" s="24">
        <f t="shared" si="35"/>
        <v>2252.6275726954004</v>
      </c>
      <c r="AE18" s="24">
        <f t="shared" si="35"/>
        <v>2780.670135739023</v>
      </c>
      <c r="AF18" s="24">
        <f t="shared" si="35"/>
        <v>3432.4921249804888</v>
      </c>
      <c r="AG18" s="24">
        <f t="shared" si="35"/>
        <v>4237.1089028586812</v>
      </c>
      <c r="AH18" s="24">
        <f t="shared" si="35"/>
        <v>5230.3373761669873</v>
      </c>
      <c r="AI18" s="24">
        <f t="shared" si="35"/>
        <v>6456.3903585467442</v>
      </c>
      <c r="AJ18" s="24">
        <f t="shared" si="35"/>
        <v>7969.8446704185408</v>
      </c>
      <c r="AK18" s="24">
        <f t="shared" si="35"/>
        <v>9838.0705848300131</v>
      </c>
      <c r="AL18" s="24">
        <f t="shared" si="35"/>
        <v>12144.230764163023</v>
      </c>
      <c r="AM18" s="24">
        <f t="shared" si="35"/>
        <v>14990.982183097629</v>
      </c>
      <c r="AN18" s="24">
        <f t="shared" si="35"/>
        <v>18505.045826131322</v>
      </c>
      <c r="AO18" s="24">
        <f t="shared" si="35"/>
        <v>22842.847576279459</v>
      </c>
      <c r="AP18" s="24">
        <f t="shared" si="35"/>
        <v>28197.481394847397</v>
      </c>
      <c r="AQ18" s="24">
        <f t="shared" si="35"/>
        <v>34807.304752950906</v>
      </c>
      <c r="AR18" s="24">
        <f t="shared" si="35"/>
        <v>42966.548933912527</v>
      </c>
      <c r="AS18" s="24">
        <f t="shared" si="35"/>
        <v>53038.416516113284</v>
      </c>
      <c r="AT18" s="24">
        <f t="shared" si="35"/>
        <v>65471.24906083446</v>
      </c>
      <c r="AU18" s="24">
        <f t="shared" si="35"/>
        <v>80818.4846974752</v>
      </c>
      <c r="AV18" s="24">
        <f t="shared" si="35"/>
        <v>99763.294002944502</v>
      </c>
      <c r="AW18" s="24">
        <f t="shared" si="35"/>
        <v>123148.99082275011</v>
      </c>
      <c r="AX18" s="24">
        <f t="shared" si="35"/>
        <v>152016.57174846469</v>
      </c>
      <c r="AY18" s="24">
        <f t="shared" si="35"/>
        <v>187651.05529299256</v>
      </c>
      <c r="AZ18" s="24">
        <f t="shared" si="35"/>
        <v>231638.68351694613</v>
      </c>
      <c r="BA18" s="24">
        <f t="shared" si="35"/>
        <v>285937.53239323042</v>
      </c>
      <c r="BB18" s="24">
        <f t="shared" si="35"/>
        <v>352964.67407676455</v>
      </c>
      <c r="BC18" s="24">
        <f t="shared" si="35"/>
        <v>435703.77104179742</v>
      </c>
      <c r="BD18" s="24">
        <f t="shared" si="35"/>
        <v>537837.89155839477</v>
      </c>
      <c r="BE18" s="24">
        <f t="shared" si="35"/>
        <v>663913.4586884944</v>
      </c>
      <c r="BF18" s="24">
        <f t="shared" si="35"/>
        <v>819542.63086698542</v>
      </c>
      <c r="BG18" s="24">
        <f t="shared" si="35"/>
        <v>1011653.1228861794</v>
      </c>
      <c r="BH18" s="24">
        <f t="shared" si="35"/>
        <v>1248796.5878756919</v>
      </c>
      <c r="BI18" s="24">
        <f t="shared" si="35"/>
        <v>1541529.2876681299</v>
      </c>
      <c r="BJ18" s="24">
        <f t="shared" si="35"/>
        <v>1902881.996803754</v>
      </c>
      <c r="BK18" s="24">
        <f t="shared" si="35"/>
        <v>2348940.0575951855</v>
      </c>
      <c r="BL18" s="24">
        <f t="shared" si="35"/>
        <v>2899559.4069642671</v>
      </c>
      <c r="BM18" s="24">
        <f t="shared" si="35"/>
        <v>3010391.120577977</v>
      </c>
      <c r="BN18" s="24">
        <f t="shared" si="35"/>
        <v>3010391.120577977</v>
      </c>
      <c r="BO18" s="24">
        <f t="shared" si="35"/>
        <v>3010391.120577977</v>
      </c>
      <c r="BP18" s="24">
        <f t="shared" si="35"/>
        <v>3010391.120577977</v>
      </c>
      <c r="BQ18" s="24">
        <f t="shared" si="35"/>
        <v>3010391.120577977</v>
      </c>
      <c r="BR18" s="24">
        <f t="shared" si="35"/>
        <v>3010391.120577977</v>
      </c>
      <c r="BS18" s="24">
        <f t="shared" si="35"/>
        <v>3010391.120577977</v>
      </c>
      <c r="BT18" s="24">
        <f t="shared" ref="BT18:EE18" si="36">BT6*$C$15</f>
        <v>3010391.120577977</v>
      </c>
      <c r="BU18" s="24">
        <f t="shared" si="36"/>
        <v>3010391.120577977</v>
      </c>
      <c r="BV18" s="24">
        <f t="shared" si="36"/>
        <v>3010391.120577977</v>
      </c>
      <c r="BW18" s="24">
        <f t="shared" si="36"/>
        <v>3010391.120577977</v>
      </c>
      <c r="BX18" s="24">
        <f t="shared" si="36"/>
        <v>3010391.120577977</v>
      </c>
      <c r="BY18" s="24">
        <f t="shared" si="36"/>
        <v>3010391.120577977</v>
      </c>
      <c r="BZ18" s="24">
        <f t="shared" si="36"/>
        <v>3010391.120577977</v>
      </c>
      <c r="CA18" s="24">
        <f t="shared" si="36"/>
        <v>3010391.120577977</v>
      </c>
      <c r="CB18" s="24">
        <f t="shared" si="36"/>
        <v>3010391.120577977</v>
      </c>
      <c r="CC18" s="24">
        <f t="shared" si="36"/>
        <v>3010391.120577977</v>
      </c>
      <c r="CD18" s="24">
        <f t="shared" si="36"/>
        <v>3010391.120577977</v>
      </c>
      <c r="CE18" s="24">
        <f t="shared" si="36"/>
        <v>3010391.120577977</v>
      </c>
      <c r="CF18" s="24">
        <f t="shared" si="36"/>
        <v>3010391.120577977</v>
      </c>
      <c r="CG18" s="24">
        <f t="shared" si="36"/>
        <v>3010391.120577977</v>
      </c>
      <c r="CH18" s="24">
        <f t="shared" si="36"/>
        <v>3010391.120577977</v>
      </c>
      <c r="CI18" s="24">
        <f t="shared" si="36"/>
        <v>3010391.120577977</v>
      </c>
      <c r="CJ18" s="24">
        <f t="shared" si="36"/>
        <v>3010391.120577977</v>
      </c>
      <c r="CK18" s="24">
        <f t="shared" si="36"/>
        <v>3010391.120577977</v>
      </c>
      <c r="CL18" s="24">
        <f t="shared" si="36"/>
        <v>3010391.120577977</v>
      </c>
      <c r="CM18" s="24">
        <f t="shared" si="36"/>
        <v>3010391.120577977</v>
      </c>
      <c r="CN18" s="24">
        <f t="shared" si="36"/>
        <v>3010391.120577977</v>
      </c>
      <c r="CO18" s="24">
        <f t="shared" si="36"/>
        <v>3010391.120577977</v>
      </c>
      <c r="CP18" s="24">
        <f t="shared" si="36"/>
        <v>3010391.120577977</v>
      </c>
      <c r="CQ18" s="24">
        <f t="shared" si="36"/>
        <v>3010391.120577977</v>
      </c>
      <c r="CR18" s="24">
        <f t="shared" si="36"/>
        <v>3010391.120577977</v>
      </c>
      <c r="CS18" s="24">
        <f t="shared" si="36"/>
        <v>3010391.120577977</v>
      </c>
      <c r="CT18" s="24">
        <f t="shared" si="36"/>
        <v>3010391.120577977</v>
      </c>
      <c r="CU18" s="24">
        <f t="shared" si="36"/>
        <v>3010391.120577977</v>
      </c>
      <c r="CV18" s="24">
        <f t="shared" si="36"/>
        <v>3010391.120577977</v>
      </c>
      <c r="CW18" s="24">
        <f t="shared" si="36"/>
        <v>3010391.120577977</v>
      </c>
      <c r="CX18" s="24">
        <f t="shared" si="36"/>
        <v>3010391.120577977</v>
      </c>
      <c r="CY18" s="24">
        <f t="shared" si="36"/>
        <v>3010391.120577977</v>
      </c>
      <c r="CZ18" s="24">
        <f t="shared" si="36"/>
        <v>3010391.120577977</v>
      </c>
      <c r="DA18" s="24">
        <f t="shared" si="36"/>
        <v>3010391.120577977</v>
      </c>
      <c r="DB18" s="24">
        <f t="shared" si="36"/>
        <v>3010391.120577977</v>
      </c>
      <c r="DC18" s="24">
        <f t="shared" si="36"/>
        <v>3010391.120577977</v>
      </c>
      <c r="DD18" s="24">
        <f t="shared" si="36"/>
        <v>3010391.120577977</v>
      </c>
      <c r="DE18" s="24">
        <f t="shared" si="36"/>
        <v>3010391.120577977</v>
      </c>
      <c r="DF18" s="24">
        <f t="shared" si="36"/>
        <v>3010391.120577977</v>
      </c>
      <c r="DG18" s="24">
        <f t="shared" si="36"/>
        <v>3010391.120577977</v>
      </c>
      <c r="DH18" s="24">
        <f t="shared" si="36"/>
        <v>3010391.120577977</v>
      </c>
      <c r="DI18" s="24">
        <f t="shared" si="36"/>
        <v>3010391.120577977</v>
      </c>
      <c r="DJ18" s="24">
        <f t="shared" si="36"/>
        <v>3010391.120577977</v>
      </c>
      <c r="DK18" s="24">
        <f t="shared" si="36"/>
        <v>3010391.120577977</v>
      </c>
      <c r="DL18" s="24">
        <f t="shared" si="36"/>
        <v>3010391.120577977</v>
      </c>
      <c r="DM18" s="24">
        <f t="shared" si="36"/>
        <v>3010391.120577977</v>
      </c>
      <c r="DN18" s="24">
        <f t="shared" si="36"/>
        <v>3010391.120577977</v>
      </c>
      <c r="DO18" s="24">
        <f t="shared" si="36"/>
        <v>3010391.120577977</v>
      </c>
      <c r="DP18" s="24">
        <f t="shared" si="36"/>
        <v>3010391.120577977</v>
      </c>
      <c r="DQ18" s="24">
        <f t="shared" si="36"/>
        <v>3010391.120577977</v>
      </c>
      <c r="DR18" s="24">
        <f t="shared" si="36"/>
        <v>3010391.120577977</v>
      </c>
      <c r="DS18" s="24">
        <f t="shared" si="36"/>
        <v>3010391.120577977</v>
      </c>
      <c r="DT18" s="24">
        <f t="shared" si="36"/>
        <v>3010391.120577977</v>
      </c>
      <c r="DU18" s="24">
        <f t="shared" si="36"/>
        <v>3010391.120577977</v>
      </c>
      <c r="DV18" s="24">
        <f t="shared" si="36"/>
        <v>3010391.120577977</v>
      </c>
      <c r="DW18" s="24">
        <f t="shared" si="36"/>
        <v>3010391.120577977</v>
      </c>
      <c r="DX18" s="24">
        <f t="shared" si="36"/>
        <v>3010391.120577977</v>
      </c>
      <c r="DY18" s="24">
        <f t="shared" si="36"/>
        <v>3010391.120577977</v>
      </c>
      <c r="DZ18" s="24">
        <f t="shared" si="36"/>
        <v>3010391.120577977</v>
      </c>
      <c r="EA18" s="24">
        <f t="shared" si="36"/>
        <v>3010391.120577977</v>
      </c>
      <c r="EB18" s="24">
        <f t="shared" si="36"/>
        <v>3010391.120577977</v>
      </c>
      <c r="EC18" s="24">
        <f t="shared" si="36"/>
        <v>3010391.120577977</v>
      </c>
      <c r="ED18" s="24">
        <f t="shared" si="36"/>
        <v>3010391.120577977</v>
      </c>
      <c r="EE18" s="24">
        <f t="shared" si="36"/>
        <v>3010391.120577977</v>
      </c>
      <c r="EF18" s="24">
        <f t="shared" ref="EF18:GQ18" si="37">EF6*$C$15</f>
        <v>3010391.120577977</v>
      </c>
      <c r="EG18" s="24">
        <f t="shared" si="37"/>
        <v>3010391.120577977</v>
      </c>
      <c r="EH18" s="24">
        <f t="shared" si="37"/>
        <v>3010391.120577977</v>
      </c>
      <c r="EI18" s="24">
        <f t="shared" si="37"/>
        <v>3010391.120577977</v>
      </c>
      <c r="EJ18" s="24">
        <f t="shared" si="37"/>
        <v>3010391.120577977</v>
      </c>
      <c r="EK18" s="24">
        <f t="shared" si="37"/>
        <v>3010391.120577977</v>
      </c>
      <c r="EL18" s="24">
        <f t="shared" si="37"/>
        <v>3010391.120577977</v>
      </c>
      <c r="EM18" s="24">
        <f t="shared" si="37"/>
        <v>3010391.120577977</v>
      </c>
      <c r="EN18" s="24">
        <f t="shared" si="37"/>
        <v>3010391.120577977</v>
      </c>
      <c r="EO18" s="24">
        <f t="shared" si="37"/>
        <v>3010391.120577977</v>
      </c>
      <c r="EP18" s="24">
        <f t="shared" si="37"/>
        <v>3010391.120577977</v>
      </c>
      <c r="EQ18" s="24">
        <f t="shared" si="37"/>
        <v>3010391.120577977</v>
      </c>
      <c r="ER18" s="24">
        <f t="shared" si="37"/>
        <v>3010391.120577977</v>
      </c>
      <c r="ES18" s="24">
        <f t="shared" si="37"/>
        <v>3010391.120577977</v>
      </c>
      <c r="ET18" s="24">
        <f t="shared" si="37"/>
        <v>3010391.120577977</v>
      </c>
      <c r="EU18" s="24">
        <f t="shared" si="37"/>
        <v>3010391.120577977</v>
      </c>
      <c r="EV18" s="24">
        <f t="shared" si="37"/>
        <v>3010391.120577977</v>
      </c>
      <c r="EW18" s="24">
        <f t="shared" si="37"/>
        <v>3010391.120577977</v>
      </c>
      <c r="EX18" s="24">
        <f t="shared" si="37"/>
        <v>3010391.120577977</v>
      </c>
      <c r="EY18" s="24">
        <f t="shared" si="37"/>
        <v>3010391.120577977</v>
      </c>
      <c r="EZ18" s="24">
        <f t="shared" si="37"/>
        <v>3010391.120577977</v>
      </c>
      <c r="FA18" s="24">
        <f t="shared" si="37"/>
        <v>3010391.120577977</v>
      </c>
      <c r="FB18" s="24">
        <f t="shared" si="37"/>
        <v>3010391.120577977</v>
      </c>
      <c r="FC18" s="24">
        <f t="shared" si="37"/>
        <v>3010391.120577977</v>
      </c>
      <c r="FD18" s="24">
        <f t="shared" si="37"/>
        <v>3010391.120577977</v>
      </c>
      <c r="FE18" s="24">
        <f t="shared" si="37"/>
        <v>3010391.120577977</v>
      </c>
      <c r="FF18" s="24">
        <f t="shared" si="37"/>
        <v>3010391.120577977</v>
      </c>
      <c r="FG18" s="24">
        <f t="shared" si="37"/>
        <v>3010391.120577977</v>
      </c>
      <c r="FH18" s="24">
        <f t="shared" si="37"/>
        <v>3010391.120577977</v>
      </c>
      <c r="FI18" s="24">
        <f t="shared" si="37"/>
        <v>3010391.120577977</v>
      </c>
      <c r="FJ18" s="24">
        <f t="shared" si="37"/>
        <v>3010391.120577977</v>
      </c>
      <c r="FK18" s="24">
        <f t="shared" si="37"/>
        <v>3010391.120577977</v>
      </c>
      <c r="FL18" s="24">
        <f t="shared" si="37"/>
        <v>3010391.120577977</v>
      </c>
      <c r="FM18" s="24">
        <f t="shared" si="37"/>
        <v>3010391.120577977</v>
      </c>
      <c r="FN18" s="24">
        <f t="shared" si="37"/>
        <v>3010391.120577977</v>
      </c>
      <c r="FO18" s="24">
        <f t="shared" si="37"/>
        <v>3010391.120577977</v>
      </c>
      <c r="FP18" s="24">
        <f t="shared" si="37"/>
        <v>3010391.120577977</v>
      </c>
      <c r="FQ18" s="24">
        <f t="shared" si="37"/>
        <v>3010391.120577977</v>
      </c>
      <c r="FR18" s="24">
        <f t="shared" si="37"/>
        <v>3010391.120577977</v>
      </c>
      <c r="FS18" s="24">
        <f t="shared" si="37"/>
        <v>3010391.120577977</v>
      </c>
      <c r="FT18" s="24">
        <f t="shared" si="37"/>
        <v>3010391.120577977</v>
      </c>
      <c r="FU18" s="24">
        <f t="shared" si="37"/>
        <v>3010391.120577977</v>
      </c>
      <c r="FV18" s="24">
        <f t="shared" si="37"/>
        <v>3010391.120577977</v>
      </c>
      <c r="FW18" s="24">
        <f t="shared" si="37"/>
        <v>3010391.120577977</v>
      </c>
      <c r="FX18" s="24">
        <f t="shared" si="37"/>
        <v>3010391.120577977</v>
      </c>
      <c r="FY18" s="24">
        <f t="shared" si="37"/>
        <v>3010391.120577977</v>
      </c>
      <c r="FZ18" s="24">
        <f t="shared" si="37"/>
        <v>3010391.120577977</v>
      </c>
      <c r="GA18" s="24">
        <f t="shared" si="37"/>
        <v>3010391.120577977</v>
      </c>
      <c r="GB18" s="24">
        <f t="shared" si="37"/>
        <v>3010391.120577977</v>
      </c>
      <c r="GC18" s="24">
        <f t="shared" si="37"/>
        <v>3010391.120577977</v>
      </c>
      <c r="GD18" s="24">
        <f t="shared" si="37"/>
        <v>3010391.120577977</v>
      </c>
      <c r="GE18" s="24">
        <f t="shared" si="37"/>
        <v>3010391.120577977</v>
      </c>
      <c r="GF18" s="24">
        <f t="shared" si="37"/>
        <v>3010391.120577977</v>
      </c>
      <c r="GG18" s="24">
        <f t="shared" si="37"/>
        <v>3010391.120577977</v>
      </c>
      <c r="GH18" s="24">
        <f t="shared" si="37"/>
        <v>3010391.120577977</v>
      </c>
      <c r="GI18" s="24">
        <f t="shared" si="37"/>
        <v>3010391.120577977</v>
      </c>
      <c r="GJ18" s="24">
        <f t="shared" si="37"/>
        <v>3010391.120577977</v>
      </c>
      <c r="GK18" s="24">
        <f t="shared" si="37"/>
        <v>3010391.120577977</v>
      </c>
      <c r="GL18" s="24">
        <f t="shared" si="37"/>
        <v>3010391.120577977</v>
      </c>
      <c r="GM18" s="24">
        <f t="shared" si="37"/>
        <v>3010391.120577977</v>
      </c>
      <c r="GN18" s="24">
        <f t="shared" si="37"/>
        <v>3010391.120577977</v>
      </c>
      <c r="GO18" s="24">
        <f t="shared" si="37"/>
        <v>3010391.120577977</v>
      </c>
      <c r="GP18" s="24">
        <f t="shared" si="37"/>
        <v>3010391.120577977</v>
      </c>
      <c r="GQ18" s="24">
        <f t="shared" si="37"/>
        <v>3010391.120577977</v>
      </c>
      <c r="GR18" s="24">
        <f t="shared" ref="GR18:IN18" si="38">GR6*$C$15</f>
        <v>3010391.120577977</v>
      </c>
      <c r="GS18" s="24">
        <f t="shared" si="38"/>
        <v>3010391.120577977</v>
      </c>
      <c r="GT18" s="24">
        <f t="shared" si="38"/>
        <v>3010391.120577977</v>
      </c>
      <c r="GU18" s="24">
        <f t="shared" si="38"/>
        <v>3010391.120577977</v>
      </c>
      <c r="GV18" s="24">
        <f t="shared" si="38"/>
        <v>3010391.120577977</v>
      </c>
      <c r="GW18" s="24">
        <f t="shared" si="38"/>
        <v>3010391.120577977</v>
      </c>
      <c r="GX18" s="24">
        <f t="shared" si="38"/>
        <v>3010391.120577977</v>
      </c>
      <c r="GY18" s="24">
        <f t="shared" si="38"/>
        <v>3010391.120577977</v>
      </c>
      <c r="GZ18" s="24">
        <f t="shared" si="38"/>
        <v>3010391.120577977</v>
      </c>
      <c r="HA18" s="24">
        <f t="shared" si="38"/>
        <v>3010391.120577977</v>
      </c>
      <c r="HB18" s="24">
        <f t="shared" si="38"/>
        <v>3010391.120577977</v>
      </c>
      <c r="HC18" s="24">
        <f t="shared" si="38"/>
        <v>3010391.120577977</v>
      </c>
      <c r="HD18" s="24">
        <f t="shared" si="38"/>
        <v>3010391.120577977</v>
      </c>
      <c r="HE18" s="24">
        <f t="shared" si="38"/>
        <v>3010391.120577977</v>
      </c>
      <c r="HF18" s="24">
        <f t="shared" si="38"/>
        <v>3010391.120577977</v>
      </c>
      <c r="HG18" s="24">
        <f t="shared" si="38"/>
        <v>3010391.120577977</v>
      </c>
      <c r="HH18" s="24">
        <f t="shared" si="38"/>
        <v>3010391.120577977</v>
      </c>
      <c r="HI18" s="24">
        <f t="shared" si="38"/>
        <v>3010391.120577977</v>
      </c>
      <c r="HJ18" s="24">
        <f t="shared" si="38"/>
        <v>3010391.120577977</v>
      </c>
      <c r="HK18" s="24">
        <f t="shared" si="38"/>
        <v>3010391.120577977</v>
      </c>
      <c r="HL18" s="24">
        <f t="shared" si="38"/>
        <v>3010391.120577977</v>
      </c>
      <c r="HM18" s="24">
        <f t="shared" si="38"/>
        <v>3010391.120577977</v>
      </c>
      <c r="HN18" s="24">
        <f t="shared" si="38"/>
        <v>3010391.120577977</v>
      </c>
      <c r="HO18" s="24">
        <f t="shared" si="38"/>
        <v>3010391.120577977</v>
      </c>
      <c r="HP18" s="24">
        <f t="shared" si="38"/>
        <v>3010391.120577977</v>
      </c>
      <c r="HQ18" s="24">
        <f t="shared" si="38"/>
        <v>3010391.120577977</v>
      </c>
      <c r="HR18" s="24">
        <f t="shared" si="38"/>
        <v>3010391.120577977</v>
      </c>
      <c r="HS18" s="24">
        <f t="shared" si="38"/>
        <v>3010391.120577977</v>
      </c>
      <c r="HT18" s="24">
        <f t="shared" si="38"/>
        <v>3010391.120577977</v>
      </c>
      <c r="HU18" s="24">
        <f t="shared" si="38"/>
        <v>3010391.120577977</v>
      </c>
      <c r="HV18" s="24">
        <f t="shared" si="38"/>
        <v>3010391.120577977</v>
      </c>
      <c r="HW18" s="24">
        <f t="shared" si="38"/>
        <v>3010391.120577977</v>
      </c>
      <c r="HX18" s="24">
        <f t="shared" si="38"/>
        <v>3010391.120577977</v>
      </c>
      <c r="HY18" s="24">
        <f t="shared" si="38"/>
        <v>3010391.120577977</v>
      </c>
      <c r="HZ18" s="24">
        <f t="shared" si="38"/>
        <v>3010391.120577977</v>
      </c>
      <c r="IA18" s="24">
        <f t="shared" si="38"/>
        <v>3010391.120577977</v>
      </c>
      <c r="IB18" s="24">
        <f t="shared" si="38"/>
        <v>3010391.120577977</v>
      </c>
      <c r="IC18" s="24">
        <f t="shared" si="38"/>
        <v>3010391.120577977</v>
      </c>
      <c r="ID18" s="24">
        <f t="shared" si="38"/>
        <v>3010391.120577977</v>
      </c>
      <c r="IE18" s="24">
        <f t="shared" si="38"/>
        <v>3010391.120577977</v>
      </c>
      <c r="IF18" s="24">
        <f t="shared" si="38"/>
        <v>3010391.120577977</v>
      </c>
      <c r="IG18" s="24">
        <f t="shared" si="38"/>
        <v>3010391.120577977</v>
      </c>
      <c r="IH18" s="24">
        <f t="shared" si="38"/>
        <v>3010391.120577977</v>
      </c>
      <c r="II18" s="24">
        <f t="shared" si="38"/>
        <v>3010391.120577977</v>
      </c>
      <c r="IJ18" s="24">
        <f t="shared" si="38"/>
        <v>3010391.120577977</v>
      </c>
      <c r="IK18" s="24">
        <f t="shared" si="38"/>
        <v>3010391.120577977</v>
      </c>
      <c r="IL18" s="24">
        <f t="shared" si="38"/>
        <v>3010391.120577977</v>
      </c>
      <c r="IM18" s="24">
        <f t="shared" si="38"/>
        <v>3010391.120577977</v>
      </c>
      <c r="IN18" s="24">
        <f t="shared" si="38"/>
        <v>3010391.120577977</v>
      </c>
    </row>
    <row r="19" spans="2:248" x14ac:dyDescent="0.3">
      <c r="B19" s="19" t="s">
        <v>480</v>
      </c>
      <c r="C19" s="42">
        <f>VLOOKUP(B2,Country_Data!B:K,10,FALSE)</f>
        <v>67886011</v>
      </c>
      <c r="F19" s="22" t="s">
        <v>497</v>
      </c>
      <c r="G19" s="24">
        <f>G9*$C$15</f>
        <v>11.862232187344294</v>
      </c>
      <c r="H19" s="24">
        <f t="shared" ref="H19:BS19" si="39">H9*$C$15</f>
        <v>17.07274539113104</v>
      </c>
      <c r="I19" s="24">
        <f t="shared" si="39"/>
        <v>20.731190832087691</v>
      </c>
      <c r="J19" s="24">
        <f t="shared" si="39"/>
        <v>28.048081714000997</v>
      </c>
      <c r="K19" s="24">
        <f t="shared" si="39"/>
        <v>33.25859491778774</v>
      </c>
      <c r="L19" s="24">
        <f t="shared" si="39"/>
        <v>39.799451918285996</v>
      </c>
      <c r="M19" s="24">
        <f t="shared" si="39"/>
        <v>47.892376681614344</v>
      </c>
      <c r="N19" s="24">
        <f t="shared" si="39"/>
        <v>62.415296462381662</v>
      </c>
      <c r="O19" s="24">
        <f t="shared" si="39"/>
        <v>85.918036870951667</v>
      </c>
      <c r="P19" s="24">
        <f t="shared" si="39"/>
        <v>122.39162929745889</v>
      </c>
      <c r="Q19" s="24">
        <f t="shared" si="39"/>
        <v>145.7835077229696</v>
      </c>
      <c r="R19" s="24">
        <f t="shared" si="39"/>
        <v>163.41056302939711</v>
      </c>
      <c r="S19" s="24">
        <f t="shared" si="39"/>
        <v>205.20553064275038</v>
      </c>
      <c r="T19" s="24">
        <f t="shared" si="39"/>
        <v>277.48754359740906</v>
      </c>
      <c r="U19" s="24">
        <f t="shared" si="39"/>
        <v>351.32162431489786</v>
      </c>
      <c r="V19" s="24">
        <f t="shared" si="39"/>
        <v>417.8388141504733</v>
      </c>
      <c r="W19" s="24">
        <f t="shared" si="39"/>
        <v>459.6226955655207</v>
      </c>
      <c r="X19" s="24">
        <f t="shared" si="39"/>
        <v>505.58496512207279</v>
      </c>
      <c r="Y19" s="24">
        <f t="shared" si="39"/>
        <v>556.14346163428013</v>
      </c>
      <c r="Z19" s="24">
        <f t="shared" si="39"/>
        <v>611.75780779770821</v>
      </c>
      <c r="AA19" s="24">
        <f t="shared" si="39"/>
        <v>672.93358857747899</v>
      </c>
      <c r="AB19" s="24">
        <f t="shared" si="39"/>
        <v>740.22694743522698</v>
      </c>
      <c r="AC19" s="24">
        <f t="shared" si="39"/>
        <v>814.24964217874981</v>
      </c>
      <c r="AD19" s="24">
        <f t="shared" si="39"/>
        <v>895.67460639662488</v>
      </c>
      <c r="AE19" s="24">
        <f t="shared" si="39"/>
        <v>985.24206703628749</v>
      </c>
      <c r="AF19" s="24">
        <f t="shared" si="39"/>
        <v>1083.7662737399162</v>
      </c>
      <c r="AG19" s="24">
        <f t="shared" si="39"/>
        <v>1192.142901113908</v>
      </c>
      <c r="AH19" s="24">
        <f t="shared" si="39"/>
        <v>1311.3571912252989</v>
      </c>
      <c r="AI19" s="24">
        <f t="shared" si="39"/>
        <v>1442.4929103478289</v>
      </c>
      <c r="AJ19" s="24">
        <f t="shared" si="39"/>
        <v>1586.7422013826119</v>
      </c>
      <c r="AK19" s="24">
        <f t="shared" si="39"/>
        <v>1745.4164215208732</v>
      </c>
      <c r="AL19" s="24">
        <f t="shared" si="39"/>
        <v>1919.9580636729606</v>
      </c>
      <c r="AM19" s="24">
        <f t="shared" si="39"/>
        <v>2111.9538700402568</v>
      </c>
      <c r="AN19" s="24">
        <f t="shared" si="39"/>
        <v>2323.1492570442829</v>
      </c>
      <c r="AO19" s="24">
        <f t="shared" si="39"/>
        <v>2555.4641827487112</v>
      </c>
      <c r="AP19" s="24">
        <f t="shared" si="39"/>
        <v>2811.0106010235822</v>
      </c>
      <c r="AQ19" s="24">
        <f t="shared" si="39"/>
        <v>3092.1116611259408</v>
      </c>
      <c r="AR19" s="24">
        <f t="shared" si="39"/>
        <v>3401.3228272385354</v>
      </c>
      <c r="AS19" s="24">
        <f t="shared" si="39"/>
        <v>3741.4551099623891</v>
      </c>
      <c r="AT19" s="24">
        <f t="shared" si="39"/>
        <v>4115.6006209586285</v>
      </c>
      <c r="AU19" s="24">
        <f t="shared" si="39"/>
        <v>4527.1606830544915</v>
      </c>
      <c r="AV19" s="24">
        <f t="shared" si="39"/>
        <v>4979.8767513599414</v>
      </c>
      <c r="AW19" s="24">
        <f t="shared" si="39"/>
        <v>5477.8644264959357</v>
      </c>
      <c r="AX19" s="24">
        <f t="shared" si="39"/>
        <v>6025.6508691455301</v>
      </c>
      <c r="AY19" s="24">
        <f t="shared" si="39"/>
        <v>6628.215956060083</v>
      </c>
      <c r="AZ19" s="24">
        <f t="shared" si="39"/>
        <v>7291.0375516660924</v>
      </c>
      <c r="BA19" s="24">
        <f t="shared" si="39"/>
        <v>8020.1413068327029</v>
      </c>
      <c r="BB19" s="24">
        <f t="shared" si="39"/>
        <v>8822.155437515974</v>
      </c>
      <c r="BC19" s="24">
        <f t="shared" si="39"/>
        <v>9704.3709812675734</v>
      </c>
      <c r="BD19" s="24">
        <f t="shared" si="39"/>
        <v>10674.80807939433</v>
      </c>
      <c r="BE19" s="24">
        <f t="shared" si="39"/>
        <v>11742.288887333763</v>
      </c>
      <c r="BF19" s="24">
        <f t="shared" si="39"/>
        <v>12916.517776067141</v>
      </c>
      <c r="BG19" s="24">
        <f t="shared" si="39"/>
        <v>14208.169553673857</v>
      </c>
      <c r="BH19" s="24">
        <f t="shared" si="39"/>
        <v>15628.986509041244</v>
      </c>
      <c r="BI19" s="24">
        <f t="shared" si="39"/>
        <v>17191.88515994537</v>
      </c>
      <c r="BJ19" s="24">
        <f t="shared" si="39"/>
        <v>18911.073675939908</v>
      </c>
      <c r="BK19" s="24">
        <f t="shared" si="39"/>
        <v>20802.181043533899</v>
      </c>
      <c r="BL19" s="24">
        <f t="shared" si="39"/>
        <v>22882.399147887292</v>
      </c>
      <c r="BM19" s="24">
        <f t="shared" si="39"/>
        <v>25170.639062676026</v>
      </c>
      <c r="BN19" s="24">
        <f t="shared" si="39"/>
        <v>27687.702968943628</v>
      </c>
      <c r="BO19" s="24">
        <f t="shared" si="39"/>
        <v>30456.473265837991</v>
      </c>
      <c r="BP19" s="24">
        <f t="shared" si="39"/>
        <v>33502.120592421794</v>
      </c>
      <c r="BQ19" s="24">
        <f t="shared" si="39"/>
        <v>36852.332651663972</v>
      </c>
      <c r="BR19" s="24">
        <f t="shared" si="39"/>
        <v>40537.565916830368</v>
      </c>
      <c r="BS19" s="24">
        <f t="shared" si="39"/>
        <v>44591.322508513411</v>
      </c>
      <c r="BT19" s="24">
        <f t="shared" ref="BT19:EE19" si="40">BT9*$C$15</f>
        <v>49050.454759364759</v>
      </c>
      <c r="BU19" s="24">
        <f t="shared" si="40"/>
        <v>53955.500235301231</v>
      </c>
      <c r="BV19" s="24">
        <f t="shared" si="40"/>
        <v>59351.050258831368</v>
      </c>
      <c r="BW19" s="24">
        <f t="shared" si="40"/>
        <v>65286.155284714507</v>
      </c>
      <c r="BX19" s="24">
        <f t="shared" si="40"/>
        <v>71814.770813185969</v>
      </c>
      <c r="BY19" s="24">
        <f t="shared" si="40"/>
        <v>78996.247894504559</v>
      </c>
      <c r="BZ19" s="24">
        <f t="shared" si="40"/>
        <v>86895.872683955022</v>
      </c>
      <c r="CA19" s="24">
        <f t="shared" si="40"/>
        <v>95585.459952350531</v>
      </c>
      <c r="CB19" s="24">
        <f t="shared" si="40"/>
        <v>105144.00594758558</v>
      </c>
      <c r="CC19" s="24">
        <f t="shared" si="40"/>
        <v>115658.40654234415</v>
      </c>
      <c r="CD19" s="24">
        <f t="shared" si="40"/>
        <v>127224.24719657857</v>
      </c>
      <c r="CE19" s="24">
        <f t="shared" si="40"/>
        <v>139946.67191623643</v>
      </c>
      <c r="CF19" s="24">
        <f t="shared" si="40"/>
        <v>153941.33910786008</v>
      </c>
      <c r="CG19" s="24">
        <f t="shared" si="40"/>
        <v>169335.47301864609</v>
      </c>
      <c r="CH19" s="24">
        <f t="shared" si="40"/>
        <v>186269.02032051072</v>
      </c>
      <c r="CI19" s="24">
        <f t="shared" si="40"/>
        <v>204895.92235256181</v>
      </c>
      <c r="CJ19" s="24">
        <f t="shared" si="40"/>
        <v>225385.514587818</v>
      </c>
      <c r="CK19" s="24">
        <f t="shared" si="40"/>
        <v>247924.06604659982</v>
      </c>
      <c r="CL19" s="24">
        <f t="shared" si="40"/>
        <v>272716.47265125986</v>
      </c>
      <c r="CM19" s="24">
        <f t="shared" si="40"/>
        <v>299988.11991638585</v>
      </c>
      <c r="CN19" s="24">
        <f t="shared" si="40"/>
        <v>329986.93190802442</v>
      </c>
      <c r="CO19" s="24">
        <f t="shared" si="40"/>
        <v>362985.62509882695</v>
      </c>
      <c r="CP19" s="24">
        <f t="shared" si="40"/>
        <v>399284.18760870962</v>
      </c>
      <c r="CQ19" s="24">
        <f t="shared" si="40"/>
        <v>439212.60636958067</v>
      </c>
      <c r="CR19" s="24">
        <f t="shared" si="40"/>
        <v>483133.86700653879</v>
      </c>
      <c r="CS19" s="24">
        <f t="shared" si="40"/>
        <v>531447.25370719272</v>
      </c>
      <c r="CT19" s="24">
        <f t="shared" si="40"/>
        <v>584591.97907791217</v>
      </c>
      <c r="CU19" s="24">
        <f t="shared" si="40"/>
        <v>643051.17698570341</v>
      </c>
      <c r="CV19" s="24">
        <f t="shared" si="40"/>
        <v>707356.29468427377</v>
      </c>
      <c r="CW19" s="24">
        <f t="shared" si="40"/>
        <v>778091.92415270128</v>
      </c>
      <c r="CX19" s="24">
        <f t="shared" si="40"/>
        <v>855901.11656797142</v>
      </c>
      <c r="CY19" s="24">
        <f t="shared" si="40"/>
        <v>941491.22822476865</v>
      </c>
      <c r="CZ19" s="24">
        <f t="shared" si="40"/>
        <v>1035640.3510472456</v>
      </c>
      <c r="DA19" s="24">
        <f t="shared" si="40"/>
        <v>1139204.3861519701</v>
      </c>
      <c r="DB19" s="24">
        <f t="shared" si="40"/>
        <v>1253124.8247671674</v>
      </c>
      <c r="DC19" s="24">
        <f t="shared" si="40"/>
        <v>1378437.3072438843</v>
      </c>
      <c r="DD19" s="24">
        <f t="shared" si="40"/>
        <v>1516281.0379682728</v>
      </c>
      <c r="DE19" s="24">
        <f t="shared" si="40"/>
        <v>1667909.1417651002</v>
      </c>
      <c r="DF19" s="24">
        <f t="shared" si="40"/>
        <v>1834700.0559416104</v>
      </c>
      <c r="DG19" s="24">
        <f t="shared" si="40"/>
        <v>2018170.0615357715</v>
      </c>
      <c r="DH19" s="24">
        <f t="shared" si="40"/>
        <v>2219987.0676893489</v>
      </c>
      <c r="DI19" s="24">
        <f t="shared" si="40"/>
        <v>2441985.774458284</v>
      </c>
      <c r="DJ19" s="24">
        <f t="shared" si="40"/>
        <v>2686184.3519041124</v>
      </c>
      <c r="DK19" s="24">
        <f t="shared" si="40"/>
        <v>2954802.7870945241</v>
      </c>
      <c r="DL19" s="24">
        <f t="shared" si="40"/>
        <v>3010391.120577977</v>
      </c>
      <c r="DM19" s="24">
        <f t="shared" si="40"/>
        <v>3010391.120577977</v>
      </c>
      <c r="DN19" s="24">
        <f t="shared" si="40"/>
        <v>3010391.120577977</v>
      </c>
      <c r="DO19" s="24">
        <f t="shared" si="40"/>
        <v>3010391.120577977</v>
      </c>
      <c r="DP19" s="24">
        <f t="shared" si="40"/>
        <v>3010391.120577977</v>
      </c>
      <c r="DQ19" s="24">
        <f t="shared" si="40"/>
        <v>3010391.120577977</v>
      </c>
      <c r="DR19" s="24">
        <f t="shared" si="40"/>
        <v>3010391.120577977</v>
      </c>
      <c r="DS19" s="24">
        <f t="shared" si="40"/>
        <v>3010391.120577977</v>
      </c>
      <c r="DT19" s="24">
        <f t="shared" si="40"/>
        <v>3010391.120577977</v>
      </c>
      <c r="DU19" s="24">
        <f t="shared" si="40"/>
        <v>3010391.120577977</v>
      </c>
      <c r="DV19" s="24">
        <f t="shared" si="40"/>
        <v>3010391.120577977</v>
      </c>
      <c r="DW19" s="24">
        <f t="shared" si="40"/>
        <v>3010391.120577977</v>
      </c>
      <c r="DX19" s="24">
        <f t="shared" si="40"/>
        <v>3010391.120577977</v>
      </c>
      <c r="DY19" s="24">
        <f t="shared" si="40"/>
        <v>3010391.120577977</v>
      </c>
      <c r="DZ19" s="24">
        <f t="shared" si="40"/>
        <v>3010391.120577977</v>
      </c>
      <c r="EA19" s="24">
        <f t="shared" si="40"/>
        <v>3010391.120577977</v>
      </c>
      <c r="EB19" s="24">
        <f t="shared" si="40"/>
        <v>3010391.120577977</v>
      </c>
      <c r="EC19" s="24">
        <f t="shared" si="40"/>
        <v>3010391.120577977</v>
      </c>
      <c r="ED19" s="24">
        <f t="shared" si="40"/>
        <v>3010391.120577977</v>
      </c>
      <c r="EE19" s="24">
        <f t="shared" si="40"/>
        <v>3010391.120577977</v>
      </c>
      <c r="EF19" s="24">
        <f t="shared" ref="EF19:GQ19" si="41">EF9*$C$15</f>
        <v>3010391.120577977</v>
      </c>
      <c r="EG19" s="24">
        <f t="shared" si="41"/>
        <v>3010391.120577977</v>
      </c>
      <c r="EH19" s="24">
        <f t="shared" si="41"/>
        <v>3010391.120577977</v>
      </c>
      <c r="EI19" s="24">
        <f t="shared" si="41"/>
        <v>3010391.120577977</v>
      </c>
      <c r="EJ19" s="24">
        <f t="shared" si="41"/>
        <v>3010391.120577977</v>
      </c>
      <c r="EK19" s="24">
        <f t="shared" si="41"/>
        <v>3010391.120577977</v>
      </c>
      <c r="EL19" s="24">
        <f t="shared" si="41"/>
        <v>3010391.120577977</v>
      </c>
      <c r="EM19" s="24">
        <f t="shared" si="41"/>
        <v>3010391.120577977</v>
      </c>
      <c r="EN19" s="24">
        <f t="shared" si="41"/>
        <v>3010391.120577977</v>
      </c>
      <c r="EO19" s="24">
        <f t="shared" si="41"/>
        <v>3010391.120577977</v>
      </c>
      <c r="EP19" s="24">
        <f t="shared" si="41"/>
        <v>3010391.120577977</v>
      </c>
      <c r="EQ19" s="24">
        <f t="shared" si="41"/>
        <v>3010391.120577977</v>
      </c>
      <c r="ER19" s="24">
        <f t="shared" si="41"/>
        <v>3010391.120577977</v>
      </c>
      <c r="ES19" s="24">
        <f t="shared" si="41"/>
        <v>3010391.120577977</v>
      </c>
      <c r="ET19" s="24">
        <f t="shared" si="41"/>
        <v>3010391.120577977</v>
      </c>
      <c r="EU19" s="24">
        <f t="shared" si="41"/>
        <v>3010391.120577977</v>
      </c>
      <c r="EV19" s="24">
        <f t="shared" si="41"/>
        <v>3010391.120577977</v>
      </c>
      <c r="EW19" s="24">
        <f t="shared" si="41"/>
        <v>3010391.120577977</v>
      </c>
      <c r="EX19" s="24">
        <f t="shared" si="41"/>
        <v>3010391.120577977</v>
      </c>
      <c r="EY19" s="24">
        <f t="shared" si="41"/>
        <v>3010391.120577977</v>
      </c>
      <c r="EZ19" s="24">
        <f t="shared" si="41"/>
        <v>3010391.120577977</v>
      </c>
      <c r="FA19" s="24">
        <f t="shared" si="41"/>
        <v>3010391.120577977</v>
      </c>
      <c r="FB19" s="24">
        <f t="shared" si="41"/>
        <v>3010391.120577977</v>
      </c>
      <c r="FC19" s="24">
        <f t="shared" si="41"/>
        <v>3010391.120577977</v>
      </c>
      <c r="FD19" s="24">
        <f t="shared" si="41"/>
        <v>3010391.120577977</v>
      </c>
      <c r="FE19" s="24">
        <f t="shared" si="41"/>
        <v>3010391.120577977</v>
      </c>
      <c r="FF19" s="24">
        <f t="shared" si="41"/>
        <v>3010391.120577977</v>
      </c>
      <c r="FG19" s="24">
        <f t="shared" si="41"/>
        <v>3010391.120577977</v>
      </c>
      <c r="FH19" s="24">
        <f t="shared" si="41"/>
        <v>3010391.120577977</v>
      </c>
      <c r="FI19" s="24">
        <f t="shared" si="41"/>
        <v>3010391.120577977</v>
      </c>
      <c r="FJ19" s="24">
        <f t="shared" si="41"/>
        <v>3010391.120577977</v>
      </c>
      <c r="FK19" s="24">
        <f t="shared" si="41"/>
        <v>3010391.120577977</v>
      </c>
      <c r="FL19" s="24">
        <f t="shared" si="41"/>
        <v>3010391.120577977</v>
      </c>
      <c r="FM19" s="24">
        <f t="shared" si="41"/>
        <v>3010391.120577977</v>
      </c>
      <c r="FN19" s="24">
        <f t="shared" si="41"/>
        <v>3010391.120577977</v>
      </c>
      <c r="FO19" s="24">
        <f t="shared" si="41"/>
        <v>3010391.120577977</v>
      </c>
      <c r="FP19" s="24">
        <f t="shared" si="41"/>
        <v>3010391.120577977</v>
      </c>
      <c r="FQ19" s="24">
        <f t="shared" si="41"/>
        <v>3010391.120577977</v>
      </c>
      <c r="FR19" s="24">
        <f t="shared" si="41"/>
        <v>3010391.120577977</v>
      </c>
      <c r="FS19" s="24">
        <f t="shared" si="41"/>
        <v>3010391.120577977</v>
      </c>
      <c r="FT19" s="24">
        <f t="shared" si="41"/>
        <v>3010391.120577977</v>
      </c>
      <c r="FU19" s="24">
        <f t="shared" si="41"/>
        <v>3010391.120577977</v>
      </c>
      <c r="FV19" s="24">
        <f t="shared" si="41"/>
        <v>3010391.120577977</v>
      </c>
      <c r="FW19" s="24">
        <f t="shared" si="41"/>
        <v>3010391.120577977</v>
      </c>
      <c r="FX19" s="24">
        <f t="shared" si="41"/>
        <v>3010391.120577977</v>
      </c>
      <c r="FY19" s="24">
        <f t="shared" si="41"/>
        <v>3010391.120577977</v>
      </c>
      <c r="FZ19" s="24">
        <f t="shared" si="41"/>
        <v>3010391.120577977</v>
      </c>
      <c r="GA19" s="24">
        <f t="shared" si="41"/>
        <v>3010391.120577977</v>
      </c>
      <c r="GB19" s="24">
        <f t="shared" si="41"/>
        <v>3010391.120577977</v>
      </c>
      <c r="GC19" s="24">
        <f t="shared" si="41"/>
        <v>3010391.120577977</v>
      </c>
      <c r="GD19" s="24">
        <f t="shared" si="41"/>
        <v>3010391.120577977</v>
      </c>
      <c r="GE19" s="24">
        <f t="shared" si="41"/>
        <v>3010391.120577977</v>
      </c>
      <c r="GF19" s="24">
        <f t="shared" si="41"/>
        <v>3010391.120577977</v>
      </c>
      <c r="GG19" s="24">
        <f t="shared" si="41"/>
        <v>3010391.120577977</v>
      </c>
      <c r="GH19" s="24">
        <f t="shared" si="41"/>
        <v>3010391.120577977</v>
      </c>
      <c r="GI19" s="24">
        <f t="shared" si="41"/>
        <v>3010391.120577977</v>
      </c>
      <c r="GJ19" s="24">
        <f t="shared" si="41"/>
        <v>3010391.120577977</v>
      </c>
      <c r="GK19" s="24">
        <f t="shared" si="41"/>
        <v>3010391.120577977</v>
      </c>
      <c r="GL19" s="24">
        <f t="shared" si="41"/>
        <v>3010391.120577977</v>
      </c>
      <c r="GM19" s="24">
        <f t="shared" si="41"/>
        <v>3010391.120577977</v>
      </c>
      <c r="GN19" s="24">
        <f t="shared" si="41"/>
        <v>3010391.120577977</v>
      </c>
      <c r="GO19" s="24">
        <f t="shared" si="41"/>
        <v>3010391.120577977</v>
      </c>
      <c r="GP19" s="24">
        <f t="shared" si="41"/>
        <v>3010391.120577977</v>
      </c>
      <c r="GQ19" s="24">
        <f t="shared" si="41"/>
        <v>3010391.120577977</v>
      </c>
      <c r="GR19" s="24">
        <f t="shared" ref="GR19:IN19" si="42">GR9*$C$15</f>
        <v>3010391.120577977</v>
      </c>
      <c r="GS19" s="24">
        <f t="shared" si="42"/>
        <v>3010391.120577977</v>
      </c>
      <c r="GT19" s="24">
        <f t="shared" si="42"/>
        <v>3010391.120577977</v>
      </c>
      <c r="GU19" s="24">
        <f t="shared" si="42"/>
        <v>3010391.120577977</v>
      </c>
      <c r="GV19" s="24">
        <f t="shared" si="42"/>
        <v>3010391.120577977</v>
      </c>
      <c r="GW19" s="24">
        <f t="shared" si="42"/>
        <v>3010391.120577977</v>
      </c>
      <c r="GX19" s="24">
        <f t="shared" si="42"/>
        <v>3010391.120577977</v>
      </c>
      <c r="GY19" s="24">
        <f t="shared" si="42"/>
        <v>3010391.120577977</v>
      </c>
      <c r="GZ19" s="24">
        <f t="shared" si="42"/>
        <v>3010391.120577977</v>
      </c>
      <c r="HA19" s="24">
        <f t="shared" si="42"/>
        <v>3010391.120577977</v>
      </c>
      <c r="HB19" s="24">
        <f t="shared" si="42"/>
        <v>3010391.120577977</v>
      </c>
      <c r="HC19" s="24">
        <f t="shared" si="42"/>
        <v>3010391.120577977</v>
      </c>
      <c r="HD19" s="24">
        <f t="shared" si="42"/>
        <v>3010391.120577977</v>
      </c>
      <c r="HE19" s="24">
        <f t="shared" si="42"/>
        <v>3010391.120577977</v>
      </c>
      <c r="HF19" s="24">
        <f t="shared" si="42"/>
        <v>3010391.120577977</v>
      </c>
      <c r="HG19" s="24">
        <f t="shared" si="42"/>
        <v>3010391.120577977</v>
      </c>
      <c r="HH19" s="24">
        <f t="shared" si="42"/>
        <v>3010391.120577977</v>
      </c>
      <c r="HI19" s="24">
        <f t="shared" si="42"/>
        <v>3010391.120577977</v>
      </c>
      <c r="HJ19" s="24">
        <f t="shared" si="42"/>
        <v>3010391.120577977</v>
      </c>
      <c r="HK19" s="24">
        <f t="shared" si="42"/>
        <v>3010391.120577977</v>
      </c>
      <c r="HL19" s="24">
        <f t="shared" si="42"/>
        <v>3010391.120577977</v>
      </c>
      <c r="HM19" s="24">
        <f t="shared" si="42"/>
        <v>3010391.120577977</v>
      </c>
      <c r="HN19" s="24">
        <f t="shared" si="42"/>
        <v>3010391.120577977</v>
      </c>
      <c r="HO19" s="24">
        <f t="shared" si="42"/>
        <v>3010391.120577977</v>
      </c>
      <c r="HP19" s="24">
        <f t="shared" si="42"/>
        <v>3010391.120577977</v>
      </c>
      <c r="HQ19" s="24">
        <f t="shared" si="42"/>
        <v>3010391.120577977</v>
      </c>
      <c r="HR19" s="24">
        <f t="shared" si="42"/>
        <v>3010391.120577977</v>
      </c>
      <c r="HS19" s="24">
        <f t="shared" si="42"/>
        <v>3010391.120577977</v>
      </c>
      <c r="HT19" s="24">
        <f t="shared" si="42"/>
        <v>3010391.120577977</v>
      </c>
      <c r="HU19" s="24">
        <f t="shared" si="42"/>
        <v>3010391.120577977</v>
      </c>
      <c r="HV19" s="24">
        <f t="shared" si="42"/>
        <v>3010391.120577977</v>
      </c>
      <c r="HW19" s="24">
        <f t="shared" si="42"/>
        <v>3010391.120577977</v>
      </c>
      <c r="HX19" s="24">
        <f t="shared" si="42"/>
        <v>3010391.120577977</v>
      </c>
      <c r="HY19" s="24">
        <f t="shared" si="42"/>
        <v>3010391.120577977</v>
      </c>
      <c r="HZ19" s="24">
        <f t="shared" si="42"/>
        <v>3010391.120577977</v>
      </c>
      <c r="IA19" s="24">
        <f t="shared" si="42"/>
        <v>3010391.120577977</v>
      </c>
      <c r="IB19" s="24">
        <f t="shared" si="42"/>
        <v>3010391.120577977</v>
      </c>
      <c r="IC19" s="24">
        <f t="shared" si="42"/>
        <v>3010391.120577977</v>
      </c>
      <c r="ID19" s="24">
        <f t="shared" si="42"/>
        <v>3010391.120577977</v>
      </c>
      <c r="IE19" s="24">
        <f t="shared" si="42"/>
        <v>3010391.120577977</v>
      </c>
      <c r="IF19" s="24">
        <f t="shared" si="42"/>
        <v>3010391.120577977</v>
      </c>
      <c r="IG19" s="24">
        <f t="shared" si="42"/>
        <v>3010391.120577977</v>
      </c>
      <c r="IH19" s="24">
        <f t="shared" si="42"/>
        <v>3010391.120577977</v>
      </c>
      <c r="II19" s="24">
        <f t="shared" si="42"/>
        <v>3010391.120577977</v>
      </c>
      <c r="IJ19" s="24">
        <f t="shared" si="42"/>
        <v>3010391.120577977</v>
      </c>
      <c r="IK19" s="24">
        <f t="shared" si="42"/>
        <v>3010391.120577977</v>
      </c>
      <c r="IL19" s="24">
        <f t="shared" si="42"/>
        <v>3010391.120577977</v>
      </c>
      <c r="IM19" s="24">
        <f t="shared" si="42"/>
        <v>3010391.120577977</v>
      </c>
      <c r="IN19" s="24">
        <f t="shared" si="42"/>
        <v>3010391.120577977</v>
      </c>
    </row>
    <row r="20" spans="2:248" x14ac:dyDescent="0.3">
      <c r="B20" s="19" t="s">
        <v>493</v>
      </c>
      <c r="C20" s="44">
        <v>0.4</v>
      </c>
      <c r="F20" s="22" t="s">
        <v>501</v>
      </c>
      <c r="G20" s="24">
        <f>G11*$C$15</f>
        <v>11.862232187344294</v>
      </c>
      <c r="H20" s="24">
        <f t="shared" ref="H20:BS20" si="43">H11*$C$15</f>
        <v>17.07274539113104</v>
      </c>
      <c r="I20" s="24">
        <f t="shared" si="43"/>
        <v>20.731190832087691</v>
      </c>
      <c r="J20" s="24">
        <f t="shared" si="43"/>
        <v>28.048081714000997</v>
      </c>
      <c r="K20" s="24">
        <f t="shared" si="43"/>
        <v>33.25859491778774</v>
      </c>
      <c r="L20" s="24">
        <f t="shared" si="43"/>
        <v>39.799451918285996</v>
      </c>
      <c r="M20" s="24">
        <f t="shared" si="43"/>
        <v>47.892376681614344</v>
      </c>
      <c r="N20" s="24">
        <f t="shared" si="43"/>
        <v>62.415296462381662</v>
      </c>
      <c r="O20" s="24">
        <f t="shared" si="43"/>
        <v>85.918036870951667</v>
      </c>
      <c r="P20" s="24">
        <f t="shared" si="43"/>
        <v>122.39162929745889</v>
      </c>
      <c r="Q20" s="24">
        <f t="shared" si="43"/>
        <v>145.7835077229696</v>
      </c>
      <c r="R20" s="24">
        <f t="shared" si="43"/>
        <v>163.41056302939711</v>
      </c>
      <c r="S20" s="24">
        <f t="shared" si="43"/>
        <v>205.20553064275038</v>
      </c>
      <c r="T20" s="24">
        <f t="shared" si="43"/>
        <v>277.48754359740906</v>
      </c>
      <c r="U20" s="24">
        <f t="shared" si="43"/>
        <v>351.32162431489786</v>
      </c>
      <c r="V20" s="24">
        <f t="shared" si="43"/>
        <v>417.8388141504733</v>
      </c>
      <c r="W20" s="24">
        <f t="shared" si="43"/>
        <v>522.29851768809169</v>
      </c>
      <c r="X20" s="24">
        <f t="shared" si="43"/>
        <v>652.87314711011459</v>
      </c>
      <c r="Y20" s="24">
        <f t="shared" si="43"/>
        <v>816.09143388764323</v>
      </c>
      <c r="Z20" s="24">
        <f t="shared" si="43"/>
        <v>1020.114292359554</v>
      </c>
      <c r="AA20" s="24">
        <f t="shared" si="43"/>
        <v>1275.1428654494425</v>
      </c>
      <c r="AB20" s="24">
        <f t="shared" si="43"/>
        <v>1593.928581811803</v>
      </c>
      <c r="AC20" s="24">
        <f t="shared" si="43"/>
        <v>1992.4107272647539</v>
      </c>
      <c r="AD20" s="24">
        <f t="shared" si="43"/>
        <v>2490.5134090809424</v>
      </c>
      <c r="AE20" s="24">
        <f t="shared" si="43"/>
        <v>3113.141761351178</v>
      </c>
      <c r="AF20" s="24">
        <f t="shared" si="43"/>
        <v>3891.4272016889727</v>
      </c>
      <c r="AG20" s="24">
        <f t="shared" si="43"/>
        <v>4864.2840021112161</v>
      </c>
      <c r="AH20" s="24">
        <f t="shared" si="43"/>
        <v>6080.3550026390194</v>
      </c>
      <c r="AI20" s="24">
        <f t="shared" si="43"/>
        <v>7600.443753298774</v>
      </c>
      <c r="AJ20" s="24">
        <f t="shared" si="43"/>
        <v>9500.5546916234689</v>
      </c>
      <c r="AK20" s="24">
        <f t="shared" si="43"/>
        <v>11875.693364529336</v>
      </c>
      <c r="AL20" s="24">
        <f t="shared" si="43"/>
        <v>14844.616705661669</v>
      </c>
      <c r="AM20" s="24">
        <f t="shared" si="43"/>
        <v>18555.770882077086</v>
      </c>
      <c r="AN20" s="24">
        <f t="shared" si="43"/>
        <v>23194.713602596355</v>
      </c>
      <c r="AO20" s="24">
        <f t="shared" si="43"/>
        <v>28993.392003245444</v>
      </c>
      <c r="AP20" s="24">
        <f t="shared" si="43"/>
        <v>36241.740004056803</v>
      </c>
      <c r="AQ20" s="24">
        <f t="shared" si="43"/>
        <v>45302.175005071003</v>
      </c>
      <c r="AR20" s="24">
        <f t="shared" si="43"/>
        <v>56627.718756338756</v>
      </c>
      <c r="AS20" s="24">
        <f t="shared" si="43"/>
        <v>70784.648445423445</v>
      </c>
      <c r="AT20" s="24">
        <f t="shared" si="43"/>
        <v>88480.81055677931</v>
      </c>
      <c r="AU20" s="24">
        <f t="shared" si="43"/>
        <v>110601.01319597413</v>
      </c>
      <c r="AV20" s="24">
        <f t="shared" si="43"/>
        <v>138251.26649496765</v>
      </c>
      <c r="AW20" s="24">
        <f t="shared" si="43"/>
        <v>172814.08311870956</v>
      </c>
      <c r="AX20" s="24">
        <f t="shared" si="43"/>
        <v>216017.60389838697</v>
      </c>
      <c r="AY20" s="24">
        <f t="shared" si="43"/>
        <v>270022.00487298373</v>
      </c>
      <c r="AZ20" s="24">
        <f t="shared" si="43"/>
        <v>337527.50609122968</v>
      </c>
      <c r="BA20" s="24">
        <f t="shared" si="43"/>
        <v>421909.38261403702</v>
      </c>
      <c r="BB20" s="24">
        <f t="shared" si="43"/>
        <v>527386.72826754628</v>
      </c>
      <c r="BC20" s="24">
        <f t="shared" si="43"/>
        <v>659233.41033443296</v>
      </c>
      <c r="BD20" s="24">
        <f t="shared" si="43"/>
        <v>824041.7629180412</v>
      </c>
      <c r="BE20" s="24">
        <f t="shared" si="43"/>
        <v>1030052.2036475516</v>
      </c>
      <c r="BF20" s="24">
        <f t="shared" si="43"/>
        <v>1287565.2545594394</v>
      </c>
      <c r="BG20" s="24">
        <f t="shared" si="43"/>
        <v>1609456.568199299</v>
      </c>
      <c r="BH20" s="24">
        <f t="shared" si="43"/>
        <v>2011820.7102491239</v>
      </c>
      <c r="BI20" s="24">
        <f t="shared" si="43"/>
        <v>2514775.8878114051</v>
      </c>
      <c r="BJ20" s="24">
        <f t="shared" si="43"/>
        <v>3010391.120577977</v>
      </c>
      <c r="BK20" s="24">
        <f t="shared" si="43"/>
        <v>3010391.120577977</v>
      </c>
      <c r="BL20" s="24">
        <f t="shared" si="43"/>
        <v>3010391.120577977</v>
      </c>
      <c r="BM20" s="24">
        <f t="shared" si="43"/>
        <v>3010391.120577977</v>
      </c>
      <c r="BN20" s="24">
        <f t="shared" si="43"/>
        <v>3010391.120577977</v>
      </c>
      <c r="BO20" s="24">
        <f t="shared" si="43"/>
        <v>3010391.120577977</v>
      </c>
      <c r="BP20" s="24">
        <f t="shared" si="43"/>
        <v>3010391.120577977</v>
      </c>
      <c r="BQ20" s="24">
        <f t="shared" si="43"/>
        <v>3010391.120577977</v>
      </c>
      <c r="BR20" s="24">
        <f t="shared" si="43"/>
        <v>3010391.120577977</v>
      </c>
      <c r="BS20" s="24">
        <f t="shared" si="43"/>
        <v>3010391.120577977</v>
      </c>
      <c r="BT20" s="24">
        <f t="shared" ref="BT20:EE20" si="44">BT11*$C$15</f>
        <v>3010391.120577977</v>
      </c>
      <c r="BU20" s="24">
        <f t="shared" si="44"/>
        <v>3010391.120577977</v>
      </c>
      <c r="BV20" s="24">
        <f t="shared" si="44"/>
        <v>3010391.120577977</v>
      </c>
      <c r="BW20" s="24">
        <f t="shared" si="44"/>
        <v>3010391.120577977</v>
      </c>
      <c r="BX20" s="24">
        <f t="shared" si="44"/>
        <v>3010391.120577977</v>
      </c>
      <c r="BY20" s="24">
        <f t="shared" si="44"/>
        <v>3010391.120577977</v>
      </c>
      <c r="BZ20" s="24">
        <f t="shared" si="44"/>
        <v>3010391.120577977</v>
      </c>
      <c r="CA20" s="24">
        <f t="shared" si="44"/>
        <v>3010391.120577977</v>
      </c>
      <c r="CB20" s="24">
        <f t="shared" si="44"/>
        <v>3010391.120577977</v>
      </c>
      <c r="CC20" s="24">
        <f t="shared" si="44"/>
        <v>3010391.120577977</v>
      </c>
      <c r="CD20" s="24">
        <f t="shared" si="44"/>
        <v>3010391.120577977</v>
      </c>
      <c r="CE20" s="24">
        <f t="shared" si="44"/>
        <v>3010391.120577977</v>
      </c>
      <c r="CF20" s="24">
        <f t="shared" si="44"/>
        <v>3010391.120577977</v>
      </c>
      <c r="CG20" s="24">
        <f t="shared" si="44"/>
        <v>3010391.120577977</v>
      </c>
      <c r="CH20" s="24">
        <f t="shared" si="44"/>
        <v>3010391.120577977</v>
      </c>
      <c r="CI20" s="24">
        <f t="shared" si="44"/>
        <v>3010391.120577977</v>
      </c>
      <c r="CJ20" s="24">
        <f t="shared" si="44"/>
        <v>3010391.120577977</v>
      </c>
      <c r="CK20" s="24">
        <f t="shared" si="44"/>
        <v>3010391.120577977</v>
      </c>
      <c r="CL20" s="24">
        <f t="shared" si="44"/>
        <v>3010391.120577977</v>
      </c>
      <c r="CM20" s="24">
        <f t="shared" si="44"/>
        <v>3010391.120577977</v>
      </c>
      <c r="CN20" s="24">
        <f t="shared" si="44"/>
        <v>3010391.120577977</v>
      </c>
      <c r="CO20" s="24">
        <f t="shared" si="44"/>
        <v>3010391.120577977</v>
      </c>
      <c r="CP20" s="24">
        <f t="shared" si="44"/>
        <v>3010391.120577977</v>
      </c>
      <c r="CQ20" s="24">
        <f t="shared" si="44"/>
        <v>3010391.120577977</v>
      </c>
      <c r="CR20" s="24">
        <f t="shared" si="44"/>
        <v>3010391.120577977</v>
      </c>
      <c r="CS20" s="24">
        <f t="shared" si="44"/>
        <v>3010391.120577977</v>
      </c>
      <c r="CT20" s="24">
        <f t="shared" si="44"/>
        <v>3010391.120577977</v>
      </c>
      <c r="CU20" s="24">
        <f t="shared" si="44"/>
        <v>3010391.120577977</v>
      </c>
      <c r="CV20" s="24">
        <f t="shared" si="44"/>
        <v>3010391.120577977</v>
      </c>
      <c r="CW20" s="24">
        <f t="shared" si="44"/>
        <v>3010391.120577977</v>
      </c>
      <c r="CX20" s="24">
        <f t="shared" si="44"/>
        <v>3010391.120577977</v>
      </c>
      <c r="CY20" s="24">
        <f t="shared" si="44"/>
        <v>3010391.120577977</v>
      </c>
      <c r="CZ20" s="24">
        <f t="shared" si="44"/>
        <v>3010391.120577977</v>
      </c>
      <c r="DA20" s="24">
        <f t="shared" si="44"/>
        <v>3010391.120577977</v>
      </c>
      <c r="DB20" s="24">
        <f t="shared" si="44"/>
        <v>3010391.120577977</v>
      </c>
      <c r="DC20" s="24">
        <f t="shared" si="44"/>
        <v>3010391.120577977</v>
      </c>
      <c r="DD20" s="24">
        <f t="shared" si="44"/>
        <v>3010391.120577977</v>
      </c>
      <c r="DE20" s="24">
        <f t="shared" si="44"/>
        <v>3010391.120577977</v>
      </c>
      <c r="DF20" s="24">
        <f t="shared" si="44"/>
        <v>3010391.120577977</v>
      </c>
      <c r="DG20" s="24">
        <f t="shared" si="44"/>
        <v>3010391.120577977</v>
      </c>
      <c r="DH20" s="24">
        <f t="shared" si="44"/>
        <v>3010391.120577977</v>
      </c>
      <c r="DI20" s="24">
        <f t="shared" si="44"/>
        <v>3010391.120577977</v>
      </c>
      <c r="DJ20" s="24">
        <f t="shared" si="44"/>
        <v>3010391.120577977</v>
      </c>
      <c r="DK20" s="24">
        <f t="shared" si="44"/>
        <v>3010391.120577977</v>
      </c>
      <c r="DL20" s="24">
        <f t="shared" si="44"/>
        <v>3010391.120577977</v>
      </c>
      <c r="DM20" s="24">
        <f t="shared" si="44"/>
        <v>3010391.120577977</v>
      </c>
      <c r="DN20" s="24">
        <f t="shared" si="44"/>
        <v>3010391.120577977</v>
      </c>
      <c r="DO20" s="24">
        <f t="shared" si="44"/>
        <v>3010391.120577977</v>
      </c>
      <c r="DP20" s="24">
        <f t="shared" si="44"/>
        <v>3010391.120577977</v>
      </c>
      <c r="DQ20" s="24">
        <f t="shared" si="44"/>
        <v>3010391.120577977</v>
      </c>
      <c r="DR20" s="24">
        <f t="shared" si="44"/>
        <v>3010391.120577977</v>
      </c>
      <c r="DS20" s="24">
        <f t="shared" si="44"/>
        <v>3010391.120577977</v>
      </c>
      <c r="DT20" s="24">
        <f t="shared" si="44"/>
        <v>3010391.120577977</v>
      </c>
      <c r="DU20" s="24">
        <f t="shared" si="44"/>
        <v>3010391.120577977</v>
      </c>
      <c r="DV20" s="24">
        <f t="shared" si="44"/>
        <v>3010391.120577977</v>
      </c>
      <c r="DW20" s="24">
        <f t="shared" si="44"/>
        <v>3010391.120577977</v>
      </c>
      <c r="DX20" s="24">
        <f t="shared" si="44"/>
        <v>3010391.120577977</v>
      </c>
      <c r="DY20" s="24">
        <f t="shared" si="44"/>
        <v>3010391.120577977</v>
      </c>
      <c r="DZ20" s="24">
        <f t="shared" si="44"/>
        <v>3010391.120577977</v>
      </c>
      <c r="EA20" s="24">
        <f t="shared" si="44"/>
        <v>3010391.120577977</v>
      </c>
      <c r="EB20" s="24">
        <f t="shared" si="44"/>
        <v>3010391.120577977</v>
      </c>
      <c r="EC20" s="24">
        <f t="shared" si="44"/>
        <v>3010391.120577977</v>
      </c>
      <c r="ED20" s="24">
        <f t="shared" si="44"/>
        <v>3010391.120577977</v>
      </c>
      <c r="EE20" s="24">
        <f t="shared" si="44"/>
        <v>3010391.120577977</v>
      </c>
      <c r="EF20" s="24">
        <f t="shared" ref="EF20:GQ20" si="45">EF11*$C$15</f>
        <v>3010391.120577977</v>
      </c>
      <c r="EG20" s="24">
        <f t="shared" si="45"/>
        <v>3010391.120577977</v>
      </c>
      <c r="EH20" s="24">
        <f t="shared" si="45"/>
        <v>3010391.120577977</v>
      </c>
      <c r="EI20" s="24">
        <f t="shared" si="45"/>
        <v>3010391.120577977</v>
      </c>
      <c r="EJ20" s="24">
        <f t="shared" si="45"/>
        <v>3010391.120577977</v>
      </c>
      <c r="EK20" s="24">
        <f t="shared" si="45"/>
        <v>3010391.120577977</v>
      </c>
      <c r="EL20" s="24">
        <f t="shared" si="45"/>
        <v>3010391.120577977</v>
      </c>
      <c r="EM20" s="24">
        <f t="shared" si="45"/>
        <v>3010391.120577977</v>
      </c>
      <c r="EN20" s="24">
        <f t="shared" si="45"/>
        <v>3010391.120577977</v>
      </c>
      <c r="EO20" s="24">
        <f t="shared" si="45"/>
        <v>3010391.120577977</v>
      </c>
      <c r="EP20" s="24">
        <f t="shared" si="45"/>
        <v>3010391.120577977</v>
      </c>
      <c r="EQ20" s="24">
        <f t="shared" si="45"/>
        <v>3010391.120577977</v>
      </c>
      <c r="ER20" s="24">
        <f t="shared" si="45"/>
        <v>3010391.120577977</v>
      </c>
      <c r="ES20" s="24">
        <f t="shared" si="45"/>
        <v>3010391.120577977</v>
      </c>
      <c r="ET20" s="24">
        <f t="shared" si="45"/>
        <v>3010391.120577977</v>
      </c>
      <c r="EU20" s="24">
        <f t="shared" si="45"/>
        <v>3010391.120577977</v>
      </c>
      <c r="EV20" s="24">
        <f t="shared" si="45"/>
        <v>3010391.120577977</v>
      </c>
      <c r="EW20" s="24">
        <f t="shared" si="45"/>
        <v>3010391.120577977</v>
      </c>
      <c r="EX20" s="24">
        <f t="shared" si="45"/>
        <v>3010391.120577977</v>
      </c>
      <c r="EY20" s="24">
        <f t="shared" si="45"/>
        <v>3010391.120577977</v>
      </c>
      <c r="EZ20" s="24">
        <f t="shared" si="45"/>
        <v>3010391.120577977</v>
      </c>
      <c r="FA20" s="24">
        <f t="shared" si="45"/>
        <v>3010391.120577977</v>
      </c>
      <c r="FB20" s="24">
        <f t="shared" si="45"/>
        <v>3010391.120577977</v>
      </c>
      <c r="FC20" s="24">
        <f t="shared" si="45"/>
        <v>3010391.120577977</v>
      </c>
      <c r="FD20" s="24">
        <f t="shared" si="45"/>
        <v>3010391.120577977</v>
      </c>
      <c r="FE20" s="24">
        <f t="shared" si="45"/>
        <v>3010391.120577977</v>
      </c>
      <c r="FF20" s="24">
        <f t="shared" si="45"/>
        <v>3010391.120577977</v>
      </c>
      <c r="FG20" s="24">
        <f t="shared" si="45"/>
        <v>3010391.120577977</v>
      </c>
      <c r="FH20" s="24">
        <f t="shared" si="45"/>
        <v>3010391.120577977</v>
      </c>
      <c r="FI20" s="24">
        <f t="shared" si="45"/>
        <v>3010391.120577977</v>
      </c>
      <c r="FJ20" s="24">
        <f t="shared" si="45"/>
        <v>3010391.120577977</v>
      </c>
      <c r="FK20" s="24">
        <f t="shared" si="45"/>
        <v>3010391.120577977</v>
      </c>
      <c r="FL20" s="24">
        <f t="shared" si="45"/>
        <v>3010391.120577977</v>
      </c>
      <c r="FM20" s="24">
        <f t="shared" si="45"/>
        <v>3010391.120577977</v>
      </c>
      <c r="FN20" s="24">
        <f t="shared" si="45"/>
        <v>3010391.120577977</v>
      </c>
      <c r="FO20" s="24">
        <f t="shared" si="45"/>
        <v>3010391.120577977</v>
      </c>
      <c r="FP20" s="24">
        <f t="shared" si="45"/>
        <v>3010391.120577977</v>
      </c>
      <c r="FQ20" s="24">
        <f t="shared" si="45"/>
        <v>3010391.120577977</v>
      </c>
      <c r="FR20" s="24">
        <f t="shared" si="45"/>
        <v>3010391.120577977</v>
      </c>
      <c r="FS20" s="24">
        <f t="shared" si="45"/>
        <v>3010391.120577977</v>
      </c>
      <c r="FT20" s="24">
        <f t="shared" si="45"/>
        <v>3010391.120577977</v>
      </c>
      <c r="FU20" s="24">
        <f t="shared" si="45"/>
        <v>3010391.120577977</v>
      </c>
      <c r="FV20" s="24">
        <f t="shared" si="45"/>
        <v>3010391.120577977</v>
      </c>
      <c r="FW20" s="24">
        <f t="shared" si="45"/>
        <v>3010391.120577977</v>
      </c>
      <c r="FX20" s="24">
        <f t="shared" si="45"/>
        <v>3010391.120577977</v>
      </c>
      <c r="FY20" s="24">
        <f t="shared" si="45"/>
        <v>3010391.120577977</v>
      </c>
      <c r="FZ20" s="24">
        <f t="shared" si="45"/>
        <v>3010391.120577977</v>
      </c>
      <c r="GA20" s="24">
        <f t="shared" si="45"/>
        <v>3010391.120577977</v>
      </c>
      <c r="GB20" s="24">
        <f t="shared" si="45"/>
        <v>3010391.120577977</v>
      </c>
      <c r="GC20" s="24">
        <f t="shared" si="45"/>
        <v>3010391.120577977</v>
      </c>
      <c r="GD20" s="24">
        <f t="shared" si="45"/>
        <v>3010391.120577977</v>
      </c>
      <c r="GE20" s="24">
        <f t="shared" si="45"/>
        <v>3010391.120577977</v>
      </c>
      <c r="GF20" s="24">
        <f t="shared" si="45"/>
        <v>3010391.120577977</v>
      </c>
      <c r="GG20" s="24">
        <f t="shared" si="45"/>
        <v>3010391.120577977</v>
      </c>
      <c r="GH20" s="24">
        <f t="shared" si="45"/>
        <v>3010391.120577977</v>
      </c>
      <c r="GI20" s="24">
        <f t="shared" si="45"/>
        <v>3010391.120577977</v>
      </c>
      <c r="GJ20" s="24">
        <f t="shared" si="45"/>
        <v>3010391.120577977</v>
      </c>
      <c r="GK20" s="24">
        <f t="shared" si="45"/>
        <v>3010391.120577977</v>
      </c>
      <c r="GL20" s="24">
        <f t="shared" si="45"/>
        <v>3010391.120577977</v>
      </c>
      <c r="GM20" s="24">
        <f t="shared" si="45"/>
        <v>3010391.120577977</v>
      </c>
      <c r="GN20" s="24">
        <f t="shared" si="45"/>
        <v>3010391.120577977</v>
      </c>
      <c r="GO20" s="24">
        <f t="shared" si="45"/>
        <v>3010391.120577977</v>
      </c>
      <c r="GP20" s="24">
        <f t="shared" si="45"/>
        <v>3010391.120577977</v>
      </c>
      <c r="GQ20" s="24">
        <f t="shared" si="45"/>
        <v>3010391.120577977</v>
      </c>
      <c r="GR20" s="24">
        <f t="shared" ref="GR20:IN20" si="46">GR11*$C$15</f>
        <v>3010391.120577977</v>
      </c>
      <c r="GS20" s="24">
        <f t="shared" si="46"/>
        <v>3010391.120577977</v>
      </c>
      <c r="GT20" s="24">
        <f t="shared" si="46"/>
        <v>3010391.120577977</v>
      </c>
      <c r="GU20" s="24">
        <f t="shared" si="46"/>
        <v>3010391.120577977</v>
      </c>
      <c r="GV20" s="24">
        <f t="shared" si="46"/>
        <v>3010391.120577977</v>
      </c>
      <c r="GW20" s="24">
        <f t="shared" si="46"/>
        <v>3010391.120577977</v>
      </c>
      <c r="GX20" s="24">
        <f t="shared" si="46"/>
        <v>3010391.120577977</v>
      </c>
      <c r="GY20" s="24">
        <f t="shared" si="46"/>
        <v>3010391.120577977</v>
      </c>
      <c r="GZ20" s="24">
        <f t="shared" si="46"/>
        <v>3010391.120577977</v>
      </c>
      <c r="HA20" s="24">
        <f t="shared" si="46"/>
        <v>3010391.120577977</v>
      </c>
      <c r="HB20" s="24">
        <f t="shared" si="46"/>
        <v>3010391.120577977</v>
      </c>
      <c r="HC20" s="24">
        <f t="shared" si="46"/>
        <v>3010391.120577977</v>
      </c>
      <c r="HD20" s="24">
        <f t="shared" si="46"/>
        <v>3010391.120577977</v>
      </c>
      <c r="HE20" s="24">
        <f t="shared" si="46"/>
        <v>3010391.120577977</v>
      </c>
      <c r="HF20" s="24">
        <f t="shared" si="46"/>
        <v>3010391.120577977</v>
      </c>
      <c r="HG20" s="24">
        <f t="shared" si="46"/>
        <v>3010391.120577977</v>
      </c>
      <c r="HH20" s="24">
        <f t="shared" si="46"/>
        <v>3010391.120577977</v>
      </c>
      <c r="HI20" s="24">
        <f t="shared" si="46"/>
        <v>3010391.120577977</v>
      </c>
      <c r="HJ20" s="24">
        <f t="shared" si="46"/>
        <v>3010391.120577977</v>
      </c>
      <c r="HK20" s="24">
        <f t="shared" si="46"/>
        <v>3010391.120577977</v>
      </c>
      <c r="HL20" s="24">
        <f t="shared" si="46"/>
        <v>3010391.120577977</v>
      </c>
      <c r="HM20" s="24">
        <f t="shared" si="46"/>
        <v>3010391.120577977</v>
      </c>
      <c r="HN20" s="24">
        <f t="shared" si="46"/>
        <v>3010391.120577977</v>
      </c>
      <c r="HO20" s="24">
        <f t="shared" si="46"/>
        <v>3010391.120577977</v>
      </c>
      <c r="HP20" s="24">
        <f t="shared" si="46"/>
        <v>3010391.120577977</v>
      </c>
      <c r="HQ20" s="24">
        <f t="shared" si="46"/>
        <v>3010391.120577977</v>
      </c>
      <c r="HR20" s="24">
        <f t="shared" si="46"/>
        <v>3010391.120577977</v>
      </c>
      <c r="HS20" s="24">
        <f t="shared" si="46"/>
        <v>3010391.120577977</v>
      </c>
      <c r="HT20" s="24">
        <f t="shared" si="46"/>
        <v>3010391.120577977</v>
      </c>
      <c r="HU20" s="24">
        <f t="shared" si="46"/>
        <v>3010391.120577977</v>
      </c>
      <c r="HV20" s="24">
        <f t="shared" si="46"/>
        <v>3010391.120577977</v>
      </c>
      <c r="HW20" s="24">
        <f t="shared" si="46"/>
        <v>3010391.120577977</v>
      </c>
      <c r="HX20" s="24">
        <f t="shared" si="46"/>
        <v>3010391.120577977</v>
      </c>
      <c r="HY20" s="24">
        <f t="shared" si="46"/>
        <v>3010391.120577977</v>
      </c>
      <c r="HZ20" s="24">
        <f t="shared" si="46"/>
        <v>3010391.120577977</v>
      </c>
      <c r="IA20" s="24">
        <f t="shared" si="46"/>
        <v>3010391.120577977</v>
      </c>
      <c r="IB20" s="24">
        <f t="shared" si="46"/>
        <v>3010391.120577977</v>
      </c>
      <c r="IC20" s="24">
        <f t="shared" si="46"/>
        <v>3010391.120577977</v>
      </c>
      <c r="ID20" s="24">
        <f t="shared" si="46"/>
        <v>3010391.120577977</v>
      </c>
      <c r="IE20" s="24">
        <f t="shared" si="46"/>
        <v>3010391.120577977</v>
      </c>
      <c r="IF20" s="24">
        <f t="shared" si="46"/>
        <v>3010391.120577977</v>
      </c>
      <c r="IG20" s="24">
        <f t="shared" si="46"/>
        <v>3010391.120577977</v>
      </c>
      <c r="IH20" s="24">
        <f t="shared" si="46"/>
        <v>3010391.120577977</v>
      </c>
      <c r="II20" s="24">
        <f t="shared" si="46"/>
        <v>3010391.120577977</v>
      </c>
      <c r="IJ20" s="24">
        <f t="shared" si="46"/>
        <v>3010391.120577977</v>
      </c>
      <c r="IK20" s="24">
        <f t="shared" si="46"/>
        <v>3010391.120577977</v>
      </c>
      <c r="IL20" s="24">
        <f t="shared" si="46"/>
        <v>3010391.120577977</v>
      </c>
      <c r="IM20" s="24">
        <f t="shared" si="46"/>
        <v>3010391.120577977</v>
      </c>
      <c r="IN20" s="24">
        <f t="shared" si="46"/>
        <v>3010391.120577977</v>
      </c>
    </row>
    <row r="21" spans="2:248" x14ac:dyDescent="0.3">
      <c r="B21" s="19" t="s">
        <v>494</v>
      </c>
      <c r="C21" s="42">
        <f>C20*C19</f>
        <v>27154404.400000002</v>
      </c>
      <c r="F21" s="22" t="s">
        <v>498</v>
      </c>
      <c r="G21" s="24">
        <f>G13*$C$15</f>
        <v>11.862232187344294</v>
      </c>
      <c r="H21" s="24">
        <f t="shared" ref="H21:BS21" si="47">H13*$C$15</f>
        <v>17.07274539113104</v>
      </c>
      <c r="I21" s="24">
        <f t="shared" si="47"/>
        <v>20.731190832087691</v>
      </c>
      <c r="J21" s="24">
        <f t="shared" si="47"/>
        <v>28.048081714000997</v>
      </c>
      <c r="K21" s="24">
        <f t="shared" si="47"/>
        <v>33.25859491778774</v>
      </c>
      <c r="L21" s="24">
        <f t="shared" si="47"/>
        <v>39.799451918285996</v>
      </c>
      <c r="M21" s="24">
        <f t="shared" si="47"/>
        <v>47.892376681614344</v>
      </c>
      <c r="N21" s="24">
        <f t="shared" si="47"/>
        <v>62.415296462381662</v>
      </c>
      <c r="O21" s="24">
        <f t="shared" si="47"/>
        <v>85.918036870951667</v>
      </c>
      <c r="P21" s="24">
        <f t="shared" si="47"/>
        <v>122.39162929745889</v>
      </c>
      <c r="Q21" s="24">
        <f t="shared" si="47"/>
        <v>145.7835077229696</v>
      </c>
      <c r="R21" s="24">
        <f t="shared" si="47"/>
        <v>163.41056302939711</v>
      </c>
      <c r="S21" s="24">
        <f t="shared" si="47"/>
        <v>205.20553064275038</v>
      </c>
      <c r="T21" s="24">
        <f t="shared" si="47"/>
        <v>277.48754359740906</v>
      </c>
      <c r="U21" s="24">
        <f t="shared" si="47"/>
        <v>351.32162431489786</v>
      </c>
      <c r="V21" s="24">
        <f t="shared" si="47"/>
        <v>417.8388141504733</v>
      </c>
      <c r="W21" s="24">
        <f t="shared" si="47"/>
        <v>543.19045839561534</v>
      </c>
      <c r="X21" s="24">
        <f t="shared" si="47"/>
        <v>706.14759591429993</v>
      </c>
      <c r="Y21" s="24">
        <f t="shared" si="47"/>
        <v>917.99187468858997</v>
      </c>
      <c r="Z21" s="24">
        <f t="shared" si="47"/>
        <v>1193.3894370951668</v>
      </c>
      <c r="AA21" s="24">
        <f t="shared" si="47"/>
        <v>1551.406268223717</v>
      </c>
      <c r="AB21" s="24">
        <f t="shared" si="47"/>
        <v>2016.8281486908324</v>
      </c>
      <c r="AC21" s="24">
        <f t="shared" si="47"/>
        <v>2621.8765932980823</v>
      </c>
      <c r="AD21" s="24">
        <f t="shared" si="47"/>
        <v>3408.4395712875071</v>
      </c>
      <c r="AE21" s="24">
        <f t="shared" si="47"/>
        <v>4430.9714426737592</v>
      </c>
      <c r="AF21" s="24">
        <f t="shared" si="47"/>
        <v>5760.262875475888</v>
      </c>
      <c r="AG21" s="24">
        <f t="shared" si="47"/>
        <v>7488.3417381186537</v>
      </c>
      <c r="AH21" s="24">
        <f t="shared" si="47"/>
        <v>9734.8442595542492</v>
      </c>
      <c r="AI21" s="24">
        <f t="shared" si="47"/>
        <v>12655.297537420525</v>
      </c>
      <c r="AJ21" s="24">
        <f t="shared" si="47"/>
        <v>16451.886798646683</v>
      </c>
      <c r="AK21" s="24">
        <f t="shared" si="47"/>
        <v>21387.45283824069</v>
      </c>
      <c r="AL21" s="24">
        <f t="shared" si="47"/>
        <v>27803.688689712897</v>
      </c>
      <c r="AM21" s="24">
        <f t="shared" si="47"/>
        <v>36144.795296626769</v>
      </c>
      <c r="AN21" s="24">
        <f t="shared" si="47"/>
        <v>46988.233885614798</v>
      </c>
      <c r="AO21" s="24">
        <f t="shared" si="47"/>
        <v>61084.704051299246</v>
      </c>
      <c r="AP21" s="24">
        <f t="shared" si="47"/>
        <v>79410.115266689027</v>
      </c>
      <c r="AQ21" s="24">
        <f t="shared" si="47"/>
        <v>103233.14984669574</v>
      </c>
      <c r="AR21" s="24">
        <f t="shared" si="47"/>
        <v>134203.09480070448</v>
      </c>
      <c r="AS21" s="24">
        <f t="shared" si="47"/>
        <v>174464.02324091582</v>
      </c>
      <c r="AT21" s="24">
        <f t="shared" si="47"/>
        <v>226803.23021319057</v>
      </c>
      <c r="AU21" s="24">
        <f t="shared" si="47"/>
        <v>294844.19927714777</v>
      </c>
      <c r="AV21" s="24">
        <f t="shared" si="47"/>
        <v>383297.45906029211</v>
      </c>
      <c r="AW21" s="24">
        <f t="shared" si="47"/>
        <v>498286.69677837979</v>
      </c>
      <c r="AX21" s="24">
        <f t="shared" si="47"/>
        <v>647772.70581189368</v>
      </c>
      <c r="AY21" s="24">
        <f t="shared" si="47"/>
        <v>842104.51755546185</v>
      </c>
      <c r="AZ21" s="24">
        <f t="shared" si="47"/>
        <v>1094735.8728221003</v>
      </c>
      <c r="BA21" s="24">
        <f t="shared" si="47"/>
        <v>1423156.6346687304</v>
      </c>
      <c r="BB21" s="24">
        <f t="shared" si="47"/>
        <v>1850103.6250693498</v>
      </c>
      <c r="BC21" s="24">
        <f t="shared" si="47"/>
        <v>2405134.7125901547</v>
      </c>
      <c r="BD21" s="24">
        <f t="shared" si="47"/>
        <v>3010391.120577977</v>
      </c>
      <c r="BE21" s="24">
        <f t="shared" si="47"/>
        <v>3010391.120577977</v>
      </c>
      <c r="BF21" s="24">
        <f t="shared" si="47"/>
        <v>3010391.120577977</v>
      </c>
      <c r="BG21" s="24">
        <f t="shared" si="47"/>
        <v>3010391.120577977</v>
      </c>
      <c r="BH21" s="24">
        <f t="shared" si="47"/>
        <v>3010391.120577977</v>
      </c>
      <c r="BI21" s="24">
        <f t="shared" si="47"/>
        <v>3010391.120577977</v>
      </c>
      <c r="BJ21" s="24">
        <f t="shared" si="47"/>
        <v>3010391.120577977</v>
      </c>
      <c r="BK21" s="24">
        <f t="shared" si="47"/>
        <v>3010391.120577977</v>
      </c>
      <c r="BL21" s="24">
        <f t="shared" si="47"/>
        <v>3010391.120577977</v>
      </c>
      <c r="BM21" s="24">
        <f t="shared" si="47"/>
        <v>3010391.120577977</v>
      </c>
      <c r="BN21" s="24">
        <f t="shared" si="47"/>
        <v>3010391.120577977</v>
      </c>
      <c r="BO21" s="24">
        <f t="shared" si="47"/>
        <v>3010391.120577977</v>
      </c>
      <c r="BP21" s="24">
        <f t="shared" si="47"/>
        <v>3010391.120577977</v>
      </c>
      <c r="BQ21" s="24">
        <f t="shared" si="47"/>
        <v>3010391.120577977</v>
      </c>
      <c r="BR21" s="24">
        <f t="shared" si="47"/>
        <v>3010391.120577977</v>
      </c>
      <c r="BS21" s="24">
        <f t="shared" si="47"/>
        <v>3010391.120577977</v>
      </c>
      <c r="BT21" s="24">
        <f t="shared" ref="BT21:EE21" si="48">BT13*$C$15</f>
        <v>3010391.120577977</v>
      </c>
      <c r="BU21" s="24">
        <f t="shared" si="48"/>
        <v>3010391.120577977</v>
      </c>
      <c r="BV21" s="24">
        <f t="shared" si="48"/>
        <v>3010391.120577977</v>
      </c>
      <c r="BW21" s="24">
        <f t="shared" si="48"/>
        <v>3010391.120577977</v>
      </c>
      <c r="BX21" s="24">
        <f t="shared" si="48"/>
        <v>3010391.120577977</v>
      </c>
      <c r="BY21" s="24">
        <f t="shared" si="48"/>
        <v>3010391.120577977</v>
      </c>
      <c r="BZ21" s="24">
        <f t="shared" si="48"/>
        <v>3010391.120577977</v>
      </c>
      <c r="CA21" s="24">
        <f t="shared" si="48"/>
        <v>3010391.120577977</v>
      </c>
      <c r="CB21" s="24">
        <f t="shared" si="48"/>
        <v>3010391.120577977</v>
      </c>
      <c r="CC21" s="24">
        <f t="shared" si="48"/>
        <v>3010391.120577977</v>
      </c>
      <c r="CD21" s="24">
        <f t="shared" si="48"/>
        <v>3010391.120577977</v>
      </c>
      <c r="CE21" s="24">
        <f t="shared" si="48"/>
        <v>3010391.120577977</v>
      </c>
      <c r="CF21" s="24">
        <f t="shared" si="48"/>
        <v>3010391.120577977</v>
      </c>
      <c r="CG21" s="24">
        <f t="shared" si="48"/>
        <v>3010391.120577977</v>
      </c>
      <c r="CH21" s="24">
        <f t="shared" si="48"/>
        <v>3010391.120577977</v>
      </c>
      <c r="CI21" s="24">
        <f t="shared" si="48"/>
        <v>3010391.120577977</v>
      </c>
      <c r="CJ21" s="24">
        <f t="shared" si="48"/>
        <v>3010391.120577977</v>
      </c>
      <c r="CK21" s="24">
        <f t="shared" si="48"/>
        <v>3010391.120577977</v>
      </c>
      <c r="CL21" s="24">
        <f t="shared" si="48"/>
        <v>3010391.120577977</v>
      </c>
      <c r="CM21" s="24">
        <f t="shared" si="48"/>
        <v>3010391.120577977</v>
      </c>
      <c r="CN21" s="24">
        <f t="shared" si="48"/>
        <v>3010391.120577977</v>
      </c>
      <c r="CO21" s="24">
        <f t="shared" si="48"/>
        <v>3010391.120577977</v>
      </c>
      <c r="CP21" s="24">
        <f t="shared" si="48"/>
        <v>3010391.120577977</v>
      </c>
      <c r="CQ21" s="24">
        <f t="shared" si="48"/>
        <v>3010391.120577977</v>
      </c>
      <c r="CR21" s="24">
        <f t="shared" si="48"/>
        <v>3010391.120577977</v>
      </c>
      <c r="CS21" s="24">
        <f t="shared" si="48"/>
        <v>3010391.120577977</v>
      </c>
      <c r="CT21" s="24">
        <f t="shared" si="48"/>
        <v>3010391.120577977</v>
      </c>
      <c r="CU21" s="24">
        <f t="shared" si="48"/>
        <v>3010391.120577977</v>
      </c>
      <c r="CV21" s="24">
        <f t="shared" si="48"/>
        <v>3010391.120577977</v>
      </c>
      <c r="CW21" s="24">
        <f t="shared" si="48"/>
        <v>3010391.120577977</v>
      </c>
      <c r="CX21" s="24">
        <f t="shared" si="48"/>
        <v>3010391.120577977</v>
      </c>
      <c r="CY21" s="24">
        <f t="shared" si="48"/>
        <v>3010391.120577977</v>
      </c>
      <c r="CZ21" s="24">
        <f t="shared" si="48"/>
        <v>3010391.120577977</v>
      </c>
      <c r="DA21" s="24">
        <f t="shared" si="48"/>
        <v>3010391.120577977</v>
      </c>
      <c r="DB21" s="24">
        <f t="shared" si="48"/>
        <v>3010391.120577977</v>
      </c>
      <c r="DC21" s="24">
        <f t="shared" si="48"/>
        <v>3010391.120577977</v>
      </c>
      <c r="DD21" s="24">
        <f t="shared" si="48"/>
        <v>3010391.120577977</v>
      </c>
      <c r="DE21" s="24">
        <f t="shared" si="48"/>
        <v>3010391.120577977</v>
      </c>
      <c r="DF21" s="24">
        <f t="shared" si="48"/>
        <v>3010391.120577977</v>
      </c>
      <c r="DG21" s="24">
        <f t="shared" si="48"/>
        <v>3010391.120577977</v>
      </c>
      <c r="DH21" s="24">
        <f t="shared" si="48"/>
        <v>3010391.120577977</v>
      </c>
      <c r="DI21" s="24">
        <f t="shared" si="48"/>
        <v>3010391.120577977</v>
      </c>
      <c r="DJ21" s="24">
        <f t="shared" si="48"/>
        <v>3010391.120577977</v>
      </c>
      <c r="DK21" s="24">
        <f t="shared" si="48"/>
        <v>3010391.120577977</v>
      </c>
      <c r="DL21" s="24">
        <f t="shared" si="48"/>
        <v>3010391.120577977</v>
      </c>
      <c r="DM21" s="24">
        <f t="shared" si="48"/>
        <v>3010391.120577977</v>
      </c>
      <c r="DN21" s="24">
        <f t="shared" si="48"/>
        <v>3010391.120577977</v>
      </c>
      <c r="DO21" s="24">
        <f t="shared" si="48"/>
        <v>3010391.120577977</v>
      </c>
      <c r="DP21" s="24">
        <f t="shared" si="48"/>
        <v>3010391.120577977</v>
      </c>
      <c r="DQ21" s="24">
        <f t="shared" si="48"/>
        <v>3010391.120577977</v>
      </c>
      <c r="DR21" s="24">
        <f t="shared" si="48"/>
        <v>3010391.120577977</v>
      </c>
      <c r="DS21" s="24">
        <f t="shared" si="48"/>
        <v>3010391.120577977</v>
      </c>
      <c r="DT21" s="24">
        <f t="shared" si="48"/>
        <v>3010391.120577977</v>
      </c>
      <c r="DU21" s="24">
        <f t="shared" si="48"/>
        <v>3010391.120577977</v>
      </c>
      <c r="DV21" s="24">
        <f t="shared" si="48"/>
        <v>3010391.120577977</v>
      </c>
      <c r="DW21" s="24">
        <f t="shared" si="48"/>
        <v>3010391.120577977</v>
      </c>
      <c r="DX21" s="24">
        <f t="shared" si="48"/>
        <v>3010391.120577977</v>
      </c>
      <c r="DY21" s="24">
        <f t="shared" si="48"/>
        <v>3010391.120577977</v>
      </c>
      <c r="DZ21" s="24">
        <f t="shared" si="48"/>
        <v>3010391.120577977</v>
      </c>
      <c r="EA21" s="24">
        <f t="shared" si="48"/>
        <v>3010391.120577977</v>
      </c>
      <c r="EB21" s="24">
        <f t="shared" si="48"/>
        <v>3010391.120577977</v>
      </c>
      <c r="EC21" s="24">
        <f t="shared" si="48"/>
        <v>3010391.120577977</v>
      </c>
      <c r="ED21" s="24">
        <f t="shared" si="48"/>
        <v>3010391.120577977</v>
      </c>
      <c r="EE21" s="24">
        <f t="shared" si="48"/>
        <v>3010391.120577977</v>
      </c>
      <c r="EF21" s="24">
        <f t="shared" ref="EF21:GQ21" si="49">EF13*$C$15</f>
        <v>3010391.120577977</v>
      </c>
      <c r="EG21" s="24">
        <f t="shared" si="49"/>
        <v>3010391.120577977</v>
      </c>
      <c r="EH21" s="24">
        <f t="shared" si="49"/>
        <v>3010391.120577977</v>
      </c>
      <c r="EI21" s="24">
        <f t="shared" si="49"/>
        <v>3010391.120577977</v>
      </c>
      <c r="EJ21" s="24">
        <f t="shared" si="49"/>
        <v>3010391.120577977</v>
      </c>
      <c r="EK21" s="24">
        <f t="shared" si="49"/>
        <v>3010391.120577977</v>
      </c>
      <c r="EL21" s="24">
        <f t="shared" si="49"/>
        <v>3010391.120577977</v>
      </c>
      <c r="EM21" s="24">
        <f t="shared" si="49"/>
        <v>3010391.120577977</v>
      </c>
      <c r="EN21" s="24">
        <f t="shared" si="49"/>
        <v>3010391.120577977</v>
      </c>
      <c r="EO21" s="24">
        <f t="shared" si="49"/>
        <v>3010391.120577977</v>
      </c>
      <c r="EP21" s="24">
        <f t="shared" si="49"/>
        <v>3010391.120577977</v>
      </c>
      <c r="EQ21" s="24">
        <f t="shared" si="49"/>
        <v>3010391.120577977</v>
      </c>
      <c r="ER21" s="24">
        <f t="shared" si="49"/>
        <v>3010391.120577977</v>
      </c>
      <c r="ES21" s="24">
        <f t="shared" si="49"/>
        <v>3010391.120577977</v>
      </c>
      <c r="ET21" s="24">
        <f t="shared" si="49"/>
        <v>3010391.120577977</v>
      </c>
      <c r="EU21" s="24">
        <f t="shared" si="49"/>
        <v>3010391.120577977</v>
      </c>
      <c r="EV21" s="24">
        <f t="shared" si="49"/>
        <v>3010391.120577977</v>
      </c>
      <c r="EW21" s="24">
        <f t="shared" si="49"/>
        <v>3010391.120577977</v>
      </c>
      <c r="EX21" s="24">
        <f t="shared" si="49"/>
        <v>3010391.120577977</v>
      </c>
      <c r="EY21" s="24">
        <f t="shared" si="49"/>
        <v>3010391.120577977</v>
      </c>
      <c r="EZ21" s="24">
        <f t="shared" si="49"/>
        <v>3010391.120577977</v>
      </c>
      <c r="FA21" s="24">
        <f t="shared" si="49"/>
        <v>3010391.120577977</v>
      </c>
      <c r="FB21" s="24">
        <f t="shared" si="49"/>
        <v>3010391.120577977</v>
      </c>
      <c r="FC21" s="24">
        <f t="shared" si="49"/>
        <v>3010391.120577977</v>
      </c>
      <c r="FD21" s="24">
        <f t="shared" si="49"/>
        <v>3010391.120577977</v>
      </c>
      <c r="FE21" s="24">
        <f t="shared" si="49"/>
        <v>3010391.120577977</v>
      </c>
      <c r="FF21" s="24">
        <f t="shared" si="49"/>
        <v>3010391.120577977</v>
      </c>
      <c r="FG21" s="24">
        <f t="shared" si="49"/>
        <v>3010391.120577977</v>
      </c>
      <c r="FH21" s="24">
        <f t="shared" si="49"/>
        <v>3010391.120577977</v>
      </c>
      <c r="FI21" s="24">
        <f t="shared" si="49"/>
        <v>3010391.120577977</v>
      </c>
      <c r="FJ21" s="24">
        <f t="shared" si="49"/>
        <v>3010391.120577977</v>
      </c>
      <c r="FK21" s="24">
        <f t="shared" si="49"/>
        <v>3010391.120577977</v>
      </c>
      <c r="FL21" s="24">
        <f t="shared" si="49"/>
        <v>3010391.120577977</v>
      </c>
      <c r="FM21" s="24">
        <f t="shared" si="49"/>
        <v>3010391.120577977</v>
      </c>
      <c r="FN21" s="24">
        <f t="shared" si="49"/>
        <v>3010391.120577977</v>
      </c>
      <c r="FO21" s="24">
        <f t="shared" si="49"/>
        <v>3010391.120577977</v>
      </c>
      <c r="FP21" s="24">
        <f t="shared" si="49"/>
        <v>3010391.120577977</v>
      </c>
      <c r="FQ21" s="24">
        <f t="shared" si="49"/>
        <v>3010391.120577977</v>
      </c>
      <c r="FR21" s="24">
        <f t="shared" si="49"/>
        <v>3010391.120577977</v>
      </c>
      <c r="FS21" s="24">
        <f t="shared" si="49"/>
        <v>3010391.120577977</v>
      </c>
      <c r="FT21" s="24">
        <f t="shared" si="49"/>
        <v>3010391.120577977</v>
      </c>
      <c r="FU21" s="24">
        <f t="shared" si="49"/>
        <v>3010391.120577977</v>
      </c>
      <c r="FV21" s="24">
        <f t="shared" si="49"/>
        <v>3010391.120577977</v>
      </c>
      <c r="FW21" s="24">
        <f t="shared" si="49"/>
        <v>3010391.120577977</v>
      </c>
      <c r="FX21" s="24">
        <f t="shared" si="49"/>
        <v>3010391.120577977</v>
      </c>
      <c r="FY21" s="24">
        <f t="shared" si="49"/>
        <v>3010391.120577977</v>
      </c>
      <c r="FZ21" s="24">
        <f t="shared" si="49"/>
        <v>3010391.120577977</v>
      </c>
      <c r="GA21" s="24">
        <f t="shared" si="49"/>
        <v>3010391.120577977</v>
      </c>
      <c r="GB21" s="24">
        <f t="shared" si="49"/>
        <v>3010391.120577977</v>
      </c>
      <c r="GC21" s="24">
        <f t="shared" si="49"/>
        <v>3010391.120577977</v>
      </c>
      <c r="GD21" s="24">
        <f t="shared" si="49"/>
        <v>3010391.120577977</v>
      </c>
      <c r="GE21" s="24">
        <f t="shared" si="49"/>
        <v>3010391.120577977</v>
      </c>
      <c r="GF21" s="24">
        <f t="shared" si="49"/>
        <v>3010391.120577977</v>
      </c>
      <c r="GG21" s="24">
        <f t="shared" si="49"/>
        <v>3010391.120577977</v>
      </c>
      <c r="GH21" s="24">
        <f t="shared" si="49"/>
        <v>3010391.120577977</v>
      </c>
      <c r="GI21" s="24">
        <f t="shared" si="49"/>
        <v>3010391.120577977</v>
      </c>
      <c r="GJ21" s="24">
        <f t="shared" si="49"/>
        <v>3010391.120577977</v>
      </c>
      <c r="GK21" s="24">
        <f t="shared" si="49"/>
        <v>3010391.120577977</v>
      </c>
      <c r="GL21" s="24">
        <f t="shared" si="49"/>
        <v>3010391.120577977</v>
      </c>
      <c r="GM21" s="24">
        <f t="shared" si="49"/>
        <v>3010391.120577977</v>
      </c>
      <c r="GN21" s="24">
        <f t="shared" si="49"/>
        <v>3010391.120577977</v>
      </c>
      <c r="GO21" s="24">
        <f t="shared" si="49"/>
        <v>3010391.120577977</v>
      </c>
      <c r="GP21" s="24">
        <f t="shared" si="49"/>
        <v>3010391.120577977</v>
      </c>
      <c r="GQ21" s="24">
        <f t="shared" si="49"/>
        <v>3010391.120577977</v>
      </c>
      <c r="GR21" s="24">
        <f t="shared" ref="GR21:IN21" si="50">GR13*$C$15</f>
        <v>3010391.120577977</v>
      </c>
      <c r="GS21" s="24">
        <f t="shared" si="50"/>
        <v>3010391.120577977</v>
      </c>
      <c r="GT21" s="24">
        <f t="shared" si="50"/>
        <v>3010391.120577977</v>
      </c>
      <c r="GU21" s="24">
        <f t="shared" si="50"/>
        <v>3010391.120577977</v>
      </c>
      <c r="GV21" s="24">
        <f t="shared" si="50"/>
        <v>3010391.120577977</v>
      </c>
      <c r="GW21" s="24">
        <f t="shared" si="50"/>
        <v>3010391.120577977</v>
      </c>
      <c r="GX21" s="24">
        <f t="shared" si="50"/>
        <v>3010391.120577977</v>
      </c>
      <c r="GY21" s="24">
        <f t="shared" si="50"/>
        <v>3010391.120577977</v>
      </c>
      <c r="GZ21" s="24">
        <f t="shared" si="50"/>
        <v>3010391.120577977</v>
      </c>
      <c r="HA21" s="24">
        <f t="shared" si="50"/>
        <v>3010391.120577977</v>
      </c>
      <c r="HB21" s="24">
        <f t="shared" si="50"/>
        <v>3010391.120577977</v>
      </c>
      <c r="HC21" s="24">
        <f t="shared" si="50"/>
        <v>3010391.120577977</v>
      </c>
      <c r="HD21" s="24">
        <f t="shared" si="50"/>
        <v>3010391.120577977</v>
      </c>
      <c r="HE21" s="24">
        <f t="shared" si="50"/>
        <v>3010391.120577977</v>
      </c>
      <c r="HF21" s="24">
        <f t="shared" si="50"/>
        <v>3010391.120577977</v>
      </c>
      <c r="HG21" s="24">
        <f t="shared" si="50"/>
        <v>3010391.120577977</v>
      </c>
      <c r="HH21" s="24">
        <f t="shared" si="50"/>
        <v>3010391.120577977</v>
      </c>
      <c r="HI21" s="24">
        <f t="shared" si="50"/>
        <v>3010391.120577977</v>
      </c>
      <c r="HJ21" s="24">
        <f t="shared" si="50"/>
        <v>3010391.120577977</v>
      </c>
      <c r="HK21" s="24">
        <f t="shared" si="50"/>
        <v>3010391.120577977</v>
      </c>
      <c r="HL21" s="24">
        <f t="shared" si="50"/>
        <v>3010391.120577977</v>
      </c>
      <c r="HM21" s="24">
        <f t="shared" si="50"/>
        <v>3010391.120577977</v>
      </c>
      <c r="HN21" s="24">
        <f t="shared" si="50"/>
        <v>3010391.120577977</v>
      </c>
      <c r="HO21" s="24">
        <f t="shared" si="50"/>
        <v>3010391.120577977</v>
      </c>
      <c r="HP21" s="24">
        <f t="shared" si="50"/>
        <v>3010391.120577977</v>
      </c>
      <c r="HQ21" s="24">
        <f t="shared" si="50"/>
        <v>3010391.120577977</v>
      </c>
      <c r="HR21" s="24">
        <f t="shared" si="50"/>
        <v>3010391.120577977</v>
      </c>
      <c r="HS21" s="24">
        <f t="shared" si="50"/>
        <v>3010391.120577977</v>
      </c>
      <c r="HT21" s="24">
        <f t="shared" si="50"/>
        <v>3010391.120577977</v>
      </c>
      <c r="HU21" s="24">
        <f t="shared" si="50"/>
        <v>3010391.120577977</v>
      </c>
      <c r="HV21" s="24">
        <f t="shared" si="50"/>
        <v>3010391.120577977</v>
      </c>
      <c r="HW21" s="24">
        <f t="shared" si="50"/>
        <v>3010391.120577977</v>
      </c>
      <c r="HX21" s="24">
        <f t="shared" si="50"/>
        <v>3010391.120577977</v>
      </c>
      <c r="HY21" s="24">
        <f t="shared" si="50"/>
        <v>3010391.120577977</v>
      </c>
      <c r="HZ21" s="24">
        <f t="shared" si="50"/>
        <v>3010391.120577977</v>
      </c>
      <c r="IA21" s="24">
        <f t="shared" si="50"/>
        <v>3010391.120577977</v>
      </c>
      <c r="IB21" s="24">
        <f t="shared" si="50"/>
        <v>3010391.120577977</v>
      </c>
      <c r="IC21" s="24">
        <f t="shared" si="50"/>
        <v>3010391.120577977</v>
      </c>
      <c r="ID21" s="24">
        <f t="shared" si="50"/>
        <v>3010391.120577977</v>
      </c>
      <c r="IE21" s="24">
        <f t="shared" si="50"/>
        <v>3010391.120577977</v>
      </c>
      <c r="IF21" s="24">
        <f t="shared" si="50"/>
        <v>3010391.120577977</v>
      </c>
      <c r="IG21" s="24">
        <f t="shared" si="50"/>
        <v>3010391.120577977</v>
      </c>
      <c r="IH21" s="24">
        <f t="shared" si="50"/>
        <v>3010391.120577977</v>
      </c>
      <c r="II21" s="24">
        <f t="shared" si="50"/>
        <v>3010391.120577977</v>
      </c>
      <c r="IJ21" s="24">
        <f t="shared" si="50"/>
        <v>3010391.120577977</v>
      </c>
      <c r="IK21" s="24">
        <f t="shared" si="50"/>
        <v>3010391.120577977</v>
      </c>
      <c r="IL21" s="24">
        <f t="shared" si="50"/>
        <v>3010391.120577977</v>
      </c>
      <c r="IM21" s="24">
        <f t="shared" si="50"/>
        <v>3010391.120577977</v>
      </c>
      <c r="IN21" s="24">
        <f t="shared" si="50"/>
        <v>3010391.120577977</v>
      </c>
    </row>
    <row r="22" spans="2:248" x14ac:dyDescent="0.3">
      <c r="C22" s="42"/>
      <c r="F22" s="22" t="s">
        <v>499</v>
      </c>
      <c r="G22" s="24">
        <f>G15*$C$15</f>
        <v>11.862232187344294</v>
      </c>
      <c r="H22" s="24">
        <f t="shared" ref="H22:BS22" si="51">H15*$C$15</f>
        <v>17.07274539113104</v>
      </c>
      <c r="I22" s="24">
        <f t="shared" si="51"/>
        <v>20.731190832087691</v>
      </c>
      <c r="J22" s="24">
        <f t="shared" si="51"/>
        <v>28.048081714000997</v>
      </c>
      <c r="K22" s="24">
        <f t="shared" si="51"/>
        <v>33.25859491778774</v>
      </c>
      <c r="L22" s="24">
        <f t="shared" si="51"/>
        <v>39.799451918285996</v>
      </c>
      <c r="M22" s="24">
        <f t="shared" si="51"/>
        <v>47.892376681614344</v>
      </c>
      <c r="N22" s="24">
        <f t="shared" si="51"/>
        <v>62.415296462381662</v>
      </c>
      <c r="O22" s="24">
        <f t="shared" si="51"/>
        <v>85.918036870951667</v>
      </c>
      <c r="P22" s="24">
        <f t="shared" si="51"/>
        <v>122.39162929745889</v>
      </c>
      <c r="Q22" s="24">
        <f t="shared" si="51"/>
        <v>145.7835077229696</v>
      </c>
      <c r="R22" s="24">
        <f t="shared" si="51"/>
        <v>163.41056302939711</v>
      </c>
      <c r="S22" s="24">
        <f t="shared" si="51"/>
        <v>205.20553064275038</v>
      </c>
      <c r="T22" s="24">
        <f t="shared" si="51"/>
        <v>277.48754359740906</v>
      </c>
      <c r="U22" s="24">
        <f t="shared" si="51"/>
        <v>351.32162431489786</v>
      </c>
      <c r="V22" s="24">
        <f t="shared" si="51"/>
        <v>417.8388141504733</v>
      </c>
      <c r="W22" s="24">
        <f t="shared" si="51"/>
        <v>584.97433981066263</v>
      </c>
      <c r="X22" s="24">
        <f t="shared" si="51"/>
        <v>818.96407573492763</v>
      </c>
      <c r="Y22" s="24">
        <f t="shared" si="51"/>
        <v>1146.5497060288988</v>
      </c>
      <c r="Z22" s="24">
        <f t="shared" si="51"/>
        <v>1605.169588440458</v>
      </c>
      <c r="AA22" s="24">
        <f t="shared" si="51"/>
        <v>2247.2374238166412</v>
      </c>
      <c r="AB22" s="24">
        <f t="shared" si="51"/>
        <v>3146.1323933432977</v>
      </c>
      <c r="AC22" s="24">
        <f t="shared" si="51"/>
        <v>4404.5853506806161</v>
      </c>
      <c r="AD22" s="24">
        <f t="shared" si="51"/>
        <v>6166.4194909528624</v>
      </c>
      <c r="AE22" s="24">
        <f t="shared" si="51"/>
        <v>8632.9872873340082</v>
      </c>
      <c r="AF22" s="24">
        <f t="shared" si="51"/>
        <v>12086.18220226761</v>
      </c>
      <c r="AG22" s="24">
        <f t="shared" si="51"/>
        <v>16920.65508317465</v>
      </c>
      <c r="AH22" s="24">
        <f t="shared" si="51"/>
        <v>23688.917116444507</v>
      </c>
      <c r="AI22" s="24">
        <f t="shared" si="51"/>
        <v>33164.483963022307</v>
      </c>
      <c r="AJ22" s="24">
        <f t="shared" si="51"/>
        <v>46430.277548231228</v>
      </c>
      <c r="AK22" s="24">
        <f t="shared" si="51"/>
        <v>65002.388567523703</v>
      </c>
      <c r="AL22" s="24">
        <f t="shared" si="51"/>
        <v>91003.343994533177</v>
      </c>
      <c r="AM22" s="24">
        <f t="shared" si="51"/>
        <v>127404.68159234645</v>
      </c>
      <c r="AN22" s="24">
        <f t="shared" si="51"/>
        <v>178366.55422928502</v>
      </c>
      <c r="AO22" s="24">
        <f t="shared" si="51"/>
        <v>249713.17592099903</v>
      </c>
      <c r="AP22" s="24">
        <f t="shared" si="51"/>
        <v>349598.44628939859</v>
      </c>
      <c r="AQ22" s="24">
        <f t="shared" si="51"/>
        <v>489437.82480515802</v>
      </c>
      <c r="AR22" s="24">
        <f t="shared" si="51"/>
        <v>685212.95472722116</v>
      </c>
      <c r="AS22" s="24">
        <f t="shared" si="51"/>
        <v>959298.13661810965</v>
      </c>
      <c r="AT22" s="24">
        <f t="shared" si="51"/>
        <v>1343017.3912653534</v>
      </c>
      <c r="AU22" s="24">
        <f t="shared" si="51"/>
        <v>1880224.3477714946</v>
      </c>
      <c r="AV22" s="24">
        <f t="shared" si="51"/>
        <v>2632314.086880092</v>
      </c>
      <c r="AW22" s="24">
        <f t="shared" si="51"/>
        <v>3010391.120577977</v>
      </c>
      <c r="AX22" s="24">
        <f t="shared" si="51"/>
        <v>3010391.120577977</v>
      </c>
      <c r="AY22" s="24">
        <f t="shared" si="51"/>
        <v>3010391.120577977</v>
      </c>
      <c r="AZ22" s="24">
        <f t="shared" si="51"/>
        <v>3010391.120577977</v>
      </c>
      <c r="BA22" s="24">
        <f t="shared" si="51"/>
        <v>3010391.120577977</v>
      </c>
      <c r="BB22" s="24">
        <f t="shared" si="51"/>
        <v>3010391.120577977</v>
      </c>
      <c r="BC22" s="24">
        <f t="shared" si="51"/>
        <v>3010391.120577977</v>
      </c>
      <c r="BD22" s="24">
        <f t="shared" si="51"/>
        <v>3010391.120577977</v>
      </c>
      <c r="BE22" s="24">
        <f t="shared" si="51"/>
        <v>3010391.120577977</v>
      </c>
      <c r="BF22" s="24">
        <f t="shared" si="51"/>
        <v>3010391.120577977</v>
      </c>
      <c r="BG22" s="24">
        <f t="shared" si="51"/>
        <v>3010391.120577977</v>
      </c>
      <c r="BH22" s="24">
        <f t="shared" si="51"/>
        <v>3010391.120577977</v>
      </c>
      <c r="BI22" s="24">
        <f t="shared" si="51"/>
        <v>3010391.120577977</v>
      </c>
      <c r="BJ22" s="24">
        <f t="shared" si="51"/>
        <v>3010391.120577977</v>
      </c>
      <c r="BK22" s="24">
        <f t="shared" si="51"/>
        <v>3010391.120577977</v>
      </c>
      <c r="BL22" s="24">
        <f t="shared" si="51"/>
        <v>3010391.120577977</v>
      </c>
      <c r="BM22" s="24">
        <f t="shared" si="51"/>
        <v>3010391.120577977</v>
      </c>
      <c r="BN22" s="24">
        <f t="shared" si="51"/>
        <v>3010391.120577977</v>
      </c>
      <c r="BO22" s="24">
        <f t="shared" si="51"/>
        <v>3010391.120577977</v>
      </c>
      <c r="BP22" s="24">
        <f t="shared" si="51"/>
        <v>3010391.120577977</v>
      </c>
      <c r="BQ22" s="24">
        <f t="shared" si="51"/>
        <v>3010391.120577977</v>
      </c>
      <c r="BR22" s="24">
        <f t="shared" si="51"/>
        <v>3010391.120577977</v>
      </c>
      <c r="BS22" s="24">
        <f t="shared" si="51"/>
        <v>3010391.120577977</v>
      </c>
      <c r="BT22" s="24">
        <f t="shared" ref="BT22:EE22" si="52">BT15*$C$15</f>
        <v>3010391.120577977</v>
      </c>
      <c r="BU22" s="24">
        <f t="shared" si="52"/>
        <v>3010391.120577977</v>
      </c>
      <c r="BV22" s="24">
        <f t="shared" si="52"/>
        <v>3010391.120577977</v>
      </c>
      <c r="BW22" s="24">
        <f t="shared" si="52"/>
        <v>3010391.120577977</v>
      </c>
      <c r="BX22" s="24">
        <f t="shared" si="52"/>
        <v>3010391.120577977</v>
      </c>
      <c r="BY22" s="24">
        <f t="shared" si="52"/>
        <v>3010391.120577977</v>
      </c>
      <c r="BZ22" s="24">
        <f t="shared" si="52"/>
        <v>3010391.120577977</v>
      </c>
      <c r="CA22" s="24">
        <f t="shared" si="52"/>
        <v>3010391.120577977</v>
      </c>
      <c r="CB22" s="24">
        <f t="shared" si="52"/>
        <v>3010391.120577977</v>
      </c>
      <c r="CC22" s="24">
        <f t="shared" si="52"/>
        <v>3010391.120577977</v>
      </c>
      <c r="CD22" s="24">
        <f t="shared" si="52"/>
        <v>3010391.120577977</v>
      </c>
      <c r="CE22" s="24">
        <f t="shared" si="52"/>
        <v>3010391.120577977</v>
      </c>
      <c r="CF22" s="24">
        <f t="shared" si="52"/>
        <v>3010391.120577977</v>
      </c>
      <c r="CG22" s="24">
        <f t="shared" si="52"/>
        <v>3010391.120577977</v>
      </c>
      <c r="CH22" s="24">
        <f t="shared" si="52"/>
        <v>3010391.120577977</v>
      </c>
      <c r="CI22" s="24">
        <f t="shared" si="52"/>
        <v>3010391.120577977</v>
      </c>
      <c r="CJ22" s="24">
        <f t="shared" si="52"/>
        <v>3010391.120577977</v>
      </c>
      <c r="CK22" s="24">
        <f t="shared" si="52"/>
        <v>3010391.120577977</v>
      </c>
      <c r="CL22" s="24">
        <f t="shared" si="52"/>
        <v>3010391.120577977</v>
      </c>
      <c r="CM22" s="24">
        <f t="shared" si="52"/>
        <v>3010391.120577977</v>
      </c>
      <c r="CN22" s="24">
        <f t="shared" si="52"/>
        <v>3010391.120577977</v>
      </c>
      <c r="CO22" s="24">
        <f t="shared" si="52"/>
        <v>3010391.120577977</v>
      </c>
      <c r="CP22" s="24">
        <f t="shared" si="52"/>
        <v>3010391.120577977</v>
      </c>
      <c r="CQ22" s="24">
        <f t="shared" si="52"/>
        <v>3010391.120577977</v>
      </c>
      <c r="CR22" s="24">
        <f t="shared" si="52"/>
        <v>3010391.120577977</v>
      </c>
      <c r="CS22" s="24">
        <f t="shared" si="52"/>
        <v>3010391.120577977</v>
      </c>
      <c r="CT22" s="24">
        <f t="shared" si="52"/>
        <v>3010391.120577977</v>
      </c>
      <c r="CU22" s="24">
        <f t="shared" si="52"/>
        <v>3010391.120577977</v>
      </c>
      <c r="CV22" s="24">
        <f t="shared" si="52"/>
        <v>3010391.120577977</v>
      </c>
      <c r="CW22" s="24">
        <f t="shared" si="52"/>
        <v>3010391.120577977</v>
      </c>
      <c r="CX22" s="24">
        <f t="shared" si="52"/>
        <v>3010391.120577977</v>
      </c>
      <c r="CY22" s="24">
        <f t="shared" si="52"/>
        <v>3010391.120577977</v>
      </c>
      <c r="CZ22" s="24">
        <f t="shared" si="52"/>
        <v>3010391.120577977</v>
      </c>
      <c r="DA22" s="24">
        <f t="shared" si="52"/>
        <v>3010391.120577977</v>
      </c>
      <c r="DB22" s="24">
        <f t="shared" si="52"/>
        <v>3010391.120577977</v>
      </c>
      <c r="DC22" s="24">
        <f t="shared" si="52"/>
        <v>3010391.120577977</v>
      </c>
      <c r="DD22" s="24">
        <f t="shared" si="52"/>
        <v>3010391.120577977</v>
      </c>
      <c r="DE22" s="24">
        <f t="shared" si="52"/>
        <v>3010391.120577977</v>
      </c>
      <c r="DF22" s="24">
        <f t="shared" si="52"/>
        <v>3010391.120577977</v>
      </c>
      <c r="DG22" s="24">
        <f t="shared" si="52"/>
        <v>3010391.120577977</v>
      </c>
      <c r="DH22" s="24">
        <f t="shared" si="52"/>
        <v>3010391.120577977</v>
      </c>
      <c r="DI22" s="24">
        <f t="shared" si="52"/>
        <v>3010391.120577977</v>
      </c>
      <c r="DJ22" s="24">
        <f t="shared" si="52"/>
        <v>3010391.120577977</v>
      </c>
      <c r="DK22" s="24">
        <f t="shared" si="52"/>
        <v>3010391.120577977</v>
      </c>
      <c r="DL22" s="24">
        <f t="shared" si="52"/>
        <v>3010391.120577977</v>
      </c>
      <c r="DM22" s="24">
        <f t="shared" si="52"/>
        <v>3010391.120577977</v>
      </c>
      <c r="DN22" s="24">
        <f t="shared" si="52"/>
        <v>3010391.120577977</v>
      </c>
      <c r="DO22" s="24">
        <f t="shared" si="52"/>
        <v>3010391.120577977</v>
      </c>
      <c r="DP22" s="24">
        <f t="shared" si="52"/>
        <v>3010391.120577977</v>
      </c>
      <c r="DQ22" s="24">
        <f t="shared" si="52"/>
        <v>3010391.120577977</v>
      </c>
      <c r="DR22" s="24">
        <f t="shared" si="52"/>
        <v>3010391.120577977</v>
      </c>
      <c r="DS22" s="24">
        <f t="shared" si="52"/>
        <v>3010391.120577977</v>
      </c>
      <c r="DT22" s="24">
        <f t="shared" si="52"/>
        <v>3010391.120577977</v>
      </c>
      <c r="DU22" s="24">
        <f t="shared" si="52"/>
        <v>3010391.120577977</v>
      </c>
      <c r="DV22" s="24">
        <f t="shared" si="52"/>
        <v>3010391.120577977</v>
      </c>
      <c r="DW22" s="24">
        <f t="shared" si="52"/>
        <v>3010391.120577977</v>
      </c>
      <c r="DX22" s="24">
        <f t="shared" si="52"/>
        <v>3010391.120577977</v>
      </c>
      <c r="DY22" s="24">
        <f t="shared" si="52"/>
        <v>3010391.120577977</v>
      </c>
      <c r="DZ22" s="24">
        <f t="shared" si="52"/>
        <v>3010391.120577977</v>
      </c>
      <c r="EA22" s="24">
        <f t="shared" si="52"/>
        <v>3010391.120577977</v>
      </c>
      <c r="EB22" s="24">
        <f t="shared" si="52"/>
        <v>3010391.120577977</v>
      </c>
      <c r="EC22" s="24">
        <f t="shared" si="52"/>
        <v>3010391.120577977</v>
      </c>
      <c r="ED22" s="24">
        <f t="shared" si="52"/>
        <v>3010391.120577977</v>
      </c>
      <c r="EE22" s="24">
        <f t="shared" si="52"/>
        <v>3010391.120577977</v>
      </c>
      <c r="EF22" s="24">
        <f t="shared" ref="EF22:GQ22" si="53">EF15*$C$15</f>
        <v>3010391.120577977</v>
      </c>
      <c r="EG22" s="24">
        <f t="shared" si="53"/>
        <v>3010391.120577977</v>
      </c>
      <c r="EH22" s="24">
        <f t="shared" si="53"/>
        <v>3010391.120577977</v>
      </c>
      <c r="EI22" s="24">
        <f t="shared" si="53"/>
        <v>3010391.120577977</v>
      </c>
      <c r="EJ22" s="24">
        <f t="shared" si="53"/>
        <v>3010391.120577977</v>
      </c>
      <c r="EK22" s="24">
        <f t="shared" si="53"/>
        <v>3010391.120577977</v>
      </c>
      <c r="EL22" s="24">
        <f t="shared" si="53"/>
        <v>3010391.120577977</v>
      </c>
      <c r="EM22" s="24">
        <f t="shared" si="53"/>
        <v>3010391.120577977</v>
      </c>
      <c r="EN22" s="24">
        <f t="shared" si="53"/>
        <v>3010391.120577977</v>
      </c>
      <c r="EO22" s="24">
        <f t="shared" si="53"/>
        <v>3010391.120577977</v>
      </c>
      <c r="EP22" s="24">
        <f t="shared" si="53"/>
        <v>3010391.120577977</v>
      </c>
      <c r="EQ22" s="24">
        <f t="shared" si="53"/>
        <v>3010391.120577977</v>
      </c>
      <c r="ER22" s="24">
        <f t="shared" si="53"/>
        <v>3010391.120577977</v>
      </c>
      <c r="ES22" s="24">
        <f t="shared" si="53"/>
        <v>3010391.120577977</v>
      </c>
      <c r="ET22" s="24">
        <f t="shared" si="53"/>
        <v>3010391.120577977</v>
      </c>
      <c r="EU22" s="24">
        <f t="shared" si="53"/>
        <v>3010391.120577977</v>
      </c>
      <c r="EV22" s="24">
        <f t="shared" si="53"/>
        <v>3010391.120577977</v>
      </c>
      <c r="EW22" s="24">
        <f t="shared" si="53"/>
        <v>3010391.120577977</v>
      </c>
      <c r="EX22" s="24">
        <f t="shared" si="53"/>
        <v>3010391.120577977</v>
      </c>
      <c r="EY22" s="24">
        <f t="shared" si="53"/>
        <v>3010391.120577977</v>
      </c>
      <c r="EZ22" s="24">
        <f t="shared" si="53"/>
        <v>3010391.120577977</v>
      </c>
      <c r="FA22" s="24">
        <f t="shared" si="53"/>
        <v>3010391.120577977</v>
      </c>
      <c r="FB22" s="24">
        <f t="shared" si="53"/>
        <v>3010391.120577977</v>
      </c>
      <c r="FC22" s="24">
        <f t="shared" si="53"/>
        <v>3010391.120577977</v>
      </c>
      <c r="FD22" s="24">
        <f t="shared" si="53"/>
        <v>3010391.120577977</v>
      </c>
      <c r="FE22" s="24">
        <f t="shared" si="53"/>
        <v>3010391.120577977</v>
      </c>
      <c r="FF22" s="24">
        <f t="shared" si="53"/>
        <v>3010391.120577977</v>
      </c>
      <c r="FG22" s="24">
        <f t="shared" si="53"/>
        <v>3010391.120577977</v>
      </c>
      <c r="FH22" s="24">
        <f t="shared" si="53"/>
        <v>3010391.120577977</v>
      </c>
      <c r="FI22" s="24">
        <f t="shared" si="53"/>
        <v>3010391.120577977</v>
      </c>
      <c r="FJ22" s="24">
        <f t="shared" si="53"/>
        <v>3010391.120577977</v>
      </c>
      <c r="FK22" s="24">
        <f t="shared" si="53"/>
        <v>3010391.120577977</v>
      </c>
      <c r="FL22" s="24">
        <f t="shared" si="53"/>
        <v>3010391.120577977</v>
      </c>
      <c r="FM22" s="24">
        <f t="shared" si="53"/>
        <v>3010391.120577977</v>
      </c>
      <c r="FN22" s="24">
        <f t="shared" si="53"/>
        <v>3010391.120577977</v>
      </c>
      <c r="FO22" s="24">
        <f t="shared" si="53"/>
        <v>3010391.120577977</v>
      </c>
      <c r="FP22" s="24">
        <f t="shared" si="53"/>
        <v>3010391.120577977</v>
      </c>
      <c r="FQ22" s="24">
        <f t="shared" si="53"/>
        <v>3010391.120577977</v>
      </c>
      <c r="FR22" s="24">
        <f t="shared" si="53"/>
        <v>3010391.120577977</v>
      </c>
      <c r="FS22" s="24">
        <f t="shared" si="53"/>
        <v>3010391.120577977</v>
      </c>
      <c r="FT22" s="24">
        <f t="shared" si="53"/>
        <v>3010391.120577977</v>
      </c>
      <c r="FU22" s="24">
        <f t="shared" si="53"/>
        <v>3010391.120577977</v>
      </c>
      <c r="FV22" s="24">
        <f t="shared" si="53"/>
        <v>3010391.120577977</v>
      </c>
      <c r="FW22" s="24">
        <f t="shared" si="53"/>
        <v>3010391.120577977</v>
      </c>
      <c r="FX22" s="24">
        <f t="shared" si="53"/>
        <v>3010391.120577977</v>
      </c>
      <c r="FY22" s="24">
        <f t="shared" si="53"/>
        <v>3010391.120577977</v>
      </c>
      <c r="FZ22" s="24">
        <f t="shared" si="53"/>
        <v>3010391.120577977</v>
      </c>
      <c r="GA22" s="24">
        <f t="shared" si="53"/>
        <v>3010391.120577977</v>
      </c>
      <c r="GB22" s="24">
        <f t="shared" si="53"/>
        <v>3010391.120577977</v>
      </c>
      <c r="GC22" s="24">
        <f t="shared" si="53"/>
        <v>3010391.120577977</v>
      </c>
      <c r="GD22" s="24">
        <f t="shared" si="53"/>
        <v>3010391.120577977</v>
      </c>
      <c r="GE22" s="24">
        <f t="shared" si="53"/>
        <v>3010391.120577977</v>
      </c>
      <c r="GF22" s="24">
        <f t="shared" si="53"/>
        <v>3010391.120577977</v>
      </c>
      <c r="GG22" s="24">
        <f t="shared" si="53"/>
        <v>3010391.120577977</v>
      </c>
      <c r="GH22" s="24">
        <f t="shared" si="53"/>
        <v>3010391.120577977</v>
      </c>
      <c r="GI22" s="24">
        <f t="shared" si="53"/>
        <v>3010391.120577977</v>
      </c>
      <c r="GJ22" s="24">
        <f t="shared" si="53"/>
        <v>3010391.120577977</v>
      </c>
      <c r="GK22" s="24">
        <f t="shared" si="53"/>
        <v>3010391.120577977</v>
      </c>
      <c r="GL22" s="24">
        <f t="shared" si="53"/>
        <v>3010391.120577977</v>
      </c>
      <c r="GM22" s="24">
        <f t="shared" si="53"/>
        <v>3010391.120577977</v>
      </c>
      <c r="GN22" s="24">
        <f t="shared" si="53"/>
        <v>3010391.120577977</v>
      </c>
      <c r="GO22" s="24">
        <f t="shared" si="53"/>
        <v>3010391.120577977</v>
      </c>
      <c r="GP22" s="24">
        <f t="shared" si="53"/>
        <v>3010391.120577977</v>
      </c>
      <c r="GQ22" s="24">
        <f t="shared" si="53"/>
        <v>3010391.120577977</v>
      </c>
      <c r="GR22" s="24">
        <f t="shared" ref="GR22:IN22" si="54">GR15*$C$15</f>
        <v>3010391.120577977</v>
      </c>
      <c r="GS22" s="24">
        <f t="shared" si="54"/>
        <v>3010391.120577977</v>
      </c>
      <c r="GT22" s="24">
        <f t="shared" si="54"/>
        <v>3010391.120577977</v>
      </c>
      <c r="GU22" s="24">
        <f t="shared" si="54"/>
        <v>3010391.120577977</v>
      </c>
      <c r="GV22" s="24">
        <f t="shared" si="54"/>
        <v>3010391.120577977</v>
      </c>
      <c r="GW22" s="24">
        <f t="shared" si="54"/>
        <v>3010391.120577977</v>
      </c>
      <c r="GX22" s="24">
        <f t="shared" si="54"/>
        <v>3010391.120577977</v>
      </c>
      <c r="GY22" s="24">
        <f t="shared" si="54"/>
        <v>3010391.120577977</v>
      </c>
      <c r="GZ22" s="24">
        <f t="shared" si="54"/>
        <v>3010391.120577977</v>
      </c>
      <c r="HA22" s="24">
        <f t="shared" si="54"/>
        <v>3010391.120577977</v>
      </c>
      <c r="HB22" s="24">
        <f t="shared" si="54"/>
        <v>3010391.120577977</v>
      </c>
      <c r="HC22" s="24">
        <f t="shared" si="54"/>
        <v>3010391.120577977</v>
      </c>
      <c r="HD22" s="24">
        <f t="shared" si="54"/>
        <v>3010391.120577977</v>
      </c>
      <c r="HE22" s="24">
        <f t="shared" si="54"/>
        <v>3010391.120577977</v>
      </c>
      <c r="HF22" s="24">
        <f t="shared" si="54"/>
        <v>3010391.120577977</v>
      </c>
      <c r="HG22" s="24">
        <f t="shared" si="54"/>
        <v>3010391.120577977</v>
      </c>
      <c r="HH22" s="24">
        <f t="shared" si="54"/>
        <v>3010391.120577977</v>
      </c>
      <c r="HI22" s="24">
        <f t="shared" si="54"/>
        <v>3010391.120577977</v>
      </c>
      <c r="HJ22" s="24">
        <f t="shared" si="54"/>
        <v>3010391.120577977</v>
      </c>
      <c r="HK22" s="24">
        <f t="shared" si="54"/>
        <v>3010391.120577977</v>
      </c>
      <c r="HL22" s="24">
        <f t="shared" si="54"/>
        <v>3010391.120577977</v>
      </c>
      <c r="HM22" s="24">
        <f t="shared" si="54"/>
        <v>3010391.120577977</v>
      </c>
      <c r="HN22" s="24">
        <f t="shared" si="54"/>
        <v>3010391.120577977</v>
      </c>
      <c r="HO22" s="24">
        <f t="shared" si="54"/>
        <v>3010391.120577977</v>
      </c>
      <c r="HP22" s="24">
        <f t="shared" si="54"/>
        <v>3010391.120577977</v>
      </c>
      <c r="HQ22" s="24">
        <f t="shared" si="54"/>
        <v>3010391.120577977</v>
      </c>
      <c r="HR22" s="24">
        <f t="shared" si="54"/>
        <v>3010391.120577977</v>
      </c>
      <c r="HS22" s="24">
        <f t="shared" si="54"/>
        <v>3010391.120577977</v>
      </c>
      <c r="HT22" s="24">
        <f t="shared" si="54"/>
        <v>3010391.120577977</v>
      </c>
      <c r="HU22" s="24">
        <f t="shared" si="54"/>
        <v>3010391.120577977</v>
      </c>
      <c r="HV22" s="24">
        <f t="shared" si="54"/>
        <v>3010391.120577977</v>
      </c>
      <c r="HW22" s="24">
        <f t="shared" si="54"/>
        <v>3010391.120577977</v>
      </c>
      <c r="HX22" s="24">
        <f t="shared" si="54"/>
        <v>3010391.120577977</v>
      </c>
      <c r="HY22" s="24">
        <f t="shared" si="54"/>
        <v>3010391.120577977</v>
      </c>
      <c r="HZ22" s="24">
        <f t="shared" si="54"/>
        <v>3010391.120577977</v>
      </c>
      <c r="IA22" s="24">
        <f t="shared" si="54"/>
        <v>3010391.120577977</v>
      </c>
      <c r="IB22" s="24">
        <f t="shared" si="54"/>
        <v>3010391.120577977</v>
      </c>
      <c r="IC22" s="24">
        <f t="shared" si="54"/>
        <v>3010391.120577977</v>
      </c>
      <c r="ID22" s="24">
        <f t="shared" si="54"/>
        <v>3010391.120577977</v>
      </c>
      <c r="IE22" s="24">
        <f t="shared" si="54"/>
        <v>3010391.120577977</v>
      </c>
      <c r="IF22" s="24">
        <f t="shared" si="54"/>
        <v>3010391.120577977</v>
      </c>
      <c r="IG22" s="24">
        <f t="shared" si="54"/>
        <v>3010391.120577977</v>
      </c>
      <c r="IH22" s="24">
        <f t="shared" si="54"/>
        <v>3010391.120577977</v>
      </c>
      <c r="II22" s="24">
        <f t="shared" si="54"/>
        <v>3010391.120577977</v>
      </c>
      <c r="IJ22" s="24">
        <f t="shared" si="54"/>
        <v>3010391.120577977</v>
      </c>
      <c r="IK22" s="24">
        <f t="shared" si="54"/>
        <v>3010391.120577977</v>
      </c>
      <c r="IL22" s="24">
        <f t="shared" si="54"/>
        <v>3010391.120577977</v>
      </c>
      <c r="IM22" s="24">
        <f t="shared" si="54"/>
        <v>3010391.120577977</v>
      </c>
      <c r="IN22" s="24">
        <f t="shared" si="54"/>
        <v>3010391.120577977</v>
      </c>
    </row>
    <row r="23" spans="2:248" x14ac:dyDescent="0.3">
      <c r="B23" s="19" t="s">
        <v>505</v>
      </c>
      <c r="C23" s="56">
        <f>IF(VLOOKUP(B2,Country_Data!C:J,8,FALSE)="","Not initiated",VLOOKUP(B2,Country_Data!C:J,8,FALSE))</f>
        <v>43904</v>
      </c>
      <c r="F23" s="22" t="s">
        <v>476</v>
      </c>
      <c r="G23" s="27">
        <f t="shared" ref="G23:AE23" ca="1" si="55">IF(G3=TODAY(),1,-1000)</f>
        <v>-1000</v>
      </c>
      <c r="H23" s="27">
        <f t="shared" ca="1" si="55"/>
        <v>-1000</v>
      </c>
      <c r="I23" s="27">
        <f t="shared" ca="1" si="55"/>
        <v>-1000</v>
      </c>
      <c r="J23" s="27">
        <f t="shared" ca="1" si="55"/>
        <v>-1000</v>
      </c>
      <c r="K23" s="27">
        <f t="shared" ca="1" si="55"/>
        <v>-1000</v>
      </c>
      <c r="L23" s="27">
        <f t="shared" ca="1" si="55"/>
        <v>-1000</v>
      </c>
      <c r="M23" s="27">
        <f t="shared" ca="1" si="55"/>
        <v>-1000</v>
      </c>
      <c r="N23" s="27">
        <f t="shared" ca="1" si="55"/>
        <v>-1000</v>
      </c>
      <c r="O23" s="27">
        <f t="shared" ca="1" si="55"/>
        <v>-1000</v>
      </c>
      <c r="P23" s="27">
        <f t="shared" ca="1" si="55"/>
        <v>-1000</v>
      </c>
      <c r="Q23" s="27">
        <f t="shared" ca="1" si="55"/>
        <v>-1000</v>
      </c>
      <c r="R23" s="27">
        <f t="shared" ca="1" si="55"/>
        <v>-1000</v>
      </c>
      <c r="S23" s="27">
        <f t="shared" ca="1" si="55"/>
        <v>-1000</v>
      </c>
      <c r="T23" s="27">
        <f t="shared" ca="1" si="55"/>
        <v>-1000</v>
      </c>
      <c r="U23" s="27">
        <f t="shared" ca="1" si="55"/>
        <v>-1000</v>
      </c>
      <c r="V23" s="27">
        <f t="shared" ca="1" si="55"/>
        <v>-1000</v>
      </c>
      <c r="W23" s="27">
        <f t="shared" ca="1" si="55"/>
        <v>1</v>
      </c>
      <c r="X23" s="27">
        <f t="shared" ca="1" si="55"/>
        <v>-1000</v>
      </c>
      <c r="Y23" s="27">
        <f t="shared" ca="1" si="55"/>
        <v>-1000</v>
      </c>
      <c r="Z23" s="27">
        <f t="shared" ca="1" si="55"/>
        <v>-1000</v>
      </c>
      <c r="AA23" s="27">
        <f t="shared" ca="1" si="55"/>
        <v>-1000</v>
      </c>
      <c r="AB23" s="27">
        <f t="shared" ca="1" si="55"/>
        <v>-1000</v>
      </c>
      <c r="AC23" s="27">
        <f t="shared" ca="1" si="55"/>
        <v>-1000</v>
      </c>
      <c r="AD23" s="27">
        <f t="shared" ca="1" si="55"/>
        <v>-1000</v>
      </c>
      <c r="AE23" s="27">
        <f t="shared" ca="1" si="55"/>
        <v>-1000</v>
      </c>
      <c r="AF23" s="27">
        <f ca="1">IF(AF3=TODAY(),1,-1000)</f>
        <v>-1000</v>
      </c>
      <c r="AG23" s="27">
        <f t="shared" ref="AG23:CR23" ca="1" si="56">IF(AG3=TODAY(),1,-1000)</f>
        <v>-1000</v>
      </c>
      <c r="AH23" s="27">
        <f t="shared" ca="1" si="56"/>
        <v>-1000</v>
      </c>
      <c r="AI23" s="27">
        <f t="shared" ca="1" si="56"/>
        <v>-1000</v>
      </c>
      <c r="AJ23" s="27">
        <f t="shared" ca="1" si="56"/>
        <v>-1000</v>
      </c>
      <c r="AK23" s="27">
        <f t="shared" ca="1" si="56"/>
        <v>-1000</v>
      </c>
      <c r="AL23" s="27">
        <f t="shared" ca="1" si="56"/>
        <v>-1000</v>
      </c>
      <c r="AM23" s="27">
        <f t="shared" ca="1" si="56"/>
        <v>-1000</v>
      </c>
      <c r="AN23" s="27">
        <f t="shared" ca="1" si="56"/>
        <v>-1000</v>
      </c>
      <c r="AO23" s="27">
        <f t="shared" ca="1" si="56"/>
        <v>-1000</v>
      </c>
      <c r="AP23" s="27">
        <f t="shared" ca="1" si="56"/>
        <v>-1000</v>
      </c>
      <c r="AQ23" s="27">
        <f t="shared" ca="1" si="56"/>
        <v>-1000</v>
      </c>
      <c r="AR23" s="27">
        <f t="shared" ca="1" si="56"/>
        <v>-1000</v>
      </c>
      <c r="AS23" s="27">
        <f t="shared" ca="1" si="56"/>
        <v>-1000</v>
      </c>
      <c r="AT23" s="27">
        <f t="shared" ca="1" si="56"/>
        <v>-1000</v>
      </c>
      <c r="AU23" s="27">
        <f t="shared" ca="1" si="56"/>
        <v>-1000</v>
      </c>
      <c r="AV23" s="27">
        <f t="shared" ca="1" si="56"/>
        <v>-1000</v>
      </c>
      <c r="AW23" s="27">
        <f t="shared" ca="1" si="56"/>
        <v>-1000</v>
      </c>
      <c r="AX23" s="27">
        <f t="shared" ca="1" si="56"/>
        <v>-1000</v>
      </c>
      <c r="AY23" s="27">
        <f t="shared" ca="1" si="56"/>
        <v>-1000</v>
      </c>
      <c r="AZ23" s="27">
        <f t="shared" ca="1" si="56"/>
        <v>-1000</v>
      </c>
      <c r="BA23" s="27">
        <f t="shared" ca="1" si="56"/>
        <v>-1000</v>
      </c>
      <c r="BB23" s="27">
        <f t="shared" ca="1" si="56"/>
        <v>-1000</v>
      </c>
      <c r="BC23" s="27">
        <f t="shared" ca="1" si="56"/>
        <v>-1000</v>
      </c>
      <c r="BD23" s="27">
        <f t="shared" ca="1" si="56"/>
        <v>-1000</v>
      </c>
      <c r="BE23" s="27">
        <f t="shared" ca="1" si="56"/>
        <v>-1000</v>
      </c>
      <c r="BF23" s="27">
        <f t="shared" ca="1" si="56"/>
        <v>-1000</v>
      </c>
      <c r="BG23" s="27">
        <f t="shared" ca="1" si="56"/>
        <v>-1000</v>
      </c>
      <c r="BH23" s="27">
        <f t="shared" ca="1" si="56"/>
        <v>-1000</v>
      </c>
      <c r="BI23" s="27">
        <f t="shared" ca="1" si="56"/>
        <v>-1000</v>
      </c>
      <c r="BJ23" s="27">
        <f t="shared" ca="1" si="56"/>
        <v>-1000</v>
      </c>
      <c r="BK23" s="27">
        <f t="shared" ca="1" si="56"/>
        <v>-1000</v>
      </c>
      <c r="BL23" s="27">
        <f t="shared" ca="1" si="56"/>
        <v>-1000</v>
      </c>
      <c r="BM23" s="27">
        <f t="shared" ca="1" si="56"/>
        <v>-1000</v>
      </c>
      <c r="BN23" s="27">
        <f t="shared" ca="1" si="56"/>
        <v>-1000</v>
      </c>
      <c r="BO23" s="27">
        <f t="shared" ca="1" si="56"/>
        <v>-1000</v>
      </c>
      <c r="BP23" s="27">
        <f t="shared" ca="1" si="56"/>
        <v>-1000</v>
      </c>
      <c r="BQ23" s="27">
        <f t="shared" ca="1" si="56"/>
        <v>-1000</v>
      </c>
      <c r="BR23" s="27">
        <f t="shared" ca="1" si="56"/>
        <v>-1000</v>
      </c>
      <c r="BS23" s="27">
        <f t="shared" ca="1" si="56"/>
        <v>-1000</v>
      </c>
      <c r="BT23" s="27">
        <f t="shared" ca="1" si="56"/>
        <v>-1000</v>
      </c>
      <c r="BU23" s="27">
        <f t="shared" ca="1" si="56"/>
        <v>-1000</v>
      </c>
      <c r="BV23" s="27">
        <f t="shared" ca="1" si="56"/>
        <v>-1000</v>
      </c>
      <c r="BW23" s="27">
        <f t="shared" ca="1" si="56"/>
        <v>-1000</v>
      </c>
      <c r="BX23" s="27">
        <f t="shared" ca="1" si="56"/>
        <v>-1000</v>
      </c>
      <c r="BY23" s="27">
        <f t="shared" ca="1" si="56"/>
        <v>-1000</v>
      </c>
      <c r="BZ23" s="27">
        <f t="shared" ca="1" si="56"/>
        <v>-1000</v>
      </c>
      <c r="CA23" s="27">
        <f t="shared" ca="1" si="56"/>
        <v>-1000</v>
      </c>
      <c r="CB23" s="27">
        <f t="shared" ca="1" si="56"/>
        <v>-1000</v>
      </c>
      <c r="CC23" s="27">
        <f t="shared" ca="1" si="56"/>
        <v>-1000</v>
      </c>
      <c r="CD23" s="27">
        <f t="shared" ca="1" si="56"/>
        <v>-1000</v>
      </c>
      <c r="CE23" s="27">
        <f t="shared" ca="1" si="56"/>
        <v>-1000</v>
      </c>
      <c r="CF23" s="27">
        <f t="shared" ca="1" si="56"/>
        <v>-1000</v>
      </c>
      <c r="CG23" s="27">
        <f t="shared" ca="1" si="56"/>
        <v>-1000</v>
      </c>
      <c r="CH23" s="27">
        <f t="shared" ca="1" si="56"/>
        <v>-1000</v>
      </c>
      <c r="CI23" s="27">
        <f t="shared" ca="1" si="56"/>
        <v>-1000</v>
      </c>
      <c r="CJ23" s="27">
        <f t="shared" ca="1" si="56"/>
        <v>-1000</v>
      </c>
      <c r="CK23" s="27">
        <f t="shared" ca="1" si="56"/>
        <v>-1000</v>
      </c>
      <c r="CL23" s="27">
        <f t="shared" ca="1" si="56"/>
        <v>-1000</v>
      </c>
      <c r="CM23" s="27">
        <f t="shared" ca="1" si="56"/>
        <v>-1000</v>
      </c>
      <c r="CN23" s="27">
        <f t="shared" ca="1" si="56"/>
        <v>-1000</v>
      </c>
      <c r="CO23" s="27">
        <f t="shared" ca="1" si="56"/>
        <v>-1000</v>
      </c>
      <c r="CP23" s="27">
        <f t="shared" ca="1" si="56"/>
        <v>-1000</v>
      </c>
      <c r="CQ23" s="27">
        <f t="shared" ca="1" si="56"/>
        <v>-1000</v>
      </c>
      <c r="CR23" s="27">
        <f t="shared" ca="1" si="56"/>
        <v>-1000</v>
      </c>
      <c r="CS23" s="27">
        <f t="shared" ref="CS23:FD23" ca="1" si="57">IF(CS3=TODAY(),1,-1000)</f>
        <v>-1000</v>
      </c>
      <c r="CT23" s="27">
        <f t="shared" ca="1" si="57"/>
        <v>-1000</v>
      </c>
      <c r="CU23" s="27">
        <f t="shared" ca="1" si="57"/>
        <v>-1000</v>
      </c>
      <c r="CV23" s="27">
        <f t="shared" ca="1" si="57"/>
        <v>-1000</v>
      </c>
      <c r="CW23" s="27">
        <f t="shared" ca="1" si="57"/>
        <v>-1000</v>
      </c>
      <c r="CX23" s="27">
        <f t="shared" ca="1" si="57"/>
        <v>-1000</v>
      </c>
      <c r="CY23" s="27">
        <f t="shared" ca="1" si="57"/>
        <v>-1000</v>
      </c>
      <c r="CZ23" s="27">
        <f t="shared" ca="1" si="57"/>
        <v>-1000</v>
      </c>
      <c r="DA23" s="27">
        <f t="shared" ca="1" si="57"/>
        <v>-1000</v>
      </c>
      <c r="DB23" s="27">
        <f t="shared" ca="1" si="57"/>
        <v>-1000</v>
      </c>
      <c r="DC23" s="27">
        <f t="shared" ca="1" si="57"/>
        <v>-1000</v>
      </c>
      <c r="DD23" s="27">
        <f t="shared" ca="1" si="57"/>
        <v>-1000</v>
      </c>
      <c r="DE23" s="27">
        <f t="shared" ca="1" si="57"/>
        <v>-1000</v>
      </c>
      <c r="DF23" s="27">
        <f t="shared" ca="1" si="57"/>
        <v>-1000</v>
      </c>
      <c r="DG23" s="27">
        <f t="shared" ca="1" si="57"/>
        <v>-1000</v>
      </c>
      <c r="DH23" s="27">
        <f t="shared" ca="1" si="57"/>
        <v>-1000</v>
      </c>
      <c r="DI23" s="27">
        <f t="shared" ca="1" si="57"/>
        <v>-1000</v>
      </c>
      <c r="DJ23" s="27">
        <f t="shared" ca="1" si="57"/>
        <v>-1000</v>
      </c>
      <c r="DK23" s="27">
        <f t="shared" ca="1" si="57"/>
        <v>-1000</v>
      </c>
      <c r="DL23" s="27">
        <f t="shared" ca="1" si="57"/>
        <v>-1000</v>
      </c>
      <c r="DM23" s="27">
        <f t="shared" ca="1" si="57"/>
        <v>-1000</v>
      </c>
      <c r="DN23" s="27">
        <f t="shared" ca="1" si="57"/>
        <v>-1000</v>
      </c>
      <c r="DO23" s="27">
        <f t="shared" ca="1" si="57"/>
        <v>-1000</v>
      </c>
      <c r="DP23" s="27">
        <f t="shared" ca="1" si="57"/>
        <v>-1000</v>
      </c>
      <c r="DQ23" s="27">
        <f t="shared" ca="1" si="57"/>
        <v>-1000</v>
      </c>
      <c r="DR23" s="27">
        <f t="shared" ca="1" si="57"/>
        <v>-1000</v>
      </c>
      <c r="DS23" s="27">
        <f t="shared" ca="1" si="57"/>
        <v>-1000</v>
      </c>
      <c r="DT23" s="27">
        <f t="shared" ca="1" si="57"/>
        <v>-1000</v>
      </c>
      <c r="DU23" s="27">
        <f t="shared" ca="1" si="57"/>
        <v>-1000</v>
      </c>
      <c r="DV23" s="27">
        <f t="shared" ca="1" si="57"/>
        <v>-1000</v>
      </c>
      <c r="DW23" s="27">
        <f t="shared" ca="1" si="57"/>
        <v>-1000</v>
      </c>
      <c r="DX23" s="27">
        <f t="shared" ca="1" si="57"/>
        <v>-1000</v>
      </c>
      <c r="DY23" s="27">
        <f t="shared" ca="1" si="57"/>
        <v>-1000</v>
      </c>
      <c r="DZ23" s="27">
        <f t="shared" ca="1" si="57"/>
        <v>-1000</v>
      </c>
      <c r="EA23" s="27">
        <f t="shared" ca="1" si="57"/>
        <v>-1000</v>
      </c>
      <c r="EB23" s="27">
        <f t="shared" ca="1" si="57"/>
        <v>-1000</v>
      </c>
      <c r="EC23" s="27">
        <f t="shared" ca="1" si="57"/>
        <v>-1000</v>
      </c>
      <c r="ED23" s="27">
        <f t="shared" ca="1" si="57"/>
        <v>-1000</v>
      </c>
      <c r="EE23" s="27">
        <f t="shared" ca="1" si="57"/>
        <v>-1000</v>
      </c>
      <c r="EF23" s="27">
        <f t="shared" ca="1" si="57"/>
        <v>-1000</v>
      </c>
      <c r="EG23" s="27">
        <f t="shared" ca="1" si="57"/>
        <v>-1000</v>
      </c>
      <c r="EH23" s="27">
        <f t="shared" ca="1" si="57"/>
        <v>-1000</v>
      </c>
      <c r="EI23" s="27">
        <f t="shared" ca="1" si="57"/>
        <v>-1000</v>
      </c>
      <c r="EJ23" s="27">
        <f t="shared" ca="1" si="57"/>
        <v>-1000</v>
      </c>
      <c r="EK23" s="27">
        <f t="shared" ca="1" si="57"/>
        <v>-1000</v>
      </c>
      <c r="EL23" s="27">
        <f t="shared" ca="1" si="57"/>
        <v>-1000</v>
      </c>
      <c r="EM23" s="27">
        <f t="shared" ca="1" si="57"/>
        <v>-1000</v>
      </c>
      <c r="EN23" s="27">
        <f t="shared" ca="1" si="57"/>
        <v>-1000</v>
      </c>
      <c r="EO23" s="27">
        <f t="shared" ca="1" si="57"/>
        <v>-1000</v>
      </c>
      <c r="EP23" s="27">
        <f t="shared" ca="1" si="57"/>
        <v>-1000</v>
      </c>
      <c r="EQ23" s="27">
        <f t="shared" ca="1" si="57"/>
        <v>-1000</v>
      </c>
      <c r="ER23" s="27">
        <f t="shared" ca="1" si="57"/>
        <v>-1000</v>
      </c>
      <c r="ES23" s="27">
        <f t="shared" ca="1" si="57"/>
        <v>-1000</v>
      </c>
      <c r="ET23" s="27">
        <f t="shared" ca="1" si="57"/>
        <v>-1000</v>
      </c>
      <c r="EU23" s="27">
        <f t="shared" ca="1" si="57"/>
        <v>-1000</v>
      </c>
      <c r="EV23" s="27">
        <f t="shared" ca="1" si="57"/>
        <v>-1000</v>
      </c>
      <c r="EW23" s="27">
        <f t="shared" ca="1" si="57"/>
        <v>-1000</v>
      </c>
      <c r="EX23" s="27">
        <f t="shared" ca="1" si="57"/>
        <v>-1000</v>
      </c>
      <c r="EY23" s="27">
        <f t="shared" ca="1" si="57"/>
        <v>-1000</v>
      </c>
      <c r="EZ23" s="27">
        <f t="shared" ca="1" si="57"/>
        <v>-1000</v>
      </c>
      <c r="FA23" s="27">
        <f t="shared" ca="1" si="57"/>
        <v>-1000</v>
      </c>
      <c r="FB23" s="27">
        <f t="shared" ca="1" si="57"/>
        <v>-1000</v>
      </c>
      <c r="FC23" s="27">
        <f t="shared" ca="1" si="57"/>
        <v>-1000</v>
      </c>
      <c r="FD23" s="27">
        <f t="shared" ca="1" si="57"/>
        <v>-1000</v>
      </c>
      <c r="FE23" s="27">
        <f t="shared" ref="FE23:HP23" ca="1" si="58">IF(FE3=TODAY(),1,-1000)</f>
        <v>-1000</v>
      </c>
      <c r="FF23" s="27">
        <f t="shared" ca="1" si="58"/>
        <v>-1000</v>
      </c>
      <c r="FG23" s="27">
        <f t="shared" ca="1" si="58"/>
        <v>-1000</v>
      </c>
      <c r="FH23" s="27">
        <f t="shared" ca="1" si="58"/>
        <v>-1000</v>
      </c>
      <c r="FI23" s="27">
        <f t="shared" ca="1" si="58"/>
        <v>-1000</v>
      </c>
      <c r="FJ23" s="27">
        <f t="shared" ca="1" si="58"/>
        <v>-1000</v>
      </c>
      <c r="FK23" s="27">
        <f t="shared" ca="1" si="58"/>
        <v>-1000</v>
      </c>
      <c r="FL23" s="27">
        <f t="shared" ca="1" si="58"/>
        <v>-1000</v>
      </c>
      <c r="FM23" s="27">
        <f t="shared" ca="1" si="58"/>
        <v>-1000</v>
      </c>
      <c r="FN23" s="27">
        <f t="shared" ca="1" si="58"/>
        <v>-1000</v>
      </c>
      <c r="FO23" s="27">
        <f t="shared" ca="1" si="58"/>
        <v>-1000</v>
      </c>
      <c r="FP23" s="27">
        <f t="shared" ca="1" si="58"/>
        <v>-1000</v>
      </c>
      <c r="FQ23" s="27">
        <f t="shared" ca="1" si="58"/>
        <v>-1000</v>
      </c>
      <c r="FR23" s="27">
        <f t="shared" ca="1" si="58"/>
        <v>-1000</v>
      </c>
      <c r="FS23" s="27">
        <f t="shared" ca="1" si="58"/>
        <v>-1000</v>
      </c>
      <c r="FT23" s="27">
        <f t="shared" ca="1" si="58"/>
        <v>-1000</v>
      </c>
      <c r="FU23" s="27">
        <f t="shared" ca="1" si="58"/>
        <v>-1000</v>
      </c>
      <c r="FV23" s="27">
        <f t="shared" ca="1" si="58"/>
        <v>-1000</v>
      </c>
      <c r="FW23" s="27">
        <f t="shared" ca="1" si="58"/>
        <v>-1000</v>
      </c>
      <c r="FX23" s="27">
        <f t="shared" ca="1" si="58"/>
        <v>-1000</v>
      </c>
      <c r="FY23" s="27">
        <f t="shared" ca="1" si="58"/>
        <v>-1000</v>
      </c>
      <c r="FZ23" s="27">
        <f t="shared" ca="1" si="58"/>
        <v>-1000</v>
      </c>
      <c r="GA23" s="27">
        <f t="shared" ca="1" si="58"/>
        <v>-1000</v>
      </c>
      <c r="GB23" s="27">
        <f t="shared" ca="1" si="58"/>
        <v>-1000</v>
      </c>
      <c r="GC23" s="27">
        <f t="shared" ca="1" si="58"/>
        <v>-1000</v>
      </c>
      <c r="GD23" s="27">
        <f t="shared" ca="1" si="58"/>
        <v>-1000</v>
      </c>
      <c r="GE23" s="27">
        <f t="shared" ca="1" si="58"/>
        <v>-1000</v>
      </c>
      <c r="GF23" s="27">
        <f t="shared" ca="1" si="58"/>
        <v>-1000</v>
      </c>
      <c r="GG23" s="27">
        <f t="shared" ca="1" si="58"/>
        <v>-1000</v>
      </c>
      <c r="GH23" s="27">
        <f t="shared" ca="1" si="58"/>
        <v>-1000</v>
      </c>
      <c r="GI23" s="27">
        <f t="shared" ca="1" si="58"/>
        <v>-1000</v>
      </c>
      <c r="GJ23" s="27">
        <f t="shared" ca="1" si="58"/>
        <v>-1000</v>
      </c>
      <c r="GK23" s="27">
        <f t="shared" ca="1" si="58"/>
        <v>-1000</v>
      </c>
      <c r="GL23" s="27">
        <f t="shared" ca="1" si="58"/>
        <v>-1000</v>
      </c>
      <c r="GM23" s="27">
        <f t="shared" ca="1" si="58"/>
        <v>-1000</v>
      </c>
      <c r="GN23" s="27">
        <f t="shared" ca="1" si="58"/>
        <v>-1000</v>
      </c>
      <c r="GO23" s="27">
        <f t="shared" ca="1" si="58"/>
        <v>-1000</v>
      </c>
      <c r="GP23" s="27">
        <f t="shared" ca="1" si="58"/>
        <v>-1000</v>
      </c>
      <c r="GQ23" s="27">
        <f t="shared" ca="1" si="58"/>
        <v>-1000</v>
      </c>
      <c r="GR23" s="27">
        <f t="shared" ca="1" si="58"/>
        <v>-1000</v>
      </c>
      <c r="GS23" s="27">
        <f t="shared" ca="1" si="58"/>
        <v>-1000</v>
      </c>
      <c r="GT23" s="27">
        <f t="shared" ca="1" si="58"/>
        <v>-1000</v>
      </c>
      <c r="GU23" s="27">
        <f t="shared" ca="1" si="58"/>
        <v>-1000</v>
      </c>
      <c r="GV23" s="27">
        <f t="shared" ca="1" si="58"/>
        <v>-1000</v>
      </c>
      <c r="GW23" s="27">
        <f t="shared" ca="1" si="58"/>
        <v>-1000</v>
      </c>
      <c r="GX23" s="27">
        <f t="shared" ca="1" si="58"/>
        <v>-1000</v>
      </c>
      <c r="GY23" s="27">
        <f t="shared" ca="1" si="58"/>
        <v>-1000</v>
      </c>
      <c r="GZ23" s="27">
        <f t="shared" ca="1" si="58"/>
        <v>-1000</v>
      </c>
      <c r="HA23" s="27">
        <f t="shared" ca="1" si="58"/>
        <v>-1000</v>
      </c>
      <c r="HB23" s="27">
        <f t="shared" ca="1" si="58"/>
        <v>-1000</v>
      </c>
      <c r="HC23" s="27">
        <f t="shared" ca="1" si="58"/>
        <v>-1000</v>
      </c>
      <c r="HD23" s="27">
        <f t="shared" ca="1" si="58"/>
        <v>-1000</v>
      </c>
      <c r="HE23" s="27">
        <f t="shared" ca="1" si="58"/>
        <v>-1000</v>
      </c>
      <c r="HF23" s="27">
        <f t="shared" ca="1" si="58"/>
        <v>-1000</v>
      </c>
      <c r="HG23" s="27">
        <f t="shared" ca="1" si="58"/>
        <v>-1000</v>
      </c>
      <c r="HH23" s="27">
        <f t="shared" ca="1" si="58"/>
        <v>-1000</v>
      </c>
      <c r="HI23" s="27">
        <f t="shared" ca="1" si="58"/>
        <v>-1000</v>
      </c>
      <c r="HJ23" s="27">
        <f t="shared" ca="1" si="58"/>
        <v>-1000</v>
      </c>
      <c r="HK23" s="27">
        <f t="shared" ca="1" si="58"/>
        <v>-1000</v>
      </c>
      <c r="HL23" s="27">
        <f t="shared" ca="1" si="58"/>
        <v>-1000</v>
      </c>
      <c r="HM23" s="27">
        <f t="shared" ca="1" si="58"/>
        <v>-1000</v>
      </c>
      <c r="HN23" s="27">
        <f t="shared" ca="1" si="58"/>
        <v>-1000</v>
      </c>
      <c r="HO23" s="27">
        <f t="shared" ca="1" si="58"/>
        <v>-1000</v>
      </c>
      <c r="HP23" s="27">
        <f t="shared" ca="1" si="58"/>
        <v>-1000</v>
      </c>
      <c r="HQ23" s="27">
        <f t="shared" ref="HQ23:IN23" ca="1" si="59">IF(HQ3=TODAY(),1,-1000)</f>
        <v>-1000</v>
      </c>
      <c r="HR23" s="27">
        <f t="shared" ca="1" si="59"/>
        <v>-1000</v>
      </c>
      <c r="HS23" s="27">
        <f t="shared" ca="1" si="59"/>
        <v>-1000</v>
      </c>
      <c r="HT23" s="27">
        <f t="shared" ca="1" si="59"/>
        <v>-1000</v>
      </c>
      <c r="HU23" s="27">
        <f t="shared" ca="1" si="59"/>
        <v>-1000</v>
      </c>
      <c r="HV23" s="27">
        <f t="shared" ca="1" si="59"/>
        <v>-1000</v>
      </c>
      <c r="HW23" s="27">
        <f t="shared" ca="1" si="59"/>
        <v>-1000</v>
      </c>
      <c r="HX23" s="27">
        <f t="shared" ca="1" si="59"/>
        <v>-1000</v>
      </c>
      <c r="HY23" s="27">
        <f t="shared" ca="1" si="59"/>
        <v>-1000</v>
      </c>
      <c r="HZ23" s="27">
        <f t="shared" ca="1" si="59"/>
        <v>-1000</v>
      </c>
      <c r="IA23" s="27">
        <f t="shared" ca="1" si="59"/>
        <v>-1000</v>
      </c>
      <c r="IB23" s="27">
        <f t="shared" ca="1" si="59"/>
        <v>-1000</v>
      </c>
      <c r="IC23" s="27">
        <f t="shared" ca="1" si="59"/>
        <v>-1000</v>
      </c>
      <c r="ID23" s="27">
        <f t="shared" ca="1" si="59"/>
        <v>-1000</v>
      </c>
      <c r="IE23" s="27">
        <f t="shared" ca="1" si="59"/>
        <v>-1000</v>
      </c>
      <c r="IF23" s="27">
        <f t="shared" ca="1" si="59"/>
        <v>-1000</v>
      </c>
      <c r="IG23" s="27">
        <f t="shared" ca="1" si="59"/>
        <v>-1000</v>
      </c>
      <c r="IH23" s="27">
        <f t="shared" ca="1" si="59"/>
        <v>-1000</v>
      </c>
      <c r="II23" s="27">
        <f t="shared" ca="1" si="59"/>
        <v>-1000</v>
      </c>
      <c r="IJ23" s="27">
        <f t="shared" ca="1" si="59"/>
        <v>-1000</v>
      </c>
      <c r="IK23" s="27">
        <f t="shared" ca="1" si="59"/>
        <v>-1000</v>
      </c>
      <c r="IL23" s="27">
        <f t="shared" ca="1" si="59"/>
        <v>-1000</v>
      </c>
      <c r="IM23" s="27">
        <f t="shared" ca="1" si="59"/>
        <v>-1000</v>
      </c>
      <c r="IN23" s="27">
        <f t="shared" ca="1" si="59"/>
        <v>-1000</v>
      </c>
    </row>
    <row r="24" spans="2:248" x14ac:dyDescent="0.3">
      <c r="B24" s="19" t="s">
        <v>504</v>
      </c>
      <c r="C24" s="56">
        <f>IF(VLOOKUP(B2,Country_Data!C:I,7,FALSE)="","Not initiated",VLOOKUP(B2,Country_Data!C:I,7,FALSE))</f>
        <v>43910</v>
      </c>
      <c r="F24" s="22" t="s">
        <v>477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60">IF(AND(I18&gt;I17,H18&lt;H17),1,0)</f>
        <v>0</v>
      </c>
      <c r="J24" s="26">
        <f t="shared" si="60"/>
        <v>0</v>
      </c>
      <c r="K24" s="26">
        <f t="shared" si="60"/>
        <v>0</v>
      </c>
      <c r="L24" s="26">
        <f t="shared" si="60"/>
        <v>0</v>
      </c>
      <c r="M24" s="26">
        <f t="shared" si="60"/>
        <v>0</v>
      </c>
      <c r="N24" s="26">
        <f t="shared" si="60"/>
        <v>0</v>
      </c>
      <c r="O24" s="26">
        <f t="shared" si="60"/>
        <v>0</v>
      </c>
      <c r="P24" s="26">
        <f t="shared" si="60"/>
        <v>0</v>
      </c>
      <c r="Q24" s="26">
        <f t="shared" si="60"/>
        <v>0</v>
      </c>
      <c r="R24" s="26">
        <f t="shared" si="60"/>
        <v>0</v>
      </c>
      <c r="S24" s="26">
        <f t="shared" si="60"/>
        <v>0</v>
      </c>
      <c r="T24" s="26">
        <f t="shared" si="60"/>
        <v>0</v>
      </c>
      <c r="U24" s="26">
        <f t="shared" si="60"/>
        <v>0</v>
      </c>
      <c r="V24" s="26">
        <f t="shared" si="60"/>
        <v>0</v>
      </c>
      <c r="W24" s="26">
        <f t="shared" si="60"/>
        <v>0</v>
      </c>
      <c r="X24" s="26">
        <f t="shared" si="60"/>
        <v>0</v>
      </c>
      <c r="Y24" s="26">
        <f t="shared" si="60"/>
        <v>0</v>
      </c>
      <c r="Z24" s="26">
        <f t="shared" si="60"/>
        <v>0</v>
      </c>
      <c r="AA24" s="26">
        <f t="shared" si="60"/>
        <v>0</v>
      </c>
      <c r="AB24" s="26">
        <f t="shared" si="60"/>
        <v>0</v>
      </c>
      <c r="AC24" s="26">
        <f t="shared" si="60"/>
        <v>0</v>
      </c>
      <c r="AD24" s="26">
        <f t="shared" si="60"/>
        <v>0</v>
      </c>
      <c r="AE24" s="26">
        <f t="shared" si="60"/>
        <v>0</v>
      </c>
      <c r="AF24" s="26">
        <f t="shared" si="60"/>
        <v>0</v>
      </c>
      <c r="AG24" s="26">
        <f t="shared" si="60"/>
        <v>0</v>
      </c>
      <c r="AH24" s="26">
        <f t="shared" si="60"/>
        <v>1</v>
      </c>
      <c r="AI24" s="26">
        <f t="shared" si="60"/>
        <v>0</v>
      </c>
      <c r="AJ24" s="26">
        <f>IF(AND(AJ18&gt;AJ17,AI18&lt;AI17),1,0)</f>
        <v>0</v>
      </c>
      <c r="AK24" s="26">
        <f t="shared" si="60"/>
        <v>0</v>
      </c>
      <c r="AL24" s="26">
        <f t="shared" si="60"/>
        <v>0</v>
      </c>
      <c r="AM24" s="26">
        <f t="shared" si="60"/>
        <v>0</v>
      </c>
      <c r="AN24" s="26">
        <f t="shared" si="60"/>
        <v>0</v>
      </c>
      <c r="AO24" s="26">
        <f t="shared" si="60"/>
        <v>0</v>
      </c>
      <c r="AP24" s="26">
        <f t="shared" si="60"/>
        <v>0</v>
      </c>
      <c r="AQ24" s="26">
        <f t="shared" si="60"/>
        <v>0</v>
      </c>
      <c r="AR24" s="26">
        <f t="shared" si="60"/>
        <v>0</v>
      </c>
      <c r="AS24" s="26">
        <f t="shared" si="60"/>
        <v>0</v>
      </c>
      <c r="AT24" s="26">
        <f t="shared" si="60"/>
        <v>0</v>
      </c>
      <c r="AU24" s="26">
        <f t="shared" si="60"/>
        <v>0</v>
      </c>
      <c r="AV24" s="26">
        <f t="shared" si="60"/>
        <v>0</v>
      </c>
      <c r="AW24" s="26">
        <f t="shared" si="60"/>
        <v>0</v>
      </c>
      <c r="AX24" s="26">
        <f t="shared" si="60"/>
        <v>0</v>
      </c>
      <c r="AY24" s="26">
        <f t="shared" si="60"/>
        <v>0</v>
      </c>
      <c r="AZ24" s="26">
        <f t="shared" si="60"/>
        <v>0</v>
      </c>
      <c r="BA24" s="26">
        <f t="shared" si="60"/>
        <v>0</v>
      </c>
      <c r="BB24" s="26">
        <f t="shared" si="60"/>
        <v>0</v>
      </c>
      <c r="BC24" s="26">
        <f t="shared" si="60"/>
        <v>0</v>
      </c>
      <c r="BD24" s="26">
        <f t="shared" si="60"/>
        <v>0</v>
      </c>
      <c r="BE24" s="26">
        <f t="shared" si="60"/>
        <v>0</v>
      </c>
      <c r="BF24" s="26">
        <f t="shared" si="60"/>
        <v>0</v>
      </c>
      <c r="BG24" s="26">
        <f t="shared" si="60"/>
        <v>0</v>
      </c>
      <c r="BH24" s="26">
        <f t="shared" si="60"/>
        <v>0</v>
      </c>
      <c r="BI24" s="26">
        <f t="shared" si="60"/>
        <v>0</v>
      </c>
      <c r="BJ24" s="26">
        <f t="shared" si="60"/>
        <v>0</v>
      </c>
      <c r="BK24" s="26">
        <f t="shared" si="60"/>
        <v>0</v>
      </c>
      <c r="BL24" s="26">
        <f t="shared" si="60"/>
        <v>0</v>
      </c>
      <c r="BM24" s="26">
        <f t="shared" si="60"/>
        <v>0</v>
      </c>
      <c r="BN24" s="26">
        <f t="shared" si="60"/>
        <v>0</v>
      </c>
      <c r="BO24" s="26">
        <f t="shared" si="60"/>
        <v>0</v>
      </c>
      <c r="BP24" s="26">
        <f t="shared" si="60"/>
        <v>0</v>
      </c>
      <c r="BQ24" s="26">
        <f t="shared" si="60"/>
        <v>0</v>
      </c>
      <c r="BR24" s="26">
        <f t="shared" si="60"/>
        <v>0</v>
      </c>
      <c r="BS24" s="26">
        <f t="shared" si="60"/>
        <v>0</v>
      </c>
      <c r="BT24" s="26">
        <f t="shared" ref="BT24:EE24" si="61">IF(AND(BT18&gt;BT17,BS18&lt;BS17),1,0)</f>
        <v>0</v>
      </c>
      <c r="BU24" s="26">
        <f t="shared" si="61"/>
        <v>0</v>
      </c>
      <c r="BV24" s="26">
        <f t="shared" si="61"/>
        <v>0</v>
      </c>
      <c r="BW24" s="26">
        <f t="shared" si="61"/>
        <v>0</v>
      </c>
      <c r="BX24" s="26">
        <f t="shared" si="61"/>
        <v>0</v>
      </c>
      <c r="BY24" s="26">
        <f t="shared" si="61"/>
        <v>0</v>
      </c>
      <c r="BZ24" s="26">
        <f t="shared" si="61"/>
        <v>0</v>
      </c>
      <c r="CA24" s="26">
        <f t="shared" si="61"/>
        <v>0</v>
      </c>
      <c r="CB24" s="26">
        <f t="shared" si="61"/>
        <v>0</v>
      </c>
      <c r="CC24" s="26">
        <f t="shared" si="61"/>
        <v>0</v>
      </c>
      <c r="CD24" s="26">
        <f t="shared" si="61"/>
        <v>0</v>
      </c>
      <c r="CE24" s="26">
        <f t="shared" si="61"/>
        <v>0</v>
      </c>
      <c r="CF24" s="26">
        <f t="shared" si="61"/>
        <v>0</v>
      </c>
      <c r="CG24" s="26">
        <f t="shared" si="61"/>
        <v>0</v>
      </c>
      <c r="CH24" s="26">
        <f t="shared" si="61"/>
        <v>0</v>
      </c>
      <c r="CI24" s="26">
        <f t="shared" si="61"/>
        <v>0</v>
      </c>
      <c r="CJ24" s="26">
        <f t="shared" si="61"/>
        <v>0</v>
      </c>
      <c r="CK24" s="26">
        <f t="shared" si="61"/>
        <v>0</v>
      </c>
      <c r="CL24" s="26">
        <f t="shared" si="61"/>
        <v>0</v>
      </c>
      <c r="CM24" s="26">
        <f t="shared" si="61"/>
        <v>0</v>
      </c>
      <c r="CN24" s="26">
        <f t="shared" si="61"/>
        <v>0</v>
      </c>
      <c r="CO24" s="26">
        <f t="shared" si="61"/>
        <v>0</v>
      </c>
      <c r="CP24" s="26">
        <f t="shared" si="61"/>
        <v>0</v>
      </c>
      <c r="CQ24" s="26">
        <f t="shared" si="61"/>
        <v>0</v>
      </c>
      <c r="CR24" s="26">
        <f t="shared" si="61"/>
        <v>0</v>
      </c>
      <c r="CS24" s="26">
        <f t="shared" si="61"/>
        <v>0</v>
      </c>
      <c r="CT24" s="26">
        <f t="shared" si="61"/>
        <v>0</v>
      </c>
      <c r="CU24" s="26">
        <f t="shared" si="61"/>
        <v>0</v>
      </c>
      <c r="CV24" s="26">
        <f t="shared" si="61"/>
        <v>0</v>
      </c>
      <c r="CW24" s="26">
        <f t="shared" si="61"/>
        <v>0</v>
      </c>
      <c r="CX24" s="26">
        <f t="shared" si="61"/>
        <v>0</v>
      </c>
      <c r="CY24" s="26">
        <f t="shared" si="61"/>
        <v>0</v>
      </c>
      <c r="CZ24" s="26">
        <f t="shared" si="61"/>
        <v>0</v>
      </c>
      <c r="DA24" s="26">
        <f t="shared" si="61"/>
        <v>0</v>
      </c>
      <c r="DB24" s="26">
        <f t="shared" si="61"/>
        <v>0</v>
      </c>
      <c r="DC24" s="26">
        <f t="shared" si="61"/>
        <v>0</v>
      </c>
      <c r="DD24" s="26">
        <f t="shared" si="61"/>
        <v>0</v>
      </c>
      <c r="DE24" s="26">
        <f t="shared" si="61"/>
        <v>0</v>
      </c>
      <c r="DF24" s="26">
        <f t="shared" si="61"/>
        <v>0</v>
      </c>
      <c r="DG24" s="26">
        <f t="shared" si="61"/>
        <v>0</v>
      </c>
      <c r="DH24" s="26">
        <f t="shared" si="61"/>
        <v>0</v>
      </c>
      <c r="DI24" s="26">
        <f t="shared" si="61"/>
        <v>0</v>
      </c>
      <c r="DJ24" s="26">
        <f t="shared" si="61"/>
        <v>0</v>
      </c>
      <c r="DK24" s="26">
        <f t="shared" si="61"/>
        <v>0</v>
      </c>
      <c r="DL24" s="26">
        <f t="shared" si="61"/>
        <v>0</v>
      </c>
      <c r="DM24" s="26">
        <f t="shared" si="61"/>
        <v>0</v>
      </c>
      <c r="DN24" s="26">
        <f t="shared" si="61"/>
        <v>0</v>
      </c>
      <c r="DO24" s="26">
        <f t="shared" si="61"/>
        <v>0</v>
      </c>
      <c r="DP24" s="26">
        <f t="shared" si="61"/>
        <v>0</v>
      </c>
      <c r="DQ24" s="26">
        <f t="shared" si="61"/>
        <v>0</v>
      </c>
      <c r="DR24" s="26">
        <f t="shared" si="61"/>
        <v>0</v>
      </c>
      <c r="DS24" s="26">
        <f t="shared" si="61"/>
        <v>0</v>
      </c>
      <c r="DT24" s="26">
        <f t="shared" si="61"/>
        <v>0</v>
      </c>
      <c r="DU24" s="26">
        <f t="shared" si="61"/>
        <v>0</v>
      </c>
      <c r="DV24" s="26">
        <f t="shared" si="61"/>
        <v>0</v>
      </c>
      <c r="DW24" s="26">
        <f t="shared" si="61"/>
        <v>0</v>
      </c>
      <c r="DX24" s="26">
        <f t="shared" si="61"/>
        <v>0</v>
      </c>
      <c r="DY24" s="26">
        <f t="shared" si="61"/>
        <v>0</v>
      </c>
      <c r="DZ24" s="26">
        <f t="shared" si="61"/>
        <v>0</v>
      </c>
      <c r="EA24" s="26">
        <f t="shared" si="61"/>
        <v>0</v>
      </c>
      <c r="EB24" s="26">
        <f t="shared" si="61"/>
        <v>0</v>
      </c>
      <c r="EC24" s="26">
        <f t="shared" si="61"/>
        <v>0</v>
      </c>
      <c r="ED24" s="26">
        <f t="shared" si="61"/>
        <v>0</v>
      </c>
      <c r="EE24" s="26">
        <f t="shared" si="61"/>
        <v>0</v>
      </c>
      <c r="EF24" s="26">
        <f t="shared" ref="EF24:GQ24" si="62">IF(AND(EF18&gt;EF17,EE18&lt;EE17),1,0)</f>
        <v>0</v>
      </c>
      <c r="EG24" s="26">
        <f t="shared" si="62"/>
        <v>0</v>
      </c>
      <c r="EH24" s="26">
        <f t="shared" si="62"/>
        <v>0</v>
      </c>
      <c r="EI24" s="26">
        <f t="shared" si="62"/>
        <v>0</v>
      </c>
      <c r="EJ24" s="26">
        <f t="shared" si="62"/>
        <v>0</v>
      </c>
      <c r="EK24" s="26">
        <f t="shared" si="62"/>
        <v>0</v>
      </c>
      <c r="EL24" s="26">
        <f t="shared" si="62"/>
        <v>0</v>
      </c>
      <c r="EM24" s="26">
        <f t="shared" si="62"/>
        <v>0</v>
      </c>
      <c r="EN24" s="26">
        <f t="shared" si="62"/>
        <v>0</v>
      </c>
      <c r="EO24" s="26">
        <f t="shared" si="62"/>
        <v>0</v>
      </c>
      <c r="EP24" s="26">
        <f t="shared" si="62"/>
        <v>0</v>
      </c>
      <c r="EQ24" s="26">
        <f t="shared" si="62"/>
        <v>0</v>
      </c>
      <c r="ER24" s="26">
        <f t="shared" si="62"/>
        <v>0</v>
      </c>
      <c r="ES24" s="26">
        <f t="shared" si="62"/>
        <v>0</v>
      </c>
      <c r="ET24" s="26">
        <f t="shared" si="62"/>
        <v>0</v>
      </c>
      <c r="EU24" s="26">
        <f t="shared" si="62"/>
        <v>0</v>
      </c>
      <c r="EV24" s="26">
        <f t="shared" si="62"/>
        <v>0</v>
      </c>
      <c r="EW24" s="26">
        <f t="shared" si="62"/>
        <v>0</v>
      </c>
      <c r="EX24" s="26">
        <f t="shared" si="62"/>
        <v>0</v>
      </c>
      <c r="EY24" s="26">
        <f t="shared" si="62"/>
        <v>0</v>
      </c>
      <c r="EZ24" s="26">
        <f t="shared" si="62"/>
        <v>0</v>
      </c>
      <c r="FA24" s="26">
        <f t="shared" si="62"/>
        <v>0</v>
      </c>
      <c r="FB24" s="26">
        <f t="shared" si="62"/>
        <v>0</v>
      </c>
      <c r="FC24" s="26">
        <f t="shared" si="62"/>
        <v>0</v>
      </c>
      <c r="FD24" s="26">
        <f t="shared" si="62"/>
        <v>0</v>
      </c>
      <c r="FE24" s="26">
        <f t="shared" si="62"/>
        <v>0</v>
      </c>
      <c r="FF24" s="26">
        <f t="shared" si="62"/>
        <v>0</v>
      </c>
      <c r="FG24" s="26">
        <f t="shared" si="62"/>
        <v>0</v>
      </c>
      <c r="FH24" s="26">
        <f t="shared" si="62"/>
        <v>0</v>
      </c>
      <c r="FI24" s="26">
        <f t="shared" si="62"/>
        <v>0</v>
      </c>
      <c r="FJ24" s="26">
        <f t="shared" si="62"/>
        <v>0</v>
      </c>
      <c r="FK24" s="26">
        <f t="shared" si="62"/>
        <v>0</v>
      </c>
      <c r="FL24" s="26">
        <f t="shared" si="62"/>
        <v>0</v>
      </c>
      <c r="FM24" s="26">
        <f t="shared" si="62"/>
        <v>0</v>
      </c>
      <c r="FN24" s="26">
        <f t="shared" si="62"/>
        <v>0</v>
      </c>
      <c r="FO24" s="26">
        <f t="shared" si="62"/>
        <v>0</v>
      </c>
      <c r="FP24" s="26">
        <f t="shared" si="62"/>
        <v>0</v>
      </c>
      <c r="FQ24" s="26">
        <f t="shared" si="62"/>
        <v>0</v>
      </c>
      <c r="FR24" s="26">
        <f t="shared" si="62"/>
        <v>0</v>
      </c>
      <c r="FS24" s="26">
        <f t="shared" si="62"/>
        <v>0</v>
      </c>
      <c r="FT24" s="26">
        <f t="shared" si="62"/>
        <v>0</v>
      </c>
      <c r="FU24" s="26">
        <f t="shared" si="62"/>
        <v>0</v>
      </c>
      <c r="FV24" s="26">
        <f t="shared" si="62"/>
        <v>0</v>
      </c>
      <c r="FW24" s="26">
        <f t="shared" si="62"/>
        <v>0</v>
      </c>
      <c r="FX24" s="26">
        <f t="shared" si="62"/>
        <v>0</v>
      </c>
      <c r="FY24" s="26">
        <f t="shared" si="62"/>
        <v>0</v>
      </c>
      <c r="FZ24" s="26">
        <f t="shared" si="62"/>
        <v>0</v>
      </c>
      <c r="GA24" s="26">
        <f t="shared" si="62"/>
        <v>0</v>
      </c>
      <c r="GB24" s="26">
        <f t="shared" si="62"/>
        <v>0</v>
      </c>
      <c r="GC24" s="26">
        <f t="shared" si="62"/>
        <v>0</v>
      </c>
      <c r="GD24" s="26">
        <f t="shared" si="62"/>
        <v>0</v>
      </c>
      <c r="GE24" s="26">
        <f t="shared" si="62"/>
        <v>0</v>
      </c>
      <c r="GF24" s="26">
        <f t="shared" si="62"/>
        <v>0</v>
      </c>
      <c r="GG24" s="26">
        <f t="shared" si="62"/>
        <v>0</v>
      </c>
      <c r="GH24" s="26">
        <f t="shared" si="62"/>
        <v>0</v>
      </c>
      <c r="GI24" s="26">
        <f t="shared" si="62"/>
        <v>0</v>
      </c>
      <c r="GJ24" s="26">
        <f t="shared" si="62"/>
        <v>0</v>
      </c>
      <c r="GK24" s="26">
        <f t="shared" si="62"/>
        <v>0</v>
      </c>
      <c r="GL24" s="26">
        <f t="shared" si="62"/>
        <v>0</v>
      </c>
      <c r="GM24" s="26">
        <f t="shared" si="62"/>
        <v>0</v>
      </c>
      <c r="GN24" s="26">
        <f t="shared" si="62"/>
        <v>0</v>
      </c>
      <c r="GO24" s="26">
        <f t="shared" si="62"/>
        <v>0</v>
      </c>
      <c r="GP24" s="26">
        <f t="shared" si="62"/>
        <v>0</v>
      </c>
      <c r="GQ24" s="26">
        <f t="shared" si="62"/>
        <v>0</v>
      </c>
      <c r="GR24" s="26">
        <f t="shared" ref="GR24:IN24" si="63">IF(AND(GR18&gt;GR17,GQ18&lt;GQ17),1,0)</f>
        <v>0</v>
      </c>
      <c r="GS24" s="26">
        <f t="shared" si="63"/>
        <v>0</v>
      </c>
      <c r="GT24" s="26">
        <f t="shared" si="63"/>
        <v>0</v>
      </c>
      <c r="GU24" s="26">
        <f t="shared" si="63"/>
        <v>0</v>
      </c>
      <c r="GV24" s="26">
        <f t="shared" si="63"/>
        <v>0</v>
      </c>
      <c r="GW24" s="26">
        <f t="shared" si="63"/>
        <v>0</v>
      </c>
      <c r="GX24" s="26">
        <f t="shared" si="63"/>
        <v>0</v>
      </c>
      <c r="GY24" s="26">
        <f t="shared" si="63"/>
        <v>0</v>
      </c>
      <c r="GZ24" s="26">
        <f t="shared" si="63"/>
        <v>0</v>
      </c>
      <c r="HA24" s="26">
        <f t="shared" si="63"/>
        <v>0</v>
      </c>
      <c r="HB24" s="26">
        <f t="shared" si="63"/>
        <v>0</v>
      </c>
      <c r="HC24" s="26">
        <f t="shared" si="63"/>
        <v>0</v>
      </c>
      <c r="HD24" s="26">
        <f t="shared" si="63"/>
        <v>0</v>
      </c>
      <c r="HE24" s="26">
        <f t="shared" si="63"/>
        <v>0</v>
      </c>
      <c r="HF24" s="26">
        <f t="shared" si="63"/>
        <v>0</v>
      </c>
      <c r="HG24" s="26">
        <f t="shared" si="63"/>
        <v>0</v>
      </c>
      <c r="HH24" s="26">
        <f t="shared" si="63"/>
        <v>0</v>
      </c>
      <c r="HI24" s="26">
        <f t="shared" si="63"/>
        <v>0</v>
      </c>
      <c r="HJ24" s="26">
        <f t="shared" si="63"/>
        <v>0</v>
      </c>
      <c r="HK24" s="26">
        <f t="shared" si="63"/>
        <v>0</v>
      </c>
      <c r="HL24" s="26">
        <f t="shared" si="63"/>
        <v>0</v>
      </c>
      <c r="HM24" s="26">
        <f t="shared" si="63"/>
        <v>0</v>
      </c>
      <c r="HN24" s="26">
        <f t="shared" si="63"/>
        <v>0</v>
      </c>
      <c r="HO24" s="26">
        <f t="shared" si="63"/>
        <v>0</v>
      </c>
      <c r="HP24" s="26">
        <f t="shared" si="63"/>
        <v>0</v>
      </c>
      <c r="HQ24" s="26">
        <f t="shared" si="63"/>
        <v>0</v>
      </c>
      <c r="HR24" s="26">
        <f t="shared" si="63"/>
        <v>0</v>
      </c>
      <c r="HS24" s="26">
        <f t="shared" si="63"/>
        <v>0</v>
      </c>
      <c r="HT24" s="26">
        <f t="shared" si="63"/>
        <v>0</v>
      </c>
      <c r="HU24" s="26">
        <f t="shared" si="63"/>
        <v>0</v>
      </c>
      <c r="HV24" s="26">
        <f t="shared" si="63"/>
        <v>0</v>
      </c>
      <c r="HW24" s="26">
        <f t="shared" si="63"/>
        <v>0</v>
      </c>
      <c r="HX24" s="26">
        <f t="shared" si="63"/>
        <v>0</v>
      </c>
      <c r="HY24" s="26">
        <f t="shared" si="63"/>
        <v>0</v>
      </c>
      <c r="HZ24" s="26">
        <f t="shared" si="63"/>
        <v>0</v>
      </c>
      <c r="IA24" s="26">
        <f t="shared" si="63"/>
        <v>0</v>
      </c>
      <c r="IB24" s="26">
        <f t="shared" si="63"/>
        <v>0</v>
      </c>
      <c r="IC24" s="26">
        <f t="shared" si="63"/>
        <v>0</v>
      </c>
      <c r="ID24" s="26">
        <f t="shared" si="63"/>
        <v>0</v>
      </c>
      <c r="IE24" s="26">
        <f t="shared" si="63"/>
        <v>0</v>
      </c>
      <c r="IF24" s="26">
        <f t="shared" si="63"/>
        <v>0</v>
      </c>
      <c r="IG24" s="26">
        <f t="shared" si="63"/>
        <v>0</v>
      </c>
      <c r="IH24" s="26">
        <f t="shared" si="63"/>
        <v>0</v>
      </c>
      <c r="II24" s="26">
        <f t="shared" si="63"/>
        <v>0</v>
      </c>
      <c r="IJ24" s="26">
        <f t="shared" si="63"/>
        <v>0</v>
      </c>
      <c r="IK24" s="26">
        <f t="shared" si="63"/>
        <v>0</v>
      </c>
      <c r="IL24" s="26">
        <f t="shared" si="63"/>
        <v>0</v>
      </c>
      <c r="IM24" s="26">
        <f t="shared" si="63"/>
        <v>0</v>
      </c>
      <c r="IN24" s="26">
        <f t="shared" si="63"/>
        <v>0</v>
      </c>
    </row>
    <row r="25" spans="2:248" x14ac:dyDescent="0.3">
      <c r="F25" s="22" t="s">
        <v>451</v>
      </c>
      <c r="G25" s="55">
        <f ca="1">H25</f>
        <v>0.43925233644859807</v>
      </c>
      <c r="H25" s="55">
        <f t="shared" ref="H25:BS25" ca="1" si="64">IF(H4&lt;$C$10,(H5/OFFSET(H5,0,-H4))^(1/H4),(H5/OFFSET(H5,0,-$C$10))^(1/$C$10))-1</f>
        <v>0.43925233644859807</v>
      </c>
      <c r="I25" s="55">
        <f t="shared" ca="1" si="64"/>
        <v>0.32199226601439279</v>
      </c>
      <c r="J25" s="55">
        <f t="shared" ca="1" si="64"/>
        <v>0.3322290961318255</v>
      </c>
      <c r="K25" s="55">
        <f t="shared" ca="1" si="64"/>
        <v>0.29400027687703489</v>
      </c>
      <c r="L25" s="55">
        <f t="shared" ca="1" si="64"/>
        <v>0.2739199362727387</v>
      </c>
      <c r="M25" s="55">
        <f t="shared" ca="1" si="64"/>
        <v>0.22911524453248044</v>
      </c>
      <c r="N25" s="55">
        <f t="shared" ca="1" si="64"/>
        <v>0.24661789739564544</v>
      </c>
      <c r="O25" s="55">
        <f t="shared" ca="1" si="64"/>
        <v>0.25093929874985577</v>
      </c>
      <c r="P25" s="55">
        <f t="shared" ca="1" si="64"/>
        <v>0.29768583396252413</v>
      </c>
      <c r="Q25" s="55">
        <f t="shared" ca="1" si="64"/>
        <v>0.29648131138297362</v>
      </c>
      <c r="R25" s="55">
        <f t="shared" ca="1" si="64"/>
        <v>0.278211578840591</v>
      </c>
      <c r="S25" s="55">
        <f t="shared" ca="1" si="64"/>
        <v>0.26876036963610472</v>
      </c>
      <c r="T25" s="55">
        <f t="shared" ca="1" si="64"/>
        <v>0.26424670212945167</v>
      </c>
      <c r="U25" s="55">
        <f t="shared" ca="1" si="64"/>
        <v>0.23478297583703434</v>
      </c>
      <c r="V25" s="55">
        <f t="shared" ca="1" si="64"/>
        <v>0.23441183506947327</v>
      </c>
      <c r="W25" s="55" t="e">
        <f t="shared" ca="1" si="64"/>
        <v>#N/A</v>
      </c>
      <c r="X25" s="55" t="e">
        <f t="shared" ca="1" si="64"/>
        <v>#N/A</v>
      </c>
      <c r="Y25" s="55" t="e">
        <f t="shared" ca="1" si="64"/>
        <v>#N/A</v>
      </c>
      <c r="Z25" s="55" t="e">
        <f t="shared" ca="1" si="64"/>
        <v>#N/A</v>
      </c>
      <c r="AA25" s="55" t="e">
        <f t="shared" ca="1" si="64"/>
        <v>#N/A</v>
      </c>
      <c r="AB25" s="55" t="e">
        <f t="shared" ca="1" si="64"/>
        <v>#N/A</v>
      </c>
      <c r="AC25" s="55" t="e">
        <f t="shared" ca="1" si="64"/>
        <v>#N/A</v>
      </c>
      <c r="AD25" s="55" t="e">
        <f t="shared" ca="1" si="64"/>
        <v>#N/A</v>
      </c>
      <c r="AE25" s="55" t="e">
        <f t="shared" ca="1" si="64"/>
        <v>#N/A</v>
      </c>
      <c r="AF25" s="55" t="e">
        <f t="shared" ca="1" si="64"/>
        <v>#N/A</v>
      </c>
      <c r="AG25" s="55" t="e">
        <f t="shared" ca="1" si="64"/>
        <v>#N/A</v>
      </c>
      <c r="AH25" s="55" t="e">
        <f t="shared" ca="1" si="64"/>
        <v>#N/A</v>
      </c>
      <c r="AI25" s="55" t="e">
        <f t="shared" ca="1" si="64"/>
        <v>#N/A</v>
      </c>
      <c r="AJ25" s="55" t="e">
        <f t="shared" ca="1" si="64"/>
        <v>#N/A</v>
      </c>
      <c r="AK25" s="55" t="e">
        <f t="shared" ca="1" si="64"/>
        <v>#N/A</v>
      </c>
      <c r="AL25" s="55" t="e">
        <f t="shared" ca="1" si="64"/>
        <v>#N/A</v>
      </c>
      <c r="AM25" s="55" t="e">
        <f t="shared" ca="1" si="64"/>
        <v>#N/A</v>
      </c>
      <c r="AN25" s="55" t="e">
        <f t="shared" ca="1" si="64"/>
        <v>#N/A</v>
      </c>
      <c r="AO25" s="55" t="e">
        <f t="shared" ca="1" si="64"/>
        <v>#N/A</v>
      </c>
      <c r="AP25" s="55" t="e">
        <f t="shared" ca="1" si="64"/>
        <v>#N/A</v>
      </c>
      <c r="AQ25" s="55" t="e">
        <f t="shared" ca="1" si="64"/>
        <v>#N/A</v>
      </c>
      <c r="AR25" s="55" t="e">
        <f t="shared" ca="1" si="64"/>
        <v>#N/A</v>
      </c>
      <c r="AS25" s="55" t="e">
        <f t="shared" ca="1" si="64"/>
        <v>#N/A</v>
      </c>
      <c r="AT25" s="55" t="e">
        <f t="shared" ca="1" si="64"/>
        <v>#N/A</v>
      </c>
      <c r="AU25" s="55" t="e">
        <f t="shared" ca="1" si="64"/>
        <v>#N/A</v>
      </c>
      <c r="AV25" s="55" t="e">
        <f t="shared" ca="1" si="64"/>
        <v>#N/A</v>
      </c>
      <c r="AW25" s="55" t="e">
        <f t="shared" ca="1" si="64"/>
        <v>#N/A</v>
      </c>
      <c r="AX25" s="55" t="e">
        <f t="shared" ca="1" si="64"/>
        <v>#N/A</v>
      </c>
      <c r="AY25" s="55" t="e">
        <f t="shared" ca="1" si="64"/>
        <v>#N/A</v>
      </c>
      <c r="AZ25" s="55" t="e">
        <f t="shared" ca="1" si="64"/>
        <v>#N/A</v>
      </c>
      <c r="BA25" s="55" t="e">
        <f t="shared" ca="1" si="64"/>
        <v>#N/A</v>
      </c>
      <c r="BB25" s="55" t="e">
        <f t="shared" ca="1" si="64"/>
        <v>#N/A</v>
      </c>
      <c r="BC25" s="55" t="e">
        <f t="shared" ca="1" si="64"/>
        <v>#N/A</v>
      </c>
      <c r="BD25" s="55" t="e">
        <f t="shared" ca="1" si="64"/>
        <v>#N/A</v>
      </c>
      <c r="BE25" s="55" t="e">
        <f t="shared" ca="1" si="64"/>
        <v>#N/A</v>
      </c>
      <c r="BF25" s="55" t="e">
        <f t="shared" ca="1" si="64"/>
        <v>#N/A</v>
      </c>
      <c r="BG25" s="55" t="e">
        <f t="shared" ca="1" si="64"/>
        <v>#N/A</v>
      </c>
      <c r="BH25" s="55" t="e">
        <f t="shared" ca="1" si="64"/>
        <v>#N/A</v>
      </c>
      <c r="BI25" s="55" t="e">
        <f t="shared" ca="1" si="64"/>
        <v>#N/A</v>
      </c>
      <c r="BJ25" s="55" t="e">
        <f t="shared" ca="1" si="64"/>
        <v>#N/A</v>
      </c>
      <c r="BK25" s="55" t="e">
        <f t="shared" ca="1" si="64"/>
        <v>#N/A</v>
      </c>
      <c r="BL25" s="55" t="e">
        <f t="shared" ca="1" si="64"/>
        <v>#N/A</v>
      </c>
      <c r="BM25" s="55" t="e">
        <f t="shared" ca="1" si="64"/>
        <v>#N/A</v>
      </c>
      <c r="BN25" s="55" t="e">
        <f t="shared" ca="1" si="64"/>
        <v>#N/A</v>
      </c>
      <c r="BO25" s="55" t="e">
        <f t="shared" ca="1" si="64"/>
        <v>#N/A</v>
      </c>
      <c r="BP25" s="55" t="e">
        <f t="shared" ca="1" si="64"/>
        <v>#N/A</v>
      </c>
      <c r="BQ25" s="55" t="e">
        <f t="shared" ca="1" si="64"/>
        <v>#N/A</v>
      </c>
      <c r="BR25" s="55" t="e">
        <f t="shared" ca="1" si="64"/>
        <v>#N/A</v>
      </c>
      <c r="BS25" s="55" t="e">
        <f t="shared" ca="1" si="64"/>
        <v>#N/A</v>
      </c>
      <c r="BT25" s="55" t="e">
        <f t="shared" ref="BT25:EE25" ca="1" si="65">IF(BT4&lt;$C$10,(BT5/OFFSET(BT5,0,-BT4))^(1/BT4),(BT5/OFFSET(BT5,0,-$C$10))^(1/$C$10))-1</f>
        <v>#N/A</v>
      </c>
      <c r="BU25" s="55" t="e">
        <f t="shared" ca="1" si="65"/>
        <v>#N/A</v>
      </c>
      <c r="BV25" s="55" t="e">
        <f t="shared" ca="1" si="65"/>
        <v>#N/A</v>
      </c>
      <c r="BW25" s="55" t="e">
        <f t="shared" ca="1" si="65"/>
        <v>#N/A</v>
      </c>
      <c r="BX25" s="55" t="e">
        <f t="shared" ca="1" si="65"/>
        <v>#N/A</v>
      </c>
      <c r="BY25" s="55" t="e">
        <f t="shared" ca="1" si="65"/>
        <v>#N/A</v>
      </c>
      <c r="BZ25" s="55" t="e">
        <f t="shared" ca="1" si="65"/>
        <v>#N/A</v>
      </c>
      <c r="CA25" s="55" t="e">
        <f t="shared" ca="1" si="65"/>
        <v>#N/A</v>
      </c>
      <c r="CB25" s="55" t="e">
        <f t="shared" ca="1" si="65"/>
        <v>#N/A</v>
      </c>
      <c r="CC25" s="55" t="e">
        <f t="shared" ca="1" si="65"/>
        <v>#N/A</v>
      </c>
      <c r="CD25" s="55" t="e">
        <f t="shared" ca="1" si="65"/>
        <v>#N/A</v>
      </c>
      <c r="CE25" s="55" t="e">
        <f t="shared" ca="1" si="65"/>
        <v>#N/A</v>
      </c>
      <c r="CF25" s="55" t="e">
        <f t="shared" ca="1" si="65"/>
        <v>#N/A</v>
      </c>
      <c r="CG25" s="55" t="e">
        <f t="shared" ca="1" si="65"/>
        <v>#N/A</v>
      </c>
      <c r="CH25" s="55" t="e">
        <f t="shared" ca="1" si="65"/>
        <v>#N/A</v>
      </c>
      <c r="CI25" s="55" t="e">
        <f t="shared" ca="1" si="65"/>
        <v>#N/A</v>
      </c>
      <c r="CJ25" s="55" t="e">
        <f t="shared" ca="1" si="65"/>
        <v>#N/A</v>
      </c>
      <c r="CK25" s="55" t="e">
        <f t="shared" ca="1" si="65"/>
        <v>#N/A</v>
      </c>
      <c r="CL25" s="55" t="e">
        <f t="shared" ca="1" si="65"/>
        <v>#N/A</v>
      </c>
      <c r="CM25" s="55" t="e">
        <f t="shared" ca="1" si="65"/>
        <v>#N/A</v>
      </c>
      <c r="CN25" s="55" t="e">
        <f t="shared" ca="1" si="65"/>
        <v>#N/A</v>
      </c>
      <c r="CO25" s="55" t="e">
        <f t="shared" ca="1" si="65"/>
        <v>#N/A</v>
      </c>
      <c r="CP25" s="55" t="e">
        <f t="shared" ca="1" si="65"/>
        <v>#N/A</v>
      </c>
      <c r="CQ25" s="55" t="e">
        <f t="shared" ca="1" si="65"/>
        <v>#N/A</v>
      </c>
      <c r="CR25" s="55" t="e">
        <f t="shared" ca="1" si="65"/>
        <v>#N/A</v>
      </c>
      <c r="CS25" s="55" t="e">
        <f t="shared" ca="1" si="65"/>
        <v>#N/A</v>
      </c>
      <c r="CT25" s="55" t="e">
        <f t="shared" ca="1" si="65"/>
        <v>#N/A</v>
      </c>
      <c r="CU25" s="55" t="e">
        <f t="shared" ca="1" si="65"/>
        <v>#N/A</v>
      </c>
      <c r="CV25" s="55" t="e">
        <f t="shared" ca="1" si="65"/>
        <v>#N/A</v>
      </c>
      <c r="CW25" s="55" t="e">
        <f t="shared" ca="1" si="65"/>
        <v>#N/A</v>
      </c>
      <c r="CX25" s="55" t="e">
        <f t="shared" ca="1" si="65"/>
        <v>#N/A</v>
      </c>
      <c r="CY25" s="55" t="e">
        <f t="shared" ca="1" si="65"/>
        <v>#N/A</v>
      </c>
      <c r="CZ25" s="55" t="e">
        <f t="shared" ca="1" si="65"/>
        <v>#N/A</v>
      </c>
      <c r="DA25" s="55" t="e">
        <f t="shared" ca="1" si="65"/>
        <v>#N/A</v>
      </c>
      <c r="DB25" s="55" t="e">
        <f t="shared" ca="1" si="65"/>
        <v>#N/A</v>
      </c>
      <c r="DC25" s="55" t="e">
        <f t="shared" ca="1" si="65"/>
        <v>#N/A</v>
      </c>
      <c r="DD25" s="55" t="e">
        <f t="shared" ca="1" si="65"/>
        <v>#N/A</v>
      </c>
      <c r="DE25" s="55" t="e">
        <f t="shared" ca="1" si="65"/>
        <v>#N/A</v>
      </c>
      <c r="DF25" s="55" t="e">
        <f t="shared" ca="1" si="65"/>
        <v>#N/A</v>
      </c>
      <c r="DG25" s="55" t="e">
        <f t="shared" ca="1" si="65"/>
        <v>#N/A</v>
      </c>
      <c r="DH25" s="55" t="e">
        <f t="shared" ca="1" si="65"/>
        <v>#N/A</v>
      </c>
      <c r="DI25" s="55" t="e">
        <f t="shared" ca="1" si="65"/>
        <v>#N/A</v>
      </c>
      <c r="DJ25" s="55" t="e">
        <f t="shared" ca="1" si="65"/>
        <v>#N/A</v>
      </c>
      <c r="DK25" s="55" t="e">
        <f t="shared" ca="1" si="65"/>
        <v>#N/A</v>
      </c>
      <c r="DL25" s="55" t="e">
        <f t="shared" ca="1" si="65"/>
        <v>#N/A</v>
      </c>
      <c r="DM25" s="55" t="e">
        <f t="shared" ca="1" si="65"/>
        <v>#N/A</v>
      </c>
      <c r="DN25" s="55" t="e">
        <f t="shared" ca="1" si="65"/>
        <v>#N/A</v>
      </c>
      <c r="DO25" s="55" t="e">
        <f t="shared" ca="1" si="65"/>
        <v>#N/A</v>
      </c>
      <c r="DP25" s="55" t="e">
        <f t="shared" ca="1" si="65"/>
        <v>#N/A</v>
      </c>
      <c r="DQ25" s="55" t="e">
        <f t="shared" ca="1" si="65"/>
        <v>#N/A</v>
      </c>
      <c r="DR25" s="55" t="e">
        <f t="shared" ca="1" si="65"/>
        <v>#N/A</v>
      </c>
      <c r="DS25" s="55" t="e">
        <f t="shared" ca="1" si="65"/>
        <v>#N/A</v>
      </c>
      <c r="DT25" s="55" t="e">
        <f t="shared" ca="1" si="65"/>
        <v>#N/A</v>
      </c>
      <c r="DU25" s="55" t="e">
        <f t="shared" ca="1" si="65"/>
        <v>#N/A</v>
      </c>
      <c r="DV25" s="55" t="e">
        <f t="shared" ca="1" si="65"/>
        <v>#N/A</v>
      </c>
      <c r="DW25" s="55" t="e">
        <f t="shared" ca="1" si="65"/>
        <v>#N/A</v>
      </c>
      <c r="DX25" s="55" t="e">
        <f t="shared" ca="1" si="65"/>
        <v>#N/A</v>
      </c>
      <c r="DY25" s="55" t="e">
        <f t="shared" ca="1" si="65"/>
        <v>#N/A</v>
      </c>
      <c r="DZ25" s="55" t="e">
        <f t="shared" ca="1" si="65"/>
        <v>#N/A</v>
      </c>
      <c r="EA25" s="55" t="e">
        <f t="shared" ca="1" si="65"/>
        <v>#N/A</v>
      </c>
      <c r="EB25" s="55" t="e">
        <f t="shared" ca="1" si="65"/>
        <v>#N/A</v>
      </c>
      <c r="EC25" s="55" t="e">
        <f t="shared" ca="1" si="65"/>
        <v>#N/A</v>
      </c>
      <c r="ED25" s="55" t="e">
        <f t="shared" ca="1" si="65"/>
        <v>#N/A</v>
      </c>
      <c r="EE25" s="55" t="e">
        <f t="shared" ca="1" si="65"/>
        <v>#N/A</v>
      </c>
      <c r="EF25" s="55" t="e">
        <f t="shared" ref="EF25:GQ25" ca="1" si="66">IF(EF4&lt;$C$10,(EF5/OFFSET(EF5,0,-EF4))^(1/EF4),(EF5/OFFSET(EF5,0,-$C$10))^(1/$C$10))-1</f>
        <v>#N/A</v>
      </c>
      <c r="EG25" s="55" t="e">
        <f t="shared" ca="1" si="66"/>
        <v>#N/A</v>
      </c>
      <c r="EH25" s="55" t="e">
        <f t="shared" ca="1" si="66"/>
        <v>#N/A</v>
      </c>
      <c r="EI25" s="55" t="e">
        <f t="shared" ca="1" si="66"/>
        <v>#N/A</v>
      </c>
      <c r="EJ25" s="55" t="e">
        <f t="shared" ca="1" si="66"/>
        <v>#N/A</v>
      </c>
      <c r="EK25" s="55" t="e">
        <f t="shared" ca="1" si="66"/>
        <v>#N/A</v>
      </c>
      <c r="EL25" s="55" t="e">
        <f t="shared" ca="1" si="66"/>
        <v>#N/A</v>
      </c>
      <c r="EM25" s="55" t="e">
        <f t="shared" ca="1" si="66"/>
        <v>#N/A</v>
      </c>
      <c r="EN25" s="55" t="e">
        <f t="shared" ca="1" si="66"/>
        <v>#N/A</v>
      </c>
      <c r="EO25" s="55" t="e">
        <f t="shared" ca="1" si="66"/>
        <v>#N/A</v>
      </c>
      <c r="EP25" s="55" t="e">
        <f t="shared" ca="1" si="66"/>
        <v>#N/A</v>
      </c>
      <c r="EQ25" s="55" t="e">
        <f t="shared" ca="1" si="66"/>
        <v>#N/A</v>
      </c>
      <c r="ER25" s="55" t="e">
        <f t="shared" ca="1" si="66"/>
        <v>#N/A</v>
      </c>
      <c r="ES25" s="55" t="e">
        <f t="shared" ca="1" si="66"/>
        <v>#N/A</v>
      </c>
      <c r="ET25" s="55" t="e">
        <f t="shared" ca="1" si="66"/>
        <v>#N/A</v>
      </c>
      <c r="EU25" s="55" t="e">
        <f t="shared" ca="1" si="66"/>
        <v>#N/A</v>
      </c>
      <c r="EV25" s="55" t="e">
        <f t="shared" ca="1" si="66"/>
        <v>#N/A</v>
      </c>
      <c r="EW25" s="55" t="e">
        <f t="shared" ca="1" si="66"/>
        <v>#N/A</v>
      </c>
      <c r="EX25" s="55" t="e">
        <f t="shared" ca="1" si="66"/>
        <v>#N/A</v>
      </c>
      <c r="EY25" s="55" t="e">
        <f t="shared" ca="1" si="66"/>
        <v>#N/A</v>
      </c>
      <c r="EZ25" s="55" t="e">
        <f t="shared" ca="1" si="66"/>
        <v>#N/A</v>
      </c>
      <c r="FA25" s="55" t="e">
        <f t="shared" ca="1" si="66"/>
        <v>#N/A</v>
      </c>
      <c r="FB25" s="55" t="e">
        <f t="shared" ca="1" si="66"/>
        <v>#N/A</v>
      </c>
      <c r="FC25" s="55" t="e">
        <f t="shared" ca="1" si="66"/>
        <v>#N/A</v>
      </c>
      <c r="FD25" s="55" t="e">
        <f t="shared" ca="1" si="66"/>
        <v>#N/A</v>
      </c>
      <c r="FE25" s="55" t="e">
        <f t="shared" ca="1" si="66"/>
        <v>#N/A</v>
      </c>
      <c r="FF25" s="55" t="e">
        <f t="shared" ca="1" si="66"/>
        <v>#N/A</v>
      </c>
      <c r="FG25" s="55" t="e">
        <f t="shared" ca="1" si="66"/>
        <v>#N/A</v>
      </c>
      <c r="FH25" s="55" t="e">
        <f t="shared" ca="1" si="66"/>
        <v>#N/A</v>
      </c>
      <c r="FI25" s="55" t="e">
        <f t="shared" ca="1" si="66"/>
        <v>#N/A</v>
      </c>
      <c r="FJ25" s="55" t="e">
        <f t="shared" ca="1" si="66"/>
        <v>#N/A</v>
      </c>
      <c r="FK25" s="55" t="e">
        <f t="shared" ca="1" si="66"/>
        <v>#N/A</v>
      </c>
      <c r="FL25" s="55" t="e">
        <f t="shared" ca="1" si="66"/>
        <v>#N/A</v>
      </c>
      <c r="FM25" s="55" t="e">
        <f t="shared" ca="1" si="66"/>
        <v>#N/A</v>
      </c>
      <c r="FN25" s="55" t="e">
        <f t="shared" ca="1" si="66"/>
        <v>#N/A</v>
      </c>
      <c r="FO25" s="55" t="e">
        <f t="shared" ca="1" si="66"/>
        <v>#N/A</v>
      </c>
      <c r="FP25" s="55" t="e">
        <f t="shared" ca="1" si="66"/>
        <v>#N/A</v>
      </c>
      <c r="FQ25" s="55" t="e">
        <f t="shared" ca="1" si="66"/>
        <v>#N/A</v>
      </c>
      <c r="FR25" s="55" t="e">
        <f t="shared" ca="1" si="66"/>
        <v>#N/A</v>
      </c>
      <c r="FS25" s="55" t="e">
        <f t="shared" ca="1" si="66"/>
        <v>#N/A</v>
      </c>
      <c r="FT25" s="55" t="e">
        <f t="shared" ca="1" si="66"/>
        <v>#N/A</v>
      </c>
      <c r="FU25" s="55" t="e">
        <f t="shared" ca="1" si="66"/>
        <v>#N/A</v>
      </c>
      <c r="FV25" s="55" t="e">
        <f t="shared" ca="1" si="66"/>
        <v>#N/A</v>
      </c>
      <c r="FW25" s="55" t="e">
        <f t="shared" ca="1" si="66"/>
        <v>#N/A</v>
      </c>
      <c r="FX25" s="55" t="e">
        <f t="shared" ca="1" si="66"/>
        <v>#N/A</v>
      </c>
      <c r="FY25" s="55" t="e">
        <f t="shared" ca="1" si="66"/>
        <v>#N/A</v>
      </c>
      <c r="FZ25" s="55" t="e">
        <f t="shared" ca="1" si="66"/>
        <v>#N/A</v>
      </c>
      <c r="GA25" s="55" t="e">
        <f t="shared" ca="1" si="66"/>
        <v>#N/A</v>
      </c>
      <c r="GB25" s="55" t="e">
        <f t="shared" ca="1" si="66"/>
        <v>#N/A</v>
      </c>
      <c r="GC25" s="55" t="e">
        <f t="shared" ca="1" si="66"/>
        <v>#N/A</v>
      </c>
      <c r="GD25" s="55" t="e">
        <f t="shared" ca="1" si="66"/>
        <v>#N/A</v>
      </c>
      <c r="GE25" s="55" t="e">
        <f t="shared" ca="1" si="66"/>
        <v>#N/A</v>
      </c>
      <c r="GF25" s="55" t="e">
        <f t="shared" ca="1" si="66"/>
        <v>#N/A</v>
      </c>
      <c r="GG25" s="55" t="e">
        <f t="shared" ca="1" si="66"/>
        <v>#N/A</v>
      </c>
      <c r="GH25" s="55" t="e">
        <f t="shared" ca="1" si="66"/>
        <v>#N/A</v>
      </c>
      <c r="GI25" s="55" t="e">
        <f t="shared" ca="1" si="66"/>
        <v>#N/A</v>
      </c>
      <c r="GJ25" s="55" t="e">
        <f t="shared" ca="1" si="66"/>
        <v>#N/A</v>
      </c>
      <c r="GK25" s="55" t="e">
        <f t="shared" ca="1" si="66"/>
        <v>#N/A</v>
      </c>
      <c r="GL25" s="55" t="e">
        <f t="shared" ca="1" si="66"/>
        <v>#N/A</v>
      </c>
      <c r="GM25" s="55" t="e">
        <f t="shared" ca="1" si="66"/>
        <v>#N/A</v>
      </c>
      <c r="GN25" s="55" t="e">
        <f t="shared" ca="1" si="66"/>
        <v>#N/A</v>
      </c>
      <c r="GO25" s="55" t="e">
        <f t="shared" ca="1" si="66"/>
        <v>#N/A</v>
      </c>
      <c r="GP25" s="55" t="e">
        <f t="shared" ca="1" si="66"/>
        <v>#N/A</v>
      </c>
      <c r="GQ25" s="55" t="e">
        <f t="shared" ca="1" si="66"/>
        <v>#N/A</v>
      </c>
      <c r="GR25" s="55" t="e">
        <f t="shared" ref="GR25:IN25" ca="1" si="67">IF(GR4&lt;$C$10,(GR5/OFFSET(GR5,0,-GR4))^(1/GR4),(GR5/OFFSET(GR5,0,-$C$10))^(1/$C$10))-1</f>
        <v>#N/A</v>
      </c>
      <c r="GS25" s="55" t="e">
        <f t="shared" ca="1" si="67"/>
        <v>#N/A</v>
      </c>
      <c r="GT25" s="55" t="e">
        <f t="shared" ca="1" si="67"/>
        <v>#N/A</v>
      </c>
      <c r="GU25" s="55" t="e">
        <f t="shared" ca="1" si="67"/>
        <v>#N/A</v>
      </c>
      <c r="GV25" s="55" t="e">
        <f t="shared" ca="1" si="67"/>
        <v>#N/A</v>
      </c>
      <c r="GW25" s="55" t="e">
        <f t="shared" ca="1" si="67"/>
        <v>#N/A</v>
      </c>
      <c r="GX25" s="55" t="e">
        <f t="shared" ca="1" si="67"/>
        <v>#N/A</v>
      </c>
      <c r="GY25" s="55" t="e">
        <f t="shared" ca="1" si="67"/>
        <v>#N/A</v>
      </c>
      <c r="GZ25" s="55" t="e">
        <f t="shared" ca="1" si="67"/>
        <v>#N/A</v>
      </c>
      <c r="HA25" s="55" t="e">
        <f t="shared" ca="1" si="67"/>
        <v>#N/A</v>
      </c>
      <c r="HB25" s="55" t="e">
        <f t="shared" ca="1" si="67"/>
        <v>#N/A</v>
      </c>
      <c r="HC25" s="55" t="e">
        <f t="shared" ca="1" si="67"/>
        <v>#N/A</v>
      </c>
      <c r="HD25" s="55" t="e">
        <f t="shared" ca="1" si="67"/>
        <v>#N/A</v>
      </c>
      <c r="HE25" s="55" t="e">
        <f t="shared" ca="1" si="67"/>
        <v>#N/A</v>
      </c>
      <c r="HF25" s="55" t="e">
        <f t="shared" ca="1" si="67"/>
        <v>#N/A</v>
      </c>
      <c r="HG25" s="55" t="e">
        <f t="shared" ca="1" si="67"/>
        <v>#N/A</v>
      </c>
      <c r="HH25" s="55" t="e">
        <f t="shared" ca="1" si="67"/>
        <v>#N/A</v>
      </c>
      <c r="HI25" s="55" t="e">
        <f t="shared" ca="1" si="67"/>
        <v>#N/A</v>
      </c>
      <c r="HJ25" s="55" t="e">
        <f t="shared" ca="1" si="67"/>
        <v>#N/A</v>
      </c>
      <c r="HK25" s="55" t="e">
        <f t="shared" ca="1" si="67"/>
        <v>#N/A</v>
      </c>
      <c r="HL25" s="55" t="e">
        <f t="shared" ca="1" si="67"/>
        <v>#N/A</v>
      </c>
      <c r="HM25" s="55" t="e">
        <f t="shared" ca="1" si="67"/>
        <v>#N/A</v>
      </c>
      <c r="HN25" s="55" t="e">
        <f t="shared" ca="1" si="67"/>
        <v>#N/A</v>
      </c>
      <c r="HO25" s="55" t="e">
        <f t="shared" ca="1" si="67"/>
        <v>#N/A</v>
      </c>
      <c r="HP25" s="55" t="e">
        <f t="shared" ca="1" si="67"/>
        <v>#N/A</v>
      </c>
      <c r="HQ25" s="55" t="e">
        <f t="shared" ca="1" si="67"/>
        <v>#N/A</v>
      </c>
      <c r="HR25" s="55" t="e">
        <f t="shared" ca="1" si="67"/>
        <v>#N/A</v>
      </c>
      <c r="HS25" s="55" t="e">
        <f t="shared" ca="1" si="67"/>
        <v>#N/A</v>
      </c>
      <c r="HT25" s="55" t="e">
        <f t="shared" ca="1" si="67"/>
        <v>#N/A</v>
      </c>
      <c r="HU25" s="55" t="e">
        <f t="shared" ca="1" si="67"/>
        <v>#N/A</v>
      </c>
      <c r="HV25" s="55" t="e">
        <f t="shared" ca="1" si="67"/>
        <v>#N/A</v>
      </c>
      <c r="HW25" s="55" t="e">
        <f t="shared" ca="1" si="67"/>
        <v>#N/A</v>
      </c>
      <c r="HX25" s="55" t="e">
        <f t="shared" ca="1" si="67"/>
        <v>#N/A</v>
      </c>
      <c r="HY25" s="55" t="e">
        <f t="shared" ca="1" si="67"/>
        <v>#N/A</v>
      </c>
      <c r="HZ25" s="55" t="e">
        <f t="shared" ca="1" si="67"/>
        <v>#N/A</v>
      </c>
      <c r="IA25" s="55" t="e">
        <f t="shared" ca="1" si="67"/>
        <v>#N/A</v>
      </c>
      <c r="IB25" s="55" t="e">
        <f t="shared" ca="1" si="67"/>
        <v>#N/A</v>
      </c>
      <c r="IC25" s="55" t="e">
        <f t="shared" ca="1" si="67"/>
        <v>#N/A</v>
      </c>
      <c r="ID25" s="55" t="e">
        <f t="shared" ca="1" si="67"/>
        <v>#N/A</v>
      </c>
      <c r="IE25" s="55" t="e">
        <f t="shared" ca="1" si="67"/>
        <v>#N/A</v>
      </c>
      <c r="IF25" s="55" t="e">
        <f t="shared" ca="1" si="67"/>
        <v>#N/A</v>
      </c>
      <c r="IG25" s="55" t="e">
        <f t="shared" ca="1" si="67"/>
        <v>#N/A</v>
      </c>
      <c r="IH25" s="55" t="e">
        <f t="shared" ca="1" si="67"/>
        <v>#N/A</v>
      </c>
      <c r="II25" s="55" t="e">
        <f t="shared" ca="1" si="67"/>
        <v>#N/A</v>
      </c>
      <c r="IJ25" s="55" t="e">
        <f t="shared" ca="1" si="67"/>
        <v>#N/A</v>
      </c>
      <c r="IK25" s="55" t="e">
        <f t="shared" ca="1" si="67"/>
        <v>#N/A</v>
      </c>
      <c r="IL25" s="55" t="e">
        <f t="shared" ca="1" si="67"/>
        <v>#N/A</v>
      </c>
      <c r="IM25" s="55" t="e">
        <f t="shared" ca="1" si="67"/>
        <v>#N/A</v>
      </c>
      <c r="IN25" s="55" t="e">
        <f t="shared" ca="1" si="67"/>
        <v>#N/A</v>
      </c>
    </row>
    <row r="26" spans="2:248" x14ac:dyDescent="0.3">
      <c r="B26" s="19" t="s">
        <v>426</v>
      </c>
      <c r="C26" s="21">
        <v>0</v>
      </c>
      <c r="D26" s="19">
        <v>0</v>
      </c>
      <c r="F26" s="22" t="s">
        <v>509</v>
      </c>
      <c r="G26" s="27">
        <f t="shared" ref="G26:BR26" ca="1" si="68">IF(G3=$C$24,1,-1000)</f>
        <v>-1000</v>
      </c>
      <c r="H26" s="27">
        <f t="shared" ca="1" si="68"/>
        <v>-1000</v>
      </c>
      <c r="I26" s="27">
        <f t="shared" ca="1" si="68"/>
        <v>-1000</v>
      </c>
      <c r="J26" s="27">
        <f t="shared" ca="1" si="68"/>
        <v>-1000</v>
      </c>
      <c r="K26" s="27">
        <f t="shared" ca="1" si="68"/>
        <v>-1000</v>
      </c>
      <c r="L26" s="27">
        <f t="shared" ca="1" si="68"/>
        <v>-1000</v>
      </c>
      <c r="M26" s="27">
        <f t="shared" ca="1" si="68"/>
        <v>-1000</v>
      </c>
      <c r="N26" s="27">
        <f t="shared" ca="1" si="68"/>
        <v>-1000</v>
      </c>
      <c r="O26" s="27">
        <f t="shared" ca="1" si="68"/>
        <v>-1000</v>
      </c>
      <c r="P26" s="27">
        <f t="shared" ca="1" si="68"/>
        <v>-1000</v>
      </c>
      <c r="Q26" s="27">
        <f t="shared" ca="1" si="68"/>
        <v>-1000</v>
      </c>
      <c r="R26" s="27">
        <f t="shared" ca="1" si="68"/>
        <v>-1000</v>
      </c>
      <c r="S26" s="27">
        <f t="shared" ca="1" si="68"/>
        <v>-1000</v>
      </c>
      <c r="T26" s="27">
        <f t="shared" ca="1" si="68"/>
        <v>-1000</v>
      </c>
      <c r="U26" s="27">
        <f t="shared" ca="1" si="68"/>
        <v>-1000</v>
      </c>
      <c r="V26" s="27">
        <f t="shared" ca="1" si="68"/>
        <v>1</v>
      </c>
      <c r="W26" s="27">
        <f t="shared" ca="1" si="68"/>
        <v>-1000</v>
      </c>
      <c r="X26" s="27">
        <f t="shared" ca="1" si="68"/>
        <v>-1000</v>
      </c>
      <c r="Y26" s="27">
        <f t="shared" ca="1" si="68"/>
        <v>-1000</v>
      </c>
      <c r="Z26" s="27">
        <f t="shared" ca="1" si="68"/>
        <v>-1000</v>
      </c>
      <c r="AA26" s="27">
        <f t="shared" ca="1" si="68"/>
        <v>-1000</v>
      </c>
      <c r="AB26" s="27">
        <f t="shared" ca="1" si="68"/>
        <v>-1000</v>
      </c>
      <c r="AC26" s="27">
        <f t="shared" ca="1" si="68"/>
        <v>-1000</v>
      </c>
      <c r="AD26" s="27">
        <f t="shared" ca="1" si="68"/>
        <v>-1000</v>
      </c>
      <c r="AE26" s="27">
        <f t="shared" ca="1" si="68"/>
        <v>-1000</v>
      </c>
      <c r="AF26" s="27">
        <f t="shared" ca="1" si="68"/>
        <v>-1000</v>
      </c>
      <c r="AG26" s="27">
        <f t="shared" ca="1" si="68"/>
        <v>-1000</v>
      </c>
      <c r="AH26" s="27">
        <f t="shared" ca="1" si="68"/>
        <v>-1000</v>
      </c>
      <c r="AI26" s="27">
        <f t="shared" ca="1" si="68"/>
        <v>-1000</v>
      </c>
      <c r="AJ26" s="27">
        <f t="shared" ca="1" si="68"/>
        <v>-1000</v>
      </c>
      <c r="AK26" s="27">
        <f t="shared" ca="1" si="68"/>
        <v>-1000</v>
      </c>
      <c r="AL26" s="27">
        <f t="shared" ca="1" si="68"/>
        <v>-1000</v>
      </c>
      <c r="AM26" s="27">
        <f t="shared" ca="1" si="68"/>
        <v>-1000</v>
      </c>
      <c r="AN26" s="27">
        <f t="shared" ca="1" si="68"/>
        <v>-1000</v>
      </c>
      <c r="AO26" s="27">
        <f t="shared" ca="1" si="68"/>
        <v>-1000</v>
      </c>
      <c r="AP26" s="27">
        <f t="shared" ca="1" si="68"/>
        <v>-1000</v>
      </c>
      <c r="AQ26" s="27">
        <f t="shared" ca="1" si="68"/>
        <v>-1000</v>
      </c>
      <c r="AR26" s="27">
        <f t="shared" ca="1" si="68"/>
        <v>-1000</v>
      </c>
      <c r="AS26" s="27">
        <f t="shared" ca="1" si="68"/>
        <v>-1000</v>
      </c>
      <c r="AT26" s="27">
        <f t="shared" ca="1" si="68"/>
        <v>-1000</v>
      </c>
      <c r="AU26" s="27">
        <f t="shared" ca="1" si="68"/>
        <v>-1000</v>
      </c>
      <c r="AV26" s="27">
        <f t="shared" ca="1" si="68"/>
        <v>-1000</v>
      </c>
      <c r="AW26" s="27">
        <f t="shared" ca="1" si="68"/>
        <v>-1000</v>
      </c>
      <c r="AX26" s="27">
        <f t="shared" ca="1" si="68"/>
        <v>-1000</v>
      </c>
      <c r="AY26" s="27">
        <f t="shared" ca="1" si="68"/>
        <v>-1000</v>
      </c>
      <c r="AZ26" s="27">
        <f t="shared" ca="1" si="68"/>
        <v>-1000</v>
      </c>
      <c r="BA26" s="27">
        <f t="shared" ca="1" si="68"/>
        <v>-1000</v>
      </c>
      <c r="BB26" s="27">
        <f t="shared" ca="1" si="68"/>
        <v>-1000</v>
      </c>
      <c r="BC26" s="27">
        <f t="shared" ca="1" si="68"/>
        <v>-1000</v>
      </c>
      <c r="BD26" s="27">
        <f t="shared" ca="1" si="68"/>
        <v>-1000</v>
      </c>
      <c r="BE26" s="27">
        <f t="shared" ca="1" si="68"/>
        <v>-1000</v>
      </c>
      <c r="BF26" s="27">
        <f t="shared" ca="1" si="68"/>
        <v>-1000</v>
      </c>
      <c r="BG26" s="27">
        <f t="shared" ca="1" si="68"/>
        <v>-1000</v>
      </c>
      <c r="BH26" s="27">
        <f t="shared" ca="1" si="68"/>
        <v>-1000</v>
      </c>
      <c r="BI26" s="27">
        <f t="shared" ca="1" si="68"/>
        <v>-1000</v>
      </c>
      <c r="BJ26" s="27">
        <f t="shared" ca="1" si="68"/>
        <v>-1000</v>
      </c>
      <c r="BK26" s="27">
        <f t="shared" ca="1" si="68"/>
        <v>-1000</v>
      </c>
      <c r="BL26" s="27">
        <f t="shared" ca="1" si="68"/>
        <v>-1000</v>
      </c>
      <c r="BM26" s="27">
        <f t="shared" ca="1" si="68"/>
        <v>-1000</v>
      </c>
      <c r="BN26" s="27">
        <f t="shared" ca="1" si="68"/>
        <v>-1000</v>
      </c>
      <c r="BO26" s="27">
        <f t="shared" ca="1" si="68"/>
        <v>-1000</v>
      </c>
      <c r="BP26" s="27">
        <f t="shared" ca="1" si="68"/>
        <v>-1000</v>
      </c>
      <c r="BQ26" s="27">
        <f t="shared" ca="1" si="68"/>
        <v>-1000</v>
      </c>
      <c r="BR26" s="27">
        <f t="shared" ca="1" si="68"/>
        <v>-1000</v>
      </c>
      <c r="BS26" s="27">
        <f t="shared" ref="BS26:ED26" ca="1" si="69">IF(BS3=$C$24,1,-1000)</f>
        <v>-1000</v>
      </c>
      <c r="BT26" s="27">
        <f t="shared" ca="1" si="69"/>
        <v>-1000</v>
      </c>
      <c r="BU26" s="27">
        <f t="shared" ca="1" si="69"/>
        <v>-1000</v>
      </c>
      <c r="BV26" s="27">
        <f t="shared" ca="1" si="69"/>
        <v>-1000</v>
      </c>
      <c r="BW26" s="27">
        <f t="shared" ca="1" si="69"/>
        <v>-1000</v>
      </c>
      <c r="BX26" s="27">
        <f t="shared" ca="1" si="69"/>
        <v>-1000</v>
      </c>
      <c r="BY26" s="27">
        <f t="shared" ca="1" si="69"/>
        <v>-1000</v>
      </c>
      <c r="BZ26" s="27">
        <f t="shared" ca="1" si="69"/>
        <v>-1000</v>
      </c>
      <c r="CA26" s="27">
        <f t="shared" ca="1" si="69"/>
        <v>-1000</v>
      </c>
      <c r="CB26" s="27">
        <f t="shared" ca="1" si="69"/>
        <v>-1000</v>
      </c>
      <c r="CC26" s="27">
        <f t="shared" ca="1" si="69"/>
        <v>-1000</v>
      </c>
      <c r="CD26" s="27">
        <f t="shared" ca="1" si="69"/>
        <v>-1000</v>
      </c>
      <c r="CE26" s="27">
        <f t="shared" ca="1" si="69"/>
        <v>-1000</v>
      </c>
      <c r="CF26" s="27">
        <f t="shared" ca="1" si="69"/>
        <v>-1000</v>
      </c>
      <c r="CG26" s="27">
        <f t="shared" ca="1" si="69"/>
        <v>-1000</v>
      </c>
      <c r="CH26" s="27">
        <f t="shared" ca="1" si="69"/>
        <v>-1000</v>
      </c>
      <c r="CI26" s="27">
        <f t="shared" ca="1" si="69"/>
        <v>-1000</v>
      </c>
      <c r="CJ26" s="27">
        <f t="shared" ca="1" si="69"/>
        <v>-1000</v>
      </c>
      <c r="CK26" s="27">
        <f t="shared" ca="1" si="69"/>
        <v>-1000</v>
      </c>
      <c r="CL26" s="27">
        <f t="shared" ca="1" si="69"/>
        <v>-1000</v>
      </c>
      <c r="CM26" s="27">
        <f t="shared" ca="1" si="69"/>
        <v>-1000</v>
      </c>
      <c r="CN26" s="27">
        <f t="shared" ca="1" si="69"/>
        <v>-1000</v>
      </c>
      <c r="CO26" s="27">
        <f t="shared" ca="1" si="69"/>
        <v>-1000</v>
      </c>
      <c r="CP26" s="27">
        <f t="shared" ca="1" si="69"/>
        <v>-1000</v>
      </c>
      <c r="CQ26" s="27">
        <f t="shared" ca="1" si="69"/>
        <v>-1000</v>
      </c>
      <c r="CR26" s="27">
        <f t="shared" ca="1" si="69"/>
        <v>-1000</v>
      </c>
      <c r="CS26" s="27">
        <f t="shared" ca="1" si="69"/>
        <v>-1000</v>
      </c>
      <c r="CT26" s="27">
        <f t="shared" ca="1" si="69"/>
        <v>-1000</v>
      </c>
      <c r="CU26" s="27">
        <f t="shared" ca="1" si="69"/>
        <v>-1000</v>
      </c>
      <c r="CV26" s="27">
        <f t="shared" ca="1" si="69"/>
        <v>-1000</v>
      </c>
      <c r="CW26" s="27">
        <f t="shared" ca="1" si="69"/>
        <v>-1000</v>
      </c>
      <c r="CX26" s="27">
        <f t="shared" ca="1" si="69"/>
        <v>-1000</v>
      </c>
      <c r="CY26" s="27">
        <f t="shared" ca="1" si="69"/>
        <v>-1000</v>
      </c>
      <c r="CZ26" s="27">
        <f t="shared" ca="1" si="69"/>
        <v>-1000</v>
      </c>
      <c r="DA26" s="27">
        <f t="shared" ca="1" si="69"/>
        <v>-1000</v>
      </c>
      <c r="DB26" s="27">
        <f t="shared" ca="1" si="69"/>
        <v>-1000</v>
      </c>
      <c r="DC26" s="27">
        <f t="shared" ca="1" si="69"/>
        <v>-1000</v>
      </c>
      <c r="DD26" s="27">
        <f t="shared" ca="1" si="69"/>
        <v>-1000</v>
      </c>
      <c r="DE26" s="27">
        <f t="shared" ca="1" si="69"/>
        <v>-1000</v>
      </c>
      <c r="DF26" s="27">
        <f t="shared" ca="1" si="69"/>
        <v>-1000</v>
      </c>
      <c r="DG26" s="27">
        <f t="shared" ca="1" si="69"/>
        <v>-1000</v>
      </c>
      <c r="DH26" s="27">
        <f t="shared" ca="1" si="69"/>
        <v>-1000</v>
      </c>
      <c r="DI26" s="27">
        <f t="shared" ca="1" si="69"/>
        <v>-1000</v>
      </c>
      <c r="DJ26" s="27">
        <f t="shared" ca="1" si="69"/>
        <v>-1000</v>
      </c>
      <c r="DK26" s="27">
        <f t="shared" ca="1" si="69"/>
        <v>-1000</v>
      </c>
      <c r="DL26" s="27">
        <f t="shared" ca="1" si="69"/>
        <v>-1000</v>
      </c>
      <c r="DM26" s="27">
        <f t="shared" ca="1" si="69"/>
        <v>-1000</v>
      </c>
      <c r="DN26" s="27">
        <f t="shared" ca="1" si="69"/>
        <v>-1000</v>
      </c>
      <c r="DO26" s="27">
        <f t="shared" ca="1" si="69"/>
        <v>-1000</v>
      </c>
      <c r="DP26" s="27">
        <f t="shared" ca="1" si="69"/>
        <v>-1000</v>
      </c>
      <c r="DQ26" s="27">
        <f t="shared" ca="1" si="69"/>
        <v>-1000</v>
      </c>
      <c r="DR26" s="27">
        <f t="shared" ca="1" si="69"/>
        <v>-1000</v>
      </c>
      <c r="DS26" s="27">
        <f t="shared" ca="1" si="69"/>
        <v>-1000</v>
      </c>
      <c r="DT26" s="27">
        <f t="shared" ca="1" si="69"/>
        <v>-1000</v>
      </c>
      <c r="DU26" s="27">
        <f t="shared" ca="1" si="69"/>
        <v>-1000</v>
      </c>
      <c r="DV26" s="27">
        <f t="shared" ca="1" si="69"/>
        <v>-1000</v>
      </c>
      <c r="DW26" s="27">
        <f t="shared" ca="1" si="69"/>
        <v>-1000</v>
      </c>
      <c r="DX26" s="27">
        <f t="shared" ca="1" si="69"/>
        <v>-1000</v>
      </c>
      <c r="DY26" s="27">
        <f t="shared" ca="1" si="69"/>
        <v>-1000</v>
      </c>
      <c r="DZ26" s="27">
        <f t="shared" ca="1" si="69"/>
        <v>-1000</v>
      </c>
      <c r="EA26" s="27">
        <f t="shared" ca="1" si="69"/>
        <v>-1000</v>
      </c>
      <c r="EB26" s="27">
        <f t="shared" ca="1" si="69"/>
        <v>-1000</v>
      </c>
      <c r="EC26" s="27">
        <f t="shared" ca="1" si="69"/>
        <v>-1000</v>
      </c>
      <c r="ED26" s="27">
        <f t="shared" ca="1" si="69"/>
        <v>-1000</v>
      </c>
      <c r="EE26" s="27">
        <f t="shared" ref="EE26:GP26" ca="1" si="70">IF(EE3=$C$24,1,-1000)</f>
        <v>-1000</v>
      </c>
      <c r="EF26" s="27">
        <f t="shared" ca="1" si="70"/>
        <v>-1000</v>
      </c>
      <c r="EG26" s="27">
        <f t="shared" ca="1" si="70"/>
        <v>-1000</v>
      </c>
      <c r="EH26" s="27">
        <f t="shared" ca="1" si="70"/>
        <v>-1000</v>
      </c>
      <c r="EI26" s="27">
        <f t="shared" ca="1" si="70"/>
        <v>-1000</v>
      </c>
      <c r="EJ26" s="27">
        <f t="shared" ca="1" si="70"/>
        <v>-1000</v>
      </c>
      <c r="EK26" s="27">
        <f t="shared" ca="1" si="70"/>
        <v>-1000</v>
      </c>
      <c r="EL26" s="27">
        <f t="shared" ca="1" si="70"/>
        <v>-1000</v>
      </c>
      <c r="EM26" s="27">
        <f t="shared" ca="1" si="70"/>
        <v>-1000</v>
      </c>
      <c r="EN26" s="27">
        <f t="shared" ca="1" si="70"/>
        <v>-1000</v>
      </c>
      <c r="EO26" s="27">
        <f t="shared" ca="1" si="70"/>
        <v>-1000</v>
      </c>
      <c r="EP26" s="27">
        <f t="shared" ca="1" si="70"/>
        <v>-1000</v>
      </c>
      <c r="EQ26" s="27">
        <f t="shared" ca="1" si="70"/>
        <v>-1000</v>
      </c>
      <c r="ER26" s="27">
        <f t="shared" ca="1" si="70"/>
        <v>-1000</v>
      </c>
      <c r="ES26" s="27">
        <f t="shared" ca="1" si="70"/>
        <v>-1000</v>
      </c>
      <c r="ET26" s="27">
        <f t="shared" ca="1" si="70"/>
        <v>-1000</v>
      </c>
      <c r="EU26" s="27">
        <f t="shared" ca="1" si="70"/>
        <v>-1000</v>
      </c>
      <c r="EV26" s="27">
        <f t="shared" ca="1" si="70"/>
        <v>-1000</v>
      </c>
      <c r="EW26" s="27">
        <f t="shared" ca="1" si="70"/>
        <v>-1000</v>
      </c>
      <c r="EX26" s="27">
        <f t="shared" ca="1" si="70"/>
        <v>-1000</v>
      </c>
      <c r="EY26" s="27">
        <f t="shared" ca="1" si="70"/>
        <v>-1000</v>
      </c>
      <c r="EZ26" s="27">
        <f t="shared" ca="1" si="70"/>
        <v>-1000</v>
      </c>
      <c r="FA26" s="27">
        <f t="shared" ca="1" si="70"/>
        <v>-1000</v>
      </c>
      <c r="FB26" s="27">
        <f t="shared" ca="1" si="70"/>
        <v>-1000</v>
      </c>
      <c r="FC26" s="27">
        <f t="shared" ca="1" si="70"/>
        <v>-1000</v>
      </c>
      <c r="FD26" s="27">
        <f t="shared" ca="1" si="70"/>
        <v>-1000</v>
      </c>
      <c r="FE26" s="27">
        <f t="shared" ca="1" si="70"/>
        <v>-1000</v>
      </c>
      <c r="FF26" s="27">
        <f t="shared" ca="1" si="70"/>
        <v>-1000</v>
      </c>
      <c r="FG26" s="27">
        <f t="shared" ca="1" si="70"/>
        <v>-1000</v>
      </c>
      <c r="FH26" s="27">
        <f t="shared" ca="1" si="70"/>
        <v>-1000</v>
      </c>
      <c r="FI26" s="27">
        <f t="shared" ca="1" si="70"/>
        <v>-1000</v>
      </c>
      <c r="FJ26" s="27">
        <f t="shared" ca="1" si="70"/>
        <v>-1000</v>
      </c>
      <c r="FK26" s="27">
        <f t="shared" ca="1" si="70"/>
        <v>-1000</v>
      </c>
      <c r="FL26" s="27">
        <f t="shared" ca="1" si="70"/>
        <v>-1000</v>
      </c>
      <c r="FM26" s="27">
        <f t="shared" ca="1" si="70"/>
        <v>-1000</v>
      </c>
      <c r="FN26" s="27">
        <f t="shared" ca="1" si="70"/>
        <v>-1000</v>
      </c>
      <c r="FO26" s="27">
        <f t="shared" ca="1" si="70"/>
        <v>-1000</v>
      </c>
      <c r="FP26" s="27">
        <f t="shared" ca="1" si="70"/>
        <v>-1000</v>
      </c>
      <c r="FQ26" s="27">
        <f t="shared" ca="1" si="70"/>
        <v>-1000</v>
      </c>
      <c r="FR26" s="27">
        <f t="shared" ca="1" si="70"/>
        <v>-1000</v>
      </c>
      <c r="FS26" s="27">
        <f t="shared" ca="1" si="70"/>
        <v>-1000</v>
      </c>
      <c r="FT26" s="27">
        <f t="shared" ca="1" si="70"/>
        <v>-1000</v>
      </c>
      <c r="FU26" s="27">
        <f t="shared" ca="1" si="70"/>
        <v>-1000</v>
      </c>
      <c r="FV26" s="27">
        <f t="shared" ca="1" si="70"/>
        <v>-1000</v>
      </c>
      <c r="FW26" s="27">
        <f t="shared" ca="1" si="70"/>
        <v>-1000</v>
      </c>
      <c r="FX26" s="27">
        <f t="shared" ca="1" si="70"/>
        <v>-1000</v>
      </c>
      <c r="FY26" s="27">
        <f t="shared" ca="1" si="70"/>
        <v>-1000</v>
      </c>
      <c r="FZ26" s="27">
        <f t="shared" ca="1" si="70"/>
        <v>-1000</v>
      </c>
      <c r="GA26" s="27">
        <f t="shared" ca="1" si="70"/>
        <v>-1000</v>
      </c>
      <c r="GB26" s="27">
        <f t="shared" ca="1" si="70"/>
        <v>-1000</v>
      </c>
      <c r="GC26" s="27">
        <f t="shared" ca="1" si="70"/>
        <v>-1000</v>
      </c>
      <c r="GD26" s="27">
        <f t="shared" ca="1" si="70"/>
        <v>-1000</v>
      </c>
      <c r="GE26" s="27">
        <f t="shared" ca="1" si="70"/>
        <v>-1000</v>
      </c>
      <c r="GF26" s="27">
        <f t="shared" ca="1" si="70"/>
        <v>-1000</v>
      </c>
      <c r="GG26" s="27">
        <f t="shared" ca="1" si="70"/>
        <v>-1000</v>
      </c>
      <c r="GH26" s="27">
        <f t="shared" ca="1" si="70"/>
        <v>-1000</v>
      </c>
      <c r="GI26" s="27">
        <f t="shared" ca="1" si="70"/>
        <v>-1000</v>
      </c>
      <c r="GJ26" s="27">
        <f t="shared" ca="1" si="70"/>
        <v>-1000</v>
      </c>
      <c r="GK26" s="27">
        <f t="shared" ca="1" si="70"/>
        <v>-1000</v>
      </c>
      <c r="GL26" s="27">
        <f t="shared" ca="1" si="70"/>
        <v>-1000</v>
      </c>
      <c r="GM26" s="27">
        <f t="shared" ca="1" si="70"/>
        <v>-1000</v>
      </c>
      <c r="GN26" s="27">
        <f t="shared" ca="1" si="70"/>
        <v>-1000</v>
      </c>
      <c r="GO26" s="27">
        <f t="shared" ca="1" si="70"/>
        <v>-1000</v>
      </c>
      <c r="GP26" s="27">
        <f t="shared" ca="1" si="70"/>
        <v>-1000</v>
      </c>
      <c r="GQ26" s="27">
        <f t="shared" ref="GQ26:IN26" ca="1" si="71">IF(GQ3=$C$24,1,-1000)</f>
        <v>-1000</v>
      </c>
      <c r="GR26" s="27">
        <f t="shared" ca="1" si="71"/>
        <v>-1000</v>
      </c>
      <c r="GS26" s="27">
        <f t="shared" ca="1" si="71"/>
        <v>-1000</v>
      </c>
      <c r="GT26" s="27">
        <f t="shared" ca="1" si="71"/>
        <v>-1000</v>
      </c>
      <c r="GU26" s="27">
        <f t="shared" ca="1" si="71"/>
        <v>-1000</v>
      </c>
      <c r="GV26" s="27">
        <f t="shared" ca="1" si="71"/>
        <v>-1000</v>
      </c>
      <c r="GW26" s="27">
        <f t="shared" ca="1" si="71"/>
        <v>-1000</v>
      </c>
      <c r="GX26" s="27">
        <f t="shared" ca="1" si="71"/>
        <v>-1000</v>
      </c>
      <c r="GY26" s="27">
        <f t="shared" ca="1" si="71"/>
        <v>-1000</v>
      </c>
      <c r="GZ26" s="27">
        <f t="shared" ca="1" si="71"/>
        <v>-1000</v>
      </c>
      <c r="HA26" s="27">
        <f t="shared" ca="1" si="71"/>
        <v>-1000</v>
      </c>
      <c r="HB26" s="27">
        <f t="shared" ca="1" si="71"/>
        <v>-1000</v>
      </c>
      <c r="HC26" s="27">
        <f t="shared" ca="1" si="71"/>
        <v>-1000</v>
      </c>
      <c r="HD26" s="27">
        <f t="shared" ca="1" si="71"/>
        <v>-1000</v>
      </c>
      <c r="HE26" s="27">
        <f t="shared" ca="1" si="71"/>
        <v>-1000</v>
      </c>
      <c r="HF26" s="27">
        <f t="shared" ca="1" si="71"/>
        <v>-1000</v>
      </c>
      <c r="HG26" s="27">
        <f t="shared" ca="1" si="71"/>
        <v>-1000</v>
      </c>
      <c r="HH26" s="27">
        <f t="shared" ca="1" si="71"/>
        <v>-1000</v>
      </c>
      <c r="HI26" s="27">
        <f t="shared" ca="1" si="71"/>
        <v>-1000</v>
      </c>
      <c r="HJ26" s="27">
        <f t="shared" ca="1" si="71"/>
        <v>-1000</v>
      </c>
      <c r="HK26" s="27">
        <f t="shared" ca="1" si="71"/>
        <v>-1000</v>
      </c>
      <c r="HL26" s="27">
        <f t="shared" ca="1" si="71"/>
        <v>-1000</v>
      </c>
      <c r="HM26" s="27">
        <f t="shared" ca="1" si="71"/>
        <v>-1000</v>
      </c>
      <c r="HN26" s="27">
        <f t="shared" ca="1" si="71"/>
        <v>-1000</v>
      </c>
      <c r="HO26" s="27">
        <f t="shared" ca="1" si="71"/>
        <v>-1000</v>
      </c>
      <c r="HP26" s="27">
        <f t="shared" ca="1" si="71"/>
        <v>-1000</v>
      </c>
      <c r="HQ26" s="27">
        <f t="shared" ca="1" si="71"/>
        <v>-1000</v>
      </c>
      <c r="HR26" s="27">
        <f t="shared" ca="1" si="71"/>
        <v>-1000</v>
      </c>
      <c r="HS26" s="27">
        <f t="shared" ca="1" si="71"/>
        <v>-1000</v>
      </c>
      <c r="HT26" s="27">
        <f t="shared" ca="1" si="71"/>
        <v>-1000</v>
      </c>
      <c r="HU26" s="27">
        <f t="shared" ca="1" si="71"/>
        <v>-1000</v>
      </c>
      <c r="HV26" s="27">
        <f t="shared" ca="1" si="71"/>
        <v>-1000</v>
      </c>
      <c r="HW26" s="27">
        <f t="shared" ca="1" si="71"/>
        <v>-1000</v>
      </c>
      <c r="HX26" s="27">
        <f t="shared" ca="1" si="71"/>
        <v>-1000</v>
      </c>
      <c r="HY26" s="27">
        <f t="shared" ca="1" si="71"/>
        <v>-1000</v>
      </c>
      <c r="HZ26" s="27">
        <f t="shared" ca="1" si="71"/>
        <v>-1000</v>
      </c>
      <c r="IA26" s="27">
        <f t="shared" ca="1" si="71"/>
        <v>-1000</v>
      </c>
      <c r="IB26" s="27">
        <f t="shared" ca="1" si="71"/>
        <v>-1000</v>
      </c>
      <c r="IC26" s="27">
        <f t="shared" ca="1" si="71"/>
        <v>-1000</v>
      </c>
      <c r="ID26" s="27">
        <f t="shared" ca="1" si="71"/>
        <v>-1000</v>
      </c>
      <c r="IE26" s="27">
        <f t="shared" ca="1" si="71"/>
        <v>-1000</v>
      </c>
      <c r="IF26" s="27">
        <f t="shared" ca="1" si="71"/>
        <v>-1000</v>
      </c>
      <c r="IG26" s="27">
        <f t="shared" ca="1" si="71"/>
        <v>-1000</v>
      </c>
      <c r="IH26" s="27">
        <f t="shared" ca="1" si="71"/>
        <v>-1000</v>
      </c>
      <c r="II26" s="27">
        <f t="shared" ca="1" si="71"/>
        <v>-1000</v>
      </c>
      <c r="IJ26" s="27">
        <f t="shared" ca="1" si="71"/>
        <v>-1000</v>
      </c>
      <c r="IK26" s="27">
        <f t="shared" ca="1" si="71"/>
        <v>-1000</v>
      </c>
      <c r="IL26" s="27">
        <f t="shared" ca="1" si="71"/>
        <v>-1000</v>
      </c>
      <c r="IM26" s="27">
        <f t="shared" ca="1" si="71"/>
        <v>-1000</v>
      </c>
      <c r="IN26" s="27">
        <f t="shared" ca="1" si="71"/>
        <v>-1000</v>
      </c>
    </row>
    <row r="27" spans="2:248" x14ac:dyDescent="0.3">
      <c r="B27" s="19" t="s">
        <v>427</v>
      </c>
      <c r="C27" s="21">
        <f>IF(C11&lt;0,MAX(G6:IN6)*1.1,_xlfn.MAXIFS(G5:IN5,G5:IN5,"&gt;"&amp;0)*3)</f>
        <v>11307</v>
      </c>
      <c r="D27" s="24">
        <f>C16*1.5</f>
        <v>6720.7150889999994</v>
      </c>
      <c r="F27" s="22" t="s">
        <v>507</v>
      </c>
      <c r="G27" s="27">
        <f t="shared" ref="G27:BR27" ca="1" si="72">IF(G26=1,-1000,IF(G3=$C$23,1,-1000))</f>
        <v>-1000</v>
      </c>
      <c r="H27" s="27">
        <f t="shared" ca="1" si="72"/>
        <v>-1000</v>
      </c>
      <c r="I27" s="27">
        <f t="shared" ca="1" si="72"/>
        <v>-1000</v>
      </c>
      <c r="J27" s="27">
        <f t="shared" ca="1" si="72"/>
        <v>-1000</v>
      </c>
      <c r="K27" s="27">
        <f t="shared" ca="1" si="72"/>
        <v>-1000</v>
      </c>
      <c r="L27" s="27">
        <f t="shared" ca="1" si="72"/>
        <v>-1000</v>
      </c>
      <c r="M27" s="27">
        <f t="shared" ca="1" si="72"/>
        <v>-1000</v>
      </c>
      <c r="N27" s="27">
        <f t="shared" ca="1" si="72"/>
        <v>-1000</v>
      </c>
      <c r="O27" s="27">
        <f t="shared" ca="1" si="72"/>
        <v>-1000</v>
      </c>
      <c r="P27" s="27">
        <f t="shared" ca="1" si="72"/>
        <v>1</v>
      </c>
      <c r="Q27" s="27">
        <f t="shared" ca="1" si="72"/>
        <v>-1000</v>
      </c>
      <c r="R27" s="27">
        <f t="shared" ca="1" si="72"/>
        <v>-1000</v>
      </c>
      <c r="S27" s="27">
        <f t="shared" ca="1" si="72"/>
        <v>-1000</v>
      </c>
      <c r="T27" s="27">
        <f t="shared" ca="1" si="72"/>
        <v>-1000</v>
      </c>
      <c r="U27" s="27">
        <f t="shared" ca="1" si="72"/>
        <v>-1000</v>
      </c>
      <c r="V27" s="27">
        <f t="shared" ca="1" si="72"/>
        <v>-1000</v>
      </c>
      <c r="W27" s="27">
        <f t="shared" ca="1" si="72"/>
        <v>-1000</v>
      </c>
      <c r="X27" s="27">
        <f t="shared" ca="1" si="72"/>
        <v>-1000</v>
      </c>
      <c r="Y27" s="27">
        <f t="shared" ca="1" si="72"/>
        <v>-1000</v>
      </c>
      <c r="Z27" s="27">
        <f t="shared" ca="1" si="72"/>
        <v>-1000</v>
      </c>
      <c r="AA27" s="27">
        <f t="shared" ca="1" si="72"/>
        <v>-1000</v>
      </c>
      <c r="AB27" s="27">
        <f t="shared" ca="1" si="72"/>
        <v>-1000</v>
      </c>
      <c r="AC27" s="27">
        <f t="shared" ca="1" si="72"/>
        <v>-1000</v>
      </c>
      <c r="AD27" s="27">
        <f t="shared" ca="1" si="72"/>
        <v>-1000</v>
      </c>
      <c r="AE27" s="27">
        <f t="shared" ca="1" si="72"/>
        <v>-1000</v>
      </c>
      <c r="AF27" s="27">
        <f t="shared" ca="1" si="72"/>
        <v>-1000</v>
      </c>
      <c r="AG27" s="27">
        <f t="shared" ca="1" si="72"/>
        <v>-1000</v>
      </c>
      <c r="AH27" s="27">
        <f t="shared" ca="1" si="72"/>
        <v>-1000</v>
      </c>
      <c r="AI27" s="27">
        <f t="shared" ca="1" si="72"/>
        <v>-1000</v>
      </c>
      <c r="AJ27" s="27">
        <f t="shared" ca="1" si="72"/>
        <v>-1000</v>
      </c>
      <c r="AK27" s="27">
        <f t="shared" ca="1" si="72"/>
        <v>-1000</v>
      </c>
      <c r="AL27" s="27">
        <f t="shared" ca="1" si="72"/>
        <v>-1000</v>
      </c>
      <c r="AM27" s="27">
        <f t="shared" ca="1" si="72"/>
        <v>-1000</v>
      </c>
      <c r="AN27" s="27">
        <f t="shared" ca="1" si="72"/>
        <v>-1000</v>
      </c>
      <c r="AO27" s="27">
        <f t="shared" ca="1" si="72"/>
        <v>-1000</v>
      </c>
      <c r="AP27" s="27">
        <f t="shared" ca="1" si="72"/>
        <v>-1000</v>
      </c>
      <c r="AQ27" s="27">
        <f t="shared" ca="1" si="72"/>
        <v>-1000</v>
      </c>
      <c r="AR27" s="27">
        <f t="shared" ca="1" si="72"/>
        <v>-1000</v>
      </c>
      <c r="AS27" s="27">
        <f t="shared" ca="1" si="72"/>
        <v>-1000</v>
      </c>
      <c r="AT27" s="27">
        <f t="shared" ca="1" si="72"/>
        <v>-1000</v>
      </c>
      <c r="AU27" s="27">
        <f t="shared" ca="1" si="72"/>
        <v>-1000</v>
      </c>
      <c r="AV27" s="27">
        <f t="shared" ca="1" si="72"/>
        <v>-1000</v>
      </c>
      <c r="AW27" s="27">
        <f t="shared" ca="1" si="72"/>
        <v>-1000</v>
      </c>
      <c r="AX27" s="27">
        <f t="shared" ca="1" si="72"/>
        <v>-1000</v>
      </c>
      <c r="AY27" s="27">
        <f t="shared" ca="1" si="72"/>
        <v>-1000</v>
      </c>
      <c r="AZ27" s="27">
        <f t="shared" ca="1" si="72"/>
        <v>-1000</v>
      </c>
      <c r="BA27" s="27">
        <f t="shared" ca="1" si="72"/>
        <v>-1000</v>
      </c>
      <c r="BB27" s="27">
        <f t="shared" ca="1" si="72"/>
        <v>-1000</v>
      </c>
      <c r="BC27" s="27">
        <f t="shared" ca="1" si="72"/>
        <v>-1000</v>
      </c>
      <c r="BD27" s="27">
        <f t="shared" ca="1" si="72"/>
        <v>-1000</v>
      </c>
      <c r="BE27" s="27">
        <f t="shared" ca="1" si="72"/>
        <v>-1000</v>
      </c>
      <c r="BF27" s="27">
        <f t="shared" ca="1" si="72"/>
        <v>-1000</v>
      </c>
      <c r="BG27" s="27">
        <f t="shared" ca="1" si="72"/>
        <v>-1000</v>
      </c>
      <c r="BH27" s="27">
        <f t="shared" ca="1" si="72"/>
        <v>-1000</v>
      </c>
      <c r="BI27" s="27">
        <f t="shared" ca="1" si="72"/>
        <v>-1000</v>
      </c>
      <c r="BJ27" s="27">
        <f t="shared" ca="1" si="72"/>
        <v>-1000</v>
      </c>
      <c r="BK27" s="27">
        <f t="shared" ca="1" si="72"/>
        <v>-1000</v>
      </c>
      <c r="BL27" s="27">
        <f t="shared" ca="1" si="72"/>
        <v>-1000</v>
      </c>
      <c r="BM27" s="27">
        <f t="shared" ca="1" si="72"/>
        <v>-1000</v>
      </c>
      <c r="BN27" s="27">
        <f t="shared" ca="1" si="72"/>
        <v>-1000</v>
      </c>
      <c r="BO27" s="27">
        <f t="shared" ca="1" si="72"/>
        <v>-1000</v>
      </c>
      <c r="BP27" s="27">
        <f t="shared" ca="1" si="72"/>
        <v>-1000</v>
      </c>
      <c r="BQ27" s="27">
        <f t="shared" ca="1" si="72"/>
        <v>-1000</v>
      </c>
      <c r="BR27" s="27">
        <f t="shared" ca="1" si="72"/>
        <v>-1000</v>
      </c>
      <c r="BS27" s="27">
        <f t="shared" ref="BS27:ED27" ca="1" si="73">IF(BS26=1,-1000,IF(BS3=$C$23,1,-1000))</f>
        <v>-1000</v>
      </c>
      <c r="BT27" s="27">
        <f t="shared" ca="1" si="73"/>
        <v>-1000</v>
      </c>
      <c r="BU27" s="27">
        <f t="shared" ca="1" si="73"/>
        <v>-1000</v>
      </c>
      <c r="BV27" s="27">
        <f t="shared" ca="1" si="73"/>
        <v>-1000</v>
      </c>
      <c r="BW27" s="27">
        <f t="shared" ca="1" si="73"/>
        <v>-1000</v>
      </c>
      <c r="BX27" s="27">
        <f t="shared" ca="1" si="73"/>
        <v>-1000</v>
      </c>
      <c r="BY27" s="27">
        <f t="shared" ca="1" si="73"/>
        <v>-1000</v>
      </c>
      <c r="BZ27" s="27">
        <f t="shared" ca="1" si="73"/>
        <v>-1000</v>
      </c>
      <c r="CA27" s="27">
        <f t="shared" ca="1" si="73"/>
        <v>-1000</v>
      </c>
      <c r="CB27" s="27">
        <f t="shared" ca="1" si="73"/>
        <v>-1000</v>
      </c>
      <c r="CC27" s="27">
        <f t="shared" ca="1" si="73"/>
        <v>-1000</v>
      </c>
      <c r="CD27" s="27">
        <f t="shared" ca="1" si="73"/>
        <v>-1000</v>
      </c>
      <c r="CE27" s="27">
        <f t="shared" ca="1" si="73"/>
        <v>-1000</v>
      </c>
      <c r="CF27" s="27">
        <f t="shared" ca="1" si="73"/>
        <v>-1000</v>
      </c>
      <c r="CG27" s="27">
        <f t="shared" ca="1" si="73"/>
        <v>-1000</v>
      </c>
      <c r="CH27" s="27">
        <f t="shared" ca="1" si="73"/>
        <v>-1000</v>
      </c>
      <c r="CI27" s="27">
        <f t="shared" ca="1" si="73"/>
        <v>-1000</v>
      </c>
      <c r="CJ27" s="27">
        <f t="shared" ca="1" si="73"/>
        <v>-1000</v>
      </c>
      <c r="CK27" s="27">
        <f t="shared" ca="1" si="73"/>
        <v>-1000</v>
      </c>
      <c r="CL27" s="27">
        <f t="shared" ca="1" si="73"/>
        <v>-1000</v>
      </c>
      <c r="CM27" s="27">
        <f t="shared" ca="1" si="73"/>
        <v>-1000</v>
      </c>
      <c r="CN27" s="27">
        <f t="shared" ca="1" si="73"/>
        <v>-1000</v>
      </c>
      <c r="CO27" s="27">
        <f t="shared" ca="1" si="73"/>
        <v>-1000</v>
      </c>
      <c r="CP27" s="27">
        <f t="shared" ca="1" si="73"/>
        <v>-1000</v>
      </c>
      <c r="CQ27" s="27">
        <f t="shared" ca="1" si="73"/>
        <v>-1000</v>
      </c>
      <c r="CR27" s="27">
        <f t="shared" ca="1" si="73"/>
        <v>-1000</v>
      </c>
      <c r="CS27" s="27">
        <f t="shared" ca="1" si="73"/>
        <v>-1000</v>
      </c>
      <c r="CT27" s="27">
        <f t="shared" ca="1" si="73"/>
        <v>-1000</v>
      </c>
      <c r="CU27" s="27">
        <f t="shared" ca="1" si="73"/>
        <v>-1000</v>
      </c>
      <c r="CV27" s="27">
        <f t="shared" ca="1" si="73"/>
        <v>-1000</v>
      </c>
      <c r="CW27" s="27">
        <f t="shared" ca="1" si="73"/>
        <v>-1000</v>
      </c>
      <c r="CX27" s="27">
        <f t="shared" ca="1" si="73"/>
        <v>-1000</v>
      </c>
      <c r="CY27" s="27">
        <f t="shared" ca="1" si="73"/>
        <v>-1000</v>
      </c>
      <c r="CZ27" s="27">
        <f t="shared" ca="1" si="73"/>
        <v>-1000</v>
      </c>
      <c r="DA27" s="27">
        <f t="shared" ca="1" si="73"/>
        <v>-1000</v>
      </c>
      <c r="DB27" s="27">
        <f t="shared" ca="1" si="73"/>
        <v>-1000</v>
      </c>
      <c r="DC27" s="27">
        <f t="shared" ca="1" si="73"/>
        <v>-1000</v>
      </c>
      <c r="DD27" s="27">
        <f t="shared" ca="1" si="73"/>
        <v>-1000</v>
      </c>
      <c r="DE27" s="27">
        <f t="shared" ca="1" si="73"/>
        <v>-1000</v>
      </c>
      <c r="DF27" s="27">
        <f t="shared" ca="1" si="73"/>
        <v>-1000</v>
      </c>
      <c r="DG27" s="27">
        <f t="shared" ca="1" si="73"/>
        <v>-1000</v>
      </c>
      <c r="DH27" s="27">
        <f t="shared" ca="1" si="73"/>
        <v>-1000</v>
      </c>
      <c r="DI27" s="27">
        <f t="shared" ca="1" si="73"/>
        <v>-1000</v>
      </c>
      <c r="DJ27" s="27">
        <f t="shared" ca="1" si="73"/>
        <v>-1000</v>
      </c>
      <c r="DK27" s="27">
        <f t="shared" ca="1" si="73"/>
        <v>-1000</v>
      </c>
      <c r="DL27" s="27">
        <f t="shared" ca="1" si="73"/>
        <v>-1000</v>
      </c>
      <c r="DM27" s="27">
        <f t="shared" ca="1" si="73"/>
        <v>-1000</v>
      </c>
      <c r="DN27" s="27">
        <f t="shared" ca="1" si="73"/>
        <v>-1000</v>
      </c>
      <c r="DO27" s="27">
        <f t="shared" ca="1" si="73"/>
        <v>-1000</v>
      </c>
      <c r="DP27" s="27">
        <f t="shared" ca="1" si="73"/>
        <v>-1000</v>
      </c>
      <c r="DQ27" s="27">
        <f t="shared" ca="1" si="73"/>
        <v>-1000</v>
      </c>
      <c r="DR27" s="27">
        <f t="shared" ca="1" si="73"/>
        <v>-1000</v>
      </c>
      <c r="DS27" s="27">
        <f t="shared" ca="1" si="73"/>
        <v>-1000</v>
      </c>
      <c r="DT27" s="27">
        <f t="shared" ca="1" si="73"/>
        <v>-1000</v>
      </c>
      <c r="DU27" s="27">
        <f t="shared" ca="1" si="73"/>
        <v>-1000</v>
      </c>
      <c r="DV27" s="27">
        <f t="shared" ca="1" si="73"/>
        <v>-1000</v>
      </c>
      <c r="DW27" s="27">
        <f t="shared" ca="1" si="73"/>
        <v>-1000</v>
      </c>
      <c r="DX27" s="27">
        <f t="shared" ca="1" si="73"/>
        <v>-1000</v>
      </c>
      <c r="DY27" s="27">
        <f t="shared" ca="1" si="73"/>
        <v>-1000</v>
      </c>
      <c r="DZ27" s="27">
        <f t="shared" ca="1" si="73"/>
        <v>-1000</v>
      </c>
      <c r="EA27" s="27">
        <f t="shared" ca="1" si="73"/>
        <v>-1000</v>
      </c>
      <c r="EB27" s="27">
        <f t="shared" ca="1" si="73"/>
        <v>-1000</v>
      </c>
      <c r="EC27" s="27">
        <f t="shared" ca="1" si="73"/>
        <v>-1000</v>
      </c>
      <c r="ED27" s="27">
        <f t="shared" ca="1" si="73"/>
        <v>-1000</v>
      </c>
      <c r="EE27" s="27">
        <f t="shared" ref="EE27:GP27" ca="1" si="74">IF(EE26=1,-1000,IF(EE3=$C$23,1,-1000))</f>
        <v>-1000</v>
      </c>
      <c r="EF27" s="27">
        <f t="shared" ca="1" si="74"/>
        <v>-1000</v>
      </c>
      <c r="EG27" s="27">
        <f t="shared" ca="1" si="74"/>
        <v>-1000</v>
      </c>
      <c r="EH27" s="27">
        <f t="shared" ca="1" si="74"/>
        <v>-1000</v>
      </c>
      <c r="EI27" s="27">
        <f t="shared" ca="1" si="74"/>
        <v>-1000</v>
      </c>
      <c r="EJ27" s="27">
        <f t="shared" ca="1" si="74"/>
        <v>-1000</v>
      </c>
      <c r="EK27" s="27">
        <f t="shared" ca="1" si="74"/>
        <v>-1000</v>
      </c>
      <c r="EL27" s="27">
        <f t="shared" ca="1" si="74"/>
        <v>-1000</v>
      </c>
      <c r="EM27" s="27">
        <f t="shared" ca="1" si="74"/>
        <v>-1000</v>
      </c>
      <c r="EN27" s="27">
        <f t="shared" ca="1" si="74"/>
        <v>-1000</v>
      </c>
      <c r="EO27" s="27">
        <f t="shared" ca="1" si="74"/>
        <v>-1000</v>
      </c>
      <c r="EP27" s="27">
        <f t="shared" ca="1" si="74"/>
        <v>-1000</v>
      </c>
      <c r="EQ27" s="27">
        <f t="shared" ca="1" si="74"/>
        <v>-1000</v>
      </c>
      <c r="ER27" s="27">
        <f t="shared" ca="1" si="74"/>
        <v>-1000</v>
      </c>
      <c r="ES27" s="27">
        <f t="shared" ca="1" si="74"/>
        <v>-1000</v>
      </c>
      <c r="ET27" s="27">
        <f t="shared" ca="1" si="74"/>
        <v>-1000</v>
      </c>
      <c r="EU27" s="27">
        <f t="shared" ca="1" si="74"/>
        <v>-1000</v>
      </c>
      <c r="EV27" s="27">
        <f t="shared" ca="1" si="74"/>
        <v>-1000</v>
      </c>
      <c r="EW27" s="27">
        <f t="shared" ca="1" si="74"/>
        <v>-1000</v>
      </c>
      <c r="EX27" s="27">
        <f t="shared" ca="1" si="74"/>
        <v>-1000</v>
      </c>
      <c r="EY27" s="27">
        <f t="shared" ca="1" si="74"/>
        <v>-1000</v>
      </c>
      <c r="EZ27" s="27">
        <f t="shared" ca="1" si="74"/>
        <v>-1000</v>
      </c>
      <c r="FA27" s="27">
        <f t="shared" ca="1" si="74"/>
        <v>-1000</v>
      </c>
      <c r="FB27" s="27">
        <f t="shared" ca="1" si="74"/>
        <v>-1000</v>
      </c>
      <c r="FC27" s="27">
        <f t="shared" ca="1" si="74"/>
        <v>-1000</v>
      </c>
      <c r="FD27" s="27">
        <f t="shared" ca="1" si="74"/>
        <v>-1000</v>
      </c>
      <c r="FE27" s="27">
        <f t="shared" ca="1" si="74"/>
        <v>-1000</v>
      </c>
      <c r="FF27" s="27">
        <f t="shared" ca="1" si="74"/>
        <v>-1000</v>
      </c>
      <c r="FG27" s="27">
        <f t="shared" ca="1" si="74"/>
        <v>-1000</v>
      </c>
      <c r="FH27" s="27">
        <f t="shared" ca="1" si="74"/>
        <v>-1000</v>
      </c>
      <c r="FI27" s="27">
        <f t="shared" ca="1" si="74"/>
        <v>-1000</v>
      </c>
      <c r="FJ27" s="27">
        <f t="shared" ca="1" si="74"/>
        <v>-1000</v>
      </c>
      <c r="FK27" s="27">
        <f t="shared" ca="1" si="74"/>
        <v>-1000</v>
      </c>
      <c r="FL27" s="27">
        <f t="shared" ca="1" si="74"/>
        <v>-1000</v>
      </c>
      <c r="FM27" s="27">
        <f t="shared" ca="1" si="74"/>
        <v>-1000</v>
      </c>
      <c r="FN27" s="27">
        <f t="shared" ca="1" si="74"/>
        <v>-1000</v>
      </c>
      <c r="FO27" s="27">
        <f t="shared" ca="1" si="74"/>
        <v>-1000</v>
      </c>
      <c r="FP27" s="27">
        <f t="shared" ca="1" si="74"/>
        <v>-1000</v>
      </c>
      <c r="FQ27" s="27">
        <f t="shared" ca="1" si="74"/>
        <v>-1000</v>
      </c>
      <c r="FR27" s="27">
        <f t="shared" ca="1" si="74"/>
        <v>-1000</v>
      </c>
      <c r="FS27" s="27">
        <f t="shared" ca="1" si="74"/>
        <v>-1000</v>
      </c>
      <c r="FT27" s="27">
        <f t="shared" ca="1" si="74"/>
        <v>-1000</v>
      </c>
      <c r="FU27" s="27">
        <f t="shared" ca="1" si="74"/>
        <v>-1000</v>
      </c>
      <c r="FV27" s="27">
        <f t="shared" ca="1" si="74"/>
        <v>-1000</v>
      </c>
      <c r="FW27" s="27">
        <f t="shared" ca="1" si="74"/>
        <v>-1000</v>
      </c>
      <c r="FX27" s="27">
        <f t="shared" ca="1" si="74"/>
        <v>-1000</v>
      </c>
      <c r="FY27" s="27">
        <f t="shared" ca="1" si="74"/>
        <v>-1000</v>
      </c>
      <c r="FZ27" s="27">
        <f t="shared" ca="1" si="74"/>
        <v>-1000</v>
      </c>
      <c r="GA27" s="27">
        <f t="shared" ca="1" si="74"/>
        <v>-1000</v>
      </c>
      <c r="GB27" s="27">
        <f t="shared" ca="1" si="74"/>
        <v>-1000</v>
      </c>
      <c r="GC27" s="27">
        <f t="shared" ca="1" si="74"/>
        <v>-1000</v>
      </c>
      <c r="GD27" s="27">
        <f t="shared" ca="1" si="74"/>
        <v>-1000</v>
      </c>
      <c r="GE27" s="27">
        <f t="shared" ca="1" si="74"/>
        <v>-1000</v>
      </c>
      <c r="GF27" s="27">
        <f t="shared" ca="1" si="74"/>
        <v>-1000</v>
      </c>
      <c r="GG27" s="27">
        <f t="shared" ca="1" si="74"/>
        <v>-1000</v>
      </c>
      <c r="GH27" s="27">
        <f t="shared" ca="1" si="74"/>
        <v>-1000</v>
      </c>
      <c r="GI27" s="27">
        <f t="shared" ca="1" si="74"/>
        <v>-1000</v>
      </c>
      <c r="GJ27" s="27">
        <f t="shared" ca="1" si="74"/>
        <v>-1000</v>
      </c>
      <c r="GK27" s="27">
        <f t="shared" ca="1" si="74"/>
        <v>-1000</v>
      </c>
      <c r="GL27" s="27">
        <f t="shared" ca="1" si="74"/>
        <v>-1000</v>
      </c>
      <c r="GM27" s="27">
        <f t="shared" ca="1" si="74"/>
        <v>-1000</v>
      </c>
      <c r="GN27" s="27">
        <f t="shared" ca="1" si="74"/>
        <v>-1000</v>
      </c>
      <c r="GO27" s="27">
        <f t="shared" ca="1" si="74"/>
        <v>-1000</v>
      </c>
      <c r="GP27" s="27">
        <f t="shared" ca="1" si="74"/>
        <v>-1000</v>
      </c>
      <c r="GQ27" s="27">
        <f t="shared" ref="GQ27:IN27" ca="1" si="75">IF(GQ26=1,-1000,IF(GQ3=$C$23,1,-1000))</f>
        <v>-1000</v>
      </c>
      <c r="GR27" s="27">
        <f t="shared" ca="1" si="75"/>
        <v>-1000</v>
      </c>
      <c r="GS27" s="27">
        <f t="shared" ca="1" si="75"/>
        <v>-1000</v>
      </c>
      <c r="GT27" s="27">
        <f t="shared" ca="1" si="75"/>
        <v>-1000</v>
      </c>
      <c r="GU27" s="27">
        <f t="shared" ca="1" si="75"/>
        <v>-1000</v>
      </c>
      <c r="GV27" s="27">
        <f t="shared" ca="1" si="75"/>
        <v>-1000</v>
      </c>
      <c r="GW27" s="27">
        <f t="shared" ca="1" si="75"/>
        <v>-1000</v>
      </c>
      <c r="GX27" s="27">
        <f t="shared" ca="1" si="75"/>
        <v>-1000</v>
      </c>
      <c r="GY27" s="27">
        <f t="shared" ca="1" si="75"/>
        <v>-1000</v>
      </c>
      <c r="GZ27" s="27">
        <f t="shared" ca="1" si="75"/>
        <v>-1000</v>
      </c>
      <c r="HA27" s="27">
        <f t="shared" ca="1" si="75"/>
        <v>-1000</v>
      </c>
      <c r="HB27" s="27">
        <f t="shared" ca="1" si="75"/>
        <v>-1000</v>
      </c>
      <c r="HC27" s="27">
        <f t="shared" ca="1" si="75"/>
        <v>-1000</v>
      </c>
      <c r="HD27" s="27">
        <f t="shared" ca="1" si="75"/>
        <v>-1000</v>
      </c>
      <c r="HE27" s="27">
        <f t="shared" ca="1" si="75"/>
        <v>-1000</v>
      </c>
      <c r="HF27" s="27">
        <f t="shared" ca="1" si="75"/>
        <v>-1000</v>
      </c>
      <c r="HG27" s="27">
        <f t="shared" ca="1" si="75"/>
        <v>-1000</v>
      </c>
      <c r="HH27" s="27">
        <f t="shared" ca="1" si="75"/>
        <v>-1000</v>
      </c>
      <c r="HI27" s="27">
        <f t="shared" ca="1" si="75"/>
        <v>-1000</v>
      </c>
      <c r="HJ27" s="27">
        <f t="shared" ca="1" si="75"/>
        <v>-1000</v>
      </c>
      <c r="HK27" s="27">
        <f t="shared" ca="1" si="75"/>
        <v>-1000</v>
      </c>
      <c r="HL27" s="27">
        <f t="shared" ca="1" si="75"/>
        <v>-1000</v>
      </c>
      <c r="HM27" s="27">
        <f t="shared" ca="1" si="75"/>
        <v>-1000</v>
      </c>
      <c r="HN27" s="27">
        <f t="shared" ca="1" si="75"/>
        <v>-1000</v>
      </c>
      <c r="HO27" s="27">
        <f t="shared" ca="1" si="75"/>
        <v>-1000</v>
      </c>
      <c r="HP27" s="27">
        <f t="shared" ca="1" si="75"/>
        <v>-1000</v>
      </c>
      <c r="HQ27" s="27">
        <f t="shared" ca="1" si="75"/>
        <v>-1000</v>
      </c>
      <c r="HR27" s="27">
        <f t="shared" ca="1" si="75"/>
        <v>-1000</v>
      </c>
      <c r="HS27" s="27">
        <f t="shared" ca="1" si="75"/>
        <v>-1000</v>
      </c>
      <c r="HT27" s="27">
        <f t="shared" ca="1" si="75"/>
        <v>-1000</v>
      </c>
      <c r="HU27" s="27">
        <f t="shared" ca="1" si="75"/>
        <v>-1000</v>
      </c>
      <c r="HV27" s="27">
        <f t="shared" ca="1" si="75"/>
        <v>-1000</v>
      </c>
      <c r="HW27" s="27">
        <f t="shared" ca="1" si="75"/>
        <v>-1000</v>
      </c>
      <c r="HX27" s="27">
        <f t="shared" ca="1" si="75"/>
        <v>-1000</v>
      </c>
      <c r="HY27" s="27">
        <f t="shared" ca="1" si="75"/>
        <v>-1000</v>
      </c>
      <c r="HZ27" s="27">
        <f t="shared" ca="1" si="75"/>
        <v>-1000</v>
      </c>
      <c r="IA27" s="27">
        <f t="shared" ca="1" si="75"/>
        <v>-1000</v>
      </c>
      <c r="IB27" s="27">
        <f t="shared" ca="1" si="75"/>
        <v>-1000</v>
      </c>
      <c r="IC27" s="27">
        <f t="shared" ca="1" si="75"/>
        <v>-1000</v>
      </c>
      <c r="ID27" s="27">
        <f t="shared" ca="1" si="75"/>
        <v>-1000</v>
      </c>
      <c r="IE27" s="27">
        <f t="shared" ca="1" si="75"/>
        <v>-1000</v>
      </c>
      <c r="IF27" s="27">
        <f t="shared" ca="1" si="75"/>
        <v>-1000</v>
      </c>
      <c r="IG27" s="27">
        <f t="shared" ca="1" si="75"/>
        <v>-1000</v>
      </c>
      <c r="IH27" s="27">
        <f t="shared" ca="1" si="75"/>
        <v>-1000</v>
      </c>
      <c r="II27" s="27">
        <f t="shared" ca="1" si="75"/>
        <v>-1000</v>
      </c>
      <c r="IJ27" s="27">
        <f t="shared" ca="1" si="75"/>
        <v>-1000</v>
      </c>
      <c r="IK27" s="27">
        <f t="shared" ca="1" si="75"/>
        <v>-1000</v>
      </c>
      <c r="IL27" s="27">
        <f t="shared" ca="1" si="75"/>
        <v>-1000</v>
      </c>
      <c r="IM27" s="27">
        <f t="shared" ca="1" si="75"/>
        <v>-1000</v>
      </c>
      <c r="IN27" s="27">
        <f t="shared" ca="1" si="75"/>
        <v>-1000</v>
      </c>
    </row>
    <row r="28" spans="2:248" x14ac:dyDescent="0.3"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</row>
    <row r="30" spans="2:248" ht="15" thickBot="1" x14ac:dyDescent="0.35">
      <c r="B30" s="19" t="s">
        <v>457</v>
      </c>
      <c r="C30" s="20">
        <f ca="1">MIN(IF(Projections!$Z$11="",xMin2+C5+5,xMin2+Projections!$Z$11+C5),MAX(3:3))</f>
        <v>43916</v>
      </c>
      <c r="D30" s="20">
        <f ca="1">IFERROR(OFFSET(G24,-21,MATCH(1,G24:KU24,0))+3,xMax2+3)</f>
        <v>43926</v>
      </c>
      <c r="S30" s="18"/>
      <c r="T30" s="30"/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C31" s="20"/>
      <c r="D31" s="20">
        <f ca="1">IFERROR(OFFSET(G24,-21,MATCH(1,G24:KU24,0))-1,"N/A")</f>
        <v>43922</v>
      </c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B32" s="19" t="s">
        <v>548</v>
      </c>
      <c r="C32" s="19">
        <v>2.5</v>
      </c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Covid-19 projections"</f>
        <v>United Kingdom Covid-19 projections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C37" s="20"/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1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B41" s="24"/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zoomScale="94" workbookViewId="0">
      <selection activeCell="W12" sqref="W12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81250</v>
      </c>
      <c r="E5" s="6">
        <f>IF(COUNTIF(I5:XFD5,"&gt;"&amp;0)=0,,HLOOKUP(COUNTIF(I5:XFD5,"&gt;"&amp;0)-1,I$1:XFD5,A5+1,FALSE))</f>
        <v>81250</v>
      </c>
      <c r="F5" s="7">
        <f>IF(COUNTIF(I5:XFD5,"&gt;"&amp;0)=0,,HLOOKUP(COUNTIF(I5:XFD5,"&gt;"&amp;0)-MIN($F$1+1,COUNTIF(I5:XFD5,"&gt;"&amp;0)),I$1:XFD5,A5+1,FALSE))</f>
        <v>81003</v>
      </c>
      <c r="G5" s="8">
        <f>IF(COUNTIF(I5:XFD5,"&gt;"&amp;0)=0,,(E5/F5)^(1/MIN(COUNTIF(I5:XFD5,"&gt;"&amp;0)-1,$F$1)))</f>
        <v>1.0006091114703408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  <c r="BR5" s="9">
        <v>81156</v>
      </c>
      <c r="BS5" s="9">
        <v>81250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MAX(I6:CL6)</f>
        <v>47021</v>
      </c>
      <c r="E6" s="6">
        <f>IF(COUNTIF(I6:XFD6,"&gt;"&amp;0)=0,,HLOOKUP(COUNTIF(I6:XFD6,"&gt;"&amp;0)-1,I$1:XFD6,A6+1,FALSE))</f>
        <v>47021</v>
      </c>
      <c r="F6" s="7">
        <f>IF(COUNTIF(I6:XFD6,"&gt;"&amp;0)=0,,HLOOKUP(COUNTIF(I6:XFD6,"&gt;"&amp;0)-MIN($F$1+1,COUNTIF(I6:XFD6,"&gt;"&amp;0)),I$1:XFD6,A6+1,FALSE))</f>
        <v>24747</v>
      </c>
      <c r="G6" s="8">
        <f>IF(COUNTIF(I6:XFD6,"&gt;"&amp;0)=0,,(E6/F6)^(1/MIN(COUNTIF(I6:XFD6,"&gt;"&amp;0)-1,$F$1)))</f>
        <v>1.1369827102369918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Germany</v>
      </c>
      <c r="D7" s="6">
        <f>MAX(I7:CL7)</f>
        <v>19848</v>
      </c>
      <c r="E7" s="6">
        <f>IF(COUNTIF(I7:XFD7,"&gt;"&amp;0)=0,,HLOOKUP(COUNTIF(I7:XFD7,"&gt;"&amp;0)-1,I$1:XFD7,A7+1,FALSE))</f>
        <v>19848</v>
      </c>
      <c r="F7" s="7">
        <f>IF(COUNTIF(I7:XFD7,"&gt;"&amp;0)=0,,HLOOKUP(COUNTIF(I7:XFD7,"&gt;"&amp;0)-MIN($F$1+1,COUNTIF(I7:XFD7,"&gt;"&amp;0)),I$1:XFD7,A7+1,FALSE))</f>
        <v>5795</v>
      </c>
      <c r="G7" s="8">
        <f>IF(COUNTIF(I7:XFD7,"&gt;"&amp;0)=0,,(E7/F7)^(1/MIN(COUNTIF(I7:XFD7,"&gt;"&amp;0)-1,$F$1)))</f>
        <v>1.2791829501454157</v>
      </c>
      <c r="H7" s="13" t="s">
        <v>53</v>
      </c>
      <c r="I7" s="9">
        <v>130</v>
      </c>
      <c r="J7" s="9">
        <v>159</v>
      </c>
      <c r="K7" s="9">
        <v>196</v>
      </c>
      <c r="L7" s="9">
        <v>262</v>
      </c>
      <c r="M7" s="9">
        <v>482</v>
      </c>
      <c r="N7" s="9">
        <v>670</v>
      </c>
      <c r="O7" s="9">
        <v>799</v>
      </c>
      <c r="P7" s="9">
        <v>1040</v>
      </c>
      <c r="Q7" s="9">
        <v>1176</v>
      </c>
      <c r="R7" s="9">
        <v>1457</v>
      </c>
      <c r="S7" s="9">
        <v>1908</v>
      </c>
      <c r="T7" s="9">
        <v>2078</v>
      </c>
      <c r="U7" s="9">
        <v>3675</v>
      </c>
      <c r="V7" s="9">
        <v>4585</v>
      </c>
      <c r="W7" s="9">
        <v>5795</v>
      </c>
      <c r="X7" s="9">
        <v>7272</v>
      </c>
      <c r="Y7" s="9">
        <v>9257</v>
      </c>
      <c r="Z7" s="9">
        <v>12327</v>
      </c>
      <c r="AA7" s="9">
        <v>15320</v>
      </c>
      <c r="AB7" s="9">
        <v>19848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US</v>
      </c>
      <c r="D8" s="6">
        <f>MAX(I8:CL8)</f>
        <v>19100</v>
      </c>
      <c r="E8" s="6">
        <f>IF(COUNTIF(I8:XFD8,"&gt;"&amp;0)=0,,HLOOKUP(COUNTIF(I8:XFD8,"&gt;"&amp;0)-1,I$1:XFD8,A8+1,FALSE))</f>
        <v>19100</v>
      </c>
      <c r="F8" s="7">
        <f>IF(COUNTIF(I8:XFD8,"&gt;"&amp;0)=0,,HLOOKUP(COUNTIF(I8:XFD8,"&gt;"&amp;0)-MIN($F$1+1,COUNTIF(I8:XFD8,"&gt;"&amp;0)),I$1:XFD8,A8+1,FALSE))</f>
        <v>3499</v>
      </c>
      <c r="G8" s="8">
        <f>IF(COUNTIF(I8:XFD8,"&gt;"&amp;0)=0,,(E8/F8)^(1/MIN(COUNTIF(I8:XFD8,"&gt;"&amp;0)-1,$F$1)))</f>
        <v>1.404164163493328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13677</v>
      </c>
      <c r="Z8" s="9">
        <v>19100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France</v>
      </c>
      <c r="D9" s="6">
        <f>MAX(I9:CL9)</f>
        <v>12726</v>
      </c>
      <c r="E9" s="6">
        <f>IF(COUNTIF(I9:XFD9,"&gt;"&amp;0)=0,,HLOOKUP(COUNTIF(I9:XFD9,"&gt;"&amp;0)-1,I$1:XFD9,A9+1,FALSE))</f>
        <v>12726</v>
      </c>
      <c r="F9" s="7">
        <f>IF(COUNTIF(I9:XFD9,"&gt;"&amp;0)=0,,HLOOKUP(COUNTIF(I9:XFD9,"&gt;"&amp;0)-MIN($F$1+1,COUNTIF(I9:XFD9,"&gt;"&amp;0)),I$1:XFD9,A9+1,FALSE))</f>
        <v>4523</v>
      </c>
      <c r="G9" s="8">
        <f>IF(COUNTIF(I9:XFD9,"&gt;"&amp;0)=0,,(E9/F9)^(1/MIN(COUNTIF(I9:XFD9,"&gt;"&amp;0)-1,$F$1)))</f>
        <v>1.2298526074505718</v>
      </c>
      <c r="H9" s="13" t="s">
        <v>41</v>
      </c>
      <c r="I9" s="9">
        <v>100</v>
      </c>
      <c r="J9" s="9">
        <v>130</v>
      </c>
      <c r="K9" s="9">
        <v>191</v>
      </c>
      <c r="L9" s="9">
        <v>204</v>
      </c>
      <c r="M9" s="9">
        <v>288</v>
      </c>
      <c r="N9" s="9">
        <v>380</v>
      </c>
      <c r="O9" s="9">
        <v>656</v>
      </c>
      <c r="P9" s="9">
        <v>957</v>
      </c>
      <c r="Q9" s="9">
        <v>1134</v>
      </c>
      <c r="R9" s="9">
        <v>1217</v>
      </c>
      <c r="S9" s="9">
        <v>1792</v>
      </c>
      <c r="T9" s="9">
        <v>2290</v>
      </c>
      <c r="U9" s="9">
        <v>2290</v>
      </c>
      <c r="V9" s="9">
        <v>3678</v>
      </c>
      <c r="W9" s="9">
        <v>4487</v>
      </c>
      <c r="X9" s="9">
        <v>4523</v>
      </c>
      <c r="Y9" s="9">
        <v>6668</v>
      </c>
      <c r="Z9" s="9">
        <v>7699</v>
      </c>
      <c r="AA9" s="9">
        <v>9105</v>
      </c>
      <c r="AB9" s="9">
        <v>10947</v>
      </c>
      <c r="AC9" s="9">
        <v>12726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Korea, South</v>
      </c>
      <c r="D10" s="6">
        <f>MAX(I10:CL10)</f>
        <v>8652</v>
      </c>
      <c r="E10" s="6">
        <f>IF(COUNTIF(I10:XFD10,"&gt;"&amp;0)=0,,HLOOKUP(COUNTIF(I10:XFD10,"&gt;"&amp;0)-1,I$1:XFD10,A10+1,FALSE))</f>
        <v>8652</v>
      </c>
      <c r="F10" s="7">
        <f>IF(COUNTIF(I10:XFD10,"&gt;"&amp;0)=0,,HLOOKUP(COUNTIF(I10:XFD10,"&gt;"&amp;0)-MIN($F$1+1,COUNTIF(I10:XFD10,"&gt;"&amp;0)),I$1:XFD10,A10+1,FALSE))</f>
        <v>8162</v>
      </c>
      <c r="G10" s="8">
        <f>IF(COUNTIF(I10:XFD10,"&gt;"&amp;0)=0,,(E10/F10)^(1/MIN(COUNTIF(I10:XFD10,"&gt;"&amp;0)-1,$F$1)))</f>
        <v>1.0117284999820555</v>
      </c>
      <c r="H10" s="13" t="s">
        <v>339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  <c r="AJ10" s="9">
        <v>8413</v>
      </c>
      <c r="AK10" s="9">
        <v>8565</v>
      </c>
      <c r="AL10" s="9">
        <v>8652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MAX(I11:CL11)</f>
        <v>4014</v>
      </c>
      <c r="E11" s="6">
        <f>IF(COUNTIF(I11:XFD11,"&gt;"&amp;0)=0,,HLOOKUP(COUNTIF(I11:XFD11,"&gt;"&amp;0)-1,I$1:XFD11,A11+1,FALSE))</f>
        <v>4014</v>
      </c>
      <c r="F11" s="7">
        <f>IF(COUNTIF(I11:XFD11,"&gt;"&amp;0)=0,,HLOOKUP(COUNTIF(I11:XFD11,"&gt;"&amp;0)-MIN($F$1+1,COUNTIF(I11:XFD11,"&gt;"&amp;0)),I$1:XFD11,A11+1,FALSE))</f>
        <v>1355</v>
      </c>
      <c r="G11" s="8">
        <f>IF(COUNTIF(I11:XFD11,"&gt;"&amp;0)=0,,(E11/F11)^(1/MIN(COUNTIF(I11:XFD11,"&gt;"&amp;0)-1,$F$1)))</f>
        <v>1.2425893143830935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  <c r="X11" s="9">
        <v>4014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1</v>
      </c>
      <c r="C12" s="9" t="str">
        <f>IF(H12="","",H12)</f>
        <v>Japan</v>
      </c>
      <c r="D12" s="6">
        <f>MAX(I12:CL12)</f>
        <v>963</v>
      </c>
      <c r="E12" s="6">
        <f>IF(COUNTIF(I12:XFD12,"&gt;"&amp;0)=0,,HLOOKUP(COUNTIF(I12:XFD12,"&gt;"&amp;0)-1,I$1:XFD12,A12+1,FALSE))</f>
        <v>963</v>
      </c>
      <c r="F12" s="7">
        <f>IF(COUNTIF(I12:XFD12,"&gt;"&amp;0)=0,,HLOOKUP(COUNTIF(I12:XFD12,"&gt;"&amp;0)-MIN($F$1+1,COUNTIF(I12:XFD12,"&gt;"&amp;0)),I$1:XFD12,A12+1,FALSE))</f>
        <v>839</v>
      </c>
      <c r="G12" s="8">
        <f>IF(COUNTIF(I12:XFD12,"&gt;"&amp;0)=0,,(E12/F12)^(1/MIN(COUNTIF(I12:XFD12,"&gt;"&amp;0)-1,$F$1)))</f>
        <v>1.0279520696235491</v>
      </c>
      <c r="H12" s="13" t="s">
        <v>36</v>
      </c>
      <c r="I12" s="9">
        <v>105</v>
      </c>
      <c r="J12" s="9">
        <v>122</v>
      </c>
      <c r="K12" s="9">
        <v>147</v>
      </c>
      <c r="L12" s="9">
        <v>159</v>
      </c>
      <c r="M12" s="9">
        <v>170</v>
      </c>
      <c r="N12" s="9">
        <v>189</v>
      </c>
      <c r="O12" s="9">
        <v>214</v>
      </c>
      <c r="P12" s="9">
        <v>228</v>
      </c>
      <c r="Q12" s="9">
        <v>241</v>
      </c>
      <c r="R12" s="9">
        <v>256</v>
      </c>
      <c r="S12" s="9">
        <v>274</v>
      </c>
      <c r="T12" s="9">
        <v>293</v>
      </c>
      <c r="U12" s="9">
        <v>331</v>
      </c>
      <c r="V12" s="9">
        <v>360</v>
      </c>
      <c r="W12" s="9">
        <v>420</v>
      </c>
      <c r="X12" s="9">
        <v>461</v>
      </c>
      <c r="Y12" s="9">
        <v>502</v>
      </c>
      <c r="Z12" s="9">
        <v>511</v>
      </c>
      <c r="AA12" s="9">
        <v>581</v>
      </c>
      <c r="AB12" s="9">
        <v>639</v>
      </c>
      <c r="AC12" s="9">
        <v>639</v>
      </c>
      <c r="AD12" s="9">
        <v>701</v>
      </c>
      <c r="AE12" s="9">
        <v>773</v>
      </c>
      <c r="AF12" s="9">
        <v>839</v>
      </c>
      <c r="AG12" s="9">
        <v>825</v>
      </c>
      <c r="AH12" s="9">
        <v>878</v>
      </c>
      <c r="AI12" s="9">
        <v>889</v>
      </c>
      <c r="AJ12" s="9">
        <v>924</v>
      </c>
      <c r="AK12" s="9">
        <v>963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Spain</v>
      </c>
      <c r="D13" s="6">
        <f>MAX(I13:CL13)</f>
        <v>20410</v>
      </c>
      <c r="E13" s="6">
        <f>IF(COUNTIF(I13:XFD13,"&gt;"&amp;0)=0,,HLOOKUP(COUNTIF(I13:XFD13,"&gt;"&amp;0)-1,I$1:XFD13,A13+1,FALSE))</f>
        <v>20410</v>
      </c>
      <c r="F13" s="7">
        <f>IF(COUNTIF(I13:XFD13,"&gt;"&amp;0)=0,,HLOOKUP(COUNTIF(I13:XFD13,"&gt;"&amp;0)-MIN($F$1+1,COUNTIF(I13:XFD13,"&gt;"&amp;0)),I$1:XFD13,A13+1,FALSE))</f>
        <v>7798</v>
      </c>
      <c r="G13" s="8">
        <f>IF(COUNTIF(I13:XFD13,"&gt;"&amp;0)=0,,(E13/F13)^(1/MIN(COUNTIF(I13:XFD13,"&gt;"&amp;0)-1,$F$1)))</f>
        <v>1.2121935107679858</v>
      </c>
      <c r="H13" s="13" t="s">
        <v>60</v>
      </c>
      <c r="I13" s="9">
        <v>120</v>
      </c>
      <c r="J13" s="9">
        <v>165</v>
      </c>
      <c r="K13" s="9">
        <v>222</v>
      </c>
      <c r="L13" s="9">
        <v>259</v>
      </c>
      <c r="M13" s="9">
        <v>400</v>
      </c>
      <c r="N13" s="9">
        <v>500</v>
      </c>
      <c r="O13" s="9">
        <v>673</v>
      </c>
      <c r="P13" s="9">
        <v>1073</v>
      </c>
      <c r="Q13" s="9">
        <v>1695</v>
      </c>
      <c r="R13" s="9">
        <v>2277</v>
      </c>
      <c r="S13" s="9">
        <v>2277</v>
      </c>
      <c r="T13" s="9">
        <v>5232</v>
      </c>
      <c r="U13" s="9">
        <v>6391</v>
      </c>
      <c r="V13" s="9">
        <v>7798</v>
      </c>
      <c r="W13" s="9">
        <v>9942</v>
      </c>
      <c r="X13" s="9">
        <v>11748</v>
      </c>
      <c r="Y13" s="9">
        <v>13910</v>
      </c>
      <c r="Z13" s="9">
        <v>17963</v>
      </c>
      <c r="AA13" s="9">
        <v>20410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Iran</v>
      </c>
      <c r="D14" s="6">
        <f>MAX(I14:CL14)</f>
        <v>19644</v>
      </c>
      <c r="E14" s="6">
        <f>IF(COUNTIF(I14:XFD14,"&gt;"&amp;0)=0,,HLOOKUP(COUNTIF(I14:XFD14,"&gt;"&amp;0)-1,I$1:XFD14,A14+1,FALSE))</f>
        <v>19644</v>
      </c>
      <c r="F14" s="7">
        <f>IF(COUNTIF(I14:XFD14,"&gt;"&amp;0)=0,,HLOOKUP(COUNTIF(I14:XFD14,"&gt;"&amp;0)-MIN($F$1+1,COUNTIF(I14:XFD14,"&gt;"&amp;0)),I$1:XFD14,A14+1,FALSE))</f>
        <v>13938</v>
      </c>
      <c r="G14" s="8">
        <f>IF(COUNTIF(I14:XFD14,"&gt;"&amp;0)=0,,(E14/F14)^(1/MIN(COUNTIF(I14:XFD14,"&gt;"&amp;0)-1,$F$1)))</f>
        <v>1.0710404990954483</v>
      </c>
      <c r="H14" s="13" t="s">
        <v>338</v>
      </c>
      <c r="I14" s="9">
        <v>139</v>
      </c>
      <c r="J14" s="9">
        <v>245</v>
      </c>
      <c r="K14" s="9">
        <v>388</v>
      </c>
      <c r="L14" s="9">
        <v>593</v>
      </c>
      <c r="M14" s="9">
        <v>978</v>
      </c>
      <c r="N14" s="9">
        <v>1501</v>
      </c>
      <c r="O14" s="9">
        <v>2336</v>
      </c>
      <c r="P14" s="9">
        <v>2922</v>
      </c>
      <c r="Q14" s="9">
        <v>3513</v>
      </c>
      <c r="R14" s="9">
        <v>4747</v>
      </c>
      <c r="S14" s="9">
        <v>5823</v>
      </c>
      <c r="T14" s="9">
        <v>6566</v>
      </c>
      <c r="U14" s="9">
        <v>7161</v>
      </c>
      <c r="V14" s="9">
        <v>8042</v>
      </c>
      <c r="W14" s="9">
        <v>9000</v>
      </c>
      <c r="X14" s="9">
        <v>10075</v>
      </c>
      <c r="Y14" s="9">
        <v>11364</v>
      </c>
      <c r="Z14" s="9">
        <v>12729</v>
      </c>
      <c r="AA14" s="9">
        <v>13938</v>
      </c>
      <c r="AB14" s="9">
        <v>14991</v>
      </c>
      <c r="AC14" s="9">
        <v>16169</v>
      </c>
      <c r="AD14" s="9">
        <v>17361</v>
      </c>
      <c r="AE14" s="9">
        <v>18407</v>
      </c>
      <c r="AF14" s="9">
        <v>19644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Switzerland</v>
      </c>
      <c r="D15" s="6">
        <f>MAX(I15:CL15)</f>
        <v>5294</v>
      </c>
      <c r="E15" s="6">
        <f>IF(COUNTIF(I15:XFD15,"&gt;"&amp;0)=0,,HLOOKUP(COUNTIF(I15:XFD15,"&gt;"&amp;0)-1,I$1:XFD15,A15+1,FALSE))</f>
        <v>5294</v>
      </c>
      <c r="F15" s="7">
        <f>IF(COUNTIF(I15:XFD15,"&gt;"&amp;0)=0,,HLOOKUP(COUNTIF(I15:XFD15,"&gt;"&amp;0)-MIN($F$1+1,COUNTIF(I15:XFD15,"&gt;"&amp;0)),I$1:XFD15,A15+1,FALSE))</f>
        <v>2200</v>
      </c>
      <c r="G15" s="8">
        <f>IF(COUNTIF(I15:XFD15,"&gt;"&amp;0)=0,,(E15/F15)^(1/MIN(COUNTIF(I15:XFD15,"&gt;"&amp;0)-1,$F$1)))</f>
        <v>1.1919890098642685</v>
      </c>
      <c r="H15" s="13" t="s">
        <v>77</v>
      </c>
      <c r="I15" s="9">
        <v>114</v>
      </c>
      <c r="J15" s="9">
        <v>214</v>
      </c>
      <c r="K15" s="9">
        <v>268</v>
      </c>
      <c r="L15" s="9">
        <v>337</v>
      </c>
      <c r="M15" s="9">
        <v>374</v>
      </c>
      <c r="N15" s="9">
        <v>491</v>
      </c>
      <c r="O15" s="9">
        <v>652</v>
      </c>
      <c r="P15" s="9">
        <v>652</v>
      </c>
      <c r="Q15" s="9">
        <v>1139</v>
      </c>
      <c r="R15" s="9">
        <v>1359</v>
      </c>
      <c r="S15" s="9">
        <v>2200</v>
      </c>
      <c r="T15" s="9">
        <v>2200</v>
      </c>
      <c r="U15" s="9">
        <v>2700</v>
      </c>
      <c r="V15" s="9">
        <v>3028</v>
      </c>
      <c r="W15" s="9">
        <v>4075</v>
      </c>
      <c r="X15" s="9">
        <v>5294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Netherlands</v>
      </c>
      <c r="D16" s="6">
        <f>MAX(I16:CL16)</f>
        <v>3003</v>
      </c>
      <c r="E16" s="6">
        <f>IF(COUNTIF(I16:XFD16,"&gt;"&amp;0)=0,,HLOOKUP(COUNTIF(I16:XFD16,"&gt;"&amp;0)-1,I$1:XFD16,A16+1,FALSE))</f>
        <v>3003</v>
      </c>
      <c r="F16" s="7">
        <f>IF(COUNTIF(I16:XFD16,"&gt;"&amp;0)=0,,HLOOKUP(COUNTIF(I16:XFD16,"&gt;"&amp;0)-MIN($F$1+1,COUNTIF(I16:XFD16,"&gt;"&amp;0)),I$1:XFD16,A16+1,FALSE))</f>
        <v>1138</v>
      </c>
      <c r="G16" s="8">
        <f>IF(COUNTIF(I16:XFD16,"&gt;"&amp;0)=0,,(E16/F16)^(1/MIN(COUNTIF(I16:XFD16,"&gt;"&amp;0)-1,$F$1)))</f>
        <v>1.2141787115515055</v>
      </c>
      <c r="H16" s="13" t="s">
        <v>89</v>
      </c>
      <c r="I16" s="9">
        <v>128</v>
      </c>
      <c r="J16" s="9">
        <v>188</v>
      </c>
      <c r="K16" s="9">
        <v>265</v>
      </c>
      <c r="L16" s="9">
        <v>321</v>
      </c>
      <c r="M16" s="9">
        <v>382</v>
      </c>
      <c r="N16" s="9">
        <v>503</v>
      </c>
      <c r="O16" s="9">
        <v>503</v>
      </c>
      <c r="P16" s="9">
        <v>806</v>
      </c>
      <c r="Q16" s="9">
        <v>962</v>
      </c>
      <c r="R16" s="9">
        <v>1138</v>
      </c>
      <c r="S16" s="9">
        <v>1416</v>
      </c>
      <c r="T16" s="9">
        <v>1711</v>
      </c>
      <c r="U16" s="9">
        <v>2058</v>
      </c>
      <c r="V16" s="9">
        <v>2467</v>
      </c>
      <c r="W16" s="9">
        <v>3003</v>
      </c>
    </row>
    <row r="17" spans="1:48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Austria</v>
      </c>
      <c r="D17" s="6">
        <f>MAX(I17:CL17)</f>
        <v>2388</v>
      </c>
      <c r="E17" s="6">
        <f>IF(COUNTIF(I17:XFD17,"&gt;"&amp;0)=0,,HLOOKUP(COUNTIF(I17:XFD17,"&gt;"&amp;0)-1,I$1:XFD17,A17+1,FALSE))</f>
        <v>2388</v>
      </c>
      <c r="F17" s="7">
        <f>IF(COUNTIF(I17:XFD17,"&gt;"&amp;0)=0,,HLOOKUP(COUNTIF(I17:XFD17,"&gt;"&amp;0)-MIN($F$1+1,COUNTIF(I17:XFD17,"&gt;"&amp;0)),I$1:XFD17,A17+1,FALSE))</f>
        <v>860</v>
      </c>
      <c r="G17" s="8">
        <f>IF(COUNTIF(I17:XFD17,"&gt;"&amp;0)=0,,(E17/F17)^(1/MIN(COUNTIF(I17:XFD17,"&gt;"&amp;0)-1,$F$1)))</f>
        <v>1.2266119015652595</v>
      </c>
      <c r="H17" s="13" t="s">
        <v>78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  <c r="S17" s="9">
        <v>1646</v>
      </c>
      <c r="T17" s="9">
        <v>2013</v>
      </c>
      <c r="U17" s="9">
        <v>2388</v>
      </c>
    </row>
    <row r="18" spans="1:48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Belgium</v>
      </c>
      <c r="D18" s="6">
        <f>MAX(I18:CL18)</f>
        <v>2257</v>
      </c>
      <c r="E18" s="6">
        <f>IF(COUNTIF(I18:XFD18,"&gt;"&amp;0)=0,,HLOOKUP(COUNTIF(I18:XFD18,"&gt;"&amp;0)-1,I$1:XFD18,A18+1,FALSE))</f>
        <v>2257</v>
      </c>
      <c r="F18" s="7">
        <f>IF(COUNTIF(I18:XFD18,"&gt;"&amp;0)=0,,HLOOKUP(COUNTIF(I18:XFD18,"&gt;"&amp;0)-MIN($F$1+1,COUNTIF(I18:XFD18,"&gt;"&amp;0)),I$1:XFD18,A18+1,FALSE))</f>
        <v>886</v>
      </c>
      <c r="G18" s="8">
        <f>IF(COUNTIF(I18:XFD18,"&gt;"&amp;0)=0,,(E18/F18)^(1/MIN(COUNTIF(I18:XFD18,"&gt;"&amp;0)-1,$F$1)))</f>
        <v>1.2056453276896051</v>
      </c>
      <c r="H18" s="13" t="s">
        <v>63</v>
      </c>
      <c r="I18" s="9">
        <v>109</v>
      </c>
      <c r="J18" s="9">
        <v>169</v>
      </c>
      <c r="K18" s="9">
        <v>200</v>
      </c>
      <c r="L18" s="9">
        <v>239</v>
      </c>
      <c r="M18" s="9">
        <v>267</v>
      </c>
      <c r="N18" s="9">
        <v>314</v>
      </c>
      <c r="O18" s="9">
        <v>314</v>
      </c>
      <c r="P18" s="9">
        <v>559</v>
      </c>
      <c r="Q18" s="9">
        <v>689</v>
      </c>
      <c r="R18" s="9">
        <v>886</v>
      </c>
      <c r="S18" s="9">
        <v>1058</v>
      </c>
      <c r="T18" s="9">
        <v>1243</v>
      </c>
      <c r="U18" s="9">
        <v>1486</v>
      </c>
      <c r="V18" s="9">
        <v>1795</v>
      </c>
      <c r="W18" s="9">
        <v>2257</v>
      </c>
    </row>
    <row r="19" spans="1:48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Norway</v>
      </c>
      <c r="D19" s="6">
        <f>MAX(I19:CL19)</f>
        <v>1914</v>
      </c>
      <c r="E19" s="6">
        <f>IF(COUNTIF(I19:XFD19,"&gt;"&amp;0)=0,,HLOOKUP(COUNTIF(I19:XFD19,"&gt;"&amp;0)-1,I$1:XFD19,A19+1,FALSE))</f>
        <v>1914</v>
      </c>
      <c r="F19" s="7">
        <f>IF(COUNTIF(I19:XFD19,"&gt;"&amp;0)=0,,HLOOKUP(COUNTIF(I19:XFD19,"&gt;"&amp;0)-MIN($F$1+1,COUNTIF(I19:XFD19,"&gt;"&amp;0)),I$1:XFD19,A19+1,FALSE))</f>
        <v>1221</v>
      </c>
      <c r="G19" s="8">
        <f>IF(COUNTIF(I19:XFD19,"&gt;"&amp;0)=0,,(E19/F19)^(1/MIN(COUNTIF(I19:XFD19,"&gt;"&amp;0)-1,$F$1)))</f>
        <v>1.0940703635079412</v>
      </c>
      <c r="H19" s="13" t="s">
        <v>85</v>
      </c>
      <c r="I19" s="9">
        <v>108</v>
      </c>
      <c r="J19" s="9">
        <v>147</v>
      </c>
      <c r="K19" s="9">
        <v>176</v>
      </c>
      <c r="L19" s="9">
        <v>205</v>
      </c>
      <c r="M19" s="9">
        <v>400</v>
      </c>
      <c r="N19" s="9">
        <v>598</v>
      </c>
      <c r="O19" s="9">
        <v>702</v>
      </c>
      <c r="P19" s="9">
        <v>996</v>
      </c>
      <c r="Q19" s="9">
        <v>1090</v>
      </c>
      <c r="R19" s="9">
        <v>1221</v>
      </c>
      <c r="S19" s="9">
        <v>1333</v>
      </c>
      <c r="T19" s="9">
        <v>1463</v>
      </c>
      <c r="U19" s="9">
        <v>1550</v>
      </c>
      <c r="V19" s="9">
        <v>1746</v>
      </c>
      <c r="W19" s="9">
        <v>1914</v>
      </c>
    </row>
    <row r="20" spans="1:48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Sweden</v>
      </c>
      <c r="D20" s="6">
        <f>MAX(I20:CL20)</f>
        <v>1639</v>
      </c>
      <c r="E20" s="6">
        <f>IF(COUNTIF(I20:XFD20,"&gt;"&amp;0)=0,,HLOOKUP(COUNTIF(I20:XFD20,"&gt;"&amp;0)-1,I$1:XFD20,A20+1,FALSE))</f>
        <v>1639</v>
      </c>
      <c r="F20" s="7">
        <f>IF(COUNTIF(I20:XFD20,"&gt;"&amp;0)=0,,HLOOKUP(COUNTIF(I20:XFD20,"&gt;"&amp;0)-MIN($F$1+1,COUNTIF(I20:XFD20,"&gt;"&amp;0)),I$1:XFD20,A20+1,FALSE))</f>
        <v>1022</v>
      </c>
      <c r="G20" s="8">
        <f>IF(COUNTIF(I20:XFD20,"&gt;"&amp;0)=0,,(E20/F20)^(1/MIN(COUNTIF(I20:XFD20,"&gt;"&amp;0)-1,$F$1)))</f>
        <v>1.0990706527768064</v>
      </c>
      <c r="H20" s="13" t="s">
        <v>59</v>
      </c>
      <c r="I20" s="9">
        <v>101</v>
      </c>
      <c r="J20" s="9">
        <v>161</v>
      </c>
      <c r="K20" s="9">
        <v>203</v>
      </c>
      <c r="L20" s="9">
        <v>248</v>
      </c>
      <c r="M20" s="9">
        <v>355</v>
      </c>
      <c r="N20" s="9">
        <v>500</v>
      </c>
      <c r="O20" s="9">
        <v>599</v>
      </c>
      <c r="P20" s="9">
        <v>814</v>
      </c>
      <c r="Q20" s="9">
        <v>961</v>
      </c>
      <c r="R20" s="9">
        <v>1022</v>
      </c>
      <c r="S20" s="9">
        <v>1103</v>
      </c>
      <c r="T20" s="9">
        <v>1190</v>
      </c>
      <c r="U20" s="9">
        <v>1279</v>
      </c>
      <c r="V20" s="9">
        <v>1439</v>
      </c>
      <c r="W20" s="9">
        <v>1639</v>
      </c>
    </row>
    <row r="21" spans="1:48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Denmark</v>
      </c>
      <c r="D21" s="6">
        <f>MAX(I21:CL21)</f>
        <v>1337</v>
      </c>
      <c r="E21" s="6">
        <f>IF(COUNTIF(I21:XFD21,"&gt;"&amp;0)=0,,HLOOKUP(COUNTIF(I21:XFD21,"&gt;"&amp;0)-1,I$1:XFD21,A21+1,FALSE))</f>
        <v>1337</v>
      </c>
      <c r="F21" s="7">
        <f>IF(COUNTIF(I21:XFD21,"&gt;"&amp;0)=0,,HLOOKUP(COUNTIF(I21:XFD21,"&gt;"&amp;0)-MIN($F$1+1,COUNTIF(I21:XFD21,"&gt;"&amp;0)),I$1:XFD21,A21+1,FALSE))</f>
        <v>875</v>
      </c>
      <c r="G21" s="8">
        <f>IF(COUNTIF(I21:XFD21,"&gt;"&amp;0)=0,,(E21/F21)^(1/MIN(COUNTIF(I21:XFD21,"&gt;"&amp;0)-1,$F$1)))</f>
        <v>1.0884905697736418</v>
      </c>
      <c r="H21" s="13" t="s">
        <v>87</v>
      </c>
      <c r="I21" s="9">
        <v>264</v>
      </c>
      <c r="J21" s="9">
        <v>444</v>
      </c>
      <c r="K21" s="9">
        <v>617</v>
      </c>
      <c r="L21" s="9">
        <v>804</v>
      </c>
      <c r="M21" s="9">
        <v>836</v>
      </c>
      <c r="N21" s="9">
        <v>875</v>
      </c>
      <c r="O21" s="9">
        <v>933</v>
      </c>
      <c r="P21" s="9">
        <v>1025</v>
      </c>
      <c r="Q21" s="9">
        <v>1116</v>
      </c>
      <c r="R21" s="9">
        <v>1225</v>
      </c>
      <c r="S21" s="9">
        <v>1337</v>
      </c>
    </row>
    <row r="22" spans="1:48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Malaysia</v>
      </c>
      <c r="D22" s="6">
        <f>MAX(I22:CL22)</f>
        <v>1030</v>
      </c>
      <c r="E22" s="6">
        <f>IF(COUNTIF(I22:XFD22,"&gt;"&amp;0)=0,,HLOOKUP(COUNTIF(I22:XFD22,"&gt;"&amp;0)-1,I$1:XFD22,A22+1,FALSE))</f>
        <v>1030</v>
      </c>
      <c r="F22" s="7">
        <f>IF(COUNTIF(I22:XFD22,"&gt;"&amp;0)=0,,HLOOKUP(COUNTIF(I22:XFD22,"&gt;"&amp;0)-MIN($F$1+1,COUNTIF(I22:XFD22,"&gt;"&amp;0)),I$1:XFD22,A22+1,FALSE))</f>
        <v>428</v>
      </c>
      <c r="G22" s="8">
        <f>IF(COUNTIF(I22:XFD22,"&gt;"&amp;0)=0,,(E22/F22)^(1/MIN(COUNTIF(I22:XFD22,"&gt;"&amp;0)-1,$F$1)))</f>
        <v>1.1920066853331281</v>
      </c>
      <c r="H22" s="13" t="s">
        <v>43</v>
      </c>
      <c r="I22" s="9">
        <v>117</v>
      </c>
      <c r="J22" s="9">
        <v>129</v>
      </c>
      <c r="K22" s="9">
        <v>149</v>
      </c>
      <c r="L22" s="9">
        <v>149</v>
      </c>
      <c r="M22" s="9">
        <v>197</v>
      </c>
      <c r="N22" s="9">
        <v>238</v>
      </c>
      <c r="O22" s="9">
        <v>428</v>
      </c>
      <c r="P22" s="9">
        <v>566</v>
      </c>
      <c r="Q22" s="9">
        <v>673</v>
      </c>
      <c r="R22" s="9">
        <v>790</v>
      </c>
      <c r="S22" s="9">
        <v>900</v>
      </c>
      <c r="T22" s="9">
        <v>1030</v>
      </c>
    </row>
    <row r="23" spans="1:48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Portugal</v>
      </c>
      <c r="D23" s="6">
        <f>MAX(I23:CL23)</f>
        <v>1020</v>
      </c>
      <c r="E23" s="6">
        <f>IF(COUNTIF(I23:XFD23,"&gt;"&amp;0)=0,,HLOOKUP(COUNTIF(I23:XFD23,"&gt;"&amp;0)-1,I$1:XFD23,A23+1,FALSE))</f>
        <v>1020</v>
      </c>
      <c r="F23" s="7">
        <f>IF(COUNTIF(I23:XFD23,"&gt;"&amp;0)=0,,HLOOKUP(COUNTIF(I23:XFD23,"&gt;"&amp;0)-MIN($F$1+1,COUNTIF(I23:XFD23,"&gt;"&amp;0)),I$1:XFD23,A23+1,FALSE))</f>
        <v>245</v>
      </c>
      <c r="G23" s="8">
        <f>IF(COUNTIF(I23:XFD23,"&gt;"&amp;0)=0,,(E23/F23)^(1/MIN(COUNTIF(I23:XFD23,"&gt;"&amp;0)-1,$F$1)))</f>
        <v>1.3301077302572142</v>
      </c>
      <c r="H23" s="13" t="s">
        <v>108</v>
      </c>
      <c r="I23" s="9">
        <v>112</v>
      </c>
      <c r="J23" s="9">
        <v>169</v>
      </c>
      <c r="K23" s="9">
        <v>245</v>
      </c>
      <c r="L23" s="9">
        <v>331</v>
      </c>
      <c r="M23" s="9">
        <v>448</v>
      </c>
      <c r="N23" s="9">
        <v>448</v>
      </c>
      <c r="O23" s="9">
        <v>785</v>
      </c>
      <c r="P23" s="9">
        <v>1020</v>
      </c>
    </row>
    <row r="24" spans="1:48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Canada</v>
      </c>
      <c r="D24" s="6">
        <f>MAX(I24:CL24)</f>
        <v>943</v>
      </c>
      <c r="E24" s="6">
        <f>IF(COUNTIF(I24:XFD24,"&gt;"&amp;0)=0,,HLOOKUP(COUNTIF(I24:XFD24,"&gt;"&amp;0)-1,I$1:XFD24,A24+1,FALSE))</f>
        <v>943</v>
      </c>
      <c r="F24" s="7">
        <f>IF(COUNTIF(I24:XFD24,"&gt;"&amp;0)=0,,HLOOKUP(COUNTIF(I24:XFD24,"&gt;"&amp;0)-MIN($F$1+1,COUNTIF(I24:XFD24,"&gt;"&amp;0)),I$1:XFD24,A24+1,FALSE))</f>
        <v>252</v>
      </c>
      <c r="G24" s="8">
        <f>IF(COUNTIF(I24:XFD24,"&gt;"&amp;0)=0,,(E24/F24)^(1/MIN(COUNTIF(I24:XFD24,"&gt;"&amp;0)-1,$F$1)))</f>
        <v>1.3020337160364548</v>
      </c>
      <c r="H24" s="13" t="s">
        <v>45</v>
      </c>
      <c r="I24" s="9">
        <v>108</v>
      </c>
      <c r="J24" s="9">
        <v>117</v>
      </c>
      <c r="K24" s="9">
        <v>193</v>
      </c>
      <c r="L24" s="9">
        <v>198</v>
      </c>
      <c r="M24" s="9">
        <v>252</v>
      </c>
      <c r="N24" s="9">
        <v>415</v>
      </c>
      <c r="O24" s="9">
        <v>478</v>
      </c>
      <c r="P24" s="9">
        <v>657</v>
      </c>
      <c r="Q24" s="9">
        <v>800</v>
      </c>
      <c r="R24" s="9">
        <v>943</v>
      </c>
    </row>
    <row r="25" spans="1:48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Czechia</v>
      </c>
      <c r="D25" s="6">
        <f>MAX(I25:CL25)</f>
        <v>833</v>
      </c>
      <c r="E25" s="6">
        <f>IF(COUNTIF(I25:XFD25,"&gt;"&amp;0)=0,,HLOOKUP(COUNTIF(I25:XFD25,"&gt;"&amp;0)-1,I$1:XFD25,A25+1,FALSE))</f>
        <v>833</v>
      </c>
      <c r="F25" s="7">
        <f>IF(COUNTIF(I25:XFD25,"&gt;"&amp;0)=0,,HLOOKUP(COUNTIF(I25:XFD25,"&gt;"&amp;0)-MIN($F$1+1,COUNTIF(I25:XFD25,"&gt;"&amp;0)),I$1:XFD25,A25+1,FALSE))</f>
        <v>253</v>
      </c>
      <c r="G25" s="8">
        <f>IF(COUNTIF(I25:XFD25,"&gt;"&amp;0)=0,,(E25/F25)^(1/MIN(COUNTIF(I25:XFD25,"&gt;"&amp;0)-1,$F$1)))</f>
        <v>1.2691264519415288</v>
      </c>
      <c r="H25" s="13" t="s">
        <v>341</v>
      </c>
      <c r="I25" s="9">
        <v>141</v>
      </c>
      <c r="J25" s="9">
        <v>189</v>
      </c>
      <c r="K25" s="9">
        <v>253</v>
      </c>
      <c r="L25" s="9">
        <v>298</v>
      </c>
      <c r="M25" s="9">
        <v>396</v>
      </c>
      <c r="N25" s="9">
        <v>464</v>
      </c>
      <c r="O25" s="9">
        <v>694</v>
      </c>
      <c r="P25" s="9">
        <v>833</v>
      </c>
    </row>
    <row r="26" spans="1:48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Brazil</v>
      </c>
      <c r="D26" s="6">
        <f>MAX(I26:CL26)</f>
        <v>793</v>
      </c>
      <c r="E26" s="6">
        <f>IF(COUNTIF(I26:XFD26,"&gt;"&amp;0)=0,,HLOOKUP(COUNTIF(I26:XFD26,"&gt;"&amp;0)-1,I$1:XFD26,A26+1,FALSE))</f>
        <v>793</v>
      </c>
      <c r="F26" s="7">
        <f>IF(COUNTIF(I26:XFD26,"&gt;"&amp;0)=0,,HLOOKUP(COUNTIF(I26:XFD26,"&gt;"&amp;0)-MIN($F$1+1,COUNTIF(I26:XFD26,"&gt;"&amp;0)),I$1:XFD26,A26+1,FALSE))</f>
        <v>162</v>
      </c>
      <c r="G26" s="8">
        <f>IF(COUNTIF(I26:XFD26,"&gt;"&amp;0)=0,,(E26/F26)^(1/MIN(COUNTIF(I26:XFD26,"&gt;"&amp;0)-1,$F$1)))</f>
        <v>1.3738889625888695</v>
      </c>
      <c r="H26" s="13" t="s">
        <v>81</v>
      </c>
      <c r="I26" s="9">
        <v>151</v>
      </c>
      <c r="J26" s="9">
        <v>151</v>
      </c>
      <c r="K26" s="9">
        <v>162</v>
      </c>
      <c r="L26" s="9">
        <v>200</v>
      </c>
      <c r="M26" s="9">
        <v>321</v>
      </c>
      <c r="N26" s="9">
        <v>372</v>
      </c>
      <c r="O26" s="9">
        <v>621</v>
      </c>
      <c r="P26" s="9">
        <v>793</v>
      </c>
    </row>
    <row r="27" spans="1:48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Australia</v>
      </c>
      <c r="D27" s="6">
        <f>MAX(I27:CL27)</f>
        <v>791</v>
      </c>
      <c r="E27" s="6">
        <f>IF(COUNTIF(I27:XFD27,"&gt;"&amp;0)=0,,HLOOKUP(COUNTIF(I27:XFD27,"&gt;"&amp;0)-1,I$1:XFD27,A27+1,FALSE))</f>
        <v>791</v>
      </c>
      <c r="F27" s="7">
        <f>IF(COUNTIF(I27:XFD27,"&gt;"&amp;0)=0,,HLOOKUP(COUNTIF(I27:XFD27,"&gt;"&amp;0)-MIN($F$1+1,COUNTIF(I27:XFD27,"&gt;"&amp;0)),I$1:XFD27,A27+1,FALSE))</f>
        <v>297</v>
      </c>
      <c r="G27" s="8">
        <f>IF(COUNTIF(I27:XFD27,"&gt;"&amp;0)=0,,(E27/F27)^(1/MIN(COUNTIF(I27:XFD27,"&gt;"&amp;0)-1,$F$1)))</f>
        <v>1.2164212737714692</v>
      </c>
      <c r="H27" s="13" t="s">
        <v>48</v>
      </c>
      <c r="I27" s="9">
        <v>107</v>
      </c>
      <c r="J27" s="9">
        <v>128</v>
      </c>
      <c r="K27" s="9">
        <v>128</v>
      </c>
      <c r="L27" s="9">
        <v>200</v>
      </c>
      <c r="M27" s="9">
        <v>250</v>
      </c>
      <c r="N27" s="9">
        <v>297</v>
      </c>
      <c r="O27" s="9">
        <v>377</v>
      </c>
      <c r="P27" s="9">
        <v>452</v>
      </c>
      <c r="Q27" s="9">
        <v>568</v>
      </c>
      <c r="R27" s="9">
        <v>681</v>
      </c>
      <c r="S27" s="9">
        <v>791</v>
      </c>
    </row>
    <row r="28" spans="1:48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Cruise Ship</v>
      </c>
      <c r="D28" s="6">
        <f>MAX(I28:CL28)</f>
        <v>712</v>
      </c>
      <c r="E28" s="6">
        <f>IF(COUNTIF(I28:XFD28,"&gt;"&amp;0)=0,,HLOOKUP(COUNTIF(I28:XFD28,"&gt;"&amp;0)-1,I$1:XFD28,A28+1,FALSE))</f>
        <v>712</v>
      </c>
      <c r="F28" s="7">
        <f>IF(COUNTIF(I28:XFD28,"&gt;"&amp;0)=0,,HLOOKUP(COUNTIF(I28:XFD28,"&gt;"&amp;0)-MIN($F$1+1,COUNTIF(I28:XFD28,"&gt;"&amp;0)),I$1:XFD28,A28+1,FALSE))</f>
        <v>696</v>
      </c>
      <c r="G28" s="8">
        <f>IF(COUNTIF(I28:XFD28,"&gt;"&amp;0)=0,,(E28/F28)^(1/MIN(COUNTIF(I28:XFD28,"&gt;"&amp;0)-1,$F$1)))</f>
        <v>1.0045559973556712</v>
      </c>
      <c r="H28" s="13" t="s">
        <v>340</v>
      </c>
      <c r="I28" s="9">
        <v>135</v>
      </c>
      <c r="J28" s="9">
        <v>135</v>
      </c>
      <c r="K28" s="9">
        <v>175</v>
      </c>
      <c r="L28" s="9">
        <v>175</v>
      </c>
      <c r="M28" s="9">
        <v>218</v>
      </c>
      <c r="N28" s="9">
        <v>285</v>
      </c>
      <c r="O28" s="9">
        <v>355</v>
      </c>
      <c r="P28" s="9">
        <v>454</v>
      </c>
      <c r="Q28" s="9">
        <v>542</v>
      </c>
      <c r="R28" s="9">
        <v>621</v>
      </c>
      <c r="S28" s="9">
        <v>634</v>
      </c>
      <c r="T28" s="9">
        <v>634</v>
      </c>
      <c r="U28" s="9">
        <v>634</v>
      </c>
      <c r="V28" s="9">
        <v>691</v>
      </c>
      <c r="W28" s="9">
        <v>691</v>
      </c>
      <c r="X28" s="9">
        <v>691</v>
      </c>
      <c r="Y28" s="9">
        <v>705</v>
      </c>
      <c r="Z28" s="9">
        <v>705</v>
      </c>
      <c r="AA28" s="9">
        <v>705</v>
      </c>
      <c r="AB28" s="9">
        <v>705</v>
      </c>
      <c r="AC28" s="9">
        <v>705</v>
      </c>
      <c r="AD28" s="9">
        <v>705</v>
      </c>
      <c r="AE28" s="9">
        <v>706</v>
      </c>
      <c r="AF28" s="9">
        <v>706</v>
      </c>
      <c r="AG28" s="9">
        <v>706</v>
      </c>
      <c r="AH28" s="9">
        <v>696</v>
      </c>
      <c r="AI28" s="9">
        <v>696</v>
      </c>
      <c r="AJ28" s="9">
        <v>696</v>
      </c>
      <c r="AK28" s="9">
        <v>696</v>
      </c>
      <c r="AL28" s="9">
        <v>696</v>
      </c>
      <c r="AM28" s="9">
        <v>696</v>
      </c>
      <c r="AN28" s="9">
        <v>696</v>
      </c>
      <c r="AO28" s="9">
        <v>696</v>
      </c>
      <c r="AP28" s="9">
        <v>696</v>
      </c>
      <c r="AQ28" s="9">
        <v>696</v>
      </c>
      <c r="AR28" s="9">
        <v>696</v>
      </c>
      <c r="AS28" s="9">
        <v>696</v>
      </c>
      <c r="AT28" s="9">
        <v>712</v>
      </c>
      <c r="AU28" s="9">
        <v>712</v>
      </c>
      <c r="AV28" s="9">
        <v>712</v>
      </c>
    </row>
    <row r="29" spans="1:48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Israel</v>
      </c>
      <c r="D29" s="6">
        <f>MAX(I29:CL29)</f>
        <v>705</v>
      </c>
      <c r="E29" s="6">
        <f>IF(COUNTIF(I29:XFD29,"&gt;"&amp;0)=0,,HLOOKUP(COUNTIF(I29:XFD29,"&gt;"&amp;0)-1,I$1:XFD29,A29+1,FALSE))</f>
        <v>705</v>
      </c>
      <c r="F29" s="7">
        <f>IF(COUNTIF(I29:XFD29,"&gt;"&amp;0)=0,,HLOOKUP(COUNTIF(I29:XFD29,"&gt;"&amp;0)-MIN($F$1+1,COUNTIF(I29:XFD29,"&gt;"&amp;0)),I$1:XFD29,A29+1,FALSE))</f>
        <v>251</v>
      </c>
      <c r="G29" s="8">
        <f>IF(COUNTIF(I29:XFD29,"&gt;"&amp;0)=0,,(E29/F29)^(1/MIN(COUNTIF(I29:XFD29,"&gt;"&amp;0)-1,$F$1)))</f>
        <v>1.2294279411929145</v>
      </c>
      <c r="H29" s="13" t="s">
        <v>79</v>
      </c>
      <c r="I29" s="9">
        <v>109</v>
      </c>
      <c r="J29" s="9">
        <v>131</v>
      </c>
      <c r="K29" s="9">
        <v>161</v>
      </c>
      <c r="L29" s="9">
        <v>193</v>
      </c>
      <c r="M29" s="9">
        <v>251</v>
      </c>
      <c r="N29" s="9">
        <v>255</v>
      </c>
      <c r="O29" s="9">
        <v>337</v>
      </c>
      <c r="P29" s="9">
        <v>433</v>
      </c>
      <c r="Q29" s="9">
        <v>677</v>
      </c>
      <c r="R29" s="9">
        <v>705</v>
      </c>
    </row>
    <row r="30" spans="1:48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Ireland</v>
      </c>
      <c r="D30" s="6">
        <f>MAX(I30:CL30)</f>
        <v>683</v>
      </c>
      <c r="E30" s="6">
        <f>IF(COUNTIF(I30:XFD30,"&gt;"&amp;0)=0,,HLOOKUP(COUNTIF(I30:XFD30,"&gt;"&amp;0)-1,I$1:XFD30,A30+1,FALSE))</f>
        <v>683</v>
      </c>
      <c r="F30" s="7">
        <f>IF(COUNTIF(I30:XFD30,"&gt;"&amp;0)=0,,HLOOKUP(COUNTIF(I30:XFD30,"&gt;"&amp;0)-MIN($F$1+1,COUNTIF(I30:XFD30,"&gt;"&amp;0)),I$1:XFD30,A30+1,FALSE))</f>
        <v>129</v>
      </c>
      <c r="G30" s="8">
        <f>IF(COUNTIF(I30:XFD30,"&gt;"&amp;0)=0,,(E30/F30)^(1/MIN(COUNTIF(I30:XFD30,"&gt;"&amp;0)-1,$F$1)))</f>
        <v>1.3956168320302513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</row>
    <row r="31" spans="1:48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Pakistan</v>
      </c>
      <c r="D31" s="6">
        <f>MAX(I31:CL31)</f>
        <v>501</v>
      </c>
      <c r="E31" s="6">
        <f>IF(COUNTIF(I31:XFD31,"&gt;"&amp;0)=0,,HLOOKUP(COUNTIF(I31:XFD31,"&gt;"&amp;0)-1,I$1:XFD31,A31+1,FALSE))</f>
        <v>501</v>
      </c>
      <c r="F31" s="7">
        <f>IF(COUNTIF(I31:XFD31,"&gt;"&amp;0)=0,,HLOOKUP(COUNTIF(I31:XFD31,"&gt;"&amp;0)-MIN($F$1+1,COUNTIF(I31:XFD31,"&gt;"&amp;0)),I$1:XFD31,A31+1,FALSE))</f>
        <v>136</v>
      </c>
      <c r="G31" s="8">
        <f>IF(COUNTIF(I31:XFD31,"&gt;"&amp;0)=0,,(E31/F31)^(1/MIN(COUNTIF(I31:XFD31,"&gt;"&amp;0)-1,$F$1)))</f>
        <v>1.3853984722244419</v>
      </c>
      <c r="H31" s="13" t="s">
        <v>80</v>
      </c>
      <c r="I31" s="9">
        <v>136</v>
      </c>
      <c r="J31" s="9">
        <v>236</v>
      </c>
      <c r="K31" s="9">
        <v>299</v>
      </c>
      <c r="L31" s="9">
        <v>454</v>
      </c>
      <c r="M31" s="9">
        <v>501</v>
      </c>
    </row>
    <row r="32" spans="1:48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Greece</v>
      </c>
      <c r="D32" s="6">
        <f>MAX(I32:CL32)</f>
        <v>495</v>
      </c>
      <c r="E32" s="6">
        <f>IF(COUNTIF(I32:XFD32,"&gt;"&amp;0)=0,,HLOOKUP(COUNTIF(I32:XFD32,"&gt;"&amp;0)-1,I$1:XFD32,A32+1,FALSE))</f>
        <v>495</v>
      </c>
      <c r="F32" s="7">
        <f>IF(COUNTIF(I32:XFD32,"&gt;"&amp;0)=0,,HLOOKUP(COUNTIF(I32:XFD32,"&gt;"&amp;0)-MIN($F$1+1,COUNTIF(I32:XFD32,"&gt;"&amp;0)),I$1:XFD32,A32+1,FALSE))</f>
        <v>331</v>
      </c>
      <c r="G32" s="8">
        <f>IF(COUNTIF(I32:XFD32,"&gt;"&amp;0)=0,,(E32/F32)^(1/MIN(COUNTIF(I32:XFD32,"&gt;"&amp;0)-1,$F$1)))</f>
        <v>1.0838157079398503</v>
      </c>
      <c r="H32" s="13" t="s">
        <v>83</v>
      </c>
      <c r="I32" s="9">
        <v>190</v>
      </c>
      <c r="J32" s="9">
        <v>228</v>
      </c>
      <c r="K32" s="9">
        <v>331</v>
      </c>
      <c r="L32" s="9">
        <v>331</v>
      </c>
      <c r="M32" s="9">
        <v>387</v>
      </c>
      <c r="N32" s="9">
        <v>418</v>
      </c>
      <c r="O32" s="9">
        <v>418</v>
      </c>
      <c r="P32" s="9">
        <v>495</v>
      </c>
    </row>
    <row r="33" spans="1:29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Luxembourg</v>
      </c>
      <c r="D33" s="6">
        <f>MAX(I33:CL33)</f>
        <v>484</v>
      </c>
      <c r="E33" s="6">
        <f>IF(COUNTIF(I33:XFD33,"&gt;"&amp;0)=0,,HLOOKUP(COUNTIF(I33:XFD33,"&gt;"&amp;0)-1,I$1:XFD33,A33+1,FALSE))</f>
        <v>484</v>
      </c>
      <c r="F33" s="7">
        <f>IF(COUNTIF(I33:XFD33,"&gt;"&amp;0)=0,,HLOOKUP(COUNTIF(I33:XFD33,"&gt;"&amp;0)-MIN($F$1+1,COUNTIF(I33:XFD33,"&gt;"&amp;0)),I$1:XFD33,A33+1,FALSE))</f>
        <v>140</v>
      </c>
      <c r="G33" s="8">
        <f>IF(COUNTIF(I33:XFD33,"&gt;"&amp;0)=0,,(E33/F33)^(1/MIN(COUNTIF(I33:XFD33,"&gt;"&amp;0)-1,$F$1)))</f>
        <v>1.512071897730358</v>
      </c>
      <c r="H33" s="13" t="s">
        <v>99</v>
      </c>
      <c r="I33" s="9">
        <v>140</v>
      </c>
      <c r="J33" s="9">
        <v>203</v>
      </c>
      <c r="K33" s="9">
        <v>335</v>
      </c>
      <c r="L33" s="9">
        <v>484</v>
      </c>
    </row>
    <row r="34" spans="1:29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Qatar</v>
      </c>
      <c r="D34" s="6">
        <f>MAX(I34:CL34)</f>
        <v>470</v>
      </c>
      <c r="E34" s="6">
        <f>IF(COUNTIF(I34:XFD34,"&gt;"&amp;0)=0,,HLOOKUP(COUNTIF(I34:XFD34,"&gt;"&amp;0)-1,I$1:XFD34,A34+1,FALSE))</f>
        <v>470</v>
      </c>
      <c r="F34" s="7">
        <f>IF(COUNTIF(I34:XFD34,"&gt;"&amp;0)=0,,HLOOKUP(COUNTIF(I34:XFD34,"&gt;"&amp;0)-MIN($F$1+1,COUNTIF(I34:XFD34,"&gt;"&amp;0)),I$1:XFD34,A34+1,FALSE))</f>
        <v>401</v>
      </c>
      <c r="G34" s="8">
        <f>IF(COUNTIF(I34:XFD34,"&gt;"&amp;0)=0,,(E34/F34)^(1/MIN(COUNTIF(I34:XFD34,"&gt;"&amp;0)-1,$F$1)))</f>
        <v>1.0322637988958521</v>
      </c>
      <c r="H34" s="13" t="s">
        <v>101</v>
      </c>
      <c r="I34" s="9">
        <v>262</v>
      </c>
      <c r="J34" s="9">
        <v>262</v>
      </c>
      <c r="K34" s="9">
        <v>320</v>
      </c>
      <c r="L34" s="9">
        <v>337</v>
      </c>
      <c r="M34" s="9">
        <v>401</v>
      </c>
      <c r="N34" s="9">
        <v>439</v>
      </c>
      <c r="O34" s="9">
        <v>439</v>
      </c>
      <c r="P34" s="9">
        <v>452</v>
      </c>
      <c r="Q34" s="9">
        <v>460</v>
      </c>
      <c r="R34" s="9">
        <v>470</v>
      </c>
    </row>
    <row r="35" spans="1:29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Finland</v>
      </c>
      <c r="D35" s="6">
        <f>MAX(I35:CL35)</f>
        <v>450</v>
      </c>
      <c r="E35" s="6">
        <f>IF(COUNTIF(I35:XFD35,"&gt;"&amp;0)=0,,HLOOKUP(COUNTIF(I35:XFD35,"&gt;"&amp;0)-1,I$1:XFD35,A35+1,FALSE))</f>
        <v>450</v>
      </c>
      <c r="F35" s="7">
        <f>IF(COUNTIF(I35:XFD35,"&gt;"&amp;0)=0,,HLOOKUP(COUNTIF(I35:XFD35,"&gt;"&amp;0)-MIN($F$1+1,COUNTIF(I35:XFD35,"&gt;"&amp;0)),I$1:XFD35,A35+1,FALSE))</f>
        <v>244</v>
      </c>
      <c r="G35" s="8">
        <f>IF(COUNTIF(I35:XFD35,"&gt;"&amp;0)=0,,(E35/F35)^(1/MIN(COUNTIF(I35:XFD35,"&gt;"&amp;0)-1,$F$1)))</f>
        <v>1.1302240320152632</v>
      </c>
      <c r="H35" s="13" t="s">
        <v>54</v>
      </c>
      <c r="I35" s="9">
        <v>155</v>
      </c>
      <c r="J35" s="9">
        <v>225</v>
      </c>
      <c r="K35" s="9">
        <v>244</v>
      </c>
      <c r="L35" s="9">
        <v>277</v>
      </c>
      <c r="M35" s="9">
        <v>321</v>
      </c>
      <c r="N35" s="9">
        <v>336</v>
      </c>
      <c r="O35" s="9">
        <v>400</v>
      </c>
      <c r="P35" s="9">
        <v>450</v>
      </c>
    </row>
    <row r="36" spans="1:29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Chile</v>
      </c>
      <c r="D36" s="6">
        <f>MAX(I36:CL36)</f>
        <v>434</v>
      </c>
      <c r="E36" s="6">
        <f>IF(COUNTIF(I36:XFD36,"&gt;"&amp;0)=0,,HLOOKUP(COUNTIF(I36:XFD36,"&gt;"&amp;0)-1,I$1:XFD36,A36+1,FALSE))</f>
        <v>434</v>
      </c>
      <c r="F36" s="7">
        <f>IF(COUNTIF(I36:XFD36,"&gt;"&amp;0)=0,,HLOOKUP(COUNTIF(I36:XFD36,"&gt;"&amp;0)-MIN($F$1+1,COUNTIF(I36:XFD36,"&gt;"&amp;0)),I$1:XFD36,A36+1,FALSE))</f>
        <v>155</v>
      </c>
      <c r="G36" s="8">
        <f>IF(COUNTIF(I36:XFD36,"&gt;"&amp;0)=0,,(E36/F36)^(1/MIN(COUNTIF(I36:XFD36,"&gt;"&amp;0)-1,$F$1)))</f>
        <v>1.2935687276168015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</row>
    <row r="37" spans="1:29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Poland</v>
      </c>
      <c r="D37" s="6">
        <f>MAX(I37:CL37)</f>
        <v>425</v>
      </c>
      <c r="E37" s="6">
        <f>IF(COUNTIF(I37:XFD37,"&gt;"&amp;0)=0,,HLOOKUP(COUNTIF(I37:XFD37,"&gt;"&amp;0)-1,I$1:XFD37,A37+1,FALSE))</f>
        <v>425</v>
      </c>
      <c r="F37" s="7">
        <f>IF(COUNTIF(I37:XFD37,"&gt;"&amp;0)=0,,HLOOKUP(COUNTIF(I37:XFD37,"&gt;"&amp;0)-MIN($F$1+1,COUNTIF(I37:XFD37,"&gt;"&amp;0)),I$1:XFD37,A37+1,FALSE))</f>
        <v>119</v>
      </c>
      <c r="G37" s="8">
        <f>IF(COUNTIF(I37:XFD37,"&gt;"&amp;0)=0,,(E37/F37)^(1/MIN(COUNTIF(I37:XFD37,"&gt;"&amp;0)-1,$F$1)))</f>
        <v>1.2899366842116897</v>
      </c>
      <c r="H37" s="13" t="s">
        <v>137</v>
      </c>
      <c r="I37" s="9">
        <v>103</v>
      </c>
      <c r="J37" s="9">
        <v>119</v>
      </c>
      <c r="K37" s="9">
        <v>177</v>
      </c>
      <c r="L37" s="9">
        <v>238</v>
      </c>
      <c r="M37" s="9">
        <v>251</v>
      </c>
      <c r="N37" s="9">
        <v>355</v>
      </c>
      <c r="O37" s="9">
        <v>425</v>
      </c>
    </row>
    <row r="38" spans="1:29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Iceland</v>
      </c>
      <c r="D38" s="6">
        <f>MAX(I38:CL38)</f>
        <v>409</v>
      </c>
      <c r="E38" s="6">
        <f>IF(COUNTIF(I38:XFD38,"&gt;"&amp;0)=0,,HLOOKUP(COUNTIF(I38:XFD38,"&gt;"&amp;0)-1,I$1:XFD38,A38+1,FALSE))</f>
        <v>409</v>
      </c>
      <c r="F38" s="7">
        <f>IF(COUNTIF(I38:XFD38,"&gt;"&amp;0)=0,,HLOOKUP(COUNTIF(I38:XFD38,"&gt;"&amp;0)-MIN($F$1+1,COUNTIF(I38:XFD38,"&gt;"&amp;0)),I$1:XFD38,A38+1,FALSE))</f>
        <v>171</v>
      </c>
      <c r="G38" s="8">
        <f>IF(COUNTIF(I38:XFD38,"&gt;"&amp;0)=0,,(E38/F38)^(1/MIN(COUNTIF(I38:XFD38,"&gt;"&amp;0)-1,$F$1)))</f>
        <v>1.1905439695047038</v>
      </c>
      <c r="H38" s="13" t="s">
        <v>92</v>
      </c>
      <c r="I38" s="9">
        <v>103</v>
      </c>
      <c r="J38" s="9">
        <v>134</v>
      </c>
      <c r="K38" s="9">
        <v>156</v>
      </c>
      <c r="L38" s="9">
        <v>171</v>
      </c>
      <c r="M38" s="9">
        <v>180</v>
      </c>
      <c r="N38" s="9">
        <v>220</v>
      </c>
      <c r="O38" s="9">
        <v>250</v>
      </c>
      <c r="P38" s="9">
        <v>330</v>
      </c>
      <c r="Q38" s="9">
        <v>409</v>
      </c>
    </row>
    <row r="39" spans="1:29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Singapore</v>
      </c>
      <c r="D39" s="6">
        <f>MAX(I39:CL39)</f>
        <v>385</v>
      </c>
      <c r="E39" s="6">
        <f>IF(COUNTIF(I39:XFD39,"&gt;"&amp;0)=0,,HLOOKUP(COUNTIF(I39:XFD39,"&gt;"&amp;0)-1,I$1:XFD39,A39+1,FALSE))</f>
        <v>385</v>
      </c>
      <c r="F39" s="7">
        <f>IF(COUNTIF(I39:XFD39,"&gt;"&amp;0)=0,,HLOOKUP(COUNTIF(I39:XFD39,"&gt;"&amp;0)-MIN($F$1+1,COUNTIF(I39:XFD39,"&gt;"&amp;0)),I$1:XFD39,A39+1,FALSE))</f>
        <v>226</v>
      </c>
      <c r="G39" s="8">
        <f>IF(COUNTIF(I39:XFD39,"&gt;"&amp;0)=0,,(E39/F39)^(1/MIN(COUNTIF(I39:XFD39,"&gt;"&amp;0)-1,$F$1)))</f>
        <v>1.1124242768658286</v>
      </c>
      <c r="H39" s="13" t="s">
        <v>40</v>
      </c>
      <c r="I39" s="9">
        <v>102</v>
      </c>
      <c r="J39" s="9">
        <v>106</v>
      </c>
      <c r="K39" s="9">
        <v>108</v>
      </c>
      <c r="L39" s="9">
        <v>110</v>
      </c>
      <c r="M39" s="9">
        <v>110</v>
      </c>
      <c r="N39" s="9">
        <v>117</v>
      </c>
      <c r="O39" s="9">
        <v>130</v>
      </c>
      <c r="P39" s="9">
        <v>138</v>
      </c>
      <c r="Q39" s="9">
        <v>150</v>
      </c>
      <c r="R39" s="9">
        <v>150</v>
      </c>
      <c r="S39" s="9">
        <v>160</v>
      </c>
      <c r="T39" s="9">
        <v>178</v>
      </c>
      <c r="U39" s="9">
        <v>178</v>
      </c>
      <c r="V39" s="9">
        <v>200</v>
      </c>
      <c r="W39" s="9">
        <v>212</v>
      </c>
      <c r="X39" s="9">
        <v>226</v>
      </c>
      <c r="Y39" s="9">
        <v>243</v>
      </c>
      <c r="Z39" s="9">
        <v>266</v>
      </c>
      <c r="AA39" s="9">
        <v>313</v>
      </c>
      <c r="AB39" s="9">
        <v>345</v>
      </c>
      <c r="AC39" s="9">
        <v>385</v>
      </c>
    </row>
    <row r="40" spans="1:29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Indonesia</v>
      </c>
      <c r="D40" s="6">
        <f>MAX(I40:CL40)</f>
        <v>369</v>
      </c>
      <c r="E40" s="6">
        <f>IF(COUNTIF(I40:XFD40,"&gt;"&amp;0)=0,,HLOOKUP(COUNTIF(I40:XFD40,"&gt;"&amp;0)-1,I$1:XFD40,A40+1,FALSE))</f>
        <v>369</v>
      </c>
      <c r="F40" s="7">
        <f>IF(COUNTIF(I40:XFD40,"&gt;"&amp;0)=0,,HLOOKUP(COUNTIF(I40:XFD40,"&gt;"&amp;0)-MIN($F$1+1,COUNTIF(I40:XFD40,"&gt;"&amp;0)),I$1:XFD40,A40+1,FALSE))</f>
        <v>117</v>
      </c>
      <c r="G40" s="8">
        <f>IF(COUNTIF(I40:XFD40,"&gt;"&amp;0)=0,,(E40/F40)^(1/MIN(COUNTIF(I40:XFD40,"&gt;"&amp;0)-1,$F$1)))</f>
        <v>1.2582533660424671</v>
      </c>
      <c r="H40" s="13" t="s">
        <v>107</v>
      </c>
      <c r="I40" s="9">
        <v>117</v>
      </c>
      <c r="J40" s="9">
        <v>134</v>
      </c>
      <c r="K40" s="9">
        <v>172</v>
      </c>
      <c r="L40" s="9">
        <v>227</v>
      </c>
      <c r="M40" s="9">
        <v>311</v>
      </c>
      <c r="N40" s="9">
        <v>369</v>
      </c>
    </row>
    <row r="41" spans="1:29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Ecuador</v>
      </c>
      <c r="D41" s="6">
        <f>MAX(I41:CL41)</f>
        <v>367</v>
      </c>
      <c r="E41" s="6">
        <f>IF(COUNTIF(I41:XFD41,"&gt;"&amp;0)=0,,HLOOKUP(COUNTIF(I41:XFD41,"&gt;"&amp;0)-1,I$1:XFD41,A41+1,FALSE))</f>
        <v>367</v>
      </c>
      <c r="F41" s="7">
        <f>IF(COUNTIF(I41:XFD41,"&gt;"&amp;0)=0,,HLOOKUP(COUNTIF(I41:XFD41,"&gt;"&amp;0)-MIN($F$1+1,COUNTIF(I41:XFD41,"&gt;"&amp;0)),I$1:XFD41,A41+1,FALSE))</f>
        <v>111</v>
      </c>
      <c r="G41" s="8">
        <f>IF(COUNTIF(I41:XFD41,"&gt;"&amp;0)=0,,(E41/F41)^(1/MIN(COUNTIF(I41:XFD41,"&gt;"&amp;0)-1,$F$1)))</f>
        <v>1.8183251376765119</v>
      </c>
      <c r="H41" s="13" t="s">
        <v>103</v>
      </c>
      <c r="I41" s="9">
        <v>111</v>
      </c>
      <c r="J41" s="9">
        <v>199</v>
      </c>
      <c r="K41" s="9">
        <v>367</v>
      </c>
    </row>
    <row r="42" spans="1:29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Turkey</v>
      </c>
      <c r="D42" s="6">
        <f>MAX(I42:CL42)</f>
        <v>359</v>
      </c>
      <c r="E42" s="6">
        <f>IF(COUNTIF(I42:XFD42,"&gt;"&amp;0)=0,,HLOOKUP(COUNTIF(I42:XFD42,"&gt;"&amp;0)-1,I$1:XFD42,A42+1,FALSE))</f>
        <v>359</v>
      </c>
      <c r="F42" s="7">
        <f>IF(COUNTIF(I42:XFD42,"&gt;"&amp;0)=0,,HLOOKUP(COUNTIF(I42:XFD42,"&gt;"&amp;0)-MIN($F$1+1,COUNTIF(I42:XFD42,"&gt;"&amp;0)),I$1:XFD42,A42+1,FALSE))</f>
        <v>192</v>
      </c>
      <c r="G42" s="8">
        <f>IF(COUNTIF(I42:XFD42,"&gt;"&amp;0)=0,,(E42/F42)^(1/MIN(COUNTIF(I42:XFD42,"&gt;"&amp;0)-1,$F$1)))</f>
        <v>1.8697916666666667</v>
      </c>
      <c r="H42" s="13" t="s">
        <v>355</v>
      </c>
      <c r="I42" s="9">
        <v>192</v>
      </c>
      <c r="J42" s="9">
        <v>359</v>
      </c>
    </row>
    <row r="43" spans="1:29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Saudi Arabia</v>
      </c>
      <c r="D43" s="6">
        <f>MAX(I43:CL43)</f>
        <v>344</v>
      </c>
      <c r="E43" s="6">
        <f>IF(COUNTIF(I43:XFD43,"&gt;"&amp;0)=0,,HLOOKUP(COUNTIF(I43:XFD43,"&gt;"&amp;0)-1,I$1:XFD43,A43+1,FALSE))</f>
        <v>344</v>
      </c>
      <c r="F43" s="7">
        <f>IF(COUNTIF(I43:XFD43,"&gt;"&amp;0)=0,,HLOOKUP(COUNTIF(I43:XFD43,"&gt;"&amp;0)-MIN($F$1+1,COUNTIF(I43:XFD43,"&gt;"&amp;0)),I$1:XFD43,A43+1,FALSE))</f>
        <v>103</v>
      </c>
      <c r="G43" s="8">
        <f>IF(COUNTIF(I43:XFD43,"&gt;"&amp;0)=0,,(E43/F43)^(1/MIN(COUNTIF(I43:XFD43,"&gt;"&amp;0)-1,$F$1)))</f>
        <v>1.2727533346455708</v>
      </c>
      <c r="H43" s="13" t="s">
        <v>113</v>
      </c>
      <c r="I43" s="9">
        <v>103</v>
      </c>
      <c r="J43" s="9">
        <v>103</v>
      </c>
      <c r="K43" s="9">
        <v>118</v>
      </c>
      <c r="L43" s="9">
        <v>171</v>
      </c>
      <c r="M43" s="9">
        <v>171</v>
      </c>
      <c r="N43" s="9">
        <v>274</v>
      </c>
      <c r="O43" s="9">
        <v>344</v>
      </c>
    </row>
    <row r="44" spans="1:29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Slovenia</v>
      </c>
      <c r="D44" s="6">
        <f>MAX(I44:CL44)</f>
        <v>341</v>
      </c>
      <c r="E44" s="6">
        <f>IF(COUNTIF(I44:XFD44,"&gt;"&amp;0)=0,,HLOOKUP(COUNTIF(I44:XFD44,"&gt;"&amp;0)-1,I$1:XFD44,A44+1,FALSE))</f>
        <v>341</v>
      </c>
      <c r="F44" s="7">
        <f>IF(COUNTIF(I44:XFD44,"&gt;"&amp;0)=0,,HLOOKUP(COUNTIF(I44:XFD44,"&gt;"&amp;0)-MIN($F$1+1,COUNTIF(I44:XFD44,"&gt;"&amp;0)),I$1:XFD44,A44+1,FALSE))</f>
        <v>219</v>
      </c>
      <c r="G44" s="8">
        <f>IF(COUNTIF(I44:XFD44,"&gt;"&amp;0)=0,,(E44/F44)^(1/MIN(COUNTIF(I44:XFD44,"&gt;"&amp;0)-1,$F$1)))</f>
        <v>1.0926021551708378</v>
      </c>
      <c r="H44" s="13" t="s">
        <v>141</v>
      </c>
      <c r="I44" s="9">
        <v>141</v>
      </c>
      <c r="J44" s="9">
        <v>181</v>
      </c>
      <c r="K44" s="9">
        <v>219</v>
      </c>
      <c r="L44" s="9">
        <v>253</v>
      </c>
      <c r="M44" s="9">
        <v>275</v>
      </c>
      <c r="N44" s="9">
        <v>275</v>
      </c>
      <c r="O44" s="9">
        <v>286</v>
      </c>
      <c r="P44" s="9">
        <v>341</v>
      </c>
    </row>
    <row r="45" spans="1:29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Thailand</v>
      </c>
      <c r="D45" s="6">
        <f>MAX(I45:CL45)</f>
        <v>322</v>
      </c>
      <c r="E45" s="6">
        <f>IF(COUNTIF(I45:XFD45,"&gt;"&amp;0)=0,,HLOOKUP(COUNTIF(I45:XFD45,"&gt;"&amp;0)-1,I$1:XFD45,A45+1,FALSE))</f>
        <v>322</v>
      </c>
      <c r="F45" s="7">
        <f>IF(COUNTIF(I45:XFD45,"&gt;"&amp;0)=0,,HLOOKUP(COUNTIF(I45:XFD45,"&gt;"&amp;0)-MIN($F$1+1,COUNTIF(I45:XFD45,"&gt;"&amp;0)),I$1:XFD45,A45+1,FALSE))</f>
        <v>114</v>
      </c>
      <c r="G45" s="8">
        <f>IF(COUNTIF(I45:XFD45,"&gt;"&amp;0)=0,,(E45/F45)^(1/MIN(COUNTIF(I45:XFD45,"&gt;"&amp;0)-1,$F$1)))</f>
        <v>1.230807698634055</v>
      </c>
      <c r="H45" s="13" t="s">
        <v>35</v>
      </c>
      <c r="I45" s="9">
        <v>114</v>
      </c>
      <c r="J45" s="9">
        <v>147</v>
      </c>
      <c r="K45" s="9">
        <v>177</v>
      </c>
      <c r="L45" s="9">
        <v>212</v>
      </c>
      <c r="M45" s="9">
        <v>272</v>
      </c>
      <c r="N45" s="9">
        <v>322</v>
      </c>
    </row>
    <row r="46" spans="1:29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Romania</v>
      </c>
      <c r="D46" s="6">
        <f>MAX(I46:CL46)</f>
        <v>308</v>
      </c>
      <c r="E46" s="6">
        <f>IF(COUNTIF(I46:XFD46,"&gt;"&amp;0)=0,,HLOOKUP(COUNTIF(I46:XFD46,"&gt;"&amp;0)-1,I$1:XFD46,A46+1,FALSE))</f>
        <v>308</v>
      </c>
      <c r="F46" s="7">
        <f>IF(COUNTIF(I46:XFD46,"&gt;"&amp;0)=0,,HLOOKUP(COUNTIF(I46:XFD46,"&gt;"&amp;0)-MIN($F$1+1,COUNTIF(I46:XFD46,"&gt;"&amp;0)),I$1:XFD46,A46+1,FALSE))</f>
        <v>131</v>
      </c>
      <c r="G46" s="8">
        <f>IF(COUNTIF(I46:XFD46,"&gt;"&amp;0)=0,,(E46/F46)^(1/MIN(COUNTIF(I46:XFD46,"&gt;"&amp;0)-1,$F$1)))</f>
        <v>1.1864676031319425</v>
      </c>
      <c r="H46" s="13" t="s">
        <v>86</v>
      </c>
      <c r="I46" s="9">
        <v>123</v>
      </c>
      <c r="J46" s="9">
        <v>131</v>
      </c>
      <c r="K46" s="9">
        <v>158</v>
      </c>
      <c r="L46" s="9">
        <v>184</v>
      </c>
      <c r="M46" s="9">
        <v>260</v>
      </c>
      <c r="N46" s="9">
        <v>277</v>
      </c>
      <c r="O46" s="9">
        <v>308</v>
      </c>
    </row>
    <row r="47" spans="1:29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Bahrain</v>
      </c>
      <c r="D47" s="6">
        <f>MAX(I47:CL47)</f>
        <v>285</v>
      </c>
      <c r="E47" s="6">
        <f>IF(COUNTIF(I47:XFD47,"&gt;"&amp;0)=0,,HLOOKUP(COUNTIF(I47:XFD47,"&gt;"&amp;0)-1,I$1:XFD47,A47+1,FALSE))</f>
        <v>285</v>
      </c>
      <c r="F47" s="7">
        <f>IF(COUNTIF(I47:XFD47,"&gt;"&amp;0)=0,,HLOOKUP(COUNTIF(I47:XFD47,"&gt;"&amp;0)-MIN($F$1+1,COUNTIF(I47:XFD47,"&gt;"&amp;0)),I$1:XFD47,A47+1,FALSE))</f>
        <v>214</v>
      </c>
      <c r="G47" s="8">
        <f>IF(COUNTIF(I47:XFD47,"&gt;"&amp;0)=0,,(E47/F47)^(1/MIN(COUNTIF(I47:XFD47,"&gt;"&amp;0)-1,$F$1)))</f>
        <v>1.0589762431159426</v>
      </c>
      <c r="H47" s="13" t="s">
        <v>73</v>
      </c>
      <c r="I47" s="9">
        <v>110</v>
      </c>
      <c r="J47" s="9">
        <v>195</v>
      </c>
      <c r="K47" s="9">
        <v>195</v>
      </c>
      <c r="L47" s="9">
        <v>189</v>
      </c>
      <c r="M47" s="9">
        <v>210</v>
      </c>
      <c r="N47" s="9">
        <v>214</v>
      </c>
      <c r="O47" s="9">
        <v>214</v>
      </c>
      <c r="P47" s="9">
        <v>228</v>
      </c>
      <c r="Q47" s="9">
        <v>256</v>
      </c>
      <c r="R47" s="9">
        <v>278</v>
      </c>
      <c r="S47" s="9">
        <v>285</v>
      </c>
    </row>
    <row r="48" spans="1:29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Egypt</v>
      </c>
      <c r="D48" s="6">
        <f>MAX(I48:CL48)</f>
        <v>285</v>
      </c>
      <c r="E48" s="6">
        <f>IF(COUNTIF(I48:XFD48,"&gt;"&amp;0)=0,,HLOOKUP(COUNTIF(I48:XFD48,"&gt;"&amp;0)-1,I$1:XFD48,A48+1,FALSE))</f>
        <v>285</v>
      </c>
      <c r="F48" s="7">
        <f>IF(COUNTIF(I48:XFD48,"&gt;"&amp;0)=0,,HLOOKUP(COUNTIF(I48:XFD48,"&gt;"&amp;0)-MIN($F$1+1,COUNTIF(I48:XFD48,"&gt;"&amp;0)),I$1:XFD48,A48+1,FALSE))</f>
        <v>110</v>
      </c>
      <c r="G48" s="8">
        <f>IF(COUNTIF(I48:XFD48,"&gt;"&amp;0)=0,,(E48/F48)^(1/MIN(COUNTIF(I48:XFD48,"&gt;"&amp;0)-1,$F$1)))</f>
        <v>1.2097355268843126</v>
      </c>
      <c r="H48" s="13" t="s">
        <v>65</v>
      </c>
      <c r="I48" s="9">
        <v>109</v>
      </c>
      <c r="J48" s="9">
        <v>110</v>
      </c>
      <c r="K48" s="9">
        <v>150</v>
      </c>
      <c r="L48" s="9">
        <v>196</v>
      </c>
      <c r="M48" s="9">
        <v>196</v>
      </c>
      <c r="N48" s="9">
        <v>256</v>
      </c>
      <c r="O48" s="9">
        <v>285</v>
      </c>
    </row>
    <row r="49" spans="1:16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Estonia</v>
      </c>
      <c r="D49" s="6">
        <f>MAX(I49:CL49)</f>
        <v>283</v>
      </c>
      <c r="E49" s="6">
        <f>IF(COUNTIF(I49:XFD49,"&gt;"&amp;0)=0,,HLOOKUP(COUNTIF(I49:XFD49,"&gt;"&amp;0)-1,I$1:XFD49,A49+1,FALSE))</f>
        <v>283</v>
      </c>
      <c r="F49" s="7">
        <f>IF(COUNTIF(I49:XFD49,"&gt;"&amp;0)=0,,HLOOKUP(COUNTIF(I49:XFD49,"&gt;"&amp;0)-MIN($F$1+1,COUNTIF(I49:XFD49,"&gt;"&amp;0)),I$1:XFD49,A49+1,FALSE))</f>
        <v>171</v>
      </c>
      <c r="G49" s="8">
        <f>IF(COUNTIF(I49:XFD49,"&gt;"&amp;0)=0,,(E49/F49)^(1/MIN(COUNTIF(I49:XFD49,"&gt;"&amp;0)-1,$F$1)))</f>
        <v>1.1060074822568469</v>
      </c>
      <c r="H49" s="13" t="s">
        <v>88</v>
      </c>
      <c r="I49" s="9">
        <v>115</v>
      </c>
      <c r="J49" s="9">
        <v>171</v>
      </c>
      <c r="K49" s="9">
        <v>205</v>
      </c>
      <c r="L49" s="9">
        <v>225</v>
      </c>
      <c r="M49" s="9">
        <v>258</v>
      </c>
      <c r="N49" s="9">
        <v>267</v>
      </c>
      <c r="O49" s="9">
        <v>283</v>
      </c>
    </row>
    <row r="50" spans="1:16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Russia</v>
      </c>
      <c r="D50" s="6">
        <f>MAX(I50:CL50)</f>
        <v>253</v>
      </c>
      <c r="E50" s="6">
        <f>IF(COUNTIF(I50:XFD50,"&gt;"&amp;0)=0,,HLOOKUP(COUNTIF(I50:XFD50,"&gt;"&amp;0)-1,I$1:XFD50,A50+1,FALSE))</f>
        <v>253</v>
      </c>
      <c r="F50" s="7">
        <f>IF(COUNTIF(I50:XFD50,"&gt;"&amp;0)=0,,HLOOKUP(COUNTIF(I50:XFD50,"&gt;"&amp;0)-MIN($F$1+1,COUNTIF(I50:XFD50,"&gt;"&amp;0)),I$1:XFD50,A50+1,FALSE))</f>
        <v>114</v>
      </c>
      <c r="G50" s="8">
        <f>IF(COUNTIF(I50:XFD50,"&gt;"&amp;0)=0,,(E50/F50)^(1/MIN(COUNTIF(I50:XFD50,"&gt;"&amp;0)-1,$F$1)))</f>
        <v>1.3043832801053181</v>
      </c>
      <c r="H50" s="13" t="s">
        <v>344</v>
      </c>
      <c r="I50" s="9">
        <v>114</v>
      </c>
      <c r="J50" s="9">
        <v>147</v>
      </c>
      <c r="K50" s="9">
        <v>199</v>
      </c>
      <c r="L50" s="9">
        <v>253</v>
      </c>
    </row>
    <row r="51" spans="1:16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India</v>
      </c>
      <c r="D51" s="6">
        <f>MAX(I51:CL51)</f>
        <v>244</v>
      </c>
      <c r="E51" s="6">
        <f>IF(COUNTIF(I51:XFD51,"&gt;"&amp;0)=0,,HLOOKUP(COUNTIF(I51:XFD51,"&gt;"&amp;0)-1,I$1:XFD51,A51+1,FALSE))</f>
        <v>244</v>
      </c>
      <c r="F51" s="7">
        <f>IF(COUNTIF(I51:XFD51,"&gt;"&amp;0)=0,,HLOOKUP(COUNTIF(I51:XFD51,"&gt;"&amp;0)-MIN($F$1+1,COUNTIF(I51:XFD51,"&gt;"&amp;0)),I$1:XFD51,A51+1,FALSE))</f>
        <v>113</v>
      </c>
      <c r="G51" s="8">
        <f>IF(COUNTIF(I51:XFD51,"&gt;"&amp;0)=0,,(E51/F51)^(1/MIN(COUNTIF(I51:XFD51,"&gt;"&amp;0)-1,$F$1)))</f>
        <v>1.1664396571589721</v>
      </c>
      <c r="H51" s="13" t="s">
        <v>57</v>
      </c>
      <c r="I51" s="9">
        <v>102</v>
      </c>
      <c r="J51" s="9">
        <v>113</v>
      </c>
      <c r="K51" s="9">
        <v>119</v>
      </c>
      <c r="L51" s="9">
        <v>142</v>
      </c>
      <c r="M51" s="9">
        <v>156</v>
      </c>
      <c r="N51" s="9">
        <v>194</v>
      </c>
      <c r="O51" s="9">
        <v>244</v>
      </c>
    </row>
    <row r="52" spans="1:16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Peru</v>
      </c>
      <c r="D52" s="6">
        <f>MAX(I52:CL52)</f>
        <v>234</v>
      </c>
      <c r="E52" s="6">
        <f>IF(COUNTIF(I52:XFD52,"&gt;"&amp;0)=0,,HLOOKUP(COUNTIF(I52:XFD52,"&gt;"&amp;0)-1,I$1:XFD52,A52+1,FALSE))</f>
        <v>234</v>
      </c>
      <c r="F52" s="7">
        <f>IF(COUNTIF(I52:XFD52,"&gt;"&amp;0)=0,,HLOOKUP(COUNTIF(I52:XFD52,"&gt;"&amp;0)-MIN($F$1+1,COUNTIF(I52:XFD52,"&gt;"&amp;0)),I$1:XFD52,A52+1,FALSE))</f>
        <v>117</v>
      </c>
      <c r="G52" s="8">
        <f>IF(COUNTIF(I52:XFD52,"&gt;"&amp;0)=0,,(E52/F52)^(1/MIN(COUNTIF(I52:XFD52,"&gt;"&amp;0)-1,$F$1)))</f>
        <v>1.2599210498948732</v>
      </c>
      <c r="H52" s="13" t="s">
        <v>160</v>
      </c>
      <c r="I52" s="9">
        <v>117</v>
      </c>
      <c r="J52" s="9">
        <v>145</v>
      </c>
      <c r="K52" s="9">
        <v>234</v>
      </c>
      <c r="L52" s="9">
        <v>234</v>
      </c>
    </row>
    <row r="53" spans="1:16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Philippines</v>
      </c>
      <c r="D53" s="6">
        <f>MAX(I53:CL53)</f>
        <v>230</v>
      </c>
      <c r="E53" s="6">
        <f>IF(COUNTIF(I53:XFD53,"&gt;"&amp;0)=0,,HLOOKUP(COUNTIF(I53:XFD53,"&gt;"&amp;0)-1,I$1:XFD53,A53+1,FALSE))</f>
        <v>230</v>
      </c>
      <c r="F53" s="7">
        <f>IF(COUNTIF(I53:XFD53,"&gt;"&amp;0)=0,,HLOOKUP(COUNTIF(I53:XFD53,"&gt;"&amp;0)-MIN($F$1+1,COUNTIF(I53:XFD53,"&gt;"&amp;0)),I$1:XFD53,A53+1,FALSE))</f>
        <v>140</v>
      </c>
      <c r="G53" s="8">
        <f>IF(COUNTIF(I53:XFD53,"&gt;"&amp;0)=0,,(E53/F53)^(1/MIN(COUNTIF(I53:XFD53,"&gt;"&amp;0)-1,$F$1)))</f>
        <v>1.1043836287043816</v>
      </c>
      <c r="H53" s="13" t="s">
        <v>56</v>
      </c>
      <c r="I53" s="9">
        <v>111</v>
      </c>
      <c r="J53" s="9">
        <v>140</v>
      </c>
      <c r="K53" s="9">
        <v>142</v>
      </c>
      <c r="L53" s="9">
        <v>187</v>
      </c>
      <c r="M53" s="9">
        <v>202</v>
      </c>
      <c r="N53" s="9">
        <v>217</v>
      </c>
      <c r="O53" s="9">
        <v>230</v>
      </c>
    </row>
    <row r="54" spans="1:16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Iraq</v>
      </c>
      <c r="D54" s="6">
        <f>MAX(I54:CL54)</f>
        <v>208</v>
      </c>
      <c r="E54" s="6">
        <f>IF(COUNTIF(I54:XFD54,"&gt;"&amp;0)=0,,HLOOKUP(COUNTIF(I54:XFD54,"&gt;"&amp;0)-1,I$1:XFD54,A54+1,FALSE))</f>
        <v>208</v>
      </c>
      <c r="F54" s="7">
        <f>IF(COUNTIF(I54:XFD54,"&gt;"&amp;0)=0,,HLOOKUP(COUNTIF(I54:XFD54,"&gt;"&amp;0)-MIN($F$1+1,COUNTIF(I54:XFD54,"&gt;"&amp;0)),I$1:XFD54,A54+1,FALSE))</f>
        <v>116</v>
      </c>
      <c r="G54" s="8">
        <f>IF(COUNTIF(I54:XFD54,"&gt;"&amp;0)=0,,(E54/F54)^(1/MIN(COUNTIF(I54:XFD54,"&gt;"&amp;0)-1,$F$1)))</f>
        <v>1.1238829148008884</v>
      </c>
      <c r="H54" s="13" t="s">
        <v>70</v>
      </c>
      <c r="I54" s="9">
        <v>101</v>
      </c>
      <c r="J54" s="9">
        <v>110</v>
      </c>
      <c r="K54" s="9">
        <v>116</v>
      </c>
      <c r="L54" s="9">
        <v>124</v>
      </c>
      <c r="M54" s="9">
        <v>154</v>
      </c>
      <c r="N54" s="9">
        <v>164</v>
      </c>
      <c r="O54" s="9">
        <v>192</v>
      </c>
      <c r="P54" s="9">
        <v>208</v>
      </c>
    </row>
    <row r="55" spans="1:16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South Africa</v>
      </c>
      <c r="D55" s="6">
        <f>MAX(I55:CL55)</f>
        <v>202</v>
      </c>
      <c r="E55" s="6">
        <f>IF(COUNTIF(I55:XFD55,"&gt;"&amp;0)=0,,HLOOKUP(COUNTIF(I55:XFD55,"&gt;"&amp;0)-1,I$1:XFD55,A55+1,FALSE))</f>
        <v>202</v>
      </c>
      <c r="F55" s="7">
        <f>IF(COUNTIF(I55:XFD55,"&gt;"&amp;0)=0,,HLOOKUP(COUNTIF(I55:XFD55,"&gt;"&amp;0)-MIN($F$1+1,COUNTIF(I55:XFD55,"&gt;"&amp;0)),I$1:XFD55,A55+1,FALSE))</f>
        <v>116</v>
      </c>
      <c r="G55" s="8">
        <f>IF(COUNTIF(I55:XFD55,"&gt;"&amp;0)=0,,(E55/F55)^(1/MIN(COUNTIF(I55:XFD55,"&gt;"&amp;0)-1,$F$1)))</f>
        <v>1.3196133184932728</v>
      </c>
      <c r="H55" s="13" t="s">
        <v>145</v>
      </c>
      <c r="I55" s="9">
        <v>116</v>
      </c>
      <c r="J55" s="9">
        <v>150</v>
      </c>
      <c r="K55" s="9">
        <v>202</v>
      </c>
    </row>
    <row r="56" spans="1:16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Mexico</v>
      </c>
      <c r="D56" s="6">
        <f>MAX(I56:CL56)</f>
        <v>164</v>
      </c>
      <c r="E56" s="6">
        <f>IF(COUNTIF(I56:XFD56,"&gt;"&amp;0)=0,,HLOOKUP(COUNTIF(I56:XFD56,"&gt;"&amp;0)-1,I$1:XFD56,A56+1,FALSE))</f>
        <v>164</v>
      </c>
      <c r="F56" s="7">
        <f>IF(COUNTIF(I56:XFD56,"&gt;"&amp;0)=0,,HLOOKUP(COUNTIF(I56:XFD56,"&gt;"&amp;0)-MIN($F$1+1,COUNTIF(I56:XFD56,"&gt;"&amp;0)),I$1:XFD56,A56+1,FALSE))</f>
        <v>118</v>
      </c>
      <c r="G56" s="8">
        <f>IF(COUNTIF(I56:XFD56,"&gt;"&amp;0)=0,,(E56/F56)^(1/MIN(COUNTIF(I56:XFD56,"&gt;"&amp;0)-1,$F$1)))</f>
        <v>1.3898305084745763</v>
      </c>
      <c r="H56" s="13" t="s">
        <v>94</v>
      </c>
      <c r="I56" s="9">
        <v>118</v>
      </c>
      <c r="J56" s="9">
        <v>164</v>
      </c>
    </row>
    <row r="57" spans="1:16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Lebanon</v>
      </c>
      <c r="D57" s="6">
        <f>MAX(I57:CL57)</f>
        <v>163</v>
      </c>
      <c r="E57" s="6">
        <f>IF(COUNTIF(I57:XFD57,"&gt;"&amp;0)=0,,HLOOKUP(COUNTIF(I57:XFD57,"&gt;"&amp;0)-1,I$1:XFD57,A57+1,FALSE))</f>
        <v>163</v>
      </c>
      <c r="F57" s="7">
        <f>IF(COUNTIF(I57:XFD57,"&gt;"&amp;0)=0,,HLOOKUP(COUNTIF(I57:XFD57,"&gt;"&amp;0)-MIN($F$1+1,COUNTIF(I57:XFD57,"&gt;"&amp;0)),I$1:XFD57,A57+1,FALSE))</f>
        <v>110</v>
      </c>
      <c r="G57" s="8">
        <f>IF(COUNTIF(I57:XFD57,"&gt;"&amp;0)=0,,(E57/F57)^(1/MIN(COUNTIF(I57:XFD57,"&gt;"&amp;0)-1,$F$1)))</f>
        <v>1.0818299084487106</v>
      </c>
      <c r="H57" s="15" t="s">
        <v>67</v>
      </c>
      <c r="I57" s="9">
        <v>110</v>
      </c>
      <c r="J57" s="9">
        <v>99</v>
      </c>
      <c r="K57" s="9">
        <v>120</v>
      </c>
      <c r="L57" s="9">
        <v>133</v>
      </c>
      <c r="M57" s="9">
        <v>157</v>
      </c>
      <c r="N57" s="9">
        <v>163</v>
      </c>
    </row>
    <row r="58" spans="1:16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Kuwait</v>
      </c>
      <c r="D58" s="6">
        <f>MAX(I58:CL58)</f>
        <v>159</v>
      </c>
      <c r="E58" s="6">
        <f>IF(COUNTIF(I58:XFD58,"&gt;"&amp;0)=0,,HLOOKUP(COUNTIF(I58:XFD58,"&gt;"&amp;0)-1,I$1:XFD58,A58+1,FALSE))</f>
        <v>159</v>
      </c>
      <c r="F58" s="7">
        <f>IF(COUNTIF(I58:XFD58,"&gt;"&amp;0)=0,,HLOOKUP(COUNTIF(I58:XFD58,"&gt;"&amp;0)-MIN($F$1+1,COUNTIF(I58:XFD58,"&gt;"&amp;0)),I$1:XFD58,A58+1,FALSE))</f>
        <v>112</v>
      </c>
      <c r="G58" s="8">
        <f>IF(COUNTIF(I58:XFD58,"&gt;"&amp;0)=0,,(E58/F58)^(1/MIN(COUNTIF(I58:XFD58,"&gt;"&amp;0)-1,$F$1)))</f>
        <v>1.0725951289250919</v>
      </c>
      <c r="H58" s="13" t="s">
        <v>74</v>
      </c>
      <c r="I58" s="9">
        <v>104</v>
      </c>
      <c r="J58" s="9">
        <v>112</v>
      </c>
      <c r="K58" s="9">
        <v>123</v>
      </c>
      <c r="L58" s="9">
        <v>130</v>
      </c>
      <c r="M58" s="9">
        <v>142</v>
      </c>
      <c r="N58" s="9">
        <v>148</v>
      </c>
      <c r="O58" s="9">
        <v>159</v>
      </c>
    </row>
    <row r="59" spans="1:16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San Marino</v>
      </c>
      <c r="D59" s="6">
        <f>MAX(I59:CL59)</f>
        <v>144</v>
      </c>
      <c r="E59" s="6">
        <f>IF(COUNTIF(I59:XFD59,"&gt;"&amp;0)=0,,HLOOKUP(COUNTIF(I59:XFD59,"&gt;"&amp;0)-1,I$1:XFD59,A59+1,FALSE))</f>
        <v>144</v>
      </c>
      <c r="F59" s="7">
        <f>IF(COUNTIF(I59:XFD59,"&gt;"&amp;0)=0,,HLOOKUP(COUNTIF(I59:XFD59,"&gt;"&amp;0)-MIN($F$1+1,COUNTIF(I59:XFD59,"&gt;"&amp;0)),I$1:XFD59,A59+1,FALSE))</f>
        <v>101</v>
      </c>
      <c r="G59" s="8">
        <f>IF(COUNTIF(I59:XFD59,"&gt;"&amp;0)=0,,(E59/F59)^(1/MIN(COUNTIF(I59:XFD59,"&gt;"&amp;0)-1,$F$1)))</f>
        <v>1.0735152633572114</v>
      </c>
      <c r="H59" s="13" t="s">
        <v>90</v>
      </c>
      <c r="I59" s="9">
        <v>101</v>
      </c>
      <c r="J59" s="9">
        <v>109</v>
      </c>
      <c r="K59" s="9">
        <v>109</v>
      </c>
      <c r="L59" s="9">
        <v>119</v>
      </c>
      <c r="M59" s="9">
        <v>119</v>
      </c>
      <c r="N59" s="9">
        <v>144</v>
      </c>
    </row>
    <row r="60" spans="1:16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United Arab Emirates</v>
      </c>
      <c r="D60" s="6">
        <f>MAX(I60:CL60)</f>
        <v>140</v>
      </c>
      <c r="E60" s="6">
        <f>IF(COUNTIF(I60:XFD60,"&gt;"&amp;0)=0,,HLOOKUP(COUNTIF(I60:XFD60,"&gt;"&amp;0)-1,I$1:XFD60,A60+1,FALSE))</f>
        <v>140</v>
      </c>
      <c r="F60" s="7">
        <f>IF(COUNTIF(I60:XFD60,"&gt;"&amp;0)=0,,HLOOKUP(COUNTIF(I60:XFD60,"&gt;"&amp;0)-MIN($F$1+1,COUNTIF(I60:XFD60,"&gt;"&amp;0)),I$1:XFD60,A60+1,FALSE))</f>
        <v>113</v>
      </c>
      <c r="G60" s="8">
        <f>IF(COUNTIF(I60:XFD60,"&gt;"&amp;0)=0,,(E60/F60)^(1/MIN(COUNTIF(I60:XFD60,"&gt;"&amp;0)-1,$F$1)))</f>
        <v>1.1130759421968228</v>
      </c>
      <c r="H60" s="13" t="s">
        <v>55</v>
      </c>
      <c r="I60" s="9">
        <v>113</v>
      </c>
      <c r="J60" s="9">
        <v>140</v>
      </c>
      <c r="K60" s="9">
        <v>140</v>
      </c>
    </row>
    <row r="61" spans="1:16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Slovakia</v>
      </c>
      <c r="D61" s="6">
        <f>MAX(I61:CL61)</f>
        <v>137</v>
      </c>
      <c r="E61" s="6">
        <f>IF(COUNTIF(I61:XFD61,"&gt;"&amp;0)=0,,HLOOKUP(COUNTIF(I61:XFD61,"&gt;"&amp;0)-1,I$1:XFD61,A61+1,FALSE))</f>
        <v>137</v>
      </c>
      <c r="F61" s="7">
        <f>IF(COUNTIF(I61:XFD61,"&gt;"&amp;0)=0,,HLOOKUP(COUNTIF(I61:XFD61,"&gt;"&amp;0)-MIN($F$1+1,COUNTIF(I61:XFD61,"&gt;"&amp;0)),I$1:XFD61,A61+1,FALSE))</f>
        <v>105</v>
      </c>
      <c r="G61" s="8">
        <f>IF(COUNTIF(I61:XFD61,"&gt;"&amp;0)=0,,(E61/F61)^(1/MIN(COUNTIF(I61:XFD61,"&gt;"&amp;0)-1,$F$1)))</f>
        <v>1.1422617496711973</v>
      </c>
      <c r="H61" s="13" t="s">
        <v>162</v>
      </c>
      <c r="I61" s="9">
        <v>105</v>
      </c>
      <c r="J61" s="9">
        <v>123</v>
      </c>
      <c r="K61" s="9">
        <v>137</v>
      </c>
    </row>
    <row r="62" spans="1:16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Panama</v>
      </c>
      <c r="D62" s="6">
        <f>MAX(I62:CL62)</f>
        <v>137</v>
      </c>
      <c r="E62" s="6">
        <f>IF(COUNTIF(I62:XFD62,"&gt;"&amp;0)=0,,HLOOKUP(COUNTIF(I62:XFD62,"&gt;"&amp;0)-1,I$1:XFD62,A62+1,FALSE))</f>
        <v>137</v>
      </c>
      <c r="F62" s="7">
        <f>IF(COUNTIF(I62:XFD62,"&gt;"&amp;0)=0,,HLOOKUP(COUNTIF(I62:XFD62,"&gt;"&amp;0)-MIN($F$1+1,COUNTIF(I62:XFD62,"&gt;"&amp;0)),I$1:XFD62,A62+1,FALSE))</f>
        <v>109</v>
      </c>
      <c r="G62" s="8">
        <f>IF(COUNTIF(I62:XFD62,"&gt;"&amp;0)=0,,(E62/F62)^(1/MIN(COUNTIF(I62:XFD62,"&gt;"&amp;0)-1,$F$1)))</f>
        <v>1.2568807339449541</v>
      </c>
      <c r="H62" s="13" t="s">
        <v>283</v>
      </c>
      <c r="I62" s="9">
        <v>109</v>
      </c>
      <c r="J62" s="9">
        <v>137</v>
      </c>
    </row>
    <row r="63" spans="1:16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Armenia</v>
      </c>
      <c r="D63" s="6">
        <f>MAX(I63:CL63)</f>
        <v>136</v>
      </c>
      <c r="E63" s="6">
        <f>IF(COUNTIF(I63:XFD63,"&gt;"&amp;0)=0,,HLOOKUP(COUNTIF(I63:XFD63,"&gt;"&amp;0)-1,I$1:XFD63,A63+1,FALSE))</f>
        <v>136</v>
      </c>
      <c r="F63" s="7">
        <f>IF(COUNTIF(I63:XFD63,"&gt;"&amp;0)=0,,HLOOKUP(COUNTIF(I63:XFD63,"&gt;"&amp;0)-MIN($F$1+1,COUNTIF(I63:XFD63,"&gt;"&amp;0)),I$1:XFD63,A63+1,FALSE))</f>
        <v>115</v>
      </c>
      <c r="G63" s="8">
        <f>IF(COUNTIF(I63:XFD63,"&gt;"&amp;0)=0,,(E63/F63)^(1/MIN(COUNTIF(I63:XFD63,"&gt;"&amp;0)-1,$F$1)))</f>
        <v>1.182608695652174</v>
      </c>
      <c r="H63" s="13" t="s">
        <v>105</v>
      </c>
      <c r="I63" s="9">
        <v>115</v>
      </c>
      <c r="J63" s="9">
        <v>136</v>
      </c>
    </row>
    <row r="64" spans="1:16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Taiwan*</v>
      </c>
      <c r="D64" s="6">
        <f>MAX(I64:CL64)</f>
        <v>135</v>
      </c>
      <c r="E64" s="6">
        <f>IF(COUNTIF(I64:XFD64,"&gt;"&amp;0)=0,,HLOOKUP(COUNTIF(I64:XFD64,"&gt;"&amp;0)-1,I$1:XFD64,A64+1,FALSE))</f>
        <v>135</v>
      </c>
      <c r="F64" s="7">
        <f>IF(COUNTIF(I64:XFD64,"&gt;"&amp;0)=0,,HLOOKUP(COUNTIF(I64:XFD64,"&gt;"&amp;0)-MIN($F$1+1,COUNTIF(I64:XFD64,"&gt;"&amp;0)),I$1:XFD64,A64+1,FALSE))</f>
        <v>100</v>
      </c>
      <c r="G64" s="8">
        <f>IF(COUNTIF(I64:XFD64,"&gt;"&amp;0)=0,,(E64/F64)^(1/MIN(COUNTIF(I64:XFD64,"&gt;"&amp;0)-1,$F$1)))</f>
        <v>1.1618950038622251</v>
      </c>
      <c r="H64" s="15" t="s">
        <v>342</v>
      </c>
      <c r="I64" s="9">
        <v>100</v>
      </c>
      <c r="J64" s="9">
        <v>108</v>
      </c>
      <c r="K64" s="9">
        <v>135</v>
      </c>
    </row>
    <row r="65" spans="1:10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Serbia</v>
      </c>
      <c r="D65" s="6">
        <f>MAX(I65:CL65)</f>
        <v>135</v>
      </c>
      <c r="E65" s="6">
        <f>IF(COUNTIF(I65:XFD65,"&gt;"&amp;0)=0,,HLOOKUP(COUNTIF(I65:XFD65,"&gt;"&amp;0)-1,I$1:XFD65,A65+1,FALSE))</f>
        <v>135</v>
      </c>
      <c r="F65" s="7">
        <f>IF(COUNTIF(I65:XFD65,"&gt;"&amp;0)=0,,HLOOKUP(COUNTIF(I65:XFD65,"&gt;"&amp;0)-MIN($F$1+1,COUNTIF(I65:XFD65,"&gt;"&amp;0)),I$1:XFD65,A65+1,FALSE))</f>
        <v>103</v>
      </c>
      <c r="G65" s="8">
        <f>IF(COUNTIF(I65:XFD65,"&gt;"&amp;0)=0,,(E65/F65)^(1/MIN(COUNTIF(I65:XFD65,"&gt;"&amp;0)-1,$F$1)))</f>
        <v>1.3106796116504855</v>
      </c>
      <c r="H65" s="13" t="s">
        <v>161</v>
      </c>
      <c r="I65" s="9">
        <v>103</v>
      </c>
      <c r="J65" s="9">
        <v>135</v>
      </c>
    </row>
    <row r="66" spans="1:10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Croatia</v>
      </c>
      <c r="D66" s="6">
        <f>MAX(I66:CL66)</f>
        <v>128</v>
      </c>
      <c r="E66" s="6">
        <f>IF(COUNTIF(I66:XFD66,"&gt;"&amp;0)=0,,HLOOKUP(COUNTIF(I66:XFD66,"&gt;"&amp;0)-1,I$1:XFD66,A66+1,FALSE))</f>
        <v>128</v>
      </c>
      <c r="F66" s="7">
        <f>IF(COUNTIF(I66:XFD66,"&gt;"&amp;0)=0,,HLOOKUP(COUNTIF(I66:XFD66,"&gt;"&amp;0)-MIN($F$1+1,COUNTIF(I66:XFD66,"&gt;"&amp;0)),I$1:XFD66,A66+1,FALSE))</f>
        <v>105</v>
      </c>
      <c r="G66" s="8">
        <f>IF(COUNTIF(I66:XFD66,"&gt;"&amp;0)=0,,(E66/F66)^(1/MIN(COUNTIF(I66:XFD66,"&gt;"&amp;0)-1,$F$1)))</f>
        <v>1.2190476190476192</v>
      </c>
      <c r="H66" s="13" t="s">
        <v>76</v>
      </c>
      <c r="I66" s="9">
        <v>105</v>
      </c>
      <c r="J66" s="9">
        <v>128</v>
      </c>
    </row>
    <row r="67" spans="1:10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Argentina</v>
      </c>
      <c r="D67" s="6">
        <f>MAX(I67:CL67)</f>
        <v>128</v>
      </c>
      <c r="E67" s="6">
        <f>IF(COUNTIF(I67:XFD67,"&gt;"&amp;0)=0,,HLOOKUP(COUNTIF(I67:XFD67,"&gt;"&amp;0)-1,I$1:XFD67,A67+1,FALSE))</f>
        <v>128</v>
      </c>
      <c r="F67" s="7">
        <f>IF(COUNTIF(I67:XFD67,"&gt;"&amp;0)=0,,HLOOKUP(COUNTIF(I67:XFD67,"&gt;"&amp;0)-MIN($F$1+1,COUNTIF(I67:XFD67,"&gt;"&amp;0)),I$1:XFD67,A67+1,FALSE))</f>
        <v>128</v>
      </c>
      <c r="G67" s="8" t="e">
        <f>IF(COUNTIF(I67:XFD67,"&gt;"&amp;0)=0,,(E67/F67)^(1/MIN(COUNTIF(I67:XFD67,"&gt;"&amp;0)-1,$F$1)))</f>
        <v>#DIV/0!</v>
      </c>
      <c r="H67" s="13" t="s">
        <v>123</v>
      </c>
      <c r="I67" s="9">
        <v>128</v>
      </c>
    </row>
    <row r="68" spans="1:10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Colombia</v>
      </c>
      <c r="D68" s="6">
        <f>MAX(I68:CL68)</f>
        <v>128</v>
      </c>
      <c r="E68" s="6">
        <f>IF(COUNTIF(I68:XFD68,"&gt;"&amp;0)=0,,HLOOKUP(COUNTIF(I68:XFD68,"&gt;"&amp;0)-1,I$1:XFD68,A68+1,FALSE))</f>
        <v>128</v>
      </c>
      <c r="F68" s="7">
        <f>IF(COUNTIF(I68:XFD68,"&gt;"&amp;0)=0,,HLOOKUP(COUNTIF(I68:XFD68,"&gt;"&amp;0)-MIN($F$1+1,COUNTIF(I68:XFD68,"&gt;"&amp;0)),I$1:XFD68,A68+1,FALSE))</f>
        <v>102</v>
      </c>
      <c r="G68" s="8">
        <f>IF(COUNTIF(I68:XFD68,"&gt;"&amp;0)=0,,(E68/F68)^(1/MIN(COUNTIF(I68:XFD68,"&gt;"&amp;0)-1,$F$1)))</f>
        <v>1.2549019607843137</v>
      </c>
      <c r="H68" s="13" t="s">
        <v>158</v>
      </c>
      <c r="I68" s="9">
        <v>102</v>
      </c>
      <c r="J68" s="9">
        <v>128</v>
      </c>
    </row>
    <row r="69" spans="1:10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Bulgaria</v>
      </c>
      <c r="D69" s="6">
        <f>MAX(I69:CL69)</f>
        <v>127</v>
      </c>
      <c r="E69" s="6">
        <f>IF(COUNTIF(I69:XFD69,"&gt;"&amp;0)=0,,HLOOKUP(COUNTIF(I69:XFD69,"&gt;"&amp;0)-1,I$1:XFD69,A69+1,FALSE))</f>
        <v>127</v>
      </c>
      <c r="F69" s="7">
        <f>IF(COUNTIF(I69:XFD69,"&gt;"&amp;0)=0,,HLOOKUP(COUNTIF(I69:XFD69,"&gt;"&amp;0)-MIN($F$1+1,COUNTIF(I69:XFD69,"&gt;"&amp;0)),I$1:XFD69,A69+1,FALSE))</f>
        <v>127</v>
      </c>
      <c r="G69" s="8" t="e">
        <f>IF(COUNTIF(I69:XFD69,"&gt;"&amp;0)=0,,(E69/F69)^(1/MIN(COUNTIF(I69:XFD69,"&gt;"&amp;0)-1,$F$1)))</f>
        <v>#DIV/0!</v>
      </c>
      <c r="H69" s="13" t="s">
        <v>199</v>
      </c>
      <c r="I69" s="9">
        <v>127</v>
      </c>
    </row>
    <row r="70" spans="1:10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Latvia</v>
      </c>
      <c r="D70" s="6">
        <f>MAX(I70:CL70)</f>
        <v>111</v>
      </c>
      <c r="E70" s="6">
        <f>IF(COUNTIF(I70:XFD70,"&gt;"&amp;0)=0,,HLOOKUP(COUNTIF(I70:XFD70,"&gt;"&amp;0)-1,I$1:XFD70,A70+1,FALSE))</f>
        <v>111</v>
      </c>
      <c r="F70" s="7">
        <f>IF(COUNTIF(I70:XFD70,"&gt;"&amp;0)=0,,HLOOKUP(COUNTIF(I70:XFD70,"&gt;"&amp;0)-MIN($F$1+1,COUNTIF(I70:XFD70,"&gt;"&amp;0)),I$1:XFD70,A70+1,FALSE))</f>
        <v>111</v>
      </c>
      <c r="G70" s="8" t="e">
        <f>IF(COUNTIF(I70:XFD70,"&gt;"&amp;0)=0,,(E70/F70)^(1/MIN(COUNTIF(I70:XFD70,"&gt;"&amp;0)-1,$F$1)))</f>
        <v>#DIV/0!</v>
      </c>
      <c r="H70" s="13" t="s">
        <v>111</v>
      </c>
      <c r="I70" s="9">
        <v>111</v>
      </c>
    </row>
    <row r="71" spans="1:10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MAX(I71:CL71)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10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MAX(I72:CL72)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10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MAX(I73:CL73)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10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MAX(I74:CL74)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10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MAX(I75:CL75)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10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MAX(I76:CL76)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10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MAX(I77:CL77)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10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MAX(I78:CL78)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10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MAX(I79:CL79)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10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MAX(I80:CL80)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MAX(I81:CL81)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MAX(I82:CL82)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MAX(I83:CL83)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MAX(I84:CL84)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MAX(I85:CL85)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MAX(I86:CL86)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MAX(I87:CL87)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MAX(I88:CL88)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MAX(I89:CL89)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MAX(I90:CL90)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topLeftCell="C1" workbookViewId="0">
      <selection activeCell="C38" sqref="C38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 t="shared" ref="G2" si="6"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7">I2*1.5</f>
        <v>150</v>
      </c>
      <c r="K2" s="10">
        <f t="shared" si="7"/>
        <v>225</v>
      </c>
      <c r="L2" s="10">
        <f t="shared" si="7"/>
        <v>337.5</v>
      </c>
      <c r="M2" s="10">
        <f t="shared" si="7"/>
        <v>506.25</v>
      </c>
      <c r="N2" s="10">
        <f t="shared" si="7"/>
        <v>759.375</v>
      </c>
      <c r="O2" s="10">
        <f t="shared" si="7"/>
        <v>1139.0625</v>
      </c>
      <c r="P2" s="10">
        <f t="shared" si="7"/>
        <v>1708.59375</v>
      </c>
      <c r="Q2" s="10">
        <f t="shared" si="7"/>
        <v>2562.890625</v>
      </c>
      <c r="R2" s="10">
        <f t="shared" si="7"/>
        <v>3844.3359375</v>
      </c>
      <c r="S2" s="10">
        <f t="shared" si="7"/>
        <v>5766.50390625</v>
      </c>
      <c r="T2" s="10">
        <f t="shared" si="7"/>
        <v>8649.755859375</v>
      </c>
      <c r="U2" s="10">
        <f t="shared" si="7"/>
        <v>12974.6337890625</v>
      </c>
      <c r="V2" s="10">
        <f t="shared" si="7"/>
        <v>19461.95068359375</v>
      </c>
      <c r="W2" s="10">
        <f t="shared" si="7"/>
        <v>29192.926025390625</v>
      </c>
      <c r="X2" s="10">
        <f t="shared" si="7"/>
        <v>43789.389038085938</v>
      </c>
      <c r="Y2" s="10">
        <f t="shared" si="7"/>
        <v>65684.083557128906</v>
      </c>
      <c r="Z2" s="10">
        <f t="shared" si="7"/>
        <v>98526.125335693359</v>
      </c>
      <c r="AA2" s="10">
        <f t="shared" si="7"/>
        <v>147789.18800354004</v>
      </c>
      <c r="AB2" s="10">
        <f t="shared" si="7"/>
        <v>221683.78200531006</v>
      </c>
      <c r="AC2" s="10">
        <f t="shared" si="7"/>
        <v>332525.67300796509</v>
      </c>
      <c r="AD2" s="10">
        <f t="shared" si="7"/>
        <v>498788.50951194763</v>
      </c>
      <c r="AE2" s="10">
        <f t="shared" si="7"/>
        <v>748182.76426792145</v>
      </c>
      <c r="AF2" s="10">
        <f t="shared" si="7"/>
        <v>1122274.1464018822</v>
      </c>
      <c r="AG2" s="10">
        <f t="shared" si="7"/>
        <v>1683411.2196028233</v>
      </c>
      <c r="AH2" s="10">
        <f t="shared" si="7"/>
        <v>2525116.8294042349</v>
      </c>
      <c r="AI2" s="10">
        <f t="shared" si="7"/>
        <v>3787675.2441063523</v>
      </c>
      <c r="AJ2" s="10">
        <f t="shared" si="7"/>
        <v>5681512.8661595285</v>
      </c>
      <c r="AK2" s="10">
        <f t="shared" si="7"/>
        <v>8522269.2992392927</v>
      </c>
      <c r="AL2" s="10">
        <f t="shared" si="7"/>
        <v>12783403.948858939</v>
      </c>
      <c r="AM2" s="10">
        <f t="shared" si="7"/>
        <v>19175105.923288409</v>
      </c>
      <c r="AN2" s="10">
        <f t="shared" si="7"/>
        <v>28762658.884932615</v>
      </c>
      <c r="AO2" s="10">
        <f t="shared" si="7"/>
        <v>43143988.327398926</v>
      </c>
      <c r="AP2" s="10">
        <f t="shared" si="7"/>
        <v>64715982.491098389</v>
      </c>
      <c r="AQ2" s="10">
        <f t="shared" si="7"/>
        <v>97073973.736647576</v>
      </c>
      <c r="AR2" s="10">
        <f t="shared" si="7"/>
        <v>145610960.60497135</v>
      </c>
      <c r="AS2" s="10">
        <f t="shared" si="7"/>
        <v>218416440.90745702</v>
      </c>
      <c r="AT2" s="10">
        <f t="shared" si="7"/>
        <v>327624661.36118555</v>
      </c>
      <c r="AU2" s="10">
        <f t="shared" si="7"/>
        <v>491436992.04177833</v>
      </c>
      <c r="AV2" s="10">
        <f t="shared" si="7"/>
        <v>737155488.06266749</v>
      </c>
      <c r="AW2" s="10">
        <f t="shared" si="7"/>
        <v>1105733232.0940013</v>
      </c>
      <c r="AX2" s="10">
        <f t="shared" si="7"/>
        <v>1658599848.1410019</v>
      </c>
      <c r="AY2" s="10">
        <f t="shared" si="7"/>
        <v>2487899772.211503</v>
      </c>
      <c r="AZ2" s="10">
        <f t="shared" si="7"/>
        <v>3731849658.3172545</v>
      </c>
      <c r="BA2" s="10">
        <f t="shared" si="7"/>
        <v>5597774487.4758816</v>
      </c>
      <c r="BB2" s="10">
        <f t="shared" si="7"/>
        <v>8396661731.2138224</v>
      </c>
      <c r="BC2" s="10">
        <f t="shared" si="7"/>
        <v>12594992596.820734</v>
      </c>
      <c r="BD2" s="10">
        <f t="shared" si="7"/>
        <v>18892488895.231102</v>
      </c>
      <c r="BE2" s="10">
        <f t="shared" si="7"/>
        <v>28338733342.846653</v>
      </c>
      <c r="BF2" s="10">
        <f t="shared" si="7"/>
        <v>42508100014.269981</v>
      </c>
      <c r="BG2" s="10">
        <f t="shared" si="7"/>
        <v>63762150021.404968</v>
      </c>
      <c r="BH2" s="10">
        <f t="shared" si="7"/>
        <v>95643225032.107452</v>
      </c>
    </row>
    <row r="3" spans="1:307" x14ac:dyDescent="0.25">
      <c r="A3" s="9">
        <f t="shared" ref="A3:A200" si="8">A2+1</f>
        <v>2</v>
      </c>
      <c r="B3" s="9">
        <v>1</v>
      </c>
      <c r="C3" s="9" t="str">
        <f>H3</f>
        <v>40% Daily Increase</v>
      </c>
      <c r="D3" s="6">
        <f t="shared" ref="D3:D5" si="9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10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1">I3*1.4</f>
        <v>140</v>
      </c>
      <c r="K3" s="10">
        <f t="shared" si="11"/>
        <v>196</v>
      </c>
      <c r="L3" s="10">
        <f t="shared" si="11"/>
        <v>274.39999999999998</v>
      </c>
      <c r="M3" s="10">
        <f t="shared" si="11"/>
        <v>384.15999999999997</v>
      </c>
      <c r="N3" s="10">
        <f t="shared" si="11"/>
        <v>537.82399999999996</v>
      </c>
      <c r="O3" s="10">
        <f t="shared" si="11"/>
        <v>752.95359999999994</v>
      </c>
      <c r="P3" s="10">
        <f t="shared" si="11"/>
        <v>1054.1350399999999</v>
      </c>
      <c r="Q3" s="10">
        <f t="shared" si="11"/>
        <v>1475.7890559999998</v>
      </c>
      <c r="R3" s="10">
        <f t="shared" si="11"/>
        <v>2066.1046783999996</v>
      </c>
      <c r="S3" s="10">
        <f t="shared" si="11"/>
        <v>2892.5465497599994</v>
      </c>
      <c r="T3" s="10">
        <f t="shared" si="11"/>
        <v>4049.5651696639989</v>
      </c>
      <c r="U3" s="10">
        <f t="shared" si="11"/>
        <v>5669.3912375295977</v>
      </c>
      <c r="V3" s="10">
        <f t="shared" si="11"/>
        <v>7937.1477325414362</v>
      </c>
      <c r="W3" s="10">
        <f t="shared" si="11"/>
        <v>11112.00682555801</v>
      </c>
      <c r="X3" s="10">
        <f t="shared" si="11"/>
        <v>15556.809555781212</v>
      </c>
      <c r="Y3" s="10">
        <f t="shared" si="11"/>
        <v>21779.533378093696</v>
      </c>
      <c r="Z3" s="10">
        <f t="shared" si="11"/>
        <v>30491.346729331173</v>
      </c>
      <c r="AA3" s="10">
        <f t="shared" si="11"/>
        <v>42687.885421063642</v>
      </c>
      <c r="AB3" s="10">
        <f t="shared" si="11"/>
        <v>59763.039589489097</v>
      </c>
      <c r="AC3" s="10">
        <f t="shared" si="11"/>
        <v>83668.255425284733</v>
      </c>
      <c r="AD3" s="10">
        <f t="shared" si="11"/>
        <v>117135.55759539861</v>
      </c>
      <c r="AE3" s="10">
        <f t="shared" si="11"/>
        <v>163989.78063355805</v>
      </c>
      <c r="AF3" s="10">
        <f t="shared" si="11"/>
        <v>229585.69288698127</v>
      </c>
      <c r="AG3" s="10">
        <f t="shared" si="11"/>
        <v>321419.97004177375</v>
      </c>
      <c r="AH3" s="10">
        <f t="shared" si="11"/>
        <v>449987.9580584832</v>
      </c>
      <c r="AI3" s="10">
        <f t="shared" si="11"/>
        <v>629983.14128187648</v>
      </c>
      <c r="AJ3" s="10">
        <f t="shared" si="11"/>
        <v>881976.397794627</v>
      </c>
      <c r="AK3" s="10">
        <f t="shared" si="11"/>
        <v>1234766.9569124777</v>
      </c>
      <c r="AL3" s="10">
        <f t="shared" si="11"/>
        <v>1728673.7396774688</v>
      </c>
      <c r="AM3" s="10">
        <f t="shared" si="11"/>
        <v>2420143.2355484562</v>
      </c>
      <c r="AN3" s="10">
        <f t="shared" si="11"/>
        <v>3388200.5297678383</v>
      </c>
      <c r="AO3" s="10">
        <f t="shared" si="11"/>
        <v>4743480.7416749736</v>
      </c>
      <c r="AP3" s="10">
        <f t="shared" si="11"/>
        <v>6640873.0383449625</v>
      </c>
      <c r="AQ3" s="10">
        <f t="shared" si="11"/>
        <v>9297222.2536829468</v>
      </c>
      <c r="AR3" s="10">
        <f t="shared" si="11"/>
        <v>13016111.155156124</v>
      </c>
      <c r="AS3" s="10">
        <f t="shared" si="11"/>
        <v>18222555.617218573</v>
      </c>
      <c r="AT3" s="10">
        <f t="shared" si="11"/>
        <v>25511577.864105999</v>
      </c>
      <c r="AU3" s="10">
        <f t="shared" si="11"/>
        <v>35716209.009748399</v>
      </c>
      <c r="AV3" s="10">
        <f t="shared" si="11"/>
        <v>50002692.613647759</v>
      </c>
      <c r="AW3" s="10">
        <f t="shared" si="11"/>
        <v>70003769.659106866</v>
      </c>
      <c r="AX3" s="10">
        <f t="shared" si="11"/>
        <v>98005277.522749603</v>
      </c>
      <c r="AY3" s="10">
        <f t="shared" si="11"/>
        <v>137207388.53184944</v>
      </c>
      <c r="AZ3" s="10">
        <f t="shared" si="11"/>
        <v>192090343.9445892</v>
      </c>
      <c r="BA3" s="10">
        <f t="shared" si="11"/>
        <v>268926481.52242488</v>
      </c>
      <c r="BB3" s="10">
        <f t="shared" si="11"/>
        <v>376497074.1313948</v>
      </c>
      <c r="BC3" s="10">
        <f t="shared" si="11"/>
        <v>527095903.78395271</v>
      </c>
      <c r="BD3" s="10">
        <f t="shared" si="11"/>
        <v>737934265.29753375</v>
      </c>
      <c r="BE3" s="10">
        <f t="shared" si="11"/>
        <v>1033107971.4165472</v>
      </c>
      <c r="BF3" s="10">
        <f t="shared" si="11"/>
        <v>1446351159.983166</v>
      </c>
      <c r="BG3" s="10">
        <f t="shared" si="11"/>
        <v>2024891623.9764323</v>
      </c>
      <c r="BH3" s="10">
        <f t="shared" si="11"/>
        <v>2834848273.5670052</v>
      </c>
    </row>
    <row r="4" spans="1:307" x14ac:dyDescent="0.25">
      <c r="A4" s="9">
        <f t="shared" si="8"/>
        <v>3</v>
      </c>
      <c r="B4" s="9">
        <v>1</v>
      </c>
      <c r="C4" s="9" t="str">
        <f>H4</f>
        <v>30% Daily Increase</v>
      </c>
      <c r="D4" s="6">
        <f t="shared" si="9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10"/>
        <v>1.3</v>
      </c>
      <c r="H4" s="15" t="s">
        <v>432</v>
      </c>
      <c r="I4" s="9">
        <v>100</v>
      </c>
      <c r="J4" s="10">
        <f t="shared" ref="J4:BH4" si="12">I4*1.3</f>
        <v>130</v>
      </c>
      <c r="K4" s="10">
        <f t="shared" si="12"/>
        <v>169</v>
      </c>
      <c r="L4" s="10">
        <f t="shared" si="12"/>
        <v>219.70000000000002</v>
      </c>
      <c r="M4" s="10">
        <f t="shared" si="12"/>
        <v>285.61</v>
      </c>
      <c r="N4" s="10">
        <f t="shared" si="12"/>
        <v>371.29300000000001</v>
      </c>
      <c r="O4" s="10">
        <f t="shared" si="12"/>
        <v>482.68090000000001</v>
      </c>
      <c r="P4" s="10">
        <f t="shared" si="12"/>
        <v>627.48517000000004</v>
      </c>
      <c r="Q4" s="10">
        <f t="shared" si="12"/>
        <v>815.73072100000013</v>
      </c>
      <c r="R4" s="10">
        <f t="shared" si="12"/>
        <v>1060.4499373000001</v>
      </c>
      <c r="S4" s="10">
        <f t="shared" si="12"/>
        <v>1378.5849184900003</v>
      </c>
      <c r="T4" s="10">
        <f t="shared" si="12"/>
        <v>1792.1603940370005</v>
      </c>
      <c r="U4" s="10">
        <f t="shared" si="12"/>
        <v>2329.8085122481007</v>
      </c>
      <c r="V4" s="10">
        <f t="shared" si="12"/>
        <v>3028.7510659225309</v>
      </c>
      <c r="W4" s="10">
        <f t="shared" si="12"/>
        <v>3937.37638569929</v>
      </c>
      <c r="X4" s="10">
        <f t="shared" si="12"/>
        <v>5118.5893014090771</v>
      </c>
      <c r="Y4" s="10">
        <f t="shared" si="12"/>
        <v>6654.1660918318003</v>
      </c>
      <c r="Z4" s="10">
        <f t="shared" si="12"/>
        <v>8650.4159193813412</v>
      </c>
      <c r="AA4" s="10">
        <f t="shared" si="12"/>
        <v>11245.540695195745</v>
      </c>
      <c r="AB4" s="10">
        <f t="shared" si="12"/>
        <v>14619.202903754469</v>
      </c>
      <c r="AC4" s="10">
        <f t="shared" si="12"/>
        <v>19004.963774880809</v>
      </c>
      <c r="AD4" s="10">
        <f t="shared" si="12"/>
        <v>24706.452907345054</v>
      </c>
      <c r="AE4" s="10">
        <f t="shared" si="12"/>
        <v>32118.388779548572</v>
      </c>
      <c r="AF4" s="10">
        <f t="shared" si="12"/>
        <v>41753.905413413144</v>
      </c>
      <c r="AG4" s="10">
        <f t="shared" si="12"/>
        <v>54280.077037437091</v>
      </c>
      <c r="AH4" s="10">
        <f t="shared" si="12"/>
        <v>70564.100148668222</v>
      </c>
      <c r="AI4" s="10">
        <f t="shared" si="12"/>
        <v>91733.330193268688</v>
      </c>
      <c r="AJ4" s="10">
        <f t="shared" si="12"/>
        <v>119253.32925124929</v>
      </c>
      <c r="AK4" s="10">
        <f t="shared" si="12"/>
        <v>155029.32802662408</v>
      </c>
      <c r="AL4" s="10">
        <f t="shared" si="12"/>
        <v>201538.1264346113</v>
      </c>
      <c r="AM4" s="10">
        <f t="shared" si="12"/>
        <v>261999.5643649947</v>
      </c>
      <c r="AN4" s="10">
        <f t="shared" si="12"/>
        <v>340599.43367449311</v>
      </c>
      <c r="AO4" s="10">
        <f t="shared" si="12"/>
        <v>442779.26377684105</v>
      </c>
      <c r="AP4" s="10">
        <f t="shared" si="12"/>
        <v>575613.04290989344</v>
      </c>
      <c r="AQ4" s="10">
        <f t="shared" si="12"/>
        <v>748296.95578286145</v>
      </c>
      <c r="AR4" s="10">
        <f t="shared" si="12"/>
        <v>972786.04251771991</v>
      </c>
      <c r="AS4" s="10">
        <f t="shared" si="12"/>
        <v>1264621.8552730358</v>
      </c>
      <c r="AT4" s="10">
        <f t="shared" si="12"/>
        <v>1644008.4118549465</v>
      </c>
      <c r="AU4" s="10">
        <f t="shared" si="12"/>
        <v>2137210.9354114304</v>
      </c>
      <c r="AV4" s="10">
        <f t="shared" si="12"/>
        <v>2778374.2160348599</v>
      </c>
      <c r="AW4" s="10">
        <f t="shared" si="12"/>
        <v>3611886.4808453182</v>
      </c>
      <c r="AX4" s="10">
        <f t="shared" si="12"/>
        <v>4695452.4250989137</v>
      </c>
      <c r="AY4" s="10">
        <f t="shared" si="12"/>
        <v>6104088.1526285885</v>
      </c>
      <c r="AZ4" s="10">
        <f t="shared" si="12"/>
        <v>7935314.5984171657</v>
      </c>
      <c r="BA4" s="10">
        <f t="shared" si="12"/>
        <v>10315908.977942316</v>
      </c>
      <c r="BB4" s="10">
        <f t="shared" si="12"/>
        <v>13410681.671325011</v>
      </c>
      <c r="BC4" s="10">
        <f t="shared" si="12"/>
        <v>17433886.172722515</v>
      </c>
      <c r="BD4" s="10">
        <f t="shared" si="12"/>
        <v>22664052.02453927</v>
      </c>
      <c r="BE4" s="10">
        <f t="shared" si="12"/>
        <v>29463267.631901052</v>
      </c>
      <c r="BF4" s="10">
        <f t="shared" si="12"/>
        <v>38302247.921471372</v>
      </c>
      <c r="BG4" s="10">
        <f t="shared" si="12"/>
        <v>49792922.297912784</v>
      </c>
      <c r="BH4" s="10">
        <f t="shared" si="12"/>
        <v>64730798.98728662</v>
      </c>
    </row>
    <row r="5" spans="1:307" x14ac:dyDescent="0.25">
      <c r="A5" s="9">
        <f t="shared" si="8"/>
        <v>4</v>
      </c>
      <c r="B5" s="9">
        <f t="array" ref="B5">IF(C5="",0,IF(OR(C5=Country_Comparison!$S$10:$S$29),1,0))</f>
        <v>1</v>
      </c>
      <c r="C5" s="9" t="str">
        <f t="shared" ref="C5" si="13">IF(H5="","",H5)</f>
        <v>China</v>
      </c>
      <c r="D5" s="6">
        <f t="shared" si="9"/>
        <v>58108</v>
      </c>
      <c r="E5" s="6">
        <f>IF(COUNTIF(I5:XFD5,"&gt;"&amp;0)=0,,HLOOKUP(COUNTIF(I5:XFD5,"&gt;"&amp;0)-1,I$1:XFD5,A5+1,FALSE))</f>
        <v>6731</v>
      </c>
      <c r="F5" s="7">
        <f>IF(COUNTIF(I5:XFD5,"&gt;"&amp;0)=0,,HLOOKUP(COUNTIF(I5:XFD5,"&gt;"&amp;0)-MIN($F$1+1,COUNTIF(I5:XFD5,"&gt;"&amp;0)),I$1:XFD5,A5+1,FALSE))</f>
        <v>10783</v>
      </c>
      <c r="G5" s="8">
        <f t="shared" si="10"/>
        <v>0.91005574803177858</v>
      </c>
      <c r="H5" s="15" t="s">
        <v>337</v>
      </c>
      <c r="I5" s="9">
        <v>503</v>
      </c>
      <c r="J5" s="9">
        <v>595</v>
      </c>
      <c r="K5" s="9">
        <v>858</v>
      </c>
      <c r="L5" s="9">
        <v>1325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9">
        <v>37424</v>
      </c>
      <c r="AC5" s="9">
        <v>38638</v>
      </c>
      <c r="AD5" s="9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</row>
    <row r="6" spans="1:307" x14ac:dyDescent="0.25">
      <c r="A6" s="9">
        <f t="shared" si="8"/>
        <v>5</v>
      </c>
      <c r="B6" s="9">
        <f t="array" ref="B6">IF(C6="",0,IF(OR(C6=Country_Comparison!$S$10:$S$29),1,0))</f>
        <v>1</v>
      </c>
      <c r="C6" s="9" t="str">
        <f t="shared" ref="C6:C69" si="14">IF(H6="","",H6)</f>
        <v>Italy</v>
      </c>
      <c r="D6" s="6">
        <f t="shared" ref="D6:D69" si="15">MAX(I6:CL6)</f>
        <v>38549</v>
      </c>
      <c r="E6" s="6">
        <f>IF(COUNTIF(I6:XFD6,"&gt;"&amp;0)=0,,HLOOKUP(COUNTIF(I6:XFD6,"&gt;"&amp;0)-1,I$1:XFD6,A6+1,FALSE))</f>
        <v>38549</v>
      </c>
      <c r="F6" s="7">
        <f>IF(COUNTIF(I6:XFD6,"&gt;"&amp;0)=0,,HLOOKUP(COUNTIF(I6:XFD6,"&gt;"&amp;0)-MIN($F$1+1,COUNTIF(I6:XFD6,"&gt;"&amp;0)),I$1:XFD6,A6+1,FALSE))</f>
        <v>20603</v>
      </c>
      <c r="G6" s="8">
        <f t="shared" ref="G6:G69" si="16">IF(COUNTIF(I6:XFD6,"&gt;"&amp;0)=0,,(E6/F6)^(1/MIN(COUNTIF(I6:XFD6,"&gt;"&amp;0)-1,$F$1)))</f>
        <v>1.1334869666947758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</row>
    <row r="7" spans="1:307" x14ac:dyDescent="0.25">
      <c r="A7" s="9">
        <f t="shared" si="8"/>
        <v>6</v>
      </c>
      <c r="B7" s="9">
        <f t="array" ref="B7">IF(C7="",0,IF(OR(C7=Country_Comparison!$S$10:$S$29),1,0))</f>
        <v>0</v>
      </c>
      <c r="C7" s="9" t="str">
        <f t="shared" si="14"/>
        <v>Iran</v>
      </c>
      <c r="D7" s="6">
        <f t="shared" si="15"/>
        <v>11466</v>
      </c>
      <c r="E7" s="6">
        <f>IF(COUNTIF(I7:XFD7,"&gt;"&amp;0)=0,,HLOOKUP(COUNTIF(I7:XFD7,"&gt;"&amp;0)-1,I$1:XFD7,A7+1,FALSE))</f>
        <v>11466</v>
      </c>
      <c r="F7" s="7">
        <f>IF(COUNTIF(I7:XFD7,"&gt;"&amp;0)=0,,HLOOKUP(COUNTIF(I7:XFD7,"&gt;"&amp;0)-MIN($F$1+1,COUNTIF(I7:XFD7,"&gt;"&amp;0)),I$1:XFD7,A7+1,FALSE))</f>
        <v>8624</v>
      </c>
      <c r="G7" s="8">
        <f t="shared" si="16"/>
        <v>1.0586213242531914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</row>
    <row r="8" spans="1:307" x14ac:dyDescent="0.25">
      <c r="A8" s="9">
        <f t="shared" si="8"/>
        <v>7</v>
      </c>
      <c r="B8" s="9">
        <f t="array" ref="B8">IF(C8="",0,IF(OR(C8=Country_Comparison!$S$10:$S$29),1,0))</f>
        <v>1</v>
      </c>
      <c r="C8" s="9" t="str">
        <f t="shared" si="14"/>
        <v>Korea, South</v>
      </c>
      <c r="D8" s="6">
        <f t="shared" si="15"/>
        <v>7577</v>
      </c>
      <c r="E8" s="6">
        <f>IF(COUNTIF(I8:XFD8,"&gt;"&amp;0)=0,,HLOOKUP(COUNTIF(I8:XFD8,"&gt;"&amp;0)-1,I$1:XFD8,A8+1,FALSE))</f>
        <v>7018</v>
      </c>
      <c r="F8" s="7">
        <f>IF(COUNTIF(I8:XFD8,"&gt;"&amp;0)=0,,HLOOKUP(COUNTIF(I8:XFD8,"&gt;"&amp;0)-MIN($F$1+1,COUNTIF(I8:XFD8,"&gt;"&amp;0)),I$1:XFD8,A8+1,FALSE))</f>
        <v>7577</v>
      </c>
      <c r="G8" s="8">
        <f t="shared" si="16"/>
        <v>0.98478905987251342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</row>
    <row r="9" spans="1:307" x14ac:dyDescent="0.25">
      <c r="A9" s="9">
        <f t="shared" si="8"/>
        <v>8</v>
      </c>
      <c r="B9" s="9">
        <f t="array" ref="B9">IF(C9="",0,IF(OR(C9=Country_Comparison!$S$10:$S$29),1,0))</f>
        <v>0</v>
      </c>
      <c r="C9" s="9" t="str">
        <f t="shared" si="14"/>
        <v>Spain</v>
      </c>
      <c r="D9" s="6">
        <f t="shared" si="15"/>
        <v>17779</v>
      </c>
      <c r="E9" s="6">
        <f>IF(COUNTIF(I9:XFD9,"&gt;"&amp;0)=0,,HLOOKUP(COUNTIF(I9:XFD9,"&gt;"&amp;0)-1,I$1:XFD9,A9+1,FALSE))</f>
        <v>17779</v>
      </c>
      <c r="F9" s="7">
        <f>IF(COUNTIF(I9:XFD9,"&gt;"&amp;0)=0,,HLOOKUP(COUNTIF(I9:XFD9,"&gt;"&amp;0)-MIN($F$1+1,COUNTIF(I9:XFD9,"&gt;"&amp;0)),I$1:XFD9,A9+1,FALSE))</f>
        <v>6992</v>
      </c>
      <c r="G9" s="8">
        <f t="shared" si="16"/>
        <v>1.2052057140622663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</row>
    <row r="10" spans="1:307" x14ac:dyDescent="0.25">
      <c r="A10" s="9">
        <f t="shared" si="8"/>
        <v>9</v>
      </c>
      <c r="B10" s="9">
        <f t="array" ref="B10">IF(C10="",0,IF(OR(C10=Country_Comparison!$S$10:$S$29),1,0))</f>
        <v>1</v>
      </c>
      <c r="C10" s="9" t="str">
        <f t="shared" si="14"/>
        <v>Germany</v>
      </c>
      <c r="D10" s="6">
        <f t="shared" si="15"/>
        <v>19601</v>
      </c>
      <c r="E10" s="6">
        <f>IF(COUNTIF(I10:XFD10,"&gt;"&amp;0)=0,,HLOOKUP(COUNTIF(I10:XFD10,"&gt;"&amp;0)-1,I$1:XFD10,A10+1,FALSE))</f>
        <v>19601</v>
      </c>
      <c r="F10" s="7">
        <f>IF(COUNTIF(I10:XFD10,"&gt;"&amp;0)=0,,HLOOKUP(COUNTIF(I10:XFD10,"&gt;"&amp;0)-MIN($F$1+1,COUNTIF(I10:XFD10,"&gt;"&amp;0)),I$1:XFD10,A10+1,FALSE))</f>
        <v>5738</v>
      </c>
      <c r="G10" s="8">
        <f t="shared" si="16"/>
        <v>1.2785082563337888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</row>
    <row r="11" spans="1:307" x14ac:dyDescent="0.25">
      <c r="A11" s="9">
        <f t="shared" si="8"/>
        <v>10</v>
      </c>
      <c r="B11" s="9">
        <f t="array" ref="B11">IF(C11="",0,IF(OR(C11=Country_Comparison!$S$10:$S$29),1,0))</f>
        <v>1</v>
      </c>
      <c r="C11" s="9" t="str">
        <f t="shared" si="14"/>
        <v>France</v>
      </c>
      <c r="D11" s="6">
        <f t="shared" si="15"/>
        <v>12264</v>
      </c>
      <c r="E11" s="6">
        <f>IF(COUNTIF(I11:XFD11,"&gt;"&amp;0)=0,,HLOOKUP(COUNTIF(I11:XFD11,"&gt;"&amp;0)-1,I$1:XFD11,A11+1,FALSE))</f>
        <v>12264</v>
      </c>
      <c r="F11" s="7">
        <f>IF(COUNTIF(I11:XFD11,"&gt;"&amp;0)=0,,HLOOKUP(COUNTIF(I11:XFD11,"&gt;"&amp;0)-MIN($F$1+1,COUNTIF(I11:XFD11,"&gt;"&amp;0)),I$1:XFD11,A11+1,FALSE))</f>
        <v>4420</v>
      </c>
      <c r="G11" s="8">
        <f t="shared" si="16"/>
        <v>1.2264277666486827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934</v>
      </c>
      <c r="Q11" s="9">
        <v>1103</v>
      </c>
      <c r="R11" s="9">
        <v>1186</v>
      </c>
      <c r="S11" s="9">
        <v>1747</v>
      </c>
      <c r="T11" s="9">
        <v>2230</v>
      </c>
      <c r="U11" s="9">
        <v>2230</v>
      </c>
      <c r="V11" s="9">
        <v>3587</v>
      </c>
      <c r="W11" s="9">
        <v>4384</v>
      </c>
      <c r="X11" s="9">
        <v>4420</v>
      </c>
      <c r="Y11" s="9">
        <v>6508</v>
      </c>
      <c r="Z11" s="9">
        <v>7539</v>
      </c>
      <c r="AA11" s="9">
        <v>8945</v>
      </c>
      <c r="AB11" s="9">
        <v>10692</v>
      </c>
      <c r="AC11" s="9">
        <v>12264</v>
      </c>
    </row>
    <row r="12" spans="1:307" x14ac:dyDescent="0.25">
      <c r="A12" s="9">
        <f t="shared" si="8"/>
        <v>11</v>
      </c>
      <c r="B12" s="9">
        <f t="array" ref="B12">IF(C12="",0,IF(OR(C12=Country_Comparison!$S$10:$S$29),1,0))</f>
        <v>1</v>
      </c>
      <c r="C12" s="9" t="str">
        <f t="shared" si="14"/>
        <v>US</v>
      </c>
      <c r="D12" s="6">
        <f t="shared" si="15"/>
        <v>18856</v>
      </c>
      <c r="E12" s="6">
        <f>IF(COUNTIF(I12:XFD12,"&gt;"&amp;0)=0,,HLOOKUP(COUNTIF(I12:XFD12,"&gt;"&amp;0)-1,I$1:XFD12,A12+1,FALSE))</f>
        <v>18856</v>
      </c>
      <c r="F12" s="7">
        <f>IF(COUNTIF(I12:XFD12,"&gt;"&amp;0)=0,,HLOOKUP(COUNTIF(I12:XFD12,"&gt;"&amp;0)-MIN($F$1+1,COUNTIF(I12:XFD12,"&gt;"&amp;0)),I$1:XFD12,A12+1,FALSE))</f>
        <v>3424</v>
      </c>
      <c r="G12" s="8">
        <f t="shared" si="16"/>
        <v>1.4066406465154122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</row>
    <row r="13" spans="1:307" x14ac:dyDescent="0.25">
      <c r="A13" s="9">
        <f t="shared" si="8"/>
        <v>12</v>
      </c>
      <c r="B13" s="9">
        <f t="array" ref="B13">IF(C13="",0,IF(OR(C13=Country_Comparison!$S$10:$S$29),1,0))</f>
        <v>0</v>
      </c>
      <c r="C13" s="9" t="str">
        <f t="shared" si="14"/>
        <v>Switzerland</v>
      </c>
      <c r="D13" s="6">
        <f t="shared" si="15"/>
        <v>5225</v>
      </c>
      <c r="E13" s="6">
        <f>IF(COUNTIF(I13:XFD13,"&gt;"&amp;0)=0,,HLOOKUP(COUNTIF(I13:XFD13,"&gt;"&amp;0)-1,I$1:XFD13,A13+1,FALSE))</f>
        <v>5225</v>
      </c>
      <c r="F13" s="7">
        <f>IF(COUNTIF(I13:XFD13,"&gt;"&amp;0)=0,,HLOOKUP(COUNTIF(I13:XFD13,"&gt;"&amp;0)-MIN($F$1+1,COUNTIF(I13:XFD13,"&gt;"&amp;0)),I$1:XFD13,A13+1,FALSE))</f>
        <v>2182</v>
      </c>
      <c r="G13" s="8">
        <f t="shared" si="16"/>
        <v>1.1908205199572743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</row>
    <row r="14" spans="1:307" x14ac:dyDescent="0.25">
      <c r="A14" s="9">
        <f t="shared" si="8"/>
        <v>13</v>
      </c>
      <c r="B14" s="9">
        <f t="array" ref="B14">IF(C14="",0,IF(OR(C14=Country_Comparison!$S$10:$S$29),1,0))</f>
        <v>0</v>
      </c>
      <c r="C14" s="9" t="str">
        <f t="shared" si="14"/>
        <v>Norway</v>
      </c>
      <c r="D14" s="6">
        <f t="shared" si="15"/>
        <v>1906</v>
      </c>
      <c r="E14" s="6">
        <f>IF(COUNTIF(I14:XFD14,"&gt;"&amp;0)=0,,HLOOKUP(COUNTIF(I14:XFD14,"&gt;"&amp;0)-1,I$1:XFD14,A14+1,FALSE))</f>
        <v>1906</v>
      </c>
      <c r="F14" s="7">
        <f>IF(COUNTIF(I14:XFD14,"&gt;"&amp;0)=0,,HLOOKUP(COUNTIF(I14:XFD14,"&gt;"&amp;0)-MIN($F$1+1,COUNTIF(I14:XFD14,"&gt;"&amp;0)),I$1:XFD14,A14+1,FALSE))</f>
        <v>1217</v>
      </c>
      <c r="G14" s="8">
        <f t="shared" si="16"/>
        <v>1.0938718938057475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</row>
    <row r="15" spans="1:307" x14ac:dyDescent="0.25">
      <c r="A15" s="9">
        <f t="shared" si="8"/>
        <v>14</v>
      </c>
      <c r="B15" s="9">
        <f t="array" ref="B15">IF(C15="",0,IF(OR(C15=Country_Comparison!$S$10:$S$29),1,0))</f>
        <v>0</v>
      </c>
      <c r="C15" s="9" t="str">
        <f t="shared" si="14"/>
        <v>Sweden</v>
      </c>
      <c r="D15" s="6">
        <f t="shared" si="15"/>
        <v>1607</v>
      </c>
      <c r="E15" s="6">
        <f>IF(COUNTIF(I15:XFD15,"&gt;"&amp;0)=0,,HLOOKUP(COUNTIF(I15:XFD15,"&gt;"&amp;0)-1,I$1:XFD15,A15+1,FALSE))</f>
        <v>1607</v>
      </c>
      <c r="F15" s="7">
        <f>IF(COUNTIF(I15:XFD15,"&gt;"&amp;0)=0,,HLOOKUP(COUNTIF(I15:XFD15,"&gt;"&amp;0)-MIN($F$1+1,COUNTIF(I15:XFD15,"&gt;"&amp;0)),I$1:XFD15,A15+1,FALSE))</f>
        <v>1018</v>
      </c>
      <c r="G15" s="8">
        <f t="shared" si="16"/>
        <v>1.0956040266864828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</row>
    <row r="16" spans="1:307" x14ac:dyDescent="0.25">
      <c r="A16" s="9">
        <f t="shared" si="8"/>
        <v>15</v>
      </c>
      <c r="B16" s="9">
        <f t="array" ref="B16">IF(C16="",0,IF(OR(C16=Country_Comparison!$S$10:$S$29),1,0))</f>
        <v>0</v>
      </c>
      <c r="C16" s="9" t="str">
        <f t="shared" si="14"/>
        <v>Denmark</v>
      </c>
      <c r="D16" s="6">
        <f t="shared" si="15"/>
        <v>1327</v>
      </c>
      <c r="E16" s="6">
        <f>IF(COUNTIF(I16:XFD16,"&gt;"&amp;0)=0,,HLOOKUP(COUNTIF(I16:XFD16,"&gt;"&amp;0)-1,I$1:XFD16,A16+1,FALSE))</f>
        <v>1327</v>
      </c>
      <c r="F16" s="7">
        <f>IF(COUNTIF(I16:XFD16,"&gt;"&amp;0)=0,,HLOOKUP(COUNTIF(I16:XFD16,"&gt;"&amp;0)-MIN($F$1+1,COUNTIF(I16:XFD16,"&gt;"&amp;0)),I$1:XFD16,A16+1,FALSE))</f>
        <v>872</v>
      </c>
      <c r="G16" s="8">
        <f t="shared" si="16"/>
        <v>1.0876042289325103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</row>
    <row r="17" spans="1:48" x14ac:dyDescent="0.25">
      <c r="A17" s="9">
        <f t="shared" si="8"/>
        <v>16</v>
      </c>
      <c r="B17" s="9">
        <f t="array" ref="B17">IF(C17="",0,IF(OR(C17=Country_Comparison!$S$10:$S$29),1,0))</f>
        <v>0</v>
      </c>
      <c r="C17" s="9" t="str">
        <f t="shared" si="14"/>
        <v>Netherlands</v>
      </c>
      <c r="D17" s="6">
        <f t="shared" si="15"/>
        <v>2894</v>
      </c>
      <c r="E17" s="6">
        <f>IF(COUNTIF(I17:XFD17,"&gt;"&amp;0)=0,,HLOOKUP(COUNTIF(I17:XFD17,"&gt;"&amp;0)-1,I$1:XFD17,A17+1,FALSE))</f>
        <v>2894</v>
      </c>
      <c r="F17" s="7">
        <f>IF(COUNTIF(I17:XFD17,"&gt;"&amp;0)=0,,HLOOKUP(COUNTIF(I17:XFD17,"&gt;"&amp;0)-MIN($F$1+1,COUNTIF(I17:XFD17,"&gt;"&amp;0)),I$1:XFD17,A17+1,FALSE))</f>
        <v>1116</v>
      </c>
      <c r="G17" s="8">
        <f t="shared" si="16"/>
        <v>1.2099484469203383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</row>
    <row r="18" spans="1:48" x14ac:dyDescent="0.25">
      <c r="A18" s="9">
        <f t="shared" si="8"/>
        <v>17</v>
      </c>
      <c r="B18" s="9">
        <f t="array" ref="B18">IF(C18="",0,IF(OR(C18=Country_Comparison!$S$10:$S$29),1,0))</f>
        <v>1</v>
      </c>
      <c r="C18" s="9" t="str">
        <f t="shared" si="14"/>
        <v>United Kingdom</v>
      </c>
      <c r="D18" s="6">
        <f t="shared" si="15"/>
        <v>3769</v>
      </c>
      <c r="E18" s="6">
        <f>IF(COUNTIF(I18:XFD18,"&gt;"&amp;0)=0,,HLOOKUP(COUNTIF(I18:XFD18,"&gt;"&amp;0)-1,I$1:XFD18,A18+1,FALSE))</f>
        <v>3769</v>
      </c>
      <c r="F18" s="7">
        <f>IF(COUNTIF(I18:XFD18,"&gt;"&amp;0)=0,,HLOOKUP(COUNTIF(I18:XFD18,"&gt;"&amp;0)-MIN($F$1+1,COUNTIF(I18:XFD18,"&gt;"&amp;0)),I$1:XFD18,A18+1,FALSE))</f>
        <v>1315</v>
      </c>
      <c r="G18" s="8">
        <f t="shared" si="16"/>
        <v>1.2344118350694733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563</v>
      </c>
      <c r="Q18" s="9">
        <v>775</v>
      </c>
      <c r="R18" s="9">
        <v>1104</v>
      </c>
      <c r="S18" s="9">
        <v>1315</v>
      </c>
      <c r="T18" s="9">
        <v>1474</v>
      </c>
      <c r="U18" s="9">
        <v>1851</v>
      </c>
      <c r="V18" s="9">
        <v>2503</v>
      </c>
      <c r="W18" s="9">
        <v>3169</v>
      </c>
      <c r="X18" s="9">
        <v>3769</v>
      </c>
    </row>
    <row r="19" spans="1:48" x14ac:dyDescent="0.25">
      <c r="A19" s="9">
        <f t="shared" si="8"/>
        <v>18</v>
      </c>
      <c r="B19" s="9">
        <f t="array" ref="B19">IF(C19="",0,IF(OR(C19=Country_Comparison!$S$10:$S$29),1,0))</f>
        <v>1</v>
      </c>
      <c r="C19" s="9" t="str">
        <f t="shared" si="14"/>
        <v>Japan</v>
      </c>
      <c r="D19" s="6">
        <f t="shared" si="15"/>
        <v>745</v>
      </c>
      <c r="E19" s="6">
        <f>IF(COUNTIF(I19:XFD19,"&gt;"&amp;0)=0,,HLOOKUP(COUNTIF(I19:XFD19,"&gt;"&amp;0)-1,I$1:XFD19,A19+1,FALSE))</f>
        <v>739</v>
      </c>
      <c r="F19" s="7">
        <f>IF(COUNTIF(I19:XFD19,"&gt;"&amp;0)=0,,HLOOKUP(COUNTIF(I19:XFD19,"&gt;"&amp;0)-MIN($F$1+1,COUNTIF(I19:XFD19,"&gt;"&amp;0)),I$1:XFD19,A19+1,FALSE))</f>
        <v>699</v>
      </c>
      <c r="G19" s="8">
        <f t="shared" si="16"/>
        <v>1.0111915983102491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654</v>
      </c>
      <c r="AH19" s="9">
        <v>705</v>
      </c>
      <c r="AI19" s="9">
        <v>716</v>
      </c>
      <c r="AJ19" s="9">
        <v>745</v>
      </c>
      <c r="AK19" s="9">
        <v>739</v>
      </c>
    </row>
    <row r="20" spans="1:48" x14ac:dyDescent="0.25">
      <c r="A20" s="9">
        <f t="shared" si="8"/>
        <v>19</v>
      </c>
      <c r="B20" s="9">
        <f t="array" ref="B20">IF(C20="",0,IF(OR(C20=Country_Comparison!$S$10:$S$29),1,0))</f>
        <v>0</v>
      </c>
      <c r="C20" s="9" t="str">
        <f t="shared" si="14"/>
        <v>Cruise Ship</v>
      </c>
      <c r="D20" s="6">
        <f t="shared" si="15"/>
        <v>691</v>
      </c>
      <c r="E20" s="6">
        <f>IF(COUNTIF(I20:XFD20,"&gt;"&amp;0)=0,,HLOOKUP(COUNTIF(I20:XFD20,"&gt;"&amp;0)-1,I$1:XFD20,A20+1,FALSE))</f>
        <v>380</v>
      </c>
      <c r="F20" s="7">
        <f>IF(COUNTIF(I20:XFD20,"&gt;"&amp;0)=0,,HLOOKUP(COUNTIF(I20:XFD20,"&gt;"&amp;0)-MIN($F$1+1,COUNTIF(I20:XFD20,"&gt;"&amp;0)),I$1:XFD20,A20+1,FALSE))</f>
        <v>364</v>
      </c>
      <c r="G20" s="8">
        <f t="shared" si="16"/>
        <v>1.0086405932917746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650</v>
      </c>
      <c r="AI20" s="9">
        <v>650</v>
      </c>
      <c r="AJ20" s="9">
        <v>650</v>
      </c>
      <c r="AK20" s="9">
        <v>650</v>
      </c>
      <c r="AL20" s="9">
        <v>650</v>
      </c>
      <c r="AM20" s="9">
        <v>364</v>
      </c>
      <c r="AN20" s="9">
        <v>364</v>
      </c>
      <c r="AO20" s="9">
        <v>364</v>
      </c>
      <c r="AP20" s="9">
        <v>364</v>
      </c>
      <c r="AQ20" s="9">
        <v>364</v>
      </c>
      <c r="AR20" s="9">
        <v>364</v>
      </c>
      <c r="AS20" s="9">
        <v>364</v>
      </c>
      <c r="AT20" s="9">
        <v>380</v>
      </c>
      <c r="AU20" s="9">
        <v>380</v>
      </c>
      <c r="AV20" s="9">
        <v>380</v>
      </c>
    </row>
    <row r="21" spans="1:48" x14ac:dyDescent="0.25">
      <c r="A21" s="9">
        <f t="shared" si="8"/>
        <v>20</v>
      </c>
      <c r="B21" s="9">
        <f t="array" ref="B21">IF(C21="",0,IF(OR(C21=Country_Comparison!$S$10:$S$29),1,0))</f>
        <v>0</v>
      </c>
      <c r="C21" s="9" t="str">
        <f t="shared" si="14"/>
        <v>Belgium</v>
      </c>
      <c r="D21" s="6">
        <f t="shared" si="15"/>
        <v>2219</v>
      </c>
      <c r="E21" s="6">
        <f>IF(COUNTIF(I21:XFD21,"&gt;"&amp;0)=0,,HLOOKUP(COUNTIF(I21:XFD21,"&gt;"&amp;0)-1,I$1:XFD21,A21+1,FALSE))</f>
        <v>2219</v>
      </c>
      <c r="F21" s="7">
        <f>IF(COUNTIF(I21:XFD21,"&gt;"&amp;0)=0,,HLOOKUP(COUNTIF(I21:XFD21,"&gt;"&amp;0)-MIN($F$1+1,COUNTIF(I21:XFD21,"&gt;"&amp;0)),I$1:XFD21,A21+1,FALSE))</f>
        <v>881</v>
      </c>
      <c r="G21" s="8">
        <f t="shared" si="16"/>
        <v>1.2029187069021363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  <c r="W21" s="9">
        <v>2219</v>
      </c>
    </row>
    <row r="22" spans="1:48" x14ac:dyDescent="0.25">
      <c r="A22" s="9">
        <f t="shared" si="8"/>
        <v>21</v>
      </c>
      <c r="B22" s="9">
        <f t="array" ref="B22">IF(C22="",0,IF(OR(C22=Country_Comparison!$S$10:$S$29),1,0))</f>
        <v>0</v>
      </c>
      <c r="C22" s="9" t="str">
        <f t="shared" si="14"/>
        <v>Austria</v>
      </c>
      <c r="D22" s="6">
        <f t="shared" si="15"/>
        <v>2373</v>
      </c>
      <c r="E22" s="6">
        <f>IF(COUNTIF(I22:XFD22,"&gt;"&amp;0)=0,,HLOOKUP(COUNTIF(I22:XFD22,"&gt;"&amp;0)-1,I$1:XFD22,A22+1,FALSE))</f>
        <v>2373</v>
      </c>
      <c r="F22" s="7">
        <f>IF(COUNTIF(I22:XFD22,"&gt;"&amp;0)=0,,HLOOKUP(COUNTIF(I22:XFD22,"&gt;"&amp;0)-MIN($F$1+1,COUNTIF(I22:XFD22,"&gt;"&amp;0)),I$1:XFD22,A22+1,FALSE))</f>
        <v>853</v>
      </c>
      <c r="G22" s="8">
        <f t="shared" si="16"/>
        <v>1.2270711386878226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  <c r="U22" s="9">
        <v>2373</v>
      </c>
    </row>
    <row r="23" spans="1:48" x14ac:dyDescent="0.25">
      <c r="A23" s="9">
        <f t="shared" si="8"/>
        <v>22</v>
      </c>
      <c r="B23" s="9">
        <f t="array" ref="B23">IF(C23="",0,IF(OR(C23=Country_Comparison!$S$10:$S$29),1,0))</f>
        <v>0</v>
      </c>
      <c r="C23" s="9" t="str">
        <f t="shared" si="14"/>
        <v>Qatar</v>
      </c>
      <c r="D23" s="6">
        <f t="shared" si="15"/>
        <v>460</v>
      </c>
      <c r="E23" s="6">
        <f>IF(COUNTIF(I23:XFD23,"&gt;"&amp;0)=0,,HLOOKUP(COUNTIF(I23:XFD23,"&gt;"&amp;0)-1,I$1:XFD23,A23+1,FALSE))</f>
        <v>460</v>
      </c>
      <c r="F23" s="7">
        <f>IF(COUNTIF(I23:XFD23,"&gt;"&amp;0)=0,,HLOOKUP(COUNTIF(I23:XFD23,"&gt;"&amp;0)-MIN($F$1+1,COUNTIF(I23:XFD23,"&gt;"&amp;0)),I$1:XFD23,A23+1,FALSE))</f>
        <v>397</v>
      </c>
      <c r="G23" s="8">
        <f t="shared" si="16"/>
        <v>1.029896221931627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  <c r="R23" s="9">
        <v>460</v>
      </c>
    </row>
    <row r="24" spans="1:48" x14ac:dyDescent="0.25">
      <c r="A24" s="9">
        <f t="shared" si="8"/>
        <v>23</v>
      </c>
      <c r="B24" s="9">
        <f t="array" ref="B24">IF(C24="",0,IF(OR(C24=Country_Comparison!$S$10:$S$29),1,0))</f>
        <v>0</v>
      </c>
      <c r="C24" s="9" t="str">
        <f t="shared" si="14"/>
        <v>Australia</v>
      </c>
      <c r="D24" s="6">
        <f t="shared" si="15"/>
        <v>758</v>
      </c>
      <c r="E24" s="6">
        <f>IF(COUNTIF(I24:XFD24,"&gt;"&amp;0)=0,,HLOOKUP(COUNTIF(I24:XFD24,"&gt;"&amp;0)-1,I$1:XFD24,A24+1,FALSE))</f>
        <v>758</v>
      </c>
      <c r="F24" s="7">
        <f>IF(COUNTIF(I24:XFD24,"&gt;"&amp;0)=0,,HLOOKUP(COUNTIF(I24:XFD24,"&gt;"&amp;0)-MIN($F$1+1,COUNTIF(I24:XFD24,"&gt;"&amp;0)),I$1:XFD24,A24+1,FALSE))</f>
        <v>271</v>
      </c>
      <c r="G24" s="8">
        <f t="shared" si="16"/>
        <v>1.228400495497356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  <c r="S24" s="9">
        <v>758</v>
      </c>
    </row>
    <row r="25" spans="1:48" x14ac:dyDescent="0.25">
      <c r="A25" s="9">
        <f t="shared" si="8"/>
        <v>24</v>
      </c>
      <c r="B25" s="9">
        <f t="array" ref="B25">IF(C25="",0,IF(OR(C25=Country_Comparison!$S$10:$S$29),1,0))</f>
        <v>0</v>
      </c>
      <c r="C25" s="9" t="str">
        <f t="shared" si="14"/>
        <v>Singapore</v>
      </c>
      <c r="D25" s="6">
        <f t="shared" si="15"/>
        <v>261</v>
      </c>
      <c r="E25" s="6">
        <f>IF(COUNTIF(I25:XFD25,"&gt;"&amp;0)=0,,HLOOKUP(COUNTIF(I25:XFD25,"&gt;"&amp;0)-1,I$1:XFD25,A25+1,FALSE))</f>
        <v>261</v>
      </c>
      <c r="F25" s="7">
        <f>IF(COUNTIF(I25:XFD25,"&gt;"&amp;0)=0,,HLOOKUP(COUNTIF(I25:XFD25,"&gt;"&amp;0)-MIN($F$1+1,COUNTIF(I25:XFD25,"&gt;"&amp;0)),I$1:XFD25,A25+1,FALSE))</f>
        <v>121</v>
      </c>
      <c r="G25" s="8">
        <f t="shared" si="16"/>
        <v>1.166194603467785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  <c r="AC25" s="9">
        <v>261</v>
      </c>
    </row>
    <row r="26" spans="1:48" x14ac:dyDescent="0.25">
      <c r="A26" s="9">
        <f t="shared" si="8"/>
        <v>25</v>
      </c>
      <c r="B26" s="9">
        <f t="array" ref="B26">IF(C26="",0,IF(OR(C26=Country_Comparison!$S$10:$S$29),1,0))</f>
        <v>0</v>
      </c>
      <c r="C26" s="9" t="str">
        <f t="shared" si="14"/>
        <v>Malaysia</v>
      </c>
      <c r="D26" s="6">
        <f t="shared" si="15"/>
        <v>940</v>
      </c>
      <c r="E26" s="6">
        <f>IF(COUNTIF(I26:XFD26,"&gt;"&amp;0)=0,,HLOOKUP(COUNTIF(I26:XFD26,"&gt;"&amp;0)-1,I$1:XFD26,A26+1,FALSE))</f>
        <v>940</v>
      </c>
      <c r="F26" s="7">
        <f>IF(COUNTIF(I26:XFD26,"&gt;"&amp;0)=0,,HLOOKUP(COUNTIF(I26:XFD26,"&gt;"&amp;0)-MIN($F$1+1,COUNTIF(I26:XFD26,"&gt;"&amp;0)),I$1:XFD26,A26+1,FALSE))</f>
        <v>386</v>
      </c>
      <c r="G26" s="8">
        <f t="shared" si="16"/>
        <v>1.194835478679017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  <c r="T26" s="9">
        <v>940</v>
      </c>
    </row>
    <row r="27" spans="1:48" x14ac:dyDescent="0.25">
      <c r="A27" s="9">
        <f t="shared" si="8"/>
        <v>26</v>
      </c>
      <c r="B27" s="9">
        <f t="array" ref="B27">IF(C27="",0,IF(OR(C27=Country_Comparison!$S$10:$S$29),1,0))</f>
        <v>0</v>
      </c>
      <c r="C27" s="9" t="str">
        <f t="shared" si="14"/>
        <v>Canada</v>
      </c>
      <c r="D27" s="6">
        <f t="shared" si="15"/>
        <v>922</v>
      </c>
      <c r="E27" s="6">
        <f>IF(COUNTIF(I27:XFD27,"&gt;"&amp;0)=0,,HLOOKUP(COUNTIF(I27:XFD27,"&gt;"&amp;0)-1,I$1:XFD27,A27+1,FALSE))</f>
        <v>922</v>
      </c>
      <c r="F27" s="7">
        <f>IF(COUNTIF(I27:XFD27,"&gt;"&amp;0)=0,,HLOOKUP(COUNTIF(I27:XFD27,"&gt;"&amp;0)-MIN($F$1+1,COUNTIF(I27:XFD27,"&gt;"&amp;0)),I$1:XFD27,A27+1,FALSE))</f>
        <v>243</v>
      </c>
      <c r="G27" s="8">
        <f t="shared" si="16"/>
        <v>1.3056444575016242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  <c r="R27" s="9">
        <v>922</v>
      </c>
    </row>
    <row r="28" spans="1:48" x14ac:dyDescent="0.25">
      <c r="A28" s="9">
        <f t="shared" si="8"/>
        <v>27</v>
      </c>
      <c r="B28" s="9">
        <f t="array" ref="B28">IF(C28="",0,IF(OR(C28=Country_Comparison!$S$10:$S$29),1,0))</f>
        <v>0</v>
      </c>
      <c r="C28" s="9" t="str">
        <f t="shared" si="14"/>
        <v>Greece</v>
      </c>
      <c r="D28" s="6">
        <f t="shared" si="15"/>
        <v>470</v>
      </c>
      <c r="E28" s="6">
        <f>IF(COUNTIF(I28:XFD28,"&gt;"&amp;0)=0,,HLOOKUP(COUNTIF(I28:XFD28,"&gt;"&amp;0)-1,I$1:XFD28,A28+1,FALSE))</f>
        <v>470</v>
      </c>
      <c r="F28" s="7">
        <f>IF(COUNTIF(I28:XFD28,"&gt;"&amp;0)=0,,HLOOKUP(COUNTIF(I28:XFD28,"&gt;"&amp;0)-MIN($F$1+1,COUNTIF(I28:XFD28,"&gt;"&amp;0)),I$1:XFD28,A28+1,FALSE))</f>
        <v>319</v>
      </c>
      <c r="G28" s="8">
        <f t="shared" si="16"/>
        <v>1.0805912211937387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  <c r="P28" s="9">
        <v>470</v>
      </c>
    </row>
    <row r="29" spans="1:48" x14ac:dyDescent="0.25">
      <c r="A29" s="9">
        <f t="shared" si="8"/>
        <v>28</v>
      </c>
      <c r="B29" s="9">
        <f t="array" ref="B29">IF(C29="",0,IF(OR(C29=Country_Comparison!$S$10:$S$29),1,0))</f>
        <v>0</v>
      </c>
      <c r="C29" s="9" t="str">
        <f t="shared" si="14"/>
        <v>Bahrain</v>
      </c>
      <c r="D29" s="6">
        <f t="shared" si="15"/>
        <v>184</v>
      </c>
      <c r="E29" s="6">
        <f>IF(COUNTIF(I29:XFD29,"&gt;"&amp;0)=0,,HLOOKUP(COUNTIF(I29:XFD29,"&gt;"&amp;0)-1,I$1:XFD29,A29+1,FALSE))</f>
        <v>184</v>
      </c>
      <c r="F29" s="7">
        <f>IF(COUNTIF(I29:XFD29,"&gt;"&amp;0)=0,,HLOOKUP(COUNTIF(I29:XFD29,"&gt;"&amp;0)-MIN($F$1+1,COUNTIF(I29:XFD29,"&gt;"&amp;0)),I$1:XFD29,A29+1,FALSE))</f>
        <v>154</v>
      </c>
      <c r="G29" s="8">
        <f t="shared" si="16"/>
        <v>1.0362377760232777</v>
      </c>
      <c r="H29" s="13" t="s">
        <v>73</v>
      </c>
      <c r="I29" s="9">
        <v>88</v>
      </c>
      <c r="J29" s="9">
        <v>160</v>
      </c>
      <c r="K29" s="9">
        <v>160</v>
      </c>
      <c r="L29" s="9">
        <v>145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  <c r="S29" s="9">
        <v>184</v>
      </c>
    </row>
    <row r="30" spans="1:48" x14ac:dyDescent="0.25">
      <c r="A30" s="9">
        <f t="shared" si="8"/>
        <v>29</v>
      </c>
      <c r="B30" s="9">
        <f t="array" ref="B30">IF(C30="",0,IF(OR(C30=Country_Comparison!$S$10:$S$29),1,0))</f>
        <v>0</v>
      </c>
      <c r="C30" s="9" t="str">
        <f t="shared" si="14"/>
        <v>Israel</v>
      </c>
      <c r="D30" s="6">
        <f t="shared" si="15"/>
        <v>691</v>
      </c>
      <c r="E30" s="6">
        <f>IF(COUNTIF(I30:XFD30,"&gt;"&amp;0)=0,,HLOOKUP(COUNTIF(I30:XFD30,"&gt;"&amp;0)-1,I$1:XFD30,A30+1,FALSE))</f>
        <v>691</v>
      </c>
      <c r="F30" s="7">
        <f>IF(COUNTIF(I30:XFD30,"&gt;"&amp;0)=0,,HLOOKUP(COUNTIF(I30:XFD30,"&gt;"&amp;0)-MIN($F$1+1,COUNTIF(I30:XFD30,"&gt;"&amp;0)),I$1:XFD30,A30+1,FALSE))</f>
        <v>247</v>
      </c>
      <c r="G30" s="8">
        <f t="shared" si="16"/>
        <v>1.2284464194638829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  <c r="R30" s="9">
        <v>691</v>
      </c>
    </row>
    <row r="31" spans="1:48" x14ac:dyDescent="0.25">
      <c r="A31" s="9">
        <f t="shared" si="8"/>
        <v>30</v>
      </c>
      <c r="B31" s="9">
        <f t="array" ref="B31">IF(C31="",0,IF(OR(C31=Country_Comparison!$S$10:$S$29),1,0))</f>
        <v>0</v>
      </c>
      <c r="C31" s="9" t="str">
        <f t="shared" si="14"/>
        <v>Finland</v>
      </c>
      <c r="D31" s="6">
        <f t="shared" si="15"/>
        <v>440</v>
      </c>
      <c r="E31" s="6">
        <f>IF(COUNTIF(I31:XFD31,"&gt;"&amp;0)=0,,HLOOKUP(COUNTIF(I31:XFD31,"&gt;"&amp;0)-1,I$1:XFD31,A31+1,FALSE))</f>
        <v>440</v>
      </c>
      <c r="F31" s="7">
        <f>IF(COUNTIF(I31:XFD31,"&gt;"&amp;0)=0,,HLOOKUP(COUNTIF(I31:XFD31,"&gt;"&amp;0)-MIN($F$1+1,COUNTIF(I31:XFD31,"&gt;"&amp;0)),I$1:XFD31,A31+1,FALSE))</f>
        <v>234</v>
      </c>
      <c r="G31" s="8">
        <f t="shared" si="16"/>
        <v>1.1346119773553296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  <c r="P31" s="9">
        <v>440</v>
      </c>
    </row>
    <row r="32" spans="1:48" x14ac:dyDescent="0.25">
      <c r="A32" s="9">
        <f t="shared" si="8"/>
        <v>31</v>
      </c>
      <c r="B32" s="9">
        <f t="array" ref="B32">IF(C32="",0,IF(OR(C32=Country_Comparison!$S$10:$S$29),1,0))</f>
        <v>0</v>
      </c>
      <c r="C32" s="9" t="str">
        <f t="shared" si="14"/>
        <v>Brazil</v>
      </c>
      <c r="D32" s="6">
        <f t="shared" si="15"/>
        <v>780</v>
      </c>
      <c r="E32" s="6">
        <f>IF(COUNTIF(I32:XFD32,"&gt;"&amp;0)=0,,HLOOKUP(COUNTIF(I32:XFD32,"&gt;"&amp;0)-1,I$1:XFD32,A32+1,FALSE))</f>
        <v>780</v>
      </c>
      <c r="F32" s="7">
        <f>IF(COUNTIF(I32:XFD32,"&gt;"&amp;0)=0,,HLOOKUP(COUNTIF(I32:XFD32,"&gt;"&amp;0)-MIN($F$1+1,COUNTIF(I32:XFD32,"&gt;"&amp;0)),I$1:XFD32,A32+1,FALSE))</f>
        <v>162</v>
      </c>
      <c r="G32" s="8">
        <f t="shared" si="16"/>
        <v>1.3693545766398905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  <c r="P32" s="9">
        <v>780</v>
      </c>
    </row>
    <row r="33" spans="1:17" x14ac:dyDescent="0.25">
      <c r="A33" s="9">
        <f t="shared" si="8"/>
        <v>32</v>
      </c>
      <c r="B33" s="9">
        <f t="array" ref="B33">IF(C33="",0,IF(OR(C33=Country_Comparison!$S$10:$S$29),1,0))</f>
        <v>0</v>
      </c>
      <c r="C33" s="9" t="str">
        <f t="shared" si="14"/>
        <v>Czechia</v>
      </c>
      <c r="D33" s="6">
        <f t="shared" si="15"/>
        <v>829</v>
      </c>
      <c r="E33" s="6">
        <f>IF(COUNTIF(I33:XFD33,"&gt;"&amp;0)=0,,HLOOKUP(COUNTIF(I33:XFD33,"&gt;"&amp;0)-1,I$1:XFD33,A33+1,FALSE))</f>
        <v>829</v>
      </c>
      <c r="F33" s="7">
        <f>IF(COUNTIF(I33:XFD33,"&gt;"&amp;0)=0,,HLOOKUP(COUNTIF(I33:XFD33,"&gt;"&amp;0)-MIN($F$1+1,COUNTIF(I33:XFD33,"&gt;"&amp;0)),I$1:XFD33,A33+1,FALSE))</f>
        <v>253</v>
      </c>
      <c r="G33" s="8">
        <f t="shared" si="16"/>
        <v>1.2679052551137908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  <c r="P33" s="9">
        <v>829</v>
      </c>
    </row>
    <row r="34" spans="1:17" x14ac:dyDescent="0.25">
      <c r="A34" s="9">
        <f t="shared" si="8"/>
        <v>33</v>
      </c>
      <c r="B34" s="9">
        <f t="array" ref="B34">IF(C34="",0,IF(OR(C34=Country_Comparison!$S$10:$S$29),1,0))</f>
        <v>0</v>
      </c>
      <c r="C34" s="9" t="str">
        <f t="shared" si="14"/>
        <v>Slovenia</v>
      </c>
      <c r="D34" s="6">
        <f t="shared" si="15"/>
        <v>340</v>
      </c>
      <c r="E34" s="6">
        <f>IF(COUNTIF(I34:XFD34,"&gt;"&amp;0)=0,,HLOOKUP(COUNTIF(I34:XFD34,"&gt;"&amp;0)-1,I$1:XFD34,A34+1,FALSE))</f>
        <v>340</v>
      </c>
      <c r="F34" s="7">
        <f>IF(COUNTIF(I34:XFD34,"&gt;"&amp;0)=0,,HLOOKUP(COUNTIF(I34:XFD34,"&gt;"&amp;0)-MIN($F$1+1,COUNTIF(I34:XFD34,"&gt;"&amp;0)),I$1:XFD34,A34+1,FALSE))</f>
        <v>218</v>
      </c>
      <c r="G34" s="8">
        <f t="shared" si="16"/>
        <v>1.0929605453465414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  <c r="P34" s="9">
        <v>340</v>
      </c>
    </row>
    <row r="35" spans="1:17" x14ac:dyDescent="0.25">
      <c r="A35" s="9">
        <f t="shared" si="8"/>
        <v>34</v>
      </c>
      <c r="B35" s="9">
        <f t="array" ref="B35">IF(C35="",0,IF(OR(C35=Country_Comparison!$S$10:$S$29),1,0))</f>
        <v>0</v>
      </c>
      <c r="C35" s="9" t="str">
        <f t="shared" si="14"/>
        <v>Iceland</v>
      </c>
      <c r="D35" s="6">
        <f t="shared" si="15"/>
        <v>404</v>
      </c>
      <c r="E35" s="6">
        <f>IF(COUNTIF(I35:XFD35,"&gt;"&amp;0)=0,,HLOOKUP(COUNTIF(I35:XFD35,"&gt;"&amp;0)-1,I$1:XFD35,A35+1,FALSE))</f>
        <v>404</v>
      </c>
      <c r="F35" s="7">
        <f>IF(COUNTIF(I35:XFD35,"&gt;"&amp;0)=0,,HLOOKUP(COUNTIF(I35:XFD35,"&gt;"&amp;0)-MIN($F$1+1,COUNTIF(I35:XFD35,"&gt;"&amp;0)),I$1:XFD35,A35+1,FALSE))</f>
        <v>158</v>
      </c>
      <c r="G35" s="8">
        <f t="shared" si="16"/>
        <v>1.2065486988263465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  <c r="Q35" s="9">
        <v>404</v>
      </c>
    </row>
    <row r="36" spans="1:17" x14ac:dyDescent="0.25">
      <c r="A36" s="9">
        <f t="shared" si="8"/>
        <v>35</v>
      </c>
      <c r="B36" s="9">
        <f t="array" ref="B36">IF(C36="",0,IF(OR(C36=Country_Comparison!$S$10:$S$29),1,0))</f>
        <v>0</v>
      </c>
      <c r="C36" s="9" t="str">
        <f t="shared" si="14"/>
        <v>Portugal</v>
      </c>
      <c r="D36" s="6">
        <f t="shared" si="15"/>
        <v>1009</v>
      </c>
      <c r="E36" s="6">
        <f>IF(COUNTIF(I36:XFD36,"&gt;"&amp;0)=0,,HLOOKUP(COUNTIF(I36:XFD36,"&gt;"&amp;0)-1,I$1:XFD36,A36+1,FALSE))</f>
        <v>1009</v>
      </c>
      <c r="F36" s="7">
        <f>IF(COUNTIF(I36:XFD36,"&gt;"&amp;0)=0,,HLOOKUP(COUNTIF(I36:XFD36,"&gt;"&amp;0)-MIN($F$1+1,COUNTIF(I36:XFD36,"&gt;"&amp;0)),I$1:XFD36,A36+1,FALSE))</f>
        <v>243</v>
      </c>
      <c r="G36" s="8">
        <f t="shared" si="16"/>
        <v>1.3294039918980931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  <c r="P36" s="9">
        <v>1009</v>
      </c>
    </row>
    <row r="37" spans="1:17" x14ac:dyDescent="0.25">
      <c r="A37" s="9">
        <f t="shared" si="8"/>
        <v>36</v>
      </c>
      <c r="B37" s="9">
        <f t="array" ref="B37">IF(C37="",0,IF(OR(C37=Country_Comparison!$S$10:$S$29),1,0))</f>
        <v>0</v>
      </c>
      <c r="C37" s="9" t="str">
        <f t="shared" si="14"/>
        <v>Iraq</v>
      </c>
      <c r="D37" s="6">
        <f t="shared" si="15"/>
        <v>142</v>
      </c>
      <c r="E37" s="6">
        <f>IF(COUNTIF(I37:XFD37,"&gt;"&amp;0)=0,,HLOOKUP(COUNTIF(I37:XFD37,"&gt;"&amp;0)-1,I$1:XFD37,A37+1,FALSE))</f>
        <v>142</v>
      </c>
      <c r="F37" s="7">
        <f>IF(COUNTIF(I37:XFD37,"&gt;"&amp;0)=0,,HLOOKUP(COUNTIF(I37:XFD37,"&gt;"&amp;0)-MIN($F$1+1,COUNTIF(I37:XFD37,"&gt;"&amp;0)),I$1:XFD37,A37+1,FALSE))</f>
        <v>80</v>
      </c>
      <c r="G37" s="8">
        <f t="shared" si="16"/>
        <v>1.121604315125722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  <c r="P37" s="9">
        <v>142</v>
      </c>
    </row>
    <row r="38" spans="1:17" x14ac:dyDescent="0.25">
      <c r="A38" s="9">
        <f t="shared" si="8"/>
        <v>37</v>
      </c>
      <c r="B38" s="9">
        <f t="array" ref="B38">IF(C38="",0,IF(OR(C38=Country_Comparison!$S$10:$S$29),1,0))</f>
        <v>0</v>
      </c>
      <c r="C38" s="9" t="str">
        <f t="shared" si="14"/>
        <v>Ireland</v>
      </c>
      <c r="D38" s="6">
        <f t="shared" si="15"/>
        <v>675</v>
      </c>
      <c r="E38" s="6">
        <f>IF(COUNTIF(I38:XFD38,"&gt;"&amp;0)=0,,HLOOKUP(COUNTIF(I38:XFD38,"&gt;"&amp;0)-1,I$1:XFD38,A38+1,FALSE))</f>
        <v>675</v>
      </c>
      <c r="F38" s="7">
        <f>IF(COUNTIF(I38:XFD38,"&gt;"&amp;0)=0,,HLOOKUP(COUNTIF(I38:XFD38,"&gt;"&amp;0)-MIN($F$1+1,COUNTIF(I38:XFD38,"&gt;"&amp;0)),I$1:XFD38,A38+1,FALSE))</f>
        <v>127</v>
      </c>
      <c r="G38" s="8">
        <f t="shared" si="16"/>
        <v>1.3966899571390596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  <c r="O38" s="9">
        <v>675</v>
      </c>
    </row>
    <row r="39" spans="1:17" x14ac:dyDescent="0.25">
      <c r="A39" s="9">
        <f t="shared" si="8"/>
        <v>38</v>
      </c>
      <c r="B39" s="9">
        <f t="array" ref="B39">IF(C39="",0,IF(OR(C39=Country_Comparison!$S$10:$S$29),1,0))</f>
        <v>0</v>
      </c>
      <c r="C39" s="9" t="str">
        <f t="shared" si="14"/>
        <v>Romania</v>
      </c>
      <c r="D39" s="6">
        <f t="shared" si="15"/>
        <v>283</v>
      </c>
      <c r="E39" s="6">
        <f>IF(COUNTIF(I39:XFD39,"&gt;"&amp;0)=0,,HLOOKUP(COUNTIF(I39:XFD39,"&gt;"&amp;0)-1,I$1:XFD39,A39+1,FALSE))</f>
        <v>283</v>
      </c>
      <c r="F39" s="7">
        <f>IF(COUNTIF(I39:XFD39,"&gt;"&amp;0)=0,,HLOOKUP(COUNTIF(I39:XFD39,"&gt;"&amp;0)-MIN($F$1+1,COUNTIF(I39:XFD39,"&gt;"&amp;0)),I$1:XFD39,A39+1,FALSE))</f>
        <v>122</v>
      </c>
      <c r="G39" s="8">
        <f t="shared" si="16"/>
        <v>1.1832739974736461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  <c r="O39" s="9">
        <v>283</v>
      </c>
    </row>
    <row r="40" spans="1:17" x14ac:dyDescent="0.25">
      <c r="A40" s="9">
        <f t="shared" si="8"/>
        <v>39</v>
      </c>
      <c r="B40" s="9">
        <f t="array" ref="B40">IF(C40="",0,IF(OR(C40=Country_Comparison!$S$10:$S$29),1,0))</f>
        <v>0</v>
      </c>
      <c r="C40" s="9" t="str">
        <f t="shared" si="14"/>
        <v>Saudi Arabia</v>
      </c>
      <c r="D40" s="6">
        <f t="shared" si="15"/>
        <v>336</v>
      </c>
      <c r="E40" s="6">
        <f>IF(COUNTIF(I40:XFD40,"&gt;"&amp;0)=0,,HLOOKUP(COUNTIF(I40:XFD40,"&gt;"&amp;0)-1,I$1:XFD40,A40+1,FALSE))</f>
        <v>336</v>
      </c>
      <c r="F40" s="7">
        <f>IF(COUNTIF(I40:XFD40,"&gt;"&amp;0)=0,,HLOOKUP(COUNTIF(I40:XFD40,"&gt;"&amp;0)-MIN($F$1+1,COUNTIF(I40:XFD40,"&gt;"&amp;0)),I$1:XFD40,A40+1,FALSE))</f>
        <v>102</v>
      </c>
      <c r="G40" s="8">
        <f t="shared" si="16"/>
        <v>1.269251896883383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  <c r="O40" s="9">
        <v>336</v>
      </c>
    </row>
    <row r="41" spans="1:17" x14ac:dyDescent="0.25">
      <c r="A41" s="9">
        <f t="shared" si="8"/>
        <v>40</v>
      </c>
      <c r="B41" s="9">
        <f t="array" ref="B41">IF(C41="",0,IF(OR(C41=Country_Comparison!$S$10:$S$29),1,0))</f>
        <v>0</v>
      </c>
      <c r="C41" s="9" t="str">
        <f t="shared" si="14"/>
        <v>United Arab Emirates</v>
      </c>
      <c r="D41" s="6">
        <f t="shared" si="15"/>
        <v>109</v>
      </c>
      <c r="E41" s="6">
        <f>IF(COUNTIF(I41:XFD41,"&gt;"&amp;0)=0,,HLOOKUP(COUNTIF(I41:XFD41,"&gt;"&amp;0)-1,I$1:XFD41,A41+1,FALSE))</f>
        <v>107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6"/>
        <v>1.109001829336302</v>
      </c>
      <c r="H41" s="13" t="s">
        <v>55</v>
      </c>
      <c r="I41" s="9">
        <v>87</v>
      </c>
      <c r="J41" s="9">
        <v>109</v>
      </c>
      <c r="K41" s="9">
        <v>107</v>
      </c>
    </row>
    <row r="42" spans="1:17" x14ac:dyDescent="0.25">
      <c r="A42" s="9">
        <f t="shared" si="8"/>
        <v>41</v>
      </c>
      <c r="B42" s="9">
        <f t="array" ref="B42">IF(C42="",0,IF(OR(C42=Country_Comparison!$S$10:$S$29),1,0))</f>
        <v>0</v>
      </c>
      <c r="C42" s="9" t="str">
        <f t="shared" si="14"/>
        <v>India</v>
      </c>
      <c r="D42" s="6">
        <f t="shared" si="15"/>
        <v>219</v>
      </c>
      <c r="E42" s="6">
        <f>IF(COUNTIF(I42:XFD42,"&gt;"&amp;0)=0,,HLOOKUP(COUNTIF(I42:XFD42,"&gt;"&amp;0)-1,I$1:XFD42,A42+1,FALSE))</f>
        <v>219</v>
      </c>
      <c r="F42" s="7">
        <f>IF(COUNTIF(I42:XFD42,"&gt;"&amp;0)=0,,HLOOKUP(COUNTIF(I42:XFD42,"&gt;"&amp;0)-MIN($F$1+1,COUNTIF(I42:XFD42,"&gt;"&amp;0)),I$1:XFD42,A42+1,FALSE))</f>
        <v>98</v>
      </c>
      <c r="G42" s="8">
        <f t="shared" si="16"/>
        <v>1.1744745431203498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  <c r="O42" s="9">
        <v>219</v>
      </c>
    </row>
    <row r="43" spans="1:17" x14ac:dyDescent="0.25">
      <c r="A43" s="9">
        <f t="shared" si="8"/>
        <v>42</v>
      </c>
      <c r="B43" s="9">
        <f t="array" ref="B43">IF(C43="",0,IF(OR(C43=Country_Comparison!$S$10:$S$29),1,0))</f>
        <v>0</v>
      </c>
      <c r="C43" s="9" t="str">
        <f t="shared" si="14"/>
        <v>Egypt</v>
      </c>
      <c r="D43" s="6">
        <f t="shared" si="15"/>
        <v>238</v>
      </c>
      <c r="E43" s="6">
        <f>IF(COUNTIF(I43:XFD43,"&gt;"&amp;0)=0,,HLOOKUP(COUNTIF(I43:XFD43,"&gt;"&amp;0)-1,I$1:XFD43,A43+1,FALSE))</f>
        <v>238</v>
      </c>
      <c r="F43" s="7">
        <f>IF(COUNTIF(I43:XFD43,"&gt;"&amp;0)=0,,HLOOKUP(COUNTIF(I43:XFD43,"&gt;"&amp;0)-MIN($F$1+1,COUNTIF(I43:XFD43,"&gt;"&amp;0)),I$1:XFD43,A43+1,FALSE))</f>
        <v>87</v>
      </c>
      <c r="G43" s="8">
        <f t="shared" si="16"/>
        <v>1.2229579959282071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  <c r="O43" s="9">
        <v>238</v>
      </c>
    </row>
    <row r="44" spans="1:17" x14ac:dyDescent="0.25">
      <c r="A44" s="9">
        <f t="shared" si="8"/>
        <v>43</v>
      </c>
      <c r="B44" s="9">
        <f t="array" ref="B44">IF(C44="",0,IF(OR(C44=Country_Comparison!$S$10:$S$29),1,0))</f>
        <v>0</v>
      </c>
      <c r="C44" s="9" t="str">
        <f t="shared" si="14"/>
        <v>Kuwait</v>
      </c>
      <c r="D44" s="6">
        <f t="shared" si="15"/>
        <v>141</v>
      </c>
      <c r="E44" s="6">
        <f>IF(COUNTIF(I44:XFD44,"&gt;"&amp;0)=0,,HLOOKUP(COUNTIF(I44:XFD44,"&gt;"&amp;0)-1,I$1:XFD44,A44+1,FALSE))</f>
        <v>141</v>
      </c>
      <c r="F44" s="7">
        <f>IF(COUNTIF(I44:XFD44,"&gt;"&amp;0)=0,,HLOOKUP(COUNTIF(I44:XFD44,"&gt;"&amp;0)-MIN($F$1+1,COUNTIF(I44:XFD44,"&gt;"&amp;0)),I$1:XFD44,A44+1,FALSE))</f>
        <v>107</v>
      </c>
      <c r="G44" s="8">
        <f t="shared" si="16"/>
        <v>1.0567373726722085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  <c r="O44" s="9">
        <v>141</v>
      </c>
    </row>
    <row r="45" spans="1:17" x14ac:dyDescent="0.25">
      <c r="A45" s="9">
        <f t="shared" si="8"/>
        <v>44</v>
      </c>
      <c r="B45" s="9">
        <f t="array" ref="B45">IF(C45="",0,IF(OR(C45=Country_Comparison!$S$10:$S$29),1,0))</f>
        <v>0</v>
      </c>
      <c r="C45" s="9" t="str">
        <f t="shared" si="14"/>
        <v>San Marino</v>
      </c>
      <c r="D45" s="6">
        <f t="shared" si="15"/>
        <v>126</v>
      </c>
      <c r="E45" s="6">
        <f>IF(COUNTIF(I45:XFD45,"&gt;"&amp;0)=0,,HLOOKUP(COUNTIF(I45:XFD45,"&gt;"&amp;0)-1,I$1:XFD45,A45+1,FALSE))</f>
        <v>126</v>
      </c>
      <c r="F45" s="7">
        <f>IF(COUNTIF(I45:XFD45,"&gt;"&amp;0)=0,,HLOOKUP(COUNTIF(I45:XFD45,"&gt;"&amp;0)-MIN($F$1+1,COUNTIF(I45:XFD45,"&gt;"&amp;0)),I$1:XFD45,A45+1,FALSE))</f>
        <v>92</v>
      </c>
      <c r="G45" s="8">
        <f t="shared" si="16"/>
        <v>1.0649189212487713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  <c r="N45" s="9">
        <v>126</v>
      </c>
    </row>
    <row r="46" spans="1:17" x14ac:dyDescent="0.25">
      <c r="A46" s="9">
        <f t="shared" si="8"/>
        <v>45</v>
      </c>
      <c r="B46" s="9">
        <f t="array" ref="B46">IF(C46="",0,IF(OR(C46=Country_Comparison!$S$10:$S$29),1,0))</f>
        <v>0</v>
      </c>
      <c r="C46" s="9" t="str">
        <f t="shared" si="14"/>
        <v>Estonia</v>
      </c>
      <c r="D46" s="6">
        <f t="shared" si="15"/>
        <v>282</v>
      </c>
      <c r="E46" s="6">
        <f>IF(COUNTIF(I46:XFD46,"&gt;"&amp;0)=0,,HLOOKUP(COUNTIF(I46:XFD46,"&gt;"&amp;0)-1,I$1:XFD46,A46+1,FALSE))</f>
        <v>282</v>
      </c>
      <c r="F46" s="7">
        <f>IF(COUNTIF(I46:XFD46,"&gt;"&amp;0)=0,,HLOOKUP(COUNTIF(I46:XFD46,"&gt;"&amp;0)-MIN($F$1+1,COUNTIF(I46:XFD46,"&gt;"&amp;0)),I$1:XFD46,A46+1,FALSE))</f>
        <v>170</v>
      </c>
      <c r="G46" s="8">
        <f t="shared" si="16"/>
        <v>1.1065219601141218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  <c r="O46" s="9">
        <v>282</v>
      </c>
    </row>
    <row r="47" spans="1:17" x14ac:dyDescent="0.25">
      <c r="A47" s="9">
        <f t="shared" si="8"/>
        <v>46</v>
      </c>
      <c r="B47" s="9">
        <f t="array" ref="B47">IF(C47="",0,IF(OR(C47=Country_Comparison!$S$10:$S$29),1,0))</f>
        <v>0</v>
      </c>
      <c r="C47" s="9" t="str">
        <f t="shared" si="14"/>
        <v>Lebanon</v>
      </c>
      <c r="D47" s="6">
        <f t="shared" si="15"/>
        <v>155</v>
      </c>
      <c r="E47" s="6">
        <f>IF(COUNTIF(I47:XFD47,"&gt;"&amp;0)=0,,HLOOKUP(COUNTIF(I47:XFD47,"&gt;"&amp;0)-1,I$1:XFD47,A47+1,FALSE))</f>
        <v>155</v>
      </c>
      <c r="F47" s="7">
        <f>IF(COUNTIF(I47:XFD47,"&gt;"&amp;0)=0,,HLOOKUP(COUNTIF(I47:XFD47,"&gt;"&amp;0)-MIN($F$1+1,COUNTIF(I47:XFD47,"&gt;"&amp;0)),I$1:XFD47,A47+1,FALSE))</f>
        <v>106</v>
      </c>
      <c r="G47" s="8">
        <f t="shared" si="16"/>
        <v>1.0789595579879105</v>
      </c>
      <c r="H47" s="13" t="s">
        <v>67</v>
      </c>
      <c r="I47" s="9">
        <v>106</v>
      </c>
      <c r="J47" s="9">
        <v>95</v>
      </c>
      <c r="K47" s="9">
        <v>114</v>
      </c>
      <c r="L47" s="9">
        <v>127</v>
      </c>
      <c r="M47" s="9">
        <v>149</v>
      </c>
      <c r="N47" s="9">
        <v>155</v>
      </c>
    </row>
    <row r="48" spans="1:17" x14ac:dyDescent="0.25">
      <c r="A48" s="9">
        <f t="shared" si="8"/>
        <v>47</v>
      </c>
      <c r="B48" s="9">
        <f t="array" ref="B48">IF(C48="",0,IF(OR(C48=Country_Comparison!$S$10:$S$29),1,0))</f>
        <v>0</v>
      </c>
      <c r="C48" s="9" t="str">
        <f t="shared" si="14"/>
        <v>Thailand</v>
      </c>
      <c r="D48" s="6">
        <f t="shared" si="15"/>
        <v>279</v>
      </c>
      <c r="E48" s="6">
        <f>IF(COUNTIF(I48:XFD48,"&gt;"&amp;0)=0,,HLOOKUP(COUNTIF(I48:XFD48,"&gt;"&amp;0)-1,I$1:XFD48,A48+1,FALSE))</f>
        <v>279</v>
      </c>
      <c r="F48" s="7">
        <f>IF(COUNTIF(I48:XFD48,"&gt;"&amp;0)=0,,HLOOKUP(COUNTIF(I48:XFD48,"&gt;"&amp;0)-MIN($F$1+1,COUNTIF(I48:XFD48,"&gt;"&amp;0)),I$1:XFD48,A48+1,FALSE))</f>
        <v>78</v>
      </c>
      <c r="G48" s="8">
        <f t="shared" si="16"/>
        <v>1.290333343783683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  <c r="N48" s="9">
        <v>279</v>
      </c>
    </row>
    <row r="49" spans="1:15" x14ac:dyDescent="0.25">
      <c r="A49" s="9">
        <f t="shared" si="8"/>
        <v>48</v>
      </c>
      <c r="B49" s="9">
        <f t="array" ref="B49">IF(C49="",0,IF(OR(C49=Country_Comparison!$S$10:$S$29),1,0))</f>
        <v>0</v>
      </c>
      <c r="C49" s="9" t="str">
        <f t="shared" si="14"/>
        <v>Indonesia</v>
      </c>
      <c r="D49" s="6">
        <f t="shared" si="15"/>
        <v>322</v>
      </c>
      <c r="E49" s="6">
        <f>IF(COUNTIF(I49:XFD49,"&gt;"&amp;0)=0,,HLOOKUP(COUNTIF(I49:XFD49,"&gt;"&amp;0)-1,I$1:XFD49,A49+1,FALSE))</f>
        <v>322</v>
      </c>
      <c r="F49" s="7">
        <f>IF(COUNTIF(I49:XFD49,"&gt;"&amp;0)=0,,HLOOKUP(COUNTIF(I49:XFD49,"&gt;"&amp;0)-MIN($F$1+1,COUNTIF(I49:XFD49,"&gt;"&amp;0)),I$1:XFD49,A49+1,FALSE))</f>
        <v>104</v>
      </c>
      <c r="G49" s="8">
        <f t="shared" si="16"/>
        <v>1.253615942409533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  <c r="N49" s="9">
        <v>322</v>
      </c>
    </row>
    <row r="50" spans="1:15" x14ac:dyDescent="0.25">
      <c r="A50" s="9">
        <f t="shared" si="8"/>
        <v>49</v>
      </c>
      <c r="B50" s="9">
        <f t="array" ref="B50">IF(C50="",0,IF(OR(C50=Country_Comparison!$S$10:$S$29),1,0))</f>
        <v>0</v>
      </c>
      <c r="C50" s="9" t="str">
        <f t="shared" si="14"/>
        <v>Poland</v>
      </c>
      <c r="D50" s="6">
        <f t="shared" si="15"/>
        <v>419</v>
      </c>
      <c r="E50" s="6">
        <f>IF(COUNTIF(I50:XFD50,"&gt;"&amp;0)=0,,HLOOKUP(COUNTIF(I50:XFD50,"&gt;"&amp;0)-1,I$1:XFD50,A50+1,FALSE))</f>
        <v>419</v>
      </c>
      <c r="F50" s="7">
        <f>IF(COUNTIF(I50:XFD50,"&gt;"&amp;0)=0,,HLOOKUP(COUNTIF(I50:XFD50,"&gt;"&amp;0)-MIN($F$1+1,COUNTIF(I50:XFD50,"&gt;"&amp;0)),I$1:XFD50,A50+1,FALSE))</f>
        <v>116</v>
      </c>
      <c r="G50" s="8">
        <f t="shared" si="16"/>
        <v>1.2928591301179602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  <c r="O50" s="9">
        <v>419</v>
      </c>
    </row>
    <row r="51" spans="1:15" x14ac:dyDescent="0.25">
      <c r="A51" s="9">
        <f t="shared" si="8"/>
        <v>50</v>
      </c>
      <c r="B51" s="9">
        <f t="array" ref="B51">IF(C51="",0,IF(OR(C51=Country_Comparison!$S$10:$S$29),1,0))</f>
        <v>0</v>
      </c>
      <c r="C51" s="9" t="str">
        <f t="shared" si="14"/>
        <v>Philippines</v>
      </c>
      <c r="D51" s="6">
        <f t="shared" si="15"/>
        <v>204</v>
      </c>
      <c r="E51" s="6">
        <f>IF(COUNTIF(I51:XFD51,"&gt;"&amp;0)=0,,HLOOKUP(COUNTIF(I51:XFD51,"&gt;"&amp;0)-1,I$1:XFD51,A51+1,FALSE))</f>
        <v>204</v>
      </c>
      <c r="F51" s="7">
        <f>IF(COUNTIF(I51:XFD51,"&gt;"&amp;0)=0,,HLOOKUP(COUNTIF(I51:XFD51,"&gt;"&amp;0)-MIN($F$1+1,COUNTIF(I51:XFD51,"&gt;"&amp;0)),I$1:XFD51,A51+1,FALSE))</f>
        <v>127</v>
      </c>
      <c r="G51" s="8">
        <f t="shared" si="16"/>
        <v>1.0994241925991313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  <c r="O51" s="9">
        <v>204</v>
      </c>
    </row>
    <row r="52" spans="1:15" x14ac:dyDescent="0.25">
      <c r="A52" s="9">
        <f t="shared" si="8"/>
        <v>51</v>
      </c>
      <c r="B52" s="9">
        <f t="array" ref="B52">IF(C52="",0,IF(OR(C52=Country_Comparison!$S$10:$S$29),1,0))</f>
        <v>0</v>
      </c>
      <c r="C52" s="9" t="str">
        <f t="shared" si="14"/>
        <v>Taiwan*</v>
      </c>
      <c r="D52" s="6">
        <f t="shared" si="15"/>
        <v>107</v>
      </c>
      <c r="E52" s="6">
        <f>IF(COUNTIF(I52:XFD52,"&gt;"&amp;0)=0,,HLOOKUP(COUNTIF(I52:XFD52,"&gt;"&amp;0)-1,I$1:XFD52,A52+1,FALSE))</f>
        <v>107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6"/>
        <v>1.17881736906545</v>
      </c>
      <c r="H52" s="13" t="s">
        <v>342</v>
      </c>
      <c r="I52" s="9">
        <v>77</v>
      </c>
      <c r="J52" s="9">
        <v>81</v>
      </c>
      <c r="K52" s="9">
        <v>107</v>
      </c>
    </row>
    <row r="53" spans="1:15" x14ac:dyDescent="0.25">
      <c r="A53" s="9">
        <f t="shared" si="8"/>
        <v>52</v>
      </c>
      <c r="B53" s="9">
        <f t="array" ref="B53">IF(C53="",0,IF(OR(C53=Country_Comparison!$S$10:$S$29),1,0))</f>
        <v>0</v>
      </c>
      <c r="C53" s="9" t="str">
        <f t="shared" si="14"/>
        <v>Russia</v>
      </c>
      <c r="D53" s="6">
        <f t="shared" si="15"/>
        <v>243</v>
      </c>
      <c r="E53" s="6">
        <f>IF(COUNTIF(I53:XFD53,"&gt;"&amp;0)=0,,HLOOKUP(COUNTIF(I53:XFD53,"&gt;"&amp;0)-1,I$1:XFD53,A53+1,FALSE))</f>
        <v>243</v>
      </c>
      <c r="F53" s="7">
        <f>IF(COUNTIF(I53:XFD53,"&gt;"&amp;0)=0,,HLOOKUP(COUNTIF(I53:XFD53,"&gt;"&amp;0)-MIN($F$1+1,COUNTIF(I53:XFD53,"&gt;"&amp;0)),I$1:XFD53,A53+1,FALSE))</f>
        <v>106</v>
      </c>
      <c r="G53" s="8">
        <f t="shared" si="16"/>
        <v>1.3185607265837536</v>
      </c>
      <c r="H53" s="13" t="s">
        <v>344</v>
      </c>
      <c r="I53" s="9">
        <v>106</v>
      </c>
      <c r="J53" s="9">
        <v>139</v>
      </c>
      <c r="K53" s="9">
        <v>189</v>
      </c>
      <c r="L53" s="9">
        <v>243</v>
      </c>
    </row>
    <row r="54" spans="1:15" x14ac:dyDescent="0.25">
      <c r="A54" s="9">
        <f t="shared" si="8"/>
        <v>53</v>
      </c>
      <c r="B54" s="9">
        <f t="array" ref="B54">IF(C54="",0,IF(OR(C54=Country_Comparison!$S$10:$S$29),1,0))</f>
        <v>0</v>
      </c>
      <c r="C54" s="9" t="str">
        <f t="shared" si="14"/>
        <v>Chile</v>
      </c>
      <c r="D54" s="6">
        <f t="shared" si="15"/>
        <v>428</v>
      </c>
      <c r="E54" s="6">
        <f>IF(COUNTIF(I54:XFD54,"&gt;"&amp;0)=0,,HLOOKUP(COUNTIF(I54:XFD54,"&gt;"&amp;0)-1,I$1:XFD54,A54+1,FALSE))</f>
        <v>428</v>
      </c>
      <c r="F54" s="7">
        <f>IF(COUNTIF(I54:XFD54,"&gt;"&amp;0)=0,,HLOOKUP(COUNTIF(I54:XFD54,"&gt;"&amp;0)-MIN($F$1+1,COUNTIF(I54:XFD54,"&gt;"&amp;0)),I$1:XFD54,A54+1,FALSE))</f>
        <v>155</v>
      </c>
      <c r="G54" s="8">
        <f t="shared" si="16"/>
        <v>1.2890745008212621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  <c r="M54" s="9">
        <v>428</v>
      </c>
    </row>
    <row r="55" spans="1:15" x14ac:dyDescent="0.25">
      <c r="A55" s="9">
        <f t="shared" si="8"/>
        <v>54</v>
      </c>
      <c r="B55" s="9">
        <f t="array" ref="B55">IF(C55="",0,IF(OR(C55=Country_Comparison!$S$10:$S$29),1,0))</f>
        <v>0</v>
      </c>
      <c r="C55" s="9" t="str">
        <f t="shared" si="14"/>
        <v>Serbia</v>
      </c>
      <c r="D55" s="6">
        <f t="shared" si="15"/>
        <v>133</v>
      </c>
      <c r="E55" s="6">
        <f>IF(COUNTIF(I55:XFD55,"&gt;"&amp;0)=0,,HLOOKUP(COUNTIF(I55:XFD55,"&gt;"&amp;0)-1,I$1:XFD55,A55+1,FALSE))</f>
        <v>133</v>
      </c>
      <c r="F55" s="7">
        <f>IF(COUNTIF(I55:XFD55,"&gt;"&amp;0)=0,,HLOOKUP(COUNTIF(I55:XFD55,"&gt;"&amp;0)-MIN($F$1+1,COUNTIF(I55:XFD55,"&gt;"&amp;0)),I$1:XFD55,A55+1,FALSE))</f>
        <v>102</v>
      </c>
      <c r="G55" s="8">
        <f t="shared" si="16"/>
        <v>1.303921568627451</v>
      </c>
      <c r="H55" s="13" t="s">
        <v>161</v>
      </c>
      <c r="I55" s="9">
        <v>102</v>
      </c>
      <c r="J55" s="9">
        <v>133</v>
      </c>
    </row>
    <row r="56" spans="1:15" x14ac:dyDescent="0.25">
      <c r="A56" s="9">
        <f t="shared" si="8"/>
        <v>55</v>
      </c>
      <c r="B56" s="9">
        <f t="array" ref="B56">IF(C56="",0,IF(OR(C56=Country_Comparison!$S$10:$S$29),1,0))</f>
        <v>0</v>
      </c>
      <c r="C56" s="9" t="str">
        <f t="shared" si="14"/>
        <v>Luxembourg</v>
      </c>
      <c r="D56" s="6">
        <f t="shared" si="15"/>
        <v>480</v>
      </c>
      <c r="E56" s="6">
        <f>IF(COUNTIF(I56:XFD56,"&gt;"&amp;0)=0,,HLOOKUP(COUNTIF(I56:XFD56,"&gt;"&amp;0)-1,I$1:XFD56,A56+1,FALSE))</f>
        <v>480</v>
      </c>
      <c r="F56" s="7">
        <f>IF(COUNTIF(I56:XFD56,"&gt;"&amp;0)=0,,HLOOKUP(COUNTIF(I56:XFD56,"&gt;"&amp;0)-MIN($F$1+1,COUNTIF(I56:XFD56,"&gt;"&amp;0)),I$1:XFD56,A56+1,FALSE))</f>
        <v>139</v>
      </c>
      <c r="G56" s="8">
        <f t="shared" si="16"/>
        <v>1.5115023000307022</v>
      </c>
      <c r="H56" s="13" t="s">
        <v>99</v>
      </c>
      <c r="I56" s="9">
        <v>139</v>
      </c>
      <c r="J56" s="9">
        <v>201</v>
      </c>
      <c r="K56" s="9">
        <v>331</v>
      </c>
      <c r="L56" s="9">
        <v>480</v>
      </c>
    </row>
    <row r="57" spans="1:15" x14ac:dyDescent="0.25">
      <c r="A57" s="9">
        <f t="shared" si="8"/>
        <v>56</v>
      </c>
      <c r="B57" s="9">
        <f t="array" ref="B57">IF(C57="",0,IF(OR(C57=Country_Comparison!$S$10:$S$29),1,0))</f>
        <v>0</v>
      </c>
      <c r="C57" s="9" t="str">
        <f t="shared" si="14"/>
        <v>Croatia</v>
      </c>
      <c r="D57" s="6">
        <f t="shared" si="15"/>
        <v>122</v>
      </c>
      <c r="E57" s="6">
        <f>IF(COUNTIF(I57:XFD57,"&gt;"&amp;0)=0,,HLOOKUP(COUNTIF(I57:XFD57,"&gt;"&amp;0)-1,I$1:XFD57,A57+1,FALSE))</f>
        <v>122</v>
      </c>
      <c r="F57" s="7">
        <f>IF(COUNTIF(I57:XFD57,"&gt;"&amp;0)=0,,HLOOKUP(COUNTIF(I57:XFD57,"&gt;"&amp;0)-MIN($F$1+1,COUNTIF(I57:XFD57,"&gt;"&amp;0)),I$1:XFD57,A57+1,FALSE))</f>
        <v>99</v>
      </c>
      <c r="G57" s="8">
        <f t="shared" si="16"/>
        <v>1.2323232323232323</v>
      </c>
      <c r="H57" s="13" t="s">
        <v>76</v>
      </c>
      <c r="I57" s="9">
        <v>99</v>
      </c>
      <c r="J57" s="9">
        <v>122</v>
      </c>
    </row>
    <row r="58" spans="1:15" x14ac:dyDescent="0.25">
      <c r="A58" s="9">
        <f t="shared" si="8"/>
        <v>57</v>
      </c>
      <c r="B58" s="9">
        <f t="array" ref="B58">IF(C58="",0,IF(OR(C58=Country_Comparison!$S$10:$S$29),1,0))</f>
        <v>0</v>
      </c>
      <c r="C58" s="9" t="str">
        <f t="shared" si="14"/>
        <v>Slovakia</v>
      </c>
      <c r="D58" s="6">
        <f t="shared" si="15"/>
        <v>136</v>
      </c>
      <c r="E58" s="6">
        <f>IF(COUNTIF(I58:XFD58,"&gt;"&amp;0)=0,,HLOOKUP(COUNTIF(I58:XFD58,"&gt;"&amp;0)-1,I$1:XFD58,A58+1,FALSE))</f>
        <v>136</v>
      </c>
      <c r="F58" s="7">
        <f>IF(COUNTIF(I58:XFD58,"&gt;"&amp;0)=0,,HLOOKUP(COUNTIF(I58:XFD58,"&gt;"&amp;0)-MIN($F$1+1,COUNTIF(I58:XFD58,"&gt;"&amp;0)),I$1:XFD58,A58+1,FALSE))</f>
        <v>104</v>
      </c>
      <c r="G58" s="8">
        <f t="shared" si="16"/>
        <v>1.1435437497937313</v>
      </c>
      <c r="H58" s="13" t="s">
        <v>162</v>
      </c>
      <c r="I58" s="9">
        <v>104</v>
      </c>
      <c r="J58" s="9">
        <v>122</v>
      </c>
      <c r="K58" s="9">
        <v>136</v>
      </c>
    </row>
    <row r="59" spans="1:15" x14ac:dyDescent="0.25">
      <c r="A59" s="9">
        <f t="shared" si="8"/>
        <v>58</v>
      </c>
      <c r="B59" s="9">
        <f t="array" ref="B59">IF(C59="",0,IF(OR(C59=Country_Comparison!$S$10:$S$29),1,0))</f>
        <v>0</v>
      </c>
      <c r="C59" s="9" t="str">
        <f t="shared" si="14"/>
        <v>Argentina</v>
      </c>
      <c r="D59" s="6">
        <f t="shared" si="15"/>
        <v>122</v>
      </c>
      <c r="E59" s="6">
        <f>IF(COUNTIF(I59:XFD59,"&gt;"&amp;0)=0,,HLOOKUP(COUNTIF(I59:XFD59,"&gt;"&amp;0)-1,I$1:XFD59,A59+1,FALSE))</f>
        <v>122</v>
      </c>
      <c r="F59" s="7">
        <f>IF(COUNTIF(I59:XFD59,"&gt;"&amp;0)=0,,HLOOKUP(COUNTIF(I59:XFD59,"&gt;"&amp;0)-MIN($F$1+1,COUNTIF(I59:XFD59,"&gt;"&amp;0)),I$1:XFD59,A59+1,FALSE))</f>
        <v>122</v>
      </c>
      <c r="G59" s="8" t="e">
        <f t="shared" si="16"/>
        <v>#DIV/0!</v>
      </c>
      <c r="H59" s="13" t="s">
        <v>123</v>
      </c>
      <c r="I59" s="9">
        <v>122</v>
      </c>
    </row>
    <row r="60" spans="1:15" x14ac:dyDescent="0.25">
      <c r="A60" s="9">
        <f t="shared" si="8"/>
        <v>59</v>
      </c>
      <c r="B60" s="9">
        <f t="array" ref="B60">IF(C60="",0,IF(OR(C60=Country_Comparison!$S$10:$S$29),1,0))</f>
        <v>0</v>
      </c>
      <c r="C60" s="9" t="str">
        <f t="shared" si="14"/>
        <v>Pakistan</v>
      </c>
      <c r="D60" s="6">
        <f t="shared" si="15"/>
        <v>485</v>
      </c>
      <c r="E60" s="6">
        <f>IF(COUNTIF(I60:XFD60,"&gt;"&amp;0)=0,,HLOOKUP(COUNTIF(I60:XFD60,"&gt;"&amp;0)-1,I$1:XFD60,A60+1,FALSE))</f>
        <v>485</v>
      </c>
      <c r="F60" s="7">
        <f>IF(COUNTIF(I60:XFD60,"&gt;"&amp;0)=0,,HLOOKUP(COUNTIF(I60:XFD60,"&gt;"&amp;0)-MIN($F$1+1,COUNTIF(I60:XFD60,"&gt;"&amp;0)),I$1:XFD60,A60+1,FALSE))</f>
        <v>134</v>
      </c>
      <c r="G60" s="8">
        <f t="shared" si="16"/>
        <v>1.3793015843301388</v>
      </c>
      <c r="H60" s="13" t="s">
        <v>80</v>
      </c>
      <c r="I60" s="9">
        <v>134</v>
      </c>
      <c r="J60" s="9">
        <v>234</v>
      </c>
      <c r="K60" s="9">
        <v>297</v>
      </c>
      <c r="L60" s="9">
        <v>439</v>
      </c>
      <c r="M60" s="9">
        <v>485</v>
      </c>
    </row>
    <row r="61" spans="1:15" x14ac:dyDescent="0.25">
      <c r="A61" s="9">
        <f t="shared" si="8"/>
        <v>60</v>
      </c>
      <c r="B61" s="9">
        <f t="array" ref="B61">IF(C61="",0,IF(OR(C61=Country_Comparison!$S$10:$S$29),1,0))</f>
        <v>0</v>
      </c>
      <c r="C61" s="9" t="str">
        <f t="shared" si="14"/>
        <v>Peru</v>
      </c>
      <c r="D61" s="6">
        <f t="shared" si="15"/>
        <v>233</v>
      </c>
      <c r="E61" s="6">
        <f>IF(COUNTIF(I61:XFD61,"&gt;"&amp;0)=0,,HLOOKUP(COUNTIF(I61:XFD61,"&gt;"&amp;0)-1,I$1:XFD61,A61+1,FALSE))</f>
        <v>230</v>
      </c>
      <c r="F61" s="7">
        <f>IF(COUNTIF(I61:XFD61,"&gt;"&amp;0)=0,,HLOOKUP(COUNTIF(I61:XFD61,"&gt;"&amp;0)-MIN($F$1+1,COUNTIF(I61:XFD61,"&gt;"&amp;0)),I$1:XFD61,A61+1,FALSE))</f>
        <v>116</v>
      </c>
      <c r="G61" s="8">
        <f t="shared" si="16"/>
        <v>1.2562901333651348</v>
      </c>
      <c r="H61" s="13" t="s">
        <v>160</v>
      </c>
      <c r="I61" s="9">
        <v>116</v>
      </c>
      <c r="J61" s="9">
        <v>144</v>
      </c>
      <c r="K61" s="9">
        <v>233</v>
      </c>
      <c r="L61" s="9">
        <v>230</v>
      </c>
    </row>
    <row r="62" spans="1:15" x14ac:dyDescent="0.25">
      <c r="A62" s="9">
        <f t="shared" si="8"/>
        <v>61</v>
      </c>
      <c r="B62" s="9">
        <f t="array" ref="B62">IF(C62="",0,IF(OR(C62=Country_Comparison!$S$10:$S$29),1,0))</f>
        <v>0</v>
      </c>
      <c r="C62" s="9" t="str">
        <f t="shared" si="14"/>
        <v>Panama</v>
      </c>
      <c r="D62" s="6">
        <f t="shared" si="15"/>
        <v>136</v>
      </c>
      <c r="E62" s="6">
        <f>IF(COUNTIF(I62:XFD62,"&gt;"&amp;0)=0,,HLOOKUP(COUNTIF(I62:XFD62,"&gt;"&amp;0)-1,I$1:XFD62,A62+1,FALSE))</f>
        <v>136</v>
      </c>
      <c r="F62" s="7">
        <f>IF(COUNTIF(I62:XFD62,"&gt;"&amp;0)=0,,HLOOKUP(COUNTIF(I62:XFD62,"&gt;"&amp;0)-MIN($F$1+1,COUNTIF(I62:XFD62,"&gt;"&amp;0)),I$1:XFD62,A62+1,FALSE))</f>
        <v>108</v>
      </c>
      <c r="G62" s="8">
        <f t="shared" si="16"/>
        <v>1.2592592592592593</v>
      </c>
      <c r="H62" s="13" t="s">
        <v>283</v>
      </c>
      <c r="I62" s="9">
        <v>108</v>
      </c>
      <c r="J62" s="9">
        <v>136</v>
      </c>
    </row>
    <row r="63" spans="1:15" x14ac:dyDescent="0.25">
      <c r="A63" s="9">
        <f t="shared" si="8"/>
        <v>62</v>
      </c>
      <c r="B63" s="9">
        <f t="array" ref="B63">IF(C63="",0,IF(OR(C63=Country_Comparison!$S$10:$S$29),1,0))</f>
        <v>0</v>
      </c>
      <c r="C63" s="9" t="str">
        <f t="shared" si="14"/>
        <v>South Africa</v>
      </c>
      <c r="D63" s="6">
        <f t="shared" si="15"/>
        <v>202</v>
      </c>
      <c r="E63" s="6">
        <f>IF(COUNTIF(I63:XFD63,"&gt;"&amp;0)=0,,HLOOKUP(COUNTIF(I63:XFD63,"&gt;"&amp;0)-1,I$1:XFD63,A63+1,FALSE))</f>
        <v>202</v>
      </c>
      <c r="F63" s="7">
        <f>IF(COUNTIF(I63:XFD63,"&gt;"&amp;0)=0,,HLOOKUP(COUNTIF(I63:XFD63,"&gt;"&amp;0)-MIN($F$1+1,COUNTIF(I63:XFD63,"&gt;"&amp;0)),I$1:XFD63,A63+1,FALSE))</f>
        <v>116</v>
      </c>
      <c r="G63" s="8">
        <f t="shared" si="16"/>
        <v>1.3196133184932728</v>
      </c>
      <c r="H63" s="13" t="s">
        <v>145</v>
      </c>
      <c r="I63" s="9">
        <v>116</v>
      </c>
      <c r="J63" s="9">
        <v>150</v>
      </c>
      <c r="K63" s="9">
        <v>202</v>
      </c>
    </row>
    <row r="64" spans="1:15" x14ac:dyDescent="0.25">
      <c r="A64" s="9">
        <f t="shared" si="8"/>
        <v>63</v>
      </c>
      <c r="B64" s="9">
        <f t="array" ref="B64">IF(C64="",0,IF(OR(C64=Country_Comparison!$S$10:$S$29),1,0))</f>
        <v>0</v>
      </c>
      <c r="C64" s="9" t="str">
        <f t="shared" si="14"/>
        <v>Bulgaria</v>
      </c>
      <c r="D64" s="6">
        <f t="shared" si="15"/>
        <v>124</v>
      </c>
      <c r="E64" s="6">
        <f>IF(COUNTIF(I64:XFD64,"&gt;"&amp;0)=0,,HLOOKUP(COUNTIF(I64:XFD64,"&gt;"&amp;0)-1,I$1:XFD64,A64+1,FALSE))</f>
        <v>124</v>
      </c>
      <c r="F64" s="7">
        <f>IF(COUNTIF(I64:XFD64,"&gt;"&amp;0)=0,,HLOOKUP(COUNTIF(I64:XFD64,"&gt;"&amp;0)-MIN($F$1+1,COUNTIF(I64:XFD64,"&gt;"&amp;0)),I$1:XFD64,A64+1,FALSE))</f>
        <v>124</v>
      </c>
      <c r="G64" s="8" t="e">
        <f t="shared" si="16"/>
        <v>#DIV/0!</v>
      </c>
      <c r="H64" s="13" t="s">
        <v>199</v>
      </c>
      <c r="I64" s="9">
        <v>124</v>
      </c>
    </row>
    <row r="65" spans="1:11" x14ac:dyDescent="0.25">
      <c r="A65" s="9">
        <f t="shared" si="8"/>
        <v>64</v>
      </c>
      <c r="B65" s="9">
        <f t="array" ref="B65">IF(C65="",0,IF(OR(C65=Country_Comparison!$S$10:$S$29),1,0))</f>
        <v>0</v>
      </c>
      <c r="C65" s="9" t="str">
        <f t="shared" si="14"/>
        <v>Ecuador</v>
      </c>
      <c r="D65" s="6">
        <f t="shared" si="15"/>
        <v>362</v>
      </c>
      <c r="E65" s="6">
        <f>IF(COUNTIF(I65:XFD65,"&gt;"&amp;0)=0,,HLOOKUP(COUNTIF(I65:XFD65,"&gt;"&amp;0)-1,I$1:XFD65,A65+1,FALSE))</f>
        <v>362</v>
      </c>
      <c r="F65" s="7">
        <f>IF(COUNTIF(I65:XFD65,"&gt;"&amp;0)=0,,HLOOKUP(COUNTIF(I65:XFD65,"&gt;"&amp;0)-MIN($F$1+1,COUNTIF(I65:XFD65,"&gt;"&amp;0)),I$1:XFD65,A65+1,FALSE))</f>
        <v>109</v>
      </c>
      <c r="G65" s="8">
        <f t="shared" si="16"/>
        <v>1.8223887942563719</v>
      </c>
      <c r="H65" s="13" t="s">
        <v>103</v>
      </c>
      <c r="I65" s="9">
        <v>109</v>
      </c>
      <c r="J65" s="9">
        <v>196</v>
      </c>
      <c r="K65" s="9">
        <v>362</v>
      </c>
    </row>
    <row r="66" spans="1:11" x14ac:dyDescent="0.25">
      <c r="A66" s="9">
        <f t="shared" si="8"/>
        <v>65</v>
      </c>
      <c r="B66" s="9">
        <f t="array" ref="B66">IF(C66="",0,IF(OR(C66=Country_Comparison!$S$10:$S$29),1,0))</f>
        <v>0</v>
      </c>
      <c r="C66" s="9" t="str">
        <f t="shared" si="14"/>
        <v>Latvia</v>
      </c>
      <c r="D66" s="6">
        <f t="shared" si="15"/>
        <v>110</v>
      </c>
      <c r="E66" s="6">
        <f>IF(COUNTIF(I66:XFD66,"&gt;"&amp;0)=0,,HLOOKUP(COUNTIF(I66:XFD66,"&gt;"&amp;0)-1,I$1:XFD66,A66+1,FALSE))</f>
        <v>110</v>
      </c>
      <c r="F66" s="7">
        <f>IF(COUNTIF(I66:XFD66,"&gt;"&amp;0)=0,,HLOOKUP(COUNTIF(I66:XFD66,"&gt;"&amp;0)-MIN($F$1+1,COUNTIF(I66:XFD66,"&gt;"&amp;0)),I$1:XFD66,A66+1,FALSE))</f>
        <v>110</v>
      </c>
      <c r="G66" s="8" t="e">
        <f t="shared" si="16"/>
        <v>#DIV/0!</v>
      </c>
      <c r="H66" s="13" t="s">
        <v>111</v>
      </c>
      <c r="I66" s="9">
        <v>110</v>
      </c>
    </row>
    <row r="67" spans="1:11" x14ac:dyDescent="0.25">
      <c r="A67" s="9">
        <f t="shared" si="8"/>
        <v>66</v>
      </c>
      <c r="B67" s="9">
        <f t="array" ref="B67">IF(C67="",0,IF(OR(C67=Country_Comparison!$S$10:$S$29),1,0))</f>
        <v>0</v>
      </c>
      <c r="C67" s="9" t="str">
        <f t="shared" si="14"/>
        <v>Colombia</v>
      </c>
      <c r="D67" s="6">
        <f t="shared" si="15"/>
        <v>127</v>
      </c>
      <c r="E67" s="6">
        <f>IF(COUNTIF(I67:XFD67,"&gt;"&amp;0)=0,,HLOOKUP(COUNTIF(I67:XFD67,"&gt;"&amp;0)-1,I$1:XFD67,A67+1,FALSE))</f>
        <v>127</v>
      </c>
      <c r="F67" s="7">
        <f>IF(COUNTIF(I67:XFD67,"&gt;"&amp;0)=0,,HLOOKUP(COUNTIF(I67:XFD67,"&gt;"&amp;0)-MIN($F$1+1,COUNTIF(I67:XFD67,"&gt;"&amp;0)),I$1:XFD67,A67+1,FALSE))</f>
        <v>101</v>
      </c>
      <c r="G67" s="8">
        <f t="shared" si="16"/>
        <v>1.2574257425742574</v>
      </c>
      <c r="H67" s="13" t="s">
        <v>158</v>
      </c>
      <c r="I67" s="9">
        <v>101</v>
      </c>
      <c r="J67" s="9">
        <v>127</v>
      </c>
    </row>
    <row r="68" spans="1:11" x14ac:dyDescent="0.25">
      <c r="A68" s="9">
        <f t="shared" si="8"/>
        <v>67</v>
      </c>
      <c r="B68" s="9">
        <f t="array" ref="B68">IF(C68="",0,IF(OR(C68=Country_Comparison!$S$10:$S$29),1,0))</f>
        <v>0</v>
      </c>
      <c r="C68" s="9" t="str">
        <f t="shared" si="14"/>
        <v>Mexico</v>
      </c>
      <c r="D68" s="6">
        <f t="shared" si="15"/>
        <v>159</v>
      </c>
      <c r="E68" s="6">
        <f>IF(COUNTIF(I68:XFD68,"&gt;"&amp;0)=0,,HLOOKUP(COUNTIF(I68:XFD68,"&gt;"&amp;0)-1,I$1:XFD68,A68+1,FALSE))</f>
        <v>159</v>
      </c>
      <c r="F68" s="7">
        <f>IF(COUNTIF(I68:XFD68,"&gt;"&amp;0)=0,,HLOOKUP(COUNTIF(I68:XFD68,"&gt;"&amp;0)-MIN($F$1+1,COUNTIF(I68:XFD68,"&gt;"&amp;0)),I$1:XFD68,A68+1,FALSE))</f>
        <v>113</v>
      </c>
      <c r="G68" s="8">
        <f t="shared" si="16"/>
        <v>1.4070796460176991</v>
      </c>
      <c r="H68" s="13" t="s">
        <v>94</v>
      </c>
      <c r="I68" s="9">
        <v>113</v>
      </c>
      <c r="J68" s="9">
        <v>159</v>
      </c>
    </row>
    <row r="69" spans="1:11" x14ac:dyDescent="0.25">
      <c r="A69" s="9">
        <f t="shared" si="8"/>
        <v>68</v>
      </c>
      <c r="B69" s="9">
        <f t="array" ref="B69">IF(C69="",0,IF(OR(C69=Country_Comparison!$S$10:$S$29),1,0))</f>
        <v>0</v>
      </c>
      <c r="C69" s="9" t="str">
        <f t="shared" si="14"/>
        <v>Armenia</v>
      </c>
      <c r="D69" s="6">
        <f t="shared" si="15"/>
        <v>135</v>
      </c>
      <c r="E69" s="6">
        <f>IF(COUNTIF(I69:XFD69,"&gt;"&amp;0)=0,,HLOOKUP(COUNTIF(I69:XFD69,"&gt;"&amp;0)-1,I$1:XFD69,A69+1,FALSE))</f>
        <v>135</v>
      </c>
      <c r="F69" s="7">
        <f>IF(COUNTIF(I69:XFD69,"&gt;"&amp;0)=0,,HLOOKUP(COUNTIF(I69:XFD69,"&gt;"&amp;0)-MIN($F$1+1,COUNTIF(I69:XFD69,"&gt;"&amp;0)),I$1:XFD69,A69+1,FALSE))</f>
        <v>114</v>
      </c>
      <c r="G69" s="8">
        <f t="shared" si="16"/>
        <v>1.1842105263157894</v>
      </c>
      <c r="H69" s="13" t="s">
        <v>105</v>
      </c>
      <c r="I69" s="9">
        <v>114</v>
      </c>
      <c r="J69" s="9">
        <v>135</v>
      </c>
    </row>
    <row r="70" spans="1:11" x14ac:dyDescent="0.25">
      <c r="A70" s="9">
        <f t="shared" si="8"/>
        <v>69</v>
      </c>
      <c r="B70" s="9">
        <f t="array" ref="B70">IF(C70="",0,IF(OR(C70=Country_Comparison!$S$10:$S$29),1,0))</f>
        <v>0</v>
      </c>
      <c r="C70" s="9" t="str">
        <f t="shared" ref="C70:C133" si="17">IF(H70="","",H70)</f>
        <v>Turkey</v>
      </c>
      <c r="D70" s="6">
        <f t="shared" ref="D70:D133" si="18">MAX(I70:CL70)</f>
        <v>355</v>
      </c>
      <c r="E70" s="6">
        <f>IF(COUNTIF(I70:XFD70,"&gt;"&amp;0)=0,,HLOOKUP(COUNTIF(I70:XFD70,"&gt;"&amp;0)-1,I$1:XFD70,A70+1,FALSE))</f>
        <v>355</v>
      </c>
      <c r="F70" s="7">
        <f>IF(COUNTIF(I70:XFD70,"&gt;"&amp;0)=0,,HLOOKUP(COUNTIF(I70:XFD70,"&gt;"&amp;0)-MIN($F$1+1,COUNTIF(I70:XFD70,"&gt;"&amp;0)),I$1:XFD70,A70+1,FALSE))</f>
        <v>189</v>
      </c>
      <c r="G70" s="8">
        <f t="shared" ref="G70:G133" si="19">IF(COUNTIF(I70:XFD70,"&gt;"&amp;0)=0,,(E70/F70)^(1/MIN(COUNTIF(I70:XFD70,"&gt;"&amp;0)-1,$F$1)))</f>
        <v>1.8783068783068784</v>
      </c>
      <c r="H70" s="13" t="s">
        <v>355</v>
      </c>
      <c r="I70" s="9">
        <v>189</v>
      </c>
      <c r="J70" s="9">
        <v>355</v>
      </c>
    </row>
    <row r="71" spans="1:11" x14ac:dyDescent="0.25">
      <c r="A71" s="9">
        <f t="shared" si="8"/>
        <v>70</v>
      </c>
      <c r="B71" s="9">
        <f t="array" ref="B71">IF(C71="",0,IF(OR(C71=Country_Comparison!$S$10:$S$29),1,0))</f>
        <v>0</v>
      </c>
      <c r="C71" s="9" t="str">
        <f t="shared" si="17"/>
        <v/>
      </c>
      <c r="D71" s="6">
        <f t="shared" si="18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19"/>
        <v>0</v>
      </c>
    </row>
    <row r="72" spans="1:11" x14ac:dyDescent="0.25">
      <c r="A72" s="9">
        <f t="shared" si="8"/>
        <v>71</v>
      </c>
      <c r="B72" s="9">
        <f t="array" ref="B72">IF(C72="",0,IF(OR(C72=Country_Comparison!$S$10:$S$29),1,0))</f>
        <v>0</v>
      </c>
      <c r="C72" s="9" t="str">
        <f t="shared" si="17"/>
        <v/>
      </c>
      <c r="D72" s="6">
        <f t="shared" si="18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19"/>
        <v>0</v>
      </c>
    </row>
    <row r="73" spans="1:11" x14ac:dyDescent="0.25">
      <c r="A73" s="9">
        <f t="shared" si="8"/>
        <v>72</v>
      </c>
      <c r="B73" s="9">
        <f t="array" ref="B73">IF(C73="",0,IF(OR(C73=Country_Comparison!$S$10:$S$29),1,0))</f>
        <v>0</v>
      </c>
      <c r="C73" s="9" t="str">
        <f t="shared" si="17"/>
        <v/>
      </c>
      <c r="D73" s="6">
        <f t="shared" si="18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19"/>
        <v>0</v>
      </c>
    </row>
    <row r="74" spans="1:11" x14ac:dyDescent="0.25">
      <c r="A74" s="9">
        <f t="shared" si="8"/>
        <v>73</v>
      </c>
      <c r="B74" s="9">
        <f t="array" ref="B74">IF(C74="",0,IF(OR(C74=Country_Comparison!$S$10:$S$29),1,0))</f>
        <v>0</v>
      </c>
      <c r="C74" s="9" t="str">
        <f t="shared" si="17"/>
        <v/>
      </c>
      <c r="D74" s="6">
        <f t="shared" si="18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19"/>
        <v>0</v>
      </c>
    </row>
    <row r="75" spans="1:11" x14ac:dyDescent="0.25">
      <c r="A75" s="9">
        <f t="shared" si="8"/>
        <v>74</v>
      </c>
      <c r="B75" s="9">
        <f t="array" ref="B75">IF(C75="",0,IF(OR(C75=Country_Comparison!$S$10:$S$29),1,0))</f>
        <v>0</v>
      </c>
      <c r="C75" s="9" t="str">
        <f t="shared" si="17"/>
        <v/>
      </c>
      <c r="D75" s="6">
        <f t="shared" si="18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9"/>
        <v>0</v>
      </c>
    </row>
    <row r="76" spans="1:11" x14ac:dyDescent="0.25">
      <c r="A76" s="9">
        <f t="shared" si="8"/>
        <v>75</v>
      </c>
      <c r="B76" s="9">
        <f t="array" ref="B76">IF(C76="",0,IF(OR(C76=Country_Comparison!$S$10:$S$29),1,0))</f>
        <v>0</v>
      </c>
      <c r="C76" s="9" t="str">
        <f t="shared" si="17"/>
        <v/>
      </c>
      <c r="D76" s="6">
        <f t="shared" si="18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9"/>
        <v>0</v>
      </c>
    </row>
    <row r="77" spans="1:11" x14ac:dyDescent="0.25">
      <c r="A77" s="9">
        <f t="shared" si="8"/>
        <v>76</v>
      </c>
      <c r="B77" s="9">
        <f t="array" ref="B77">IF(C77="",0,IF(OR(C77=Country_Comparison!$S$10:$S$29),1,0))</f>
        <v>0</v>
      </c>
      <c r="C77" s="9" t="str">
        <f t="shared" si="17"/>
        <v/>
      </c>
      <c r="D77" s="6">
        <f t="shared" si="18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9"/>
        <v>0</v>
      </c>
    </row>
    <row r="78" spans="1:11" x14ac:dyDescent="0.25">
      <c r="A78" s="9">
        <f t="shared" si="8"/>
        <v>77</v>
      </c>
      <c r="B78" s="9">
        <f t="array" ref="B78">IF(C78="",0,IF(OR(C78=Country_Comparison!$S$10:$S$29),1,0))</f>
        <v>0</v>
      </c>
      <c r="C78" s="9" t="str">
        <f t="shared" si="17"/>
        <v/>
      </c>
      <c r="D78" s="6">
        <f t="shared" si="18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9"/>
        <v>0</v>
      </c>
    </row>
    <row r="79" spans="1:11" x14ac:dyDescent="0.25">
      <c r="A79" s="9">
        <f t="shared" si="8"/>
        <v>78</v>
      </c>
      <c r="B79" s="9">
        <f t="array" ref="B79">IF(C79="",0,IF(OR(C79=Country_Comparison!$S$10:$S$29),1,0))</f>
        <v>0</v>
      </c>
      <c r="C79" s="9" t="str">
        <f t="shared" si="17"/>
        <v/>
      </c>
      <c r="D79" s="6">
        <f t="shared" si="18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9"/>
        <v>0</v>
      </c>
    </row>
    <row r="80" spans="1:11" x14ac:dyDescent="0.25">
      <c r="A80" s="9">
        <f t="shared" si="8"/>
        <v>79</v>
      </c>
      <c r="B80" s="9">
        <f t="array" ref="B80">IF(C80="",0,IF(OR(C80=Country_Comparison!$S$10:$S$29),1,0))</f>
        <v>0</v>
      </c>
      <c r="C80" s="9" t="str">
        <f t="shared" si="17"/>
        <v/>
      </c>
      <c r="D80" s="6">
        <f t="shared" si="18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9"/>
        <v>0</v>
      </c>
    </row>
    <row r="81" spans="1:7" x14ac:dyDescent="0.25">
      <c r="A81" s="9">
        <f t="shared" si="8"/>
        <v>80</v>
      </c>
      <c r="B81" s="9">
        <f t="array" ref="B81">IF(C81="",0,IF(OR(C81=Country_Comparison!$S$10:$S$29),1,0))</f>
        <v>0</v>
      </c>
      <c r="C81" s="9" t="str">
        <f t="shared" si="17"/>
        <v/>
      </c>
      <c r="D81" s="6">
        <f t="shared" si="18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9"/>
        <v>0</v>
      </c>
    </row>
    <row r="82" spans="1:7" x14ac:dyDescent="0.25">
      <c r="A82" s="9">
        <f t="shared" si="8"/>
        <v>81</v>
      </c>
      <c r="B82" s="9">
        <f t="array" ref="B82">IF(C82="",0,IF(OR(C82=Country_Comparison!$S$10:$S$29),1,0))</f>
        <v>0</v>
      </c>
      <c r="C82" s="9" t="str">
        <f t="shared" si="17"/>
        <v/>
      </c>
      <c r="D82" s="6">
        <f t="shared" si="18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9"/>
        <v>0</v>
      </c>
    </row>
    <row r="83" spans="1:7" x14ac:dyDescent="0.25">
      <c r="A83" s="9">
        <f t="shared" si="8"/>
        <v>82</v>
      </c>
      <c r="B83" s="9">
        <f t="array" ref="B83">IF(C83="",0,IF(OR(C83=Country_Comparison!$S$10:$S$29),1,0))</f>
        <v>0</v>
      </c>
      <c r="C83" s="9" t="str">
        <f t="shared" si="17"/>
        <v/>
      </c>
      <c r="D83" s="6">
        <f t="shared" si="18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9"/>
        <v>0</v>
      </c>
    </row>
    <row r="84" spans="1:7" x14ac:dyDescent="0.25">
      <c r="A84" s="9">
        <f t="shared" si="8"/>
        <v>83</v>
      </c>
      <c r="B84" s="9">
        <f t="array" ref="B84">IF(C84="",0,IF(OR(C84=Country_Comparison!$S$10:$S$29),1,0))</f>
        <v>0</v>
      </c>
      <c r="C84" s="9" t="str">
        <f t="shared" si="17"/>
        <v/>
      </c>
      <c r="D84" s="6">
        <f t="shared" si="18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9"/>
        <v>0</v>
      </c>
    </row>
    <row r="85" spans="1:7" x14ac:dyDescent="0.25">
      <c r="A85" s="9">
        <f t="shared" si="8"/>
        <v>84</v>
      </c>
      <c r="B85" s="9">
        <f t="array" ref="B85">IF(C85="",0,IF(OR(C85=Country_Comparison!$S$10:$S$29),1,0))</f>
        <v>0</v>
      </c>
      <c r="C85" s="9" t="str">
        <f t="shared" si="17"/>
        <v/>
      </c>
      <c r="D85" s="6">
        <f t="shared" si="18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9"/>
        <v>0</v>
      </c>
    </row>
    <row r="86" spans="1:7" x14ac:dyDescent="0.25">
      <c r="A86" s="9">
        <f t="shared" si="8"/>
        <v>85</v>
      </c>
      <c r="B86" s="9">
        <f t="array" ref="B86">IF(C86="",0,IF(OR(C86=Country_Comparison!$S$10:$S$29),1,0))</f>
        <v>0</v>
      </c>
      <c r="C86" s="9" t="str">
        <f t="shared" si="17"/>
        <v/>
      </c>
      <c r="D86" s="6">
        <f t="shared" si="18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9"/>
        <v>0</v>
      </c>
    </row>
    <row r="87" spans="1:7" x14ac:dyDescent="0.25">
      <c r="A87" s="9">
        <f t="shared" si="8"/>
        <v>86</v>
      </c>
      <c r="B87" s="9">
        <f t="array" ref="B87">IF(C87="",0,IF(OR(C87=Country_Comparison!$S$10:$S$29),1,0))</f>
        <v>0</v>
      </c>
      <c r="C87" s="9" t="str">
        <f t="shared" si="17"/>
        <v/>
      </c>
      <c r="D87" s="6">
        <f t="shared" si="18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9"/>
        <v>0</v>
      </c>
    </row>
    <row r="88" spans="1:7" x14ac:dyDescent="0.25">
      <c r="A88" s="9">
        <f t="shared" si="8"/>
        <v>87</v>
      </c>
      <c r="B88" s="9">
        <f t="array" ref="B88">IF(C88="",0,IF(OR(C88=Country_Comparison!$S$10:$S$29),1,0))</f>
        <v>0</v>
      </c>
      <c r="C88" s="9" t="str">
        <f t="shared" si="17"/>
        <v/>
      </c>
      <c r="D88" s="6">
        <f t="shared" si="18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9"/>
        <v>0</v>
      </c>
    </row>
    <row r="89" spans="1:7" x14ac:dyDescent="0.25">
      <c r="A89" s="9">
        <f t="shared" si="8"/>
        <v>88</v>
      </c>
      <c r="B89" s="9">
        <f t="array" ref="B89">IF(C89="",0,IF(OR(C89=Country_Comparison!$S$10:$S$29),1,0))</f>
        <v>0</v>
      </c>
      <c r="C89" s="9" t="str">
        <f t="shared" si="17"/>
        <v/>
      </c>
      <c r="D89" s="6">
        <f t="shared" si="18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9"/>
        <v>0</v>
      </c>
    </row>
    <row r="90" spans="1:7" x14ac:dyDescent="0.25">
      <c r="A90" s="9">
        <f t="shared" si="8"/>
        <v>89</v>
      </c>
      <c r="B90" s="9">
        <f t="array" ref="B90">IF(C90="",0,IF(OR(C90=Country_Comparison!$S$10:$S$29),1,0))</f>
        <v>0</v>
      </c>
      <c r="C90" s="9" t="str">
        <f t="shared" si="17"/>
        <v/>
      </c>
      <c r="D90" s="6">
        <f t="shared" si="18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9"/>
        <v>0</v>
      </c>
    </row>
    <row r="91" spans="1:7" x14ac:dyDescent="0.25">
      <c r="A91" s="9">
        <f t="shared" si="8"/>
        <v>90</v>
      </c>
      <c r="B91" s="9">
        <f t="array" ref="B91">IF(C91="",0,IF(OR(C91=Country_Comparison!$S$10:$S$29),1,0))</f>
        <v>0</v>
      </c>
      <c r="C91" s="9" t="str">
        <f t="shared" si="17"/>
        <v/>
      </c>
      <c r="D91" s="6">
        <f t="shared" si="18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9"/>
        <v>0</v>
      </c>
    </row>
    <row r="92" spans="1:7" x14ac:dyDescent="0.25">
      <c r="A92" s="9">
        <f t="shared" si="8"/>
        <v>91</v>
      </c>
      <c r="B92" s="9">
        <f t="array" ref="B92">IF(C92="",0,IF(OR(C92=Country_Comparison!$S$10:$S$29),1,0))</f>
        <v>0</v>
      </c>
      <c r="C92" s="9" t="str">
        <f t="shared" si="17"/>
        <v/>
      </c>
      <c r="D92" s="6">
        <f t="shared" si="18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9"/>
        <v>0</v>
      </c>
    </row>
    <row r="93" spans="1:7" x14ac:dyDescent="0.25">
      <c r="A93" s="9">
        <f t="shared" si="8"/>
        <v>92</v>
      </c>
      <c r="B93" s="9">
        <f t="array" ref="B93">IF(C93="",0,IF(OR(C93=Country_Comparison!$S$10:$S$29),1,0))</f>
        <v>0</v>
      </c>
      <c r="C93" s="9" t="str">
        <f t="shared" si="17"/>
        <v/>
      </c>
      <c r="D93" s="6">
        <f t="shared" si="18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9"/>
        <v>0</v>
      </c>
    </row>
    <row r="94" spans="1:7" x14ac:dyDescent="0.25">
      <c r="A94" s="9">
        <f t="shared" si="8"/>
        <v>93</v>
      </c>
      <c r="B94" s="9">
        <f t="array" ref="B94">IF(C94="",0,IF(OR(C94=Country_Comparison!$S$10:$S$29),1,0))</f>
        <v>0</v>
      </c>
      <c r="C94" s="9" t="str">
        <f t="shared" si="17"/>
        <v/>
      </c>
      <c r="D94" s="6">
        <f t="shared" si="18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9"/>
        <v>0</v>
      </c>
    </row>
    <row r="95" spans="1:7" x14ac:dyDescent="0.25">
      <c r="A95" s="9">
        <f t="shared" si="8"/>
        <v>94</v>
      </c>
      <c r="B95" s="9">
        <f t="array" ref="B95">IF(C95="",0,IF(OR(C95=Country_Comparison!$S$10:$S$29),1,0))</f>
        <v>0</v>
      </c>
      <c r="C95" s="9" t="str">
        <f t="shared" si="17"/>
        <v/>
      </c>
      <c r="D95" s="6">
        <f t="shared" si="18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9"/>
        <v>0</v>
      </c>
    </row>
    <row r="96" spans="1:7" x14ac:dyDescent="0.25">
      <c r="A96" s="9">
        <f t="shared" si="8"/>
        <v>95</v>
      </c>
      <c r="B96" s="9">
        <f t="array" ref="B96">IF(C96="",0,IF(OR(C96=Country_Comparison!$S$10:$S$29),1,0))</f>
        <v>0</v>
      </c>
      <c r="C96" s="9" t="str">
        <f t="shared" si="17"/>
        <v/>
      </c>
      <c r="D96" s="6">
        <f t="shared" si="18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9"/>
        <v>0</v>
      </c>
    </row>
    <row r="97" spans="1:7" x14ac:dyDescent="0.25">
      <c r="A97" s="9">
        <f t="shared" si="8"/>
        <v>96</v>
      </c>
      <c r="B97" s="9">
        <f t="array" ref="B97">IF(C97="",0,IF(OR(C97=Country_Comparison!$S$10:$S$29),1,0))</f>
        <v>0</v>
      </c>
      <c r="C97" s="9" t="str">
        <f t="shared" si="17"/>
        <v/>
      </c>
      <c r="D97" s="6">
        <f t="shared" si="18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9"/>
        <v>0</v>
      </c>
    </row>
    <row r="98" spans="1:7" x14ac:dyDescent="0.25">
      <c r="A98" s="9">
        <f t="shared" si="8"/>
        <v>97</v>
      </c>
      <c r="B98" s="9">
        <f t="array" ref="B98">IF(C98="",0,IF(OR(C98=Country_Comparison!$S$10:$S$29),1,0))</f>
        <v>0</v>
      </c>
      <c r="C98" s="9" t="str">
        <f t="shared" si="17"/>
        <v/>
      </c>
      <c r="D98" s="6">
        <f t="shared" si="18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9"/>
        <v>0</v>
      </c>
    </row>
    <row r="99" spans="1:7" x14ac:dyDescent="0.25">
      <c r="A99" s="9">
        <f t="shared" si="8"/>
        <v>98</v>
      </c>
      <c r="B99" s="9">
        <f t="array" ref="B99">IF(C99="",0,IF(OR(C99=Country_Comparison!$S$10:$S$29),1,0))</f>
        <v>0</v>
      </c>
      <c r="C99" s="9" t="str">
        <f t="shared" si="17"/>
        <v/>
      </c>
      <c r="D99" s="6">
        <f t="shared" si="18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9"/>
        <v>0</v>
      </c>
    </row>
    <row r="100" spans="1:7" x14ac:dyDescent="0.25">
      <c r="A100" s="9">
        <f t="shared" si="8"/>
        <v>99</v>
      </c>
      <c r="B100" s="9">
        <f t="array" ref="B100">IF(C100="",0,IF(OR(C100=Country_Comparison!$S$10:$S$29),1,0))</f>
        <v>0</v>
      </c>
      <c r="C100" s="9" t="str">
        <f t="shared" si="17"/>
        <v/>
      </c>
      <c r="D100" s="6">
        <f t="shared" si="18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9"/>
        <v>0</v>
      </c>
    </row>
    <row r="101" spans="1:7" x14ac:dyDescent="0.25">
      <c r="A101" s="9">
        <f t="shared" si="8"/>
        <v>100</v>
      </c>
      <c r="B101" s="9">
        <f t="array" ref="B101">IF(C101="",0,IF(OR(C101=Country_Comparison!$S$10:$S$29),1,0))</f>
        <v>0</v>
      </c>
      <c r="C101" s="9" t="str">
        <f t="shared" si="17"/>
        <v/>
      </c>
      <c r="D101" s="6">
        <f t="shared" si="18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9"/>
        <v>0</v>
      </c>
    </row>
    <row r="102" spans="1:7" x14ac:dyDescent="0.25">
      <c r="A102" s="9">
        <f t="shared" si="8"/>
        <v>101</v>
      </c>
      <c r="B102" s="9">
        <f t="array" ref="B102">IF(C102="",0,IF(OR(C102=Country_Comparison!$S$10:$S$29),1,0))</f>
        <v>0</v>
      </c>
      <c r="C102" s="9" t="str">
        <f t="shared" si="17"/>
        <v/>
      </c>
      <c r="D102" s="6">
        <f t="shared" si="18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9"/>
        <v>0</v>
      </c>
    </row>
    <row r="103" spans="1:7" x14ac:dyDescent="0.25">
      <c r="A103" s="9">
        <f t="shared" si="8"/>
        <v>102</v>
      </c>
      <c r="B103" s="9">
        <f t="array" ref="B103">IF(C103="",0,IF(OR(C103=Country_Comparison!$S$10:$S$29),1,0))</f>
        <v>0</v>
      </c>
      <c r="C103" s="9" t="str">
        <f t="shared" si="17"/>
        <v/>
      </c>
      <c r="D103" s="6">
        <f t="shared" si="18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9"/>
        <v>0</v>
      </c>
    </row>
    <row r="104" spans="1:7" x14ac:dyDescent="0.25">
      <c r="A104" s="9">
        <f t="shared" si="8"/>
        <v>103</v>
      </c>
      <c r="B104" s="9">
        <f t="array" ref="B104">IF(C104="",0,IF(OR(C104=Country_Comparison!$S$10:$S$29),1,0))</f>
        <v>0</v>
      </c>
      <c r="C104" s="9" t="str">
        <f t="shared" si="17"/>
        <v/>
      </c>
      <c r="D104" s="6">
        <f t="shared" si="18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9"/>
        <v>0</v>
      </c>
    </row>
    <row r="105" spans="1:7" x14ac:dyDescent="0.25">
      <c r="A105" s="9">
        <f t="shared" si="8"/>
        <v>104</v>
      </c>
      <c r="B105" s="9">
        <f t="array" ref="B105">IF(C105="",0,IF(OR(C105=Country_Comparison!$S$10:$S$29),1,0))</f>
        <v>0</v>
      </c>
      <c r="C105" s="9" t="str">
        <f t="shared" si="17"/>
        <v/>
      </c>
      <c r="D105" s="6">
        <f t="shared" si="18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9"/>
        <v>0</v>
      </c>
    </row>
    <row r="106" spans="1:7" x14ac:dyDescent="0.25">
      <c r="A106" s="9">
        <f t="shared" si="8"/>
        <v>105</v>
      </c>
      <c r="B106" s="9">
        <f t="array" ref="B106">IF(C106="",0,IF(OR(C106=Country_Comparison!$S$10:$S$29),1,0))</f>
        <v>0</v>
      </c>
      <c r="C106" s="9" t="str">
        <f t="shared" si="17"/>
        <v/>
      </c>
      <c r="D106" s="6">
        <f t="shared" si="18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9"/>
        <v>0</v>
      </c>
    </row>
    <row r="107" spans="1:7" x14ac:dyDescent="0.25">
      <c r="A107" s="9">
        <f t="shared" si="8"/>
        <v>106</v>
      </c>
      <c r="B107" s="9">
        <f t="array" ref="B107">IF(C107="",0,IF(OR(C107=Country_Comparison!$S$10:$S$29),1,0))</f>
        <v>0</v>
      </c>
      <c r="C107" s="9" t="str">
        <f t="shared" si="17"/>
        <v/>
      </c>
      <c r="D107" s="6">
        <f t="shared" si="18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9"/>
        <v>0</v>
      </c>
    </row>
    <row r="108" spans="1:7" x14ac:dyDescent="0.25">
      <c r="A108" s="9">
        <f t="shared" si="8"/>
        <v>107</v>
      </c>
      <c r="B108" s="9">
        <f t="array" ref="B108">IF(C108="",0,IF(OR(C108=Country_Comparison!$S$10:$S$29),1,0))</f>
        <v>0</v>
      </c>
      <c r="C108" s="9" t="str">
        <f t="shared" si="17"/>
        <v/>
      </c>
      <c r="D108" s="6">
        <f t="shared" si="18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9"/>
        <v>0</v>
      </c>
    </row>
    <row r="109" spans="1:7" x14ac:dyDescent="0.25">
      <c r="A109" s="9">
        <f t="shared" si="8"/>
        <v>108</v>
      </c>
      <c r="B109" s="9">
        <f t="array" ref="B109">IF(C109="",0,IF(OR(C109=Country_Comparison!$S$10:$S$29),1,0))</f>
        <v>0</v>
      </c>
      <c r="C109" s="9" t="str">
        <f t="shared" si="17"/>
        <v/>
      </c>
      <c r="D109" s="6">
        <f t="shared" si="18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9"/>
        <v>0</v>
      </c>
    </row>
    <row r="110" spans="1:7" x14ac:dyDescent="0.25">
      <c r="A110" s="9">
        <f t="shared" si="8"/>
        <v>109</v>
      </c>
      <c r="B110" s="9">
        <f t="array" ref="B110">IF(C110="",0,IF(OR(C110=Country_Comparison!$S$10:$S$29),1,0))</f>
        <v>0</v>
      </c>
      <c r="C110" s="9" t="str">
        <f t="shared" si="17"/>
        <v/>
      </c>
      <c r="D110" s="6">
        <f t="shared" si="18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9"/>
        <v>0</v>
      </c>
    </row>
    <row r="111" spans="1:7" x14ac:dyDescent="0.25">
      <c r="A111" s="9">
        <f t="shared" si="8"/>
        <v>110</v>
      </c>
      <c r="B111" s="9">
        <f t="array" ref="B111">IF(C111="",0,IF(OR(C111=Country_Comparison!$S$10:$S$29),1,0))</f>
        <v>0</v>
      </c>
      <c r="C111" s="9" t="str">
        <f t="shared" si="17"/>
        <v/>
      </c>
      <c r="D111" s="6">
        <f t="shared" si="18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9"/>
        <v>0</v>
      </c>
    </row>
    <row r="112" spans="1:7" x14ac:dyDescent="0.25">
      <c r="A112" s="9">
        <f t="shared" si="8"/>
        <v>111</v>
      </c>
      <c r="B112" s="9">
        <f t="array" ref="B112">IF(C112="",0,IF(OR(C112=Country_Comparison!$S$10:$S$29),1,0))</f>
        <v>0</v>
      </c>
      <c r="C112" s="9" t="str">
        <f t="shared" si="17"/>
        <v/>
      </c>
      <c r="D112" s="6">
        <f t="shared" si="18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9"/>
        <v>0</v>
      </c>
    </row>
    <row r="113" spans="1:7" x14ac:dyDescent="0.25">
      <c r="A113" s="9">
        <f t="shared" si="8"/>
        <v>112</v>
      </c>
      <c r="B113" s="9">
        <f t="array" ref="B113">IF(C113="",0,IF(OR(C113=Country_Comparison!$S$10:$S$29),1,0))</f>
        <v>0</v>
      </c>
      <c r="C113" s="9" t="str">
        <f t="shared" si="17"/>
        <v/>
      </c>
      <c r="D113" s="6">
        <f t="shared" si="18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9"/>
        <v>0</v>
      </c>
    </row>
    <row r="114" spans="1:7" x14ac:dyDescent="0.25">
      <c r="A114" s="9">
        <f t="shared" si="8"/>
        <v>113</v>
      </c>
      <c r="B114" s="9">
        <f t="array" ref="B114">IF(C114="",0,IF(OR(C114=Country_Comparison!$S$10:$S$29),1,0))</f>
        <v>0</v>
      </c>
      <c r="C114" s="9" t="str">
        <f t="shared" si="17"/>
        <v/>
      </c>
      <c r="D114" s="6">
        <f t="shared" si="18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9"/>
        <v>0</v>
      </c>
    </row>
    <row r="115" spans="1:7" x14ac:dyDescent="0.25">
      <c r="A115" s="9">
        <f t="shared" si="8"/>
        <v>114</v>
      </c>
      <c r="B115" s="9">
        <f t="array" ref="B115">IF(C115="",0,IF(OR(C115=Country_Comparison!$S$10:$S$29),1,0))</f>
        <v>0</v>
      </c>
      <c r="C115" s="9" t="str">
        <f t="shared" si="17"/>
        <v/>
      </c>
      <c r="D115" s="6">
        <f t="shared" si="18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9"/>
        <v>0</v>
      </c>
    </row>
    <row r="116" spans="1:7" x14ac:dyDescent="0.25">
      <c r="A116" s="9">
        <f t="shared" si="8"/>
        <v>115</v>
      </c>
      <c r="B116" s="9">
        <f t="array" ref="B116">IF(C116="",0,IF(OR(C116=Country_Comparison!$S$10:$S$29),1,0))</f>
        <v>0</v>
      </c>
      <c r="C116" s="9" t="str">
        <f t="shared" si="17"/>
        <v/>
      </c>
      <c r="D116" s="6">
        <f t="shared" si="18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9"/>
        <v>0</v>
      </c>
    </row>
    <row r="117" spans="1:7" x14ac:dyDescent="0.25">
      <c r="A117" s="9">
        <f t="shared" si="8"/>
        <v>116</v>
      </c>
      <c r="B117" s="9">
        <f t="array" ref="B117">IF(C117="",0,IF(OR(C117=Country_Comparison!$S$10:$S$29),1,0))</f>
        <v>0</v>
      </c>
      <c r="C117" s="9" t="str">
        <f t="shared" si="17"/>
        <v/>
      </c>
      <c r="D117" s="6">
        <f t="shared" si="18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9"/>
        <v>0</v>
      </c>
    </row>
    <row r="118" spans="1:7" x14ac:dyDescent="0.25">
      <c r="A118" s="9">
        <f t="shared" si="8"/>
        <v>117</v>
      </c>
      <c r="B118" s="9">
        <f t="array" ref="B118">IF(C118="",0,IF(OR(C118=Country_Comparison!$S$10:$S$29),1,0))</f>
        <v>0</v>
      </c>
      <c r="C118" s="9" t="str">
        <f t="shared" si="17"/>
        <v/>
      </c>
      <c r="D118" s="6">
        <f t="shared" si="18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9"/>
        <v>0</v>
      </c>
    </row>
    <row r="119" spans="1:7" x14ac:dyDescent="0.25">
      <c r="A119" s="9">
        <f t="shared" si="8"/>
        <v>118</v>
      </c>
      <c r="B119" s="9">
        <f t="array" ref="B119">IF(C119="",0,IF(OR(C119=Country_Comparison!$S$10:$S$29),1,0))</f>
        <v>0</v>
      </c>
      <c r="C119" s="9" t="str">
        <f t="shared" si="17"/>
        <v/>
      </c>
      <c r="D119" s="6">
        <f t="shared" si="18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9"/>
        <v>0</v>
      </c>
    </row>
    <row r="120" spans="1:7" x14ac:dyDescent="0.25">
      <c r="A120" s="9">
        <f t="shared" si="8"/>
        <v>119</v>
      </c>
      <c r="B120" s="9">
        <f t="array" ref="B120">IF(C120="",0,IF(OR(C120=Country_Comparison!$S$10:$S$29),1,0))</f>
        <v>0</v>
      </c>
      <c r="C120" s="9" t="str">
        <f t="shared" si="17"/>
        <v/>
      </c>
      <c r="D120" s="6">
        <f t="shared" si="18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9"/>
        <v>0</v>
      </c>
    </row>
    <row r="121" spans="1:7" x14ac:dyDescent="0.25">
      <c r="A121" s="9">
        <f t="shared" si="8"/>
        <v>120</v>
      </c>
      <c r="B121" s="9">
        <f t="array" ref="B121">IF(C121="",0,IF(OR(C121=Country_Comparison!$S$10:$S$29),1,0))</f>
        <v>0</v>
      </c>
      <c r="C121" s="9" t="str">
        <f t="shared" si="17"/>
        <v/>
      </c>
      <c r="D121" s="6">
        <f t="shared" si="18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9"/>
        <v>0</v>
      </c>
    </row>
    <row r="122" spans="1:7" x14ac:dyDescent="0.25">
      <c r="A122" s="9">
        <f t="shared" si="8"/>
        <v>121</v>
      </c>
      <c r="B122" s="9">
        <f t="array" ref="B122">IF(C122="",0,IF(OR(C122=Country_Comparison!$S$10:$S$29),1,0))</f>
        <v>0</v>
      </c>
      <c r="C122" s="9" t="str">
        <f t="shared" si="17"/>
        <v/>
      </c>
      <c r="D122" s="6">
        <f t="shared" si="18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9"/>
        <v>0</v>
      </c>
    </row>
    <row r="123" spans="1:7" x14ac:dyDescent="0.25">
      <c r="A123" s="9">
        <f t="shared" si="8"/>
        <v>122</v>
      </c>
      <c r="B123" s="9">
        <f t="array" ref="B123">IF(C123="",0,IF(OR(C123=Country_Comparison!$S$10:$S$29),1,0))</f>
        <v>0</v>
      </c>
      <c r="C123" s="9" t="str">
        <f t="shared" si="17"/>
        <v/>
      </c>
      <c r="D123" s="6">
        <f t="shared" si="18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9"/>
        <v>0</v>
      </c>
    </row>
    <row r="124" spans="1:7" x14ac:dyDescent="0.25">
      <c r="A124" s="9">
        <f t="shared" si="8"/>
        <v>123</v>
      </c>
      <c r="B124" s="9">
        <f t="array" ref="B124">IF(C124="",0,IF(OR(C124=Country_Comparison!$S$10:$S$29),1,0))</f>
        <v>0</v>
      </c>
      <c r="C124" s="9" t="str">
        <f t="shared" si="17"/>
        <v/>
      </c>
      <c r="D124" s="6">
        <f t="shared" si="18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9"/>
        <v>0</v>
      </c>
    </row>
    <row r="125" spans="1:7" x14ac:dyDescent="0.25">
      <c r="A125" s="9">
        <f t="shared" si="8"/>
        <v>124</v>
      </c>
      <c r="B125" s="9">
        <f t="array" ref="B125">IF(C125="",0,IF(OR(C125=Country_Comparison!$S$10:$S$29),1,0))</f>
        <v>0</v>
      </c>
      <c r="C125" s="9" t="str">
        <f t="shared" si="17"/>
        <v/>
      </c>
      <c r="D125" s="6">
        <f t="shared" si="18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9"/>
        <v>0</v>
      </c>
    </row>
    <row r="126" spans="1:7" x14ac:dyDescent="0.25">
      <c r="A126" s="9">
        <f t="shared" si="8"/>
        <v>125</v>
      </c>
      <c r="B126" s="9">
        <f t="array" ref="B126">IF(C126="",0,IF(OR(C126=Country_Comparison!$S$10:$S$29),1,0))</f>
        <v>0</v>
      </c>
      <c r="C126" s="9" t="str">
        <f t="shared" si="17"/>
        <v/>
      </c>
      <c r="D126" s="6">
        <f t="shared" si="18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9"/>
        <v>0</v>
      </c>
    </row>
    <row r="127" spans="1:7" x14ac:dyDescent="0.25">
      <c r="A127" s="9">
        <f t="shared" si="8"/>
        <v>126</v>
      </c>
      <c r="B127" s="9">
        <f t="array" ref="B127">IF(C127="",0,IF(OR(C127=Country_Comparison!$S$10:$S$29),1,0))</f>
        <v>0</v>
      </c>
      <c r="C127" s="9" t="str">
        <f t="shared" si="17"/>
        <v/>
      </c>
      <c r="D127" s="6">
        <f t="shared" si="18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9"/>
        <v>0</v>
      </c>
    </row>
    <row r="128" spans="1:7" x14ac:dyDescent="0.25">
      <c r="A128" s="9">
        <f t="shared" si="8"/>
        <v>127</v>
      </c>
      <c r="B128" s="9">
        <f t="array" ref="B128">IF(C128="",0,IF(OR(C128=Country_Comparison!$S$10:$S$29),1,0))</f>
        <v>0</v>
      </c>
      <c r="C128" s="9" t="str">
        <f t="shared" si="17"/>
        <v/>
      </c>
      <c r="D128" s="6">
        <f t="shared" si="18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9"/>
        <v>0</v>
      </c>
    </row>
    <row r="129" spans="1:7" x14ac:dyDescent="0.25">
      <c r="A129" s="9">
        <f t="shared" si="8"/>
        <v>128</v>
      </c>
      <c r="B129" s="9">
        <f t="array" ref="B129">IF(C129="",0,IF(OR(C129=Country_Comparison!$S$10:$S$29),1,0))</f>
        <v>0</v>
      </c>
      <c r="C129" s="9" t="str">
        <f t="shared" si="17"/>
        <v/>
      </c>
      <c r="D129" s="6">
        <f t="shared" si="18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9"/>
        <v>0</v>
      </c>
    </row>
    <row r="130" spans="1:7" x14ac:dyDescent="0.25">
      <c r="A130" s="9">
        <f t="shared" si="8"/>
        <v>129</v>
      </c>
      <c r="B130" s="9">
        <f t="array" ref="B130">IF(C130="",0,IF(OR(C130=Country_Comparison!$S$10:$S$29),1,0))</f>
        <v>0</v>
      </c>
      <c r="C130" s="9" t="str">
        <f t="shared" si="17"/>
        <v/>
      </c>
      <c r="D130" s="6">
        <f t="shared" si="18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9"/>
        <v>0</v>
      </c>
    </row>
    <row r="131" spans="1:7" x14ac:dyDescent="0.25">
      <c r="A131" s="9">
        <f t="shared" si="8"/>
        <v>130</v>
      </c>
      <c r="B131" s="9">
        <f t="array" ref="B131">IF(C131="",0,IF(OR(C131=Country_Comparison!$S$10:$S$29),1,0))</f>
        <v>0</v>
      </c>
      <c r="C131" s="9" t="str">
        <f t="shared" si="17"/>
        <v/>
      </c>
      <c r="D131" s="6">
        <f t="shared" si="18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9"/>
        <v>0</v>
      </c>
    </row>
    <row r="132" spans="1:7" x14ac:dyDescent="0.25">
      <c r="A132" s="9">
        <f t="shared" si="8"/>
        <v>131</v>
      </c>
      <c r="B132" s="9">
        <f t="array" ref="B132">IF(C132="",0,IF(OR(C132=Country_Comparison!$S$10:$S$29),1,0))</f>
        <v>0</v>
      </c>
      <c r="C132" s="9" t="str">
        <f t="shared" si="17"/>
        <v/>
      </c>
      <c r="D132" s="6">
        <f t="shared" si="18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9"/>
        <v>0</v>
      </c>
    </row>
    <row r="133" spans="1:7" x14ac:dyDescent="0.25">
      <c r="A133" s="9">
        <f t="shared" si="8"/>
        <v>132</v>
      </c>
      <c r="B133" s="9">
        <f t="array" ref="B133">IF(C133="",0,IF(OR(C133=Country_Comparison!$S$10:$S$29),1,0))</f>
        <v>0</v>
      </c>
      <c r="C133" s="9" t="str">
        <f t="shared" si="17"/>
        <v/>
      </c>
      <c r="D133" s="6">
        <f t="shared" si="18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9"/>
        <v>0</v>
      </c>
    </row>
    <row r="134" spans="1:7" x14ac:dyDescent="0.25">
      <c r="A134" s="9">
        <f t="shared" si="8"/>
        <v>133</v>
      </c>
      <c r="B134" s="9">
        <f t="array" ref="B134">IF(C134="",0,IF(OR(C134=Country_Comparison!$S$10:$S$29),1,0))</f>
        <v>0</v>
      </c>
      <c r="C134" s="9" t="str">
        <f t="shared" ref="C134:C197" si="20">IF(H134="","",H134)</f>
        <v/>
      </c>
      <c r="D134" s="6">
        <f t="shared" ref="D134:D197" si="21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2">IF(COUNTIF(I134:XFD134,"&gt;"&amp;0)=0,,(E134/F134)^(1/MIN(COUNTIF(I134:XFD134,"&gt;"&amp;0)-1,$F$1)))</f>
        <v>0</v>
      </c>
    </row>
    <row r="135" spans="1:7" x14ac:dyDescent="0.25">
      <c r="A135" s="9">
        <f t="shared" si="8"/>
        <v>134</v>
      </c>
      <c r="B135" s="9">
        <f t="array" ref="B135">IF(C135="",0,IF(OR(C135=Country_Comparison!$S$10:$S$29),1,0))</f>
        <v>0</v>
      </c>
      <c r="C135" s="9" t="str">
        <f t="shared" si="20"/>
        <v/>
      </c>
      <c r="D135" s="6">
        <f t="shared" si="21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2"/>
        <v>0</v>
      </c>
    </row>
    <row r="136" spans="1:7" x14ac:dyDescent="0.25">
      <c r="A136" s="9">
        <f t="shared" si="8"/>
        <v>135</v>
      </c>
      <c r="B136" s="9">
        <f t="array" ref="B136">IF(C136="",0,IF(OR(C136=Country_Comparison!$S$10:$S$29),1,0))</f>
        <v>0</v>
      </c>
      <c r="C136" s="9" t="str">
        <f t="shared" si="20"/>
        <v/>
      </c>
      <c r="D136" s="6">
        <f t="shared" si="21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2"/>
        <v>0</v>
      </c>
    </row>
    <row r="137" spans="1:7" x14ac:dyDescent="0.25">
      <c r="A137" s="9">
        <f t="shared" si="8"/>
        <v>136</v>
      </c>
      <c r="B137" s="9">
        <f t="array" ref="B137">IF(C137="",0,IF(OR(C137=Country_Comparison!$S$10:$S$29),1,0))</f>
        <v>0</v>
      </c>
      <c r="C137" s="9" t="str">
        <f t="shared" si="20"/>
        <v/>
      </c>
      <c r="D137" s="6">
        <f t="shared" si="21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2"/>
        <v>0</v>
      </c>
    </row>
    <row r="138" spans="1:7" x14ac:dyDescent="0.25">
      <c r="A138" s="9">
        <f t="shared" si="8"/>
        <v>137</v>
      </c>
      <c r="B138" s="9">
        <f t="array" ref="B138">IF(C138="",0,IF(OR(C138=Country_Comparison!$S$10:$S$29),1,0))</f>
        <v>0</v>
      </c>
      <c r="C138" s="9" t="str">
        <f t="shared" si="20"/>
        <v/>
      </c>
      <c r="D138" s="6">
        <f t="shared" si="21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2"/>
        <v>0</v>
      </c>
    </row>
    <row r="139" spans="1:7" x14ac:dyDescent="0.25">
      <c r="A139" s="9">
        <f t="shared" si="8"/>
        <v>138</v>
      </c>
      <c r="B139" s="9">
        <f t="array" ref="B139">IF(C139="",0,IF(OR(C139=Country_Comparison!$S$10:$S$29),1,0))</f>
        <v>0</v>
      </c>
      <c r="C139" s="9" t="str">
        <f t="shared" si="20"/>
        <v/>
      </c>
      <c r="D139" s="6">
        <f t="shared" si="21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2"/>
        <v>0</v>
      </c>
    </row>
    <row r="140" spans="1:7" x14ac:dyDescent="0.25">
      <c r="A140" s="9">
        <f t="shared" si="8"/>
        <v>139</v>
      </c>
      <c r="B140" s="9">
        <f t="array" ref="B140">IF(C140="",0,IF(OR(C140=Country_Comparison!$S$10:$S$29),1,0))</f>
        <v>0</v>
      </c>
      <c r="C140" s="9" t="str">
        <f t="shared" si="20"/>
        <v/>
      </c>
      <c r="D140" s="6">
        <f t="shared" si="21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2"/>
        <v>0</v>
      </c>
    </row>
    <row r="141" spans="1:7" x14ac:dyDescent="0.25">
      <c r="A141" s="9">
        <f t="shared" si="8"/>
        <v>140</v>
      </c>
      <c r="B141" s="9">
        <f t="array" ref="B141">IF(C141="",0,IF(OR(C141=Country_Comparison!$S$10:$S$29),1,0))</f>
        <v>0</v>
      </c>
      <c r="C141" s="9" t="str">
        <f t="shared" si="20"/>
        <v/>
      </c>
      <c r="D141" s="6">
        <f t="shared" si="21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2"/>
        <v>0</v>
      </c>
    </row>
    <row r="142" spans="1:7" x14ac:dyDescent="0.25">
      <c r="A142" s="9">
        <f t="shared" si="8"/>
        <v>141</v>
      </c>
      <c r="B142" s="9">
        <f t="array" ref="B142">IF(C142="",0,IF(OR(C142=Country_Comparison!$S$10:$S$29),1,0))</f>
        <v>0</v>
      </c>
      <c r="C142" s="9" t="str">
        <f t="shared" si="20"/>
        <v/>
      </c>
      <c r="D142" s="6">
        <f t="shared" si="21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2"/>
        <v>0</v>
      </c>
    </row>
    <row r="143" spans="1:7" x14ac:dyDescent="0.25">
      <c r="A143" s="9">
        <f t="shared" si="8"/>
        <v>142</v>
      </c>
      <c r="B143" s="9">
        <f t="array" ref="B143">IF(C143="",0,IF(OR(C143=Country_Comparison!$S$10:$S$29),1,0))</f>
        <v>0</v>
      </c>
      <c r="C143" s="9" t="str">
        <f t="shared" si="20"/>
        <v/>
      </c>
      <c r="D143" s="6">
        <f t="shared" si="21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2"/>
        <v>0</v>
      </c>
    </row>
    <row r="144" spans="1:7" x14ac:dyDescent="0.25">
      <c r="A144" s="9">
        <f t="shared" si="8"/>
        <v>143</v>
      </c>
      <c r="B144" s="9">
        <f t="array" ref="B144">IF(C144="",0,IF(OR(C144=Country_Comparison!$S$10:$S$29),1,0))</f>
        <v>0</v>
      </c>
      <c r="C144" s="9" t="str">
        <f t="shared" si="20"/>
        <v/>
      </c>
      <c r="D144" s="6">
        <f t="shared" si="21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2"/>
        <v>0</v>
      </c>
    </row>
    <row r="145" spans="1:7" x14ac:dyDescent="0.25">
      <c r="A145" s="9">
        <f t="shared" si="8"/>
        <v>144</v>
      </c>
      <c r="B145" s="9">
        <f t="array" ref="B145">IF(C145="",0,IF(OR(C145=Country_Comparison!$S$10:$S$29),1,0))</f>
        <v>0</v>
      </c>
      <c r="C145" s="9" t="str">
        <f t="shared" si="20"/>
        <v/>
      </c>
      <c r="D145" s="6">
        <f t="shared" si="21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2"/>
        <v>0</v>
      </c>
    </row>
    <row r="146" spans="1:7" x14ac:dyDescent="0.25">
      <c r="A146" s="9">
        <f t="shared" si="8"/>
        <v>145</v>
      </c>
      <c r="B146" s="9">
        <f t="array" ref="B146">IF(C146="",0,IF(OR(C146=Country_Comparison!$S$10:$S$29),1,0))</f>
        <v>0</v>
      </c>
      <c r="C146" s="9" t="str">
        <f t="shared" si="20"/>
        <v/>
      </c>
      <c r="D146" s="6">
        <f t="shared" si="21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2"/>
        <v>0</v>
      </c>
    </row>
    <row r="147" spans="1:7" x14ac:dyDescent="0.25">
      <c r="A147" s="9">
        <f t="shared" si="8"/>
        <v>146</v>
      </c>
      <c r="B147" s="9">
        <f t="array" ref="B147">IF(C147="",0,IF(OR(C147=Country_Comparison!$S$10:$S$29),1,0))</f>
        <v>0</v>
      </c>
      <c r="C147" s="9" t="str">
        <f t="shared" si="20"/>
        <v/>
      </c>
      <c r="D147" s="6">
        <f t="shared" si="21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2"/>
        <v>0</v>
      </c>
    </row>
    <row r="148" spans="1:7" x14ac:dyDescent="0.25">
      <c r="A148" s="9">
        <f t="shared" si="8"/>
        <v>147</v>
      </c>
      <c r="B148" s="9">
        <f t="array" ref="B148">IF(C148="",0,IF(OR(C148=Country_Comparison!$S$10:$S$29),1,0))</f>
        <v>0</v>
      </c>
      <c r="C148" s="9" t="str">
        <f t="shared" si="20"/>
        <v/>
      </c>
      <c r="D148" s="6">
        <f t="shared" si="21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2"/>
        <v>0</v>
      </c>
    </row>
    <row r="149" spans="1:7" x14ac:dyDescent="0.25">
      <c r="A149" s="9">
        <f t="shared" si="8"/>
        <v>148</v>
      </c>
      <c r="B149" s="9">
        <f t="array" ref="B149">IF(C149="",0,IF(OR(C149=Country_Comparison!$S$10:$S$29),1,0))</f>
        <v>0</v>
      </c>
      <c r="C149" s="9" t="str">
        <f t="shared" si="20"/>
        <v/>
      </c>
      <c r="D149" s="6">
        <f t="shared" si="21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2"/>
        <v>0</v>
      </c>
    </row>
    <row r="150" spans="1:7" x14ac:dyDescent="0.25">
      <c r="A150" s="9">
        <f t="shared" si="8"/>
        <v>149</v>
      </c>
      <c r="B150" s="9">
        <f t="array" ref="B150">IF(C150="",0,IF(OR(C150=Country_Comparison!$S$10:$S$29),1,0))</f>
        <v>0</v>
      </c>
      <c r="C150" s="9" t="str">
        <f t="shared" si="20"/>
        <v/>
      </c>
      <c r="D150" s="6">
        <f t="shared" si="21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2"/>
        <v>0</v>
      </c>
    </row>
    <row r="151" spans="1:7" x14ac:dyDescent="0.25">
      <c r="A151" s="9">
        <f t="shared" si="8"/>
        <v>150</v>
      </c>
      <c r="B151" s="9">
        <f t="array" ref="B151">IF(C151="",0,IF(OR(C151=Country_Comparison!$S$10:$S$29),1,0))</f>
        <v>0</v>
      </c>
      <c r="C151" s="9" t="str">
        <f t="shared" si="20"/>
        <v/>
      </c>
      <c r="D151" s="6">
        <f t="shared" si="21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2"/>
        <v>0</v>
      </c>
    </row>
    <row r="152" spans="1:7" x14ac:dyDescent="0.25">
      <c r="A152" s="9">
        <f t="shared" si="8"/>
        <v>151</v>
      </c>
      <c r="B152" s="9">
        <f t="array" ref="B152">IF(C152="",0,IF(OR(C152=Country_Comparison!$S$10:$S$29),1,0))</f>
        <v>0</v>
      </c>
      <c r="C152" s="9" t="str">
        <f t="shared" si="20"/>
        <v/>
      </c>
      <c r="D152" s="6">
        <f t="shared" si="21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2"/>
        <v>0</v>
      </c>
    </row>
    <row r="153" spans="1:7" x14ac:dyDescent="0.25">
      <c r="A153" s="9">
        <f t="shared" si="8"/>
        <v>152</v>
      </c>
      <c r="B153" s="9">
        <f t="array" ref="B153">IF(C153="",0,IF(OR(C153=Country_Comparison!$S$10:$S$29),1,0))</f>
        <v>0</v>
      </c>
      <c r="C153" s="9" t="str">
        <f t="shared" si="20"/>
        <v/>
      </c>
      <c r="D153" s="6">
        <f t="shared" si="21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2"/>
        <v>0</v>
      </c>
    </row>
    <row r="154" spans="1:7" x14ac:dyDescent="0.25">
      <c r="A154" s="9">
        <f t="shared" si="8"/>
        <v>153</v>
      </c>
      <c r="B154" s="9">
        <f t="array" ref="B154">IF(C154="",0,IF(OR(C154=Country_Comparison!$S$10:$S$29),1,0))</f>
        <v>0</v>
      </c>
      <c r="C154" s="9" t="str">
        <f t="shared" si="20"/>
        <v/>
      </c>
      <c r="D154" s="6">
        <f t="shared" si="21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2"/>
        <v>0</v>
      </c>
    </row>
    <row r="155" spans="1:7" x14ac:dyDescent="0.25">
      <c r="A155" s="9">
        <f t="shared" si="8"/>
        <v>154</v>
      </c>
      <c r="B155" s="9">
        <f t="array" ref="B155">IF(C155="",0,IF(OR(C155=Country_Comparison!$S$10:$S$29),1,0))</f>
        <v>0</v>
      </c>
      <c r="C155" s="9" t="str">
        <f t="shared" si="20"/>
        <v/>
      </c>
      <c r="D155" s="6">
        <f t="shared" si="21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2"/>
        <v>0</v>
      </c>
    </row>
    <row r="156" spans="1:7" x14ac:dyDescent="0.25">
      <c r="A156" s="9">
        <f t="shared" si="8"/>
        <v>155</v>
      </c>
      <c r="B156" s="9">
        <f t="array" ref="B156">IF(C156="",0,IF(OR(C156=Country_Comparison!$S$10:$S$29),1,0))</f>
        <v>0</v>
      </c>
      <c r="C156" s="9" t="str">
        <f t="shared" si="20"/>
        <v/>
      </c>
      <c r="D156" s="6">
        <f t="shared" si="21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2"/>
        <v>0</v>
      </c>
    </row>
    <row r="157" spans="1:7" x14ac:dyDescent="0.25">
      <c r="A157" s="9">
        <f t="shared" si="8"/>
        <v>156</v>
      </c>
      <c r="B157" s="9">
        <f t="array" ref="B157">IF(C157="",0,IF(OR(C157=Country_Comparison!$S$10:$S$29),1,0))</f>
        <v>0</v>
      </c>
      <c r="C157" s="9" t="str">
        <f t="shared" si="20"/>
        <v/>
      </c>
      <c r="D157" s="6">
        <f t="shared" si="21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2"/>
        <v>0</v>
      </c>
    </row>
    <row r="158" spans="1:7" x14ac:dyDescent="0.25">
      <c r="A158" s="9">
        <f t="shared" si="8"/>
        <v>157</v>
      </c>
      <c r="B158" s="9">
        <f t="array" ref="B158">IF(C158="",0,IF(OR(C158=Country_Comparison!$S$10:$S$29),1,0))</f>
        <v>0</v>
      </c>
      <c r="C158" s="9" t="str">
        <f t="shared" si="20"/>
        <v/>
      </c>
      <c r="D158" s="6">
        <f t="shared" si="21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2"/>
        <v>0</v>
      </c>
    </row>
    <row r="159" spans="1:7" x14ac:dyDescent="0.25">
      <c r="A159" s="9">
        <f t="shared" si="8"/>
        <v>158</v>
      </c>
      <c r="B159" s="9">
        <f t="array" ref="B159">IF(C159="",0,IF(OR(C159=Country_Comparison!$S$10:$S$29),1,0))</f>
        <v>0</v>
      </c>
      <c r="C159" s="9" t="str">
        <f t="shared" si="20"/>
        <v/>
      </c>
      <c r="D159" s="6">
        <f t="shared" si="21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2"/>
        <v>0</v>
      </c>
    </row>
    <row r="160" spans="1:7" x14ac:dyDescent="0.25">
      <c r="A160" s="9">
        <f t="shared" si="8"/>
        <v>159</v>
      </c>
      <c r="B160" s="9">
        <f t="array" ref="B160">IF(C160="",0,IF(OR(C160=Country_Comparison!$S$10:$S$29),1,0))</f>
        <v>0</v>
      </c>
      <c r="C160" s="9" t="str">
        <f t="shared" si="20"/>
        <v/>
      </c>
      <c r="D160" s="6">
        <f t="shared" si="21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2"/>
        <v>0</v>
      </c>
    </row>
    <row r="161" spans="1:7" x14ac:dyDescent="0.25">
      <c r="A161" s="9">
        <f t="shared" si="8"/>
        <v>160</v>
      </c>
      <c r="B161" s="9">
        <f t="array" ref="B161">IF(C161="",0,IF(OR(C161=Country_Comparison!$S$10:$S$29),1,0))</f>
        <v>0</v>
      </c>
      <c r="C161" s="9" t="str">
        <f t="shared" si="20"/>
        <v/>
      </c>
      <c r="D161" s="6">
        <f t="shared" si="21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2"/>
        <v>0</v>
      </c>
    </row>
    <row r="162" spans="1:7" x14ac:dyDescent="0.25">
      <c r="A162" s="9">
        <f t="shared" si="8"/>
        <v>161</v>
      </c>
      <c r="B162" s="9">
        <f t="array" ref="B162">IF(C162="",0,IF(OR(C162=Country_Comparison!$S$10:$S$29),1,0))</f>
        <v>0</v>
      </c>
      <c r="C162" s="9" t="str">
        <f t="shared" si="20"/>
        <v/>
      </c>
      <c r="D162" s="6">
        <f t="shared" si="21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2"/>
        <v>0</v>
      </c>
    </row>
    <row r="163" spans="1:7" x14ac:dyDescent="0.25">
      <c r="A163" s="9">
        <f t="shared" si="8"/>
        <v>162</v>
      </c>
      <c r="B163" s="9">
        <f t="array" ref="B163">IF(C163="",0,IF(OR(C163=Country_Comparison!$S$10:$S$29),1,0))</f>
        <v>0</v>
      </c>
      <c r="C163" s="9" t="str">
        <f t="shared" si="20"/>
        <v/>
      </c>
      <c r="D163" s="6">
        <f t="shared" si="21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2"/>
        <v>0</v>
      </c>
    </row>
    <row r="164" spans="1:7" x14ac:dyDescent="0.25">
      <c r="A164" s="9">
        <f t="shared" si="8"/>
        <v>163</v>
      </c>
      <c r="B164" s="9">
        <f t="array" ref="B164">IF(C164="",0,IF(OR(C164=Country_Comparison!$S$10:$S$29),1,0))</f>
        <v>0</v>
      </c>
      <c r="C164" s="9" t="str">
        <f t="shared" si="20"/>
        <v/>
      </c>
      <c r="D164" s="6">
        <f t="shared" si="21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2"/>
        <v>0</v>
      </c>
    </row>
    <row r="165" spans="1:7" x14ac:dyDescent="0.25">
      <c r="A165" s="9">
        <f t="shared" si="8"/>
        <v>164</v>
      </c>
      <c r="B165" s="9">
        <f t="array" ref="B165">IF(C165="",0,IF(OR(C165=Country_Comparison!$S$10:$S$29),1,0))</f>
        <v>0</v>
      </c>
      <c r="C165" s="9" t="str">
        <f t="shared" si="20"/>
        <v/>
      </c>
      <c r="D165" s="6">
        <f t="shared" si="21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2"/>
        <v>0</v>
      </c>
    </row>
    <row r="166" spans="1:7" x14ac:dyDescent="0.25">
      <c r="A166" s="9">
        <f t="shared" si="8"/>
        <v>165</v>
      </c>
      <c r="B166" s="9">
        <f t="array" ref="B166">IF(C166="",0,IF(OR(C166=Country_Comparison!$S$10:$S$29),1,0))</f>
        <v>0</v>
      </c>
      <c r="C166" s="9" t="str">
        <f t="shared" si="20"/>
        <v/>
      </c>
      <c r="D166" s="6">
        <f t="shared" si="21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2"/>
        <v>0</v>
      </c>
    </row>
    <row r="167" spans="1:7" x14ac:dyDescent="0.25">
      <c r="A167" s="9">
        <f t="shared" si="8"/>
        <v>166</v>
      </c>
      <c r="B167" s="9">
        <f t="array" ref="B167">IF(C167="",0,IF(OR(C167=Country_Comparison!$S$10:$S$29),1,0))</f>
        <v>0</v>
      </c>
      <c r="C167" s="9" t="str">
        <f t="shared" si="20"/>
        <v/>
      </c>
      <c r="D167" s="6">
        <f t="shared" si="21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2"/>
        <v>0</v>
      </c>
    </row>
    <row r="168" spans="1:7" x14ac:dyDescent="0.25">
      <c r="A168" s="9">
        <f t="shared" si="8"/>
        <v>167</v>
      </c>
      <c r="B168" s="9">
        <f t="array" ref="B168">IF(C168="",0,IF(OR(C168=Country_Comparison!$S$10:$S$29),1,0))</f>
        <v>0</v>
      </c>
      <c r="C168" s="9" t="str">
        <f t="shared" si="20"/>
        <v/>
      </c>
      <c r="D168" s="6">
        <f t="shared" si="21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2"/>
        <v>0</v>
      </c>
    </row>
    <row r="169" spans="1:7" x14ac:dyDescent="0.25">
      <c r="A169" s="9">
        <f t="shared" si="8"/>
        <v>168</v>
      </c>
      <c r="B169" s="9">
        <f t="array" ref="B169">IF(C169="",0,IF(OR(C169=Country_Comparison!$S$10:$S$29),1,0))</f>
        <v>0</v>
      </c>
      <c r="C169" s="9" t="str">
        <f t="shared" si="20"/>
        <v/>
      </c>
      <c r="D169" s="6">
        <f t="shared" si="21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2"/>
        <v>0</v>
      </c>
    </row>
    <row r="170" spans="1:7" x14ac:dyDescent="0.25">
      <c r="A170" s="9">
        <f t="shared" si="8"/>
        <v>169</v>
      </c>
      <c r="B170" s="9">
        <f t="array" ref="B170">IF(C170="",0,IF(OR(C170=Country_Comparison!$S$10:$S$29),1,0))</f>
        <v>0</v>
      </c>
      <c r="C170" s="9" t="str">
        <f t="shared" si="20"/>
        <v/>
      </c>
      <c r="D170" s="6">
        <f t="shared" si="21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2"/>
        <v>0</v>
      </c>
    </row>
    <row r="171" spans="1:7" x14ac:dyDescent="0.25">
      <c r="A171" s="9">
        <f t="shared" si="8"/>
        <v>170</v>
      </c>
      <c r="B171" s="9">
        <f t="array" ref="B171">IF(C171="",0,IF(OR(C171=Country_Comparison!$S$10:$S$29),1,0))</f>
        <v>0</v>
      </c>
      <c r="C171" s="9" t="str">
        <f t="shared" si="20"/>
        <v/>
      </c>
      <c r="D171" s="6">
        <f t="shared" si="21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2"/>
        <v>0</v>
      </c>
    </row>
    <row r="172" spans="1:7" x14ac:dyDescent="0.25">
      <c r="A172" s="9">
        <f t="shared" si="8"/>
        <v>171</v>
      </c>
      <c r="B172" s="9">
        <f t="array" ref="B172">IF(C172="",0,IF(OR(C172=Country_Comparison!$S$10:$S$29),1,0))</f>
        <v>0</v>
      </c>
      <c r="C172" s="9" t="str">
        <f t="shared" si="20"/>
        <v/>
      </c>
      <c r="D172" s="6">
        <f t="shared" si="21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2"/>
        <v>0</v>
      </c>
    </row>
    <row r="173" spans="1:7" x14ac:dyDescent="0.25">
      <c r="A173" s="9">
        <f t="shared" si="8"/>
        <v>172</v>
      </c>
      <c r="B173" s="9">
        <f t="array" ref="B173">IF(C173="",0,IF(OR(C173=Country_Comparison!$S$10:$S$29),1,0))</f>
        <v>0</v>
      </c>
      <c r="C173" s="9" t="str">
        <f t="shared" si="20"/>
        <v/>
      </c>
      <c r="D173" s="6">
        <f t="shared" si="21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2"/>
        <v>0</v>
      </c>
    </row>
    <row r="174" spans="1:7" x14ac:dyDescent="0.25">
      <c r="A174" s="9">
        <f t="shared" si="8"/>
        <v>173</v>
      </c>
      <c r="B174" s="9">
        <f t="array" ref="B174">IF(C174="",0,IF(OR(C174=Country_Comparison!$S$10:$S$29),1,0))</f>
        <v>0</v>
      </c>
      <c r="C174" s="9" t="str">
        <f t="shared" si="20"/>
        <v/>
      </c>
      <c r="D174" s="6">
        <f t="shared" si="21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2"/>
        <v>0</v>
      </c>
    </row>
    <row r="175" spans="1:7" x14ac:dyDescent="0.25">
      <c r="A175" s="9">
        <f t="shared" si="8"/>
        <v>174</v>
      </c>
      <c r="B175" s="9">
        <f t="array" ref="B175">IF(C175="",0,IF(OR(C175=Country_Comparison!$S$10:$S$29),1,0))</f>
        <v>0</v>
      </c>
      <c r="C175" s="9" t="str">
        <f t="shared" si="20"/>
        <v/>
      </c>
      <c r="D175" s="6">
        <f t="shared" si="21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2"/>
        <v>0</v>
      </c>
    </row>
    <row r="176" spans="1:7" x14ac:dyDescent="0.25">
      <c r="A176" s="9">
        <f t="shared" si="8"/>
        <v>175</v>
      </c>
      <c r="B176" s="9">
        <f t="array" ref="B176">IF(C176="",0,IF(OR(C176=Country_Comparison!$S$10:$S$29),1,0))</f>
        <v>0</v>
      </c>
      <c r="C176" s="9" t="str">
        <f t="shared" si="20"/>
        <v/>
      </c>
      <c r="D176" s="6">
        <f t="shared" si="21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2"/>
        <v>0</v>
      </c>
    </row>
    <row r="177" spans="1:7" x14ac:dyDescent="0.25">
      <c r="A177" s="9">
        <f t="shared" si="8"/>
        <v>176</v>
      </c>
      <c r="B177" s="9">
        <f t="array" ref="B177">IF(C177="",0,IF(OR(C177=Country_Comparison!$S$10:$S$29),1,0))</f>
        <v>0</v>
      </c>
      <c r="C177" s="9" t="str">
        <f t="shared" si="20"/>
        <v/>
      </c>
      <c r="D177" s="6">
        <f t="shared" si="21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2"/>
        <v>0</v>
      </c>
    </row>
    <row r="178" spans="1:7" x14ac:dyDescent="0.25">
      <c r="A178" s="9">
        <f t="shared" si="8"/>
        <v>177</v>
      </c>
      <c r="B178" s="9">
        <f t="array" ref="B178">IF(C178="",0,IF(OR(C178=Country_Comparison!$S$10:$S$29),1,0))</f>
        <v>0</v>
      </c>
      <c r="C178" s="9" t="str">
        <f t="shared" si="20"/>
        <v/>
      </c>
      <c r="D178" s="6">
        <f t="shared" si="21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2"/>
        <v>0</v>
      </c>
    </row>
    <row r="179" spans="1:7" x14ac:dyDescent="0.25">
      <c r="A179" s="9">
        <f t="shared" si="8"/>
        <v>178</v>
      </c>
      <c r="B179" s="9">
        <f t="array" ref="B179">IF(C179="",0,IF(OR(C179=Country_Comparison!$S$10:$S$29),1,0))</f>
        <v>0</v>
      </c>
      <c r="C179" s="9" t="str">
        <f t="shared" si="20"/>
        <v/>
      </c>
      <c r="D179" s="6">
        <f t="shared" si="21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2"/>
        <v>0</v>
      </c>
    </row>
    <row r="180" spans="1:7" x14ac:dyDescent="0.25">
      <c r="A180" s="9">
        <f t="shared" si="8"/>
        <v>179</v>
      </c>
      <c r="B180" s="9">
        <f t="array" ref="B180">IF(C180="",0,IF(OR(C180=Country_Comparison!$S$10:$S$29),1,0))</f>
        <v>0</v>
      </c>
      <c r="C180" s="9" t="str">
        <f t="shared" si="20"/>
        <v/>
      </c>
      <c r="D180" s="6">
        <f t="shared" si="21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2"/>
        <v>0</v>
      </c>
    </row>
    <row r="181" spans="1:7" x14ac:dyDescent="0.25">
      <c r="A181" s="9">
        <f t="shared" si="8"/>
        <v>180</v>
      </c>
      <c r="B181" s="9">
        <f t="array" ref="B181">IF(C181="",0,IF(OR(C181=Country_Comparison!$S$10:$S$29),1,0))</f>
        <v>0</v>
      </c>
      <c r="C181" s="9" t="str">
        <f t="shared" si="20"/>
        <v/>
      </c>
      <c r="D181" s="6">
        <f t="shared" si="21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2"/>
        <v>0</v>
      </c>
    </row>
    <row r="182" spans="1:7" x14ac:dyDescent="0.25">
      <c r="A182" s="9">
        <f t="shared" si="8"/>
        <v>181</v>
      </c>
      <c r="B182" s="9">
        <f t="array" ref="B182">IF(C182="",0,IF(OR(C182=Country_Comparison!$S$10:$S$29),1,0))</f>
        <v>0</v>
      </c>
      <c r="C182" s="9" t="str">
        <f t="shared" si="20"/>
        <v/>
      </c>
      <c r="D182" s="6">
        <f t="shared" si="21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2"/>
        <v>0</v>
      </c>
    </row>
    <row r="183" spans="1:7" x14ac:dyDescent="0.25">
      <c r="A183" s="9">
        <f t="shared" si="8"/>
        <v>182</v>
      </c>
      <c r="B183" s="9">
        <f t="array" ref="B183">IF(C183="",0,IF(OR(C183=Country_Comparison!$S$10:$S$29),1,0))</f>
        <v>0</v>
      </c>
      <c r="C183" s="9" t="str">
        <f t="shared" si="20"/>
        <v/>
      </c>
      <c r="D183" s="6">
        <f t="shared" si="21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2"/>
        <v>0</v>
      </c>
    </row>
    <row r="184" spans="1:7" x14ac:dyDescent="0.25">
      <c r="A184" s="9">
        <f t="shared" si="8"/>
        <v>183</v>
      </c>
      <c r="B184" s="9">
        <f t="array" ref="B184">IF(C184="",0,IF(OR(C184=Country_Comparison!$S$10:$S$29),1,0))</f>
        <v>0</v>
      </c>
      <c r="C184" s="9" t="str">
        <f t="shared" si="20"/>
        <v/>
      </c>
      <c r="D184" s="6">
        <f t="shared" si="21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2"/>
        <v>0</v>
      </c>
    </row>
    <row r="185" spans="1:7" x14ac:dyDescent="0.25">
      <c r="A185" s="9">
        <f t="shared" si="8"/>
        <v>184</v>
      </c>
      <c r="B185" s="9">
        <f t="array" ref="B185">IF(C185="",0,IF(OR(C185=Country_Comparison!$S$10:$S$29),1,0))</f>
        <v>0</v>
      </c>
      <c r="C185" s="9" t="str">
        <f t="shared" si="20"/>
        <v/>
      </c>
      <c r="D185" s="6">
        <f t="shared" si="21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2"/>
        <v>0</v>
      </c>
    </row>
    <row r="186" spans="1:7" x14ac:dyDescent="0.25">
      <c r="A186" s="9">
        <f t="shared" si="8"/>
        <v>185</v>
      </c>
      <c r="B186" s="9">
        <f t="array" ref="B186">IF(C186="",0,IF(OR(C186=Country_Comparison!$S$10:$S$29),1,0))</f>
        <v>0</v>
      </c>
      <c r="C186" s="9" t="str">
        <f t="shared" si="20"/>
        <v/>
      </c>
      <c r="D186" s="6">
        <f t="shared" si="21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2"/>
        <v>0</v>
      </c>
    </row>
    <row r="187" spans="1:7" x14ac:dyDescent="0.25">
      <c r="A187" s="9">
        <f t="shared" si="8"/>
        <v>186</v>
      </c>
      <c r="B187" s="9">
        <f t="array" ref="B187">IF(C187="",0,IF(OR(C187=Country_Comparison!$S$10:$S$29),1,0))</f>
        <v>0</v>
      </c>
      <c r="C187" s="9" t="str">
        <f t="shared" si="20"/>
        <v/>
      </c>
      <c r="D187" s="6">
        <f t="shared" si="21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2"/>
        <v>0</v>
      </c>
    </row>
    <row r="188" spans="1:7" x14ac:dyDescent="0.25">
      <c r="A188" s="9">
        <f t="shared" si="8"/>
        <v>187</v>
      </c>
      <c r="B188" s="9">
        <f t="array" ref="B188">IF(C188="",0,IF(OR(C188=Country_Comparison!$S$10:$S$29),1,0))</f>
        <v>0</v>
      </c>
      <c r="C188" s="9" t="str">
        <f t="shared" si="20"/>
        <v/>
      </c>
      <c r="D188" s="6">
        <f t="shared" si="21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2"/>
        <v>0</v>
      </c>
    </row>
    <row r="189" spans="1:7" x14ac:dyDescent="0.25">
      <c r="A189" s="9">
        <f t="shared" si="8"/>
        <v>188</v>
      </c>
      <c r="B189" s="9">
        <f t="array" ref="B189">IF(C189="",0,IF(OR(C189=Country_Comparison!$S$10:$S$29),1,0))</f>
        <v>0</v>
      </c>
      <c r="C189" s="9" t="str">
        <f t="shared" si="20"/>
        <v/>
      </c>
      <c r="D189" s="6">
        <f t="shared" si="21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2"/>
        <v>0</v>
      </c>
    </row>
    <row r="190" spans="1:7" x14ac:dyDescent="0.25">
      <c r="A190" s="9">
        <f t="shared" si="8"/>
        <v>189</v>
      </c>
      <c r="B190" s="9">
        <f t="array" ref="B190">IF(C190="",0,IF(OR(C190=Country_Comparison!$S$10:$S$29),1,0))</f>
        <v>0</v>
      </c>
      <c r="C190" s="9" t="str">
        <f t="shared" si="20"/>
        <v/>
      </c>
      <c r="D190" s="6">
        <f t="shared" si="21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2"/>
        <v>0</v>
      </c>
    </row>
    <row r="191" spans="1:7" x14ac:dyDescent="0.25">
      <c r="A191" s="9">
        <f t="shared" si="8"/>
        <v>190</v>
      </c>
      <c r="B191" s="9">
        <f t="array" ref="B191">IF(C191="",0,IF(OR(C191=Country_Comparison!$S$10:$S$29),1,0))</f>
        <v>0</v>
      </c>
      <c r="C191" s="9" t="str">
        <f t="shared" si="20"/>
        <v/>
      </c>
      <c r="D191" s="6">
        <f t="shared" si="21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2"/>
        <v>0</v>
      </c>
    </row>
    <row r="192" spans="1:7" x14ac:dyDescent="0.25">
      <c r="A192" s="9">
        <f t="shared" si="8"/>
        <v>191</v>
      </c>
      <c r="B192" s="9">
        <f t="array" ref="B192">IF(C192="",0,IF(OR(C192=Country_Comparison!$S$10:$S$29),1,0))</f>
        <v>0</v>
      </c>
      <c r="C192" s="9" t="str">
        <f t="shared" si="20"/>
        <v/>
      </c>
      <c r="D192" s="6">
        <f t="shared" si="21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2"/>
        <v>0</v>
      </c>
    </row>
    <row r="193" spans="1:7" x14ac:dyDescent="0.25">
      <c r="A193" s="9">
        <f t="shared" si="8"/>
        <v>192</v>
      </c>
      <c r="B193" s="9">
        <f t="array" ref="B193">IF(C193="",0,IF(OR(C193=Country_Comparison!$S$10:$S$29),1,0))</f>
        <v>0</v>
      </c>
      <c r="C193" s="9" t="str">
        <f t="shared" si="20"/>
        <v/>
      </c>
      <c r="D193" s="6">
        <f t="shared" si="21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2"/>
        <v>0</v>
      </c>
    </row>
    <row r="194" spans="1:7" x14ac:dyDescent="0.25">
      <c r="A194" s="9">
        <f t="shared" si="8"/>
        <v>193</v>
      </c>
      <c r="B194" s="9">
        <f t="array" ref="B194">IF(C194="",0,IF(OR(C194=Country_Comparison!$S$10:$S$29),1,0))</f>
        <v>0</v>
      </c>
      <c r="C194" s="9" t="str">
        <f t="shared" si="20"/>
        <v/>
      </c>
      <c r="D194" s="6">
        <f t="shared" si="21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2"/>
        <v>0</v>
      </c>
    </row>
    <row r="195" spans="1:7" x14ac:dyDescent="0.25">
      <c r="A195" s="9">
        <f t="shared" si="8"/>
        <v>194</v>
      </c>
      <c r="B195" s="9">
        <f t="array" ref="B195">IF(C195="",0,IF(OR(C195=Country_Comparison!$S$10:$S$29),1,0))</f>
        <v>0</v>
      </c>
      <c r="C195" s="9" t="str">
        <f t="shared" si="20"/>
        <v/>
      </c>
      <c r="D195" s="6">
        <f t="shared" si="21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2"/>
        <v>0</v>
      </c>
    </row>
    <row r="196" spans="1:7" x14ac:dyDescent="0.25">
      <c r="A196" s="9">
        <f t="shared" si="8"/>
        <v>195</v>
      </c>
      <c r="B196" s="9">
        <f t="array" ref="B196">IF(C196="",0,IF(OR(C196=Country_Comparison!$S$10:$S$29),1,0))</f>
        <v>0</v>
      </c>
      <c r="C196" s="9" t="str">
        <f t="shared" si="20"/>
        <v/>
      </c>
      <c r="D196" s="6">
        <f t="shared" si="21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2"/>
        <v>0</v>
      </c>
    </row>
    <row r="197" spans="1:7" x14ac:dyDescent="0.25">
      <c r="A197" s="9">
        <f t="shared" si="8"/>
        <v>196</v>
      </c>
      <c r="B197" s="9">
        <f t="array" ref="B197">IF(C197="",0,IF(OR(C197=Country_Comparison!$S$10:$S$29),1,0))</f>
        <v>0</v>
      </c>
      <c r="C197" s="9" t="str">
        <f t="shared" si="20"/>
        <v/>
      </c>
      <c r="D197" s="6">
        <f t="shared" si="21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2"/>
        <v>0</v>
      </c>
    </row>
    <row r="198" spans="1:7" x14ac:dyDescent="0.25">
      <c r="A198" s="9">
        <f t="shared" si="8"/>
        <v>197</v>
      </c>
      <c r="B198" s="9">
        <f t="array" ref="B198">IF(C198="",0,IF(OR(C198=Country_Comparison!$S$10:$S$29),1,0))</f>
        <v>0</v>
      </c>
      <c r="C198" s="9" t="str">
        <f t="shared" ref="C198:C200" si="23">IF(H198="","",H198)</f>
        <v/>
      </c>
      <c r="D198" s="6">
        <f t="shared" ref="D198:D200" si="24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5">IF(COUNTIF(I198:XFD198,"&gt;"&amp;0)=0,,(E198/F198)^(1/MIN(COUNTIF(I198:XFD198,"&gt;"&amp;0)-1,$F$1)))</f>
        <v>0</v>
      </c>
    </row>
    <row r="199" spans="1:7" x14ac:dyDescent="0.25">
      <c r="A199" s="9">
        <f t="shared" si="8"/>
        <v>198</v>
      </c>
      <c r="B199" s="9">
        <f t="array" ref="B199">IF(C199="",0,IF(OR(C199=Country_Comparison!$S$10:$S$29),1,0))</f>
        <v>0</v>
      </c>
      <c r="C199" s="9" t="str">
        <f t="shared" si="23"/>
        <v/>
      </c>
      <c r="D199" s="6">
        <f t="shared" si="2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5"/>
        <v>0</v>
      </c>
    </row>
    <row r="200" spans="1:7" x14ac:dyDescent="0.25">
      <c r="A200" s="9">
        <f t="shared" si="8"/>
        <v>199</v>
      </c>
      <c r="B200" s="9">
        <f t="array" ref="B200">IF(C200="",0,IF(OR(C200=Country_Comparison!$S$10:$S$29),1,0))</f>
        <v>0</v>
      </c>
      <c r="C200" s="9" t="str">
        <f t="shared" si="23"/>
        <v/>
      </c>
      <c r="D200" s="6">
        <f t="shared" si="2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5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N127"/>
  <sheetViews>
    <sheetView workbookViewId="0">
      <selection activeCell="I27" sqref="I27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6384" width="8.88671875" style="54"/>
  </cols>
  <sheetData>
    <row r="1" spans="1:14" x14ac:dyDescent="0.3">
      <c r="C1" s="54" t="s">
        <v>479</v>
      </c>
      <c r="D1" s="54">
        <v>100</v>
      </c>
      <c r="E1" s="54" t="s">
        <v>489</v>
      </c>
      <c r="F1" s="54" t="s">
        <v>450</v>
      </c>
      <c r="G1" s="54" t="s">
        <v>514</v>
      </c>
      <c r="H1" s="54" t="s">
        <v>515</v>
      </c>
      <c r="I1" s="54" t="s">
        <v>509</v>
      </c>
      <c r="J1" s="54" t="s">
        <v>506</v>
      </c>
      <c r="K1" s="43" t="s">
        <v>519</v>
      </c>
      <c r="L1" s="54" t="s">
        <v>520</v>
      </c>
      <c r="M1" s="54" t="s">
        <v>467</v>
      </c>
      <c r="N1" s="54" t="s">
        <v>524</v>
      </c>
    </row>
    <row r="2" spans="1:14" x14ac:dyDescent="0.3">
      <c r="A2" s="54">
        <v>1</v>
      </c>
      <c r="B2" s="57" t="s">
        <v>337</v>
      </c>
      <c r="C2" s="57" t="s">
        <v>337</v>
      </c>
      <c r="D2" s="54">
        <v>548</v>
      </c>
      <c r="E2" s="58">
        <f ca="1">OFFSET(CumulativeConfirmed!A2,-A2,MATCH(Country_Data!D2,CumulativeConfirmed!B2:BT2,0))</f>
        <v>43852</v>
      </c>
      <c r="F2" s="43">
        <f>MAX(CumulativeConfirmed!2:2)</f>
        <v>81250</v>
      </c>
      <c r="G2" s="43">
        <f>MAX(CumulativeRecovered!2:2)</f>
        <v>71266</v>
      </c>
      <c r="H2" s="43">
        <f>MAX(CumulativeDead!2:2)</f>
        <v>3253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3">
        <f>H2/F2</f>
        <v>4.0036923076923074E-2</v>
      </c>
    </row>
    <row r="3" spans="1:14" x14ac:dyDescent="0.3">
      <c r="A3" s="54">
        <v>2</v>
      </c>
      <c r="B3" s="57" t="s">
        <v>58</v>
      </c>
      <c r="C3" s="57" t="s">
        <v>58</v>
      </c>
      <c r="D3" s="54">
        <f>VLOOKUP(C3,Days_Since_100!H:I,2,FALSE)</f>
        <v>155</v>
      </c>
      <c r="E3" s="58">
        <f ca="1">OFFSET(CumulativeConfirmed!A3,-A3,MATCH(Country_Data!D3,CumulativeConfirmed!B3:BT3,0))</f>
        <v>43884</v>
      </c>
      <c r="F3" s="43">
        <f>MAX(CumulativeConfirmed!3:3)</f>
        <v>47021</v>
      </c>
      <c r="G3" s="43">
        <f>MAX(CumulativeRecovered!3:3)</f>
        <v>4440</v>
      </c>
      <c r="H3" s="43">
        <f>MAX(CumulativeDead!3:3)</f>
        <v>4032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3">
        <f t="shared" ref="N3:N66" si="0">H3/F3</f>
        <v>8.5748920695008612E-2</v>
      </c>
    </row>
    <row r="4" spans="1:14" x14ac:dyDescent="0.3">
      <c r="A4" s="54">
        <v>3</v>
      </c>
      <c r="B4" s="57" t="s">
        <v>338</v>
      </c>
      <c r="C4" s="57" t="s">
        <v>338</v>
      </c>
      <c r="D4" s="54">
        <f>VLOOKUP(C4,Days_Since_100!H:I,2,FALSE)</f>
        <v>139</v>
      </c>
      <c r="E4" s="58">
        <f ca="1">OFFSET(CumulativeConfirmed!A4,-A4,MATCH(Country_Data!D4,CumulativeConfirmed!B4:BT4,0))</f>
        <v>43887</v>
      </c>
      <c r="F4" s="43">
        <f>MAX(CumulativeConfirmed!4:4)</f>
        <v>19644</v>
      </c>
      <c r="G4" s="43">
        <f>MAX(CumulativeRecovered!4:4)</f>
        <v>6745</v>
      </c>
      <c r="H4" s="43">
        <f>MAX(CumulativeDead!4:4)</f>
        <v>1433</v>
      </c>
      <c r="K4" s="43">
        <v>83992949</v>
      </c>
      <c r="L4" s="54">
        <v>0</v>
      </c>
      <c r="M4" s="43">
        <v>0</v>
      </c>
      <c r="N4" s="73">
        <f t="shared" si="0"/>
        <v>7.2948482997352876E-2</v>
      </c>
    </row>
    <row r="5" spans="1:14" x14ac:dyDescent="0.3">
      <c r="A5" s="54">
        <v>4</v>
      </c>
      <c r="B5" s="57" t="s">
        <v>478</v>
      </c>
      <c r="C5" s="57" t="s">
        <v>339</v>
      </c>
      <c r="D5" s="54">
        <f>VLOOKUP(C5,Days_Since_100!H:I,2,FALSE)</f>
        <v>104</v>
      </c>
      <c r="E5" s="58">
        <f ca="1">OFFSET(CumulativeConfirmed!A5,-A5,MATCH(Country_Data!D5,CumulativeConfirmed!B5:BT5,0))</f>
        <v>43881</v>
      </c>
      <c r="F5" s="43">
        <f>MAX(CumulativeConfirmed!5:5)</f>
        <v>8652</v>
      </c>
      <c r="G5" s="43">
        <f>MAX(CumulativeRecovered!5:5)</f>
        <v>1540</v>
      </c>
      <c r="H5" s="43">
        <f>MAX(CumulativeDead!5:5)</f>
        <v>94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3">
        <f t="shared" si="0"/>
        <v>1.0864539990753583E-2</v>
      </c>
    </row>
    <row r="6" spans="1:14" x14ac:dyDescent="0.3">
      <c r="A6" s="54">
        <v>5</v>
      </c>
      <c r="B6" s="57" t="s">
        <v>60</v>
      </c>
      <c r="C6" s="57" t="s">
        <v>60</v>
      </c>
      <c r="D6" s="54">
        <f>VLOOKUP(C6,Days_Since_100!H:I,2,FALSE)</f>
        <v>120</v>
      </c>
      <c r="E6" s="58">
        <f ca="1">OFFSET(CumulativeConfirmed!A6,-A6,MATCH(Country_Data!D6,CumulativeConfirmed!B6:BT6,0))</f>
        <v>43892</v>
      </c>
      <c r="F6" s="43">
        <f>MAX(CumulativeConfirmed!6:6)</f>
        <v>20410</v>
      </c>
      <c r="G6" s="43">
        <f>MAX(CumulativeRecovered!6:6)</f>
        <v>1588</v>
      </c>
      <c r="H6" s="43">
        <f>MAX(CumulativeDead!6:6)</f>
        <v>1043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3">
        <f t="shared" si="0"/>
        <v>5.1102400783929448E-2</v>
      </c>
    </row>
    <row r="7" spans="1:14" x14ac:dyDescent="0.3">
      <c r="A7" s="54">
        <v>6</v>
      </c>
      <c r="B7" s="57" t="s">
        <v>53</v>
      </c>
      <c r="C7" s="57" t="s">
        <v>53</v>
      </c>
      <c r="D7" s="54">
        <f>VLOOKUP(C7,Days_Since_100!H:I,2,FALSE)</f>
        <v>130</v>
      </c>
      <c r="E7" s="58">
        <f ca="1">OFFSET(CumulativeConfirmed!A7,-A7,MATCH(Country_Data!D7,CumulativeConfirmed!B7:BT7,0))</f>
        <v>43891</v>
      </c>
      <c r="F7" s="43">
        <f>MAX(CumulativeConfirmed!7:7)</f>
        <v>19848</v>
      </c>
      <c r="G7" s="43">
        <f>MAX(CumulativeRecovered!7:7)</f>
        <v>180</v>
      </c>
      <c r="H7" s="43">
        <f>MAX(CumulativeDead!7:7)</f>
        <v>67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3">
        <f t="shared" si="0"/>
        <v>3.3756549778315194E-3</v>
      </c>
    </row>
    <row r="8" spans="1:14" x14ac:dyDescent="0.3">
      <c r="A8" s="54">
        <v>7</v>
      </c>
      <c r="B8" s="57" t="s">
        <v>41</v>
      </c>
      <c r="C8" s="57" t="s">
        <v>41</v>
      </c>
      <c r="D8" s="54">
        <f>VLOOKUP(C8,Days_Since_100!H:I,2,FALSE)</f>
        <v>100</v>
      </c>
      <c r="E8" s="58">
        <f ca="1">OFFSET(CumulativeConfirmed!A8,-A8,MATCH(Country_Data!D8,CumulativeConfirmed!B8:BT8,0))</f>
        <v>43890</v>
      </c>
      <c r="F8" s="43">
        <f>MAX(CumulativeConfirmed!8:8)</f>
        <v>12726</v>
      </c>
      <c r="G8" s="43">
        <f>MAX(CumulativeRecovered!8:8)</f>
        <v>12</v>
      </c>
      <c r="H8" s="43">
        <f>MAX(CumulativeDead!8:8)</f>
        <v>450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3">
        <f t="shared" si="0"/>
        <v>3.536067892503536E-2</v>
      </c>
    </row>
    <row r="9" spans="1:14" x14ac:dyDescent="0.3">
      <c r="A9" s="54">
        <v>8</v>
      </c>
      <c r="B9" s="57" t="s">
        <v>38</v>
      </c>
      <c r="C9" s="57" t="s">
        <v>38</v>
      </c>
      <c r="D9" s="54">
        <f>VLOOKUP(C9,Days_Since_100!H:I,2,FALSE)</f>
        <v>118</v>
      </c>
      <c r="E9" s="58">
        <f ca="1">OFFSET(CumulativeConfirmed!A9,-A9,MATCH(Country_Data!D9,CumulativeConfirmed!B9:BT9,0))</f>
        <v>43893</v>
      </c>
      <c r="F9" s="43">
        <f>MAX(CumulativeConfirmed!9:9)</f>
        <v>19100</v>
      </c>
      <c r="G9" s="43">
        <f>MAX(CumulativeRecovered!9:9)</f>
        <v>17</v>
      </c>
      <c r="H9" s="43">
        <f>MAX(CumulativeDead!9:9)</f>
        <v>244</v>
      </c>
      <c r="J9" s="58">
        <v>43904</v>
      </c>
      <c r="K9" s="43">
        <v>331002651</v>
      </c>
      <c r="L9" s="54">
        <v>29.3</v>
      </c>
      <c r="M9" s="43">
        <v>96983.776743000009</v>
      </c>
      <c r="N9" s="73">
        <f t="shared" si="0"/>
        <v>1.2774869109947644E-2</v>
      </c>
    </row>
    <row r="10" spans="1:14" x14ac:dyDescent="0.3">
      <c r="A10" s="54">
        <v>9</v>
      </c>
      <c r="B10" s="57" t="s">
        <v>77</v>
      </c>
      <c r="C10" s="57" t="s">
        <v>77</v>
      </c>
      <c r="D10" s="54">
        <f>VLOOKUP(C10,Days_Since_100!H:I,2,FALSE)</f>
        <v>114</v>
      </c>
      <c r="E10" s="58">
        <f ca="1">OFFSET(CumulativeConfirmed!A10,-A10,MATCH(Country_Data!D10,CumulativeConfirmed!B10:BT10,0))</f>
        <v>43895</v>
      </c>
      <c r="F10" s="43">
        <f>MAX(CumulativeConfirmed!10:10)</f>
        <v>5294</v>
      </c>
      <c r="G10" s="43">
        <f>MAX(CumulativeRecovered!10:10)</f>
        <v>15</v>
      </c>
      <c r="H10" s="43">
        <f>MAX(CumulativeDead!10:10)</f>
        <v>54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3">
        <f t="shared" si="0"/>
        <v>1.0200226671703816E-2</v>
      </c>
    </row>
    <row r="11" spans="1:14" x14ac:dyDescent="0.3">
      <c r="A11" s="54">
        <v>10</v>
      </c>
      <c r="B11" s="57" t="s">
        <v>85</v>
      </c>
      <c r="C11" s="57" t="s">
        <v>85</v>
      </c>
      <c r="D11" s="54">
        <f>VLOOKUP(C11,Days_Since_100!H:I,2,FALSE)</f>
        <v>108</v>
      </c>
      <c r="E11" s="58">
        <f ca="1">OFFSET(CumulativeConfirmed!A11,-A11,MATCH(Country_Data!D11,CumulativeConfirmed!B11:BT11,0))</f>
        <v>43896</v>
      </c>
      <c r="F11" s="43">
        <f>MAX(CumulativeConfirmed!11:11)</f>
        <v>1914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3">
        <f t="shared" si="0"/>
        <v>3.6572622779519333E-3</v>
      </c>
    </row>
    <row r="12" spans="1:14" x14ac:dyDescent="0.3">
      <c r="A12" s="54">
        <v>11</v>
      </c>
      <c r="B12" s="57" t="s">
        <v>59</v>
      </c>
      <c r="C12" s="57" t="s">
        <v>59</v>
      </c>
      <c r="D12" s="54">
        <f>VLOOKUP(C12,Days_Since_100!H:I,2,FALSE)</f>
        <v>101</v>
      </c>
      <c r="E12" s="58">
        <f ca="1">OFFSET(CumulativeConfirmed!A12,-A12,MATCH(Country_Data!D12,CumulativeConfirmed!B12:BT12,0))</f>
        <v>43896</v>
      </c>
      <c r="F12" s="43">
        <f>MAX(CumulativeConfirmed!12:12)</f>
        <v>1639</v>
      </c>
      <c r="G12" s="43">
        <f>MAX(CumulativeRecovered!12:12)</f>
        <v>16</v>
      </c>
      <c r="H12" s="43">
        <f>MAX(CumulativeDead!12:12)</f>
        <v>16</v>
      </c>
      <c r="K12" s="43">
        <v>10099265</v>
      </c>
      <c r="L12" s="54">
        <v>5.8</v>
      </c>
      <c r="M12" s="43">
        <v>585.75736999999992</v>
      </c>
      <c r="N12" s="73">
        <f t="shared" si="0"/>
        <v>9.762050030506406E-3</v>
      </c>
    </row>
    <row r="13" spans="1:14" x14ac:dyDescent="0.3">
      <c r="A13" s="54">
        <v>12</v>
      </c>
      <c r="B13" s="57" t="s">
        <v>87</v>
      </c>
      <c r="C13" s="57" t="s">
        <v>87</v>
      </c>
      <c r="D13" s="54">
        <f>VLOOKUP(C13,Days_Since_100!H:I,2,FALSE)</f>
        <v>264</v>
      </c>
      <c r="E13" s="58">
        <f ca="1">OFFSET(CumulativeConfirmed!A13,-A13,MATCH(Country_Data!D13,CumulativeConfirmed!B13:BT13,0))</f>
        <v>43900</v>
      </c>
      <c r="F13" s="43">
        <f>MAX(CumulativeConfirmed!13:13)</f>
        <v>1337</v>
      </c>
      <c r="G13" s="43">
        <f>MAX(CumulativeRecovered!13:13)</f>
        <v>1</v>
      </c>
      <c r="H13" s="43">
        <f>MAX(CumulativeDead!13:13)</f>
        <v>9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3">
        <f t="shared" si="0"/>
        <v>6.7314884068810773E-3</v>
      </c>
    </row>
    <row r="14" spans="1:14" x14ac:dyDescent="0.3">
      <c r="A14" s="54">
        <v>13</v>
      </c>
      <c r="B14" s="57" t="s">
        <v>89</v>
      </c>
      <c r="C14" s="57" t="s">
        <v>89</v>
      </c>
      <c r="D14" s="54">
        <f>VLOOKUP(C14,Days_Since_100!H:I,2,FALSE)</f>
        <v>128</v>
      </c>
      <c r="E14" s="58">
        <f ca="1">OFFSET(CumulativeConfirmed!A14,-A14,MATCH(Country_Data!D14,CumulativeConfirmed!B14:BT14,0))</f>
        <v>43896</v>
      </c>
      <c r="F14" s="43">
        <f>MAX(CumulativeConfirmed!14:14)</f>
        <v>3003</v>
      </c>
      <c r="G14" s="43">
        <f>MAX(CumulativeRecovered!14:14)</f>
        <v>2</v>
      </c>
      <c r="H14" s="43">
        <f>MAX(CumulativeDead!14:14)</f>
        <v>107</v>
      </c>
      <c r="K14" s="43">
        <v>17134872</v>
      </c>
      <c r="L14" s="54">
        <v>0</v>
      </c>
      <c r="M14" s="43">
        <v>0</v>
      </c>
      <c r="N14" s="73">
        <f t="shared" si="0"/>
        <v>3.5631035631035632E-2</v>
      </c>
    </row>
    <row r="15" spans="1:14" x14ac:dyDescent="0.3">
      <c r="A15" s="54">
        <v>14</v>
      </c>
      <c r="B15" s="57" t="s">
        <v>349</v>
      </c>
      <c r="C15" s="57" t="s">
        <v>349</v>
      </c>
      <c r="D15" s="54">
        <f>VLOOKUP(C15,Days_Since_100!H:I,2,FALSE)</f>
        <v>116</v>
      </c>
      <c r="E15" s="58">
        <f ca="1">OFFSET(CumulativeConfirmed!A15,-A15,MATCH(Country_Data!D15,CumulativeConfirmed!B15:BT15,0))</f>
        <v>43895</v>
      </c>
      <c r="F15" s="43">
        <f>MAX(CumulativeConfirmed!15:15)</f>
        <v>4014</v>
      </c>
      <c r="G15" s="43">
        <f>MAX(CumulativeRecovered!15:15)</f>
        <v>67</v>
      </c>
      <c r="H15" s="43">
        <f>MAX(CumulativeDead!15:15)</f>
        <v>178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3">
        <f t="shared" si="0"/>
        <v>4.434479322371699E-2</v>
      </c>
    </row>
    <row r="16" spans="1:14" x14ac:dyDescent="0.3">
      <c r="A16" s="54">
        <v>15</v>
      </c>
      <c r="B16" s="57" t="s">
        <v>36</v>
      </c>
      <c r="C16" s="57" t="s">
        <v>36</v>
      </c>
      <c r="D16" s="54">
        <f>VLOOKUP(C16,Days_Since_100!H:I,2,FALSE)</f>
        <v>105</v>
      </c>
      <c r="E16" s="58">
        <f ca="1">OFFSET(CumulativeConfirmed!A16,-A16,MATCH(Country_Data!D16,CumulativeConfirmed!B16:BT16,0))</f>
        <v>43882</v>
      </c>
      <c r="F16" s="43">
        <f>MAX(CumulativeConfirmed!16:16)</f>
        <v>963</v>
      </c>
      <c r="G16" s="43">
        <f>MAX(CumulativeRecovered!16:16)</f>
        <v>191</v>
      </c>
      <c r="H16" s="43">
        <f>MAX(CumulativeDead!16:16)</f>
        <v>33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3">
        <f t="shared" si="0"/>
        <v>3.4267912772585667E-2</v>
      </c>
    </row>
    <row r="17" spans="1:14" x14ac:dyDescent="0.3">
      <c r="A17" s="54">
        <v>16</v>
      </c>
      <c r="B17" s="57" t="s">
        <v>340</v>
      </c>
      <c r="C17" s="57" t="s">
        <v>340</v>
      </c>
      <c r="D17" s="54">
        <f>VLOOKUP(C17,Days_Since_100!H:I,2,FALSE)</f>
        <v>135</v>
      </c>
      <c r="E17" s="58">
        <f ca="1">OFFSET(CumulativeConfirmed!A17,-A17,MATCH(Country_Data!D17,CumulativeConfirmed!B17:BT17,0))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7</v>
      </c>
      <c r="K17" s="43" t="e">
        <v>#N/A</v>
      </c>
      <c r="L17" s="54">
        <v>0</v>
      </c>
      <c r="M17" s="43" t="e">
        <v>#N/A</v>
      </c>
      <c r="N17" s="73">
        <f t="shared" si="0"/>
        <v>9.8314606741573031E-3</v>
      </c>
    </row>
    <row r="18" spans="1:14" x14ac:dyDescent="0.3">
      <c r="A18" s="54">
        <v>17</v>
      </c>
      <c r="B18" s="57" t="s">
        <v>63</v>
      </c>
      <c r="C18" s="57" t="s">
        <v>63</v>
      </c>
      <c r="D18" s="54">
        <f>VLOOKUP(C18,Days_Since_100!H:I,2,FALSE)</f>
        <v>109</v>
      </c>
      <c r="E18" s="58">
        <f ca="1">OFFSET(CumulativeConfirmed!A18,-A18,MATCH(Country_Data!D18,CumulativeConfirmed!B18:BT18,0))</f>
        <v>43896</v>
      </c>
      <c r="F18" s="43">
        <f>MAX(CumulativeConfirmed!18:18)</f>
        <v>2257</v>
      </c>
      <c r="G18" s="43">
        <f>MAX(CumulativeRecovered!18:18)</f>
        <v>31</v>
      </c>
      <c r="H18" s="43">
        <f>MAX(CumulativeDead!18:18)</f>
        <v>37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3">
        <f t="shared" si="0"/>
        <v>1.6393442622950821E-2</v>
      </c>
    </row>
    <row r="19" spans="1:14" x14ac:dyDescent="0.3">
      <c r="A19" s="54">
        <v>18</v>
      </c>
      <c r="B19" s="57" t="s">
        <v>78</v>
      </c>
      <c r="C19" s="57" t="s">
        <v>78</v>
      </c>
      <c r="D19" s="54">
        <f>VLOOKUP(C19,Days_Since_100!H:I,2,FALSE)</f>
        <v>104</v>
      </c>
      <c r="E19" s="58">
        <f ca="1">OFFSET(CumulativeConfirmed!A19,-A19,MATCH(Country_Data!D19,CumulativeConfirmed!B19:BT19,0))</f>
        <v>43898</v>
      </c>
      <c r="F19" s="43">
        <f>MAX(CumulativeConfirmed!19:19)</f>
        <v>2388</v>
      </c>
      <c r="G19" s="43">
        <f>MAX(CumulativeRecovered!19:19)</f>
        <v>9</v>
      </c>
      <c r="H19" s="43">
        <f>MAX(CumulativeDead!19:19)</f>
        <v>6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3">
        <f t="shared" si="0"/>
        <v>2.5125628140703518E-3</v>
      </c>
    </row>
    <row r="20" spans="1:14" x14ac:dyDescent="0.3">
      <c r="A20" s="54">
        <v>19</v>
      </c>
      <c r="B20" s="57" t="s">
        <v>101</v>
      </c>
      <c r="C20" s="57" t="s">
        <v>101</v>
      </c>
      <c r="D20" s="54">
        <f>VLOOKUP(C20,Days_Since_100!H:I,2,FALSE)</f>
        <v>262</v>
      </c>
      <c r="E20" s="58">
        <f ca="1">OFFSET(CumulativeConfirmed!A20,-A20,MATCH(Country_Data!D20,CumulativeConfirmed!B20:BT20,0))</f>
        <v>43901</v>
      </c>
      <c r="F20" s="43">
        <f>MAX(CumulativeConfirmed!20:20)</f>
        <v>470</v>
      </c>
      <c r="G20" s="43">
        <f>MAX(CumulativeRecovered!20:20)</f>
        <v>10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3">
        <f t="shared" si="0"/>
        <v>0</v>
      </c>
    </row>
    <row r="21" spans="1:14" x14ac:dyDescent="0.3">
      <c r="A21" s="54">
        <v>20</v>
      </c>
      <c r="B21" s="57" t="s">
        <v>48</v>
      </c>
      <c r="C21" s="57" t="s">
        <v>48</v>
      </c>
      <c r="D21" s="54">
        <f>VLOOKUP(C21,Days_Since_100!H:I,2,FALSE)</f>
        <v>107</v>
      </c>
      <c r="E21" s="58">
        <f ca="1">OFFSET(CumulativeConfirmed!A21,-A21,MATCH(Country_Data!D21,CumulativeConfirmed!B21:BT21,0))</f>
        <v>43900</v>
      </c>
      <c r="F21" s="43">
        <f>MAX(CumulativeConfirmed!21:21)</f>
        <v>791</v>
      </c>
      <c r="G21" s="43">
        <f>MAX(CumulativeRecovered!21:21)</f>
        <v>26</v>
      </c>
      <c r="H21" s="43">
        <f>MAX(CumulativeDead!21:21)</f>
        <v>7</v>
      </c>
      <c r="K21" s="43">
        <v>25499884</v>
      </c>
      <c r="L21" s="54">
        <v>0</v>
      </c>
      <c r="M21" s="43">
        <v>0</v>
      </c>
      <c r="N21" s="73">
        <f t="shared" si="0"/>
        <v>8.8495575221238937E-3</v>
      </c>
    </row>
    <row r="22" spans="1:14" x14ac:dyDescent="0.3">
      <c r="A22" s="54">
        <v>21</v>
      </c>
      <c r="B22" s="57" t="s">
        <v>40</v>
      </c>
      <c r="C22" s="57" t="s">
        <v>40</v>
      </c>
      <c r="D22" s="54">
        <f>VLOOKUP(C22,Days_Since_100!H:I,2,FALSE)</f>
        <v>102</v>
      </c>
      <c r="E22" s="58">
        <f ca="1">OFFSET(CumulativeConfirmed!A22,-A22,MATCH(Country_Data!D22,CumulativeConfirmed!B22:BT22,0))</f>
        <v>43890</v>
      </c>
      <c r="F22" s="43">
        <f>MAX(CumulativeConfirmed!22:22)</f>
        <v>385</v>
      </c>
      <c r="G22" s="43">
        <f>MAX(CumulativeRecovered!22:22)</f>
        <v>124</v>
      </c>
      <c r="H22" s="43">
        <f>MAX(CumulativeDead!22:22)</f>
        <v>0</v>
      </c>
      <c r="K22" s="43">
        <v>5850342</v>
      </c>
      <c r="L22" s="54">
        <v>0</v>
      </c>
      <c r="M22" s="43">
        <v>0</v>
      </c>
      <c r="N22" s="73">
        <f t="shared" si="0"/>
        <v>0</v>
      </c>
    </row>
    <row r="23" spans="1:14" x14ac:dyDescent="0.3">
      <c r="A23" s="54">
        <v>22</v>
      </c>
      <c r="B23" s="57" t="s">
        <v>43</v>
      </c>
      <c r="C23" s="57" t="s">
        <v>43</v>
      </c>
      <c r="D23" s="54">
        <f>VLOOKUP(C23,Days_Since_100!H:I,2,FALSE)</f>
        <v>117</v>
      </c>
      <c r="E23" s="58">
        <f ca="1">OFFSET(CumulativeConfirmed!A23,-A23,MATCH(Country_Data!D23,CumulativeConfirmed!B23:BT23,0))</f>
        <v>43899</v>
      </c>
      <c r="F23" s="43">
        <f>MAX(CumulativeConfirmed!23:23)</f>
        <v>1030</v>
      </c>
      <c r="G23" s="43">
        <f>MAX(CumulativeRecovered!23:23)</f>
        <v>87</v>
      </c>
      <c r="H23" s="43">
        <f>MAX(CumulativeDead!23:23)</f>
        <v>3</v>
      </c>
      <c r="K23" s="43">
        <v>32365999</v>
      </c>
      <c r="L23" s="54">
        <v>0</v>
      </c>
      <c r="M23" s="43">
        <v>0</v>
      </c>
      <c r="N23" s="73">
        <f t="shared" si="0"/>
        <v>2.9126213592233011E-3</v>
      </c>
    </row>
    <row r="24" spans="1:14" x14ac:dyDescent="0.3">
      <c r="A24" s="54">
        <v>23</v>
      </c>
      <c r="B24" s="57" t="s">
        <v>45</v>
      </c>
      <c r="C24" s="57" t="s">
        <v>45</v>
      </c>
      <c r="D24" s="54">
        <f>VLOOKUP(C24,Days_Since_100!H:I,2,FALSE)</f>
        <v>108</v>
      </c>
      <c r="E24" s="58">
        <f ca="1">OFFSET(CumulativeConfirmed!A24,-A24,MATCH(Country_Data!D24,CumulativeConfirmed!B24:BT24,0))</f>
        <v>43901</v>
      </c>
      <c r="F24" s="43">
        <f>MAX(CumulativeConfirmed!24:24)</f>
        <v>943</v>
      </c>
      <c r="G24" s="43">
        <f>MAX(CumulativeRecovered!24:24)</f>
        <v>9</v>
      </c>
      <c r="H24" s="43">
        <f>MAX(CumulativeDead!24:24)</f>
        <v>12</v>
      </c>
      <c r="K24" s="43">
        <v>37742154</v>
      </c>
      <c r="L24" s="54">
        <v>0</v>
      </c>
      <c r="M24" s="43">
        <v>0</v>
      </c>
      <c r="N24" s="73">
        <f t="shared" si="0"/>
        <v>1.2725344644750796E-2</v>
      </c>
    </row>
    <row r="25" spans="1:14" x14ac:dyDescent="0.3">
      <c r="A25" s="54">
        <v>24</v>
      </c>
      <c r="B25" s="57" t="s">
        <v>83</v>
      </c>
      <c r="C25" s="57" t="s">
        <v>83</v>
      </c>
      <c r="D25" s="54">
        <f>VLOOKUP(C25,Days_Since_100!H:I,2,FALSE)</f>
        <v>190</v>
      </c>
      <c r="E25" s="58">
        <f ca="1">OFFSET(CumulativeConfirmed!A25,-A25,MATCH(Country_Data!D25,CumulativeConfirmed!B25:BT25,0))</f>
        <v>43903</v>
      </c>
      <c r="F25" s="43">
        <f>MAX(CumulativeConfirmed!25:25)</f>
        <v>495</v>
      </c>
      <c r="G25" s="43">
        <f>MAX(CumulativeRecovered!25:25)</f>
        <v>19</v>
      </c>
      <c r="H25" s="43">
        <f>MAX(CumulativeDead!25:25)</f>
        <v>6</v>
      </c>
      <c r="K25" s="43">
        <v>10423054</v>
      </c>
      <c r="L25" s="54">
        <v>6</v>
      </c>
      <c r="M25" s="43">
        <v>625.38324</v>
      </c>
      <c r="N25" s="73">
        <f t="shared" si="0"/>
        <v>1.2121212121212121E-2</v>
      </c>
    </row>
    <row r="26" spans="1:14" x14ac:dyDescent="0.3">
      <c r="A26" s="54">
        <v>25</v>
      </c>
      <c r="B26" s="57" t="s">
        <v>73</v>
      </c>
      <c r="C26" s="57" t="s">
        <v>73</v>
      </c>
      <c r="D26" s="54">
        <f>VLOOKUP(C26,Days_Since_100!H:I,2,FALSE)</f>
        <v>110</v>
      </c>
      <c r="E26" s="58">
        <f ca="1">OFFSET(CumulativeConfirmed!A26,-A26,MATCH(Country_Data!D26,CumulativeConfirmed!B26:BT26,0))</f>
        <v>43900</v>
      </c>
      <c r="F26" s="43">
        <f>MAX(CumulativeConfirmed!26:26)</f>
        <v>285</v>
      </c>
      <c r="G26" s="43">
        <f>MAX(CumulativeRecovered!26:26)</f>
        <v>100</v>
      </c>
      <c r="H26" s="43">
        <f>MAX(CumulativeDead!26:26)</f>
        <v>1</v>
      </c>
      <c r="K26" s="43">
        <v>1701575</v>
      </c>
      <c r="L26" s="54">
        <v>0</v>
      </c>
      <c r="M26" s="43">
        <v>0</v>
      </c>
      <c r="N26" s="73">
        <f t="shared" si="0"/>
        <v>3.5087719298245615E-3</v>
      </c>
    </row>
    <row r="27" spans="1:14" x14ac:dyDescent="0.3">
      <c r="A27" s="54">
        <v>26</v>
      </c>
      <c r="B27" s="57" t="s">
        <v>79</v>
      </c>
      <c r="C27" s="57" t="s">
        <v>79</v>
      </c>
      <c r="D27" s="54">
        <f>VLOOKUP(C27,Days_Since_100!H:I,2,FALSE)</f>
        <v>109</v>
      </c>
      <c r="E27" s="58">
        <f ca="1">OFFSET(CumulativeConfirmed!A27,-A27,MATCH(Country_Data!D27,CumulativeConfirmed!B27:BT27,0))</f>
        <v>43901</v>
      </c>
      <c r="F27" s="43">
        <f>MAX(CumulativeConfirmed!27:27)</f>
        <v>705</v>
      </c>
      <c r="G27" s="43">
        <f>MAX(CumulativeRecovered!27:27)</f>
        <v>14</v>
      </c>
      <c r="H27" s="43">
        <f>MAX(CumulativeDead!27:27)</f>
        <v>0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3">
        <f t="shared" si="0"/>
        <v>0</v>
      </c>
    </row>
    <row r="28" spans="1:14" x14ac:dyDescent="0.3">
      <c r="A28" s="54">
        <v>27</v>
      </c>
      <c r="B28" s="57" t="s">
        <v>54</v>
      </c>
      <c r="C28" s="57" t="s">
        <v>54</v>
      </c>
      <c r="D28" s="54">
        <f>VLOOKUP(C28,Days_Since_100!H:I,2,FALSE)</f>
        <v>155</v>
      </c>
      <c r="E28" s="58">
        <f ca="1">OFFSET(CumulativeConfirmed!A28,-A28,MATCH(Country_Data!D28,CumulativeConfirmed!B28:BT28,0))</f>
        <v>43903</v>
      </c>
      <c r="F28" s="43">
        <f>MAX(CumulativeConfirmed!28:28)</f>
        <v>450</v>
      </c>
      <c r="G28" s="43">
        <f>MAX(CumulativeRecovered!28:28)</f>
        <v>10</v>
      </c>
      <c r="H28" s="43">
        <f>MAX(CumulativeDead!28:28)</f>
        <v>0</v>
      </c>
      <c r="K28" s="43">
        <v>5540720</v>
      </c>
      <c r="L28" s="54">
        <v>6.1</v>
      </c>
      <c r="M28" s="43">
        <v>337.98392000000001</v>
      </c>
      <c r="N28" s="73">
        <f t="shared" si="0"/>
        <v>0</v>
      </c>
    </row>
    <row r="29" spans="1:14" x14ac:dyDescent="0.3">
      <c r="A29" s="54">
        <v>28</v>
      </c>
      <c r="B29" s="57" t="s">
        <v>81</v>
      </c>
      <c r="C29" s="57" t="s">
        <v>81</v>
      </c>
      <c r="D29" s="54">
        <f>VLOOKUP(C29,Days_Since_100!H:I,2,FALSE)</f>
        <v>151</v>
      </c>
      <c r="E29" s="58">
        <f ca="1">OFFSET(CumulativeConfirmed!A29,-A29,MATCH(Country_Data!D29,CumulativeConfirmed!B29:BT29,0))</f>
        <v>43903</v>
      </c>
      <c r="F29" s="43">
        <f>MAX(CumulativeConfirmed!29:29)</f>
        <v>793</v>
      </c>
      <c r="G29" s="43">
        <f>MAX(CumulativeRecovered!29:29)</f>
        <v>2</v>
      </c>
      <c r="H29" s="43">
        <f>MAX(CumulativeDead!29:29)</f>
        <v>11</v>
      </c>
      <c r="K29" s="43">
        <v>212559417</v>
      </c>
      <c r="L29" s="54">
        <v>0</v>
      </c>
      <c r="M29" s="43">
        <v>0</v>
      </c>
      <c r="N29" s="73">
        <f t="shared" si="0"/>
        <v>1.3871374527112233E-2</v>
      </c>
    </row>
    <row r="30" spans="1:14" x14ac:dyDescent="0.3">
      <c r="A30" s="54">
        <v>29</v>
      </c>
      <c r="B30" s="57" t="s">
        <v>481</v>
      </c>
      <c r="C30" s="57" t="s">
        <v>341</v>
      </c>
      <c r="D30" s="54">
        <f>VLOOKUP(C30,Days_Since_100!H:I,2,FALSE)</f>
        <v>141</v>
      </c>
      <c r="E30" s="58">
        <f ca="1">OFFSET(CumulativeConfirmed!A30,-A30,MATCH(Country_Data!D30,CumulativeConfirmed!B30:BT30,0))</f>
        <v>43903</v>
      </c>
      <c r="F30" s="43">
        <f>MAX(CumulativeConfirmed!30:30)</f>
        <v>833</v>
      </c>
      <c r="G30" s="43">
        <f>MAX(CumulativeRecovered!30:30)</f>
        <v>4</v>
      </c>
      <c r="H30" s="43">
        <f>MAX(CumulativeDead!30:30)</f>
        <v>0</v>
      </c>
      <c r="K30" s="43">
        <v>10708981</v>
      </c>
      <c r="L30" s="54">
        <v>11.6</v>
      </c>
      <c r="M30" s="43">
        <v>1242.241796</v>
      </c>
      <c r="N30" s="73">
        <f t="shared" si="0"/>
        <v>0</v>
      </c>
    </row>
    <row r="31" spans="1:14" x14ac:dyDescent="0.3">
      <c r="A31" s="54">
        <v>30</v>
      </c>
      <c r="B31" s="57" t="s">
        <v>141</v>
      </c>
      <c r="C31" s="57" t="s">
        <v>141</v>
      </c>
      <c r="D31" s="54">
        <f>VLOOKUP(C31,Days_Since_100!H:I,2,FALSE)</f>
        <v>141</v>
      </c>
      <c r="E31" s="58">
        <f ca="1">OFFSET(CumulativeConfirmed!A31,-A31,MATCH(Country_Data!D31,CumulativeConfirmed!B31:BT31,0))</f>
        <v>43903</v>
      </c>
      <c r="F31" s="43">
        <f>MAX(CumulativeConfirmed!31:31)</f>
        <v>341</v>
      </c>
      <c r="G31" s="43">
        <f>MAX(CumulativeRecovered!31:31)</f>
        <v>0</v>
      </c>
      <c r="H31" s="43">
        <f>MAX(CumulativeDead!31:31)</f>
        <v>1</v>
      </c>
      <c r="K31" s="43">
        <v>2078938</v>
      </c>
      <c r="L31" s="54">
        <v>6.4</v>
      </c>
      <c r="M31" s="43">
        <v>133.05203200000003</v>
      </c>
      <c r="N31" s="73">
        <f t="shared" si="0"/>
        <v>2.9325513196480938E-3</v>
      </c>
    </row>
    <row r="32" spans="1:14" x14ac:dyDescent="0.3">
      <c r="A32" s="54">
        <v>31</v>
      </c>
      <c r="B32" s="57" t="s">
        <v>92</v>
      </c>
      <c r="C32" s="57" t="s">
        <v>92</v>
      </c>
      <c r="D32" s="54">
        <f>VLOOKUP(C32,Days_Since_100!H:I,2,FALSE)</f>
        <v>103</v>
      </c>
      <c r="E32" s="58">
        <f ca="1">OFFSET(CumulativeConfirmed!A32,-A32,MATCH(Country_Data!D32,CumulativeConfirmed!B32:BT32,0))</f>
        <v>43902</v>
      </c>
      <c r="F32" s="43">
        <f>MAX(CumulativeConfirmed!32:32)</f>
        <v>409</v>
      </c>
      <c r="G32" s="43">
        <f>MAX(CumulativeRecovered!32:32)</f>
        <v>8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3">
        <f t="shared" si="0"/>
        <v>1.2224938875305624E-2</v>
      </c>
    </row>
    <row r="33" spans="1:14" x14ac:dyDescent="0.3">
      <c r="A33" s="54">
        <v>32</v>
      </c>
      <c r="B33" s="57" t="s">
        <v>108</v>
      </c>
      <c r="C33" s="57" t="s">
        <v>108</v>
      </c>
      <c r="D33" s="54">
        <f>VLOOKUP(C33,Days_Since_100!H:I,2,FALSE)</f>
        <v>112</v>
      </c>
      <c r="E33" s="58">
        <f ca="1">OFFSET(CumulativeConfirmed!A33,-A33,MATCH(Country_Data!D33,CumulativeConfirmed!B33:BT33,0))</f>
        <v>43903</v>
      </c>
      <c r="F33" s="43">
        <f>MAX(CumulativeConfirmed!33:33)</f>
        <v>1020</v>
      </c>
      <c r="G33" s="43">
        <f>MAX(CumulativeRecovered!33:33)</f>
        <v>5</v>
      </c>
      <c r="H33" s="43">
        <f>MAX(CumulativeDead!33:33)</f>
        <v>6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3">
        <f t="shared" si="0"/>
        <v>5.8823529411764705E-3</v>
      </c>
    </row>
    <row r="34" spans="1:14" x14ac:dyDescent="0.3">
      <c r="A34" s="54">
        <v>33</v>
      </c>
      <c r="B34" s="57" t="s">
        <v>70</v>
      </c>
      <c r="C34" s="57" t="s">
        <v>70</v>
      </c>
      <c r="D34" s="54">
        <f>VLOOKUP(C34,Days_Since_100!H:I,2,FALSE)</f>
        <v>101</v>
      </c>
      <c r="E34" s="58">
        <f ca="1">OFFSET(CumulativeConfirmed!A34,-A34,MATCH(Country_Data!D34,CumulativeConfirmed!B34:BT34,0))</f>
        <v>43903</v>
      </c>
      <c r="F34" s="43">
        <f>MAX(CumulativeConfirmed!34:34)</f>
        <v>208</v>
      </c>
      <c r="G34" s="43">
        <f>MAX(CumulativeRecovered!34:34)</f>
        <v>49</v>
      </c>
      <c r="H34" s="43">
        <f>MAX(CumulativeDead!34:34)</f>
        <v>17</v>
      </c>
      <c r="K34" s="43">
        <v>40222493</v>
      </c>
      <c r="L34" s="54">
        <v>0</v>
      </c>
      <c r="M34" s="43">
        <v>0</v>
      </c>
      <c r="N34" s="73">
        <f t="shared" si="0"/>
        <v>8.1730769230769232E-2</v>
      </c>
    </row>
    <row r="35" spans="1:14" x14ac:dyDescent="0.3">
      <c r="A35" s="54">
        <v>34</v>
      </c>
      <c r="B35" s="57" t="s">
        <v>98</v>
      </c>
      <c r="C35" s="57" t="s">
        <v>98</v>
      </c>
      <c r="D35" s="54">
        <f>VLOOKUP(C35,Days_Since_100!H:I,2,FALSE)</f>
        <v>129</v>
      </c>
      <c r="E35" s="58">
        <f ca="1">OFFSET(CumulativeConfirmed!A35,-A35,MATCH(Country_Data!D35,CumulativeConfirmed!B35:BT35,0))</f>
        <v>43904</v>
      </c>
      <c r="F35" s="43">
        <f>MAX(CumulativeConfirmed!35:35)</f>
        <v>683</v>
      </c>
      <c r="G35" s="43">
        <f>MAX(CumulativeRecovered!35:35)</f>
        <v>5</v>
      </c>
      <c r="H35" s="43">
        <f>MAX(CumulativeDead!35:35)</f>
        <v>3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3">
        <f t="shared" si="0"/>
        <v>4.3923865300146414E-3</v>
      </c>
    </row>
    <row r="36" spans="1:14" x14ac:dyDescent="0.3">
      <c r="A36" s="54">
        <v>35</v>
      </c>
      <c r="B36" s="57" t="s">
        <v>86</v>
      </c>
      <c r="C36" s="57" t="s">
        <v>86</v>
      </c>
      <c r="D36" s="54">
        <f>VLOOKUP(C36,Days_Since_100!H:I,2,FALSE)</f>
        <v>123</v>
      </c>
      <c r="E36" s="58">
        <f ca="1">OFFSET(CumulativeConfirmed!A36,-A36,MATCH(Country_Data!D36,CumulativeConfirmed!B36:BT36,0))</f>
        <v>43904</v>
      </c>
      <c r="F36" s="43">
        <f>MAX(CumulativeConfirmed!36:36)</f>
        <v>308</v>
      </c>
      <c r="G36" s="43">
        <f>MAX(CumulativeRecovered!36:36)</f>
        <v>25</v>
      </c>
      <c r="H36" s="43">
        <f>MAX(CumulativeDead!36:36)</f>
        <v>0</v>
      </c>
      <c r="K36" s="43">
        <v>19237691</v>
      </c>
      <c r="L36" s="54">
        <v>21.4</v>
      </c>
      <c r="M36" s="43">
        <v>4116.8658740000001</v>
      </c>
      <c r="N36" s="73">
        <f t="shared" si="0"/>
        <v>0</v>
      </c>
    </row>
    <row r="37" spans="1:14" x14ac:dyDescent="0.3">
      <c r="A37" s="54">
        <v>36</v>
      </c>
      <c r="B37" s="57" t="s">
        <v>113</v>
      </c>
      <c r="C37" s="57" t="s">
        <v>113</v>
      </c>
      <c r="D37" s="54">
        <f>VLOOKUP(C37,Days_Since_100!H:I,2,FALSE)</f>
        <v>103</v>
      </c>
      <c r="E37" s="58">
        <f ca="1">OFFSET(CumulativeConfirmed!A37,-A37,MATCH(Country_Data!D37,CumulativeConfirmed!B37:BT37,0))</f>
        <v>43904</v>
      </c>
      <c r="F37" s="43">
        <f>MAX(CumulativeConfirmed!37:37)</f>
        <v>344</v>
      </c>
      <c r="G37" s="43">
        <f>MAX(CumulativeRecovered!37:37)</f>
        <v>8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3">
        <f t="shared" si="0"/>
        <v>0</v>
      </c>
    </row>
    <row r="38" spans="1:14" x14ac:dyDescent="0.3">
      <c r="A38" s="54">
        <v>37</v>
      </c>
      <c r="B38" s="57" t="s">
        <v>55</v>
      </c>
      <c r="C38" s="57" t="s">
        <v>55</v>
      </c>
      <c r="D38" s="54">
        <f>VLOOKUP(C38,Days_Since_100!H:I,2,FALSE)</f>
        <v>113</v>
      </c>
      <c r="E38" s="58">
        <f ca="1">OFFSET(CumulativeConfirmed!A38,-A38,MATCH(Country_Data!D38,CumulativeConfirmed!B38:BT38,0))</f>
        <v>43908</v>
      </c>
      <c r="F38" s="43">
        <f>MAX(CumulativeConfirmed!38:38)</f>
        <v>140</v>
      </c>
      <c r="G38" s="43">
        <f>MAX(CumulativeRecovered!38:38)</f>
        <v>31</v>
      </c>
      <c r="H38" s="43">
        <f>MAX(CumulativeDead!38:38)</f>
        <v>2</v>
      </c>
      <c r="K38" s="43">
        <v>9890402</v>
      </c>
      <c r="L38" s="54">
        <v>0</v>
      </c>
      <c r="M38" s="43">
        <v>0</v>
      </c>
      <c r="N38" s="73">
        <f t="shared" si="0"/>
        <v>1.4285714285714285E-2</v>
      </c>
    </row>
    <row r="39" spans="1:14" x14ac:dyDescent="0.3">
      <c r="A39" s="54">
        <v>38</v>
      </c>
      <c r="B39" s="57" t="s">
        <v>57</v>
      </c>
      <c r="C39" s="57" t="s">
        <v>57</v>
      </c>
      <c r="D39" s="54">
        <f>VLOOKUP(C39,Days_Since_100!H:I,2,FALSE)</f>
        <v>102</v>
      </c>
      <c r="E39" s="58">
        <f ca="1">OFFSET(CumulativeConfirmed!A39,-A39,MATCH(Country_Data!D39,CumulativeConfirmed!B39:BT39,0))</f>
        <v>43904</v>
      </c>
      <c r="F39" s="43">
        <f>MAX(CumulativeConfirmed!39:39)</f>
        <v>244</v>
      </c>
      <c r="G39" s="43">
        <f>MAX(CumulativeRecovered!39:39)</f>
        <v>20</v>
      </c>
      <c r="H39" s="43">
        <f>MAX(CumulativeDead!39:39)</f>
        <v>5</v>
      </c>
      <c r="K39" s="43">
        <v>1380004385</v>
      </c>
      <c r="L39" s="54">
        <v>2.2999999999999998</v>
      </c>
      <c r="M39" s="43">
        <v>31740.100854999997</v>
      </c>
      <c r="N39" s="73">
        <f t="shared" si="0"/>
        <v>2.0491803278688523E-2</v>
      </c>
    </row>
    <row r="40" spans="1:14" x14ac:dyDescent="0.3">
      <c r="A40" s="54">
        <v>39</v>
      </c>
      <c r="B40" s="57" t="s">
        <v>65</v>
      </c>
      <c r="C40" s="57" t="s">
        <v>65</v>
      </c>
      <c r="D40" s="54">
        <f>VLOOKUP(C40,Days_Since_100!H:I,2,FALSE)</f>
        <v>109</v>
      </c>
      <c r="E40" s="58">
        <f ca="1">OFFSET(CumulativeConfirmed!A40,-A40,MATCH(Country_Data!D40,CumulativeConfirmed!B40:BT40,0))</f>
        <v>43904</v>
      </c>
      <c r="F40" s="43">
        <f>MAX(CumulativeConfirmed!40:40)</f>
        <v>285</v>
      </c>
      <c r="G40" s="43">
        <f>MAX(CumulativeRecovered!40:40)</f>
        <v>39</v>
      </c>
      <c r="H40" s="43">
        <f>MAX(CumulativeDead!40:40)</f>
        <v>8</v>
      </c>
      <c r="K40" s="43">
        <v>102334404</v>
      </c>
      <c r="L40" s="54">
        <v>0</v>
      </c>
      <c r="M40" s="43">
        <v>0</v>
      </c>
      <c r="N40" s="73">
        <f t="shared" si="0"/>
        <v>2.8070175438596492E-2</v>
      </c>
    </row>
    <row r="41" spans="1:14" x14ac:dyDescent="0.3">
      <c r="A41" s="54">
        <v>40</v>
      </c>
      <c r="B41" s="57" t="s">
        <v>74</v>
      </c>
      <c r="C41" s="57" t="s">
        <v>74</v>
      </c>
      <c r="D41" s="54">
        <f>VLOOKUP(C41,Days_Since_100!H:I,2,FALSE)</f>
        <v>104</v>
      </c>
      <c r="E41" s="58">
        <f ca="1">OFFSET(CumulativeConfirmed!A41,-A41,MATCH(Country_Data!D41,CumulativeConfirmed!B41:BT41,0))</f>
        <v>43904</v>
      </c>
      <c r="F41" s="43">
        <f>MAX(CumulativeConfirmed!41:41)</f>
        <v>159</v>
      </c>
      <c r="G41" s="43">
        <f>MAX(CumulativeRecovered!41:41)</f>
        <v>18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3">
        <f t="shared" si="0"/>
        <v>0</v>
      </c>
    </row>
    <row r="42" spans="1:14" x14ac:dyDescent="0.3">
      <c r="A42" s="54">
        <v>41</v>
      </c>
      <c r="B42" s="57" t="s">
        <v>90</v>
      </c>
      <c r="C42" s="57" t="s">
        <v>90</v>
      </c>
      <c r="D42" s="54">
        <f>VLOOKUP(C42,Days_Since_100!H:I,2,FALSE)</f>
        <v>101</v>
      </c>
      <c r="E42" s="58">
        <f ca="1">OFFSET(CumulativeConfirmed!A42,-A42,MATCH(Country_Data!D42,CumulativeConfirmed!B42:BT42,0))</f>
        <v>43905</v>
      </c>
      <c r="F42" s="43">
        <f>MAX(CumulativeConfirmed!42:42)</f>
        <v>144</v>
      </c>
      <c r="G42" s="43">
        <f>MAX(CumulativeRecovered!42:42)</f>
        <v>4</v>
      </c>
      <c r="H42" s="43">
        <f>MAX(CumulativeDead!42:42)</f>
        <v>14</v>
      </c>
      <c r="K42" s="43">
        <v>33931</v>
      </c>
      <c r="L42" s="54">
        <v>0</v>
      </c>
      <c r="M42" s="43">
        <v>0</v>
      </c>
      <c r="N42" s="73">
        <f t="shared" si="0"/>
        <v>9.7222222222222224E-2</v>
      </c>
    </row>
    <row r="43" spans="1:14" x14ac:dyDescent="0.3">
      <c r="A43" s="54">
        <v>42</v>
      </c>
      <c r="B43" s="57" t="s">
        <v>88</v>
      </c>
      <c r="C43" s="57" t="s">
        <v>88</v>
      </c>
      <c r="D43" s="54">
        <f>VLOOKUP(C43,Days_Since_100!H:I,2,FALSE)</f>
        <v>115</v>
      </c>
      <c r="E43" s="58">
        <f ca="1">OFFSET(CumulativeConfirmed!A43,-A43,MATCH(Country_Data!D43,CumulativeConfirmed!B43:BT43,0))</f>
        <v>43904</v>
      </c>
      <c r="F43" s="43">
        <f>MAX(CumulativeConfirmed!43:43)</f>
        <v>283</v>
      </c>
      <c r="G43" s="43">
        <f>MAX(CumulativeRecovered!43:43)</f>
        <v>1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3">
        <f t="shared" si="0"/>
        <v>0</v>
      </c>
    </row>
    <row r="44" spans="1:14" x14ac:dyDescent="0.3">
      <c r="A44" s="54">
        <v>43</v>
      </c>
      <c r="B44" s="57" t="s">
        <v>67</v>
      </c>
      <c r="C44" s="57" t="s">
        <v>67</v>
      </c>
      <c r="D44" s="54">
        <f>VLOOKUP(C44,Days_Since_100!H:I,2,FALSE)</f>
        <v>110</v>
      </c>
      <c r="E44" s="58">
        <f ca="1">OFFSET(CumulativeConfirmed!A44,-A44,MATCH(Country_Data!D44,CumulativeConfirmed!B44:BT44,0))</f>
        <v>43905</v>
      </c>
      <c r="F44" s="43">
        <f>MAX(CumulativeConfirmed!44:44)</f>
        <v>163</v>
      </c>
      <c r="G44" s="43">
        <f>MAX(CumulativeRecovered!44:44)</f>
        <v>4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3">
        <f t="shared" si="0"/>
        <v>2.4539877300613498E-2</v>
      </c>
    </row>
    <row r="45" spans="1:14" x14ac:dyDescent="0.3">
      <c r="A45" s="54">
        <v>44</v>
      </c>
      <c r="B45" s="57" t="s">
        <v>35</v>
      </c>
      <c r="C45" s="57" t="s">
        <v>35</v>
      </c>
      <c r="D45" s="54">
        <f>VLOOKUP(C45,Days_Since_100!H:I,2,FALSE)</f>
        <v>114</v>
      </c>
      <c r="E45" s="58">
        <f ca="1">OFFSET(CumulativeConfirmed!A45,-A45,MATCH(Country_Data!D45,CumulativeConfirmed!B45:BT45,0))</f>
        <v>43905</v>
      </c>
      <c r="F45" s="43">
        <f>MAX(CumulativeConfirmed!45:45)</f>
        <v>322</v>
      </c>
      <c r="G45" s="43">
        <f>MAX(CumulativeRecovered!45:45)</f>
        <v>42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3">
        <f t="shared" si="0"/>
        <v>3.105590062111801E-3</v>
      </c>
    </row>
    <row r="46" spans="1:14" x14ac:dyDescent="0.3">
      <c r="A46" s="54">
        <v>45</v>
      </c>
      <c r="B46" s="57" t="s">
        <v>107</v>
      </c>
      <c r="C46" s="57" t="s">
        <v>107</v>
      </c>
      <c r="D46" s="54">
        <f>VLOOKUP(C46,Days_Since_100!H:I,2,FALSE)</f>
        <v>117</v>
      </c>
      <c r="E46" s="58">
        <f ca="1">OFFSET(CumulativeConfirmed!A46,-A46,MATCH(Country_Data!D46,CumulativeConfirmed!B46:BT46,0))</f>
        <v>43905</v>
      </c>
      <c r="F46" s="43">
        <f>MAX(CumulativeConfirmed!46:46)</f>
        <v>369</v>
      </c>
      <c r="G46" s="43">
        <f>MAX(CumulativeRecovered!46:46)</f>
        <v>15</v>
      </c>
      <c r="H46" s="43">
        <f>MAX(CumulativeDead!46:46)</f>
        <v>32</v>
      </c>
      <c r="K46" s="43">
        <v>273523615</v>
      </c>
      <c r="L46" s="54">
        <v>0</v>
      </c>
      <c r="M46" s="43">
        <v>0</v>
      </c>
      <c r="N46" s="73">
        <f t="shared" si="0"/>
        <v>8.6720867208672087E-2</v>
      </c>
    </row>
    <row r="47" spans="1:14" x14ac:dyDescent="0.3">
      <c r="A47" s="54">
        <v>46</v>
      </c>
      <c r="B47" s="57" t="s">
        <v>137</v>
      </c>
      <c r="C47" s="57" t="s">
        <v>137</v>
      </c>
      <c r="D47" s="54">
        <f>VLOOKUP(C47,Days_Since_100!H:I,2,FALSE)</f>
        <v>103</v>
      </c>
      <c r="E47" s="58">
        <f ca="1">OFFSET(CumulativeConfirmed!A47,-A47,MATCH(Country_Data!D47,CumulativeConfirmed!B47:BT47,0))</f>
        <v>43904</v>
      </c>
      <c r="F47" s="43">
        <f>MAX(CumulativeConfirmed!47:47)</f>
        <v>425</v>
      </c>
      <c r="G47" s="43">
        <f>MAX(CumulativeRecovered!47:47)</f>
        <v>13</v>
      </c>
      <c r="H47" s="43">
        <f>MAX(CumulativeDead!47:47)</f>
        <v>5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3">
        <f t="shared" si="0"/>
        <v>1.1764705882352941E-2</v>
      </c>
    </row>
    <row r="48" spans="1:14" x14ac:dyDescent="0.3">
      <c r="A48" s="54">
        <v>47</v>
      </c>
      <c r="B48" s="57" t="s">
        <v>56</v>
      </c>
      <c r="C48" s="57" t="s">
        <v>56</v>
      </c>
      <c r="D48" s="54">
        <f>VLOOKUP(C48,Days_Since_100!H:I,2,FALSE)</f>
        <v>111</v>
      </c>
      <c r="E48" s="58">
        <f ca="1">OFFSET(CumulativeConfirmed!A48,-A48,MATCH(Country_Data!D48,CumulativeConfirmed!B48:BT48,0))</f>
        <v>43904</v>
      </c>
      <c r="F48" s="43">
        <f>MAX(CumulativeConfirmed!48:48)</f>
        <v>230</v>
      </c>
      <c r="G48" s="43">
        <f>MAX(CumulativeRecovered!48:48)</f>
        <v>8</v>
      </c>
      <c r="H48" s="43">
        <f>MAX(CumulativeDead!48:48)</f>
        <v>19</v>
      </c>
      <c r="K48" s="43">
        <v>109581078</v>
      </c>
      <c r="L48" s="54">
        <v>0</v>
      </c>
      <c r="M48" s="43">
        <v>0</v>
      </c>
      <c r="N48" s="73">
        <f t="shared" si="0"/>
        <v>8.2608695652173908E-2</v>
      </c>
    </row>
    <row r="49" spans="1:14" x14ac:dyDescent="0.3">
      <c r="A49" s="54">
        <v>48</v>
      </c>
      <c r="B49" s="57" t="s">
        <v>342</v>
      </c>
      <c r="C49" s="57" t="s">
        <v>342</v>
      </c>
      <c r="D49" s="54">
        <f>VLOOKUP(C49,Days_Since_100!H:I,2,FALSE)</f>
        <v>100</v>
      </c>
      <c r="E49" s="58">
        <f ca="1">OFFSET(CumulativeConfirmed!A49,-A49,MATCH(Country_Data!D49,CumulativeConfirmed!B49:BT49,0))</f>
        <v>43908</v>
      </c>
      <c r="F49" s="43">
        <f>MAX(CumulativeConfirmed!49:49)</f>
        <v>135</v>
      </c>
      <c r="G49" s="43">
        <f>MAX(CumulativeRecovered!49:49)</f>
        <v>26</v>
      </c>
      <c r="H49" s="43">
        <f>MAX(CumulativeDead!49:49)</f>
        <v>2</v>
      </c>
      <c r="K49" s="43">
        <v>23816775</v>
      </c>
      <c r="L49" s="54">
        <v>0</v>
      </c>
      <c r="M49" s="43">
        <v>0</v>
      </c>
      <c r="N49" s="73">
        <f t="shared" si="0"/>
        <v>1.4814814814814815E-2</v>
      </c>
    </row>
    <row r="50" spans="1:14" x14ac:dyDescent="0.3">
      <c r="A50" s="54">
        <v>49</v>
      </c>
      <c r="B50" s="57" t="s">
        <v>343</v>
      </c>
      <c r="C50" s="57" t="s">
        <v>343</v>
      </c>
      <c r="D50" s="54" t="e">
        <f>VLOOKUP(C50,Days_Since_100!H:I,2,FALSE)</f>
        <v>#N/A</v>
      </c>
      <c r="E50" s="58" t="e">
        <f ca="1">OFFSET(CumulativeConfirmed!A50,-A50,MATCH(Country_Data!D50,CumulativeConfirmed!B50:BT50,0))</f>
        <v>#N/A</v>
      </c>
      <c r="F50" s="43">
        <f>MAX(CumulativeConfirmed!50:50)</f>
        <v>91</v>
      </c>
      <c r="G50" s="43">
        <f>MAX(CumulativeRecovered!50:50)</f>
        <v>16</v>
      </c>
      <c r="H50" s="43">
        <f>MAX(CumulativeDead!50:50)</f>
        <v>0</v>
      </c>
      <c r="K50" s="43">
        <v>97338579</v>
      </c>
      <c r="L50" s="54" t="s">
        <v>518</v>
      </c>
      <c r="M50" s="43" t="e">
        <v>#VALUE!</v>
      </c>
      <c r="N50" s="73">
        <f t="shared" si="0"/>
        <v>0</v>
      </c>
    </row>
    <row r="51" spans="1:14" x14ac:dyDescent="0.3">
      <c r="A51" s="54">
        <v>50</v>
      </c>
      <c r="B51" s="57" t="s">
        <v>344</v>
      </c>
      <c r="C51" s="57" t="s">
        <v>344</v>
      </c>
      <c r="D51" s="54">
        <f>VLOOKUP(C51,Days_Since_100!H:I,2,FALSE)</f>
        <v>114</v>
      </c>
      <c r="E51" s="58">
        <f ca="1">OFFSET(CumulativeConfirmed!A51,-A51,MATCH(Country_Data!D51,CumulativeConfirmed!B51:BT51,0))</f>
        <v>43907</v>
      </c>
      <c r="F51" s="43">
        <f>MAX(CumulativeConfirmed!51:51)</f>
        <v>253</v>
      </c>
      <c r="G51" s="43">
        <f>MAX(CumulativeRecovered!51:51)</f>
        <v>9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3">
        <f t="shared" si="0"/>
        <v>3.952569169960474E-3</v>
      </c>
    </row>
    <row r="52" spans="1:14" x14ac:dyDescent="0.3">
      <c r="A52" s="54">
        <v>51</v>
      </c>
      <c r="B52" s="57" t="s">
        <v>124</v>
      </c>
      <c r="C52" s="57" t="s">
        <v>124</v>
      </c>
      <c r="D52" s="54">
        <f>VLOOKUP(C52,Days_Since_100!H:I,2,FALSE)</f>
        <v>155</v>
      </c>
      <c r="E52" s="58">
        <f ca="1">OFFSET(CumulativeConfirmed!A52,-A52,MATCH(Country_Data!D52,CumulativeConfirmed!B52:BT52,0))</f>
        <v>43906</v>
      </c>
      <c r="F52" s="43">
        <f>MAX(CumulativeConfirmed!52:52)</f>
        <v>434</v>
      </c>
      <c r="G52" s="43">
        <f>MAX(CumulativeRecovered!52:52)</f>
        <v>6</v>
      </c>
      <c r="H52" s="43">
        <f>MAX(CumulativeDead!52:52)</f>
        <v>0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3">
        <f t="shared" si="0"/>
        <v>0</v>
      </c>
    </row>
    <row r="53" spans="1:14" x14ac:dyDescent="0.3">
      <c r="A53" s="54">
        <v>52</v>
      </c>
      <c r="B53" s="57" t="s">
        <v>233</v>
      </c>
      <c r="C53" s="57" t="s">
        <v>233</v>
      </c>
      <c r="D53" s="54" t="e">
        <f>VLOOKUP(C53,Days_Since_100!H:I,2,FALSE)</f>
        <v>#N/A</v>
      </c>
      <c r="E53" s="58" t="e">
        <f ca="1">OFFSET(CumulativeConfirmed!A53,-A53,MATCH(Country_Data!D53,CumulativeConfirmed!B53:BT53,0))</f>
        <v>#N/A</v>
      </c>
      <c r="F53" s="43">
        <f>MAX(CumulativeConfirmed!53:53)</f>
        <v>78</v>
      </c>
      <c r="G53" s="43">
        <f>MAX(CumulativeRecovered!53:53)</f>
        <v>1</v>
      </c>
      <c r="H53" s="43">
        <f>MAX(CumulativeDead!53:53)</f>
        <v>0</v>
      </c>
      <c r="K53" s="43">
        <v>437479</v>
      </c>
      <c r="L53" s="54" t="s">
        <v>518</v>
      </c>
      <c r="M53" s="43" t="e">
        <v>#VALUE!</v>
      </c>
      <c r="N53" s="73">
        <f t="shared" si="0"/>
        <v>0</v>
      </c>
    </row>
    <row r="54" spans="1:14" x14ac:dyDescent="0.3">
      <c r="A54" s="54">
        <v>53</v>
      </c>
      <c r="B54" s="57" t="s">
        <v>161</v>
      </c>
      <c r="C54" s="57" t="s">
        <v>161</v>
      </c>
      <c r="D54" s="54">
        <f>VLOOKUP(C54,Days_Since_100!H:I,2,FALSE)</f>
        <v>103</v>
      </c>
      <c r="E54" s="58">
        <f ca="1">OFFSET(CumulativeConfirmed!A54,-A54,MATCH(Country_Data!D54,CumulativeConfirmed!B54:BT54,0))</f>
        <v>43909</v>
      </c>
      <c r="F54" s="43">
        <f>MAX(CumulativeConfirmed!54:54)</f>
        <v>135</v>
      </c>
      <c r="G54" s="43">
        <f>MAX(CumulativeRecovered!54:54)</f>
        <v>1</v>
      </c>
      <c r="H54" s="43">
        <f>MAX(CumulativeDead!54:54)</f>
        <v>1</v>
      </c>
      <c r="K54" s="43">
        <v>8737371</v>
      </c>
      <c r="L54" s="54" t="s">
        <v>518</v>
      </c>
      <c r="M54" s="43" t="e">
        <v>#VALUE!</v>
      </c>
      <c r="N54" s="73">
        <f t="shared" si="0"/>
        <v>7.4074074074074077E-3</v>
      </c>
    </row>
    <row r="55" spans="1:14" x14ac:dyDescent="0.3">
      <c r="A55" s="54">
        <v>54</v>
      </c>
      <c r="B55" s="57" t="s">
        <v>99</v>
      </c>
      <c r="C55" s="57" t="s">
        <v>99</v>
      </c>
      <c r="D55" s="54">
        <f>VLOOKUP(C55,Days_Since_100!H:I,2,FALSE)</f>
        <v>140</v>
      </c>
      <c r="E55" s="58">
        <f ca="1">OFFSET(CumulativeConfirmed!A55,-A55,MATCH(Country_Data!D55,CumulativeConfirmed!B55:BT55,0))</f>
        <v>43907</v>
      </c>
      <c r="F55" s="43">
        <f>MAX(CumulativeConfirmed!55:55)</f>
        <v>484</v>
      </c>
      <c r="G55" s="43">
        <f>MAX(CumulativeRecovered!55:55)</f>
        <v>0</v>
      </c>
      <c r="H55" s="43">
        <f>MAX(CumulativeDead!55:55)</f>
        <v>4</v>
      </c>
      <c r="K55" s="43">
        <v>625978</v>
      </c>
      <c r="L55" s="54">
        <v>24.8</v>
      </c>
      <c r="M55" s="43">
        <v>155.24254400000001</v>
      </c>
      <c r="N55" s="73">
        <f t="shared" si="0"/>
        <v>8.2644628099173556E-3</v>
      </c>
    </row>
    <row r="56" spans="1:14" x14ac:dyDescent="0.3">
      <c r="A56" s="54">
        <v>55</v>
      </c>
      <c r="B56" s="57" t="s">
        <v>230</v>
      </c>
      <c r="C56" s="57" t="s">
        <v>230</v>
      </c>
      <c r="D56" s="54" t="e">
        <f>VLOOKUP(C56,Days_Since_100!H:I,2,FALSE)</f>
        <v>#N/A</v>
      </c>
      <c r="E56" s="58" t="e">
        <f ca="1">OFFSET(CumulativeConfirmed!A56,-A56,MATCH(Country_Data!D56,CumulativeConfirmed!B56:BT56,0))</f>
        <v>#N/A</v>
      </c>
      <c r="F56" s="43">
        <f>MAX(CumulativeConfirmed!56:56)</f>
        <v>70</v>
      </c>
      <c r="G56" s="43">
        <f>MAX(CumulativeRecovered!56:56)</f>
        <v>0</v>
      </c>
      <c r="H56" s="43">
        <f>MAX(CumulativeDead!56:56)</f>
        <v>2</v>
      </c>
      <c r="K56" s="43">
        <v>2877797</v>
      </c>
      <c r="L56" s="54" t="s">
        <v>518</v>
      </c>
      <c r="M56" s="43" t="e">
        <v>#VALUE!</v>
      </c>
      <c r="N56" s="73">
        <f t="shared" si="0"/>
        <v>2.8571428571428571E-2</v>
      </c>
    </row>
    <row r="57" spans="1:14" x14ac:dyDescent="0.3">
      <c r="A57" s="54">
        <v>56</v>
      </c>
      <c r="B57" s="57" t="s">
        <v>76</v>
      </c>
      <c r="C57" s="57" t="s">
        <v>76</v>
      </c>
      <c r="D57" s="54">
        <f>VLOOKUP(C57,Days_Since_100!H:I,2,FALSE)</f>
        <v>105</v>
      </c>
      <c r="E57" s="58">
        <f ca="1">OFFSET(CumulativeConfirmed!A57,-A57,MATCH(Country_Data!D57,CumulativeConfirmed!B57:BT57,0))</f>
        <v>43909</v>
      </c>
      <c r="F57" s="43">
        <f>MAX(CumulativeConfirmed!57:57)</f>
        <v>128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3">
        <f t="shared" si="0"/>
        <v>7.8125E-3</v>
      </c>
    </row>
    <row r="58" spans="1:14" x14ac:dyDescent="0.3">
      <c r="A58" s="54">
        <v>57</v>
      </c>
      <c r="B58" s="57" t="s">
        <v>162</v>
      </c>
      <c r="C58" s="57" t="s">
        <v>162</v>
      </c>
      <c r="D58" s="54">
        <f>VLOOKUP(C58,Days_Since_100!H:I,2,FALSE)</f>
        <v>105</v>
      </c>
      <c r="E58" s="58">
        <f ca="1">OFFSET(CumulativeConfirmed!A58,-A58,MATCH(Country_Data!D58,CumulativeConfirmed!B58:BT58,0))</f>
        <v>43908</v>
      </c>
      <c r="F58" s="43">
        <f>MAX(CumulativeConfirmed!58:58)</f>
        <v>137</v>
      </c>
      <c r="G58" s="43">
        <f>MAX(CumulativeRecovered!58:58)</f>
        <v>0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3">
        <f t="shared" si="0"/>
        <v>7.2992700729927005E-3</v>
      </c>
    </row>
    <row r="59" spans="1:14" x14ac:dyDescent="0.3">
      <c r="A59" s="54">
        <v>58</v>
      </c>
      <c r="B59" s="57" t="s">
        <v>123</v>
      </c>
      <c r="C59" s="57" t="s">
        <v>123</v>
      </c>
      <c r="D59" s="54">
        <f>VLOOKUP(C59,Days_Since_100!H:I,2,FALSE)</f>
        <v>128</v>
      </c>
      <c r="E59" s="58">
        <f ca="1">OFFSET(CumulativeConfirmed!A59,-A59,MATCH(Country_Data!D59,CumulativeConfirmed!B59:BT59,0))</f>
        <v>43910</v>
      </c>
      <c r="F59" s="43">
        <f>MAX(CumulativeConfirmed!59:59)</f>
        <v>128</v>
      </c>
      <c r="G59" s="43">
        <f>MAX(CumulativeRecovered!59:59)</f>
        <v>3</v>
      </c>
      <c r="H59" s="43">
        <f>MAX(CumulativeDead!59:59)</f>
        <v>3</v>
      </c>
      <c r="K59" s="43">
        <v>45195774</v>
      </c>
      <c r="L59" s="54" t="s">
        <v>518</v>
      </c>
      <c r="M59" s="43" t="e">
        <v>#VALUE!</v>
      </c>
      <c r="N59" s="73">
        <f t="shared" si="0"/>
        <v>2.34375E-2</v>
      </c>
    </row>
    <row r="60" spans="1:14" x14ac:dyDescent="0.3">
      <c r="A60" s="54">
        <v>59</v>
      </c>
      <c r="B60" s="57" t="s">
        <v>80</v>
      </c>
      <c r="C60" s="57" t="s">
        <v>80</v>
      </c>
      <c r="D60" s="54">
        <f>VLOOKUP(C60,Days_Since_100!H:I,2,FALSE)</f>
        <v>136</v>
      </c>
      <c r="E60" s="58">
        <f ca="1">OFFSET(CumulativeConfirmed!A60,-A60,MATCH(Country_Data!D60,CumulativeConfirmed!B60:BT60,0))</f>
        <v>43906</v>
      </c>
      <c r="F60" s="43">
        <f>MAX(CumulativeConfirmed!60:60)</f>
        <v>501</v>
      </c>
      <c r="G60" s="43">
        <f>MAX(CumulativeRecovered!60:60)</f>
        <v>13</v>
      </c>
      <c r="H60" s="43">
        <f>MAX(CumulativeDead!60:60)</f>
        <v>3</v>
      </c>
      <c r="K60" s="43">
        <v>220892340</v>
      </c>
      <c r="L60" s="54">
        <v>0</v>
      </c>
      <c r="M60" s="43">
        <v>0</v>
      </c>
      <c r="N60" s="73">
        <f t="shared" si="0"/>
        <v>5.9880239520958087E-3</v>
      </c>
    </row>
    <row r="61" spans="1:14" x14ac:dyDescent="0.3">
      <c r="A61" s="54">
        <v>60</v>
      </c>
      <c r="B61" s="57" t="s">
        <v>160</v>
      </c>
      <c r="C61" s="57" t="s">
        <v>160</v>
      </c>
      <c r="D61" s="54">
        <f>VLOOKUP(C61,Days_Since_100!H:I,2,FALSE)</f>
        <v>117</v>
      </c>
      <c r="E61" s="58">
        <f ca="1">OFFSET(CumulativeConfirmed!A61,-A61,MATCH(Country_Data!D61,CumulativeConfirmed!B61:BT61,0))</f>
        <v>43907</v>
      </c>
      <c r="F61" s="43">
        <f>MAX(CumulativeConfirmed!61:61)</f>
        <v>234</v>
      </c>
      <c r="G61" s="43">
        <f>MAX(CumulativeRecovered!61:61)</f>
        <v>1</v>
      </c>
      <c r="H61" s="43">
        <f>MAX(CumulativeDead!61:61)</f>
        <v>3</v>
      </c>
      <c r="K61" s="43">
        <v>32971854</v>
      </c>
      <c r="L61" s="54">
        <v>0</v>
      </c>
      <c r="M61" s="43">
        <v>0</v>
      </c>
      <c r="N61" s="73">
        <f t="shared" si="0"/>
        <v>1.282051282051282E-2</v>
      </c>
    </row>
    <row r="62" spans="1:14" x14ac:dyDescent="0.3">
      <c r="A62" s="54">
        <v>61</v>
      </c>
      <c r="B62" s="57" t="s">
        <v>91</v>
      </c>
      <c r="C62" s="57" t="s">
        <v>91</v>
      </c>
      <c r="D62" s="54" t="e">
        <f>VLOOKUP(C62,Days_Since_100!H:I,2,FALSE)</f>
        <v>#N/A</v>
      </c>
      <c r="E62" s="58" t="e">
        <f ca="1">OFFSET(CumulativeConfirmed!A62,-A62,MATCH(Country_Data!D62,CumulativeConfirmed!B62:BT62,0))</f>
        <v>#N/A</v>
      </c>
      <c r="F62" s="43">
        <f>MAX(CumulativeConfirmed!62:62)</f>
        <v>69</v>
      </c>
      <c r="G62" s="43">
        <f>MAX(CumulativeRecovered!62:62)</f>
        <v>5</v>
      </c>
      <c r="H62" s="43">
        <f>MAX(CumulativeDead!62:62)</f>
        <v>0</v>
      </c>
      <c r="K62" s="43">
        <v>9449323</v>
      </c>
      <c r="L62" s="54" t="s">
        <v>518</v>
      </c>
      <c r="M62" s="43" t="e">
        <v>#VALUE!</v>
      </c>
      <c r="N62" s="73">
        <f t="shared" si="0"/>
        <v>0</v>
      </c>
    </row>
    <row r="63" spans="1:14" x14ac:dyDescent="0.3">
      <c r="A63" s="54">
        <v>62</v>
      </c>
      <c r="B63" s="57" t="s">
        <v>283</v>
      </c>
      <c r="C63" s="57" t="s">
        <v>283</v>
      </c>
      <c r="D63" s="54">
        <f>VLOOKUP(C63,Days_Since_100!H:I,2,FALSE)</f>
        <v>109</v>
      </c>
      <c r="E63" s="58">
        <f ca="1">OFFSET(CumulativeConfirmed!A63,-A63,MATCH(Country_Data!D63,CumulativeConfirmed!B63:BT63,0))</f>
        <v>43909</v>
      </c>
      <c r="F63" s="43">
        <f>MAX(CumulativeConfirmed!63:63)</f>
        <v>137</v>
      </c>
      <c r="G63" s="43">
        <f>MAX(CumulativeRecovered!63:63)</f>
        <v>0</v>
      </c>
      <c r="H63" s="43">
        <f>MAX(CumulativeDead!63:63)</f>
        <v>1</v>
      </c>
      <c r="K63" s="43">
        <v>4314767</v>
      </c>
      <c r="L63" s="54" t="s">
        <v>518</v>
      </c>
      <c r="M63" s="43" t="e">
        <v>#VALUE!</v>
      </c>
      <c r="N63" s="73">
        <f t="shared" si="0"/>
        <v>7.2992700729927005E-3</v>
      </c>
    </row>
    <row r="64" spans="1:14" x14ac:dyDescent="0.3">
      <c r="A64" s="54">
        <v>63</v>
      </c>
      <c r="B64" s="57" t="s">
        <v>75</v>
      </c>
      <c r="C64" s="57" t="s">
        <v>75</v>
      </c>
      <c r="D64" s="54" t="e">
        <f>VLOOKUP(C64,Days_Since_100!H:I,2,FALSE)</f>
        <v>#N/A</v>
      </c>
      <c r="E64" s="58" t="e">
        <f ca="1">OFFSET(CumulativeConfirmed!A64,-A64,MATCH(Country_Data!D64,CumulativeConfirmed!B64:BT64,0))</f>
        <v>#N/A</v>
      </c>
      <c r="F64" s="43">
        <f>MAX(CumulativeConfirmed!64:64)</f>
        <v>90</v>
      </c>
      <c r="G64" s="43">
        <f>MAX(CumulativeRecovered!64:64)</f>
        <v>32</v>
      </c>
      <c r="H64" s="43">
        <f>MAX(CumulativeDead!64:64)</f>
        <v>11</v>
      </c>
      <c r="K64" s="43">
        <v>43851044</v>
      </c>
      <c r="L64" s="54" t="s">
        <v>518</v>
      </c>
      <c r="M64" s="43" t="e">
        <v>#VALUE!</v>
      </c>
      <c r="N64" s="73">
        <f t="shared" si="0"/>
        <v>0.12222222222222222</v>
      </c>
    </row>
    <row r="65" spans="1:14" x14ac:dyDescent="0.3">
      <c r="A65" s="54">
        <v>64</v>
      </c>
      <c r="B65" s="57" t="s">
        <v>82</v>
      </c>
      <c r="C65" s="57" t="s">
        <v>82</v>
      </c>
      <c r="D65" s="54" t="e">
        <f>VLOOKUP(C65,Days_Since_100!H:I,2,FALSE)</f>
        <v>#N/A</v>
      </c>
      <c r="E65" s="58" t="e">
        <f ca="1">OFFSET(CumulativeConfirmed!A65,-A65,MATCH(Country_Data!D65,CumulativeConfirmed!B65:BT65,0))</f>
        <v>#N/A</v>
      </c>
      <c r="F65" s="43">
        <f>MAX(CumulativeConfirmed!65:65)</f>
        <v>43</v>
      </c>
      <c r="G65" s="43">
        <f>MAX(CumulativeRecovered!65:65)</f>
        <v>1</v>
      </c>
      <c r="H65" s="43">
        <f>MAX(CumulativeDead!65:65)</f>
        <v>0</v>
      </c>
      <c r="K65" s="43">
        <v>3989167</v>
      </c>
      <c r="L65" s="54" t="s">
        <v>518</v>
      </c>
      <c r="M65" s="43" t="e">
        <v>#VALUE!</v>
      </c>
      <c r="N65" s="73">
        <f t="shared" si="0"/>
        <v>0</v>
      </c>
    </row>
    <row r="66" spans="1:14" x14ac:dyDescent="0.3">
      <c r="A66" s="54">
        <v>65</v>
      </c>
      <c r="B66" s="57" t="s">
        <v>145</v>
      </c>
      <c r="C66" s="57" t="s">
        <v>145</v>
      </c>
      <c r="D66" s="54">
        <f>VLOOKUP(C66,Days_Since_100!H:I,2,FALSE)</f>
        <v>116</v>
      </c>
      <c r="E66" s="58">
        <f ca="1">OFFSET(CumulativeConfirmed!A66,-A66,MATCH(Country_Data!D66,CumulativeConfirmed!B66:BT66,0))</f>
        <v>43908</v>
      </c>
      <c r="F66" s="43">
        <f>MAX(CumulativeConfirmed!66:66)</f>
        <v>202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3">
        <f t="shared" si="0"/>
        <v>0</v>
      </c>
    </row>
    <row r="67" spans="1:14" x14ac:dyDescent="0.3">
      <c r="A67" s="54">
        <v>66</v>
      </c>
      <c r="B67" s="57" t="s">
        <v>199</v>
      </c>
      <c r="C67" s="57" t="s">
        <v>199</v>
      </c>
      <c r="D67" s="54">
        <f>VLOOKUP(C67,Days_Since_100!H:I,2,FALSE)</f>
        <v>127</v>
      </c>
      <c r="E67" s="58">
        <f ca="1">OFFSET(CumulativeConfirmed!A67,-A67,MATCH(Country_Data!D67,CumulativeConfirmed!B67:BT67,0))</f>
        <v>43910</v>
      </c>
      <c r="F67" s="43">
        <f>MAX(CumulativeConfirmed!67:67)</f>
        <v>127</v>
      </c>
      <c r="G67" s="43">
        <f>MAX(CumulativeRecovered!67:67)</f>
        <v>0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3">
        <f t="shared" ref="N67:N127" si="1">H67/F67</f>
        <v>2.3622047244094488E-2</v>
      </c>
    </row>
    <row r="68" spans="1:14" x14ac:dyDescent="0.3">
      <c r="A68" s="54">
        <v>67</v>
      </c>
      <c r="B68" s="57" t="s">
        <v>159</v>
      </c>
      <c r="C68" s="57" t="s">
        <v>159</v>
      </c>
      <c r="D68" s="54" t="e">
        <f>VLOOKUP(C68,Days_Since_100!H:I,2,FALSE)</f>
        <v>#N/A</v>
      </c>
      <c r="E68" s="58" t="e">
        <f ca="1">OFFSET(CumulativeConfirmed!A68,-A68,MATCH(Country_Data!D68,CumulativeConfirmed!B68:BT68,0))</f>
        <v>#N/A</v>
      </c>
      <c r="F68" s="43">
        <f>MAX(CumulativeConfirmed!68:68)</f>
        <v>89</v>
      </c>
      <c r="G68" s="43">
        <f>MAX(CumulativeRecovered!68:68)</f>
        <v>0</v>
      </c>
      <c r="H68" s="43">
        <f>MAX(CumulativeDead!68:68)</f>
        <v>1</v>
      </c>
      <c r="K68" s="43">
        <v>5094118</v>
      </c>
      <c r="L68" s="54" t="s">
        <v>518</v>
      </c>
      <c r="M68" s="43" t="e">
        <v>#VALUE!</v>
      </c>
      <c r="N68" s="73">
        <f t="shared" si="1"/>
        <v>1.1235955056179775E-2</v>
      </c>
    </row>
    <row r="69" spans="1:14" x14ac:dyDescent="0.3">
      <c r="A69" s="54">
        <v>68</v>
      </c>
      <c r="B69" s="57" t="s">
        <v>132</v>
      </c>
      <c r="C69" s="57" t="s">
        <v>132</v>
      </c>
      <c r="D69" s="54" t="e">
        <f>VLOOKUP(C69,Days_Since_100!H:I,2,FALSE)</f>
        <v>#N/A</v>
      </c>
      <c r="E69" s="58" t="e">
        <f ca="1">OFFSET(CumulativeConfirmed!A69,-A69,MATCH(Country_Data!D69,CumulativeConfirmed!B69:BT69,0))</f>
        <v>#N/A</v>
      </c>
      <c r="F69" s="43">
        <f>MAX(CumulativeConfirmed!69:69)</f>
        <v>85</v>
      </c>
      <c r="G69" s="43">
        <f>MAX(CumulativeRecovered!69:69)</f>
        <v>2</v>
      </c>
      <c r="H69" s="43">
        <f>MAX(CumulativeDead!69:69)</f>
        <v>3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3">
        <f t="shared" si="1"/>
        <v>3.5294117647058823E-2</v>
      </c>
    </row>
    <row r="70" spans="1:14" x14ac:dyDescent="0.3">
      <c r="A70" s="54">
        <v>69</v>
      </c>
      <c r="B70" s="57" t="s">
        <v>71</v>
      </c>
      <c r="C70" s="57" t="s">
        <v>71</v>
      </c>
      <c r="D70" s="54" t="e">
        <f>VLOOKUP(C70,Days_Since_100!H:I,2,FALSE)</f>
        <v>#N/A</v>
      </c>
      <c r="E70" s="58" t="e">
        <f ca="1">OFFSET(CumulativeConfirmed!A70,-A70,MATCH(Country_Data!D70,CumulativeConfirmed!B70:BT70,0))</f>
        <v>#N/A</v>
      </c>
      <c r="F70" s="43">
        <f>MAX(CumulativeConfirmed!70:70)</f>
        <v>48</v>
      </c>
      <c r="G70" s="43">
        <f>MAX(CumulativeRecovered!70:70)</f>
        <v>12</v>
      </c>
      <c r="H70" s="43">
        <f>MAX(CumulativeDead!70:70)</f>
        <v>0</v>
      </c>
      <c r="K70" s="43">
        <v>5106626</v>
      </c>
      <c r="L70" s="54" t="s">
        <v>518</v>
      </c>
      <c r="M70" s="43" t="e">
        <v>#VALUE!</v>
      </c>
      <c r="N70" s="73">
        <f t="shared" si="1"/>
        <v>0</v>
      </c>
    </row>
    <row r="71" spans="1:14" x14ac:dyDescent="0.3">
      <c r="A71" s="54">
        <v>70</v>
      </c>
      <c r="B71" s="57" t="s">
        <v>103</v>
      </c>
      <c r="C71" s="57" t="s">
        <v>103</v>
      </c>
      <c r="D71" s="54">
        <f>VLOOKUP(C71,Days_Since_100!H:I,2,FALSE)</f>
        <v>111</v>
      </c>
      <c r="E71" s="58">
        <f ca="1">OFFSET(CumulativeConfirmed!A71,-A71,MATCH(Country_Data!D71,CumulativeConfirmed!B71:BT71,0))</f>
        <v>43908</v>
      </c>
      <c r="F71" s="43">
        <f>MAX(CumulativeConfirmed!71:71)</f>
        <v>367</v>
      </c>
      <c r="G71" s="43">
        <f>MAX(CumulativeRecovered!71:71)</f>
        <v>0</v>
      </c>
      <c r="H71" s="43">
        <f>MAX(CumulativeDead!71:71)</f>
        <v>5</v>
      </c>
      <c r="K71" s="43">
        <v>17643054</v>
      </c>
      <c r="L71" s="54">
        <v>0</v>
      </c>
      <c r="M71" s="43">
        <v>0</v>
      </c>
      <c r="N71" s="73">
        <f t="shared" si="1"/>
        <v>1.3623978201634877E-2</v>
      </c>
    </row>
    <row r="72" spans="1:14" x14ac:dyDescent="0.3">
      <c r="A72" s="54">
        <v>71</v>
      </c>
      <c r="B72" s="57" t="s">
        <v>111</v>
      </c>
      <c r="C72" s="57" t="s">
        <v>111</v>
      </c>
      <c r="D72" s="54">
        <f>VLOOKUP(C72,Days_Since_100!H:I,2,FALSE)</f>
        <v>111</v>
      </c>
      <c r="E72" s="58">
        <f ca="1">OFFSET(CumulativeConfirmed!A72,-A72,MATCH(Country_Data!D72,CumulativeConfirmed!B72:BT72,0))</f>
        <v>43910</v>
      </c>
      <c r="F72" s="43">
        <f>MAX(CumulativeConfirmed!72:72)</f>
        <v>111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3">
        <f t="shared" si="1"/>
        <v>0</v>
      </c>
    </row>
    <row r="73" spans="1:14" x14ac:dyDescent="0.3">
      <c r="A73" s="54">
        <v>72</v>
      </c>
      <c r="B73" s="57" t="s">
        <v>138</v>
      </c>
      <c r="C73" s="57" t="s">
        <v>138</v>
      </c>
      <c r="D73" s="54" t="e">
        <f>VLOOKUP(C73,Days_Since_100!H:I,2,FALSE)</f>
        <v>#N/A</v>
      </c>
      <c r="E73" s="58" t="e">
        <f ca="1">OFFSET(CumulativeConfirmed!A73,-A73,MATCH(Country_Data!D73,CumulativeConfirmed!B73:BT73,0))</f>
        <v>#N/A</v>
      </c>
      <c r="F73" s="43">
        <f>MAX(CumulativeConfirmed!73:73)</f>
        <v>54</v>
      </c>
      <c r="G73" s="43">
        <f>MAX(CumulativeRecovered!73:73)</f>
        <v>0</v>
      </c>
      <c r="H73" s="43">
        <f>MAX(CumulativeDead!73:73)</f>
        <v>1</v>
      </c>
      <c r="K73" s="43">
        <v>11818619</v>
      </c>
      <c r="L73" s="54" t="s">
        <v>518</v>
      </c>
      <c r="M73" s="43" t="e">
        <v>#VALUE!</v>
      </c>
      <c r="N73" s="73">
        <f t="shared" si="1"/>
        <v>1.8518518518518517E-2</v>
      </c>
    </row>
    <row r="74" spans="1:14" x14ac:dyDescent="0.3">
      <c r="A74" s="54">
        <v>73</v>
      </c>
      <c r="B74" s="57" t="s">
        <v>104</v>
      </c>
      <c r="C74" s="57" t="s">
        <v>104</v>
      </c>
      <c r="D74" s="54" t="e">
        <f>VLOOKUP(C74,Days_Since_100!H:I,2,FALSE)</f>
        <v>#N/A</v>
      </c>
      <c r="E74" s="58" t="e">
        <f ca="1">OFFSET(CumulativeConfirmed!A74,-A74,MATCH(Country_Data!D74,CumulativeConfirmed!B74:BT74,0))</f>
        <v>#N/A</v>
      </c>
      <c r="F74" s="43">
        <f>MAX(CumulativeConfirmed!74:74)</f>
        <v>44</v>
      </c>
      <c r="G74" s="43">
        <f>MAX(CumulativeRecovered!74:74)</f>
        <v>6</v>
      </c>
      <c r="H74" s="43">
        <f>MAX(CumulativeDead!74:74)</f>
        <v>1</v>
      </c>
      <c r="K74" s="43">
        <v>10139177</v>
      </c>
      <c r="L74" s="54" t="s">
        <v>518</v>
      </c>
      <c r="M74" s="43" t="e">
        <v>#VALUE!</v>
      </c>
      <c r="N74" s="73">
        <f t="shared" si="1"/>
        <v>2.2727272727272728E-2</v>
      </c>
    </row>
    <row r="75" spans="1:14" x14ac:dyDescent="0.3">
      <c r="A75" s="54">
        <v>74</v>
      </c>
      <c r="B75" s="57" t="s">
        <v>231</v>
      </c>
      <c r="C75" s="57" t="s">
        <v>231</v>
      </c>
      <c r="D75" s="54" t="e">
        <f>VLOOKUP(C75,Days_Since_100!H:I,2,FALSE)</f>
        <v>#N/A</v>
      </c>
      <c r="E75" s="58" t="e">
        <f ca="1">OFFSET(CumulativeConfirmed!A75,-A75,MATCH(Country_Data!D75,CumulativeConfirmed!B75:BT75,0))</f>
        <v>#N/A</v>
      </c>
      <c r="F75" s="43">
        <f>MAX(CumulativeConfirmed!75:75)</f>
        <v>67</v>
      </c>
      <c r="G75" s="43">
        <f>MAX(CumulativeRecovered!75:75)</f>
        <v>0</v>
      </c>
      <c r="H75" s="43">
        <f>MAX(CumulativeDead!75:75)</f>
        <v>0</v>
      </c>
      <c r="K75" s="43">
        <v>1207359</v>
      </c>
      <c r="L75" s="54">
        <v>11.4</v>
      </c>
      <c r="M75" s="43">
        <v>137.638926</v>
      </c>
      <c r="N75" s="73">
        <f t="shared" si="1"/>
        <v>0</v>
      </c>
    </row>
    <row r="76" spans="1:14" x14ac:dyDescent="0.3">
      <c r="A76" s="54">
        <v>75</v>
      </c>
      <c r="B76" s="57" t="s">
        <v>84</v>
      </c>
      <c r="C76" s="57" t="s">
        <v>84</v>
      </c>
      <c r="D76" s="54" t="e">
        <f>VLOOKUP(C76,Days_Since_100!H:I,2,FALSE)</f>
        <v>#N/A</v>
      </c>
      <c r="E76" s="58" t="e">
        <f ca="1">OFFSET(CumulativeConfirmed!A76,-A76,MATCH(Country_Data!D76,CumulativeConfirmed!B76:BT76,0))</f>
        <v>#N/A</v>
      </c>
      <c r="F76" s="43">
        <f>MAX(CumulativeConfirmed!76:76)</f>
        <v>67</v>
      </c>
      <c r="G76" s="43">
        <f>MAX(CumulativeRecovered!76:76)</f>
        <v>1</v>
      </c>
      <c r="H76" s="43">
        <f>MAX(CumulativeDead!76:76)</f>
        <v>0</v>
      </c>
      <c r="K76" s="43">
        <v>2083374</v>
      </c>
      <c r="L76" s="54" t="s">
        <v>518</v>
      </c>
      <c r="M76" s="43" t="e">
        <v>#VALUE!</v>
      </c>
      <c r="N76" s="73">
        <f t="shared" si="1"/>
        <v>0</v>
      </c>
    </row>
    <row r="77" spans="1:14" x14ac:dyDescent="0.3">
      <c r="A77" s="54">
        <v>76</v>
      </c>
      <c r="B77" s="57" t="s">
        <v>140</v>
      </c>
      <c r="C77" s="57" t="s">
        <v>140</v>
      </c>
      <c r="D77" s="54" t="e">
        <f>VLOOKUP(C77,Days_Since_100!H:I,2,FALSE)</f>
        <v>#N/A</v>
      </c>
      <c r="E77" s="58" t="e">
        <f ca="1">OFFSET(CumulativeConfirmed!A77,-A77,MATCH(Country_Data!D77,CumulativeConfirmed!B77:BT77,0))</f>
        <v>#N/A</v>
      </c>
      <c r="F77" s="43">
        <f>MAX(CumulativeConfirmed!77:77)</f>
        <v>89</v>
      </c>
      <c r="G77" s="43">
        <f>MAX(CumulativeRecovered!77:77)</f>
        <v>2</v>
      </c>
      <c r="H77" s="43">
        <f>MAX(CumulativeDead!77:77)</f>
        <v>0</v>
      </c>
      <c r="K77" s="43">
        <v>3280819</v>
      </c>
      <c r="L77" s="54" t="s">
        <v>518</v>
      </c>
      <c r="M77" s="43" t="e">
        <v>#VALUE!</v>
      </c>
      <c r="N77" s="73">
        <f t="shared" si="1"/>
        <v>0</v>
      </c>
    </row>
    <row r="78" spans="1:14" x14ac:dyDescent="0.3">
      <c r="A78" s="54">
        <v>77</v>
      </c>
      <c r="B78" s="57" t="s">
        <v>158</v>
      </c>
      <c r="C78" s="57" t="s">
        <v>158</v>
      </c>
      <c r="D78" s="54">
        <f>VLOOKUP(C78,Days_Since_100!H:I,2,FALSE)</f>
        <v>102</v>
      </c>
      <c r="E78" s="58">
        <f ca="1">OFFSET(CumulativeConfirmed!A78,-A78,MATCH(Country_Data!D78,CumulativeConfirmed!B78:BT78,0))</f>
        <v>43909</v>
      </c>
      <c r="F78" s="43">
        <f>MAX(CumulativeConfirmed!78:78)</f>
        <v>128</v>
      </c>
      <c r="G78" s="43">
        <f>MAX(CumulativeRecovered!78:78)</f>
        <v>1</v>
      </c>
      <c r="H78" s="43">
        <f>MAX(CumulativeDead!78:78)</f>
        <v>0</v>
      </c>
      <c r="K78" s="43">
        <v>50882891</v>
      </c>
      <c r="L78" s="54" t="s">
        <v>518</v>
      </c>
      <c r="M78" s="43" t="e">
        <v>#VALUE!</v>
      </c>
      <c r="N78" s="73">
        <f t="shared" si="1"/>
        <v>0</v>
      </c>
    </row>
    <row r="79" spans="1:14" x14ac:dyDescent="0.3">
      <c r="A79" s="54">
        <v>78</v>
      </c>
      <c r="B79" s="57" t="s">
        <v>177</v>
      </c>
      <c r="C79" s="57" t="s">
        <v>177</v>
      </c>
      <c r="D79" s="54" t="e">
        <f>VLOOKUP(C79,Days_Since_100!H:I,2,FALSE)</f>
        <v>#N/A</v>
      </c>
      <c r="E79" s="58" t="e">
        <f ca="1">OFFSET(CumulativeConfirmed!A79,-A79,MATCH(Country_Data!D79,CumulativeConfirmed!B79:BT79,0))</f>
        <v>#N/A</v>
      </c>
      <c r="F79" s="43">
        <f>MAX(CumulativeConfirmed!79:79)</f>
        <v>64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518</v>
      </c>
      <c r="M79" s="43" t="e">
        <v>#VALUE!</v>
      </c>
      <c r="N79" s="73">
        <f t="shared" si="1"/>
        <v>0</v>
      </c>
    </row>
    <row r="80" spans="1:14" x14ac:dyDescent="0.3">
      <c r="A80" s="54">
        <v>79</v>
      </c>
      <c r="B80" s="57" t="s">
        <v>94</v>
      </c>
      <c r="C80" s="57" t="s">
        <v>94</v>
      </c>
      <c r="D80" s="54">
        <f>VLOOKUP(C80,Days_Since_100!H:I,2,FALSE)</f>
        <v>118</v>
      </c>
      <c r="E80" s="58">
        <f ca="1">OFFSET(CumulativeConfirmed!A80,-A80,MATCH(Country_Data!D80,CumulativeConfirmed!B80:BT80,0))</f>
        <v>43909</v>
      </c>
      <c r="F80" s="43">
        <f>MAX(CumulativeConfirmed!80:80)</f>
        <v>164</v>
      </c>
      <c r="G80" s="43">
        <f>MAX(CumulativeRecovered!80:80)</f>
        <v>4</v>
      </c>
      <c r="H80" s="43">
        <f>MAX(CumulativeDead!80:80)</f>
        <v>1</v>
      </c>
      <c r="K80" s="43">
        <v>128932753</v>
      </c>
      <c r="L80" s="54" t="s">
        <v>518</v>
      </c>
      <c r="M80" s="43" t="e">
        <v>#VALUE!</v>
      </c>
      <c r="N80" s="73">
        <f t="shared" si="1"/>
        <v>6.0975609756097563E-3</v>
      </c>
    </row>
    <row r="81" spans="1:14" x14ac:dyDescent="0.3">
      <c r="A81" s="54">
        <v>80</v>
      </c>
      <c r="B81" s="57" t="s">
        <v>114</v>
      </c>
      <c r="C81" s="57" t="s">
        <v>114</v>
      </c>
      <c r="D81" s="54" t="e">
        <f>VLOOKUP(C81,Days_Since_100!H:I,2,FALSE)</f>
        <v>#N/A</v>
      </c>
      <c r="E81" s="58" t="e">
        <f ca="1">OFFSET(CumulativeConfirmed!A81,-A81,MATCH(Country_Data!D81,CumulativeConfirmed!B81:BT81,0))</f>
        <v>#N/A</v>
      </c>
      <c r="F81" s="43">
        <f>MAX(CumulativeConfirmed!81:81)</f>
        <v>38</v>
      </c>
      <c r="G81" s="43">
        <f>MAX(CumulativeRecovered!81:81)</f>
        <v>2</v>
      </c>
      <c r="H81" s="43">
        <f>MAX(CumulativeDead!81:81)</f>
        <v>0</v>
      </c>
      <c r="K81" s="43">
        <v>16743927</v>
      </c>
      <c r="L81" s="54" t="s">
        <v>518</v>
      </c>
      <c r="M81" s="43" t="e">
        <v>#VALUE!</v>
      </c>
      <c r="N81" s="73">
        <f t="shared" si="1"/>
        <v>0</v>
      </c>
    </row>
    <row r="82" spans="1:14" x14ac:dyDescent="0.3">
      <c r="A82" s="54">
        <v>81</v>
      </c>
      <c r="B82" s="57" t="s">
        <v>200</v>
      </c>
      <c r="C82" s="57" t="s">
        <v>200</v>
      </c>
      <c r="D82" s="54" t="e">
        <f>VLOOKUP(C82,Days_Since_100!H:I,2,FALSE)</f>
        <v>#N/A</v>
      </c>
      <c r="E82" s="58" t="e">
        <f ca="1">OFFSET(CumulativeConfirmed!A82,-A82,MATCH(Country_Data!D82,CumulativeConfirmed!B82:BT82,0))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518</v>
      </c>
      <c r="M82" s="43" t="e">
        <v>#VALUE!</v>
      </c>
      <c r="N82" s="73">
        <f t="shared" si="1"/>
        <v>0</v>
      </c>
    </row>
    <row r="83" spans="1:14" x14ac:dyDescent="0.3">
      <c r="A83" s="54">
        <v>82</v>
      </c>
      <c r="B83" s="57" t="s">
        <v>105</v>
      </c>
      <c r="C83" s="57" t="s">
        <v>105</v>
      </c>
      <c r="D83" s="54">
        <f>VLOOKUP(C83,Days_Since_100!H:I,2,FALSE)</f>
        <v>115</v>
      </c>
      <c r="E83" s="58">
        <f ca="1">OFFSET(CumulativeConfirmed!A83,-A83,MATCH(Country_Data!D83,CumulativeConfirmed!B83:BT83,0))</f>
        <v>43909</v>
      </c>
      <c r="F83" s="43">
        <f>MAX(CumulativeConfirmed!83:83)</f>
        <v>136</v>
      </c>
      <c r="G83" s="43">
        <f>MAX(CumulativeRecovered!83:83)</f>
        <v>1</v>
      </c>
      <c r="H83" s="43">
        <f>MAX(CumulativeDead!83:83)</f>
        <v>0</v>
      </c>
      <c r="K83" s="43">
        <v>2963243</v>
      </c>
      <c r="L83" s="54" t="s">
        <v>518</v>
      </c>
      <c r="M83" s="43" t="e">
        <v>#VALUE!</v>
      </c>
      <c r="N83" s="73">
        <f t="shared" si="1"/>
        <v>0</v>
      </c>
    </row>
    <row r="84" spans="1:14" x14ac:dyDescent="0.3">
      <c r="A84" s="54">
        <v>83</v>
      </c>
      <c r="B84" s="57" t="s">
        <v>353</v>
      </c>
      <c r="C84" s="57" t="s">
        <v>353</v>
      </c>
      <c r="D84" s="54" t="e">
        <f>VLOOKUP(C84,Days_Since_100!H:I,2,FALSE)</f>
        <v>#N/A</v>
      </c>
      <c r="E84" s="58" t="e">
        <f ca="1">OFFSET(CumulativeConfirmed!A84,-A84,MATCH(Country_Data!D84,CumulativeConfirmed!B84:BT84,0))</f>
        <v>#N/A</v>
      </c>
      <c r="F84" s="43">
        <f>MAX(CumulativeConfirmed!84:84)</f>
        <v>16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518</v>
      </c>
      <c r="M84" s="43" t="e">
        <v>#VALUE!</v>
      </c>
      <c r="N84" s="73">
        <f t="shared" si="1"/>
        <v>6.25E-2</v>
      </c>
    </row>
    <row r="85" spans="1:14" x14ac:dyDescent="0.3">
      <c r="A85" s="54">
        <v>84</v>
      </c>
      <c r="B85" s="57" t="s">
        <v>72</v>
      </c>
      <c r="C85" s="57" t="s">
        <v>72</v>
      </c>
      <c r="D85" s="54" t="e">
        <f>VLOOKUP(C85,Days_Since_100!H:I,2,FALSE)</f>
        <v>#N/A</v>
      </c>
      <c r="E85" s="58" t="e">
        <f ca="1">OFFSET(CumulativeConfirmed!A85,-A85,MATCH(Country_Data!D85,CumulativeConfirmed!B85:BT85,0))</f>
        <v>#N/A</v>
      </c>
      <c r="F85" s="43">
        <f>MAX(CumulativeConfirmed!85:85)</f>
        <v>24</v>
      </c>
      <c r="G85" s="43">
        <f>MAX(CumulativeRecovered!85:85)</f>
        <v>1</v>
      </c>
      <c r="H85" s="43">
        <f>MAX(CumulativeDead!85:85)</f>
        <v>0</v>
      </c>
      <c r="K85" s="43">
        <v>38928346</v>
      </c>
      <c r="L85" s="54" t="s">
        <v>518</v>
      </c>
      <c r="M85" s="43" t="e">
        <v>#VALUE!</v>
      </c>
      <c r="N85" s="73">
        <f t="shared" si="1"/>
        <v>0</v>
      </c>
    </row>
    <row r="86" spans="1:14" x14ac:dyDescent="0.3">
      <c r="A86" s="54">
        <v>85</v>
      </c>
      <c r="B86" s="57" t="s">
        <v>112</v>
      </c>
      <c r="C86" s="57" t="s">
        <v>112</v>
      </c>
      <c r="D86" s="54" t="e">
        <f>VLOOKUP(C86,Days_Since_100!H:I,2,FALSE)</f>
        <v>#N/A</v>
      </c>
      <c r="E86" s="58" t="e">
        <f ca="1">OFFSET(CumulativeConfirmed!A86,-A86,MATCH(Country_Data!D86,CumulativeConfirmed!B86:BT86,0))</f>
        <v>#N/A</v>
      </c>
      <c r="F86" s="43">
        <f>MAX(CumulativeConfirmed!86:86)</f>
        <v>77</v>
      </c>
      <c r="G86" s="43">
        <f>MAX(CumulativeRecovered!86:86)</f>
        <v>1</v>
      </c>
      <c r="H86" s="43">
        <f>MAX(CumulativeDead!86:86)</f>
        <v>3</v>
      </c>
      <c r="K86" s="43">
        <v>36910560</v>
      </c>
      <c r="L86" s="54" t="s">
        <v>518</v>
      </c>
      <c r="M86" s="43" t="e">
        <v>#VALUE!</v>
      </c>
      <c r="N86" s="73">
        <f t="shared" si="1"/>
        <v>3.896103896103896E-2</v>
      </c>
    </row>
    <row r="87" spans="1:14" x14ac:dyDescent="0.3">
      <c r="A87" s="54">
        <v>86</v>
      </c>
      <c r="B87" s="57" t="s">
        <v>93</v>
      </c>
      <c r="C87" s="57" t="s">
        <v>93</v>
      </c>
      <c r="D87" s="54" t="e">
        <f>VLOOKUP(C87,Days_Since_100!H:I,2,FALSE)</f>
        <v>#N/A</v>
      </c>
      <c r="E87" s="58" t="e">
        <f ca="1">OFFSET(CumulativeConfirmed!A87,-A87,MATCH(Country_Data!D87,CumulativeConfirmed!B87:BT87,0))</f>
        <v>#N/A</v>
      </c>
      <c r="F87" s="43">
        <f>MAX(CumulativeConfirmed!87:87)</f>
        <v>49</v>
      </c>
      <c r="G87" s="43">
        <f>MAX(CumulativeRecovered!87:87)</f>
        <v>1</v>
      </c>
      <c r="H87" s="43">
        <f>MAX(CumulativeDead!87:87)</f>
        <v>0</v>
      </c>
      <c r="K87" s="43">
        <v>2722289</v>
      </c>
      <c r="L87" s="54">
        <v>15.5</v>
      </c>
      <c r="M87" s="43">
        <v>421.95479499999999</v>
      </c>
      <c r="N87" s="73">
        <f t="shared" si="1"/>
        <v>0</v>
      </c>
    </row>
    <row r="88" spans="1:14" x14ac:dyDescent="0.3">
      <c r="A88" s="54">
        <v>87</v>
      </c>
      <c r="B88" s="57" t="s">
        <v>345</v>
      </c>
      <c r="C88" s="57" t="s">
        <v>345</v>
      </c>
      <c r="D88" s="54" t="e">
        <f>VLOOKUP(C88,Days_Since_100!H:I,2,FALSE)</f>
        <v>#N/A</v>
      </c>
      <c r="E88" s="58" t="e">
        <f ca="1">OFFSET(CumulativeConfirmed!A88,-A88,MATCH(Country_Data!D88,CumulativeConfirmed!B88:BT88,0))</f>
        <v>#N/A</v>
      </c>
      <c r="F88" s="43">
        <f>MAX(CumulativeConfirmed!88:88)</f>
        <v>66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518</v>
      </c>
      <c r="M88" s="43" t="e">
        <v>#VALUE!</v>
      </c>
      <c r="N88" s="73">
        <f t="shared" si="1"/>
        <v>1.5151515151515152E-2</v>
      </c>
    </row>
    <row r="89" spans="1:14" x14ac:dyDescent="0.3">
      <c r="A89" s="54">
        <v>88</v>
      </c>
      <c r="B89" s="57" t="s">
        <v>206</v>
      </c>
      <c r="C89" s="57" t="s">
        <v>206</v>
      </c>
      <c r="D89" s="54" t="e">
        <f>VLOOKUP(C89,Days_Since_100!H:I,2,FALSE)</f>
        <v>#N/A</v>
      </c>
      <c r="E89" s="58" t="e">
        <f ca="1">OFFSET(CumulativeConfirmed!A89,-A89,MATCH(Country_Data!D89,CumulativeConfirmed!B89:BT89,0))</f>
        <v>#N/A</v>
      </c>
      <c r="F89" s="43">
        <f>MAX(CumulativeConfirmed!89:89)</f>
        <v>13</v>
      </c>
      <c r="G89" s="43">
        <f>MAX(CumulativeRecovered!89:89)</f>
        <v>0</v>
      </c>
      <c r="H89" s="43">
        <f>MAX(CumulativeDead!89:89)</f>
        <v>0</v>
      </c>
      <c r="K89" s="43">
        <v>7132538</v>
      </c>
      <c r="L89" s="54" t="s">
        <v>518</v>
      </c>
      <c r="M89" s="43" t="e">
        <v>#VALUE!</v>
      </c>
      <c r="N89" s="73">
        <f t="shared" si="1"/>
        <v>0</v>
      </c>
    </row>
    <row r="90" spans="1:14" x14ac:dyDescent="0.3">
      <c r="A90" s="54">
        <v>89</v>
      </c>
      <c r="B90" s="57" t="s">
        <v>52</v>
      </c>
      <c r="C90" s="57" t="s">
        <v>52</v>
      </c>
      <c r="D90" s="54" t="e">
        <f>VLOOKUP(C90,Days_Since_100!H:I,2,FALSE)</f>
        <v>#N/A</v>
      </c>
      <c r="E90" s="58" t="e">
        <f ca="1">OFFSET(CumulativeConfirmed!A90,-A90,MATCH(Country_Data!D90,CumulativeConfirmed!B90:BT90,0))</f>
        <v>#N/A</v>
      </c>
      <c r="F90" s="43">
        <f>MAX(CumulativeConfirmed!90:90)</f>
        <v>73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518</v>
      </c>
      <c r="M90" s="43" t="e">
        <v>#VALUE!</v>
      </c>
      <c r="N90" s="73">
        <f t="shared" si="1"/>
        <v>0</v>
      </c>
    </row>
    <row r="91" spans="1:14" x14ac:dyDescent="0.3">
      <c r="A91" s="54">
        <v>90</v>
      </c>
      <c r="B91" s="57" t="s">
        <v>51</v>
      </c>
      <c r="C91" s="57" t="s">
        <v>51</v>
      </c>
      <c r="D91" s="54" t="e">
        <f>VLOOKUP(C91,Days_Since_100!H:I,2,FALSE)</f>
        <v>#N/A</v>
      </c>
      <c r="E91" s="58" t="e">
        <f ca="1">OFFSET(CumulativeConfirmed!A91,-A91,MATCH(Country_Data!D91,CumulativeConfirmed!B91:BT91,0))</f>
        <v>#N/A</v>
      </c>
      <c r="F91" s="43">
        <f>MAX(CumulativeConfirmed!91:91)</f>
        <v>51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518</v>
      </c>
      <c r="M91" s="43" t="e">
        <v>#VALUE!</v>
      </c>
      <c r="N91" s="73">
        <f t="shared" si="1"/>
        <v>0</v>
      </c>
    </row>
    <row r="92" spans="1:14" x14ac:dyDescent="0.3">
      <c r="A92" s="54">
        <v>91</v>
      </c>
      <c r="B92" s="57" t="s">
        <v>106</v>
      </c>
      <c r="C92" s="57" t="s">
        <v>106</v>
      </c>
      <c r="D92" s="54" t="e">
        <f>VLOOKUP(C92,Days_Since_100!H:I,2,FALSE)</f>
        <v>#N/A</v>
      </c>
      <c r="E92" s="58" t="e">
        <f ca="1">OFFSET(CumulativeConfirmed!A92,-A92,MATCH(Country_Data!D92,CumulativeConfirmed!B92:BT92,0))</f>
        <v>#N/A</v>
      </c>
      <c r="F92" s="43">
        <f>MAX(CumulativeConfirmed!92:92)</f>
        <v>72</v>
      </c>
      <c r="G92" s="43">
        <f>MAX(CumulativeRecovered!92:92)</f>
        <v>0</v>
      </c>
      <c r="H92" s="43">
        <f>MAX(CumulativeDead!92:92)</f>
        <v>2</v>
      </c>
      <c r="K92" s="43">
        <v>10847910</v>
      </c>
      <c r="L92" s="54" t="s">
        <v>518</v>
      </c>
      <c r="M92" s="43" t="e">
        <v>#VALUE!</v>
      </c>
      <c r="N92" s="73">
        <f t="shared" si="1"/>
        <v>2.7777777777777776E-2</v>
      </c>
    </row>
    <row r="93" spans="1:14" x14ac:dyDescent="0.3">
      <c r="A93" s="54">
        <v>92</v>
      </c>
      <c r="B93" s="57" t="s">
        <v>176</v>
      </c>
      <c r="C93" s="57" t="s">
        <v>176</v>
      </c>
      <c r="D93" s="54" t="e">
        <f>VLOOKUP(C93,Days_Since_100!H:I,2,FALSE)</f>
        <v>#N/A</v>
      </c>
      <c r="E93" s="58" t="e">
        <f ca="1">OFFSET(CumulativeConfirmed!A93,-A93,MATCH(Country_Data!D93,CumulativeConfirmed!B93:BT93,0))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518</v>
      </c>
      <c r="M93" s="43" t="e">
        <v>#VALUE!</v>
      </c>
      <c r="N93" s="73" t="e">
        <f t="shared" si="1"/>
        <v>#DIV/0!</v>
      </c>
    </row>
    <row r="94" spans="1:14" x14ac:dyDescent="0.3">
      <c r="A94" s="54">
        <v>93</v>
      </c>
      <c r="B94" s="57" t="s">
        <v>95</v>
      </c>
      <c r="C94" s="57" t="s">
        <v>95</v>
      </c>
      <c r="D94" s="54" t="e">
        <f>VLOOKUP(C94,Days_Since_100!H:I,2,FALSE)</f>
        <v>#N/A</v>
      </c>
      <c r="E94" s="58" t="e">
        <f ca="1">OFFSET(CumulativeConfirmed!A94,-A94,MATCH(Country_Data!D94,CumulativeConfirmed!B94:BT94,0))</f>
        <v>#N/A</v>
      </c>
      <c r="F94" s="43">
        <f>MAX(CumulativeConfirmed!94:94)</f>
        <v>39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518</v>
      </c>
      <c r="M94" s="43" t="e">
        <v>#VALUE!</v>
      </c>
      <c r="N94" s="73">
        <f t="shared" si="1"/>
        <v>0</v>
      </c>
    </row>
    <row r="95" spans="1:14" x14ac:dyDescent="0.3">
      <c r="A95" s="54">
        <v>94</v>
      </c>
      <c r="B95" s="57" t="s">
        <v>354</v>
      </c>
      <c r="C95" s="57" t="s">
        <v>354</v>
      </c>
      <c r="D95" s="54" t="e">
        <f>VLOOKUP(C95,Days_Since_100!H:I,2,FALSE)</f>
        <v>#N/A</v>
      </c>
      <c r="E95" s="58" t="e">
        <f ca="1">OFFSET(CumulativeConfirmed!A95,-A95,MATCH(Country_Data!D95,CumulativeConfirmed!B95:BT95,0))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518</v>
      </c>
      <c r="M95" s="43" t="e">
        <v>#N/A</v>
      </c>
      <c r="N95" s="73" t="e">
        <f t="shared" si="1"/>
        <v>#DIV/0!</v>
      </c>
    </row>
    <row r="96" spans="1:14" x14ac:dyDescent="0.3">
      <c r="A96" s="54">
        <v>95</v>
      </c>
      <c r="B96" s="57" t="s">
        <v>355</v>
      </c>
      <c r="C96" s="57" t="s">
        <v>355</v>
      </c>
      <c r="D96" s="54">
        <f>VLOOKUP(C96,Days_Since_100!H:I,2,FALSE)</f>
        <v>192</v>
      </c>
      <c r="E96" s="58">
        <f ca="1">OFFSET(CumulativeConfirmed!A96,-A96,MATCH(Country_Data!D96,CumulativeConfirmed!B96:BT96,0))</f>
        <v>43909</v>
      </c>
      <c r="F96" s="43">
        <f>MAX(CumulativeConfirmed!96:96)</f>
        <v>359</v>
      </c>
      <c r="G96" s="43">
        <f>MAX(CumulativeRecovered!96:96)</f>
        <v>0</v>
      </c>
      <c r="H96" s="43">
        <f>MAX(CumulativeDead!96:96)</f>
        <v>4</v>
      </c>
      <c r="K96" s="43">
        <v>84339067</v>
      </c>
      <c r="L96" s="54" t="s">
        <v>518</v>
      </c>
      <c r="M96" s="43" t="e">
        <v>#VALUE!</v>
      </c>
      <c r="N96" s="73">
        <f t="shared" si="1"/>
        <v>1.1142061281337047E-2</v>
      </c>
    </row>
    <row r="97" spans="1:14" x14ac:dyDescent="0.3">
      <c r="A97" s="54">
        <v>96</v>
      </c>
      <c r="B97" s="57" t="s">
        <v>410</v>
      </c>
      <c r="C97" s="57" t="s">
        <v>410</v>
      </c>
      <c r="D97" s="54" t="e">
        <f>VLOOKUP(C97,Days_Since_100!H:I,2,FALSE)</f>
        <v>#N/A</v>
      </c>
      <c r="E97" s="58" t="e">
        <f ca="1">OFFSET(CumulativeConfirmed!A97,-A97,MATCH(Country_Data!D97,CumulativeConfirmed!B97:BT97,0))</f>
        <v>#N/A</v>
      </c>
      <c r="F97" s="43">
        <f>MAX(CumulativeConfirmed!97:97)</f>
        <v>16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518</v>
      </c>
      <c r="M97" s="43" t="e">
        <v>#VALUE!</v>
      </c>
      <c r="N97" s="73">
        <f t="shared" si="1"/>
        <v>6.25E-2</v>
      </c>
    </row>
    <row r="98" spans="1:14" x14ac:dyDescent="0.3">
      <c r="A98" s="54">
        <v>97</v>
      </c>
      <c r="B98" s="57" t="s">
        <v>413</v>
      </c>
      <c r="C98" s="57" t="s">
        <v>413</v>
      </c>
      <c r="D98" s="54" t="e">
        <f>VLOOKUP(C98,Days_Since_100!H:I,2,FALSE)</f>
        <v>#N/A</v>
      </c>
      <c r="E98" s="58" t="e">
        <f ca="1">OFFSET(CumulativeConfirmed!A98,-A98,MATCH(Country_Data!D98,CumulativeConfirmed!B98:BT98,0))</f>
        <v>#N/A</v>
      </c>
      <c r="F98" s="43">
        <f>MAX(CumulativeConfirmed!98:98)</f>
        <v>49</v>
      </c>
      <c r="G98" s="43">
        <f>MAX(CumulativeRecovered!98:98)</f>
        <v>0</v>
      </c>
      <c r="H98" s="43">
        <f>MAX(CumulativeDead!98:98)</f>
        <v>3</v>
      </c>
      <c r="K98" s="43">
        <v>18776707</v>
      </c>
      <c r="L98" s="54" t="s">
        <v>518</v>
      </c>
      <c r="M98" s="43" t="e">
        <v>#VALUE!</v>
      </c>
      <c r="N98" s="73">
        <f t="shared" si="1"/>
        <v>6.1224489795918366E-2</v>
      </c>
    </row>
    <row r="99" spans="1:14" x14ac:dyDescent="0.3">
      <c r="A99" s="54">
        <v>98</v>
      </c>
      <c r="B99" s="57" t="s">
        <v>202</v>
      </c>
      <c r="C99" s="57" t="s">
        <v>202</v>
      </c>
      <c r="D99" s="54" t="e">
        <f>VLOOKUP(C99,Days_Since_100!H:I,2,FALSE)</f>
        <v>#N/A</v>
      </c>
      <c r="E99" s="58" t="e">
        <f ca="1">OFFSET(CumulativeConfirmed!A99,-A99,MATCH(Country_Data!D99,CumulativeConfirmed!B99:BT99,0))</f>
        <v>#N/A</v>
      </c>
      <c r="F99" s="43">
        <f>MAX(CumulativeConfirmed!99:99)</f>
        <v>20</v>
      </c>
      <c r="G99" s="43">
        <f>MAX(CumulativeRecovered!99:99)</f>
        <v>3</v>
      </c>
      <c r="H99" s="43">
        <f>MAX(CumulativeDead!99:99)</f>
        <v>1</v>
      </c>
      <c r="K99" s="43">
        <v>164689383</v>
      </c>
      <c r="L99" s="54" t="s">
        <v>518</v>
      </c>
      <c r="M99" s="43" t="e">
        <v>#VALUE!</v>
      </c>
      <c r="N99" s="73">
        <f t="shared" si="1"/>
        <v>0.05</v>
      </c>
    </row>
    <row r="100" spans="1:14" x14ac:dyDescent="0.3">
      <c r="A100" s="54">
        <v>99</v>
      </c>
      <c r="B100" s="57" t="s">
        <v>346</v>
      </c>
      <c r="C100" s="57" t="s">
        <v>346</v>
      </c>
      <c r="D100" s="54" t="e">
        <f>VLOOKUP(C100,Days_Since_100!H:I,2,FALSE)</f>
        <v>#N/A</v>
      </c>
      <c r="E100" s="58" t="e">
        <f ca="1">OFFSET(CumulativeConfirmed!A100,-A100,MATCH(Country_Data!D100,CumulativeConfirmed!B100:BT100,0))</f>
        <v>#N/A</v>
      </c>
      <c r="F100" s="43">
        <f>MAX(CumulativeConfirmed!100:100)</f>
        <v>15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518</v>
      </c>
      <c r="M100" s="43" t="e">
        <v>#VALUE!</v>
      </c>
      <c r="N100" s="73">
        <f t="shared" si="1"/>
        <v>0</v>
      </c>
    </row>
    <row r="101" spans="1:14" x14ac:dyDescent="0.3">
      <c r="A101" s="54">
        <v>100</v>
      </c>
      <c r="B101" s="57" t="s">
        <v>180</v>
      </c>
      <c r="C101" s="57" t="s">
        <v>180</v>
      </c>
      <c r="D101" s="54" t="e">
        <f>VLOOKUP(C101,Days_Since_100!H:I,2,FALSE)</f>
        <v>#N/A</v>
      </c>
      <c r="E101" s="58" t="e">
        <f ca="1">OFFSET(CumulativeConfirmed!A101,-A101,MATCH(Country_Data!D101,CumulativeConfirmed!B101:BT101,0))</f>
        <v>#N/A</v>
      </c>
      <c r="F101" s="43">
        <f>MAX(CumulativeConfirmed!101:101)</f>
        <v>32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518</v>
      </c>
      <c r="M101" s="43" t="e">
        <v>#VALUE!</v>
      </c>
      <c r="N101" s="73">
        <f t="shared" si="1"/>
        <v>3.125E-2</v>
      </c>
    </row>
    <row r="102" spans="1:14" x14ac:dyDescent="0.3">
      <c r="A102" s="54">
        <v>101</v>
      </c>
      <c r="B102" s="57" t="s">
        <v>129</v>
      </c>
      <c r="C102" s="57" t="s">
        <v>129</v>
      </c>
      <c r="D102" s="54" t="e">
        <f>VLOOKUP(C102,Days_Since_100!H:I,2,FALSE)</f>
        <v>#N/A</v>
      </c>
      <c r="E102" s="58" t="e">
        <f ca="1">OFFSET(CumulativeConfirmed!A102,-A102,MATCH(Country_Data!D102,CumulativeConfirmed!B102:BT102,0))</f>
        <v>#N/A</v>
      </c>
      <c r="F102" s="43">
        <f>MAX(CumulativeConfirmed!102:102)</f>
        <v>29</v>
      </c>
      <c r="G102" s="43">
        <f>MAX(CumulativeRecovered!102:102)</f>
        <v>0</v>
      </c>
      <c r="H102" s="43">
        <f>MAX(CumulativeDead!102:102)</f>
        <v>3</v>
      </c>
      <c r="K102" s="43">
        <v>43733762</v>
      </c>
      <c r="L102" s="54" t="s">
        <v>518</v>
      </c>
      <c r="M102" s="43" t="e">
        <v>#VALUE!</v>
      </c>
      <c r="N102" s="73">
        <f t="shared" si="1"/>
        <v>0.10344827586206896</v>
      </c>
    </row>
    <row r="103" spans="1:14" x14ac:dyDescent="0.3">
      <c r="A103" s="54">
        <v>102</v>
      </c>
      <c r="B103" s="57" t="s">
        <v>422</v>
      </c>
      <c r="C103" s="57" t="s">
        <v>422</v>
      </c>
      <c r="D103" s="54" t="e">
        <f>VLOOKUP(C103,Days_Since_100!H:I,2,FALSE)</f>
        <v>#N/A</v>
      </c>
      <c r="E103" s="58" t="e">
        <f ca="1">OFFSET(CumulativeConfirmed!A103,-A103,MATCH(Country_Data!D103,CumulativeConfirmed!B103:BT103,0))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518</v>
      </c>
      <c r="M103" s="43" t="e">
        <v>#VALUE!</v>
      </c>
      <c r="N103" s="73" t="e">
        <f t="shared" si="1"/>
        <v>#DIV/0!</v>
      </c>
    </row>
    <row r="104" spans="1:14" x14ac:dyDescent="0.3">
      <c r="A104" s="54">
        <v>103</v>
      </c>
      <c r="B104" s="57" t="s">
        <v>279</v>
      </c>
      <c r="C104" s="57" t="s">
        <v>279</v>
      </c>
      <c r="D104" s="54" t="e">
        <f>VLOOKUP(C104,Days_Since_100!H:I,2,FALSE)</f>
        <v>#N/A</v>
      </c>
      <c r="E104" s="58" t="e">
        <f ca="1">OFFSET(CumulativeConfirmed!A104,-A104,MATCH(Country_Data!D104,CumulativeConfirmed!B104:BT104,0))</f>
        <v>#N/A</v>
      </c>
      <c r="F104" s="43">
        <f>MAX(CumulativeConfirmed!104:104)</f>
        <v>40</v>
      </c>
      <c r="G104" s="43">
        <f>MAX(CumulativeRecovered!104:104)</f>
        <v>0</v>
      </c>
      <c r="H104" s="43">
        <f>MAX(CumulativeDead!104:104)</f>
        <v>1</v>
      </c>
      <c r="K104" s="43">
        <v>20903273</v>
      </c>
      <c r="L104" s="54" t="s">
        <v>518</v>
      </c>
      <c r="M104" s="43" t="e">
        <v>#VALUE!</v>
      </c>
      <c r="N104" s="73">
        <f t="shared" si="1"/>
        <v>2.5000000000000001E-2</v>
      </c>
    </row>
    <row r="105" spans="1:14" x14ac:dyDescent="0.3">
      <c r="A105" s="54">
        <v>104</v>
      </c>
      <c r="B105" s="57" t="s">
        <v>157</v>
      </c>
      <c r="C105" s="57" t="s">
        <v>157</v>
      </c>
      <c r="D105" s="54" t="e">
        <f>VLOOKUP(C105,Days_Since_100!H:I,2,FALSE)</f>
        <v>#N/A</v>
      </c>
      <c r="E105" s="58" t="e">
        <f ca="1">OFFSET(CumulativeConfirmed!A105,-A105,MATCH(Country_Data!D105,CumulativeConfirmed!B105:BT105,0))</f>
        <v>#N/A</v>
      </c>
      <c r="F105" s="43">
        <f>MAX(CumulativeConfirmed!105:105)</f>
        <v>20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518</v>
      </c>
      <c r="M105" s="43" t="e">
        <v>#VALUE!</v>
      </c>
      <c r="N105" s="73">
        <f t="shared" si="1"/>
        <v>0</v>
      </c>
    </row>
    <row r="106" spans="1:14" x14ac:dyDescent="0.3">
      <c r="A106" s="54">
        <v>105</v>
      </c>
      <c r="B106" s="57" t="s">
        <v>351</v>
      </c>
      <c r="C106" s="57" t="s">
        <v>351</v>
      </c>
      <c r="D106" s="54" t="e">
        <f>VLOOKUP(C106,Days_Since_100!H:I,2,FALSE)</f>
        <v>#N/A</v>
      </c>
      <c r="E106" s="58" t="e">
        <f ca="1">OFFSET(CumulativeConfirmed!A106,-A106,MATCH(Country_Data!D106,CumulativeConfirmed!B106:BT106,0))</f>
        <v>#N/A</v>
      </c>
      <c r="F106" s="43">
        <f>MAX(CumulativeConfirmed!106:106)</f>
        <v>18</v>
      </c>
      <c r="G106" s="43">
        <f>MAX(CumulativeRecovered!106:106)</f>
        <v>0</v>
      </c>
      <c r="H106" s="43">
        <f>MAX(CumulativeDead!106:106)</f>
        <v>0</v>
      </c>
      <c r="K106" s="43" t="e">
        <v>#N/A</v>
      </c>
      <c r="L106" s="54" t="s">
        <v>518</v>
      </c>
      <c r="M106" s="43" t="e">
        <v>#N/A</v>
      </c>
      <c r="N106" s="73">
        <f t="shared" si="1"/>
        <v>0</v>
      </c>
    </row>
    <row r="107" spans="1:14" x14ac:dyDescent="0.3">
      <c r="A107" s="54">
        <v>106</v>
      </c>
      <c r="B107" s="57" t="s">
        <v>348</v>
      </c>
      <c r="C107" s="57" t="s">
        <v>348</v>
      </c>
      <c r="D107" s="54" t="e">
        <f>VLOOKUP(C107,Days_Since_100!H:I,2,FALSE)</f>
        <v>#N/A</v>
      </c>
      <c r="E107" s="58" t="e">
        <f ca="1">OFFSET(CumulativeConfirmed!A107,-A107,MATCH(Country_Data!D107,CumulativeConfirmed!B107:BT107,0))</f>
        <v>#N/A</v>
      </c>
      <c r="F107" s="43">
        <f>MAX(CumulativeConfirmed!107:107)</f>
        <v>24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518</v>
      </c>
      <c r="M107" s="43" t="e">
        <v>#VALUE!</v>
      </c>
      <c r="N107" s="73">
        <f t="shared" si="1"/>
        <v>0</v>
      </c>
    </row>
    <row r="108" spans="1:14" x14ac:dyDescent="0.3">
      <c r="A108" s="54">
        <v>107</v>
      </c>
      <c r="B108" s="57" t="s">
        <v>100</v>
      </c>
      <c r="C108" s="57" t="s">
        <v>100</v>
      </c>
      <c r="D108" s="54" t="e">
        <f>VLOOKUP(C108,Days_Since_100!H:I,2,FALSE)</f>
        <v>#N/A</v>
      </c>
      <c r="E108" s="58" t="e">
        <f ca="1">OFFSET(CumulativeConfirmed!A108,-A108,MATCH(Country_Data!D108,CumulativeConfirmed!B108:BT108,0))</f>
        <v>#N/A</v>
      </c>
      <c r="F108" s="43">
        <f>MAX(CumulativeConfirmed!108:108)</f>
        <v>11</v>
      </c>
      <c r="G108" s="43">
        <f>MAX(CumulativeRecovered!108:108)</f>
        <v>0</v>
      </c>
      <c r="H108" s="43">
        <f>MAX(CumulativeDead!108:108)</f>
        <v>0</v>
      </c>
      <c r="K108" s="43">
        <v>39242</v>
      </c>
      <c r="L108" s="54" t="s">
        <v>518</v>
      </c>
      <c r="M108" s="43" t="e">
        <v>#VALUE!</v>
      </c>
      <c r="N108" s="73">
        <f t="shared" si="1"/>
        <v>0</v>
      </c>
    </row>
    <row r="109" spans="1:14" x14ac:dyDescent="0.3">
      <c r="A109" s="54">
        <v>108</v>
      </c>
      <c r="B109" s="57" t="s">
        <v>96</v>
      </c>
      <c r="C109" s="57" t="s">
        <v>96</v>
      </c>
      <c r="D109" s="54" t="e">
        <f>VLOOKUP(C109,Days_Since_100!H:I,2,FALSE)</f>
        <v>#N/A</v>
      </c>
      <c r="E109" s="58" t="e">
        <f ca="1">OFFSET(CumulativeConfirmed!A109,-A109,MATCH(Country_Data!D109,CumulativeConfirmed!B109:BT109,0))</f>
        <v>#N/A</v>
      </c>
      <c r="F109" s="43">
        <f>MAX(CumulativeConfirmed!109:109)</f>
        <v>12</v>
      </c>
      <c r="G109" s="43">
        <f>MAX(CumulativeRecovered!109:109)</f>
        <v>1</v>
      </c>
      <c r="H109" s="43">
        <f>MAX(CumulativeDead!109:109)</f>
        <v>0</v>
      </c>
      <c r="K109" s="43">
        <v>206139589</v>
      </c>
      <c r="L109" s="54" t="s">
        <v>518</v>
      </c>
      <c r="M109" s="43" t="e">
        <v>#VALUE!</v>
      </c>
      <c r="N109" s="73">
        <f t="shared" si="1"/>
        <v>0</v>
      </c>
    </row>
    <row r="110" spans="1:14" x14ac:dyDescent="0.3">
      <c r="A110" s="54">
        <v>109</v>
      </c>
      <c r="B110" s="57" t="s">
        <v>109</v>
      </c>
      <c r="C110" s="57" t="s">
        <v>109</v>
      </c>
      <c r="D110" s="54" t="e">
        <f>VLOOKUP(C110,Days_Since_100!H:I,2,FALSE)</f>
        <v>#N/A</v>
      </c>
      <c r="E110" s="58" t="e">
        <f ca="1">OFFSET(CumulativeConfirmed!A110,-A110,MATCH(Country_Data!D110,CumulativeConfirmed!B110:BT110,0))</f>
        <v>#N/A</v>
      </c>
      <c r="F110" s="43">
        <f>MAX(CumulativeConfirmed!110:110)</f>
        <v>75</v>
      </c>
      <c r="G110" s="43">
        <f>MAX(CumulativeRecovered!110:110)</f>
        <v>1</v>
      </c>
      <c r="H110" s="43">
        <f>MAX(CumulativeDead!110:110)</f>
        <v>0</v>
      </c>
      <c r="K110" s="43">
        <v>77265</v>
      </c>
      <c r="L110" s="54" t="s">
        <v>518</v>
      </c>
      <c r="M110" s="43" t="e">
        <v>#VALUE!</v>
      </c>
      <c r="N110" s="73">
        <f t="shared" si="1"/>
        <v>0</v>
      </c>
    </row>
    <row r="111" spans="1:14" x14ac:dyDescent="0.3">
      <c r="A111" s="54">
        <v>110</v>
      </c>
      <c r="B111" s="57" t="s">
        <v>424</v>
      </c>
      <c r="C111" s="57" t="s">
        <v>424</v>
      </c>
      <c r="D111" s="54" t="e">
        <f>VLOOKUP(C111,Days_Since_100!H:I,2,FALSE)</f>
        <v>#N/A</v>
      </c>
      <c r="E111" s="58" t="e">
        <f ca="1">OFFSET(CumulativeConfirmed!A111,-A111,MATCH(Country_Data!D111,CumulativeConfirmed!B111:BT111,0))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518</v>
      </c>
      <c r="M111" s="43" t="e">
        <v>#VALUE!</v>
      </c>
      <c r="N111" s="73">
        <f t="shared" si="1"/>
        <v>0</v>
      </c>
    </row>
    <row r="112" spans="1:14" x14ac:dyDescent="0.3">
      <c r="A112" s="54">
        <v>111</v>
      </c>
      <c r="B112" s="57" t="s">
        <v>156</v>
      </c>
      <c r="C112" s="57" t="s">
        <v>156</v>
      </c>
      <c r="D112" s="54" t="e">
        <f>VLOOKUP(C112,Days_Since_100!H:I,2,FALSE)</f>
        <v>#N/A</v>
      </c>
      <c r="E112" s="58" t="e">
        <f ca="1">OFFSET(CumulativeConfirmed!A112,-A112,MATCH(Country_Data!D112,CumulativeConfirmed!B112:BT112,0))</f>
        <v>#N/A</v>
      </c>
      <c r="F112" s="43">
        <f>MAX(CumulativeConfirmed!112:112)</f>
        <v>2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518</v>
      </c>
      <c r="M112" s="43" t="e">
        <v>#VALUE!</v>
      </c>
      <c r="N112" s="73">
        <f t="shared" si="1"/>
        <v>0</v>
      </c>
    </row>
    <row r="113" spans="1:14" x14ac:dyDescent="0.3">
      <c r="A113" s="54">
        <v>112</v>
      </c>
      <c r="B113" s="57" t="s">
        <v>415</v>
      </c>
      <c r="C113" s="57" t="s">
        <v>415</v>
      </c>
      <c r="D113" s="54" t="e">
        <f>VLOOKUP(C113,Days_Since_100!H:I,2,FALSE)</f>
        <v>#N/A</v>
      </c>
      <c r="E113" s="58" t="e">
        <f ca="1">OFFSET(CumulativeConfirmed!A113,-A113,MATCH(Country_Data!D113,CumulativeConfirmed!B113:BT113,0))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518</v>
      </c>
      <c r="M113" s="43" t="e">
        <v>#VALUE!</v>
      </c>
      <c r="N113" s="73" t="e">
        <f t="shared" si="1"/>
        <v>#DIV/0!</v>
      </c>
    </row>
    <row r="114" spans="1:14" x14ac:dyDescent="0.3">
      <c r="A114" s="54">
        <v>113</v>
      </c>
      <c r="B114" s="57" t="s">
        <v>352</v>
      </c>
      <c r="C114" s="57" t="s">
        <v>352</v>
      </c>
      <c r="D114" s="54" t="e">
        <f>VLOOKUP(C114,Days_Since_100!H:I,2,FALSE)</f>
        <v>#N/A</v>
      </c>
      <c r="E114" s="58" t="e">
        <f ca="1">OFFSET(CumulativeConfirmed!A114,-A114,MATCH(Country_Data!D114,CumulativeConfirmed!B114:BT114,0))</f>
        <v>#N/A</v>
      </c>
      <c r="F114" s="43">
        <f>MAX(CumulativeConfirmed!114:114)</f>
        <v>9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518</v>
      </c>
      <c r="M114" s="43" t="e">
        <v>#N/A</v>
      </c>
      <c r="N114" s="73">
        <f t="shared" si="1"/>
        <v>0</v>
      </c>
    </row>
    <row r="115" spans="1:14" x14ac:dyDescent="0.3">
      <c r="A115" s="54">
        <v>114</v>
      </c>
      <c r="B115" s="57" t="s">
        <v>419</v>
      </c>
      <c r="C115" s="57" t="s">
        <v>419</v>
      </c>
      <c r="D115" s="54" t="e">
        <f>VLOOKUP(C115,Days_Since_100!H:I,2,FALSE)</f>
        <v>#N/A</v>
      </c>
      <c r="E115" s="58" t="e">
        <f ca="1">OFFSET(CumulativeConfirmed!A115,-A115,MATCH(Country_Data!D115,CumulativeConfirmed!B115:BT115,0))</f>
        <v>#N/A</v>
      </c>
      <c r="F115" s="43">
        <f>MAX(CumulativeConfirmed!115:115)</f>
        <v>9</v>
      </c>
      <c r="G115" s="43">
        <f>MAX(CumulativeRecovered!115:115)</f>
        <v>0</v>
      </c>
      <c r="H115" s="43">
        <f>MAX(CumulativeDead!115:115)</f>
        <v>0</v>
      </c>
      <c r="K115" s="43">
        <v>114963588</v>
      </c>
      <c r="L115" s="54" t="s">
        <v>518</v>
      </c>
      <c r="M115" s="43" t="e">
        <v>#VALUE!</v>
      </c>
      <c r="N115" s="73">
        <f t="shared" si="1"/>
        <v>0</v>
      </c>
    </row>
    <row r="116" spans="1:14" x14ac:dyDescent="0.3">
      <c r="A116" s="54">
        <v>115</v>
      </c>
      <c r="B116" s="57" t="s">
        <v>416</v>
      </c>
      <c r="C116" s="57" t="s">
        <v>416</v>
      </c>
      <c r="D116" s="54" t="e">
        <f>VLOOKUP(C116,Days_Since_100!H:I,2,FALSE)</f>
        <v>#N/A</v>
      </c>
      <c r="E116" s="58" t="e">
        <f ca="1">OFFSET(CumulativeConfirmed!A116,-A116,MATCH(Country_Data!D116,CumulativeConfirmed!B116:BT116,0))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518</v>
      </c>
      <c r="M116" s="43" t="e">
        <v>#VALUE!</v>
      </c>
      <c r="N116" s="73" t="e">
        <f t="shared" si="1"/>
        <v>#DIV/0!</v>
      </c>
    </row>
    <row r="117" spans="1:14" x14ac:dyDescent="0.3">
      <c r="A117" s="54">
        <v>116</v>
      </c>
      <c r="B117" s="57" t="s">
        <v>421</v>
      </c>
      <c r="C117" s="57" t="s">
        <v>421</v>
      </c>
      <c r="D117" s="54" t="e">
        <f>VLOOKUP(C117,Days_Since_100!H:I,2,FALSE)</f>
        <v>#N/A</v>
      </c>
      <c r="E117" s="58" t="e">
        <f ca="1">OFFSET(CumulativeConfirmed!A117,-A117,MATCH(Country_Data!D117,CumulativeConfirmed!B117:BT117,0))</f>
        <v>#N/A</v>
      </c>
      <c r="F117" s="43">
        <f>MAX(CumulativeConfirmed!117:117)</f>
        <v>1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518</v>
      </c>
      <c r="M117" s="43" t="e">
        <v>#VALUE!</v>
      </c>
      <c r="N117" s="73">
        <f t="shared" si="1"/>
        <v>0</v>
      </c>
    </row>
    <row r="118" spans="1:14" x14ac:dyDescent="0.3">
      <c r="A118" s="54">
        <v>117</v>
      </c>
      <c r="B118" s="57" t="s">
        <v>411</v>
      </c>
      <c r="C118" s="57" t="s">
        <v>411</v>
      </c>
      <c r="D118" s="54" t="e">
        <f>VLOOKUP(C118,Days_Since_100!H:I,2,FALSE)</f>
        <v>#N/A</v>
      </c>
      <c r="E118" s="58" t="e">
        <f ca="1">OFFSET(CumulativeConfirmed!A118,-A118,MATCH(Country_Data!D118,CumulativeConfirmed!B118:BT118,0))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518</v>
      </c>
      <c r="M118" s="43" t="e">
        <v>#VALUE!</v>
      </c>
      <c r="N118" s="73">
        <f t="shared" si="1"/>
        <v>0.14285714285714285</v>
      </c>
    </row>
    <row r="119" spans="1:14" x14ac:dyDescent="0.3">
      <c r="A119" s="54">
        <v>118</v>
      </c>
      <c r="B119" s="57" t="s">
        <v>281</v>
      </c>
      <c r="C119" s="57" t="s">
        <v>281</v>
      </c>
      <c r="D119" s="54" t="e">
        <f>VLOOKUP(C119,Days_Since_100!H:I,2,FALSE)</f>
        <v>#N/A</v>
      </c>
      <c r="E119" s="58" t="e">
        <f ca="1">OFFSET(CumulativeConfirmed!A119,-A119,MATCH(Country_Data!D119,CumulativeConfirmed!B119:BT119,0))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518</v>
      </c>
      <c r="M119" s="43" t="e">
        <v>#VALUE!</v>
      </c>
      <c r="N119" s="73">
        <f t="shared" si="1"/>
        <v>0</v>
      </c>
    </row>
    <row r="120" spans="1:14" x14ac:dyDescent="0.3">
      <c r="A120" s="54">
        <v>119</v>
      </c>
      <c r="B120" s="57" t="s">
        <v>125</v>
      </c>
      <c r="C120" s="57" t="s">
        <v>125</v>
      </c>
      <c r="D120" s="54" t="e">
        <f>VLOOKUP(C120,Days_Since_100!H:I,2,FALSE)</f>
        <v>#N/A</v>
      </c>
      <c r="E120" s="58" t="e">
        <f ca="1">OFFSET(CumulativeConfirmed!A120,-A120,MATCH(Country_Data!D120,CumulativeConfirmed!B120:BT120,0))</f>
        <v>#N/A</v>
      </c>
      <c r="F120" s="43">
        <f>MAX(CumulativeConfirmed!120:120)</f>
        <v>85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518</v>
      </c>
      <c r="M120" s="43" t="e">
        <v>#VALUE!</v>
      </c>
      <c r="N120" s="73">
        <f t="shared" si="1"/>
        <v>0</v>
      </c>
    </row>
    <row r="121" spans="1:14" x14ac:dyDescent="0.3">
      <c r="A121" s="54">
        <v>120</v>
      </c>
      <c r="B121" s="57" t="s">
        <v>423</v>
      </c>
      <c r="C121" s="57" t="s">
        <v>423</v>
      </c>
      <c r="D121" s="54" t="e">
        <f>VLOOKUP(C121,Days_Since_100!H:I,2,FALSE)</f>
        <v>#N/A</v>
      </c>
      <c r="E121" s="58" t="e">
        <f ca="1">OFFSET(CumulativeConfirmed!A121,-A121,MATCH(Country_Data!D121,CumulativeConfirmed!B121:BT121,0))</f>
        <v>#N/A</v>
      </c>
      <c r="F121" s="43">
        <f>MAX(CumulativeConfirmed!121:121)</f>
        <v>7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518</v>
      </c>
      <c r="M121" s="43" t="e">
        <v>#VALUE!</v>
      </c>
      <c r="N121" s="73">
        <f t="shared" si="1"/>
        <v>0</v>
      </c>
    </row>
    <row r="122" spans="1:14" x14ac:dyDescent="0.3">
      <c r="A122" s="54">
        <v>121</v>
      </c>
      <c r="B122" s="57" t="s">
        <v>136</v>
      </c>
      <c r="C122" s="57" t="s">
        <v>136</v>
      </c>
      <c r="D122" s="54" t="e">
        <f>VLOOKUP(C122,Days_Since_100!H:I,2,FALSE)</f>
        <v>#N/A</v>
      </c>
      <c r="E122" s="58" t="e">
        <f ca="1">OFFSET(CumulativeConfirmed!A122,-A122,MATCH(Country_Data!D122,CumulativeConfirmed!B122:BT122,0))</f>
        <v>#N/A</v>
      </c>
      <c r="F122" s="43">
        <f>MAX(CumulativeConfirmed!122:122)</f>
        <v>28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518</v>
      </c>
      <c r="M122" s="43" t="e">
        <v>#VALUE!</v>
      </c>
      <c r="N122" s="73">
        <f t="shared" si="1"/>
        <v>0</v>
      </c>
    </row>
    <row r="123" spans="1:14" x14ac:dyDescent="0.3">
      <c r="A123" s="54">
        <v>122</v>
      </c>
      <c r="B123" s="57" t="s">
        <v>282</v>
      </c>
      <c r="C123" s="57" t="s">
        <v>282</v>
      </c>
      <c r="D123" s="54" t="e">
        <f>VLOOKUP(C123,Days_Since_100!H:I,2,FALSE)</f>
        <v>#N/A</v>
      </c>
      <c r="E123" s="58" t="e">
        <f ca="1">OFFSET(CumulativeConfirmed!A123,-A123,MATCH(Country_Data!D123,CumulativeConfirmed!B123:BT123,0))</f>
        <v>#N/A</v>
      </c>
      <c r="F123" s="43">
        <f>MAX(CumulativeConfirmed!123:123)</f>
        <v>6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518</v>
      </c>
      <c r="M123" s="43" t="e">
        <v>#VALUE!</v>
      </c>
      <c r="N123" s="73">
        <f t="shared" si="1"/>
        <v>0</v>
      </c>
    </row>
    <row r="124" spans="1:14" x14ac:dyDescent="0.3">
      <c r="A124" s="54">
        <v>123</v>
      </c>
      <c r="B124" s="57" t="s">
        <v>42</v>
      </c>
      <c r="C124" s="57" t="s">
        <v>42</v>
      </c>
      <c r="D124" s="54" t="e">
        <f>VLOOKUP(C124,Days_Since_100!H:I,2,FALSE)</f>
        <v>#N/A</v>
      </c>
      <c r="E124" s="58" t="e">
        <f ca="1">OFFSET(CumulativeConfirmed!A124,-A124,MATCH(Country_Data!D124,CumulativeConfirmed!B124:BT124,0))</f>
        <v>#N/A</v>
      </c>
      <c r="F124" s="43">
        <f>MAX(CumulativeConfirmed!124:124)</f>
        <v>1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518</v>
      </c>
      <c r="M124" s="43" t="e">
        <v>#VALUE!</v>
      </c>
      <c r="N124" s="73">
        <f t="shared" si="1"/>
        <v>0</v>
      </c>
    </row>
    <row r="125" spans="1:14" x14ac:dyDescent="0.3">
      <c r="A125" s="54">
        <v>124</v>
      </c>
      <c r="B125" s="57" t="s">
        <v>420</v>
      </c>
      <c r="C125" s="57" t="s">
        <v>420</v>
      </c>
      <c r="D125" s="54" t="e">
        <f>VLOOKUP(C125,Days_Since_100!H:I,2,FALSE)</f>
        <v>#N/A</v>
      </c>
      <c r="E125" s="58" t="e">
        <f ca="1">OFFSET(CumulativeConfirmed!A125,-A125,MATCH(Country_Data!D125,CumulativeConfirmed!B125:BT125,0))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518</v>
      </c>
      <c r="M125" s="43" t="e">
        <v>#VALUE!</v>
      </c>
      <c r="N125" s="73">
        <f t="shared" si="1"/>
        <v>0.5</v>
      </c>
    </row>
    <row r="126" spans="1:14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VLOOKUP(C126,Days_Since_100!H:I,2,FALSE)</f>
        <v>#N/A</v>
      </c>
      <c r="E126" s="43">
        <f>MAX(CumulativeConfirmed!126:126)</f>
        <v>9</v>
      </c>
      <c r="G126" s="43">
        <f>MAX(CumulativeRecovered!126:126)</f>
        <v>1</v>
      </c>
      <c r="H126" s="43">
        <f>MAX(CumulativeDead!126:126)</f>
        <v>0</v>
      </c>
      <c r="K126" s="43" t="e">
        <v>#N/A</v>
      </c>
      <c r="L126" s="54" t="s">
        <v>518</v>
      </c>
      <c r="M126" s="43" t="e">
        <v>#N/A</v>
      </c>
      <c r="N126" s="73" t="e">
        <f t="shared" si="1"/>
        <v>#DIV/0!</v>
      </c>
    </row>
    <row r="127" spans="1:14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518</v>
      </c>
      <c r="M127" s="43" t="e">
        <v>#VALUE!</v>
      </c>
      <c r="N127" s="73" t="e">
        <f t="shared" si="1"/>
        <v>#DIV/0!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0</v>
      </c>
      <c r="BJ2">
        <f>CumulativeConfirmed!BJ2-CumulativeRecovered!BJ2-CumulativeDead!BJ2</f>
        <v>0</v>
      </c>
      <c r="BK2">
        <f>CumulativeConfirmed!BK2-CumulativeRecovered!BK2-CumulativeDead!BK2</f>
        <v>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0</v>
      </c>
      <c r="BJ3">
        <f>CumulativeConfirmed!BJ3-CumulativeRecovered!BJ3-CumulativeDead!BJ3</f>
        <v>0</v>
      </c>
      <c r="BK3">
        <f>CumulativeConfirmed!BK3-CumulativeRecovered!BK3-CumulativeDead!BK3</f>
        <v>0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0</v>
      </c>
      <c r="BJ4">
        <f>CumulativeConfirmed!BJ4-CumulativeRecovered!BJ4-CumulativeDead!BJ4</f>
        <v>0</v>
      </c>
      <c r="BK4">
        <f>CumulativeConfirmed!BK4-CumulativeRecovered!BK4-CumulativeDead!BK4</f>
        <v>0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0</v>
      </c>
      <c r="BJ5">
        <f>CumulativeConfirmed!BJ5-CumulativeRecovered!BJ5-CumulativeDead!BJ5</f>
        <v>0</v>
      </c>
      <c r="BK5">
        <f>CumulativeConfirmed!BK5-CumulativeRecovered!BK5-CumulativeDead!BK5</f>
        <v>0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0</v>
      </c>
      <c r="BJ6">
        <f>CumulativeConfirmed!BJ6-CumulativeRecovered!BJ6-CumulativeDead!BJ6</f>
        <v>0</v>
      </c>
      <c r="BK6">
        <f>CumulativeConfirmed!BK6-CumulativeRecovered!BK6-CumulativeDead!BK6</f>
        <v>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0</v>
      </c>
      <c r="BJ7">
        <f>CumulativeConfirmed!BJ7-CumulativeRecovered!BJ7-CumulativeDead!BJ7</f>
        <v>0</v>
      </c>
      <c r="BK7">
        <f>CumulativeConfirmed!BK7-CumulativeRecovered!BK7-CumulativeDead!BK7</f>
        <v>0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934</v>
      </c>
      <c r="AV8">
        <f>CumulativeConfirmed!AV8-CumulativeRecovered!AV8-CumulativeDead!AV8</f>
        <v>1103</v>
      </c>
      <c r="AW8">
        <f>CumulativeConfirmed!AW8-CumulativeRecovered!AW8-CumulativeDead!AW8</f>
        <v>1186</v>
      </c>
      <c r="AX8">
        <f>CumulativeConfirmed!AX8-CumulativeRecovered!AX8-CumulativeDead!AX8</f>
        <v>1747</v>
      </c>
      <c r="AY8">
        <f>CumulativeConfirmed!AY8-CumulativeRecovered!AY8-CumulativeDead!AY8</f>
        <v>2230</v>
      </c>
      <c r="AZ8">
        <f>CumulativeConfirmed!AZ8-CumulativeRecovered!AZ8-CumulativeDead!AZ8</f>
        <v>2230</v>
      </c>
      <c r="BA8">
        <f>CumulativeConfirmed!BA8-CumulativeRecovered!BA8-CumulativeDead!BA8</f>
        <v>3587</v>
      </c>
      <c r="BB8">
        <f>CumulativeConfirmed!BB8-CumulativeRecovered!BB8-CumulativeDead!BB8</f>
        <v>4384</v>
      </c>
      <c r="BC8">
        <f>CumulativeConfirmed!BC8-CumulativeRecovered!BC8-CumulativeDead!BC8</f>
        <v>4420</v>
      </c>
      <c r="BD8">
        <f>CumulativeConfirmed!BD8-CumulativeRecovered!BD8-CumulativeDead!BD8</f>
        <v>6508</v>
      </c>
      <c r="BE8">
        <f>CumulativeConfirmed!BE8-CumulativeRecovered!BE8-CumulativeDead!BE8</f>
        <v>7539</v>
      </c>
      <c r="BF8">
        <f>CumulativeConfirmed!BF8-CumulativeRecovered!BF8-CumulativeDead!BF8</f>
        <v>8945</v>
      </c>
      <c r="BG8">
        <f>CumulativeConfirmed!BG8-CumulativeRecovered!BG8-CumulativeDead!BG8</f>
        <v>10692</v>
      </c>
      <c r="BH8">
        <f>CumulativeConfirmed!BH8-CumulativeRecovered!BH8-CumulativeDead!BH8</f>
        <v>12264</v>
      </c>
      <c r="BI8">
        <f>CumulativeConfirmed!BI8-CumulativeRecovered!BI8-CumulativeDead!BI8</f>
        <v>0</v>
      </c>
      <c r="BJ8">
        <f>CumulativeConfirmed!BJ8-CumulativeRecovered!BJ8-CumulativeDead!BJ8</f>
        <v>0</v>
      </c>
      <c r="BK8">
        <f>CumulativeConfirmed!BK8-CumulativeRecovered!BK8-CumulativeDead!BK8</f>
        <v>0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0</v>
      </c>
      <c r="BJ9">
        <f>CumulativeConfirmed!BJ9-CumulativeRecovered!BJ9-CumulativeDead!BJ9</f>
        <v>0</v>
      </c>
      <c r="BK9">
        <f>CumulativeConfirmed!BK9-CumulativeRecovered!BK9-CumulativeDead!BK9</f>
        <v>0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0</v>
      </c>
      <c r="BJ10">
        <f>CumulativeConfirmed!BJ10-CumulativeRecovered!BJ10-CumulativeDead!BJ10</f>
        <v>0</v>
      </c>
      <c r="BK10">
        <f>CumulativeConfirmed!BK10-CumulativeRecovered!BK10-CumulativeDead!BK10</f>
        <v>0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0</v>
      </c>
      <c r="BJ11">
        <f>CumulativeConfirmed!BJ11-CumulativeRecovered!BJ11-CumulativeDead!BJ11</f>
        <v>0</v>
      </c>
      <c r="BK11">
        <f>CumulativeConfirmed!BK11-CumulativeRecovered!BK11-CumulativeDead!BK11</f>
        <v>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0</v>
      </c>
      <c r="BJ12">
        <f>CumulativeConfirmed!BJ12-CumulativeRecovered!BJ12-CumulativeDead!BJ12</f>
        <v>0</v>
      </c>
      <c r="BK12">
        <f>CumulativeConfirmed!BK12-CumulativeRecovered!BK12-CumulativeDead!BK12</f>
        <v>0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0</v>
      </c>
      <c r="BJ13">
        <f>CumulativeConfirmed!BJ13-CumulativeRecovered!BJ13-CumulativeDead!BJ13</f>
        <v>0</v>
      </c>
      <c r="BK13">
        <f>CumulativeConfirmed!BK13-CumulativeRecovered!BK13-CumulativeDead!BK13</f>
        <v>0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0</v>
      </c>
      <c r="BJ14">
        <f>CumulativeConfirmed!BJ14-CumulativeRecovered!BJ14-CumulativeDead!BJ14</f>
        <v>0</v>
      </c>
      <c r="BK14">
        <f>CumulativeConfirmed!BK14-CumulativeRecovered!BK14-CumulativeDead!BK14</f>
        <v>0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563</v>
      </c>
      <c r="BA15">
        <f>CumulativeConfirmed!BA15-CumulativeRecovered!BA15-CumulativeDead!BA15</f>
        <v>775</v>
      </c>
      <c r="BB15">
        <f>CumulativeConfirmed!BB15-CumulativeRecovered!BB15-CumulativeDead!BB15</f>
        <v>1104</v>
      </c>
      <c r="BC15">
        <f>CumulativeConfirmed!BC15-CumulativeRecovered!BC15-CumulativeDead!BC15</f>
        <v>1315</v>
      </c>
      <c r="BD15">
        <f>CumulativeConfirmed!BD15-CumulativeRecovered!BD15-CumulativeDead!BD15</f>
        <v>1474</v>
      </c>
      <c r="BE15">
        <f>CumulativeConfirmed!BE15-CumulativeRecovered!BE15-CumulativeDead!BE15</f>
        <v>1851</v>
      </c>
      <c r="BF15">
        <f>CumulativeConfirmed!BF15-CumulativeRecovered!BF15-CumulativeDead!BF15</f>
        <v>2503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0</v>
      </c>
      <c r="BJ15">
        <f>CumulativeConfirmed!BJ15-CumulativeRecovered!BJ15-CumulativeDead!BJ15</f>
        <v>0</v>
      </c>
      <c r="BK15">
        <f>CumulativeConfirmed!BK15-CumulativeRecovered!BK15-CumulativeDead!BK15</f>
        <v>0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1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44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654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0</v>
      </c>
      <c r="BJ16">
        <f>CumulativeConfirmed!BJ16-CumulativeRecovered!BJ16-CumulativeDead!BJ16</f>
        <v>0</v>
      </c>
      <c r="BK16">
        <f>CumulativeConfirmed!BK16-CumulativeRecovered!BK16-CumulativeDead!BK16</f>
        <v>0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650</v>
      </c>
      <c r="AU17">
        <f>CumulativeConfirmed!AU17-CumulativeRecovered!AU17-CumulativeDead!AU17</f>
        <v>650</v>
      </c>
      <c r="AV17">
        <f>CumulativeConfirmed!AV17-CumulativeRecovered!AV17-CumulativeDead!AV17</f>
        <v>650</v>
      </c>
      <c r="AW17">
        <f>CumulativeConfirmed!AW17-CumulativeRecovered!AW17-CumulativeDead!AW17</f>
        <v>650</v>
      </c>
      <c r="AX17">
        <f>CumulativeConfirmed!AX17-CumulativeRecovered!AX17-CumulativeDead!AX17</f>
        <v>650</v>
      </c>
      <c r="AY17">
        <f>CumulativeConfirmed!AY17-CumulativeRecovered!AY17-CumulativeDead!AY17</f>
        <v>364</v>
      </c>
      <c r="AZ17">
        <f>CumulativeConfirmed!AZ17-CumulativeRecovered!AZ17-CumulativeDead!AZ17</f>
        <v>364</v>
      </c>
      <c r="BA17">
        <f>CumulativeConfirmed!BA17-CumulativeRecovered!BA17-CumulativeDead!BA17</f>
        <v>364</v>
      </c>
      <c r="BB17">
        <f>CumulativeConfirmed!BB17-CumulativeRecovered!BB17-CumulativeDead!BB17</f>
        <v>364</v>
      </c>
      <c r="BC17">
        <f>CumulativeConfirmed!BC17-CumulativeRecovered!BC17-CumulativeDead!BC17</f>
        <v>364</v>
      </c>
      <c r="BD17">
        <f>CumulativeConfirmed!BD17-CumulativeRecovered!BD17-CumulativeDead!BD17</f>
        <v>364</v>
      </c>
      <c r="BE17">
        <f>CumulativeConfirmed!BE17-CumulativeRecovered!BE17-CumulativeDead!BE17</f>
        <v>364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380</v>
      </c>
      <c r="BI17">
        <f>CumulativeConfirmed!BI17-CumulativeRecovered!BI17-CumulativeDead!BI17</f>
        <v>0</v>
      </c>
      <c r="BJ17">
        <f>CumulativeConfirmed!BJ17-CumulativeRecovered!BJ17-CumulativeDead!BJ17</f>
        <v>0</v>
      </c>
      <c r="BK17">
        <f>CumulativeConfirmed!BK17-CumulativeRecovered!BK17-CumulativeDead!BK17</f>
        <v>0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0</v>
      </c>
      <c r="BJ18">
        <f>CumulativeConfirmed!BJ18-CumulativeRecovered!BJ18-CumulativeDead!BJ18</f>
        <v>0</v>
      </c>
      <c r="BK18">
        <f>CumulativeConfirmed!BK18-CumulativeRecovered!BK18-CumulativeDead!BK18</f>
        <v>0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0</v>
      </c>
      <c r="BJ19">
        <f>CumulativeConfirmed!BJ19-CumulativeRecovered!BJ19-CumulativeDead!BJ19</f>
        <v>0</v>
      </c>
      <c r="BK19">
        <f>CumulativeConfirmed!BK19-CumulativeRecovered!BK19-CumulativeDead!BK19</f>
        <v>0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0</v>
      </c>
      <c r="BJ20">
        <f>CumulativeConfirmed!BJ20-CumulativeRecovered!BJ20-CumulativeDead!BJ20</f>
        <v>0</v>
      </c>
      <c r="BK20">
        <f>CumulativeConfirmed!BK20-CumulativeRecovered!BK20-CumulativeDead!BK20</f>
        <v>0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8</v>
      </c>
      <c r="AG21">
        <f>CumulativeConfirmed!AG21-CumulativeRecovered!AG21-CumulativeDead!AG21</f>
        <v>11</v>
      </c>
      <c r="AH21">
        <f>CumulativeConfirmed!AH21-CumulativeRecovered!AH21-CumulativeDead!AH21</f>
        <v>11</v>
      </c>
      <c r="AI21">
        <f>CumulativeConfirmed!AI21-CumulativeRecovered!AI21-CumulativeDead!AI21</f>
        <v>11</v>
      </c>
      <c r="AJ21">
        <f>CumulativeConfirmed!AJ21-CumulativeRecovered!AJ21-CumulativeDead!AJ21</f>
        <v>11</v>
      </c>
      <c r="AK21">
        <f>CumulativeConfirmed!AK21-CumulativeRecovered!AK21-CumulativeDead!AK21</f>
        <v>11</v>
      </c>
      <c r="AL21">
        <f>CumulativeConfirmed!AL21-CumulativeRecovered!AL21-CumulativeDead!AL21</f>
        <v>12</v>
      </c>
      <c r="AM21">
        <f>CumulativeConfirmed!AM21-CumulativeRecovered!AM21-CumulativeDead!AM21</f>
        <v>12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0</v>
      </c>
      <c r="BJ21">
        <f>CumulativeConfirmed!BJ21-CumulativeRecovered!BJ21-CumulativeDead!BJ21</f>
        <v>0</v>
      </c>
      <c r="BK21">
        <f>CumulativeConfirmed!BK21-CumulativeRecovered!BK21-CumulativeDead!BK21</f>
        <v>0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0</v>
      </c>
      <c r="BJ22">
        <f>CumulativeConfirmed!BJ22-CumulativeRecovered!BJ22-CumulativeDead!BJ22</f>
        <v>0</v>
      </c>
      <c r="BK22">
        <f>CumulativeConfirmed!BK22-CumulativeRecovered!BK22-CumulativeDead!BK22</f>
        <v>0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0</v>
      </c>
      <c r="BJ23">
        <f>CumulativeConfirmed!BJ23-CumulativeRecovered!BJ23-CumulativeDead!BJ23</f>
        <v>0</v>
      </c>
      <c r="BK23">
        <f>CumulativeConfirmed!BK23-CumulativeRecovered!BK23-CumulativeDead!BK23</f>
        <v>0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0</v>
      </c>
      <c r="BJ24">
        <f>CumulativeConfirmed!BJ24-CumulativeRecovered!BJ24-CumulativeDead!BJ24</f>
        <v>0</v>
      </c>
      <c r="BK24">
        <f>CumulativeConfirmed!BK24-CumulativeRecovered!BK24-CumulativeDead!BK24</f>
        <v>0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0</v>
      </c>
      <c r="BJ25">
        <f>CumulativeConfirmed!BJ25-CumulativeRecovered!BJ25-CumulativeDead!BJ25</f>
        <v>0</v>
      </c>
      <c r="BK25">
        <f>CumulativeConfirmed!BK25-CumulativeRecovered!BK25-CumulativeDead!BK25</f>
        <v>0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145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0</v>
      </c>
      <c r="BJ26">
        <f>CumulativeConfirmed!BJ26-CumulativeRecovered!BJ26-CumulativeDead!BJ26</f>
        <v>0</v>
      </c>
      <c r="BK26">
        <f>CumulativeConfirmed!BK26-CumulativeRecovered!BK26-CumulativeDead!BK26</f>
        <v>0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0</v>
      </c>
      <c r="BJ27">
        <f>CumulativeConfirmed!BJ27-CumulativeRecovered!BJ27-CumulativeDead!BJ27</f>
        <v>0</v>
      </c>
      <c r="BK27">
        <f>CumulativeConfirmed!BK27-CumulativeRecovered!BK27-CumulativeDead!BK27</f>
        <v>0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0</v>
      </c>
      <c r="BJ28">
        <f>CumulativeConfirmed!BJ28-CumulativeRecovered!BJ28-CumulativeDead!BJ28</f>
        <v>0</v>
      </c>
      <c r="BK28">
        <f>CumulativeConfirmed!BK28-CumulativeRecovered!BK28-CumulativeDead!BK28</f>
        <v>0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0</v>
      </c>
      <c r="BJ29">
        <f>CumulativeConfirmed!BJ29-CumulativeRecovered!BJ29-CumulativeDead!BJ29</f>
        <v>0</v>
      </c>
      <c r="BK29">
        <f>CumulativeConfirmed!BK29-CumulativeRecovered!BK29-CumulativeDead!BK29</f>
        <v>0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0</v>
      </c>
      <c r="BJ30">
        <f>CumulativeConfirmed!BJ30-CumulativeRecovered!BJ30-CumulativeDead!BJ30</f>
        <v>0</v>
      </c>
      <c r="BK30">
        <f>CumulativeConfirmed!BK30-CumulativeRecovered!BK30-CumulativeDead!BK30</f>
        <v>0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0</v>
      </c>
      <c r="BJ31">
        <f>CumulativeConfirmed!BJ31-CumulativeRecovered!BJ31-CumulativeDead!BJ31</f>
        <v>0</v>
      </c>
      <c r="BK31">
        <f>CumulativeConfirmed!BK31-CumulativeRecovered!BK31-CumulativeDead!BK31</f>
        <v>0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0</v>
      </c>
      <c r="BJ32">
        <f>CumulativeConfirmed!BJ32-CumulativeRecovered!BJ32-CumulativeDead!BJ32</f>
        <v>0</v>
      </c>
      <c r="BK32">
        <f>CumulativeConfirmed!BK32-CumulativeRecovered!BK32-CumulativeDead!BK32</f>
        <v>0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0</v>
      </c>
      <c r="BJ33">
        <f>CumulativeConfirmed!BJ33-CumulativeRecovered!BJ33-CumulativeDead!BJ33</f>
        <v>0</v>
      </c>
      <c r="BK33">
        <f>CumulativeConfirmed!BK33-CumulativeRecovered!BK33-CumulativeDead!BK33</f>
        <v>0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0</v>
      </c>
      <c r="BJ34">
        <f>CumulativeConfirmed!BJ34-CumulativeRecovered!BJ34-CumulativeDead!BJ34</f>
        <v>0</v>
      </c>
      <c r="BK34">
        <f>CumulativeConfirmed!BK34-CumulativeRecovered!BK34-CumulativeDead!BK34</f>
        <v>0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0</v>
      </c>
      <c r="BJ35">
        <f>CumulativeConfirmed!BJ35-CumulativeRecovered!BJ35-CumulativeDead!BJ35</f>
        <v>0</v>
      </c>
      <c r="BK35">
        <f>CumulativeConfirmed!BK35-CumulativeRecovered!BK35-CumulativeDead!BK35</f>
        <v>0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0</v>
      </c>
      <c r="BJ36">
        <f>CumulativeConfirmed!BJ36-CumulativeRecovered!BJ36-CumulativeDead!BJ36</f>
        <v>0</v>
      </c>
      <c r="BK36">
        <f>CumulativeConfirmed!BK36-CumulativeRecovered!BK36-CumulativeDead!BK36</f>
        <v>0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0</v>
      </c>
      <c r="BJ37">
        <f>CumulativeConfirmed!BJ37-CumulativeRecovered!BJ37-CumulativeDead!BJ37</f>
        <v>0</v>
      </c>
      <c r="BK37">
        <f>CumulativeConfirmed!BK37-CumulativeRecovered!BK37-CumulativeDead!BK37</f>
        <v>0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0</v>
      </c>
      <c r="BJ38">
        <f>CumulativeConfirmed!BJ38-CumulativeRecovered!BJ38-CumulativeDead!BJ38</f>
        <v>0</v>
      </c>
      <c r="BK38">
        <f>CumulativeConfirmed!BK38-CumulativeRecovered!BK38-CumulativeDead!BK38</f>
        <v>0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0</v>
      </c>
      <c r="BJ39">
        <f>CumulativeConfirmed!BJ39-CumulativeRecovered!BJ39-CumulativeDead!BJ39</f>
        <v>0</v>
      </c>
      <c r="BK39">
        <f>CumulativeConfirmed!BK39-CumulativeRecovered!BK39-CumulativeDead!BK39</f>
        <v>0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0</v>
      </c>
      <c r="BJ40">
        <f>CumulativeConfirmed!BJ40-CumulativeRecovered!BJ40-CumulativeDead!BJ40</f>
        <v>0</v>
      </c>
      <c r="BK40">
        <f>CumulativeConfirmed!BK40-CumulativeRecovered!BK40-CumulativeDead!BK40</f>
        <v>0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0</v>
      </c>
      <c r="BJ41">
        <f>CumulativeConfirmed!BJ41-CumulativeRecovered!BJ41-CumulativeDead!BJ41</f>
        <v>0</v>
      </c>
      <c r="BK41">
        <f>CumulativeConfirmed!BK41-CumulativeRecovered!BK41-CumulativeDead!BK41</f>
        <v>0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0</v>
      </c>
      <c r="BJ42">
        <f>CumulativeConfirmed!BJ42-CumulativeRecovered!BJ42-CumulativeDead!BJ42</f>
        <v>0</v>
      </c>
      <c r="BK42">
        <f>CumulativeConfirmed!BK42-CumulativeRecovered!BK42-CumulativeDead!BK42</f>
        <v>0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0</v>
      </c>
      <c r="BJ43">
        <f>CumulativeConfirmed!BJ43-CumulativeRecovered!BJ43-CumulativeDead!BJ43</f>
        <v>0</v>
      </c>
      <c r="BK43">
        <f>CumulativeConfirmed!BK43-CumulativeRecovered!BK43-CumulativeDead!BK43</f>
        <v>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95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0</v>
      </c>
      <c r="BJ44">
        <f>CumulativeConfirmed!BJ44-CumulativeRecovered!BJ44-CumulativeDead!BJ44</f>
        <v>0</v>
      </c>
      <c r="BK44">
        <f>CumulativeConfirmed!BK44-CumulativeRecovered!BK44-CumulativeDead!BK44</f>
        <v>0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0</v>
      </c>
      <c r="BJ45">
        <f>CumulativeConfirmed!BJ45-CumulativeRecovered!BJ45-CumulativeDead!BJ45</f>
        <v>0</v>
      </c>
      <c r="BK45">
        <f>CumulativeConfirmed!BK45-CumulativeRecovered!BK45-CumulativeDead!BK45</f>
        <v>0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0</v>
      </c>
      <c r="BJ46">
        <f>CumulativeConfirmed!BJ46-CumulativeRecovered!BJ46-CumulativeDead!BJ46</f>
        <v>0</v>
      </c>
      <c r="BK46">
        <f>CumulativeConfirmed!BK46-CumulativeRecovered!BK46-CumulativeDead!BK46</f>
        <v>0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0</v>
      </c>
      <c r="BJ47">
        <f>CumulativeConfirmed!BJ47-CumulativeRecovered!BJ47-CumulativeDead!BJ47</f>
        <v>0</v>
      </c>
      <c r="BK47">
        <f>CumulativeConfirmed!BK47-CumulativeRecovered!BK47-CumulativeDead!BK47</f>
        <v>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0</v>
      </c>
      <c r="BJ48">
        <f>CumulativeConfirmed!BJ48-CumulativeRecovered!BJ48-CumulativeDead!BJ48</f>
        <v>0</v>
      </c>
      <c r="BK48">
        <f>CumulativeConfirmed!BK48-CumulativeRecovered!BK48-CumulativeDead!BK48</f>
        <v>0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0</v>
      </c>
      <c r="BJ49">
        <f>CumulativeConfirmed!BJ49-CumulativeRecovered!BJ49-CumulativeDead!BJ49</f>
        <v>0</v>
      </c>
      <c r="BK49">
        <f>CumulativeConfirmed!BK49-CumulativeRecovered!BK49-CumulativeDead!BK49</f>
        <v>0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0</v>
      </c>
      <c r="BJ50">
        <f>CumulativeConfirmed!BJ50-CumulativeRecovered!BJ50-CumulativeDead!BJ50</f>
        <v>0</v>
      </c>
      <c r="BK50">
        <f>CumulativeConfirmed!BK50-CumulativeRecovered!BK50-CumulativeDead!BK50</f>
        <v>0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0</v>
      </c>
      <c r="BJ51">
        <f>CumulativeConfirmed!BJ51-CumulativeRecovered!BJ51-CumulativeDead!BJ51</f>
        <v>0</v>
      </c>
      <c r="BK51">
        <f>CumulativeConfirmed!BK51-CumulativeRecovered!BK51-CumulativeDead!BK51</f>
        <v>0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0</v>
      </c>
      <c r="BJ52">
        <f>CumulativeConfirmed!BJ52-CumulativeRecovered!BJ52-CumulativeDead!BJ52</f>
        <v>0</v>
      </c>
      <c r="BK52">
        <f>CumulativeConfirmed!BK52-CumulativeRecovered!BK52-CumulativeDead!BK52</f>
        <v>0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0</v>
      </c>
      <c r="BJ53">
        <f>CumulativeConfirmed!BJ53-CumulativeRecovered!BJ53-CumulativeDead!BJ53</f>
        <v>0</v>
      </c>
      <c r="BK53">
        <f>CumulativeConfirmed!BK53-CumulativeRecovered!BK53-CumulativeDead!BK53</f>
        <v>0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0</v>
      </c>
      <c r="BJ54">
        <f>CumulativeConfirmed!BJ54-CumulativeRecovered!BJ54-CumulativeDead!BJ54</f>
        <v>0</v>
      </c>
      <c r="BK54">
        <f>CumulativeConfirmed!BK54-CumulativeRecovered!BK54-CumulativeDead!BK54</f>
        <v>0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0</v>
      </c>
      <c r="BJ55">
        <f>CumulativeConfirmed!BJ55-CumulativeRecovered!BJ55-CumulativeDead!BJ55</f>
        <v>0</v>
      </c>
      <c r="BK55">
        <f>CumulativeConfirmed!BK55-CumulativeRecovered!BK55-CumulativeDead!BK55</f>
        <v>0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0</v>
      </c>
      <c r="BJ56">
        <f>CumulativeConfirmed!BJ56-CumulativeRecovered!BJ56-CumulativeDead!BJ56</f>
        <v>0</v>
      </c>
      <c r="BK56">
        <f>CumulativeConfirmed!BK56-CumulativeRecovered!BK56-CumulativeDead!BK56</f>
        <v>0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0</v>
      </c>
      <c r="BJ57">
        <f>CumulativeConfirmed!BJ57-CumulativeRecovered!BJ57-CumulativeDead!BJ57</f>
        <v>0</v>
      </c>
      <c r="BK57">
        <f>CumulativeConfirmed!BK57-CumulativeRecovered!BK57-CumulativeDead!BK57</f>
        <v>0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0</v>
      </c>
      <c r="BJ58">
        <f>CumulativeConfirmed!BJ58-CumulativeRecovered!BJ58-CumulativeDead!BJ58</f>
        <v>0</v>
      </c>
      <c r="BK58">
        <f>CumulativeConfirmed!BK58-CumulativeRecovered!BK58-CumulativeDead!BK58</f>
        <v>0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0</v>
      </c>
      <c r="BJ59">
        <f>CumulativeConfirmed!BJ59-CumulativeRecovered!BJ59-CumulativeDead!BJ59</f>
        <v>0</v>
      </c>
      <c r="BK59">
        <f>CumulativeConfirmed!BK59-CumulativeRecovered!BK59-CumulativeDead!BK59</f>
        <v>0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0</v>
      </c>
      <c r="BJ60">
        <f>CumulativeConfirmed!BJ60-CumulativeRecovered!BJ60-CumulativeDead!BJ60</f>
        <v>0</v>
      </c>
      <c r="BK60">
        <f>CumulativeConfirmed!BK60-CumulativeRecovered!BK60-CumulativeDead!BK60</f>
        <v>0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0</v>
      </c>
      <c r="BJ61">
        <f>CumulativeConfirmed!BJ61-CumulativeRecovered!BJ61-CumulativeDead!BJ61</f>
        <v>0</v>
      </c>
      <c r="BK61">
        <f>CumulativeConfirmed!BK61-CumulativeRecovered!BK61-CumulativeDead!BK61</f>
        <v>0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0</v>
      </c>
      <c r="BJ62">
        <f>CumulativeConfirmed!BJ62-CumulativeRecovered!BJ62-CumulativeDead!BJ62</f>
        <v>0</v>
      </c>
      <c r="BK62">
        <f>CumulativeConfirmed!BK62-CumulativeRecovered!BK62-CumulativeDead!BK62</f>
        <v>0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0</v>
      </c>
      <c r="BJ63">
        <f>CumulativeConfirmed!BJ63-CumulativeRecovered!BJ63-CumulativeDead!BJ63</f>
        <v>0</v>
      </c>
      <c r="BK63">
        <f>CumulativeConfirmed!BK63-CumulativeRecovered!BK63-CumulativeDead!BK63</f>
        <v>0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0</v>
      </c>
      <c r="BJ64">
        <f>CumulativeConfirmed!BJ64-CumulativeRecovered!BJ64-CumulativeDead!BJ64</f>
        <v>0</v>
      </c>
      <c r="BK64">
        <f>CumulativeConfirmed!BK64-CumulativeRecovered!BK64-CumulativeDead!BK64</f>
        <v>0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0</v>
      </c>
      <c r="BJ65">
        <f>CumulativeConfirmed!BJ65-CumulativeRecovered!BJ65-CumulativeDead!BJ65</f>
        <v>0</v>
      </c>
      <c r="BK65">
        <f>CumulativeConfirmed!BK65-CumulativeRecovered!BK65-CumulativeDead!BK65</f>
        <v>0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0</v>
      </c>
      <c r="BJ66">
        <f>CumulativeConfirmed!BJ66-CumulativeRecovered!BJ66-CumulativeDead!BJ66</f>
        <v>0</v>
      </c>
      <c r="BK66">
        <f>CumulativeConfirmed!BK66-CumulativeRecovered!BK66-CumulativeDead!BK66</f>
        <v>0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0</v>
      </c>
      <c r="BJ67">
        <f>CumulativeConfirmed!BJ67-CumulativeRecovered!BJ67-CumulativeDead!BJ67</f>
        <v>0</v>
      </c>
      <c r="BK67">
        <f>CumulativeConfirmed!BK67-CumulativeRecovered!BK67-CumulativeDead!BK67</f>
        <v>0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0</v>
      </c>
      <c r="BJ68">
        <f>CumulativeConfirmed!BJ68-CumulativeRecovered!BJ68-CumulativeDead!BJ68</f>
        <v>0</v>
      </c>
      <c r="BK68">
        <f>CumulativeConfirmed!BK68-CumulativeRecovered!BK68-CumulativeDead!BK68</f>
        <v>0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0</v>
      </c>
      <c r="BJ69">
        <f>CumulativeConfirmed!BJ69-CumulativeRecovered!BJ69-CumulativeDead!BJ69</f>
        <v>0</v>
      </c>
      <c r="BK69">
        <f>CumulativeConfirmed!BK69-CumulativeRecovered!BK69-CumulativeDead!BK69</f>
        <v>0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0</v>
      </c>
      <c r="BJ70">
        <f>CumulativeConfirmed!BJ70-CumulativeRecovered!BJ70-CumulativeDead!BJ70</f>
        <v>0</v>
      </c>
      <c r="BK70">
        <f>CumulativeConfirmed!BK70-CumulativeRecovered!BK70-CumulativeDead!BK70</f>
        <v>0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0</v>
      </c>
      <c r="BJ71">
        <f>CumulativeConfirmed!BJ71-CumulativeRecovered!BJ71-CumulativeDead!BJ71</f>
        <v>0</v>
      </c>
      <c r="BK71">
        <f>CumulativeConfirmed!BK71-CumulativeRecovered!BK71-CumulativeDead!BK71</f>
        <v>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0</v>
      </c>
      <c r="BJ72">
        <f>CumulativeConfirmed!BJ72-CumulativeRecovered!BJ72-CumulativeDead!BJ72</f>
        <v>0</v>
      </c>
      <c r="BK72">
        <f>CumulativeConfirmed!BK72-CumulativeRecovered!BK72-CumulativeDead!BK72</f>
        <v>0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0</v>
      </c>
      <c r="BJ73">
        <f>CumulativeConfirmed!BJ73-CumulativeRecovered!BJ73-CumulativeDead!BJ73</f>
        <v>0</v>
      </c>
      <c r="BK73">
        <f>CumulativeConfirmed!BK73-CumulativeRecovered!BK73-CumulativeDead!BK73</f>
        <v>0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8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0</v>
      </c>
      <c r="BJ74">
        <f>CumulativeConfirmed!BJ74-CumulativeRecovered!BJ74-CumulativeDead!BJ74</f>
        <v>0</v>
      </c>
      <c r="BK74">
        <f>CumulativeConfirmed!BK74-CumulativeRecovered!BK74-CumulativeDead!BK74</f>
        <v>0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0</v>
      </c>
      <c r="BJ75">
        <f>CumulativeConfirmed!BJ75-CumulativeRecovered!BJ75-CumulativeDead!BJ75</f>
        <v>0</v>
      </c>
      <c r="BK75">
        <f>CumulativeConfirmed!BK75-CumulativeRecovered!BK75-CumulativeDead!BK75</f>
        <v>0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0</v>
      </c>
      <c r="BJ76">
        <f>CumulativeConfirmed!BJ76-CumulativeRecovered!BJ76-CumulativeDead!BJ76</f>
        <v>0</v>
      </c>
      <c r="BK76">
        <f>CumulativeConfirmed!BK76-CumulativeRecovered!BK76-CumulativeDead!BK76</f>
        <v>0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0</v>
      </c>
      <c r="BJ77">
        <f>CumulativeConfirmed!BJ77-CumulativeRecovered!BJ77-CumulativeDead!BJ77</f>
        <v>0</v>
      </c>
      <c r="BK77">
        <f>CumulativeConfirmed!BK77-CumulativeRecovered!BK77-CumulativeDead!BK77</f>
        <v>0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0</v>
      </c>
      <c r="BJ78">
        <f>CumulativeConfirmed!BJ78-CumulativeRecovered!BJ78-CumulativeDead!BJ78</f>
        <v>0</v>
      </c>
      <c r="BK78">
        <f>CumulativeConfirmed!BK78-CumulativeRecovered!BK78-CumulativeDead!BK78</f>
        <v>0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0</v>
      </c>
      <c r="BJ79">
        <f>CumulativeConfirmed!BJ79-CumulativeRecovered!BJ79-CumulativeDead!BJ79</f>
        <v>0</v>
      </c>
      <c r="BK79">
        <f>CumulativeConfirmed!BK79-CumulativeRecovered!BK79-CumulativeDead!BK79</f>
        <v>0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0</v>
      </c>
      <c r="BJ80">
        <f>CumulativeConfirmed!BJ80-CumulativeRecovered!BJ80-CumulativeDead!BJ80</f>
        <v>0</v>
      </c>
      <c r="BK80">
        <f>CumulativeConfirmed!BK80-CumulativeRecovered!BK80-CumulativeDead!BK80</f>
        <v>0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0</v>
      </c>
      <c r="BJ81">
        <f>CumulativeConfirmed!BJ81-CumulativeRecovered!BJ81-CumulativeDead!BJ81</f>
        <v>0</v>
      </c>
      <c r="BK81">
        <f>CumulativeConfirmed!BK81-CumulativeRecovered!BK81-CumulativeDead!BK81</f>
        <v>0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0</v>
      </c>
      <c r="BJ82">
        <f>CumulativeConfirmed!BJ82-CumulativeRecovered!BJ82-CumulativeDead!BJ82</f>
        <v>0</v>
      </c>
      <c r="BK82">
        <f>CumulativeConfirmed!BK82-CumulativeRecovered!BK82-CumulativeDead!BK82</f>
        <v>0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0</v>
      </c>
      <c r="BJ83">
        <f>CumulativeConfirmed!BJ83-CumulativeRecovered!BJ83-CumulativeDead!BJ83</f>
        <v>0</v>
      </c>
      <c r="BK83">
        <f>CumulativeConfirmed!BK83-CumulativeRecovered!BK83-CumulativeDead!BK83</f>
        <v>0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0</v>
      </c>
      <c r="BJ84">
        <f>CumulativeConfirmed!BJ84-CumulativeRecovered!BJ84-CumulativeDead!BJ84</f>
        <v>0</v>
      </c>
      <c r="BK84">
        <f>CumulativeConfirmed!BK84-CumulativeRecovered!BK84-CumulativeDead!BK84</f>
        <v>0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0</v>
      </c>
      <c r="BJ85">
        <f>CumulativeConfirmed!BJ85-CumulativeRecovered!BJ85-CumulativeDead!BJ85</f>
        <v>0</v>
      </c>
      <c r="BK85">
        <f>CumulativeConfirmed!BK85-CumulativeRecovered!BK85-CumulativeDead!BK85</f>
        <v>0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0</v>
      </c>
      <c r="BJ86">
        <f>CumulativeConfirmed!BJ86-CumulativeRecovered!BJ86-CumulativeDead!BJ86</f>
        <v>0</v>
      </c>
      <c r="BK86">
        <f>CumulativeConfirmed!BK86-CumulativeRecovered!BK86-CumulativeDead!BK86</f>
        <v>0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0</v>
      </c>
      <c r="BJ87">
        <f>CumulativeConfirmed!BJ87-CumulativeRecovered!BJ87-CumulativeDead!BJ87</f>
        <v>0</v>
      </c>
      <c r="BK87">
        <f>CumulativeConfirmed!BK87-CumulativeRecovered!BK87-CumulativeDead!BK87</f>
        <v>0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0</v>
      </c>
      <c r="BJ88">
        <f>CumulativeConfirmed!BJ88-CumulativeRecovered!BJ88-CumulativeDead!BJ88</f>
        <v>0</v>
      </c>
      <c r="BK88">
        <f>CumulativeConfirmed!BK88-CumulativeRecovered!BK88-CumulativeDead!BK88</f>
        <v>0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0</v>
      </c>
      <c r="BJ89">
        <f>CumulativeConfirmed!BJ89-CumulativeRecovered!BJ89-CumulativeDead!BJ89</f>
        <v>0</v>
      </c>
      <c r="BK89">
        <f>CumulativeConfirmed!BK89-CumulativeRecovered!BK89-CumulativeDead!BK89</f>
        <v>0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0</v>
      </c>
      <c r="BJ90">
        <f>CumulativeConfirmed!BJ90-CumulativeRecovered!BJ90-CumulativeDead!BJ90</f>
        <v>0</v>
      </c>
      <c r="BK90">
        <f>CumulativeConfirmed!BK90-CumulativeRecovered!BK90-CumulativeDead!BK90</f>
        <v>0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0</v>
      </c>
      <c r="BJ91">
        <f>CumulativeConfirmed!BJ91-CumulativeRecovered!BJ91-CumulativeDead!BJ91</f>
        <v>0</v>
      </c>
      <c r="BK91">
        <f>CumulativeConfirmed!BK91-CumulativeRecovered!BK91-CumulativeDead!BK91</f>
        <v>0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0</v>
      </c>
      <c r="BJ92">
        <f>CumulativeConfirmed!BJ92-CumulativeRecovered!BJ92-CumulativeDead!BJ92</f>
        <v>0</v>
      </c>
      <c r="BK92">
        <f>CumulativeConfirmed!BK92-CumulativeRecovered!BK92-CumulativeDead!BK92</f>
        <v>0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0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0</v>
      </c>
      <c r="BJ94">
        <f>CumulativeConfirmed!BJ94-CumulativeRecovered!BJ94-CumulativeDead!BJ94</f>
        <v>0</v>
      </c>
      <c r="BK94">
        <f>CumulativeConfirmed!BK94-CumulativeRecovered!BK94-CumulativeDead!BK94</f>
        <v>0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0</v>
      </c>
      <c r="BJ96">
        <f>CumulativeConfirmed!BJ96-CumulativeRecovered!BJ96-CumulativeDead!BJ96</f>
        <v>0</v>
      </c>
      <c r="BK96">
        <f>CumulativeConfirmed!BK96-CumulativeRecovered!BK96-CumulativeDead!BK96</f>
        <v>0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0</v>
      </c>
      <c r="BJ97">
        <f>CumulativeConfirmed!BJ97-CumulativeRecovered!BJ97-CumulativeDead!BJ97</f>
        <v>0</v>
      </c>
      <c r="BK97">
        <f>CumulativeConfirmed!BK97-CumulativeRecovered!BK97-CumulativeDead!BK97</f>
        <v>0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0</v>
      </c>
      <c r="BJ98">
        <f>CumulativeConfirmed!BJ98-CumulativeRecovered!BJ98-CumulativeDead!BJ98</f>
        <v>0</v>
      </c>
      <c r="BK98">
        <f>CumulativeConfirmed!BK98-CumulativeRecovered!BK98-CumulativeDead!BK98</f>
        <v>0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0</v>
      </c>
      <c r="BJ99">
        <f>CumulativeConfirmed!BJ99-CumulativeRecovered!BJ99-CumulativeDead!BJ99</f>
        <v>0</v>
      </c>
      <c r="BK99">
        <f>CumulativeConfirmed!BK99-CumulativeRecovered!BK99-CumulativeDead!BK99</f>
        <v>0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0</v>
      </c>
      <c r="BJ100">
        <f>CumulativeConfirmed!BJ100-CumulativeRecovered!BJ100-CumulativeDead!BJ100</f>
        <v>0</v>
      </c>
      <c r="BK100">
        <f>CumulativeConfirmed!BK100-CumulativeRecovered!BK100-CumulativeDead!BK100</f>
        <v>0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2</v>
      </c>
      <c r="AV101">
        <f>CumulativeConfirmed!AV101-CumulativeRecovered!AV101-CumulativeDead!AV101</f>
        <v>2</v>
      </c>
      <c r="AW101">
        <f>CumulativeConfirmed!AW101-CumulativeRecovered!AW101-CumulativeDead!AW101</f>
        <v>2</v>
      </c>
      <c r="AX101">
        <f>CumulativeConfirmed!AX101-CumulativeRecovered!AX101-CumulativeDead!AX101</f>
        <v>2</v>
      </c>
      <c r="AY101">
        <f>CumulativeConfirmed!AY101-CumulativeRecovered!AY101-CumulativeDead!AY101</f>
        <v>3</v>
      </c>
      <c r="AZ101">
        <f>CumulativeConfirmed!AZ101-CumulativeRecovered!AZ101-CumulativeDead!AZ101</f>
        <v>3</v>
      </c>
      <c r="BA101">
        <f>CumulativeConfirmed!BA101-CumulativeRecovered!BA101-CumulativeDead!BA101</f>
        <v>3</v>
      </c>
      <c r="BB101">
        <f>CumulativeConfirmed!BB101-CumulativeRecovered!BB101-CumulativeDead!BB101</f>
        <v>9</v>
      </c>
      <c r="BC101">
        <f>CumulativeConfirmed!BC101-CumulativeRecovered!BC101-CumulativeDead!BC101</f>
        <v>9</v>
      </c>
      <c r="BD101">
        <f>CumulativeConfirmed!BD101-CumulativeRecovered!BD101-CumulativeDead!BD101</f>
        <v>14</v>
      </c>
      <c r="BE101">
        <f>CumulativeConfirmed!BE101-CumulativeRecovered!BE101-CumulativeDead!BE101</f>
        <v>15</v>
      </c>
      <c r="BF101">
        <f>CumulativeConfirmed!BF101-CumulativeRecovered!BF101-CumulativeDead!BF101</f>
        <v>18</v>
      </c>
      <c r="BG101">
        <f>CumulativeConfirmed!BG101-CumulativeRecovered!BG101-CumulativeDead!BG101</f>
        <v>22</v>
      </c>
      <c r="BH101">
        <f>CumulativeConfirmed!BH101-CumulativeRecovered!BH101-CumulativeDead!BH101</f>
        <v>31</v>
      </c>
      <c r="BI101">
        <f>CumulativeConfirmed!BI101-CumulativeRecovered!BI101-CumulativeDead!BI101</f>
        <v>0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0</v>
      </c>
      <c r="BJ102">
        <f>CumulativeConfirmed!BJ102-CumulativeRecovered!BJ102-CumulativeDead!BJ102</f>
        <v>0</v>
      </c>
      <c r="BK102">
        <f>CumulativeConfirmed!BK102-CumulativeRecovered!BK102-CumulativeDead!BK102</f>
        <v>0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0</v>
      </c>
      <c r="BJ104">
        <f>CumulativeConfirmed!BJ104-CumulativeRecovered!BJ104-CumulativeDead!BJ104</f>
        <v>0</v>
      </c>
      <c r="BK104">
        <f>CumulativeConfirmed!BK104-CumulativeRecovered!BK104-CumulativeDead!BK104</f>
        <v>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0</v>
      </c>
      <c r="BJ105">
        <f>CumulativeConfirmed!BJ105-CumulativeRecovered!BJ105-CumulativeDead!BJ105</f>
        <v>0</v>
      </c>
      <c r="BK105">
        <f>CumulativeConfirmed!BK105-CumulativeRecovered!BK105-CumulativeDead!BK105</f>
        <v>0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0</v>
      </c>
      <c r="BJ106">
        <f>CumulativeConfirmed!BJ106-CumulativeRecovered!BJ106-CumulativeDead!BJ106</f>
        <v>0</v>
      </c>
      <c r="BK106">
        <f>CumulativeConfirmed!BK106-CumulativeRecovered!BK106-CumulativeDead!BK106</f>
        <v>0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0</v>
      </c>
      <c r="BJ107">
        <f>CumulativeConfirmed!BJ107-CumulativeRecovered!BJ107-CumulativeDead!BJ107</f>
        <v>0</v>
      </c>
      <c r="BK107">
        <f>CumulativeConfirmed!BK107-CumulativeRecovered!BK107-CumulativeDead!BK107</f>
        <v>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0</v>
      </c>
      <c r="BJ108">
        <f>CumulativeConfirmed!BJ108-CumulativeRecovered!BJ108-CumulativeDead!BJ108</f>
        <v>0</v>
      </c>
      <c r="BK108">
        <f>CumulativeConfirmed!BK108-CumulativeRecovered!BK108-CumulativeDead!BK108</f>
        <v>0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0</v>
      </c>
      <c r="BJ109">
        <f>CumulativeConfirmed!BJ109-CumulativeRecovered!BJ109-CumulativeDead!BJ109</f>
        <v>0</v>
      </c>
      <c r="BK109">
        <f>CumulativeConfirmed!BK109-CumulativeRecovered!BK109-CumulativeDead!BK109</f>
        <v>0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0</v>
      </c>
      <c r="BJ110">
        <f>CumulativeConfirmed!BJ110-CumulativeRecovered!BJ110-CumulativeDead!BJ110</f>
        <v>0</v>
      </c>
      <c r="BK110">
        <f>CumulativeConfirmed!BK110-CumulativeRecovered!BK110-CumulativeDead!BK110</f>
        <v>0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0</v>
      </c>
      <c r="BJ111">
        <f>CumulativeConfirmed!BJ111-CumulativeRecovered!BJ111-CumulativeDead!BJ111</f>
        <v>0</v>
      </c>
      <c r="BK111">
        <f>CumulativeConfirmed!BK111-CumulativeRecovered!BK111-CumulativeDead!BK111</f>
        <v>0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0</v>
      </c>
      <c r="BJ112">
        <f>CumulativeConfirmed!BJ112-CumulativeRecovered!BJ112-CumulativeDead!BJ112</f>
        <v>0</v>
      </c>
      <c r="BK112">
        <f>CumulativeConfirmed!BK112-CumulativeRecovered!BK112-CumulativeDead!BK112</f>
        <v>0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0</v>
      </c>
      <c r="BJ114">
        <f>CumulativeConfirmed!BJ114-CumulativeRecovered!BJ114-CumulativeDead!BJ114</f>
        <v>0</v>
      </c>
      <c r="BK114">
        <f>CumulativeConfirmed!BK114-CumulativeRecovered!BK114-CumulativeDead!BK114</f>
        <v>0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0</v>
      </c>
      <c r="BJ115">
        <f>CumulativeConfirmed!BJ115-CumulativeRecovered!BJ115-CumulativeDead!BJ115</f>
        <v>0</v>
      </c>
      <c r="BK115">
        <f>CumulativeConfirmed!BK115-CumulativeRecovered!BK115-CumulativeDead!BK115</f>
        <v>0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0</v>
      </c>
      <c r="BJ117">
        <f>CumulativeConfirmed!BJ117-CumulativeRecovered!BJ117-CumulativeDead!BJ117</f>
        <v>0</v>
      </c>
      <c r="BK117">
        <f>CumulativeConfirmed!BK117-CumulativeRecovered!BK117-CumulativeDead!BK117</f>
        <v>0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0</v>
      </c>
      <c r="BJ118">
        <f>CumulativeConfirmed!BJ118-CumulativeRecovered!BJ118-CumulativeDead!BJ118</f>
        <v>0</v>
      </c>
      <c r="BK118">
        <f>CumulativeConfirmed!BK118-CumulativeRecovered!BK118-CumulativeDead!BK118</f>
        <v>0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0</v>
      </c>
      <c r="BJ119">
        <f>CumulativeConfirmed!BJ119-CumulativeRecovered!BJ119-CumulativeDead!BJ119</f>
        <v>0</v>
      </c>
      <c r="BK119">
        <f>CumulativeConfirmed!BK119-CumulativeRecovered!BK119-CumulativeDead!BK119</f>
        <v>0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0</v>
      </c>
      <c r="BJ120">
        <f>CumulativeConfirmed!BJ120-CumulativeRecovered!BJ120-CumulativeDead!BJ120</f>
        <v>0</v>
      </c>
      <c r="BK120">
        <f>CumulativeConfirmed!BK120-CumulativeRecovered!BK120-CumulativeDead!BK120</f>
        <v>0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0</v>
      </c>
      <c r="BJ121">
        <f>CumulativeConfirmed!BJ121-CumulativeRecovered!BJ121-CumulativeDead!BJ121</f>
        <v>0</v>
      </c>
      <c r="BK121">
        <f>CumulativeConfirmed!BK121-CumulativeRecovered!BK121-CumulativeDead!BK121</f>
        <v>0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0</v>
      </c>
      <c r="BJ122">
        <f>CumulativeConfirmed!BJ122-CumulativeRecovered!BJ122-CumulativeDead!BJ122</f>
        <v>0</v>
      </c>
      <c r="BK122">
        <f>CumulativeConfirmed!BK122-CumulativeRecovered!BK122-CumulativeDead!BK122</f>
        <v>0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0</v>
      </c>
      <c r="BJ123">
        <f>CumulativeConfirmed!BJ123-CumulativeRecovered!BJ123-CumulativeDead!BJ123</f>
        <v>0</v>
      </c>
      <c r="BK123">
        <f>CumulativeConfirmed!BK123-CumulativeRecovered!BK123-CumulativeDead!BK123</f>
        <v>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0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0</v>
      </c>
      <c r="BJ125">
        <f>CumulativeConfirmed!BJ125-CumulativeRecovered!BJ125-CumulativeDead!BJ125</f>
        <v>0</v>
      </c>
      <c r="BK125">
        <f>CumulativeConfirmed!BK125-CumulativeRecovered!BK125-CumulativeDead!BK125</f>
        <v>0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0</v>
      </c>
      <c r="BJ126">
        <f>CumulativeConfirmed!BJ126-CumulativeRecovered!BJ126-CumulativeDead!BJ126</f>
        <v>0</v>
      </c>
      <c r="BK126">
        <f>CumulativeConfirmed!BK126-CumulativeRecovered!BK126-CumulativeDead!BK126</f>
        <v>0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0</v>
      </c>
      <c r="BJ2">
        <f>SUMIF(ConfirmedRaw!$B:$B,$A2,ConfirmedRaw!BM:BM)</f>
        <v>0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0</v>
      </c>
      <c r="BJ3">
        <f>SUMIF(ConfirmedRaw!$B:$B,$A3,ConfirmedRaw!BM:BM)</f>
        <v>0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0</v>
      </c>
      <c r="BJ4">
        <f>SUMIF(ConfirmedRaw!$B:$B,$A4,ConfirmedRaw!BM:BM)</f>
        <v>0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0</v>
      </c>
      <c r="BJ5">
        <f>SUMIF(ConfirmedRaw!$B:$B,$A5,ConfirmedRaw!BM:BM)</f>
        <v>0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0</v>
      </c>
      <c r="BJ6">
        <f>SUMIF(ConfirmedRaw!$B:$B,$A6,ConfirmedRaw!BM:BM)</f>
        <v>0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0</v>
      </c>
      <c r="BJ7">
        <f>SUMIF(ConfirmedRaw!$B:$B,$A7,ConfirmedRaw!BM:BM)</f>
        <v>0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12726</v>
      </c>
      <c r="BI8">
        <f>SUMIF(ConfirmedRaw!$B:$B,$A8,ConfirmedRaw!BL:BL)</f>
        <v>0</v>
      </c>
      <c r="BJ8">
        <f>SUMIF(ConfirmedRaw!$B:$B,$A8,ConfirmedRaw!BM:BM)</f>
        <v>0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0</v>
      </c>
      <c r="BJ9">
        <f>SUMIF(ConfirmedRaw!$B:$B,$A9,ConfirmedRaw!BM:BM)</f>
        <v>0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0</v>
      </c>
      <c r="BJ10">
        <f>SUMIF(ConfirmedRaw!$B:$B,$A10,ConfirmedRaw!BM:BM)</f>
        <v>0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0</v>
      </c>
      <c r="BJ11">
        <f>SUMIF(ConfirmedRaw!$B:$B,$A11,ConfirmedRaw!BM:BM)</f>
        <v>0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0</v>
      </c>
      <c r="BJ12">
        <f>SUMIF(ConfirmedRaw!$B:$B,$A12,ConfirmedRaw!BM:BM)</f>
        <v>0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0</v>
      </c>
      <c r="BJ13">
        <f>SUMIF(ConfirmedRaw!$B:$B,$A13,ConfirmedRaw!BM:BM)</f>
        <v>0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0</v>
      </c>
      <c r="BJ14">
        <f>SUMIF(ConfirmedRaw!$B:$B,$A14,ConfirmedRaw!BM:BM)</f>
        <v>0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0</v>
      </c>
      <c r="BJ15">
        <f>SUMIF(ConfirmedRaw!$B:$B,$A15,ConfirmedRaw!BM:BM)</f>
        <v>0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0</v>
      </c>
      <c r="BJ16">
        <f>SUMIF(ConfirmedRaw!$B:$B,$A16,ConfirmedRaw!BM:BM)</f>
        <v>0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712</v>
      </c>
      <c r="BI17">
        <f>SUMIF(ConfirmedRaw!$B:$B,$A17,ConfirmedRaw!BL:BL)</f>
        <v>0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0</v>
      </c>
      <c r="BJ18">
        <f>SUMIF(ConfirmedRaw!$B:$B,$A18,ConfirmedRaw!BM:BM)</f>
        <v>0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0</v>
      </c>
      <c r="BJ19">
        <f>SUMIF(ConfirmedRaw!$B:$B,$A19,ConfirmedRaw!BM:BM)</f>
        <v>0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0</v>
      </c>
      <c r="BJ20">
        <f>SUMIF(ConfirmedRaw!$B:$B,$A20,ConfirmedRaw!BM:BM)</f>
        <v>0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0</v>
      </c>
      <c r="BJ21">
        <f>SUMIF(ConfirmedRaw!$B:$B,$A21,ConfirmedRaw!BM:BM)</f>
        <v>0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0</v>
      </c>
      <c r="BJ22">
        <f>SUMIF(ConfirmedRaw!$B:$B,$A22,ConfirmedRaw!BM:BM)</f>
        <v>0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0</v>
      </c>
      <c r="BJ23">
        <f>SUMIF(ConfirmedRaw!$B:$B,$A23,ConfirmedRaw!BM:BM)</f>
        <v>0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0</v>
      </c>
      <c r="BJ24">
        <f>SUMIF(ConfirmedRaw!$B:$B,$A24,ConfirmedRaw!BM:BM)</f>
        <v>0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0</v>
      </c>
      <c r="BJ25">
        <f>SUMIF(ConfirmedRaw!$B:$B,$A25,ConfirmedRaw!BM:BM)</f>
        <v>0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0</v>
      </c>
      <c r="BJ26">
        <f>SUMIF(ConfirmedRaw!$B:$B,$A26,ConfirmedRaw!BM:BM)</f>
        <v>0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0</v>
      </c>
      <c r="BJ27">
        <f>SUMIF(ConfirmedRaw!$B:$B,$A27,ConfirmedRaw!BM:BM)</f>
        <v>0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0</v>
      </c>
      <c r="BJ28">
        <f>SUMIF(ConfirmedRaw!$B:$B,$A28,ConfirmedRaw!BM:BM)</f>
        <v>0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0</v>
      </c>
      <c r="BJ29">
        <f>SUMIF(ConfirmedRaw!$B:$B,$A29,ConfirmedRaw!BM:BM)</f>
        <v>0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0</v>
      </c>
      <c r="BJ30">
        <f>SUMIF(ConfirmedRaw!$B:$B,$A30,ConfirmedRaw!BM:BM)</f>
        <v>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0</v>
      </c>
      <c r="BJ31">
        <f>SUMIF(ConfirmedRaw!$B:$B,$A31,ConfirmedRaw!BM:BM)</f>
        <v>0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0</v>
      </c>
      <c r="BJ32">
        <f>SUMIF(ConfirmedRaw!$B:$B,$A32,ConfirmedRaw!BM:BM)</f>
        <v>0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0</v>
      </c>
      <c r="BJ33">
        <f>SUMIF(ConfirmedRaw!$B:$B,$A33,ConfirmedRaw!BM:BM)</f>
        <v>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0</v>
      </c>
      <c r="BJ34">
        <f>SUMIF(ConfirmedRaw!$B:$B,$A34,ConfirmedRaw!BM:BM)</f>
        <v>0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0</v>
      </c>
      <c r="BJ35">
        <f>SUMIF(ConfirmedRaw!$B:$B,$A35,ConfirmedRaw!BM:BM)</f>
        <v>0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0</v>
      </c>
      <c r="BJ36">
        <f>SUMIF(ConfirmedRaw!$B:$B,$A36,ConfirmedRaw!BM:BM)</f>
        <v>0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0</v>
      </c>
      <c r="BJ37">
        <f>SUMIF(ConfirmedRaw!$B:$B,$A37,ConfirmedRaw!BM:BM)</f>
        <v>0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0</v>
      </c>
      <c r="BJ38">
        <f>SUMIF(ConfirmedRaw!$B:$B,$A38,ConfirmedRaw!BM:BM)</f>
        <v>0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0</v>
      </c>
      <c r="BJ39">
        <f>SUMIF(ConfirmedRaw!$B:$B,$A39,ConfirmedRaw!BM:BM)</f>
        <v>0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0</v>
      </c>
      <c r="BJ40">
        <f>SUMIF(ConfirmedRaw!$B:$B,$A40,ConfirmedRaw!BM:BM)</f>
        <v>0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0</v>
      </c>
      <c r="BJ41">
        <f>SUMIF(ConfirmedRaw!$B:$B,$A41,ConfirmedRaw!BM:BM)</f>
        <v>0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0</v>
      </c>
      <c r="BJ42">
        <f>SUMIF(ConfirmedRaw!$B:$B,$A42,ConfirmedRaw!BM:BM)</f>
        <v>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0</v>
      </c>
      <c r="BJ43">
        <f>SUMIF(ConfirmedRaw!$B:$B,$A43,ConfirmedRaw!BM:BM)</f>
        <v>0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0</v>
      </c>
      <c r="BJ44">
        <f>SUMIF(ConfirmedRaw!$B:$B,$A44,ConfirmedRaw!BM:BM)</f>
        <v>0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0</v>
      </c>
      <c r="BJ45">
        <f>SUMIF(ConfirmedRaw!$B:$B,$A45,ConfirmedRaw!BM:BM)</f>
        <v>0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0</v>
      </c>
      <c r="BJ46">
        <f>SUMIF(ConfirmedRaw!$B:$B,$A46,ConfirmedRaw!BM:BM)</f>
        <v>0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0</v>
      </c>
      <c r="BJ47">
        <f>SUMIF(ConfirmedRaw!$B:$B,$A47,ConfirmedRaw!BM:BM)</f>
        <v>0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0</v>
      </c>
      <c r="BJ48">
        <f>SUMIF(ConfirmedRaw!$B:$B,$A48,ConfirmedRaw!BM:BM)</f>
        <v>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0</v>
      </c>
      <c r="BJ49">
        <f>SUMIF(ConfirmedRaw!$B:$B,$A49,ConfirmedRaw!BM:BM)</f>
        <v>0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0</v>
      </c>
      <c r="BJ50">
        <f>SUMIF(ConfirmedRaw!$B:$B,$A50,ConfirmedRaw!BM:BM)</f>
        <v>0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0</v>
      </c>
      <c r="BJ51">
        <f>SUMIF(ConfirmedRaw!$B:$B,$A51,ConfirmedRaw!BM:BM)</f>
        <v>0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0</v>
      </c>
      <c r="BJ52">
        <f>SUMIF(ConfirmedRaw!$B:$B,$A52,ConfirmedRaw!BM:BM)</f>
        <v>0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0</v>
      </c>
      <c r="BJ53">
        <f>SUMIF(ConfirmedRaw!$B:$B,$A53,ConfirmedRaw!BM:BM)</f>
        <v>0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0</v>
      </c>
      <c r="BJ54">
        <f>SUMIF(ConfirmedRaw!$B:$B,$A54,ConfirmedRaw!BM:BM)</f>
        <v>0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0</v>
      </c>
      <c r="BJ55">
        <f>SUMIF(ConfirmedRaw!$B:$B,$A55,ConfirmedRaw!BM:BM)</f>
        <v>0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0</v>
      </c>
      <c r="BJ56">
        <f>SUMIF(ConfirmedRaw!$B:$B,$A56,ConfirmedRaw!BM:BM)</f>
        <v>0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0</v>
      </c>
      <c r="BJ57">
        <f>SUMIF(ConfirmedRaw!$B:$B,$A57,ConfirmedRaw!BM:BM)</f>
        <v>0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0</v>
      </c>
      <c r="BJ58">
        <f>SUMIF(ConfirmedRaw!$B:$B,$A58,ConfirmedRaw!BM:BM)</f>
        <v>0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0</v>
      </c>
      <c r="BJ59">
        <f>SUMIF(ConfirmedRaw!$B:$B,$A59,ConfirmedRaw!BM:BM)</f>
        <v>0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0</v>
      </c>
      <c r="BJ60">
        <f>SUMIF(ConfirmedRaw!$B:$B,$A60,ConfirmedRaw!BM:BM)</f>
        <v>0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0</v>
      </c>
      <c r="BJ61">
        <f>SUMIF(ConfirmedRaw!$B:$B,$A61,ConfirmedRaw!BM:BM)</f>
        <v>0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0</v>
      </c>
      <c r="BJ62">
        <f>SUMIF(ConfirmedRaw!$B:$B,$A62,ConfirmedRaw!BM:BM)</f>
        <v>0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0</v>
      </c>
      <c r="BJ63">
        <f>SUMIF(ConfirmedRaw!$B:$B,$A63,ConfirmedRaw!BM:BM)</f>
        <v>0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0</v>
      </c>
      <c r="BJ64">
        <f>SUMIF(ConfirmedRaw!$B:$B,$A64,ConfirmedRaw!BM:BM)</f>
        <v>0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0</v>
      </c>
      <c r="BJ65">
        <f>SUMIF(ConfirmedRaw!$B:$B,$A65,ConfirmedRaw!BM:BM)</f>
        <v>0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0</v>
      </c>
      <c r="BJ66">
        <f>SUMIF(ConfirmedRaw!$B:$B,$A66,ConfirmedRaw!BM:BM)</f>
        <v>0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0</v>
      </c>
      <c r="BJ67">
        <f>SUMIF(ConfirmedRaw!$B:$B,$A67,ConfirmedRaw!BM:BM)</f>
        <v>0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0</v>
      </c>
      <c r="BJ68">
        <f>SUMIF(ConfirmedRaw!$B:$B,$A68,ConfirmedRaw!BM:BM)</f>
        <v>0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0</v>
      </c>
      <c r="BJ69">
        <f>SUMIF(ConfirmedRaw!$B:$B,$A69,ConfirmedRaw!BM:BM)</f>
        <v>0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0</v>
      </c>
      <c r="BJ70">
        <f>SUMIF(ConfirmedRaw!$B:$B,$A70,ConfirmedRaw!BM:BM)</f>
        <v>0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0</v>
      </c>
      <c r="BJ71">
        <f>SUMIF(ConfirmedRaw!$B:$B,$A71,ConfirmedRaw!BM:BM)</f>
        <v>0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0</v>
      </c>
      <c r="BJ72">
        <f>SUMIF(ConfirmedRaw!$B:$B,$A72,ConfirmedRaw!BM:BM)</f>
        <v>0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0</v>
      </c>
      <c r="BJ73">
        <f>SUMIF(ConfirmedRaw!$B:$B,$A73,ConfirmedRaw!BM:BM)</f>
        <v>0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0</v>
      </c>
      <c r="BJ74">
        <f>SUMIF(ConfirmedRaw!$B:$B,$A74,ConfirmedRaw!BM:BM)</f>
        <v>0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0</v>
      </c>
      <c r="BJ75">
        <f>SUMIF(ConfirmedRaw!$B:$B,$A75,ConfirmedRaw!BM:BM)</f>
        <v>0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0</v>
      </c>
      <c r="BJ76">
        <f>SUMIF(ConfirmedRaw!$B:$B,$A76,ConfirmedRaw!BM:BM)</f>
        <v>0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0</v>
      </c>
      <c r="BJ77">
        <f>SUMIF(ConfirmedRaw!$B:$B,$A77,ConfirmedRaw!BM:BM)</f>
        <v>0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0</v>
      </c>
      <c r="BJ78">
        <f>SUMIF(ConfirmedRaw!$B:$B,$A78,ConfirmedRaw!BM:BM)</f>
        <v>0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0</v>
      </c>
      <c r="BJ79">
        <f>SUMIF(ConfirmedRaw!$B:$B,$A79,ConfirmedRaw!BM:BM)</f>
        <v>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0</v>
      </c>
      <c r="BJ80">
        <f>SUMIF(ConfirmedRaw!$B:$B,$A80,ConfirmedRaw!BM:BM)</f>
        <v>0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0</v>
      </c>
      <c r="BJ81">
        <f>SUMIF(ConfirmedRaw!$B:$B,$A81,ConfirmedRaw!BM:BM)</f>
        <v>0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0</v>
      </c>
      <c r="BJ82">
        <f>SUMIF(ConfirmedRaw!$B:$B,$A82,ConfirmedRaw!BM:BM)</f>
        <v>0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0</v>
      </c>
      <c r="BJ83">
        <f>SUMIF(ConfirmedRaw!$B:$B,$A83,ConfirmedRaw!BM:BM)</f>
        <v>0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0</v>
      </c>
      <c r="BJ84">
        <f>SUMIF(ConfirmedRaw!$B:$B,$A84,ConfirmedRaw!BM:BM)</f>
        <v>0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0</v>
      </c>
      <c r="BJ85">
        <f>SUMIF(ConfirmedRaw!$B:$B,$A85,ConfirmedRaw!BM:BM)</f>
        <v>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0</v>
      </c>
      <c r="BJ86">
        <f>SUMIF(ConfirmedRaw!$B:$B,$A86,ConfirmedRaw!BM:BM)</f>
        <v>0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0</v>
      </c>
      <c r="BJ87">
        <f>SUMIF(ConfirmedRaw!$B:$B,$A87,ConfirmedRaw!BM:BM)</f>
        <v>0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0</v>
      </c>
      <c r="BJ88">
        <f>SUMIF(ConfirmedRaw!$B:$B,$A88,ConfirmedRaw!BM:BM)</f>
        <v>0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0</v>
      </c>
      <c r="BJ89">
        <f>SUMIF(ConfirmedRaw!$B:$B,$A89,ConfirmedRaw!BM:BM)</f>
        <v>0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0</v>
      </c>
      <c r="BJ90">
        <f>SUMIF(ConfirmedRaw!$B:$B,$A90,ConfirmedRaw!BM:BM)</f>
        <v>0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0</v>
      </c>
      <c r="BJ91">
        <f>SUMIF(ConfirmedRaw!$B:$B,$A91,ConfirmedRaw!BM:BM)</f>
        <v>0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0</v>
      </c>
      <c r="BJ92">
        <f>SUMIF(ConfirmedRaw!$B:$B,$A92,ConfirmedRaw!BM:BM)</f>
        <v>0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0</v>
      </c>
      <c r="BJ94">
        <f>SUMIF(ConfirmedRaw!$B:$B,$A94,ConfirmedRaw!BM:BM)</f>
        <v>0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0</v>
      </c>
      <c r="BJ96">
        <f>SUMIF(ConfirmedRaw!$B:$B,$A96,ConfirmedRaw!BM:BM)</f>
        <v>0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0</v>
      </c>
      <c r="BJ97">
        <f>SUMIF(ConfirmedRaw!$B:$B,$A97,ConfirmedRaw!BM:BM)</f>
        <v>0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0</v>
      </c>
      <c r="BJ98">
        <f>SUMIF(ConfirmedRaw!$B:$B,$A98,ConfirmedRaw!BM:BM)</f>
        <v>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0</v>
      </c>
      <c r="BJ99">
        <f>SUMIF(ConfirmedRaw!$B:$B,$A99,ConfirmedRaw!BM:BM)</f>
        <v>0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0</v>
      </c>
      <c r="BJ100">
        <f>SUMIF(ConfirmedRaw!$B:$B,$A100,ConfirmedRaw!BM:BM)</f>
        <v>0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32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0</v>
      </c>
      <c r="BJ102">
        <f>SUMIF(ConfirmedRaw!$B:$B,$A102,ConfirmedRaw!BM:BM)</f>
        <v>0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0</v>
      </c>
      <c r="BJ104">
        <f>SUMIF(ConfirmedRaw!$B:$B,$A104,ConfirmedRaw!BM:BM)</f>
        <v>0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0</v>
      </c>
      <c r="BJ105">
        <f>SUMIF(ConfirmedRaw!$B:$B,$A105,ConfirmedRaw!BM:BM)</f>
        <v>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0</v>
      </c>
      <c r="BJ106">
        <f>SUMIF(ConfirmedRaw!$B:$B,$A106,ConfirmedRaw!BM:BM)</f>
        <v>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0</v>
      </c>
      <c r="BJ107">
        <f>SUMIF(ConfirmedRaw!$B:$B,$A107,ConfirmedRaw!BM:BM)</f>
        <v>0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0</v>
      </c>
      <c r="BJ108">
        <f>SUMIF(ConfirmedRaw!$B:$B,$A108,ConfirmedRaw!BM:BM)</f>
        <v>0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0</v>
      </c>
      <c r="BJ109">
        <f>SUMIF(ConfirmedRaw!$B:$B,$A109,ConfirmedRaw!BM:BM)</f>
        <v>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0</v>
      </c>
      <c r="BJ110">
        <f>SUMIF(ConfirmedRaw!$B:$B,$A110,ConfirmedRaw!BM:BM)</f>
        <v>0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0</v>
      </c>
      <c r="BJ111">
        <f>SUMIF(ConfirmedRaw!$B:$B,$A111,ConfirmedRaw!BM:BM)</f>
        <v>0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0</v>
      </c>
      <c r="BJ112">
        <f>SUMIF(ConfirmedRaw!$B:$B,$A112,ConfirmedRaw!BM:BM)</f>
        <v>0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0</v>
      </c>
      <c r="BJ114">
        <f>SUMIF(ConfirmedRaw!$B:$B,$A114,ConfirmedRaw!BM:BM)</f>
        <v>0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0</v>
      </c>
      <c r="BJ115">
        <f>SUMIF(ConfirmedRaw!$B:$B,$A115,ConfirmedRaw!BM:BM)</f>
        <v>0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0</v>
      </c>
      <c r="BJ117">
        <f>SUMIF(ConfirmedRaw!$B:$B,$A117,ConfirmedRaw!BM:BM)</f>
        <v>0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0</v>
      </c>
      <c r="BJ118">
        <f>SUMIF(ConfirmedRaw!$B:$B,$A118,ConfirmedRaw!BM:BM)</f>
        <v>0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0</v>
      </c>
      <c r="BJ119">
        <f>SUMIF(ConfirmedRaw!$B:$B,$A119,ConfirmedRaw!BM:BM)</f>
        <v>0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0</v>
      </c>
      <c r="BJ120">
        <f>SUMIF(ConfirmedRaw!$B:$B,$A120,ConfirmedRaw!BM:BM)</f>
        <v>0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0</v>
      </c>
      <c r="BJ121">
        <f>SUMIF(ConfirmedRaw!$B:$B,$A121,ConfirmedRaw!BM:BM)</f>
        <v>0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0</v>
      </c>
      <c r="BJ122">
        <f>SUMIF(ConfirmedRaw!$B:$B,$A122,ConfirmedRaw!BM:BM)</f>
        <v>0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0</v>
      </c>
      <c r="BJ123">
        <f>SUMIF(ConfirmedRaw!$B:$B,$A123,ConfirmedRaw!BM:BM)</f>
        <v>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0</v>
      </c>
      <c r="BJ124">
        <f>SUMIF(ConfirmedRaw!$B:$B,$A124,ConfirmedRaw!BM:BM)</f>
        <v>0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0</v>
      </c>
      <c r="BJ125">
        <f>SUMIF(ConfirmedRaw!$B:$B,$A125,ConfirmedRaw!BM:BM)</f>
        <v>0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0</v>
      </c>
      <c r="BJ126">
        <f>SUMIF(ConfirmedRaw!$B:$B,$A126,ConfirmedRaw!BM:BM)</f>
        <v>0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0</v>
      </c>
      <c r="BJ2">
        <f>SUMIF(RecoveredRaw!$B:$B,$A2,RecoveredRaw!BM:BM)</f>
        <v>0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0</v>
      </c>
      <c r="BJ3">
        <f>SUMIF(RecoveredRaw!$B:$B,$A3,RecoveredRaw!BM:BM)</f>
        <v>0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0</v>
      </c>
      <c r="BJ4">
        <f>SUMIF(RecoveredRaw!$B:$B,$A4,RecoveredRaw!BM:BM)</f>
        <v>0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0</v>
      </c>
      <c r="BJ5">
        <f>SUMIF(RecoveredRaw!$B:$B,$A5,RecoveredRaw!BM:BM)</f>
        <v>0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0</v>
      </c>
      <c r="BJ6">
        <f>SUMIF(RecoveredRaw!$B:$B,$A6,RecoveredRaw!BM:BM)</f>
        <v>0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0</v>
      </c>
      <c r="BJ7">
        <f>SUMIF(RecoveredRaw!$B:$B,$A7,RecoveredRaw!BM:BM)</f>
        <v>0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0</v>
      </c>
      <c r="BJ8">
        <f>SUMIF(RecoveredRaw!$B:$B,$A8,RecoveredRaw!BM:BM)</f>
        <v>0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0</v>
      </c>
      <c r="BJ10">
        <f>SUMIF(RecoveredRaw!$B:$B,$A10,RecoveredRaw!BM:BM)</f>
        <v>0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0</v>
      </c>
      <c r="BJ11">
        <f>SUMIF(RecoveredRaw!$B:$B,$A11,RecoveredRaw!BM:BM)</f>
        <v>0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0</v>
      </c>
      <c r="BJ12">
        <f>SUMIF(RecoveredRaw!$B:$B,$A12,RecoveredRaw!BM:BM)</f>
        <v>0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0</v>
      </c>
      <c r="BJ13">
        <f>SUMIF(RecoveredRaw!$B:$B,$A13,RecoveredRaw!BM:BM)</f>
        <v>0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0</v>
      </c>
      <c r="BJ14">
        <f>SUMIF(RecoveredRaw!$B:$B,$A14,RecoveredRaw!BM:BM)</f>
        <v>0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0</v>
      </c>
      <c r="BJ15">
        <f>SUMIF(RecoveredRaw!$B:$B,$A15,RecoveredRaw!BM:BM)</f>
        <v>0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0</v>
      </c>
      <c r="BJ16">
        <f>SUMIF(RecoveredRaw!$B:$B,$A16,RecoveredRaw!BM:BM)</f>
        <v>0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0</v>
      </c>
      <c r="BJ17">
        <f>SUMIF(RecoveredRaw!$B:$B,$A17,RecoveredRaw!BM:BM)</f>
        <v>0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0</v>
      </c>
      <c r="BJ18">
        <f>SUMIF(RecoveredRaw!$B:$B,$A18,RecoveredRaw!BM:BM)</f>
        <v>0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0</v>
      </c>
      <c r="BJ19">
        <f>SUMIF(RecoveredRaw!$B:$B,$A19,RecoveredRaw!BM:BM)</f>
        <v>0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0</v>
      </c>
      <c r="BJ20">
        <f>SUMIF(RecoveredRaw!$B:$B,$A20,RecoveredRaw!BM:BM)</f>
        <v>0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0</v>
      </c>
      <c r="BJ21">
        <f>SUMIF(RecoveredRaw!$B:$B,$A21,RecoveredRaw!BM:BM)</f>
        <v>0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0</v>
      </c>
      <c r="BJ22">
        <f>SUMIF(RecoveredRaw!$B:$B,$A22,RecoveredRaw!BM:BM)</f>
        <v>0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0</v>
      </c>
      <c r="BJ23">
        <f>SUMIF(RecoveredRaw!$B:$B,$A23,RecoveredRaw!BM:BM)</f>
        <v>0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0</v>
      </c>
      <c r="BJ24">
        <f>SUMIF(RecoveredRaw!$B:$B,$A24,RecoveredRaw!BM:BM)</f>
        <v>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0</v>
      </c>
      <c r="BJ25">
        <f>SUMIF(RecoveredRaw!$B:$B,$A25,RecoveredRaw!BM:BM)</f>
        <v>0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0</v>
      </c>
      <c r="BJ26">
        <f>SUMIF(RecoveredRaw!$B:$B,$A26,RecoveredRaw!BM:BM)</f>
        <v>0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0</v>
      </c>
      <c r="BJ27">
        <f>SUMIF(RecoveredRaw!$B:$B,$A27,RecoveredRaw!BM:BM)</f>
        <v>0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0</v>
      </c>
      <c r="BJ28">
        <f>SUMIF(RecoveredRaw!$B:$B,$A28,RecoveredRaw!BM:BM)</f>
        <v>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0</v>
      </c>
      <c r="BJ29">
        <f>SUMIF(RecoveredRaw!$B:$B,$A29,RecoveredRaw!BM:BM)</f>
        <v>0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0</v>
      </c>
      <c r="BJ30">
        <f>SUMIF(RecoveredRaw!$B:$B,$A30,RecoveredRaw!BM:BM)</f>
        <v>0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0</v>
      </c>
      <c r="BJ32">
        <f>SUMIF(RecoveredRaw!$B:$B,$A32,RecoveredRaw!BM:BM)</f>
        <v>0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0</v>
      </c>
      <c r="BJ33">
        <f>SUMIF(RecoveredRaw!$B:$B,$A33,RecoveredRaw!BM:BM)</f>
        <v>0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0</v>
      </c>
      <c r="BJ34">
        <f>SUMIF(RecoveredRaw!$B:$B,$A34,RecoveredRaw!BM:BM)</f>
        <v>0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0</v>
      </c>
      <c r="BJ35">
        <f>SUMIF(RecoveredRaw!$B:$B,$A35,RecoveredRaw!BM:BM)</f>
        <v>0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0</v>
      </c>
      <c r="BJ36">
        <f>SUMIF(RecoveredRaw!$B:$B,$A36,RecoveredRaw!BM:BM)</f>
        <v>0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0</v>
      </c>
      <c r="BJ37">
        <f>SUMIF(RecoveredRaw!$B:$B,$A37,RecoveredRaw!BM:BM)</f>
        <v>0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0</v>
      </c>
      <c r="BJ38">
        <f>SUMIF(RecoveredRaw!$B:$B,$A38,RecoveredRaw!BM:BM)</f>
        <v>0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0</v>
      </c>
      <c r="BJ39">
        <f>SUMIF(RecoveredRaw!$B:$B,$A39,RecoveredRaw!BM:BM)</f>
        <v>0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0</v>
      </c>
      <c r="BJ40">
        <f>SUMIF(RecoveredRaw!$B:$B,$A40,RecoveredRaw!BM:BM)</f>
        <v>0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0</v>
      </c>
      <c r="BJ41">
        <f>SUMIF(RecoveredRaw!$B:$B,$A41,RecoveredRaw!BM:BM)</f>
        <v>0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0</v>
      </c>
      <c r="BJ42">
        <f>SUMIF(RecoveredRaw!$B:$B,$A42,RecoveredRaw!BM:BM)</f>
        <v>0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0</v>
      </c>
      <c r="BJ43">
        <f>SUMIF(RecoveredRaw!$B:$B,$A43,RecoveredRaw!BM:BM)</f>
        <v>0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0</v>
      </c>
      <c r="BJ44">
        <f>SUMIF(RecoveredRaw!$B:$B,$A44,RecoveredRaw!BM:BM)</f>
        <v>0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0</v>
      </c>
      <c r="BJ45">
        <f>SUMIF(RecoveredRaw!$B:$B,$A45,RecoveredRaw!BM:BM)</f>
        <v>0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0</v>
      </c>
      <c r="BJ46">
        <f>SUMIF(RecoveredRaw!$B:$B,$A46,RecoveredRaw!BM:BM)</f>
        <v>0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0</v>
      </c>
      <c r="BJ47">
        <f>SUMIF(RecoveredRaw!$B:$B,$A47,RecoveredRaw!BM:BM)</f>
        <v>0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0</v>
      </c>
      <c r="BJ48">
        <f>SUMIF(RecoveredRaw!$B:$B,$A48,RecoveredRaw!BM:BM)</f>
        <v>0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0</v>
      </c>
      <c r="BJ49">
        <f>SUMIF(RecoveredRaw!$B:$B,$A49,RecoveredRaw!BM:BM)</f>
        <v>0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0</v>
      </c>
      <c r="BJ50">
        <f>SUMIF(RecoveredRaw!$B:$B,$A50,RecoveredRaw!BM:BM)</f>
        <v>0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0</v>
      </c>
      <c r="BJ51">
        <f>SUMIF(RecoveredRaw!$B:$B,$A51,RecoveredRaw!BM:BM)</f>
        <v>0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0</v>
      </c>
      <c r="BJ52">
        <f>SUMIF(RecoveredRaw!$B:$B,$A52,RecoveredRaw!BM:BM)</f>
        <v>0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0</v>
      </c>
      <c r="BJ53">
        <f>SUMIF(RecoveredRaw!$B:$B,$A53,RecoveredRaw!BM:BM)</f>
        <v>0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0</v>
      </c>
      <c r="BJ54">
        <f>SUMIF(RecoveredRaw!$B:$B,$A54,RecoveredRaw!BM:BM)</f>
        <v>0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0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0</v>
      </c>
      <c r="BJ56">
        <f>SUMIF(RecoveredRaw!$B:$B,$A56,RecoveredRaw!BM:BM)</f>
        <v>0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0</v>
      </c>
      <c r="BJ57">
        <f>SUMIF(RecoveredRaw!$B:$B,$A57,RecoveredRaw!BM:BM)</f>
        <v>0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0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0</v>
      </c>
      <c r="BJ59">
        <f>SUMIF(RecoveredRaw!$B:$B,$A59,RecoveredRaw!BM:BM)</f>
        <v>0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0</v>
      </c>
      <c r="BJ60">
        <f>SUMIF(RecoveredRaw!$B:$B,$A60,RecoveredRaw!BM:BM)</f>
        <v>0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0</v>
      </c>
      <c r="BJ61">
        <f>SUMIF(RecoveredRaw!$B:$B,$A61,RecoveredRaw!BM:BM)</f>
        <v>0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0</v>
      </c>
      <c r="BJ62">
        <f>SUMIF(RecoveredRaw!$B:$B,$A62,RecoveredRaw!BM:BM)</f>
        <v>0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0</v>
      </c>
      <c r="BJ64">
        <f>SUMIF(RecoveredRaw!$B:$B,$A64,RecoveredRaw!BM:BM)</f>
        <v>0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0</v>
      </c>
      <c r="BJ65">
        <f>SUMIF(RecoveredRaw!$B:$B,$A65,RecoveredRaw!BM:BM)</f>
        <v>0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0</v>
      </c>
      <c r="BJ67">
        <f>SUMIF(RecoveredRaw!$B:$B,$A67,RecoveredRaw!BM:BM)</f>
        <v>0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0</v>
      </c>
      <c r="BJ68">
        <f>SUMIF(RecoveredRaw!$B:$B,$A68,RecoveredRaw!BM:BM)</f>
        <v>0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0</v>
      </c>
      <c r="BJ69">
        <f>SUMIF(RecoveredRaw!$B:$B,$A69,RecoveredRaw!BM:BM)</f>
        <v>0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0</v>
      </c>
      <c r="BJ70">
        <f>SUMIF(RecoveredRaw!$B:$B,$A70,RecoveredRaw!BM:BM)</f>
        <v>0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0</v>
      </c>
      <c r="BJ71">
        <f>SUMIF(RecoveredRaw!$B:$B,$A71,RecoveredRaw!BM:BM)</f>
        <v>0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0</v>
      </c>
      <c r="BJ72">
        <f>SUMIF(RecoveredRaw!$B:$B,$A72,RecoveredRaw!BM:BM)</f>
        <v>0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0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0</v>
      </c>
      <c r="BJ74">
        <f>SUMIF(RecoveredRaw!$B:$B,$A74,RecoveredRaw!BM:BM)</f>
        <v>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0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0</v>
      </c>
      <c r="BJ76">
        <f>SUMIF(RecoveredRaw!$B:$B,$A76,RecoveredRaw!BM:BM)</f>
        <v>0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0</v>
      </c>
      <c r="BJ77">
        <f>SUMIF(RecoveredRaw!$B:$B,$A77,RecoveredRaw!BM:BM)</f>
        <v>0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0</v>
      </c>
      <c r="BJ78">
        <f>SUMIF(RecoveredRaw!$B:$B,$A78,RecoveredRaw!BM:BM)</f>
        <v>0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0</v>
      </c>
      <c r="BJ79">
        <f>SUMIF(RecoveredRaw!$B:$B,$A79,RecoveredRaw!BM:BM)</f>
        <v>0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0</v>
      </c>
      <c r="BJ80">
        <f>SUMIF(RecoveredRaw!$B:$B,$A80,RecoveredRaw!BM:BM)</f>
        <v>0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0</v>
      </c>
      <c r="BJ81">
        <f>SUMIF(RecoveredRaw!$B:$B,$A81,RecoveredRaw!BM:BM)</f>
        <v>0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0</v>
      </c>
      <c r="BJ83">
        <f>SUMIF(RecoveredRaw!$B:$B,$A83,RecoveredRaw!BM:BM)</f>
        <v>0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0</v>
      </c>
      <c r="BJ84">
        <f>SUMIF(RecoveredRaw!$B:$B,$A84,RecoveredRaw!BM:BM)</f>
        <v>0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0</v>
      </c>
      <c r="BJ85">
        <f>SUMIF(RecoveredRaw!$B:$B,$A85,RecoveredRaw!BM:BM)</f>
        <v>0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0</v>
      </c>
      <c r="BJ86">
        <f>SUMIF(RecoveredRaw!$B:$B,$A86,RecoveredRaw!BM:BM)</f>
        <v>0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0</v>
      </c>
      <c r="BJ87">
        <f>SUMIF(RecoveredRaw!$B:$B,$A87,RecoveredRaw!BM:BM)</f>
        <v>0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0</v>
      </c>
      <c r="BJ88">
        <f>SUMIF(RecoveredRaw!$B:$B,$A88,RecoveredRaw!BM:BM)</f>
        <v>0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0</v>
      </c>
      <c r="BJ90">
        <f>SUMIF(RecoveredRaw!$B:$B,$A90,RecoveredRaw!BM:BM)</f>
        <v>0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0</v>
      </c>
      <c r="BJ91">
        <f>SUMIF(RecoveredRaw!$B:$B,$A91,RecoveredRaw!BM:BM)</f>
        <v>0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0</v>
      </c>
      <c r="BJ99">
        <f>SUMIF(RecoveredRaw!$B:$B,$A99,RecoveredRaw!BM:BM)</f>
        <v>0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0</v>
      </c>
      <c r="BJ102">
        <f>SUMIF(RecoveredRaw!$B:$B,$A102,RecoveredRaw!BM:BM)</f>
        <v>0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0</v>
      </c>
      <c r="BJ104">
        <f>SUMIF(RecoveredRaw!$B:$B,$A104,RecoveredRaw!BM:BM)</f>
        <v>0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0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0</v>
      </c>
      <c r="BJ109">
        <f>SUMIF(RecoveredRaw!$B:$B,$A109,RecoveredRaw!BM:BM)</f>
        <v>0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0</v>
      </c>
      <c r="BJ110">
        <f>SUMIF(RecoveredRaw!$B:$B,$A110,RecoveredRaw!BM:BM)</f>
        <v>0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0</v>
      </c>
      <c r="BJ114">
        <f>SUMIF(RecoveredRaw!$B:$B,$A114,RecoveredRaw!BM:BM)</f>
        <v>0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0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0</v>
      </c>
      <c r="BJ120">
        <f>SUMIF(RecoveredRaw!$B:$B,$A120,RecoveredRaw!BM:BM)</f>
        <v>0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0</v>
      </c>
      <c r="BJ124">
        <f>SUMIF(RecoveredRaw!$B:$B,$A124,RecoveredRaw!BM:BM)</f>
        <v>0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0</v>
      </c>
      <c r="BJ126">
        <f>SUMIF(RecoveredRaw!$B:$B,$A126,RecoveredRaw!BM:BM)</f>
        <v>0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0</v>
      </c>
      <c r="BJ2">
        <f>SUMIF(DeadRaw!$B:$B,$A2,DeadRaw!BM:BM)</f>
        <v>0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0</v>
      </c>
      <c r="BJ3">
        <f>SUMIF(DeadRaw!$B:$B,$A3,DeadRaw!BM:BM)</f>
        <v>0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0</v>
      </c>
      <c r="BJ4">
        <f>SUMIF(DeadRaw!$B:$B,$A4,DeadRaw!BM:BM)</f>
        <v>0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0</v>
      </c>
      <c r="BJ5">
        <f>SUMIF(DeadRaw!$B:$B,$A5,DeadRaw!BM:BM)</f>
        <v>0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0</v>
      </c>
      <c r="BJ6">
        <f>SUMIF(DeadRaw!$B:$B,$A6,DeadRaw!BM:BM)</f>
        <v>0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0</v>
      </c>
      <c r="BJ7">
        <f>SUMIF(DeadRaw!$B:$B,$A7,DeadRaw!BM:BM)</f>
        <v>0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450</v>
      </c>
      <c r="BI8">
        <f>SUMIF(DeadRaw!$B:$B,$A8,DeadRaw!BL:BL)</f>
        <v>0</v>
      </c>
      <c r="BJ8">
        <f>SUMIF(DeadRaw!$B:$B,$A8,DeadRaw!BM:BM)</f>
        <v>0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0</v>
      </c>
      <c r="BJ9">
        <f>SUMIF(DeadRaw!$B:$B,$A9,DeadRaw!BM:BM)</f>
        <v>0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0</v>
      </c>
      <c r="BJ10">
        <f>SUMIF(DeadRaw!$B:$B,$A10,DeadRaw!BM:BM)</f>
        <v>0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0</v>
      </c>
      <c r="BJ11">
        <f>SUMIF(DeadRaw!$B:$B,$A11,DeadRaw!BM:BM)</f>
        <v>0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0</v>
      </c>
      <c r="BJ12">
        <f>SUMIF(DeadRaw!$B:$B,$A12,DeadRaw!BM:BM)</f>
        <v>0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0</v>
      </c>
      <c r="BJ13">
        <f>SUMIF(DeadRaw!$B:$B,$A13,DeadRaw!BM:BM)</f>
        <v>0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0</v>
      </c>
      <c r="BJ14">
        <f>SUMIF(DeadRaw!$B:$B,$A14,DeadRaw!BM:BM)</f>
        <v>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0</v>
      </c>
      <c r="BJ15">
        <f>SUMIF(DeadRaw!$B:$B,$A15,DeadRaw!BM:BM)</f>
        <v>0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0</v>
      </c>
      <c r="BJ16">
        <f>SUMIF(DeadRaw!$B:$B,$A16,DeadRaw!BM:BM)</f>
        <v>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7</v>
      </c>
      <c r="BI17">
        <f>SUMIF(DeadRaw!$B:$B,$A17,DeadRaw!BL:BL)</f>
        <v>0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0</v>
      </c>
      <c r="BJ18">
        <f>SUMIF(DeadRaw!$B:$B,$A18,DeadRaw!BM:BM)</f>
        <v>0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0</v>
      </c>
      <c r="BJ19">
        <f>SUMIF(DeadRaw!$B:$B,$A19,DeadRaw!BM:BM)</f>
        <v>0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0</v>
      </c>
      <c r="BJ21">
        <f>SUMIF(DeadRaw!$B:$B,$A21,DeadRaw!BM:BM)</f>
        <v>0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0</v>
      </c>
      <c r="BJ22">
        <f>SUMIF(DeadRaw!$B:$B,$A22,DeadRaw!BM:BM)</f>
        <v>0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0</v>
      </c>
      <c r="BJ23">
        <f>SUMIF(DeadRaw!$B:$B,$A23,DeadRaw!BM:BM)</f>
        <v>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0</v>
      </c>
      <c r="BJ24">
        <f>SUMIF(DeadRaw!$B:$B,$A24,DeadRaw!BM:BM)</f>
        <v>0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0</v>
      </c>
      <c r="BJ25">
        <f>SUMIF(DeadRaw!$B:$B,$A25,DeadRaw!BM:BM)</f>
        <v>0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0</v>
      </c>
      <c r="BJ26">
        <f>SUMIF(DeadRaw!$B:$B,$A26,DeadRaw!BM:BM)</f>
        <v>0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0</v>
      </c>
      <c r="BJ27">
        <f>SUMIF(DeadRaw!$B:$B,$A27,DeadRaw!BM:BM)</f>
        <v>0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0</v>
      </c>
      <c r="BJ28">
        <f>SUMIF(DeadRaw!$B:$B,$A28,DeadRaw!BM:BM)</f>
        <v>0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0</v>
      </c>
      <c r="BJ29">
        <f>SUMIF(DeadRaw!$B:$B,$A29,DeadRaw!BM:BM)</f>
        <v>0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0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0</v>
      </c>
      <c r="BJ31">
        <f>SUMIF(DeadRaw!$B:$B,$A31,DeadRaw!BM:BM)</f>
        <v>0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0</v>
      </c>
      <c r="BJ32">
        <f>SUMIF(DeadRaw!$B:$B,$A32,DeadRaw!BM:BM)</f>
        <v>0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0</v>
      </c>
      <c r="BJ33">
        <f>SUMIF(DeadRaw!$B:$B,$A33,DeadRaw!BM:BM)</f>
        <v>0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0</v>
      </c>
      <c r="BJ34">
        <f>SUMIF(DeadRaw!$B:$B,$A34,DeadRaw!BM:BM)</f>
        <v>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0</v>
      </c>
      <c r="BJ35">
        <f>SUMIF(DeadRaw!$B:$B,$A35,DeadRaw!BM:BM)</f>
        <v>0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0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0</v>
      </c>
      <c r="BJ38">
        <f>SUMIF(DeadRaw!$B:$B,$A38,DeadRaw!BM:BM)</f>
        <v>0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0</v>
      </c>
      <c r="BJ39">
        <f>SUMIF(DeadRaw!$B:$B,$A39,DeadRaw!BM:BM)</f>
        <v>0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0</v>
      </c>
      <c r="BJ40">
        <f>SUMIF(DeadRaw!$B:$B,$A40,DeadRaw!BM:BM)</f>
        <v>0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0</v>
      </c>
      <c r="BJ42">
        <f>SUMIF(DeadRaw!$B:$B,$A42,DeadRaw!BM:BM)</f>
        <v>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0</v>
      </c>
      <c r="BJ44">
        <f>SUMIF(DeadRaw!$B:$B,$A44,DeadRaw!BM:BM)</f>
        <v>0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0</v>
      </c>
      <c r="BJ45">
        <f>SUMIF(DeadRaw!$B:$B,$A45,DeadRaw!BM:BM)</f>
        <v>0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0</v>
      </c>
      <c r="BJ46">
        <f>SUMIF(DeadRaw!$B:$B,$A46,DeadRaw!BM:BM)</f>
        <v>0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0</v>
      </c>
      <c r="BJ47">
        <f>SUMIF(DeadRaw!$B:$B,$A47,DeadRaw!BM:BM)</f>
        <v>0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0</v>
      </c>
      <c r="BJ48">
        <f>SUMIF(DeadRaw!$B:$B,$A48,DeadRaw!BM:BM)</f>
        <v>0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0</v>
      </c>
      <c r="BJ49">
        <f>SUMIF(DeadRaw!$B:$B,$A49,DeadRaw!BM:BM)</f>
        <v>0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0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0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0</v>
      </c>
      <c r="BJ54">
        <f>SUMIF(DeadRaw!$B:$B,$A54,DeadRaw!BM:BM)</f>
        <v>0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0</v>
      </c>
      <c r="BJ55">
        <f>SUMIF(DeadRaw!$B:$B,$A55,DeadRaw!BM:BM)</f>
        <v>0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0</v>
      </c>
      <c r="BJ56">
        <f>SUMIF(DeadRaw!$B:$B,$A56,DeadRaw!BM:BM)</f>
        <v>0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0</v>
      </c>
      <c r="BJ57">
        <f>SUMIF(DeadRaw!$B:$B,$A57,DeadRaw!BM:BM)</f>
        <v>0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0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0</v>
      </c>
      <c r="BJ59">
        <f>SUMIF(DeadRaw!$B:$B,$A59,DeadRaw!BM:BM)</f>
        <v>0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0</v>
      </c>
      <c r="BJ60">
        <f>SUMIF(DeadRaw!$B:$B,$A60,DeadRaw!BM:BM)</f>
        <v>0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0</v>
      </c>
      <c r="BJ61">
        <f>SUMIF(DeadRaw!$B:$B,$A61,DeadRaw!BM:BM)</f>
        <v>0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0</v>
      </c>
      <c r="BJ63">
        <f>SUMIF(DeadRaw!$B:$B,$A63,DeadRaw!BM:BM)</f>
        <v>0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0</v>
      </c>
      <c r="BJ64">
        <f>SUMIF(DeadRaw!$B:$B,$A64,DeadRaw!BM:BM)</f>
        <v>0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0</v>
      </c>
      <c r="BJ67">
        <f>SUMIF(DeadRaw!$B:$B,$A67,DeadRaw!BM:BM)</f>
        <v>0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0</v>
      </c>
      <c r="BJ68">
        <f>SUMIF(DeadRaw!$B:$B,$A68,DeadRaw!BM:BM)</f>
        <v>0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0</v>
      </c>
      <c r="BJ69">
        <f>SUMIF(DeadRaw!$B:$B,$A69,DeadRaw!BM:BM)</f>
        <v>0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0</v>
      </c>
      <c r="BJ71">
        <f>SUMIF(DeadRaw!$B:$B,$A71,DeadRaw!BM:BM)</f>
        <v>0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0</v>
      </c>
      <c r="BJ73">
        <f>SUMIF(DeadRaw!$B:$B,$A73,DeadRaw!BM:BM)</f>
        <v>0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0</v>
      </c>
      <c r="BJ74">
        <f>SUMIF(DeadRaw!$B:$B,$A74,DeadRaw!BM:BM)</f>
        <v>0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0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0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0</v>
      </c>
      <c r="BJ77">
        <f>SUMIF(DeadRaw!$B:$B,$A77,DeadRaw!BM:BM)</f>
        <v>0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0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0</v>
      </c>
      <c r="BJ80">
        <f>SUMIF(DeadRaw!$B:$B,$A80,DeadRaw!BM:BM)</f>
        <v>0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0</v>
      </c>
      <c r="BJ84">
        <f>SUMIF(DeadRaw!$B:$B,$A84,DeadRaw!BM:BM)</f>
        <v>0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0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0</v>
      </c>
      <c r="BJ86">
        <f>SUMIF(DeadRaw!$B:$B,$A86,DeadRaw!BM:BM)</f>
        <v>0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0</v>
      </c>
      <c r="BJ87">
        <f>SUMIF(DeadRaw!$B:$B,$A87,DeadRaw!BM:BM)</f>
        <v>0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0</v>
      </c>
      <c r="BJ88">
        <f>SUMIF(DeadRaw!$B:$B,$A88,DeadRaw!BM:BM)</f>
        <v>0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0</v>
      </c>
      <c r="BJ89">
        <f>SUMIF(DeadRaw!$B:$B,$A89,DeadRaw!BM:BM)</f>
        <v>0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0</v>
      </c>
      <c r="BJ92">
        <f>SUMIF(DeadRaw!$B:$B,$A92,DeadRaw!BM:BM)</f>
        <v>0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0</v>
      </c>
      <c r="BJ96">
        <f>SUMIF(DeadRaw!$B:$B,$A96,DeadRaw!BM:BM)</f>
        <v>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0</v>
      </c>
      <c r="BJ97">
        <f>SUMIF(DeadRaw!$B:$B,$A97,DeadRaw!BM:BM)</f>
        <v>0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0</v>
      </c>
      <c r="BJ99">
        <f>SUMIF(DeadRaw!$B:$B,$A99,DeadRaw!BM:BM)</f>
        <v>0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1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0</v>
      </c>
      <c r="BJ102">
        <f>SUMIF(DeadRaw!$B:$B,$A102,DeadRaw!BM:BM)</f>
        <v>0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0</v>
      </c>
      <c r="BJ104">
        <f>SUMIF(DeadRaw!$B:$B,$A104,DeadRaw!BM:BM)</f>
        <v>0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0</v>
      </c>
      <c r="BJ106">
        <f>SUMIF(DeadRaw!$B:$B,$A106,DeadRaw!BM:BM)</f>
        <v>0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0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0</v>
      </c>
      <c r="BJ118">
        <f>SUMIF(DeadRaw!$B:$B,$A118,DeadRaw!BM:BM)</f>
        <v>0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0</v>
      </c>
      <c r="BJ125">
        <f>SUMIF(DeadRaw!$B:$B,$A125,DeadRaw!BM:BM)</f>
        <v>0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K478"/>
  <sheetViews>
    <sheetView topLeftCell="AR395"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3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</row>
    <row r="2" spans="1:63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</row>
    <row r="3" spans="1:63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</row>
    <row r="4" spans="1:63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</row>
    <row r="5" spans="1:63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</row>
    <row r="6" spans="1:63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</row>
    <row r="7" spans="1:63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</row>
    <row r="8" spans="1:63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</row>
    <row r="9" spans="1:63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</row>
    <row r="10" spans="1:63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</row>
    <row r="11" spans="1:63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</row>
    <row r="12" spans="1:63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</row>
    <row r="13" spans="1:63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</row>
    <row r="14" spans="1:63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</row>
    <row r="15" spans="1:63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</row>
    <row r="16" spans="1:63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</row>
    <row r="17" spans="1:63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</row>
    <row r="18" spans="1:63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</row>
    <row r="19" spans="1:63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</row>
    <row r="20" spans="1:63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</row>
    <row r="21" spans="1:63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</row>
    <row r="22" spans="1:63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</row>
    <row r="23" spans="1:63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</row>
    <row r="24" spans="1:63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</row>
    <row r="26" spans="1:63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</row>
    <row r="27" spans="1:63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</row>
    <row r="28" spans="1:63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</row>
    <row r="29" spans="1:63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</row>
    <row r="30" spans="1:63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</row>
    <row r="31" spans="1:63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</row>
    <row r="32" spans="1:63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</row>
    <row r="33" spans="2:63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</row>
    <row r="34" spans="2:63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</row>
    <row r="35" spans="2:63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</row>
    <row r="36" spans="2:63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</row>
    <row r="37" spans="2:63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</row>
    <row r="38" spans="2:63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</row>
    <row r="39" spans="2:63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</row>
    <row r="40" spans="2:63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</row>
    <row r="41" spans="2:63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</row>
    <row r="42" spans="2:63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</row>
    <row r="43" spans="2:63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</row>
    <row r="44" spans="2:63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</row>
    <row r="45" spans="2:63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</row>
    <row r="46" spans="2:63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</row>
    <row r="47" spans="2:63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</row>
    <row r="48" spans="2:63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</row>
    <row r="49" spans="1:63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</row>
    <row r="50" spans="1:63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</row>
    <row r="51" spans="1:63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</row>
    <row r="52" spans="1:63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</row>
    <row r="53" spans="1:63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</row>
    <row r="54" spans="1:63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</row>
    <row r="55" spans="1:63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</row>
    <row r="56" spans="1:63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</row>
    <row r="57" spans="1:63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</row>
    <row r="58" spans="1:63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</row>
    <row r="59" spans="1:63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</row>
    <row r="60" spans="1:63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</row>
    <row r="61" spans="1:63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</row>
    <row r="62" spans="1:63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</row>
    <row r="63" spans="1:63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</row>
    <row r="64" spans="1:63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</row>
    <row r="65" spans="1:63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</row>
    <row r="66" spans="1:63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</row>
    <row r="67" spans="1:63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</row>
    <row r="68" spans="1:63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</row>
    <row r="69" spans="1:63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</row>
    <row r="70" spans="1:63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</row>
    <row r="71" spans="1:63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</row>
    <row r="72" spans="1:63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</row>
    <row r="73" spans="1:63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</row>
    <row r="74" spans="1:63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</row>
    <row r="75" spans="1:63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</row>
    <row r="76" spans="1:63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</row>
    <row r="77" spans="1:63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</row>
    <row r="78" spans="1:63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</row>
    <row r="79" spans="1:63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</row>
    <row r="80" spans="1:63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</row>
    <row r="81" spans="1:63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</row>
    <row r="82" spans="1:63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</row>
    <row r="83" spans="1:63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</row>
    <row r="84" spans="1:63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</row>
    <row r="85" spans="1:63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</row>
    <row r="86" spans="1:63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</row>
    <row r="87" spans="1:63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</row>
    <row r="88" spans="1:63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</row>
    <row r="89" spans="1:63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</row>
    <row r="90" spans="1:63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</row>
    <row r="91" spans="1:63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</row>
    <row r="92" spans="1:63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</row>
    <row r="93" spans="1:63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</row>
    <row r="94" spans="1:63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</row>
    <row r="95" spans="1:63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</row>
    <row r="96" spans="1:63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</row>
    <row r="97" spans="1:63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</row>
    <row r="98" spans="1:63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</row>
    <row r="99" spans="1:63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</row>
    <row r="100" spans="1:63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</row>
    <row r="101" spans="1:63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</row>
    <row r="102" spans="1:63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</row>
    <row r="103" spans="1:63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</row>
    <row r="104" spans="1:63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</row>
    <row r="105" spans="1:63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</row>
    <row r="106" spans="1:63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</row>
    <row r="107" spans="1:63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</row>
    <row r="108" spans="1:63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</row>
    <row r="109" spans="1:63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</row>
    <row r="110" spans="1:63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</row>
    <row r="111" spans="1:63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</row>
    <row r="112" spans="1:63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</row>
    <row r="113" spans="1:63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</row>
    <row r="114" spans="1:63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</row>
    <row r="115" spans="1:63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</row>
    <row r="116" spans="1:63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</row>
    <row r="117" spans="1:63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</row>
    <row r="118" spans="1:63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</row>
    <row r="119" spans="1:63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</row>
    <row r="120" spans="1:63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</row>
    <row r="121" spans="1:63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</row>
    <row r="122" spans="1:63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</row>
    <row r="123" spans="1:63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</row>
    <row r="124" spans="1:63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</row>
    <row r="125" spans="1:63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</row>
    <row r="126" spans="1:63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</row>
    <row r="127" spans="1:63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</row>
    <row r="128" spans="1:63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</row>
    <row r="129" spans="1:63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</row>
    <row r="130" spans="1:63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</row>
    <row r="131" spans="1:63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</row>
    <row r="132" spans="1:63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</row>
    <row r="133" spans="1:63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</row>
    <row r="134" spans="1:63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</row>
    <row r="135" spans="1:63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</row>
    <row r="136" spans="1:63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</row>
    <row r="137" spans="1:63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</row>
    <row r="138" spans="1:63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</row>
    <row r="139" spans="1:63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</row>
    <row r="140" spans="1:63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</row>
    <row r="141" spans="1:63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</row>
    <row r="142" spans="1:63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</row>
    <row r="143" spans="1:63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</row>
    <row r="144" spans="1:63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</row>
    <row r="145" spans="1:63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</row>
    <row r="146" spans="1:63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</row>
    <row r="147" spans="1:63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</row>
    <row r="148" spans="1:63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</row>
    <row r="149" spans="1:63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</row>
    <row r="150" spans="1:63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</row>
    <row r="151" spans="1:63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</row>
    <row r="152" spans="1:63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</row>
    <row r="153" spans="1:63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</row>
    <row r="154" spans="1:63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</row>
    <row r="155" spans="1:63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</row>
    <row r="156" spans="1:63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</row>
    <row r="157" spans="1:63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</row>
    <row r="158" spans="1:63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</row>
    <row r="159" spans="1:63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</row>
    <row r="160" spans="1:63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</row>
    <row r="161" spans="1:63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</row>
    <row r="162" spans="1:63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</row>
    <row r="163" spans="1:63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</row>
    <row r="164" spans="1:63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</row>
    <row r="165" spans="1:63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</row>
    <row r="166" spans="1:63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</row>
    <row r="167" spans="1:63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</row>
    <row r="168" spans="1:63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</row>
    <row r="169" spans="1:63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</row>
    <row r="170" spans="1:63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</row>
    <row r="171" spans="1:63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</row>
    <row r="172" spans="1:63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</row>
    <row r="173" spans="1:63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</row>
    <row r="174" spans="1:63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</row>
    <row r="175" spans="1:63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</row>
    <row r="176" spans="1:63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</row>
    <row r="177" spans="1:63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</row>
    <row r="178" spans="1:63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</row>
    <row r="179" spans="1:63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</row>
    <row r="180" spans="1:63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</row>
    <row r="181" spans="1:63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</row>
    <row r="182" spans="1:63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</row>
    <row r="183" spans="1:63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</row>
    <row r="184" spans="1:63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</row>
    <row r="185" spans="1:63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</row>
    <row r="186" spans="1:63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</row>
    <row r="187" spans="1:63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</row>
    <row r="188" spans="1:63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</row>
    <row r="189" spans="1:63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</row>
    <row r="190" spans="1:63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</row>
    <row r="191" spans="1:63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</row>
    <row r="192" spans="1:63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</row>
    <row r="193" spans="1:63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</row>
    <row r="194" spans="1:63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</row>
    <row r="195" spans="1:63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</row>
    <row r="196" spans="1:63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</row>
    <row r="197" spans="1:63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</row>
    <row r="198" spans="1:63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</row>
    <row r="199" spans="1:63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</row>
    <row r="200" spans="1:63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</row>
    <row r="201" spans="1:63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</row>
    <row r="202" spans="1:63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  <c r="BK202">
        <v>14</v>
      </c>
    </row>
    <row r="203" spans="1:63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</row>
    <row r="204" spans="1:63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</row>
    <row r="205" spans="1:63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</row>
    <row r="206" spans="1:63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</row>
    <row r="207" spans="1:63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</row>
    <row r="208" spans="1:63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</row>
    <row r="209" spans="1:63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</row>
    <row r="210" spans="1:63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</row>
    <row r="211" spans="1:63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</row>
    <row r="403" spans="1:63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</row>
    <row r="404" spans="1:63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</row>
    <row r="405" spans="1:63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2689</v>
      </c>
      <c r="BK405">
        <v>3983</v>
      </c>
    </row>
    <row r="406" spans="1:63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</row>
    <row r="407" spans="1:63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</row>
    <row r="408" spans="1:63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</row>
    <row r="409" spans="1:63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</row>
    <row r="410" spans="1:63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</row>
    <row r="411" spans="1:63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</row>
    <row r="412" spans="1:63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</row>
    <row r="413" spans="1:63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</row>
    <row r="414" spans="1:63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</row>
    <row r="415" spans="1:63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</row>
    <row r="416" spans="1:63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</row>
    <row r="417" spans="1:63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</row>
    <row r="418" spans="1:63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</row>
    <row r="419" spans="1:63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</row>
    <row r="420" spans="1:63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</row>
    <row r="421" spans="1:63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</row>
    <row r="422" spans="1:63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</row>
    <row r="423" spans="1:63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</row>
    <row r="424" spans="1:63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</row>
    <row r="425" spans="1:63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</row>
    <row r="426" spans="1:63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</row>
    <row r="427" spans="1:63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</row>
    <row r="428" spans="1:63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</row>
    <row r="429" spans="1:63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</row>
    <row r="430" spans="1:63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</row>
    <row r="431" spans="1:63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</row>
    <row r="432" spans="1:63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</row>
    <row r="433" spans="1:63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</row>
    <row r="434" spans="1:63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</row>
    <row r="435" spans="1:63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</row>
    <row r="436" spans="1:63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</row>
    <row r="437" spans="1:63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</row>
    <row r="438" spans="1:63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</row>
    <row r="439" spans="1:63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</row>
    <row r="440" spans="1:63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</row>
    <row r="441" spans="1:63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</row>
    <row r="442" spans="1:63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</row>
    <row r="443" spans="1:63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</row>
    <row r="444" spans="1:63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</row>
    <row r="445" spans="1:63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</row>
    <row r="446" spans="1:63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</row>
    <row r="447" spans="1:63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</row>
    <row r="448" spans="1:63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</row>
    <row r="449" spans="1:63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</row>
    <row r="450" spans="1:63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</row>
    <row r="451" spans="1:63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</row>
    <row r="452" spans="1:63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</row>
    <row r="453" spans="1:63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</row>
    <row r="454" spans="1:63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  <c r="BK454">
        <v>14</v>
      </c>
    </row>
    <row r="455" spans="1:63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</row>
    <row r="456" spans="1:63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</row>
    <row r="457" spans="1:63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</row>
    <row r="458" spans="1:63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</row>
    <row r="459" spans="1:63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</row>
    <row r="460" spans="1:63" x14ac:dyDescent="0.3">
      <c r="B460" t="s">
        <v>516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</row>
    <row r="461" spans="1:63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</row>
    <row r="462" spans="1:63" x14ac:dyDescent="0.3">
      <c r="B462" t="s">
        <v>527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</row>
    <row r="463" spans="1:63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  <c r="BK463">
        <v>2</v>
      </c>
    </row>
    <row r="464" spans="1:63" x14ac:dyDescent="0.3">
      <c r="A464" t="s">
        <v>528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</row>
    <row r="465" spans="1:63" x14ac:dyDescent="0.3">
      <c r="A465" t="s">
        <v>529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</row>
    <row r="466" spans="1:63" x14ac:dyDescent="0.3">
      <c r="B466" t="s">
        <v>530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</row>
    <row r="467" spans="1:63" x14ac:dyDescent="0.3">
      <c r="B467" t="s">
        <v>531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</row>
    <row r="468" spans="1:63" x14ac:dyDescent="0.3">
      <c r="B468" t="s">
        <v>532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</row>
    <row r="469" spans="1:63" x14ac:dyDescent="0.3">
      <c r="B469" t="s">
        <v>533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</row>
    <row r="470" spans="1:63" x14ac:dyDescent="0.3">
      <c r="B470" t="s">
        <v>538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</row>
    <row r="471" spans="1:63" x14ac:dyDescent="0.3">
      <c r="B471" t="s">
        <v>539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</row>
    <row r="472" spans="1:63" x14ac:dyDescent="0.3">
      <c r="B472" t="s">
        <v>540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</row>
    <row r="473" spans="1:63" x14ac:dyDescent="0.3">
      <c r="B473" t="s">
        <v>541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</row>
    <row r="474" spans="1:63" x14ac:dyDescent="0.3">
      <c r="A474" t="s">
        <v>542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</row>
    <row r="475" spans="1:63" x14ac:dyDescent="0.3">
      <c r="B475" t="s">
        <v>543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</row>
    <row r="476" spans="1:63" x14ac:dyDescent="0.3">
      <c r="B476" t="s">
        <v>544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</row>
    <row r="477" spans="1:63" x14ac:dyDescent="0.3">
      <c r="A477" t="s">
        <v>545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</row>
    <row r="478" spans="1:63" x14ac:dyDescent="0.3">
      <c r="B478" t="s">
        <v>546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K478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3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</row>
    <row r="2" spans="1:63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</row>
    <row r="3" spans="1:63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</row>
    <row r="4" spans="1:63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</row>
    <row r="5" spans="1:63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</row>
    <row r="6" spans="1:63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</row>
    <row r="7" spans="1:63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</row>
    <row r="8" spans="1:63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</row>
    <row r="9" spans="1:63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</row>
    <row r="10" spans="1:63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</row>
    <row r="11" spans="1:63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</row>
    <row r="12" spans="1:63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</row>
    <row r="13" spans="1:63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</row>
    <row r="14" spans="1:63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</row>
    <row r="15" spans="1:63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</row>
    <row r="16" spans="1:63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</row>
    <row r="17" spans="1:63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</row>
    <row r="18" spans="1:63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</row>
    <row r="19" spans="1:63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</row>
    <row r="20" spans="1:63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</row>
    <row r="21" spans="1:63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</row>
    <row r="22" spans="1:63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</row>
    <row r="23" spans="1:63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</row>
    <row r="24" spans="1:63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</row>
    <row r="26" spans="1:63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</row>
    <row r="27" spans="1:63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</row>
    <row r="28" spans="1:63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</row>
    <row r="29" spans="1:63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</row>
    <row r="30" spans="1:63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</row>
    <row r="31" spans="1:63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</row>
    <row r="32" spans="1:63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</row>
    <row r="33" spans="2:63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</row>
    <row r="34" spans="2:63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</row>
    <row r="35" spans="2:63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</row>
    <row r="36" spans="2:63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</row>
    <row r="37" spans="2:63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</row>
    <row r="38" spans="2:63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</row>
    <row r="39" spans="2:63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</row>
    <row r="40" spans="2:63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</row>
    <row r="41" spans="2:63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</row>
    <row r="42" spans="2:63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</row>
    <row r="43" spans="2:63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</row>
    <row r="44" spans="2:63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</row>
    <row r="45" spans="2:63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</row>
    <row r="46" spans="2:63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</row>
    <row r="47" spans="2:63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</row>
    <row r="48" spans="2:63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</row>
    <row r="49" spans="1:63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</row>
    <row r="51" spans="1:63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</row>
    <row r="52" spans="1:63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</row>
    <row r="53" spans="1:63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</row>
    <row r="54" spans="1:63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</row>
    <row r="55" spans="1:63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</row>
    <row r="56" spans="1:63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</row>
    <row r="57" spans="1:63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</row>
    <row r="58" spans="1:63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</row>
    <row r="59" spans="1:63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</row>
    <row r="60" spans="1:63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</row>
    <row r="61" spans="1:63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</row>
    <row r="62" spans="1:63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</row>
    <row r="63" spans="1:63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</row>
    <row r="64" spans="1:63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</row>
    <row r="65" spans="1:63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</row>
    <row r="66" spans="1:63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</row>
    <row r="67" spans="1:63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</row>
    <row r="68" spans="1:63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</row>
    <row r="69" spans="1:63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</row>
    <row r="70" spans="1:63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</row>
    <row r="71" spans="1:63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</row>
    <row r="72" spans="1:63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</row>
    <row r="73" spans="1:63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</row>
    <row r="74" spans="1:63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</row>
    <row r="75" spans="1:63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</row>
    <row r="76" spans="1:63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</row>
    <row r="77" spans="1:63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</row>
    <row r="78" spans="1:63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</row>
    <row r="79" spans="1:63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</row>
    <row r="83" spans="1:63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</row>
    <row r="84" spans="1:63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</row>
    <row r="85" spans="1:63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</row>
    <row r="86" spans="1:63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</row>
    <row r="88" spans="1:63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</row>
    <row r="89" spans="1:63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</row>
    <row r="93" spans="1:63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</row>
    <row r="95" spans="1:63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</row>
    <row r="96" spans="1:63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</row>
    <row r="100" spans="1:63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</row>
    <row r="101" spans="1:63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</row>
    <row r="103" spans="1:63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</row>
    <row r="104" spans="1:63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</row>
    <row r="110" spans="1:63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</row>
    <row r="113" spans="1:63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</row>
    <row r="116" spans="1:63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</row>
    <row r="121" spans="1:63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</row>
    <row r="123" spans="1:63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</row>
    <row r="131" spans="1:63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</row>
    <row r="157" spans="1:63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</row>
    <row r="158" spans="1:63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</row>
    <row r="159" spans="1:63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</row>
    <row r="160" spans="1:63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</row>
    <row r="161" spans="1:63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</row>
    <row r="162" spans="1:63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</row>
    <row r="163" spans="1:63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</row>
    <row r="164" spans="1:63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</row>
    <row r="165" spans="1:63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</row>
    <row r="166" spans="1:63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</row>
    <row r="167" spans="1:63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</row>
    <row r="168" spans="1:63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</row>
    <row r="169" spans="1:63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</row>
    <row r="170" spans="1:63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</row>
    <row r="171" spans="1:63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</row>
    <row r="172" spans="1:63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</row>
    <row r="173" spans="1:63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</row>
    <row r="174" spans="1:63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</row>
    <row r="175" spans="1:63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</row>
    <row r="176" spans="1:63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</row>
    <row r="177" spans="1:63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</row>
    <row r="178" spans="1:63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</row>
    <row r="179" spans="1:63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</row>
    <row r="180" spans="1:63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</row>
    <row r="181" spans="1:63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</row>
    <row r="182" spans="1:63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</row>
    <row r="183" spans="1:63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</row>
    <row r="184" spans="1:63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</row>
    <row r="185" spans="1:63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</row>
    <row r="186" spans="1:63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</row>
    <row r="187" spans="1:63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</row>
    <row r="188" spans="1:63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</row>
    <row r="189" spans="1:63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</row>
    <row r="190" spans="1:63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</row>
    <row r="191" spans="1:63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</row>
    <row r="192" spans="1:63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</row>
    <row r="193" spans="1:63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</row>
    <row r="194" spans="1:63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</row>
    <row r="195" spans="1:63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</row>
    <row r="196" spans="1:63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</row>
    <row r="197" spans="1:63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</row>
    <row r="198" spans="1:63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</row>
    <row r="202" spans="1:63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</row>
    <row r="205" spans="1:63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</row>
    <row r="207" spans="1:63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</row>
    <row r="209" spans="1:63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</row>
    <row r="210" spans="1:63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</row>
    <row r="211" spans="1:63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</row>
    <row r="403" spans="1:63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</row>
    <row r="404" spans="1:63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</row>
    <row r="406" spans="1:63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</row>
    <row r="407" spans="1:63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</row>
    <row r="411" spans="1:63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</row>
    <row r="412" spans="1:63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</row>
    <row r="416" spans="1:63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</row>
    <row r="417" spans="1:63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</row>
    <row r="420" spans="1:63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</row>
    <row r="422" spans="1:63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</row>
    <row r="423" spans="1:63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</row>
    <row r="424" spans="1:63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</row>
    <row r="426" spans="1:63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</row>
    <row r="427" spans="1:63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</row>
    <row r="432" spans="1:63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</row>
    <row r="433" spans="1:63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</row>
    <row r="434" spans="1:63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</row>
    <row r="436" spans="1:63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</row>
    <row r="438" spans="1:63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</row>
    <row r="439" spans="1:63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</row>
    <row r="440" spans="1:63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</row>
    <row r="443" spans="1:63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</row>
    <row r="444" spans="1:63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</row>
    <row r="448" spans="1:63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</row>
    <row r="452" spans="1:63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</row>
    <row r="456" spans="1:63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</row>
    <row r="457" spans="1:63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 x14ac:dyDescent="0.3">
      <c r="B460" t="s">
        <v>516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</row>
    <row r="461" spans="1:63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</row>
    <row r="462" spans="1:63" x14ac:dyDescent="0.3">
      <c r="B462" t="s">
        <v>527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</row>
    <row r="463" spans="1:63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 x14ac:dyDescent="0.3">
      <c r="A464" t="s">
        <v>528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</row>
    <row r="465" spans="1:63" x14ac:dyDescent="0.3">
      <c r="A465" t="s">
        <v>529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 x14ac:dyDescent="0.3">
      <c r="B466" t="s">
        <v>530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 x14ac:dyDescent="0.3">
      <c r="B467" t="s">
        <v>531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 x14ac:dyDescent="0.3">
      <c r="B468" t="s">
        <v>532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 x14ac:dyDescent="0.3">
      <c r="B469" t="s">
        <v>533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</row>
    <row r="470" spans="1:63" x14ac:dyDescent="0.3">
      <c r="B470" t="s">
        <v>538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</row>
    <row r="471" spans="1:63" x14ac:dyDescent="0.3">
      <c r="B471" t="s">
        <v>539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</row>
    <row r="472" spans="1:63" x14ac:dyDescent="0.3">
      <c r="B472" t="s">
        <v>540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</row>
    <row r="473" spans="1:63" x14ac:dyDescent="0.3">
      <c r="B473" t="s">
        <v>541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</row>
    <row r="474" spans="1:63" x14ac:dyDescent="0.3">
      <c r="A474" t="s">
        <v>542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 x14ac:dyDescent="0.3">
      <c r="B475" t="s">
        <v>543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</row>
    <row r="476" spans="1:63" x14ac:dyDescent="0.3">
      <c r="B476" t="s">
        <v>544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 x14ac:dyDescent="0.3">
      <c r="A477" t="s">
        <v>545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</row>
    <row r="478" spans="1:63" x14ac:dyDescent="0.3">
      <c r="B478" t="s">
        <v>546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K478"/>
  <sheetViews>
    <sheetView topLeftCell="AM1" workbookViewId="0">
      <selection sqref="A1:CA1000"/>
    </sheetView>
  </sheetViews>
  <sheetFormatPr defaultRowHeight="14.4" x14ac:dyDescent="0.3"/>
  <sheetData>
    <row r="1" spans="1:63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</row>
    <row r="2" spans="1:63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</row>
    <row r="3" spans="1:63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  <c r="BK3">
        <v>33</v>
      </c>
    </row>
    <row r="4" spans="1:63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</row>
    <row r="5" spans="1:63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</row>
    <row r="6" spans="1:63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  <c r="BK6">
        <v>3</v>
      </c>
    </row>
    <row r="7" spans="1:63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  <c r="BK7">
        <v>8</v>
      </c>
    </row>
    <row r="8" spans="1:63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  <c r="BK8">
        <v>6</v>
      </c>
    </row>
    <row r="9" spans="1:63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</row>
    <row r="10" spans="1:63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</row>
    <row r="11" spans="1:63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</row>
    <row r="12" spans="1:63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</row>
    <row r="13" spans="1:63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  <c r="BK13">
        <v>67</v>
      </c>
    </row>
    <row r="14" spans="1:63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</row>
    <row r="15" spans="1:63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2</v>
      </c>
    </row>
    <row r="16" spans="1:63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  <c r="BK16">
        <v>18</v>
      </c>
    </row>
    <row r="17" spans="1:63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  <c r="BK17">
        <v>5</v>
      </c>
    </row>
    <row r="18" spans="1:63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  <c r="BK18">
        <v>4032</v>
      </c>
    </row>
    <row r="19" spans="1:63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  <c r="BK19">
        <v>16</v>
      </c>
    </row>
    <row r="20" spans="1:63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  <c r="BK20">
        <v>1043</v>
      </c>
    </row>
    <row r="21" spans="1:63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</row>
    <row r="22" spans="1:63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  <c r="BK22">
        <v>37</v>
      </c>
    </row>
    <row r="23" spans="1:63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  <c r="BK23">
        <v>8</v>
      </c>
    </row>
    <row r="24" spans="1:63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  <c r="BK25">
        <v>4</v>
      </c>
    </row>
    <row r="26" spans="1:63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  <c r="BK26">
        <v>17</v>
      </c>
    </row>
    <row r="27" spans="1:63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</row>
    <row r="28" spans="1:63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</row>
    <row r="29" spans="1:63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  <c r="BK29">
        <v>1</v>
      </c>
    </row>
    <row r="30" spans="1:63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</row>
    <row r="31" spans="1:63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  <c r="BK31">
        <v>11</v>
      </c>
    </row>
    <row r="32" spans="1:63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  <c r="BK32">
        <v>1</v>
      </c>
    </row>
    <row r="33" spans="2:63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  <c r="BK33">
        <v>54</v>
      </c>
    </row>
    <row r="34" spans="2:63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  <c r="BK34">
        <v>6</v>
      </c>
    </row>
    <row r="35" spans="2:63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</row>
    <row r="36" spans="2:63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  <c r="BK36">
        <v>3</v>
      </c>
    </row>
    <row r="37" spans="2:63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  <c r="BK37">
        <v>11</v>
      </c>
    </row>
    <row r="38" spans="2:63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</row>
    <row r="39" spans="2:63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  <c r="BK39">
        <v>6</v>
      </c>
    </row>
    <row r="40" spans="2:63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</row>
    <row r="41" spans="2:63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  <c r="BK41">
        <v>7</v>
      </c>
    </row>
    <row r="42" spans="2:63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</row>
    <row r="43" spans="2:63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</row>
    <row r="44" spans="2:63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  <c r="BK44">
        <v>14</v>
      </c>
    </row>
    <row r="45" spans="2:63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</row>
    <row r="46" spans="2:63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  <c r="BK46">
        <v>0</v>
      </c>
    </row>
    <row r="47" spans="2:63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</row>
    <row r="48" spans="2:63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  <c r="BK48">
        <v>1</v>
      </c>
    </row>
    <row r="49" spans="1:63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</row>
    <row r="51" spans="1:63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</row>
    <row r="52" spans="1:63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  <c r="BK52">
        <v>3</v>
      </c>
    </row>
    <row r="53" spans="1:63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  <c r="BK53">
        <v>4</v>
      </c>
    </row>
    <row r="54" spans="1:63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</row>
    <row r="55" spans="1:63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</row>
    <row r="56" spans="1:63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  <c r="BK56">
        <v>5</v>
      </c>
    </row>
    <row r="57" spans="1:63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</row>
    <row r="58" spans="1:63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</row>
    <row r="59" spans="1:63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  <c r="BK59">
        <v>2</v>
      </c>
    </row>
    <row r="60" spans="1:63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  <c r="BK60">
        <v>32</v>
      </c>
    </row>
    <row r="61" spans="1:63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  <c r="BK61">
        <v>6</v>
      </c>
    </row>
    <row r="62" spans="1:63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</row>
    <row r="63" spans="1:63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</row>
    <row r="64" spans="1:63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</row>
    <row r="65" spans="1:63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  <c r="BK65">
        <v>3</v>
      </c>
    </row>
    <row r="66" spans="1:63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</row>
    <row r="67" spans="1:63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</row>
    <row r="68" spans="1:63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  <c r="BK68">
        <v>3</v>
      </c>
    </row>
    <row r="69" spans="1:63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</row>
    <row r="70" spans="1:63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</row>
    <row r="71" spans="1:63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  <c r="BK71">
        <v>3</v>
      </c>
    </row>
    <row r="72" spans="1:63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3</v>
      </c>
    </row>
    <row r="73" spans="1:63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</row>
    <row r="74" spans="1:63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</row>
    <row r="75" spans="1:63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  <c r="BK75">
        <v>5</v>
      </c>
    </row>
    <row r="76" spans="1:63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  <c r="BK76">
        <v>1</v>
      </c>
    </row>
    <row r="77" spans="1:63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</row>
    <row r="78" spans="1:63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</row>
    <row r="79" spans="1:63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  <c r="BK83">
        <v>1</v>
      </c>
    </row>
    <row r="84" spans="1:63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</row>
    <row r="85" spans="1:63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1</v>
      </c>
    </row>
    <row r="86" spans="1:63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  <c r="BK86">
        <v>1</v>
      </c>
    </row>
    <row r="87" spans="1:63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</row>
    <row r="89" spans="1:63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  <c r="BK89">
        <v>1</v>
      </c>
    </row>
    <row r="90" spans="1:63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  <c r="BK90">
        <v>3</v>
      </c>
    </row>
    <row r="91" spans="1:63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  <c r="BK92">
        <v>1</v>
      </c>
    </row>
    <row r="93" spans="1:63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  <c r="BK94">
        <v>2</v>
      </c>
    </row>
    <row r="95" spans="1:63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</v>
      </c>
    </row>
    <row r="96" spans="1:63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  <c r="BK96">
        <v>1</v>
      </c>
    </row>
    <row r="97" spans="1:63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  <c r="BK97">
        <v>2</v>
      </c>
    </row>
    <row r="98" spans="1:63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  <c r="BK100">
        <v>83</v>
      </c>
    </row>
    <row r="101" spans="1:63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  <c r="BK101">
        <v>42</v>
      </c>
    </row>
    <row r="102" spans="1:63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  <c r="BK102">
        <v>23</v>
      </c>
    </row>
    <row r="103" spans="1:63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1</v>
      </c>
    </row>
    <row r="104" spans="1:63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  <c r="BK106">
        <v>13</v>
      </c>
    </row>
    <row r="107" spans="1:63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  <c r="BK107">
        <v>4</v>
      </c>
    </row>
    <row r="108" spans="1:63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  <c r="BK108">
        <v>10</v>
      </c>
    </row>
    <row r="109" spans="1:63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  <c r="BK109">
        <v>11</v>
      </c>
    </row>
    <row r="110" spans="1:63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  <c r="BK110">
        <v>3</v>
      </c>
    </row>
    <row r="111" spans="1:63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  <c r="BK111">
        <v>5</v>
      </c>
    </row>
    <row r="112" spans="1:63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  <c r="BK112">
        <v>5</v>
      </c>
    </row>
    <row r="113" spans="1:63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  <c r="BK113">
        <v>1</v>
      </c>
    </row>
    <row r="114" spans="1:63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  <c r="BK115">
        <v>1</v>
      </c>
    </row>
    <row r="116" spans="1:63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</row>
    <row r="118" spans="1:63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  <c r="BK119">
        <v>2</v>
      </c>
    </row>
    <row r="120" spans="1:63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  <c r="BK121">
        <v>2</v>
      </c>
    </row>
    <row r="122" spans="1:63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  <c r="BK122">
        <v>2</v>
      </c>
    </row>
    <row r="123" spans="1:63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1</v>
      </c>
    </row>
    <row r="124" spans="1:63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  <c r="BK124">
        <v>1</v>
      </c>
    </row>
    <row r="125" spans="1:63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</row>
    <row r="129" spans="1:63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</row>
    <row r="131" spans="1:63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  <c r="BK131">
        <v>3</v>
      </c>
    </row>
    <row r="132" spans="1:63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  <c r="BK133">
        <v>1</v>
      </c>
    </row>
    <row r="134" spans="1:63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  <c r="BK135">
        <v>1</v>
      </c>
    </row>
    <row r="136" spans="1:63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</row>
    <row r="139" spans="1:63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</row>
    <row r="140" spans="1:63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  <c r="BK140">
        <v>14</v>
      </c>
    </row>
    <row r="141" spans="1:63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  <c r="BK141">
        <v>2</v>
      </c>
    </row>
    <row r="142" spans="1:63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2</v>
      </c>
    </row>
    <row r="143" spans="1:63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  <c r="BK148">
        <v>3</v>
      </c>
    </row>
    <row r="149" spans="1:63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  <c r="BK149">
        <v>1</v>
      </c>
    </row>
    <row r="150" spans="1:63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</row>
    <row r="154" spans="1:63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  <c r="BK156">
        <v>3133</v>
      </c>
    </row>
    <row r="157" spans="1:63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  <c r="BK157">
        <v>1433</v>
      </c>
    </row>
    <row r="158" spans="1:63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  <c r="BK158">
        <v>94</v>
      </c>
    </row>
    <row r="159" spans="1:63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  <c r="BK159">
        <v>450</v>
      </c>
    </row>
    <row r="160" spans="1:63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  <c r="BK160">
        <v>8</v>
      </c>
    </row>
    <row r="161" spans="1:63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  <c r="BK161">
        <v>22</v>
      </c>
    </row>
    <row r="162" spans="1:63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</row>
    <row r="163" spans="1:63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</row>
    <row r="164" spans="1:63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</row>
    <row r="165" spans="1:63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</row>
    <row r="166" spans="1:63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</row>
    <row r="167" spans="1:63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  <c r="BK167">
        <v>7</v>
      </c>
    </row>
    <row r="168" spans="1:63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</row>
    <row r="170" spans="1:63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</row>
    <row r="171" spans="1:63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  <c r="BK171">
        <v>13</v>
      </c>
    </row>
    <row r="172" spans="1:63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  <c r="BK172">
        <v>9</v>
      </c>
    </row>
    <row r="173" spans="1:63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  <c r="BK173">
        <v>8</v>
      </c>
    </row>
    <row r="174" spans="1:63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3</v>
      </c>
    </row>
    <row r="175" spans="1:63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  <c r="BK175">
        <v>6</v>
      </c>
    </row>
    <row r="176" spans="1:63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</row>
    <row r="177" spans="1:63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</row>
    <row r="178" spans="1:63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  <c r="BK178">
        <v>3</v>
      </c>
    </row>
    <row r="179" spans="1:63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</row>
    <row r="180" spans="1:63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  <c r="BK180">
        <v>6</v>
      </c>
    </row>
    <row r="181" spans="1:63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</row>
    <row r="182" spans="1:63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  <c r="BK182">
        <v>3</v>
      </c>
    </row>
    <row r="183" spans="1:63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</row>
    <row r="184" spans="1:63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</row>
    <row r="185" spans="1:63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  <c r="BK185">
        <v>4</v>
      </c>
    </row>
    <row r="186" spans="1:63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2</v>
      </c>
    </row>
    <row r="187" spans="1:63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</row>
    <row r="188" spans="1:63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</row>
    <row r="189" spans="1:63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</row>
    <row r="190" spans="1:63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</row>
    <row r="191" spans="1:63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</row>
    <row r="192" spans="1:63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2</v>
      </c>
    </row>
    <row r="193" spans="1:63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</row>
    <row r="194" spans="1:63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  <c r="BK194">
        <v>1</v>
      </c>
    </row>
    <row r="195" spans="1:63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</row>
    <row r="196" spans="1:63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</row>
    <row r="197" spans="1:63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  <c r="BK197">
        <v>1</v>
      </c>
    </row>
    <row r="198" spans="1:63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</row>
    <row r="202" spans="1:63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</row>
    <row r="205" spans="1:63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</row>
    <row r="207" spans="1:63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  <c r="BK208">
        <v>1</v>
      </c>
    </row>
    <row r="209" spans="1:63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  <c r="BK209">
        <v>4</v>
      </c>
    </row>
    <row r="210" spans="1:63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</row>
    <row r="211" spans="1:63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  <c r="BK402">
        <v>1</v>
      </c>
    </row>
    <row r="403" spans="1:63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</row>
    <row r="404" spans="1:63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  <c r="BK405">
        <v>177</v>
      </c>
    </row>
    <row r="406" spans="1:63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3</v>
      </c>
    </row>
    <row r="407" spans="1:63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</row>
    <row r="411" spans="1:63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</row>
    <row r="412" spans="1:63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</row>
    <row r="416" spans="1:63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</row>
    <row r="417" spans="1:63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</row>
    <row r="420" spans="1:63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</row>
    <row r="422" spans="1:63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</row>
    <row r="423" spans="1:63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</row>
    <row r="424" spans="1:63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1</v>
      </c>
    </row>
    <row r="426" spans="1:63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  <c r="BK426">
        <v>1</v>
      </c>
    </row>
    <row r="427" spans="1:63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</row>
    <row r="432" spans="1:63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</row>
    <row r="433" spans="1:63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</row>
    <row r="434" spans="1:63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</row>
    <row r="436" spans="1:63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</row>
    <row r="438" spans="1:63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</row>
    <row r="439" spans="1:63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</row>
    <row r="440" spans="1:63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  <c r="BK442">
        <v>106</v>
      </c>
    </row>
    <row r="443" spans="1:63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</row>
    <row r="444" spans="1:63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  <c r="BK447">
        <v>1</v>
      </c>
    </row>
    <row r="448" spans="1:63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  <c r="BK451">
        <v>1</v>
      </c>
    </row>
    <row r="452" spans="1:63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</row>
    <row r="456" spans="1:63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</row>
    <row r="457" spans="1:63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 x14ac:dyDescent="0.3">
      <c r="B460" t="s">
        <v>516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</row>
    <row r="461" spans="1:63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</row>
    <row r="462" spans="1:63" x14ac:dyDescent="0.3">
      <c r="B462" t="s">
        <v>527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</row>
    <row r="463" spans="1:63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 x14ac:dyDescent="0.3">
      <c r="A464" t="s">
        <v>528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</row>
    <row r="465" spans="1:63" x14ac:dyDescent="0.3">
      <c r="A465" t="s">
        <v>529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 x14ac:dyDescent="0.3">
      <c r="B466" t="s">
        <v>530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 x14ac:dyDescent="0.3">
      <c r="B467" t="s">
        <v>531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 x14ac:dyDescent="0.3">
      <c r="B468" t="s">
        <v>532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 x14ac:dyDescent="0.3">
      <c r="B469" t="s">
        <v>533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</row>
    <row r="470" spans="1:63" x14ac:dyDescent="0.3">
      <c r="B470" t="s">
        <v>538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</row>
    <row r="471" spans="1:63" x14ac:dyDescent="0.3">
      <c r="B471" t="s">
        <v>539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</row>
    <row r="472" spans="1:63" x14ac:dyDescent="0.3">
      <c r="B472" t="s">
        <v>540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</row>
    <row r="473" spans="1:63" x14ac:dyDescent="0.3">
      <c r="B473" t="s">
        <v>541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</row>
    <row r="474" spans="1:63" x14ac:dyDescent="0.3">
      <c r="A474" t="s">
        <v>542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 x14ac:dyDescent="0.3">
      <c r="B475" t="s">
        <v>543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</row>
    <row r="476" spans="1:63" x14ac:dyDescent="0.3">
      <c r="B476" t="s">
        <v>544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 x14ac:dyDescent="0.3">
      <c r="A477" t="s">
        <v>545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</row>
    <row r="478" spans="1:63" x14ac:dyDescent="0.3">
      <c r="B478" t="s">
        <v>546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Country_Data</vt:lpstr>
      <vt:lpstr>CumulativeActive</vt:lpstr>
      <vt:lpstr>CumulativeConfirmed</vt:lpstr>
      <vt:lpstr>CumulativeRecovered</vt:lpstr>
      <vt:lpstr>CumulativeDead</vt:lpstr>
      <vt:lpstr>ConfirmedRaw</vt:lpstr>
      <vt:lpstr>RecoveredRaw</vt:lpstr>
      <vt:lpstr>DeadRaw</vt:lpstr>
      <vt:lpstr>country</vt:lpstr>
      <vt:lpstr>image_jpg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2020-03-21T14:07:57Z</dcterms:modified>
</cp:coreProperties>
</file>